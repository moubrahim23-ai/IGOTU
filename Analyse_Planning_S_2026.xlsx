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Globale" sheetId="1" state="visible" r:id="rId3"/>
    <sheet name="S01" sheetId="2" state="visible" r:id="rId4"/>
    <sheet name="S02" sheetId="3" state="visible" r:id="rId5"/>
    <sheet name="S03" sheetId="4" state="visible" r:id="rId6"/>
    <sheet name="S04" sheetId="5" state="visible" r:id="rId7"/>
    <sheet name="S05" sheetId="6" state="visible" r:id="rId8"/>
    <sheet name="S06" sheetId="7" state="visible" r:id="rId9"/>
    <sheet name="S07" sheetId="8" state="visible" r:id="rId10"/>
    <sheet name="S08" sheetId="9" state="visible" r:id="rId11"/>
    <sheet name="S09" sheetId="10" state="visible" r:id="rId12"/>
    <sheet name="S10" sheetId="11" state="visible" r:id="rId13"/>
    <sheet name="S11" sheetId="12" state="visible" r:id="rId14"/>
    <sheet name="S12" sheetId="13" state="visible" r:id="rId15"/>
    <sheet name="S13" sheetId="14" state="visible" r:id="rId16"/>
    <sheet name="S14" sheetId="15" state="visible" r:id="rId17"/>
    <sheet name="S15" sheetId="16" state="visible" r:id="rId18"/>
    <sheet name="S16" sheetId="17" state="visible" r:id="rId19"/>
    <sheet name="S17" sheetId="18" state="visible" r:id="rId20"/>
    <sheet name="S18" sheetId="19" state="visible" r:id="rId21"/>
    <sheet name="S19" sheetId="20" state="visible" r:id="rId22"/>
    <sheet name="S20" sheetId="21" state="visible" r:id="rId23"/>
    <sheet name="S21" sheetId="22" state="visible" r:id="rId24"/>
    <sheet name="S22" sheetId="23" state="visible" r:id="rId25"/>
    <sheet name="S23" sheetId="24" state="visible" r:id="rId26"/>
    <sheet name="S24" sheetId="25" state="visible" r:id="rId27"/>
    <sheet name="S25" sheetId="26" state="visible" r:id="rId28"/>
    <sheet name="S26" sheetId="27" state="visible" r:id="rId29"/>
    <sheet name="S27" sheetId="28" state="visible" r:id="rId30"/>
    <sheet name="S28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<sst xmlns="http://schemas.openxmlformats.org/spreadsheetml/2006/main" count="4015" uniqueCount="369">
  <si>
    <t xml:space="preserve">ANALYSE DES PLANNINGS — SYNTHÈSE 2026 (S01–S28)</t>
  </si>
  <si>
    <t xml:space="preserve">Hors feuille scénario 'S12 AID VENDREDI'. Semaines calendaires du 29/12/2025 au 12/07/2026.</t>
  </si>
  <si>
    <t xml:space="preserve">Semaine</t>
  </si>
  <si>
    <t xml:space="preserve">Date début</t>
  </si>
  <si>
    <t xml:space="preserve">Date fin</t>
  </si>
  <si>
    <t xml:space="preserve">Effectif agents</t>
  </si>
  <si>
    <t xml:space="preserve">Effectif managers</t>
  </si>
  <si>
    <t xml:space="preserve">Heures agents</t>
  </si>
  <si>
    <t xml:space="preserve">Heures managers</t>
  </si>
  <si>
    <t xml:space="preserve">Heures totales</t>
  </si>
  <si>
    <t xml:space="preserve">Moy. h/agent</t>
  </si>
  <si>
    <t xml:space="preserve">Congés (j)</t>
  </si>
  <si>
    <t xml:space="preserve">Maladie (j)</t>
  </si>
  <si>
    <t xml:space="preserve">Fériés (j)</t>
  </si>
  <si>
    <t xml:space="preserve">HS (j)</t>
  </si>
  <si>
    <t xml:space="preserve">OFF (j)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</si>
  <si>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</si>
  <si>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</si>
  <si>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</si>
  <si>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</si>
  <si>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</si>
  <si>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</si>
  <si>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</si>
  <si>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</si>
  <si>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</si>
  <si>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</si>
  <si>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</si>
  <si>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</si>
  <si>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</si>
  <si>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</si>
  <si>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</si>
  <si>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</si>
  <si>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</si>
  <si>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</si>
  <si>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</si>
  <si>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</si>
  <si>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</si>
  <si>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</si>
  <si>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</si>
  <si>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</si>
  <si>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</si>
  <si>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</si>
  <si>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</si>
  <si>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</si>
  <si>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TOTAL / MOYENNE</t>
  </si>
  <si>
    <t xml:space="preserve">INDICATEURS CLÉS</t>
  </si>
  <si>
    <t xml:space="preserve">Effectif moyen (agents)</t>
  </si>
  <si>
    <t xml:space="preserve">Effectif max (agents)</t>
  </si>
  <si>
    <t xml:space="preserve">Heures totales planifiées (28 sem.)</t>
  </si>
  <si>
    <t xml:space="preserve">Moyenne heures/agent/semaine</t>
  </si>
  <si>
    <t xml:space="preserve">Total jours de Congé</t>
  </si>
  <si>
    <t xml:space="preserve">Total jours de Maladie</t>
  </si>
  <si>
    <t xml:space="preserve">PLANNING S01 — 29/12/2025 au 04/01/2026</t>
  </si>
  <si>
    <t xml:space="preserve">Agents à 0h (absence totale)</t>
  </si>
  <si>
    <t xml:space="preserve">Jours Congé (agents)</t>
  </si>
  <si>
    <t xml:space="preserve">Jours Maladie (agents)</t>
  </si>
  <si>
    <t xml:space="preserve">Couverture quotidienne (nb agents)</t>
  </si>
  <si>
    <t xml:space="preserve">Indicateur</t>
  </si>
  <si>
    <t xml:space="preserve">Lundi
29/12</t>
  </si>
  <si>
    <t xml:space="preserve">Mardi
30/12</t>
  </si>
  <si>
    <t xml:space="preserve">Mercredi
31/12</t>
  </si>
  <si>
    <t xml:space="preserve">Jeudi
01/01</t>
  </si>
  <si>
    <t xml:space="preserve">Vendredi
02/01</t>
  </si>
  <si>
    <t xml:space="preserve">Samedi
03/01</t>
  </si>
  <si>
    <t xml:space="preserve">Dimanche
04/01</t>
  </si>
  <si>
    <t xml:space="preserve">Ouverture</t>
  </si>
  <si>
    <t xml:space="preserve">Middle</t>
  </si>
  <si>
    <t xml:space="preserve">Fermeture</t>
  </si>
  <si>
    <t xml:space="preserve">OFF</t>
  </si>
  <si>
    <t xml:space="preserve">Équipe — Collaborateurs</t>
  </si>
  <si>
    <t xml:space="preserve">Zone</t>
  </si>
  <si>
    <t xml:space="preserve">Collaborateur</t>
  </si>
  <si>
    <t xml:space="preserve">Heures planifiées</t>
  </si>
  <si>
    <t xml:space="preserve">Congé (j)</t>
  </si>
  <si>
    <t xml:space="preserve">Férié (j)</t>
  </si>
  <si>
    <t xml:space="preserve">Commentaire</t>
  </si>
  <si>
    <t xml:space="preserve">ZONE 7</t>
  </si>
  <si>
    <t xml:space="preserve">EL-AOUAQUI BOUCHRA</t>
  </si>
  <si>
    <t xml:space="preserve">RAS</t>
  </si>
  <si>
    <t xml:space="preserve">ZONE 4</t>
  </si>
  <si>
    <t xml:space="preserve">COUNDOUL Birane</t>
  </si>
  <si>
    <t xml:space="preserve">Congé payé</t>
  </si>
  <si>
    <t xml:space="preserve">ZONE 3</t>
  </si>
  <si>
    <t xml:space="preserve">DIOP ABDOU</t>
  </si>
  <si>
    <t xml:space="preserve">IHASSANE Ikram</t>
  </si>
  <si>
    <t xml:space="preserve">ZONE 5</t>
  </si>
  <si>
    <t xml:space="preserve">NIANG NDEYE ABSA</t>
  </si>
  <si>
    <t xml:space="preserve">ZONE 2</t>
  </si>
  <si>
    <t xml:space="preserve">ZAKI OMAR</t>
  </si>
  <si>
    <t xml:space="preserve">EL HOUSSAINI HOUDA</t>
  </si>
  <si>
    <t xml:space="preserve">BOUMEZGANE SOUKAINA</t>
  </si>
  <si>
    <t xml:space="preserve">EL HARROUCHI CHAIMAE</t>
  </si>
  <si>
    <t xml:space="preserve">LAFDIL NADA</t>
  </si>
  <si>
    <t xml:space="preserve">GUEYE MOUHAMED</t>
  </si>
  <si>
    <t xml:space="preserve">RACHAD NAWAR</t>
  </si>
  <si>
    <t xml:space="preserve">ZITOUNI LAMYA</t>
  </si>
  <si>
    <t xml:space="preserve">GUEYE GORA</t>
  </si>
  <si>
    <t xml:space="preserve">DIOUF OUSSMANE</t>
  </si>
  <si>
    <t xml:space="preserve">DERKAOUI AMAL</t>
  </si>
  <si>
    <t xml:space="preserve">ZONE 1</t>
  </si>
  <si>
    <t xml:space="preserve">AIT LARBI HIND</t>
  </si>
  <si>
    <t xml:space="preserve">ZONE 6</t>
  </si>
  <si>
    <t xml:space="preserve">TOURE ABIBOU</t>
  </si>
  <si>
    <t xml:space="preserve">KANTAOUI SALMA</t>
  </si>
  <si>
    <t xml:space="preserve">IKRADINE RIME</t>
  </si>
  <si>
    <t xml:space="preserve">ZIOUI DOUNIA</t>
  </si>
  <si>
    <t xml:space="preserve">AIT ADDI KHADIJA</t>
  </si>
  <si>
    <t xml:space="preserve">TRSPT KO</t>
  </si>
  <si>
    <t xml:space="preserve">MELLAHI YOUSSEF</t>
  </si>
  <si>
    <t xml:space="preserve">NDIAYE ADJI MARIE CISSE</t>
  </si>
  <si>
    <t xml:space="preserve">EL HOUJJAJI Soufiane</t>
  </si>
  <si>
    <t xml:space="preserve">KBIRI AKRAM</t>
  </si>
  <si>
    <t xml:space="preserve">Hors structure </t>
  </si>
  <si>
    <t xml:space="preserve">Managers / GF / Coach</t>
  </si>
  <si>
    <t xml:space="preserve">ZONE 8</t>
  </si>
  <si>
    <t xml:space="preserve">OUAQERROUCH NOUR-EL HOUDA</t>
  </si>
  <si>
    <t xml:space="preserve">ARBOUBBA OUMAIMA</t>
  </si>
  <si>
    <t xml:space="preserve">HAOUACH Ikram</t>
  </si>
  <si>
    <t xml:space="preserve">PLANNING S02 — 05/01/2026 au 11/01/2026</t>
  </si>
  <si>
    <t xml:space="preserve">Lundi
05/01</t>
  </si>
  <si>
    <t xml:space="preserve">Mardi
06/01</t>
  </si>
  <si>
    <t xml:space="preserve">Mercredi
07/01</t>
  </si>
  <si>
    <t xml:space="preserve">Jeudi
08/01</t>
  </si>
  <si>
    <t xml:space="preserve">Vendredi
09/01</t>
  </si>
  <si>
    <t xml:space="preserve">Samedi
10/01</t>
  </si>
  <si>
    <t xml:space="preserve">Dimanche
11/01</t>
  </si>
  <si>
    <t xml:space="preserve">PLANNING S03 — 12/01/2026 au 18/01/2026</t>
  </si>
  <si>
    <t xml:space="preserve">Lundi
12/01</t>
  </si>
  <si>
    <t xml:space="preserve">Mardi
13/01</t>
  </si>
  <si>
    <t xml:space="preserve">Mercredi
14/01</t>
  </si>
  <si>
    <t xml:space="preserve">Jeudi
15/01</t>
  </si>
  <si>
    <t xml:space="preserve">Vendredi
16/01</t>
  </si>
  <si>
    <t xml:space="preserve">Samedi
17/01</t>
  </si>
  <si>
    <t xml:space="preserve">Dimanche
18/01</t>
  </si>
  <si>
    <t xml:space="preserve">TLT</t>
  </si>
  <si>
    <t xml:space="preserve">Maladie longue durée </t>
  </si>
  <si>
    <t xml:space="preserve">PLANNING S04 — 19/01/2026 au 25/01/2026</t>
  </si>
  <si>
    <t xml:space="preserve">Lundi
19/01</t>
  </si>
  <si>
    <t xml:space="preserve">Mardi
20/01</t>
  </si>
  <si>
    <t xml:space="preserve">Mercredi
21/01</t>
  </si>
  <si>
    <t xml:space="preserve">Jeudi
22/01</t>
  </si>
  <si>
    <t xml:space="preserve">Vendredi
23/01</t>
  </si>
  <si>
    <t xml:space="preserve">Samedi
24/01</t>
  </si>
  <si>
    <t xml:space="preserve">Dimanche
25/01</t>
  </si>
  <si>
    <t xml:space="preserve">Maladie longue durée reprise le 23/01</t>
  </si>
  <si>
    <t xml:space="preserve">PLANNING S05 — 26/01/2026 au 01/02/2026</t>
  </si>
  <si>
    <t xml:space="preserve">Lundi
26/01</t>
  </si>
  <si>
    <t xml:space="preserve">Mardi
27/01</t>
  </si>
  <si>
    <t xml:space="preserve">Mercredi
28/01</t>
  </si>
  <si>
    <t xml:space="preserve">Jeudi
29/01</t>
  </si>
  <si>
    <t xml:space="preserve">Vendredi
30/01</t>
  </si>
  <si>
    <t xml:space="preserve">Samedi
31/01</t>
  </si>
  <si>
    <t xml:space="preserve">Dimanche
01/02</t>
  </si>
  <si>
    <t xml:space="preserve">AZHARI ABDELHAMID</t>
  </si>
  <si>
    <t xml:space="preserve">NUNEZ LUCIEN BERNARD</t>
  </si>
  <si>
    <t xml:space="preserve">LALOUN MANAL</t>
  </si>
  <si>
    <t xml:space="preserve">MRANI REDA</t>
  </si>
  <si>
    <t xml:space="preserve">TLT le Samedi </t>
  </si>
  <si>
    <t xml:space="preserve">PLANNING S06 — 02/02/2026 au 08/02/2026</t>
  </si>
  <si>
    <t xml:space="preserve">Lundi
02/02</t>
  </si>
  <si>
    <t xml:space="preserve">Mardi
03/02</t>
  </si>
  <si>
    <t xml:space="preserve">Mercredi
04/02</t>
  </si>
  <si>
    <t xml:space="preserve">Jeudi
05/02</t>
  </si>
  <si>
    <t xml:space="preserve">Vendredi
06/02</t>
  </si>
  <si>
    <t xml:space="preserve">Samedi
07/02</t>
  </si>
  <si>
    <t xml:space="preserve">Dimanche
08/02</t>
  </si>
  <si>
    <t xml:space="preserve">PLANNING S07 — 09/02/2026 au 15/02/2026</t>
  </si>
  <si>
    <t xml:space="preserve">Lundi
09/02</t>
  </si>
  <si>
    <t xml:space="preserve">Mardi
10/02</t>
  </si>
  <si>
    <t xml:space="preserve">Mercredi
11/02</t>
  </si>
  <si>
    <t xml:space="preserve">Jeudi
12/02</t>
  </si>
  <si>
    <t xml:space="preserve">Vendredi
13/02</t>
  </si>
  <si>
    <t xml:space="preserve">Samedi
14/02</t>
  </si>
  <si>
    <t xml:space="preserve">Dimanche
15/02</t>
  </si>
  <si>
    <t xml:space="preserve">TLT SAMEDI </t>
  </si>
  <si>
    <t xml:space="preserve">PLANNING S08 — 16/02/2026 au 22/02/2026</t>
  </si>
  <si>
    <t xml:space="preserve">Lundi
16/02</t>
  </si>
  <si>
    <t xml:space="preserve">Mardi
17/02</t>
  </si>
  <si>
    <t xml:space="preserve">Mercredi
18/02</t>
  </si>
  <si>
    <t xml:space="preserve">Jeudi
19/02</t>
  </si>
  <si>
    <t xml:space="preserve">Vendredi
20/02</t>
  </si>
  <si>
    <t xml:space="preserve">Samedi
21/02</t>
  </si>
  <si>
    <t xml:space="preserve">Dimanche
22/02</t>
  </si>
  <si>
    <t xml:space="preserve">DIATTA AISSATOU</t>
  </si>
  <si>
    <t xml:space="preserve">SIDIBE MOUSKEBA DALAFINA</t>
  </si>
  <si>
    <t xml:space="preserve">BOULHROUD SALMA</t>
  </si>
  <si>
    <t xml:space="preserve">ALAMI SOUMAYYA</t>
  </si>
  <si>
    <t xml:space="preserve">BOURABAA HASSAN</t>
  </si>
  <si>
    <t xml:space="preserve">PLANNING S09 — 23/02/2026 au 01/03/2026</t>
  </si>
  <si>
    <t xml:space="preserve">Lundi
23/02</t>
  </si>
  <si>
    <t xml:space="preserve">Mardi
24/02</t>
  </si>
  <si>
    <t xml:space="preserve">Mercredi
25/02</t>
  </si>
  <si>
    <t xml:space="preserve">Jeudi
26/02</t>
  </si>
  <si>
    <t xml:space="preserve">Vendredi
27/02</t>
  </si>
  <si>
    <t xml:space="preserve">Samedi
28/02</t>
  </si>
  <si>
    <t xml:space="preserve">Dimanche
01/03</t>
  </si>
  <si>
    <t xml:space="preserve">PLANNING S10 — 02/03/2026 au 08/03/2026</t>
  </si>
  <si>
    <t xml:space="preserve">Lundi
02/03</t>
  </si>
  <si>
    <t xml:space="preserve">Mardi
03/03</t>
  </si>
  <si>
    <t xml:space="preserve">Mercredi
04/03</t>
  </si>
  <si>
    <t xml:space="preserve">Jeudi
05/03</t>
  </si>
  <si>
    <t xml:space="preserve">Vendredi
06/03</t>
  </si>
  <si>
    <t xml:space="preserve">Samedi
07/03</t>
  </si>
  <si>
    <t xml:space="preserve">Dimanche
08/03</t>
  </si>
  <si>
    <t xml:space="preserve">PLANNING S11 — 09/03/2026 au 15/03/2026</t>
  </si>
  <si>
    <t xml:space="preserve">Lundi
09/03</t>
  </si>
  <si>
    <t xml:space="preserve">Mardi
10/03</t>
  </si>
  <si>
    <t xml:space="preserve">Mercredi
11/03</t>
  </si>
  <si>
    <t xml:space="preserve">Jeudi
12/03</t>
  </si>
  <si>
    <t xml:space="preserve">Vendredi
13/03</t>
  </si>
  <si>
    <t xml:space="preserve">Samedi
14/03</t>
  </si>
  <si>
    <t xml:space="preserve">Dimanche
15/03</t>
  </si>
  <si>
    <t xml:space="preserve">PLANNING S12 — 16/03/2026 au 22/03/2026</t>
  </si>
  <si>
    <t xml:space="preserve">Lundi
16/03</t>
  </si>
  <si>
    <t xml:space="preserve">Mardi
17/03</t>
  </si>
  <si>
    <t xml:space="preserve">Mercredi
18/03</t>
  </si>
  <si>
    <t xml:space="preserve">Jeudi
19/03</t>
  </si>
  <si>
    <t xml:space="preserve">Vendredi
20/03</t>
  </si>
  <si>
    <t xml:space="preserve">Samedi
21/03</t>
  </si>
  <si>
    <t xml:space="preserve">Dimanche
22/03</t>
  </si>
  <si>
    <t xml:space="preserve">PLANNING S13 — 23/03/2026 au 29/03/2026</t>
  </si>
  <si>
    <t xml:space="preserve">Lundi
23/03</t>
  </si>
  <si>
    <t xml:space="preserve">Mardi
24/03</t>
  </si>
  <si>
    <t xml:space="preserve">Mercredi
25/03</t>
  </si>
  <si>
    <t xml:space="preserve">Jeudi
26/03</t>
  </si>
  <si>
    <t xml:space="preserve">Vendredi
27/03</t>
  </si>
  <si>
    <t xml:space="preserve">Samedi
28/03</t>
  </si>
  <si>
    <t xml:space="preserve">Dimanche
29/03</t>
  </si>
  <si>
    <t xml:space="preserve">Congé</t>
  </si>
  <si>
    <t xml:space="preserve">PLANNING S14 — 30/03/2026 au 05/04/2026</t>
  </si>
  <si>
    <t xml:space="preserve">Lundi
30/03</t>
  </si>
  <si>
    <t xml:space="preserve">Mardi
31/03</t>
  </si>
  <si>
    <t xml:space="preserve">Mercredi
01/04</t>
  </si>
  <si>
    <t xml:space="preserve">Jeudi
02/04</t>
  </si>
  <si>
    <t xml:space="preserve">Vendredi
03/04</t>
  </si>
  <si>
    <t xml:space="preserve">Samedi
04/04</t>
  </si>
  <si>
    <t xml:space="preserve">Dimanche
05/04</t>
  </si>
  <si>
    <t xml:space="preserve">PLANNING S15 — 06/04/2026 au 12/04/2026</t>
  </si>
  <si>
    <t xml:space="preserve">Lundi
06/04</t>
  </si>
  <si>
    <t xml:space="preserve">Mardi
07/04</t>
  </si>
  <si>
    <t xml:space="preserve">Mercredi
08/04</t>
  </si>
  <si>
    <t xml:space="preserve">Jeudi
09/04</t>
  </si>
  <si>
    <t xml:space="preserve">Vendredi
10/04</t>
  </si>
  <si>
    <t xml:space="preserve">Samedi
11/04</t>
  </si>
  <si>
    <t xml:space="preserve">Dimanche
12/04</t>
  </si>
  <si>
    <t xml:space="preserve">Congé payé </t>
  </si>
  <si>
    <t xml:space="preserve">LAMGAYAZE SOUHAILA</t>
  </si>
  <si>
    <t xml:space="preserve">7/04 Toujours en FI </t>
  </si>
  <si>
    <t xml:space="preserve">SECK DIARRA</t>
  </si>
  <si>
    <t xml:space="preserve">AINELKITANE ZINEB</t>
  </si>
  <si>
    <t xml:space="preserve">ELBOUTI AYOUB</t>
  </si>
  <si>
    <t xml:space="preserve">BENSAR ANAS</t>
  </si>
  <si>
    <t xml:space="preserve">BIHAT HIBA</t>
  </si>
  <si>
    <t xml:space="preserve">NEMMAOUI MOUNIRA</t>
  </si>
  <si>
    <t xml:space="preserve">QARBOUI Aymane</t>
  </si>
  <si>
    <t xml:space="preserve">PLANNING S16 — 13/04/2026 au 19/04/2026</t>
  </si>
  <si>
    <t xml:space="preserve">Lundi
13/04</t>
  </si>
  <si>
    <t xml:space="preserve">Mardi
14/04</t>
  </si>
  <si>
    <t xml:space="preserve">Mercredi
15/04</t>
  </si>
  <si>
    <t xml:space="preserve">Jeudi
16/04</t>
  </si>
  <si>
    <t xml:space="preserve">Vendredi
17/04</t>
  </si>
  <si>
    <t xml:space="preserve">Samedi
18/04</t>
  </si>
  <si>
    <t xml:space="preserve">Dimanche
19/04</t>
  </si>
  <si>
    <t xml:space="preserve">EBRA LUNDI RAS</t>
  </si>
  <si>
    <t xml:space="preserve">EBRA LUNDI ET MARDI </t>
  </si>
  <si>
    <t xml:space="preserve">EBRA LUNDI / Congé</t>
  </si>
  <si>
    <t xml:space="preserve">PLANNING S17 — 20/04/2026 au 26/04/2026</t>
  </si>
  <si>
    <t xml:space="preserve">Lundi
20/04</t>
  </si>
  <si>
    <t xml:space="preserve">Mardi
21/04</t>
  </si>
  <si>
    <t xml:space="preserve">Mercredi
22/04</t>
  </si>
  <si>
    <t xml:space="preserve">Jeudi
23/04</t>
  </si>
  <si>
    <t xml:space="preserve">Vendredi
24/04</t>
  </si>
  <si>
    <t xml:space="preserve">Samedi
25/04</t>
  </si>
  <si>
    <t xml:space="preserve">Dimanche
26/04</t>
  </si>
  <si>
    <t xml:space="preserve">PLANNING S18 — 27/04/2026 au 03/05/2026</t>
  </si>
  <si>
    <t xml:space="preserve">Lundi
27/04</t>
  </si>
  <si>
    <t xml:space="preserve">Mardi
28/04</t>
  </si>
  <si>
    <t xml:space="preserve">Mercredi
29/04</t>
  </si>
  <si>
    <t xml:space="preserve">Jeudi
30/04</t>
  </si>
  <si>
    <t xml:space="preserve">Vendredi
01/05</t>
  </si>
  <si>
    <t xml:space="preserve">Samedi
02/05</t>
  </si>
  <si>
    <t xml:space="preserve">Dimanche
03/05</t>
  </si>
  <si>
    <t xml:space="preserve">PLANNING S19 — 04/05/2026 au 10/05/2026</t>
  </si>
  <si>
    <t xml:space="preserve">Lundi
04/05</t>
  </si>
  <si>
    <t xml:space="preserve">Mardi
05/05</t>
  </si>
  <si>
    <t xml:space="preserve">Mercredi
06/05</t>
  </si>
  <si>
    <t xml:space="preserve">Jeudi
07/05</t>
  </si>
  <si>
    <t xml:space="preserve">Vendredi
08/05</t>
  </si>
  <si>
    <t xml:space="preserve">Samedi
09/05</t>
  </si>
  <si>
    <t xml:space="preserve">Dimanche
10/05</t>
  </si>
  <si>
    <t xml:space="preserve">Congé Payé </t>
  </si>
  <si>
    <t xml:space="preserve">PLANNING S20 — 11/05/2026 au 17/05/2026</t>
  </si>
  <si>
    <t xml:space="preserve">Lundi
11/05</t>
  </si>
  <si>
    <t xml:space="preserve">Mardi
12/05</t>
  </si>
  <si>
    <t xml:space="preserve">Mercredi
13/05</t>
  </si>
  <si>
    <t xml:space="preserve">Jeudi
14/05</t>
  </si>
  <si>
    <t xml:space="preserve">Vendredi
15/05</t>
  </si>
  <si>
    <t xml:space="preserve">Samedi
16/05</t>
  </si>
  <si>
    <t xml:space="preserve">Dimanche
17/05</t>
  </si>
  <si>
    <t xml:space="preserve">PLANNING S21 — 18/05/2026 au 24/05/2026</t>
  </si>
  <si>
    <t xml:space="preserve">Lundi
18/05</t>
  </si>
  <si>
    <t xml:space="preserve">Mardi
19/05</t>
  </si>
  <si>
    <t xml:space="preserve">Mercredi
20/05</t>
  </si>
  <si>
    <t xml:space="preserve">Jeudi
21/05</t>
  </si>
  <si>
    <t xml:space="preserve">Vendredi
22/05</t>
  </si>
  <si>
    <t xml:space="preserve">Samedi
23/05</t>
  </si>
  <si>
    <t xml:space="preserve">Dimanche
24/05</t>
  </si>
  <si>
    <t xml:space="preserve">PLANNING S22 — 25/05/2026 au 31/05/2026</t>
  </si>
  <si>
    <t xml:space="preserve">Lundi
25/05</t>
  </si>
  <si>
    <t xml:space="preserve">Mardi
26/05</t>
  </si>
  <si>
    <t xml:space="preserve">Mercredi
27/05</t>
  </si>
  <si>
    <t xml:space="preserve">Jeudi
28/05</t>
  </si>
  <si>
    <t xml:space="preserve">Vendredi
29/05</t>
  </si>
  <si>
    <t xml:space="preserve">Samedi
30/05</t>
  </si>
  <si>
    <t xml:space="preserve">Dimanche
31/05</t>
  </si>
  <si>
    <t xml:space="preserve">PLANNING S23 — 01/06/2026 au 07/06/2026</t>
  </si>
  <si>
    <t xml:space="preserve">Lundi
01/06</t>
  </si>
  <si>
    <t xml:space="preserve">Mardi
02/06</t>
  </si>
  <si>
    <t xml:space="preserve">Mercredi
03/06</t>
  </si>
  <si>
    <t xml:space="preserve">Jeudi
04/06</t>
  </si>
  <si>
    <t xml:space="preserve">Vendredi
05/06</t>
  </si>
  <si>
    <t xml:space="preserve">Samedi
06/06</t>
  </si>
  <si>
    <t xml:space="preserve">Dimanche
07/06</t>
  </si>
  <si>
    <t xml:space="preserve">PLANNING S24 — 08/06/2026 au 14/06/2026</t>
  </si>
  <si>
    <t xml:space="preserve">Lundi
08/06</t>
  </si>
  <si>
    <t xml:space="preserve">Mardi
09/06</t>
  </si>
  <si>
    <t xml:space="preserve">Mercredi
10/06</t>
  </si>
  <si>
    <t xml:space="preserve">Jeudi
11/06</t>
  </si>
  <si>
    <t xml:space="preserve">Vendredi
12/06</t>
  </si>
  <si>
    <t xml:space="preserve">Samedi
13/06</t>
  </si>
  <si>
    <t xml:space="preserve">Dimanche
14/06</t>
  </si>
  <si>
    <t xml:space="preserve">Congé payé + CSS</t>
  </si>
  <si>
    <t xml:space="preserve">PLANNING S25 — 15/06/2026 au 21/06/2026</t>
  </si>
  <si>
    <t xml:space="preserve">Lundi
15/06</t>
  </si>
  <si>
    <t xml:space="preserve">Mardi
16/06</t>
  </si>
  <si>
    <t xml:space="preserve">Mercredi
17/06</t>
  </si>
  <si>
    <t xml:space="preserve">Jeudi
18/06</t>
  </si>
  <si>
    <t xml:space="preserve">Vendredi
19/06</t>
  </si>
  <si>
    <t xml:space="preserve">Samedi
20/06</t>
  </si>
  <si>
    <t xml:space="preserve">Dimanche
21/06</t>
  </si>
  <si>
    <t xml:space="preserve">Congé sans solde </t>
  </si>
  <si>
    <t xml:space="preserve">SOUOUD ZAKARIA</t>
  </si>
  <si>
    <t xml:space="preserve">FC Google leads </t>
  </si>
  <si>
    <t xml:space="preserve">PLANNING S26 — 22/06/2026 au 28/06/2026</t>
  </si>
  <si>
    <t xml:space="preserve">Lundi
22/06</t>
  </si>
  <si>
    <t xml:space="preserve">Mardi
23/06</t>
  </si>
  <si>
    <t xml:space="preserve">Mercredi
24/06</t>
  </si>
  <si>
    <t xml:space="preserve">Jeudi
25/06</t>
  </si>
  <si>
    <t xml:space="preserve">Vendredi
26/06</t>
  </si>
  <si>
    <t xml:space="preserve">Samedi
27/06</t>
  </si>
  <si>
    <t xml:space="preserve">Dimanche
28/06</t>
  </si>
  <si>
    <t xml:space="preserve">Renfort COFIT</t>
  </si>
  <si>
    <t xml:space="preserve">PLANNING S27 — 29/06/2026 au 05/07/2026</t>
  </si>
  <si>
    <t xml:space="preserve">Lundi
29/06</t>
  </si>
  <si>
    <t xml:space="preserve">Mardi
30/06</t>
  </si>
  <si>
    <t xml:space="preserve">Mercredi
01/07</t>
  </si>
  <si>
    <t xml:space="preserve">Jeudi
02/07</t>
  </si>
  <si>
    <t xml:space="preserve">Vendredi
03/07</t>
  </si>
  <si>
    <t xml:space="preserve">Samedi
04/07</t>
  </si>
  <si>
    <t xml:space="preserve">Dimanche
05/07</t>
  </si>
  <si>
    <t xml:space="preserve">PLANNING S28 — 06/07/2026 au 12/07/2026</t>
  </si>
  <si>
    <t xml:space="preserve">Lundi
06/07</t>
  </si>
  <si>
    <t xml:space="preserve">Mardi
07/07</t>
  </si>
  <si>
    <t xml:space="preserve">Mercredi
08/07</t>
  </si>
  <si>
    <t xml:space="preserve">Jeudi
09/07</t>
  </si>
  <si>
    <t xml:space="preserve">Vendredi
10/07</t>
  </si>
  <si>
    <t xml:space="preserve">Samedi
11/07</t>
  </si>
  <si>
    <t xml:space="preserve">Dimanche
12/07</t>
  </si>
  <si>
    <t xml:space="preserve">Missionnée Mention BAC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</si>
</sst>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"/>
    <numFmt numFmtId="167" formatCode="0"/>
    <numFmt numFmtId="168" formatCode="#,##0"/>
    <numFmt numFmtId="169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2E75B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3864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BBB59"/>
      <rgbColor rgb="FFFFCC00"/>
      <rgbColor rgb="FFFF9900"/>
      <rgbColor rgb="FFFF6600"/>
      <rgbColor rgb="FF4A7EBB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effectif agents / semaine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'Synthèse Globale'!D6</c:f>
              <c:strCache>
                <c:ptCount val="1"/>
                <c:pt idx="0">
                  <c:v>Effectif agents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Globale'!$A$7:$A$34</c:f>
              <c:strCache>
                <c:ptCount val="28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</c:strCache>
            </c:strRef>
          </c:cat>
          <c:val>
            <c:numRef>
              <c:f>'Synthèse Globale'!$D$7:$D$34</c:f>
              <c:numCache>
                <c:formatCode>General</c:formatCode>
                <c:ptCount val="28"/>
                <c:pt idx="0">
                  <c:v>26</c:v>
                </c:pt>
                <c:pt idx="1">
                  <c:v>24</c:v>
                </c:pt>
                <c:pt idx="2">
                  <c:v>23</c:v>
                </c:pt>
                <c:pt idx="3">
                  <c:v>23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30</c:v>
                </c:pt>
                <c:pt idx="12">
                  <c:v>29</c:v>
                </c:pt>
                <c:pt idx="13">
                  <c:v>29</c:v>
                </c:pt>
                <c:pt idx="14">
                  <c:v>36</c:v>
                </c:pt>
                <c:pt idx="15">
                  <c:v>35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33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840042"/>
        <c:axId val="97528918"/>
      </c:lineChart>
      <c:catAx>
        <c:axId val="148400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28918"/>
        <c:crosses val="autoZero"/>
        <c:auto val="1"/>
        <c:lblAlgn val="ctr"/>
        <c:lblOffset val="100"/>
        <c:noMultiLvlLbl val="0"/>
      </c:catAx>
      <c:valAx>
        <c:axId val="97528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Effectif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400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heures totales planifiées / semaine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'Synthèse Globale'!H6</c:f>
              <c:strCache>
                <c:ptCount val="1"/>
                <c:pt idx="0">
                  <c:v>Heures totales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Globale'!$A$7:$A$34</c:f>
              <c:strCache>
                <c:ptCount val="28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</c:strCache>
            </c:strRef>
          </c:cat>
          <c:val>
            <c:numRef>
              <c:f>'Synthèse Globale'!$H$7:$H$34</c:f>
              <c:numCache>
                <c:formatCode>General</c:formatCode>
                <c:ptCount val="28"/>
                <c:pt idx="0">
                  <c:v>901</c:v>
                </c:pt>
                <c:pt idx="1">
                  <c:v>1180</c:v>
                </c:pt>
                <c:pt idx="2">
                  <c:v>1066</c:v>
                </c:pt>
                <c:pt idx="3">
                  <c:v>1093</c:v>
                </c:pt>
                <c:pt idx="4">
                  <c:v>1303</c:v>
                </c:pt>
                <c:pt idx="5">
                  <c:v>1242</c:v>
                </c:pt>
                <c:pt idx="6">
                  <c:v>1304</c:v>
                </c:pt>
                <c:pt idx="7">
                  <c:v>1142</c:v>
                </c:pt>
                <c:pt idx="8">
                  <c:v>1206.5</c:v>
                </c:pt>
                <c:pt idx="9">
                  <c:v>1218</c:v>
                </c:pt>
                <c:pt idx="10">
                  <c:v>1279</c:v>
                </c:pt>
                <c:pt idx="11">
                  <c:v>1107</c:v>
                </c:pt>
                <c:pt idx="12">
                  <c:v>1200</c:v>
                </c:pt>
                <c:pt idx="13">
                  <c:v>1272</c:v>
                </c:pt>
                <c:pt idx="14">
                  <c:v>1524</c:v>
                </c:pt>
                <c:pt idx="15">
                  <c:v>1568</c:v>
                </c:pt>
                <c:pt idx="16">
                  <c:v>1400</c:v>
                </c:pt>
                <c:pt idx="17">
                  <c:v>1164</c:v>
                </c:pt>
                <c:pt idx="18">
                  <c:v>1376</c:v>
                </c:pt>
                <c:pt idx="19">
                  <c:v>1428</c:v>
                </c:pt>
                <c:pt idx="20">
                  <c:v>1488</c:v>
                </c:pt>
                <c:pt idx="21">
                  <c:v>1268</c:v>
                </c:pt>
                <c:pt idx="22">
                  <c:v>1312</c:v>
                </c:pt>
                <c:pt idx="23">
                  <c:v>1340</c:v>
                </c:pt>
                <c:pt idx="24">
                  <c:v>1460</c:v>
                </c:pt>
                <c:pt idx="25">
                  <c:v>1382</c:v>
                </c:pt>
                <c:pt idx="26">
                  <c:v>1427</c:v>
                </c:pt>
                <c:pt idx="27">
                  <c:v>1392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389173"/>
        <c:axId val="55963387"/>
      </c:lineChart>
      <c:catAx>
        <c:axId val="83389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63387"/>
        <c:crosses val="autoZero"/>
        <c:auto val="1"/>
        <c:lblAlgn val="ctr"/>
        <c:lblOffset val="100"/>
        <c:noMultiLvlLbl val="0"/>
      </c:catAx>
      <c:valAx>
        <c:axId val="55963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89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Absences par semaine (Congé / Maladie / Férié)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'Synthèse Globale'!J6</c:f>
              <c:strCache>
                <c:ptCount val="1"/>
                <c:pt idx="0">
                  <c:v>Congés (j)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Globale'!$A$7:$A$34</c:f>
              <c:strCache>
                <c:ptCount val="28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</c:strCache>
            </c:strRef>
          </c:cat>
          <c:val>
            <c:numRef>
              <c:f>'Synthèse Globale'!$J$7:$J$34</c:f>
              <c:numCache>
                <c:formatCode>General</c:formatCode>
                <c:ptCount val="28"/>
                <c:pt idx="0">
                  <c:v>14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11</c:v>
                </c:pt>
                <c:pt idx="15">
                  <c:v>5</c:v>
                </c:pt>
                <c:pt idx="16">
                  <c:v>10</c:v>
                </c:pt>
                <c:pt idx="17">
                  <c:v>4</c:v>
                </c:pt>
                <c:pt idx="18">
                  <c:v>11</c:v>
                </c:pt>
                <c:pt idx="19">
                  <c:v>5</c:v>
                </c:pt>
                <c:pt idx="20">
                  <c:v>1</c:v>
                </c:pt>
                <c:pt idx="21">
                  <c:v>16</c:v>
                </c:pt>
                <c:pt idx="22">
                  <c:v>20</c:v>
                </c:pt>
                <c:pt idx="23">
                  <c:v>14</c:v>
                </c:pt>
                <c:pt idx="24">
                  <c:v>0</c:v>
                </c:pt>
                <c:pt idx="25">
                  <c:v>0</c:v>
                </c:pt>
                <c:pt idx="26">
                  <c:v>7</c:v>
                </c:pt>
                <c:pt idx="27">
                  <c:v>5</c:v>
                </c:pt>
              </c:numCache>
            </c:numRef>
          </c:val>
        </c:ser>
        <c:ser>
          <c:idx val="1"/>
          <c:order val="1"/>
          <c:tx>
            <c:strRef>
              <c:f>'Synthèse Globale'!K6</c:f>
              <c:strCache>
                <c:ptCount val="1"/>
                <c:pt idx="0">
                  <c:v>Maladie (j)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Globale'!$A$7:$A$34</c:f>
              <c:strCache>
                <c:ptCount val="28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</c:strCache>
            </c:strRef>
          </c:cat>
          <c:val>
            <c:numRef>
              <c:f>'Synthèse Globale'!$K$7:$K$34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"/>
          <c:order val="2"/>
          <c:tx>
            <c:strRef>
              <c:f>'Synthèse Globale'!L6</c:f>
              <c:strCache>
                <c:ptCount val="1"/>
                <c:pt idx="0">
                  <c:v>Fériés (j)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Globale'!$A$7:$A$34</c:f>
              <c:strCache>
                <c:ptCount val="28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  <c:pt idx="20">
                  <c:v>S21</c:v>
                </c:pt>
                <c:pt idx="21">
                  <c:v>S22</c:v>
                </c:pt>
                <c:pt idx="22">
                  <c:v>S23</c:v>
                </c:pt>
                <c:pt idx="23">
                  <c:v>S24</c:v>
                </c:pt>
                <c:pt idx="24">
                  <c:v>S25</c:v>
                </c:pt>
                <c:pt idx="25">
                  <c:v>S26</c:v>
                </c:pt>
                <c:pt idx="26">
                  <c:v>S27</c:v>
                </c:pt>
                <c:pt idx="27">
                  <c:v>S28</c:v>
                </c:pt>
              </c:strCache>
            </c:strRef>
          </c:cat>
          <c:val>
            <c:numRef>
              <c:f>'Synthèse Globale'!$L$7:$L$34</c:f>
              <c:numCache>
                <c:formatCode>General</c:formatCode>
                <c:ptCount val="28"/>
                <c:pt idx="0">
                  <c:v>28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gapWidth val="150"/>
        <c:overlap val="0"/>
        <c:axId val="55757431"/>
        <c:axId val="75028379"/>
      </c:barChart>
      <c:catAx>
        <c:axId val="5575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28379"/>
        <c:crosses val="autoZero"/>
        <c:auto val="1"/>
        <c:lblAlgn val="ctr"/>
        <c:lblOffset val="100"/>
        <c:noMultiLvlLbl val="0"/>
      </c:catAx>
      <c:valAx>
        <c:axId val="75028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57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45</xdr:row>
      <xdr:rowOff>48240</xdr:rowOff>
    </xdr:from>
    <xdr:to>
      <xdr:col>7</xdr:col>
      <xdr:colOff>558720</xdr:colOff>
      <xdr:row>60</xdr:row>
      <xdr:rowOff>70560</xdr:rowOff>
    </xdr:to>
    <xdr:graphicFrame>
      <xdr:nvGraphicFramePr>
        <xdr:cNvPr id="0" name="Chart 1"/>
        <xdr:cNvGraphicFramePr/>
      </xdr:nvGraphicFramePr>
      <xdr:xfrm>
        <a:off x="0" y="8763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63</xdr:row>
      <xdr:rowOff>48240</xdr:rowOff>
    </xdr:from>
    <xdr:to>
      <xdr:col>7</xdr:col>
      <xdr:colOff>558720</xdr:colOff>
      <xdr:row>78</xdr:row>
      <xdr:rowOff>70560</xdr:rowOff>
    </xdr:to>
    <xdr:graphicFrame>
      <xdr:nvGraphicFramePr>
        <xdr:cNvPr id="1" name="Chart 2"/>
        <xdr:cNvGraphicFramePr/>
      </xdr:nvGraphicFramePr>
      <xdr:xfrm>
        <a:off x="0" y="1219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81</xdr:row>
      <xdr:rowOff>48240</xdr:rowOff>
    </xdr:from>
    <xdr:to>
      <xdr:col>7</xdr:col>
      <xdr:colOff>558720</xdr:colOff>
      <xdr:row>96</xdr:row>
      <xdr:rowOff>70560</xdr:rowOff>
    </xdr:to>
    <xdr:graphicFrame>
      <xdr:nvGraphicFramePr>
        <xdr:cNvPr id="2" name="Chart 3"/>
        <xdr:cNvGraphicFramePr/>
      </xdr:nvGraphicFramePr>
      <xdr:xfrm>
        <a:off x="0" y="15621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23.85" hidden="false" customHeight="false" outlineLevel="0" collapsed="false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</row>
    <row r="7" customFormat="false" ht="15" hidden="false" customHeight="false" outlineLevel="0" collapsed="false">
      <c r="A7" s="4" t="s">
        <v>16</v>
      </c>
      <c r="B7" s="5" t="n">
        <v>46020</v>
      </c>
      <c r="C7" s="5" t="n">
        <v>46026</v>
      </c>
      <c r="D7" s="4" t="n">
        <v>26</v>
      </c>
      <c r="E7" s="4" t="n">
        <v>3</v>
      </c>
      <c r="F7" s="4" t="n">
        <v>809</v>
      </c>
      <c r="G7" s="4" t="n">
        <v>92</v>
      </c>
      <c r="H7" s="4" t="n">
        <v>901</v>
      </c>
      <c r="I7" s="4" t="n">
        <v>31.12</v>
      </c>
      <c r="J7" s="4" t="n">
        <v>14</v>
      </c>
      <c r="K7" s="4" t="n">
        <v>0</v>
      </c>
      <c r="L7" s="4" t="n">
        <v>28</v>
      </c>
      <c r="M7" s="4" t="n">
        <v>4</v>
      </c>
      <c r="N7" s="4" t="n">
        <v>56</v>
      </c>
    </row>
    <row r="8" customFormat="false" ht="15" hidden="false" customHeight="false" outlineLevel="0" collapsed="false">
      <c r="A8" s="4" t="s">
        <v>17</v>
      </c>
      <c r="B8" s="5" t="n">
        <v>46027</v>
      </c>
      <c r="C8" s="5" t="n">
        <v>46033</v>
      </c>
      <c r="D8" s="4" t="n">
        <v>24</v>
      </c>
      <c r="E8" s="4" t="n">
        <v>3</v>
      </c>
      <c r="F8" s="4" t="n">
        <v>1056</v>
      </c>
      <c r="G8" s="4" t="n">
        <v>124</v>
      </c>
      <c r="H8" s="4" t="n">
        <v>1180</v>
      </c>
      <c r="I8" s="4" t="n">
        <v>44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54</v>
      </c>
    </row>
    <row r="9" customFormat="false" ht="15" hidden="false" customHeight="false" outlineLevel="0" collapsed="false">
      <c r="A9" s="4" t="s">
        <v>18</v>
      </c>
      <c r="B9" s="5" t="n">
        <v>46034</v>
      </c>
      <c r="C9" s="5" t="n">
        <v>46040</v>
      </c>
      <c r="D9" s="4" t="n">
        <v>23</v>
      </c>
      <c r="E9" s="4" t="n">
        <v>3</v>
      </c>
      <c r="F9" s="4" t="n">
        <v>942</v>
      </c>
      <c r="G9" s="4" t="n">
        <v>124</v>
      </c>
      <c r="H9" s="4" t="n">
        <v>1066</v>
      </c>
      <c r="I9" s="4" t="n">
        <v>40.96</v>
      </c>
      <c r="J9" s="4" t="n">
        <v>2</v>
      </c>
      <c r="K9" s="4" t="n">
        <v>5</v>
      </c>
      <c r="L9" s="4" t="n">
        <v>1</v>
      </c>
      <c r="M9" s="4" t="n">
        <v>0</v>
      </c>
      <c r="N9" s="4" t="n">
        <v>52</v>
      </c>
    </row>
    <row r="10" customFormat="false" ht="15" hidden="false" customHeight="false" outlineLevel="0" collapsed="false">
      <c r="A10" s="4" t="s">
        <v>19</v>
      </c>
      <c r="B10" s="5" t="n">
        <v>46041</v>
      </c>
      <c r="C10" s="5" t="n">
        <v>46047</v>
      </c>
      <c r="D10" s="4" t="n">
        <v>23</v>
      </c>
      <c r="E10" s="4" t="n">
        <v>3</v>
      </c>
      <c r="F10" s="4" t="n">
        <v>969</v>
      </c>
      <c r="G10" s="4" t="n">
        <v>124</v>
      </c>
      <c r="H10" s="4" t="n">
        <v>1093</v>
      </c>
      <c r="I10" s="4" t="n">
        <v>42.13</v>
      </c>
      <c r="J10" s="4" t="n">
        <v>1</v>
      </c>
      <c r="K10" s="4" t="n">
        <v>4</v>
      </c>
      <c r="L10" s="4" t="n">
        <v>0</v>
      </c>
      <c r="M10" s="4" t="n">
        <v>0</v>
      </c>
      <c r="N10" s="4" t="n">
        <v>52</v>
      </c>
    </row>
    <row r="11" customFormat="false" ht="15" hidden="false" customHeight="false" outlineLevel="0" collapsed="false">
      <c r="A11" s="4" t="s">
        <v>20</v>
      </c>
      <c r="B11" s="5" t="n">
        <v>46048</v>
      </c>
      <c r="C11" s="5" t="n">
        <v>46054</v>
      </c>
      <c r="D11" s="4" t="n">
        <v>27</v>
      </c>
      <c r="E11" s="4" t="n">
        <v>3</v>
      </c>
      <c r="F11" s="4" t="n">
        <v>1179</v>
      </c>
      <c r="G11" s="4" t="n">
        <v>124</v>
      </c>
      <c r="H11" s="4" t="n">
        <v>1303</v>
      </c>
      <c r="I11" s="4" t="n">
        <v>43.67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60</v>
      </c>
    </row>
    <row r="12" customFormat="false" ht="15" hidden="false" customHeight="false" outlineLevel="0" collapsed="false">
      <c r="A12" s="4" t="s">
        <v>21</v>
      </c>
      <c r="B12" s="5" t="n">
        <v>46055</v>
      </c>
      <c r="C12" s="5" t="n">
        <v>46061</v>
      </c>
      <c r="D12" s="4" t="n">
        <v>27</v>
      </c>
      <c r="E12" s="4" t="n">
        <v>3</v>
      </c>
      <c r="F12" s="4" t="n">
        <v>1118</v>
      </c>
      <c r="G12" s="4" t="n">
        <v>124</v>
      </c>
      <c r="H12" s="4" t="n">
        <v>1242</v>
      </c>
      <c r="I12" s="4" t="n">
        <v>41.41</v>
      </c>
      <c r="J12" s="4" t="n">
        <v>8</v>
      </c>
      <c r="K12" s="4" t="n">
        <v>0</v>
      </c>
      <c r="L12" s="4" t="n">
        <v>0</v>
      </c>
      <c r="M12" s="4" t="n">
        <v>0</v>
      </c>
      <c r="N12" s="4" t="n">
        <v>60</v>
      </c>
    </row>
    <row r="13" customFormat="false" ht="15" hidden="false" customHeight="false" outlineLevel="0" collapsed="false">
      <c r="A13" s="4" t="s">
        <v>22</v>
      </c>
      <c r="B13" s="5" t="n">
        <v>46062</v>
      </c>
      <c r="C13" s="5" t="n">
        <v>46068</v>
      </c>
      <c r="D13" s="4" t="n">
        <v>27</v>
      </c>
      <c r="E13" s="4" t="n">
        <v>3</v>
      </c>
      <c r="F13" s="4" t="n">
        <v>1180</v>
      </c>
      <c r="G13" s="4" t="n">
        <v>124</v>
      </c>
      <c r="H13" s="4" t="n">
        <v>1304</v>
      </c>
      <c r="I13" s="4" t="n">
        <v>43.7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60</v>
      </c>
    </row>
    <row r="14" customFormat="false" ht="15" hidden="false" customHeight="false" outlineLevel="0" collapsed="false">
      <c r="A14" s="4" t="s">
        <v>23</v>
      </c>
      <c r="B14" s="5" t="n">
        <v>46069</v>
      </c>
      <c r="C14" s="5" t="n">
        <v>46075</v>
      </c>
      <c r="D14" s="4" t="n">
        <v>31</v>
      </c>
      <c r="E14" s="4" t="n">
        <v>3</v>
      </c>
      <c r="F14" s="4" t="n">
        <v>1025</v>
      </c>
      <c r="G14" s="4" t="n">
        <v>117</v>
      </c>
      <c r="H14" s="4" t="n">
        <v>1142</v>
      </c>
      <c r="I14" s="4" t="n">
        <v>33.06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68</v>
      </c>
    </row>
    <row r="15" customFormat="false" ht="15" hidden="false" customHeight="false" outlineLevel="0" collapsed="false">
      <c r="A15" s="4" t="s">
        <v>24</v>
      </c>
      <c r="B15" s="5" t="n">
        <v>46076</v>
      </c>
      <c r="C15" s="5" t="n">
        <v>46082</v>
      </c>
      <c r="D15" s="4" t="n">
        <v>31</v>
      </c>
      <c r="E15" s="4" t="n">
        <v>3</v>
      </c>
      <c r="F15" s="4" t="n">
        <v>1087</v>
      </c>
      <c r="G15" s="4" t="n">
        <v>119.5</v>
      </c>
      <c r="H15" s="4" t="n">
        <v>1206.5</v>
      </c>
      <c r="I15" s="4" t="n">
        <v>35.06</v>
      </c>
      <c r="J15" s="4" t="n">
        <v>1</v>
      </c>
      <c r="K15" s="4" t="n">
        <v>0</v>
      </c>
      <c r="L15" s="4" t="n">
        <v>0</v>
      </c>
      <c r="M15" s="4" t="n">
        <v>0</v>
      </c>
      <c r="N15" s="4" t="n">
        <v>68</v>
      </c>
    </row>
    <row r="16" customFormat="false" ht="15" hidden="false" customHeight="false" outlineLevel="0" collapsed="false">
      <c r="A16" s="4" t="s">
        <v>25</v>
      </c>
      <c r="B16" s="5" t="n">
        <v>46083</v>
      </c>
      <c r="C16" s="5" t="n">
        <v>46089</v>
      </c>
      <c r="D16" s="4" t="n">
        <v>31</v>
      </c>
      <c r="E16" s="4" t="n">
        <v>3</v>
      </c>
      <c r="F16" s="4" t="n">
        <v>1109</v>
      </c>
      <c r="G16" s="4" t="n">
        <v>109</v>
      </c>
      <c r="H16" s="4" t="n">
        <v>1218</v>
      </c>
      <c r="I16" s="4" t="n">
        <v>35.77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68</v>
      </c>
    </row>
    <row r="17" customFormat="false" ht="15" hidden="false" customHeight="false" outlineLevel="0" collapsed="false">
      <c r="A17" s="4" t="s">
        <v>26</v>
      </c>
      <c r="B17" s="5" t="n">
        <v>46090</v>
      </c>
      <c r="C17" s="5" t="n">
        <v>46096</v>
      </c>
      <c r="D17" s="4" t="n">
        <v>31</v>
      </c>
      <c r="E17" s="4" t="n">
        <v>3</v>
      </c>
      <c r="F17" s="4" t="n">
        <v>1170</v>
      </c>
      <c r="G17" s="4" t="n">
        <v>109</v>
      </c>
      <c r="H17" s="4" t="n">
        <v>1279</v>
      </c>
      <c r="I17" s="4" t="n">
        <v>37.74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68</v>
      </c>
    </row>
    <row r="18" customFormat="false" ht="15" hidden="false" customHeight="false" outlineLevel="0" collapsed="false">
      <c r="A18" s="4" t="s">
        <v>27</v>
      </c>
      <c r="B18" s="5" t="n">
        <v>46097</v>
      </c>
      <c r="C18" s="5" t="n">
        <v>46103</v>
      </c>
      <c r="D18" s="4" t="n">
        <v>30</v>
      </c>
      <c r="E18" s="4" t="n">
        <v>3</v>
      </c>
      <c r="F18" s="4" t="n">
        <v>999</v>
      </c>
      <c r="G18" s="4" t="n">
        <v>108</v>
      </c>
      <c r="H18" s="4" t="n">
        <v>1107</v>
      </c>
      <c r="I18" s="4" t="n">
        <v>33.3</v>
      </c>
      <c r="J18" s="4" t="n">
        <v>0</v>
      </c>
      <c r="K18" s="4" t="n">
        <v>0</v>
      </c>
      <c r="L18" s="4" t="n">
        <v>10</v>
      </c>
      <c r="M18" s="4" t="n">
        <v>0</v>
      </c>
      <c r="N18" s="4" t="n">
        <v>65</v>
      </c>
    </row>
    <row r="19" customFormat="false" ht="15" hidden="false" customHeight="false" outlineLevel="0" collapsed="false">
      <c r="A19" s="4" t="s">
        <v>28</v>
      </c>
      <c r="B19" s="5" t="n">
        <v>46104</v>
      </c>
      <c r="C19" s="5" t="n">
        <v>46110</v>
      </c>
      <c r="D19" s="4" t="n">
        <v>29</v>
      </c>
      <c r="E19" s="4" t="n">
        <v>3</v>
      </c>
      <c r="F19" s="4" t="n">
        <v>1080</v>
      </c>
      <c r="G19" s="4" t="n">
        <v>120</v>
      </c>
      <c r="H19" s="4" t="n">
        <v>1200</v>
      </c>
      <c r="I19" s="4" t="n">
        <v>37.24</v>
      </c>
      <c r="J19" s="4" t="n">
        <v>5</v>
      </c>
      <c r="K19" s="4" t="n">
        <v>0</v>
      </c>
      <c r="L19" s="4" t="n">
        <v>0</v>
      </c>
      <c r="M19" s="4" t="n">
        <v>0</v>
      </c>
      <c r="N19" s="4" t="n">
        <v>63</v>
      </c>
    </row>
    <row r="20" customFormat="false" ht="15" hidden="false" customHeight="false" outlineLevel="0" collapsed="false">
      <c r="A20" s="4" t="s">
        <v>29</v>
      </c>
      <c r="B20" s="5" t="n">
        <v>46111</v>
      </c>
      <c r="C20" s="5" t="n">
        <v>46117</v>
      </c>
      <c r="D20" s="4" t="n">
        <v>29</v>
      </c>
      <c r="E20" s="4" t="n">
        <v>3</v>
      </c>
      <c r="F20" s="4" t="n">
        <v>1152</v>
      </c>
      <c r="G20" s="4" t="n">
        <v>120</v>
      </c>
      <c r="H20" s="4" t="n">
        <v>1272</v>
      </c>
      <c r="I20" s="4" t="n">
        <v>39.72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64</v>
      </c>
    </row>
    <row r="21" customFormat="false" ht="15" hidden="false" customHeight="false" outlineLevel="0" collapsed="false">
      <c r="A21" s="4" t="s">
        <v>30</v>
      </c>
      <c r="B21" s="5" t="n">
        <v>46118</v>
      </c>
      <c r="C21" s="5" t="n">
        <v>46124</v>
      </c>
      <c r="D21" s="4" t="n">
        <v>36</v>
      </c>
      <c r="E21" s="4" t="n">
        <v>3</v>
      </c>
      <c r="F21" s="4" t="n">
        <v>1415</v>
      </c>
      <c r="G21" s="4" t="n">
        <v>109</v>
      </c>
      <c r="H21" s="4" t="n">
        <v>1524</v>
      </c>
      <c r="I21" s="4" t="n">
        <v>39.31</v>
      </c>
      <c r="J21" s="4" t="n">
        <v>11</v>
      </c>
      <c r="K21" s="4" t="n">
        <v>0</v>
      </c>
      <c r="L21" s="4" t="n">
        <v>0</v>
      </c>
      <c r="M21" s="4" t="n">
        <v>0</v>
      </c>
      <c r="N21" s="4" t="n">
        <v>78</v>
      </c>
    </row>
    <row r="22" customFormat="false" ht="15" hidden="false" customHeight="false" outlineLevel="0" collapsed="false">
      <c r="A22" s="4" t="s">
        <v>31</v>
      </c>
      <c r="B22" s="5" t="n">
        <v>46125</v>
      </c>
      <c r="C22" s="5" t="n">
        <v>46131</v>
      </c>
      <c r="D22" s="4" t="n">
        <v>35</v>
      </c>
      <c r="E22" s="4" t="n">
        <v>3</v>
      </c>
      <c r="F22" s="4" t="n">
        <v>1449</v>
      </c>
      <c r="G22" s="4" t="n">
        <v>119</v>
      </c>
      <c r="H22" s="4" t="n">
        <v>1568</v>
      </c>
      <c r="I22" s="4" t="n">
        <v>41.4</v>
      </c>
      <c r="J22" s="4" t="n">
        <v>5</v>
      </c>
      <c r="K22" s="4" t="n">
        <v>0</v>
      </c>
      <c r="L22" s="4" t="n">
        <v>0</v>
      </c>
      <c r="M22" s="4" t="n">
        <v>2</v>
      </c>
      <c r="N22" s="4" t="n">
        <v>74</v>
      </c>
    </row>
    <row r="23" customFormat="false" ht="15" hidden="false" customHeight="false" outlineLevel="0" collapsed="false">
      <c r="A23" s="4" t="s">
        <v>32</v>
      </c>
      <c r="B23" s="5" t="n">
        <v>46132</v>
      </c>
      <c r="C23" s="5" t="n">
        <v>46138</v>
      </c>
      <c r="D23" s="4" t="n">
        <v>32</v>
      </c>
      <c r="E23" s="4" t="n">
        <v>3</v>
      </c>
      <c r="F23" s="4" t="n">
        <v>1280</v>
      </c>
      <c r="G23" s="4" t="n">
        <v>120</v>
      </c>
      <c r="H23" s="4" t="n">
        <v>1400</v>
      </c>
      <c r="I23" s="4" t="n">
        <v>40</v>
      </c>
      <c r="J23" s="4" t="n">
        <v>10</v>
      </c>
      <c r="K23" s="4" t="n">
        <v>0</v>
      </c>
      <c r="L23" s="4" t="n">
        <v>0</v>
      </c>
      <c r="M23" s="4" t="n">
        <v>0</v>
      </c>
      <c r="N23" s="4" t="n">
        <v>70</v>
      </c>
    </row>
    <row r="24" customFormat="false" ht="15" hidden="false" customHeight="false" outlineLevel="0" collapsed="false">
      <c r="A24" s="4" t="s">
        <v>33</v>
      </c>
      <c r="B24" s="5" t="n">
        <v>46139</v>
      </c>
      <c r="C24" s="5" t="n">
        <v>46145</v>
      </c>
      <c r="D24" s="4" t="n">
        <v>32</v>
      </c>
      <c r="E24" s="4" t="n">
        <v>3</v>
      </c>
      <c r="F24" s="4" t="n">
        <v>1068</v>
      </c>
      <c r="G24" s="4" t="n">
        <v>96</v>
      </c>
      <c r="H24" s="4" t="n">
        <v>1164</v>
      </c>
      <c r="I24" s="4" t="n">
        <v>33.38</v>
      </c>
      <c r="J24" s="4" t="n">
        <v>4</v>
      </c>
      <c r="K24" s="4" t="n">
        <v>0</v>
      </c>
      <c r="L24" s="4" t="n">
        <v>35</v>
      </c>
      <c r="M24" s="4" t="n">
        <v>0</v>
      </c>
      <c r="N24" s="4" t="n">
        <v>70</v>
      </c>
    </row>
    <row r="25" customFormat="false" ht="15" hidden="false" customHeight="false" outlineLevel="0" collapsed="false">
      <c r="A25" s="4" t="s">
        <v>34</v>
      </c>
      <c r="B25" s="5" t="n">
        <v>46146</v>
      </c>
      <c r="C25" s="5" t="n">
        <v>46152</v>
      </c>
      <c r="D25" s="4" t="n">
        <v>32</v>
      </c>
      <c r="E25" s="4" t="n">
        <v>3</v>
      </c>
      <c r="F25" s="4" t="n">
        <v>1256</v>
      </c>
      <c r="G25" s="4" t="n">
        <v>120</v>
      </c>
      <c r="H25" s="4" t="n">
        <v>1376</v>
      </c>
      <c r="I25" s="4" t="n">
        <v>39.25</v>
      </c>
      <c r="J25" s="4" t="n">
        <v>11</v>
      </c>
      <c r="K25" s="4" t="n">
        <v>0</v>
      </c>
      <c r="L25" s="4" t="n">
        <v>0</v>
      </c>
      <c r="M25" s="4" t="n">
        <v>0</v>
      </c>
      <c r="N25" s="4" t="n">
        <v>70</v>
      </c>
    </row>
    <row r="26" customFormat="false" ht="15" hidden="false" customHeight="false" outlineLevel="0" collapsed="false">
      <c r="A26" s="4" t="s">
        <v>35</v>
      </c>
      <c r="B26" s="5" t="n">
        <v>46153</v>
      </c>
      <c r="C26" s="5" t="n">
        <v>46159</v>
      </c>
      <c r="D26" s="4" t="n">
        <v>32</v>
      </c>
      <c r="E26" s="4" t="n">
        <v>3</v>
      </c>
      <c r="F26" s="4" t="n">
        <v>1316</v>
      </c>
      <c r="G26" s="4" t="n">
        <v>112</v>
      </c>
      <c r="H26" s="4" t="n">
        <v>1428</v>
      </c>
      <c r="I26" s="4" t="n">
        <v>41.12</v>
      </c>
      <c r="J26" s="4" t="n">
        <v>5</v>
      </c>
      <c r="K26" s="4" t="n">
        <v>0</v>
      </c>
      <c r="L26" s="4" t="n">
        <v>0</v>
      </c>
      <c r="M26" s="4" t="n">
        <v>0</v>
      </c>
      <c r="N26" s="4" t="n">
        <v>70</v>
      </c>
    </row>
    <row r="27" customFormat="false" ht="15" hidden="false" customHeight="false" outlineLevel="0" collapsed="false">
      <c r="A27" s="4" t="s">
        <v>36</v>
      </c>
      <c r="B27" s="5" t="n">
        <v>46160</v>
      </c>
      <c r="C27" s="5" t="n">
        <v>46166</v>
      </c>
      <c r="D27" s="4" t="n">
        <v>32</v>
      </c>
      <c r="E27" s="4" t="n">
        <v>3</v>
      </c>
      <c r="F27" s="4" t="n">
        <v>1368</v>
      </c>
      <c r="G27" s="4" t="n">
        <v>120</v>
      </c>
      <c r="H27" s="4" t="n">
        <v>1488</v>
      </c>
      <c r="I27" s="4" t="n">
        <v>42.75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70</v>
      </c>
    </row>
    <row r="28" customFormat="false" ht="15" hidden="false" customHeight="false" outlineLevel="0" collapsed="false">
      <c r="A28" s="4" t="s">
        <v>37</v>
      </c>
      <c r="B28" s="5" t="n">
        <v>46167</v>
      </c>
      <c r="C28" s="5" t="n">
        <v>46173</v>
      </c>
      <c r="D28" s="4" t="n">
        <v>32</v>
      </c>
      <c r="E28" s="4" t="n">
        <v>3</v>
      </c>
      <c r="F28" s="4" t="n">
        <v>1188</v>
      </c>
      <c r="G28" s="4" t="n">
        <v>80</v>
      </c>
      <c r="H28" s="4" t="n">
        <v>1268</v>
      </c>
      <c r="I28" s="4" t="n">
        <v>37.12</v>
      </c>
      <c r="J28" s="4" t="n">
        <v>16</v>
      </c>
      <c r="K28" s="4" t="n">
        <v>0</v>
      </c>
      <c r="L28" s="4" t="n">
        <v>11</v>
      </c>
      <c r="M28" s="4" t="n">
        <v>0</v>
      </c>
      <c r="N28" s="4" t="n">
        <v>70</v>
      </c>
    </row>
    <row r="29" customFormat="false" ht="15" hidden="false" customHeight="false" outlineLevel="0" collapsed="false">
      <c r="A29" s="4" t="s">
        <v>38</v>
      </c>
      <c r="B29" s="5" t="n">
        <v>46174</v>
      </c>
      <c r="C29" s="5" t="n">
        <v>46180</v>
      </c>
      <c r="D29" s="4" t="n">
        <v>32</v>
      </c>
      <c r="E29" s="4" t="n">
        <v>3</v>
      </c>
      <c r="F29" s="4" t="n">
        <v>1192</v>
      </c>
      <c r="G29" s="4" t="n">
        <v>120</v>
      </c>
      <c r="H29" s="4" t="n">
        <v>1312</v>
      </c>
      <c r="I29" s="4" t="n">
        <v>37.25</v>
      </c>
      <c r="J29" s="4" t="n">
        <v>20</v>
      </c>
      <c r="K29" s="4" t="n">
        <v>0</v>
      </c>
      <c r="L29" s="4" t="n">
        <v>0</v>
      </c>
      <c r="M29" s="4" t="n">
        <v>0</v>
      </c>
      <c r="N29" s="4" t="n">
        <v>70</v>
      </c>
    </row>
    <row r="30" customFormat="false" ht="15" hidden="false" customHeight="false" outlineLevel="0" collapsed="false">
      <c r="A30" s="4" t="s">
        <v>39</v>
      </c>
      <c r="B30" s="5" t="n">
        <v>46181</v>
      </c>
      <c r="C30" s="5" t="n">
        <v>46187</v>
      </c>
      <c r="D30" s="4" t="n">
        <v>32</v>
      </c>
      <c r="E30" s="4" t="n">
        <v>3</v>
      </c>
      <c r="F30" s="4" t="n">
        <v>1220</v>
      </c>
      <c r="G30" s="4" t="n">
        <v>120</v>
      </c>
      <c r="H30" s="4" t="n">
        <v>1340</v>
      </c>
      <c r="I30" s="4" t="n">
        <v>38.12</v>
      </c>
      <c r="J30" s="4" t="n">
        <v>14</v>
      </c>
      <c r="K30" s="4" t="n">
        <v>0</v>
      </c>
      <c r="L30" s="4" t="n">
        <v>0</v>
      </c>
      <c r="M30" s="4" t="n">
        <v>0</v>
      </c>
      <c r="N30" s="4" t="n">
        <v>70</v>
      </c>
    </row>
    <row r="31" customFormat="false" ht="15" hidden="false" customHeight="false" outlineLevel="0" collapsed="false">
      <c r="A31" s="4" t="s">
        <v>40</v>
      </c>
      <c r="B31" s="5" t="n">
        <v>46188</v>
      </c>
      <c r="C31" s="5" t="n">
        <v>46194</v>
      </c>
      <c r="D31" s="4" t="n">
        <v>33</v>
      </c>
      <c r="E31" s="4" t="n">
        <v>3</v>
      </c>
      <c r="F31" s="4" t="n">
        <v>1340</v>
      </c>
      <c r="G31" s="4" t="n">
        <v>120</v>
      </c>
      <c r="H31" s="4" t="n">
        <v>1460</v>
      </c>
      <c r="I31" s="4" t="n">
        <v>40.61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72</v>
      </c>
    </row>
    <row r="32" customFormat="false" ht="15" hidden="false" customHeight="false" outlineLevel="0" collapsed="false">
      <c r="A32" s="4" t="s">
        <v>41</v>
      </c>
      <c r="B32" s="5" t="n">
        <v>46195</v>
      </c>
      <c r="C32" s="5" t="n">
        <v>46201</v>
      </c>
      <c r="D32" s="4" t="n">
        <v>32</v>
      </c>
      <c r="E32" s="4" t="n">
        <v>3</v>
      </c>
      <c r="F32" s="4" t="n">
        <v>1262</v>
      </c>
      <c r="G32" s="4" t="n">
        <v>120</v>
      </c>
      <c r="H32" s="4" t="n">
        <v>1382</v>
      </c>
      <c r="I32" s="4" t="n">
        <v>39.44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70</v>
      </c>
    </row>
    <row r="33" customFormat="false" ht="15" hidden="false" customHeight="false" outlineLevel="0" collapsed="false">
      <c r="A33" s="4" t="s">
        <v>42</v>
      </c>
      <c r="B33" s="5" t="n">
        <v>46202</v>
      </c>
      <c r="C33" s="5" t="n">
        <v>46208</v>
      </c>
      <c r="D33" s="4" t="n">
        <v>32</v>
      </c>
      <c r="E33" s="4" t="n">
        <v>3</v>
      </c>
      <c r="F33" s="4" t="n">
        <v>1307</v>
      </c>
      <c r="G33" s="4" t="n">
        <v>120</v>
      </c>
      <c r="H33" s="4" t="n">
        <v>1427</v>
      </c>
      <c r="I33" s="4" t="n">
        <v>40.84</v>
      </c>
      <c r="J33" s="4" t="n">
        <v>7</v>
      </c>
      <c r="K33" s="4" t="n">
        <v>0</v>
      </c>
      <c r="L33" s="4" t="n">
        <v>0</v>
      </c>
      <c r="M33" s="4" t="n">
        <v>0</v>
      </c>
      <c r="N33" s="4" t="n">
        <v>70</v>
      </c>
    </row>
    <row r="34" customFormat="false" ht="15" hidden="false" customHeight="false" outlineLevel="0" collapsed="false">
      <c r="A34" s="4" t="s">
        <v>43</v>
      </c>
      <c r="B34" s="5" t="n">
        <v>46209</v>
      </c>
      <c r="C34" s="5" t="n">
        <v>46215</v>
      </c>
      <c r="D34" s="4" t="n">
        <v>32</v>
      </c>
      <c r="E34" s="4" t="n">
        <v>3</v>
      </c>
      <c r="F34" s="4" t="n">
        <v>1272</v>
      </c>
      <c r="G34" s="4" t="n">
        <v>120</v>
      </c>
      <c r="H34" s="4" t="n">
        <v>1392</v>
      </c>
      <c r="I34" s="4" t="n">
        <v>39.75</v>
      </c>
      <c r="J34" s="4" t="n">
        <v>5</v>
      </c>
      <c r="K34" s="4" t="n">
        <v>0</v>
      </c>
      <c r="L34" s="4" t="n">
        <v>0</v>
      </c>
      <c r="M34" s="4" t="n">
        <v>0</v>
      </c>
      <c r="N34" s="4" t="n">
        <v>68</v>
      </c>
    </row>
    <row r="35" customFormat="false" ht="15" hidden="false" customHeight="false" outlineLevel="0" collapsed="false">
      <c r="A35" s="6" t="s">
        <v>44</v>
      </c>
      <c r="B35" s="7"/>
      <c r="C35" s="7"/>
      <c r="D35" s="8" t="n">
        <f aca="false">AVERAGE(D7:D34)</f>
        <v>30.1785714285714</v>
      </c>
      <c r="E35" s="8" t="n">
        <f aca="false">AVERAGE(E7:E34)</f>
        <v>3</v>
      </c>
      <c r="F35" s="8" t="n">
        <f aca="false">SUM(F7:F34)</f>
        <v>32808</v>
      </c>
      <c r="G35" s="8" t="n">
        <f aca="false">SUM(G7:G34)</f>
        <v>3234.5</v>
      </c>
      <c r="H35" s="8" t="n">
        <f aca="false">SUM(H7:H34)</f>
        <v>36042.5</v>
      </c>
      <c r="I35" s="8" t="n">
        <f aca="false">AVERAGE(I7:I34)</f>
        <v>38.9007142857143</v>
      </c>
      <c r="J35" s="8" t="n">
        <f aca="false">SUM(J7:J34)</f>
        <v>142</v>
      </c>
      <c r="K35" s="8" t="n">
        <f aca="false">SUM(K7:K34)</f>
        <v>9</v>
      </c>
      <c r="L35" s="8" t="n">
        <f aca="false">SUM(L7:L34)</f>
        <v>85</v>
      </c>
      <c r="M35" s="8" t="n">
        <f aca="false">SUM(M7:M34)</f>
        <v>6</v>
      </c>
      <c r="N35" s="8" t="n">
        <f aca="false">SUM(N7:N34)</f>
        <v>1850</v>
      </c>
    </row>
    <row r="38" customFormat="false" ht="15" hidden="false" customHeight="false" outlineLevel="0" collapsed="false">
      <c r="A38" s="9" t="s">
        <v>45</v>
      </c>
    </row>
    <row r="39" customFormat="false" ht="15" hidden="false" customHeight="false" outlineLevel="0" collapsed="false">
      <c r="A39" s="10" t="s">
        <v>46</v>
      </c>
      <c r="C39" s="11" t="n">
        <f aca="false">AVERAGE(D7:D34)</f>
        <v>30.1785714285714</v>
      </c>
    </row>
    <row r="40" customFormat="false" ht="15" hidden="false" customHeight="false" outlineLevel="0" collapsed="false">
      <c r="A40" s="10" t="s">
        <v>47</v>
      </c>
      <c r="C40" s="12" t="n">
        <f aca="false">MAX(D7:D34)</f>
        <v>36</v>
      </c>
    </row>
    <row r="41" customFormat="false" ht="15" hidden="false" customHeight="false" outlineLevel="0" collapsed="false">
      <c r="A41" s="10" t="s">
        <v>48</v>
      </c>
      <c r="C41" s="13" t="n">
        <f aca="false">SUM(H7:H34)</f>
        <v>36042.5</v>
      </c>
    </row>
    <row r="42" customFormat="false" ht="15" hidden="false" customHeight="false" outlineLevel="0" collapsed="false">
      <c r="A42" s="10" t="s">
        <v>49</v>
      </c>
      <c r="C42" s="14" t="n">
        <f aca="false">AVERAGE(I7:I34)</f>
        <v>38.9007142857143</v>
      </c>
    </row>
    <row r="43" customFormat="false" ht="15" hidden="false" customHeight="false" outlineLevel="0" collapsed="false">
      <c r="A43" s="10" t="s">
        <v>50</v>
      </c>
      <c r="C43" s="12" t="n">
        <f aca="false">SUM(J7:J34)</f>
        <v>142</v>
      </c>
    </row>
    <row r="44" customFormat="false" ht="15" hidden="false" customHeight="false" outlineLevel="0" collapsed="false">
      <c r="A44" s="10" t="s">
        <v>51</v>
      </c>
      <c r="C44" s="12" t="n">
        <f aca="false">SUM(K7:K34)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52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26</v>
      </c>
      <c r="C4" s="17" t="n">
        <v>3</v>
      </c>
      <c r="E4" s="17" t="n">
        <v>809</v>
      </c>
      <c r="G4" s="17" t="n">
        <v>92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31.12</v>
      </c>
      <c r="C6" s="17" t="n">
        <v>2</v>
      </c>
      <c r="E6" s="17" t="n">
        <v>13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</row>
    <row r="11" customFormat="false" ht="15" hidden="false" customHeight="false" outlineLevel="0" collapsed="false">
      <c r="A11" s="16" t="s">
        <v>65</v>
      </c>
      <c r="B11" s="19" t="n">
        <v>9</v>
      </c>
      <c r="C11" s="19" t="n">
        <v>9</v>
      </c>
      <c r="D11" s="19" t="n">
        <v>9</v>
      </c>
      <c r="E11" s="19" t="n">
        <v>0</v>
      </c>
      <c r="F11" s="19" t="n">
        <v>8</v>
      </c>
      <c r="G11" s="19" t="n">
        <v>7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3</v>
      </c>
      <c r="C12" s="19" t="n">
        <v>3</v>
      </c>
      <c r="D12" s="19" t="n">
        <v>1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10</v>
      </c>
      <c r="C13" s="19" t="n">
        <v>10</v>
      </c>
      <c r="D13" s="19" t="n">
        <v>5</v>
      </c>
      <c r="E13" s="19" t="n">
        <v>0</v>
      </c>
      <c r="F13" s="19" t="n">
        <v>9</v>
      </c>
      <c r="G13" s="19" t="n">
        <v>7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4</v>
      </c>
      <c r="C14" s="19" t="n">
        <v>4</v>
      </c>
      <c r="D14" s="19" t="n">
        <v>11</v>
      </c>
      <c r="E14" s="19" t="n">
        <v>0</v>
      </c>
      <c r="F14" s="19" t="n">
        <v>8</v>
      </c>
      <c r="G14" s="19" t="n">
        <v>11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36</v>
      </c>
      <c r="D19" s="20" t="n">
        <v>0</v>
      </c>
      <c r="E19" s="20" t="n">
        <v>0</v>
      </c>
      <c r="F19" s="20" t="n">
        <v>1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2" t="s">
        <v>79</v>
      </c>
      <c r="B20" s="22" t="s">
        <v>80</v>
      </c>
      <c r="C20" s="23" t="n">
        <v>18</v>
      </c>
      <c r="D20" s="22" t="n">
        <v>2</v>
      </c>
      <c r="E20" s="22" t="n">
        <v>0</v>
      </c>
      <c r="F20" s="22" t="n">
        <v>1</v>
      </c>
      <c r="G20" s="22" t="n">
        <v>0</v>
      </c>
      <c r="H20" s="22" t="n">
        <v>2</v>
      </c>
      <c r="I20" s="22" t="s">
        <v>81</v>
      </c>
    </row>
    <row r="21" customFormat="false" ht="15" hidden="false" customHeight="false" outlineLevel="0" collapsed="false">
      <c r="A21" s="20" t="s">
        <v>82</v>
      </c>
      <c r="B21" s="20" t="s">
        <v>83</v>
      </c>
      <c r="C21" s="21" t="n">
        <v>36</v>
      </c>
      <c r="D21" s="20" t="n">
        <v>0</v>
      </c>
      <c r="E21" s="20" t="n">
        <v>0</v>
      </c>
      <c r="F21" s="20" t="n">
        <v>1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79</v>
      </c>
      <c r="B22" s="20" t="s">
        <v>84</v>
      </c>
      <c r="C22" s="21" t="n">
        <v>36</v>
      </c>
      <c r="D22" s="20" t="n">
        <v>0</v>
      </c>
      <c r="E22" s="20" t="n">
        <v>0</v>
      </c>
      <c r="F22" s="20" t="n">
        <v>1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2" t="s">
        <v>85</v>
      </c>
      <c r="B23" s="22" t="s">
        <v>86</v>
      </c>
      <c r="C23" s="23" t="n">
        <v>18</v>
      </c>
      <c r="D23" s="22" t="n">
        <v>2</v>
      </c>
      <c r="E23" s="22" t="n">
        <v>0</v>
      </c>
      <c r="F23" s="22" t="n">
        <v>1</v>
      </c>
      <c r="G23" s="22" t="n">
        <v>0</v>
      </c>
      <c r="H23" s="22" t="n">
        <v>2</v>
      </c>
      <c r="I23" s="22" t="s">
        <v>81</v>
      </c>
    </row>
    <row r="24" customFormat="false" ht="15" hidden="false" customHeight="false" outlineLevel="0" collapsed="false">
      <c r="A24" s="20" t="s">
        <v>87</v>
      </c>
      <c r="B24" s="20" t="s">
        <v>88</v>
      </c>
      <c r="C24" s="21" t="n">
        <v>36</v>
      </c>
      <c r="D24" s="20" t="n">
        <v>0</v>
      </c>
      <c r="E24" s="20" t="n">
        <v>0</v>
      </c>
      <c r="F24" s="20" t="n">
        <v>1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85</v>
      </c>
      <c r="B25" s="20" t="s">
        <v>89</v>
      </c>
      <c r="C25" s="21" t="n">
        <v>36</v>
      </c>
      <c r="D25" s="20" t="n">
        <v>0</v>
      </c>
      <c r="E25" s="20" t="n">
        <v>0</v>
      </c>
      <c r="F25" s="20" t="n">
        <v>1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79</v>
      </c>
      <c r="B26" s="20" t="s">
        <v>90</v>
      </c>
      <c r="C26" s="21" t="n">
        <v>36</v>
      </c>
      <c r="D26" s="20" t="n">
        <v>0</v>
      </c>
      <c r="E26" s="20" t="n">
        <v>0</v>
      </c>
      <c r="F26" s="20" t="n">
        <v>1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91</v>
      </c>
      <c r="C27" s="21" t="n">
        <v>36</v>
      </c>
      <c r="D27" s="20" t="n">
        <v>0</v>
      </c>
      <c r="E27" s="20" t="n">
        <v>0</v>
      </c>
      <c r="F27" s="20" t="n">
        <v>1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82</v>
      </c>
      <c r="B28" s="20" t="s">
        <v>92</v>
      </c>
      <c r="C28" s="21" t="n">
        <v>36</v>
      </c>
      <c r="D28" s="20" t="n">
        <v>0</v>
      </c>
      <c r="E28" s="20" t="n">
        <v>0</v>
      </c>
      <c r="F28" s="20" t="n">
        <v>1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93</v>
      </c>
      <c r="C29" s="21" t="n">
        <v>36</v>
      </c>
      <c r="D29" s="20" t="n">
        <v>0</v>
      </c>
      <c r="E29" s="20" t="n">
        <v>0</v>
      </c>
      <c r="F29" s="20" t="n">
        <v>1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85</v>
      </c>
      <c r="B30" s="20" t="s">
        <v>94</v>
      </c>
      <c r="C30" s="21" t="n">
        <v>36</v>
      </c>
      <c r="D30" s="20" t="n">
        <v>0</v>
      </c>
      <c r="E30" s="20" t="n">
        <v>0</v>
      </c>
      <c r="F30" s="20" t="n">
        <v>1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76</v>
      </c>
      <c r="B31" s="20" t="s">
        <v>95</v>
      </c>
      <c r="C31" s="21" t="n">
        <v>36</v>
      </c>
      <c r="D31" s="20" t="n">
        <v>0</v>
      </c>
      <c r="E31" s="20" t="n">
        <v>0</v>
      </c>
      <c r="F31" s="20" t="n">
        <v>1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82</v>
      </c>
      <c r="B32" s="20" t="s">
        <v>96</v>
      </c>
      <c r="C32" s="21" t="n">
        <v>36</v>
      </c>
      <c r="D32" s="20" t="n">
        <v>0</v>
      </c>
      <c r="E32" s="20" t="n">
        <v>0</v>
      </c>
      <c r="F32" s="20" t="n">
        <v>1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82</v>
      </c>
      <c r="B33" s="20" t="s">
        <v>97</v>
      </c>
      <c r="C33" s="21" t="n">
        <v>36</v>
      </c>
      <c r="D33" s="20" t="n">
        <v>0</v>
      </c>
      <c r="E33" s="20" t="n">
        <v>0</v>
      </c>
      <c r="F33" s="20" t="n">
        <v>1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2" t="s">
        <v>79</v>
      </c>
      <c r="B34" s="22" t="s">
        <v>98</v>
      </c>
      <c r="C34" s="23" t="n">
        <v>27</v>
      </c>
      <c r="D34" s="22" t="n">
        <v>1</v>
      </c>
      <c r="E34" s="22" t="n">
        <v>0</v>
      </c>
      <c r="F34" s="22" t="n">
        <v>1</v>
      </c>
      <c r="G34" s="22" t="n">
        <v>0</v>
      </c>
      <c r="H34" s="22" t="n">
        <v>2</v>
      </c>
      <c r="I34" s="22" t="s">
        <v>81</v>
      </c>
    </row>
    <row r="35" customFormat="false" ht="15" hidden="false" customHeight="false" outlineLevel="0" collapsed="false">
      <c r="A35" s="20" t="s">
        <v>99</v>
      </c>
      <c r="B35" s="20" t="s">
        <v>100</v>
      </c>
      <c r="C35" s="21" t="n">
        <v>36</v>
      </c>
      <c r="D35" s="20" t="n">
        <v>0</v>
      </c>
      <c r="E35" s="20" t="n">
        <v>0</v>
      </c>
      <c r="F35" s="20" t="n">
        <v>1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101</v>
      </c>
      <c r="B36" s="20" t="s">
        <v>102</v>
      </c>
      <c r="C36" s="21" t="n">
        <v>36</v>
      </c>
      <c r="D36" s="20" t="n">
        <v>0</v>
      </c>
      <c r="E36" s="20" t="n">
        <v>0</v>
      </c>
      <c r="F36" s="20" t="n">
        <v>1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76</v>
      </c>
      <c r="B37" s="20" t="s">
        <v>103</v>
      </c>
      <c r="C37" s="21" t="n">
        <v>36</v>
      </c>
      <c r="D37" s="20" t="n">
        <v>0</v>
      </c>
      <c r="E37" s="20" t="n">
        <v>0</v>
      </c>
      <c r="F37" s="20" t="n">
        <v>1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4" t="s">
        <v>99</v>
      </c>
      <c r="B38" s="24" t="s">
        <v>104</v>
      </c>
      <c r="C38" s="25" t="n">
        <v>0</v>
      </c>
      <c r="D38" s="24" t="n">
        <v>4</v>
      </c>
      <c r="E38" s="24" t="n">
        <v>0</v>
      </c>
      <c r="F38" s="24" t="n">
        <v>1</v>
      </c>
      <c r="G38" s="24" t="n">
        <v>0</v>
      </c>
      <c r="H38" s="24" t="n">
        <v>2</v>
      </c>
      <c r="I38" s="24" t="s">
        <v>81</v>
      </c>
    </row>
    <row r="39" customFormat="false" ht="15" hidden="false" customHeight="false" outlineLevel="0" collapsed="false">
      <c r="A39" s="20" t="s">
        <v>82</v>
      </c>
      <c r="B39" s="20" t="s">
        <v>105</v>
      </c>
      <c r="C39" s="21" t="n">
        <v>36</v>
      </c>
      <c r="D39" s="20" t="n">
        <v>0</v>
      </c>
      <c r="E39" s="20" t="n">
        <v>0</v>
      </c>
      <c r="F39" s="20" t="n">
        <v>1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85</v>
      </c>
      <c r="B40" s="20" t="s">
        <v>106</v>
      </c>
      <c r="C40" s="21" t="n">
        <v>36</v>
      </c>
      <c r="D40" s="20" t="n">
        <v>0</v>
      </c>
      <c r="E40" s="20" t="n">
        <v>0</v>
      </c>
      <c r="F40" s="20" t="n">
        <v>1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107</v>
      </c>
      <c r="B41" s="20" t="s">
        <v>108</v>
      </c>
      <c r="C41" s="21" t="n">
        <v>36</v>
      </c>
      <c r="D41" s="20" t="n">
        <v>0</v>
      </c>
      <c r="E41" s="20" t="n">
        <v>0</v>
      </c>
      <c r="F41" s="20" t="n">
        <v>1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4" t="s">
        <v>79</v>
      </c>
      <c r="B42" s="24" t="s">
        <v>109</v>
      </c>
      <c r="C42" s="25" t="n">
        <v>0</v>
      </c>
      <c r="D42" s="24" t="n">
        <v>4</v>
      </c>
      <c r="E42" s="24" t="n">
        <v>0</v>
      </c>
      <c r="F42" s="24" t="n">
        <v>1</v>
      </c>
      <c r="G42" s="24" t="n">
        <v>0</v>
      </c>
      <c r="H42" s="24" t="n">
        <v>2</v>
      </c>
      <c r="I42" s="24" t="s">
        <v>81</v>
      </c>
    </row>
    <row r="43" customFormat="false" ht="15" hidden="false" customHeight="false" outlineLevel="0" collapsed="false">
      <c r="A43" s="20" t="s">
        <v>101</v>
      </c>
      <c r="B43" s="20" t="s">
        <v>110</v>
      </c>
      <c r="C43" s="21" t="n">
        <v>36</v>
      </c>
      <c r="D43" s="20" t="n">
        <v>0</v>
      </c>
      <c r="E43" s="20" t="n">
        <v>0</v>
      </c>
      <c r="F43" s="20" t="n">
        <v>1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99</v>
      </c>
      <c r="B44" s="20" t="s">
        <v>111</v>
      </c>
      <c r="C44" s="21" t="n">
        <v>26</v>
      </c>
      <c r="D44" s="20" t="n">
        <v>0</v>
      </c>
      <c r="E44" s="20" t="n">
        <v>0</v>
      </c>
      <c r="F44" s="20" t="n">
        <v>0</v>
      </c>
      <c r="G44" s="20" t="n">
        <v>4</v>
      </c>
      <c r="H44" s="20" t="n">
        <v>0</v>
      </c>
      <c r="I44" s="20" t="s">
        <v>112</v>
      </c>
    </row>
    <row r="47" customFormat="false" ht="15" hidden="false" customHeight="false" outlineLevel="0" collapsed="false">
      <c r="A47" s="18" t="s">
        <v>113</v>
      </c>
    </row>
    <row r="48" customFormat="false" ht="23.85" hidden="false" customHeight="false" outlineLevel="0" collapsed="false">
      <c r="A48" s="3" t="s">
        <v>70</v>
      </c>
      <c r="B48" s="3" t="s">
        <v>71</v>
      </c>
      <c r="C48" s="3" t="s">
        <v>72</v>
      </c>
      <c r="D48" s="3" t="s">
        <v>73</v>
      </c>
      <c r="E48" s="3" t="s">
        <v>12</v>
      </c>
      <c r="F48" s="3" t="s">
        <v>74</v>
      </c>
      <c r="G48" s="3" t="s">
        <v>14</v>
      </c>
      <c r="H48" s="3" t="s">
        <v>15</v>
      </c>
      <c r="I48" s="3" t="s">
        <v>75</v>
      </c>
    </row>
    <row r="49" customFormat="false" ht="15" hidden="false" customHeight="false" outlineLevel="0" collapsed="false">
      <c r="A49" s="20" t="s">
        <v>114</v>
      </c>
      <c r="B49" s="20" t="s">
        <v>115</v>
      </c>
      <c r="C49" s="21" t="n">
        <v>32</v>
      </c>
      <c r="D49" s="20" t="n">
        <v>0</v>
      </c>
      <c r="E49" s="20" t="n">
        <v>0</v>
      </c>
      <c r="F49" s="20" t="n">
        <v>1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2" t="s">
        <v>114</v>
      </c>
      <c r="B50" s="22" t="s">
        <v>116</v>
      </c>
      <c r="C50" s="23" t="n">
        <v>24</v>
      </c>
      <c r="D50" s="22" t="n">
        <v>1</v>
      </c>
      <c r="E50" s="22" t="n">
        <v>0</v>
      </c>
      <c r="F50" s="22" t="n">
        <v>1</v>
      </c>
      <c r="G50" s="22" t="n">
        <v>0</v>
      </c>
      <c r="H50" s="22" t="n">
        <v>2</v>
      </c>
      <c r="I50" s="22" t="s">
        <v>81</v>
      </c>
    </row>
    <row r="51" customFormat="false" ht="15" hidden="false" customHeight="false" outlineLevel="0" collapsed="false">
      <c r="A51" s="20" t="s">
        <v>79</v>
      </c>
      <c r="B51" s="20" t="s">
        <v>117</v>
      </c>
      <c r="C51" s="21" t="n">
        <v>36</v>
      </c>
      <c r="D51" s="20" t="n">
        <v>0</v>
      </c>
      <c r="E51" s="20" t="n">
        <v>0</v>
      </c>
      <c r="F51" s="20" t="n">
        <v>1</v>
      </c>
      <c r="G51" s="20" t="n">
        <v>0</v>
      </c>
      <c r="H51" s="20" t="n">
        <v>2</v>
      </c>
      <c r="I51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118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24</v>
      </c>
      <c r="C4" s="17" t="n">
        <v>3</v>
      </c>
      <c r="E4" s="17" t="n">
        <v>1056</v>
      </c>
      <c r="G4" s="17" t="n">
        <v>124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44</v>
      </c>
      <c r="C6" s="17" t="n">
        <v>0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119</v>
      </c>
      <c r="C10" s="3" t="s">
        <v>120</v>
      </c>
      <c r="D10" s="3" t="s">
        <v>121</v>
      </c>
      <c r="E10" s="3" t="s">
        <v>122</v>
      </c>
      <c r="F10" s="3" t="s">
        <v>123</v>
      </c>
      <c r="G10" s="3" t="s">
        <v>124</v>
      </c>
      <c r="H10" s="3" t="s">
        <v>125</v>
      </c>
    </row>
    <row r="11" customFormat="false" ht="15" hidden="false" customHeight="false" outlineLevel="0" collapsed="false">
      <c r="A11" s="16" t="s">
        <v>65</v>
      </c>
      <c r="B11" s="19" t="n">
        <v>13</v>
      </c>
      <c r="C11" s="19" t="n">
        <v>13</v>
      </c>
      <c r="D11" s="19" t="n">
        <v>11</v>
      </c>
      <c r="E11" s="19" t="n">
        <v>8</v>
      </c>
      <c r="F11" s="19" t="n">
        <v>10</v>
      </c>
      <c r="G11" s="19" t="n">
        <v>8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2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11</v>
      </c>
      <c r="C13" s="19" t="n">
        <v>11</v>
      </c>
      <c r="D13" s="19" t="n">
        <v>7</v>
      </c>
      <c r="E13" s="19" t="n">
        <v>10</v>
      </c>
      <c r="F13" s="19" t="n">
        <v>8</v>
      </c>
      <c r="G13" s="19" t="n">
        <v>8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6</v>
      </c>
      <c r="E14" s="19" t="n">
        <v>6</v>
      </c>
      <c r="F14" s="19" t="n">
        <v>6</v>
      </c>
      <c r="G14" s="19" t="n">
        <v>6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80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82</v>
      </c>
      <c r="B21" s="20" t="s">
        <v>83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79</v>
      </c>
      <c r="B22" s="20" t="s">
        <v>84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86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87</v>
      </c>
      <c r="B24" s="20" t="s">
        <v>88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85</v>
      </c>
      <c r="B25" s="20" t="s">
        <v>89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79</v>
      </c>
      <c r="B26" s="20" t="s">
        <v>90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91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82</v>
      </c>
      <c r="B28" s="20" t="s">
        <v>92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93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85</v>
      </c>
      <c r="B30" s="20" t="s">
        <v>94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76</v>
      </c>
      <c r="B31" s="20" t="s">
        <v>95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82</v>
      </c>
      <c r="B32" s="20" t="s">
        <v>96</v>
      </c>
      <c r="C32" s="21" t="n">
        <v>44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82</v>
      </c>
      <c r="B33" s="20" t="s">
        <v>97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79</v>
      </c>
      <c r="B34" s="20" t="s">
        <v>98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99</v>
      </c>
      <c r="B35" s="20" t="s">
        <v>100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101</v>
      </c>
      <c r="B36" s="20" t="s">
        <v>102</v>
      </c>
      <c r="C36" s="21" t="n">
        <v>44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76</v>
      </c>
      <c r="B37" s="20" t="s">
        <v>103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99</v>
      </c>
      <c r="B38" s="20" t="s">
        <v>104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82</v>
      </c>
      <c r="B39" s="20" t="s">
        <v>105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85</v>
      </c>
      <c r="B40" s="20" t="s">
        <v>106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107</v>
      </c>
      <c r="B41" s="20" t="s">
        <v>108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101</v>
      </c>
      <c r="B42" s="20" t="s">
        <v>110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5" customFormat="false" ht="15" hidden="false" customHeight="false" outlineLevel="0" collapsed="false">
      <c r="A45" s="18" t="s">
        <v>113</v>
      </c>
    </row>
    <row r="46" customFormat="false" ht="23.85" hidden="false" customHeight="false" outlineLevel="0" collapsed="false">
      <c r="A46" s="3" t="s">
        <v>70</v>
      </c>
      <c r="B46" s="3" t="s">
        <v>71</v>
      </c>
      <c r="C46" s="3" t="s">
        <v>72</v>
      </c>
      <c r="D46" s="3" t="s">
        <v>73</v>
      </c>
      <c r="E46" s="3" t="s">
        <v>12</v>
      </c>
      <c r="F46" s="3" t="s">
        <v>74</v>
      </c>
      <c r="G46" s="3" t="s">
        <v>14</v>
      </c>
      <c r="H46" s="3" t="s">
        <v>15</v>
      </c>
      <c r="I46" s="3" t="s">
        <v>75</v>
      </c>
    </row>
    <row r="47" customFormat="false" ht="15" hidden="false" customHeight="false" outlineLevel="0" collapsed="false">
      <c r="A47" s="20" t="s">
        <v>114</v>
      </c>
      <c r="B47" s="20" t="s">
        <v>115</v>
      </c>
      <c r="C47" s="21" t="n">
        <v>40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114</v>
      </c>
      <c r="B48" s="20" t="s">
        <v>116</v>
      </c>
      <c r="C48" s="21" t="n">
        <v>40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79</v>
      </c>
      <c r="B49" s="20" t="s">
        <v>117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126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23</v>
      </c>
      <c r="C4" s="17" t="n">
        <v>3</v>
      </c>
      <c r="E4" s="17" t="n">
        <v>942</v>
      </c>
      <c r="G4" s="17" t="n">
        <v>124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40.96</v>
      </c>
      <c r="C6" s="17" t="n">
        <v>1</v>
      </c>
      <c r="E6" s="17" t="n">
        <v>2</v>
      </c>
      <c r="G6" s="17" t="n">
        <v>5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127</v>
      </c>
      <c r="C10" s="3" t="s">
        <v>128</v>
      </c>
      <c r="D10" s="3" t="s">
        <v>129</v>
      </c>
      <c r="E10" s="3" t="s">
        <v>130</v>
      </c>
      <c r="F10" s="3" t="s">
        <v>131</v>
      </c>
      <c r="G10" s="3" t="s">
        <v>132</v>
      </c>
      <c r="H10" s="3" t="s">
        <v>133</v>
      </c>
    </row>
    <row r="11" customFormat="false" ht="15" hidden="false" customHeight="false" outlineLevel="0" collapsed="false">
      <c r="A11" s="16" t="s">
        <v>65</v>
      </c>
      <c r="B11" s="19" t="n">
        <v>12</v>
      </c>
      <c r="C11" s="19" t="n">
        <v>8</v>
      </c>
      <c r="D11" s="19" t="n">
        <v>12</v>
      </c>
      <c r="E11" s="19" t="n">
        <v>8</v>
      </c>
      <c r="F11" s="19" t="n">
        <v>9</v>
      </c>
      <c r="G11" s="19" t="n">
        <v>8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1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10</v>
      </c>
      <c r="C13" s="19" t="n">
        <v>9</v>
      </c>
      <c r="D13" s="19" t="n">
        <v>8</v>
      </c>
      <c r="E13" s="19" t="n">
        <v>7</v>
      </c>
      <c r="F13" s="19" t="n">
        <v>7</v>
      </c>
      <c r="G13" s="19" t="n">
        <v>8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5</v>
      </c>
      <c r="D14" s="19" t="n">
        <v>0</v>
      </c>
      <c r="E14" s="19" t="n">
        <v>7</v>
      </c>
      <c r="F14" s="19" t="n">
        <v>6</v>
      </c>
      <c r="G14" s="19" t="n">
        <v>7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134</v>
      </c>
    </row>
    <row r="20" customFormat="false" ht="15" hidden="false" customHeight="false" outlineLevel="0" collapsed="false">
      <c r="A20" s="20" t="s">
        <v>79</v>
      </c>
      <c r="B20" s="20" t="s">
        <v>80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134</v>
      </c>
    </row>
    <row r="21" customFormat="false" ht="15" hidden="false" customHeight="false" outlineLevel="0" collapsed="false">
      <c r="A21" s="20" t="s">
        <v>82</v>
      </c>
      <c r="B21" s="20" t="s">
        <v>83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79</v>
      </c>
      <c r="B22" s="20" t="s">
        <v>84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86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87</v>
      </c>
      <c r="B24" s="20" t="s">
        <v>88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85</v>
      </c>
      <c r="B25" s="20" t="s">
        <v>89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85</v>
      </c>
      <c r="B26" s="20" t="s">
        <v>91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82</v>
      </c>
      <c r="B27" s="20" t="s">
        <v>92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82</v>
      </c>
      <c r="B28" s="20" t="s">
        <v>93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85</v>
      </c>
      <c r="B29" s="20" t="s">
        <v>94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76</v>
      </c>
      <c r="B30" s="20" t="s">
        <v>95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134</v>
      </c>
    </row>
    <row r="31" customFormat="false" ht="15" hidden="false" customHeight="false" outlineLevel="0" collapsed="false">
      <c r="A31" s="24" t="s">
        <v>82</v>
      </c>
      <c r="B31" s="24" t="s">
        <v>96</v>
      </c>
      <c r="C31" s="25" t="n">
        <v>0</v>
      </c>
      <c r="D31" s="24" t="n">
        <v>0</v>
      </c>
      <c r="E31" s="24" t="n">
        <v>5</v>
      </c>
      <c r="F31" s="24" t="n">
        <v>0</v>
      </c>
      <c r="G31" s="24" t="n">
        <v>0</v>
      </c>
      <c r="H31" s="24" t="n">
        <v>2</v>
      </c>
      <c r="I31" s="24" t="s">
        <v>135</v>
      </c>
    </row>
    <row r="32" customFormat="false" ht="15" hidden="false" customHeight="false" outlineLevel="0" collapsed="false">
      <c r="A32" s="20" t="s">
        <v>82</v>
      </c>
      <c r="B32" s="20" t="s">
        <v>97</v>
      </c>
      <c r="C32" s="21" t="n">
        <v>44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79</v>
      </c>
      <c r="B33" s="20" t="s">
        <v>98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134</v>
      </c>
    </row>
    <row r="34" customFormat="false" ht="15" hidden="false" customHeight="false" outlineLevel="0" collapsed="false">
      <c r="A34" s="20" t="s">
        <v>99</v>
      </c>
      <c r="B34" s="20" t="s">
        <v>100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101</v>
      </c>
      <c r="B35" s="20" t="s">
        <v>102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76</v>
      </c>
      <c r="B36" s="20" t="s">
        <v>103</v>
      </c>
      <c r="C36" s="21" t="n">
        <v>44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134</v>
      </c>
    </row>
    <row r="37" customFormat="false" ht="15" hidden="false" customHeight="false" outlineLevel="0" collapsed="false">
      <c r="A37" s="20" t="s">
        <v>99</v>
      </c>
      <c r="B37" s="20" t="s">
        <v>104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82</v>
      </c>
      <c r="B38" s="20" t="s">
        <v>105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85</v>
      </c>
      <c r="B39" s="20" t="s">
        <v>106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2" t="s">
        <v>107</v>
      </c>
      <c r="B40" s="22" t="s">
        <v>108</v>
      </c>
      <c r="C40" s="23" t="n">
        <v>18</v>
      </c>
      <c r="D40" s="22" t="n">
        <v>2</v>
      </c>
      <c r="E40" s="22" t="n">
        <v>0</v>
      </c>
      <c r="F40" s="22" t="n">
        <v>1</v>
      </c>
      <c r="G40" s="22" t="n">
        <v>0</v>
      </c>
      <c r="H40" s="22" t="n">
        <v>2</v>
      </c>
      <c r="I40" s="22" t="s">
        <v>78</v>
      </c>
    </row>
    <row r="41" customFormat="false" ht="15" hidden="false" customHeight="false" outlineLevel="0" collapsed="false">
      <c r="A41" s="20" t="s">
        <v>101</v>
      </c>
      <c r="B41" s="20" t="s">
        <v>110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4" customFormat="false" ht="15" hidden="false" customHeight="false" outlineLevel="0" collapsed="false">
      <c r="A44" s="18" t="s">
        <v>113</v>
      </c>
    </row>
    <row r="45" customFormat="false" ht="23.85" hidden="false" customHeight="false" outlineLevel="0" collapsed="false">
      <c r="A45" s="3" t="s">
        <v>70</v>
      </c>
      <c r="B45" s="3" t="s">
        <v>71</v>
      </c>
      <c r="C45" s="3" t="s">
        <v>72</v>
      </c>
      <c r="D45" s="3" t="s">
        <v>73</v>
      </c>
      <c r="E45" s="3" t="s">
        <v>12</v>
      </c>
      <c r="F45" s="3" t="s">
        <v>74</v>
      </c>
      <c r="G45" s="3" t="s">
        <v>14</v>
      </c>
      <c r="H45" s="3" t="s">
        <v>15</v>
      </c>
      <c r="I45" s="3" t="s">
        <v>75</v>
      </c>
    </row>
    <row r="46" customFormat="false" ht="15" hidden="false" customHeight="false" outlineLevel="0" collapsed="false">
      <c r="A46" s="20" t="s">
        <v>114</v>
      </c>
      <c r="B46" s="20" t="s">
        <v>115</v>
      </c>
      <c r="C46" s="21" t="n">
        <v>40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114</v>
      </c>
      <c r="B47" s="20" t="s">
        <v>116</v>
      </c>
      <c r="C47" s="21" t="n">
        <v>40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79</v>
      </c>
      <c r="B48" s="20" t="s">
        <v>117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136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23</v>
      </c>
      <c r="C4" s="17" t="n">
        <v>3</v>
      </c>
      <c r="E4" s="17" t="n">
        <v>969</v>
      </c>
      <c r="G4" s="17" t="n">
        <v>124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42.13</v>
      </c>
      <c r="C6" s="17" t="n">
        <v>0</v>
      </c>
      <c r="E6" s="17" t="n">
        <v>1</v>
      </c>
      <c r="G6" s="17" t="n">
        <v>4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137</v>
      </c>
      <c r="C10" s="3" t="s">
        <v>138</v>
      </c>
      <c r="D10" s="3" t="s">
        <v>139</v>
      </c>
      <c r="E10" s="3" t="s">
        <v>140</v>
      </c>
      <c r="F10" s="3" t="s">
        <v>141</v>
      </c>
      <c r="G10" s="3" t="s">
        <v>142</v>
      </c>
      <c r="H10" s="3" t="s">
        <v>143</v>
      </c>
    </row>
    <row r="11" customFormat="false" ht="15" hidden="false" customHeight="false" outlineLevel="0" collapsed="false">
      <c r="A11" s="16" t="s">
        <v>65</v>
      </c>
      <c r="B11" s="19" t="n">
        <v>11</v>
      </c>
      <c r="C11" s="19" t="n">
        <v>11</v>
      </c>
      <c r="D11" s="19" t="n">
        <v>8</v>
      </c>
      <c r="E11" s="19" t="n">
        <v>10</v>
      </c>
      <c r="F11" s="19" t="n">
        <v>9</v>
      </c>
      <c r="G11" s="19" t="n">
        <v>7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11</v>
      </c>
      <c r="C13" s="19" t="n">
        <v>11</v>
      </c>
      <c r="D13" s="19" t="n">
        <v>8</v>
      </c>
      <c r="E13" s="19" t="n">
        <v>8</v>
      </c>
      <c r="F13" s="19" t="n">
        <v>9</v>
      </c>
      <c r="G13" s="19" t="n">
        <v>7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6</v>
      </c>
      <c r="E14" s="19" t="n">
        <v>4</v>
      </c>
      <c r="F14" s="19" t="n">
        <v>5</v>
      </c>
      <c r="G14" s="19" t="n">
        <v>9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134</v>
      </c>
    </row>
    <row r="20" customFormat="false" ht="15" hidden="false" customHeight="false" outlineLevel="0" collapsed="false">
      <c r="A20" s="20" t="s">
        <v>79</v>
      </c>
      <c r="B20" s="20" t="s">
        <v>80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82</v>
      </c>
      <c r="B21" s="20" t="s">
        <v>83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79</v>
      </c>
      <c r="B22" s="20" t="s">
        <v>84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134</v>
      </c>
    </row>
    <row r="23" customFormat="false" ht="15" hidden="false" customHeight="false" outlineLevel="0" collapsed="false">
      <c r="A23" s="20" t="s">
        <v>85</v>
      </c>
      <c r="B23" s="20" t="s">
        <v>86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134</v>
      </c>
    </row>
    <row r="24" customFormat="false" ht="15" hidden="false" customHeight="false" outlineLevel="0" collapsed="false">
      <c r="A24" s="20" t="s">
        <v>87</v>
      </c>
      <c r="B24" s="20" t="s">
        <v>88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134</v>
      </c>
    </row>
    <row r="25" customFormat="false" ht="15" hidden="false" customHeight="false" outlineLevel="0" collapsed="false">
      <c r="A25" s="20" t="s">
        <v>85</v>
      </c>
      <c r="B25" s="20" t="s">
        <v>89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85</v>
      </c>
      <c r="B26" s="20" t="s">
        <v>91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2" t="s">
        <v>82</v>
      </c>
      <c r="B27" s="22" t="s">
        <v>92</v>
      </c>
      <c r="C27" s="23" t="n">
        <v>36</v>
      </c>
      <c r="D27" s="22" t="n">
        <v>1</v>
      </c>
      <c r="E27" s="22" t="n">
        <v>0</v>
      </c>
      <c r="F27" s="22" t="n">
        <v>0</v>
      </c>
      <c r="G27" s="22" t="n">
        <v>0</v>
      </c>
      <c r="H27" s="22" t="n">
        <v>2</v>
      </c>
      <c r="I27" s="22" t="s">
        <v>78</v>
      </c>
    </row>
    <row r="28" customFormat="false" ht="15" hidden="false" customHeight="false" outlineLevel="0" collapsed="false">
      <c r="A28" s="20" t="s">
        <v>82</v>
      </c>
      <c r="B28" s="20" t="s">
        <v>93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85</v>
      </c>
      <c r="B29" s="20" t="s">
        <v>94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76</v>
      </c>
      <c r="B30" s="20" t="s">
        <v>95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134</v>
      </c>
    </row>
    <row r="31" customFormat="false" ht="15" hidden="false" customHeight="false" outlineLevel="0" collapsed="false">
      <c r="A31" s="24" t="s">
        <v>82</v>
      </c>
      <c r="B31" s="24" t="s">
        <v>96</v>
      </c>
      <c r="C31" s="25" t="n">
        <v>9</v>
      </c>
      <c r="D31" s="24" t="n">
        <v>0</v>
      </c>
      <c r="E31" s="24" t="n">
        <v>4</v>
      </c>
      <c r="F31" s="24" t="n">
        <v>0</v>
      </c>
      <c r="G31" s="24" t="n">
        <v>0</v>
      </c>
      <c r="H31" s="24" t="n">
        <v>2</v>
      </c>
      <c r="I31" s="24" t="s">
        <v>144</v>
      </c>
    </row>
    <row r="32" customFormat="false" ht="15" hidden="false" customHeight="false" outlineLevel="0" collapsed="false">
      <c r="A32" s="20" t="s">
        <v>82</v>
      </c>
      <c r="B32" s="20" t="s">
        <v>97</v>
      </c>
      <c r="C32" s="21" t="n">
        <v>44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79</v>
      </c>
      <c r="B33" s="20" t="s">
        <v>98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134</v>
      </c>
    </row>
    <row r="34" customFormat="false" ht="15" hidden="false" customHeight="false" outlineLevel="0" collapsed="false">
      <c r="A34" s="20" t="s">
        <v>99</v>
      </c>
      <c r="B34" s="20" t="s">
        <v>100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101</v>
      </c>
      <c r="B35" s="20" t="s">
        <v>102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76</v>
      </c>
      <c r="B36" s="20" t="s">
        <v>103</v>
      </c>
      <c r="C36" s="21" t="n">
        <v>44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134</v>
      </c>
    </row>
    <row r="37" customFormat="false" ht="15" hidden="false" customHeight="false" outlineLevel="0" collapsed="false">
      <c r="A37" s="20" t="s">
        <v>99</v>
      </c>
      <c r="B37" s="20" t="s">
        <v>104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82</v>
      </c>
      <c r="B38" s="20" t="s">
        <v>105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85</v>
      </c>
      <c r="B39" s="20" t="s">
        <v>106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107</v>
      </c>
      <c r="B40" s="20" t="s">
        <v>108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101</v>
      </c>
      <c r="B41" s="20" t="s">
        <v>110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4" customFormat="false" ht="15" hidden="false" customHeight="false" outlineLevel="0" collapsed="false">
      <c r="A44" s="18" t="s">
        <v>113</v>
      </c>
    </row>
    <row r="45" customFormat="false" ht="23.85" hidden="false" customHeight="false" outlineLevel="0" collapsed="false">
      <c r="A45" s="3" t="s">
        <v>70</v>
      </c>
      <c r="B45" s="3" t="s">
        <v>71</v>
      </c>
      <c r="C45" s="3" t="s">
        <v>72</v>
      </c>
      <c r="D45" s="3" t="s">
        <v>73</v>
      </c>
      <c r="E45" s="3" t="s">
        <v>12</v>
      </c>
      <c r="F45" s="3" t="s">
        <v>74</v>
      </c>
      <c r="G45" s="3" t="s">
        <v>14</v>
      </c>
      <c r="H45" s="3" t="s">
        <v>15</v>
      </c>
      <c r="I45" s="3" t="s">
        <v>75</v>
      </c>
    </row>
    <row r="46" customFormat="false" ht="15" hidden="false" customHeight="false" outlineLevel="0" collapsed="false">
      <c r="A46" s="20" t="s">
        <v>114</v>
      </c>
      <c r="B46" s="20" t="s">
        <v>115</v>
      </c>
      <c r="C46" s="21" t="n">
        <v>40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114</v>
      </c>
      <c r="B47" s="20" t="s">
        <v>116</v>
      </c>
      <c r="C47" s="21" t="n">
        <v>40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79</v>
      </c>
      <c r="B48" s="20" t="s">
        <v>117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145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27</v>
      </c>
      <c r="C4" s="17" t="n">
        <v>3</v>
      </c>
      <c r="E4" s="17" t="n">
        <v>1179</v>
      </c>
      <c r="G4" s="17" t="n">
        <v>124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43.67</v>
      </c>
      <c r="C6" s="17" t="n">
        <v>0</v>
      </c>
      <c r="E6" s="17" t="n">
        <v>1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146</v>
      </c>
      <c r="C10" s="3" t="s">
        <v>147</v>
      </c>
      <c r="D10" s="3" t="s">
        <v>148</v>
      </c>
      <c r="E10" s="3" t="s">
        <v>149</v>
      </c>
      <c r="F10" s="3" t="s">
        <v>150</v>
      </c>
      <c r="G10" s="3" t="s">
        <v>151</v>
      </c>
      <c r="H10" s="3" t="s">
        <v>152</v>
      </c>
    </row>
    <row r="11" customFormat="false" ht="15" hidden="false" customHeight="false" outlineLevel="0" collapsed="false">
      <c r="A11" s="16" t="s">
        <v>65</v>
      </c>
      <c r="B11" s="19" t="n">
        <v>10</v>
      </c>
      <c r="C11" s="19" t="n">
        <v>10</v>
      </c>
      <c r="D11" s="19" t="n">
        <v>7</v>
      </c>
      <c r="E11" s="19" t="n">
        <v>8</v>
      </c>
      <c r="F11" s="19" t="n">
        <v>9</v>
      </c>
      <c r="G11" s="19" t="n">
        <v>12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6</v>
      </c>
      <c r="C12" s="19" t="n">
        <v>6</v>
      </c>
      <c r="D12" s="19" t="n">
        <v>2</v>
      </c>
      <c r="E12" s="19" t="n">
        <v>4</v>
      </c>
      <c r="F12" s="19" t="n">
        <v>3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11</v>
      </c>
      <c r="C13" s="19" t="n">
        <v>11</v>
      </c>
      <c r="D13" s="19" t="n">
        <v>9</v>
      </c>
      <c r="E13" s="19" t="n">
        <v>8</v>
      </c>
      <c r="F13" s="19" t="n">
        <v>9</v>
      </c>
      <c r="G13" s="19" t="n">
        <v>7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6</v>
      </c>
      <c r="E14" s="19" t="n">
        <v>6</v>
      </c>
      <c r="F14" s="19" t="n">
        <v>4</v>
      </c>
      <c r="G14" s="19" t="n">
        <v>8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80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82</v>
      </c>
      <c r="B21" s="20" t="s">
        <v>83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79</v>
      </c>
      <c r="B22" s="20" t="s">
        <v>84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134</v>
      </c>
    </row>
    <row r="23" customFormat="false" ht="15" hidden="false" customHeight="false" outlineLevel="0" collapsed="false">
      <c r="A23" s="20" t="s">
        <v>85</v>
      </c>
      <c r="B23" s="20" t="s">
        <v>86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134</v>
      </c>
    </row>
    <row r="24" customFormat="false" ht="15" hidden="false" customHeight="false" outlineLevel="0" collapsed="false">
      <c r="A24" s="20" t="s">
        <v>87</v>
      </c>
      <c r="B24" s="20" t="s">
        <v>88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134</v>
      </c>
    </row>
    <row r="25" customFormat="false" ht="15" hidden="false" customHeight="false" outlineLevel="0" collapsed="false">
      <c r="A25" s="20" t="s">
        <v>85</v>
      </c>
      <c r="B25" s="20" t="s">
        <v>89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85</v>
      </c>
      <c r="B26" s="20" t="s">
        <v>91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134</v>
      </c>
    </row>
    <row r="27" customFormat="false" ht="15" hidden="false" customHeight="false" outlineLevel="0" collapsed="false">
      <c r="A27" s="20" t="s">
        <v>82</v>
      </c>
      <c r="B27" s="20" t="s">
        <v>92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134</v>
      </c>
    </row>
    <row r="28" customFormat="false" ht="15" hidden="false" customHeight="false" outlineLevel="0" collapsed="false">
      <c r="A28" s="20" t="s">
        <v>82</v>
      </c>
      <c r="B28" s="20" t="s">
        <v>93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85</v>
      </c>
      <c r="B29" s="20" t="s">
        <v>94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134</v>
      </c>
    </row>
    <row r="30" customFormat="false" ht="15" hidden="false" customHeight="false" outlineLevel="0" collapsed="false">
      <c r="A30" s="20" t="s">
        <v>76</v>
      </c>
      <c r="B30" s="20" t="s">
        <v>95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82</v>
      </c>
      <c r="B31" s="20" t="s">
        <v>96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82</v>
      </c>
      <c r="B32" s="20" t="s">
        <v>97</v>
      </c>
      <c r="C32" s="21" t="n">
        <v>44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79</v>
      </c>
      <c r="B33" s="20" t="s">
        <v>98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134</v>
      </c>
    </row>
    <row r="34" customFormat="false" ht="15" hidden="false" customHeight="false" outlineLevel="0" collapsed="false">
      <c r="A34" s="20" t="s">
        <v>99</v>
      </c>
      <c r="B34" s="20" t="s">
        <v>100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101</v>
      </c>
      <c r="B35" s="20" t="s">
        <v>102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2" t="s">
        <v>76</v>
      </c>
      <c r="B36" s="22" t="s">
        <v>103</v>
      </c>
      <c r="C36" s="23" t="n">
        <v>35</v>
      </c>
      <c r="D36" s="22" t="n">
        <v>1</v>
      </c>
      <c r="E36" s="22" t="n">
        <v>0</v>
      </c>
      <c r="F36" s="22" t="n">
        <v>0</v>
      </c>
      <c r="G36" s="22" t="n">
        <v>0</v>
      </c>
      <c r="H36" s="22" t="n">
        <v>2</v>
      </c>
      <c r="I36" s="22" t="s">
        <v>78</v>
      </c>
    </row>
    <row r="37" customFormat="false" ht="15" hidden="false" customHeight="false" outlineLevel="0" collapsed="false">
      <c r="A37" s="20" t="s">
        <v>99</v>
      </c>
      <c r="B37" s="20" t="s">
        <v>104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134</v>
      </c>
    </row>
    <row r="38" customFormat="false" ht="15" hidden="false" customHeight="false" outlineLevel="0" collapsed="false">
      <c r="A38" s="20" t="s">
        <v>82</v>
      </c>
      <c r="B38" s="20" t="s">
        <v>105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85</v>
      </c>
      <c r="B39" s="20" t="s">
        <v>106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107</v>
      </c>
      <c r="B40" s="20" t="s">
        <v>108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101</v>
      </c>
      <c r="B41" s="20" t="s">
        <v>110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87</v>
      </c>
      <c r="B42" s="20" t="s">
        <v>153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79</v>
      </c>
      <c r="B43" s="20" t="s">
        <v>154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99</v>
      </c>
      <c r="B44" s="20" t="s">
        <v>155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107</v>
      </c>
      <c r="B45" s="20" t="s">
        <v>156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8" customFormat="false" ht="15" hidden="false" customHeight="false" outlineLevel="0" collapsed="false">
      <c r="A48" s="18" t="s">
        <v>113</v>
      </c>
    </row>
    <row r="49" customFormat="false" ht="23.85" hidden="false" customHeight="false" outlineLevel="0" collapsed="false">
      <c r="A49" s="3" t="s">
        <v>70</v>
      </c>
      <c r="B49" s="3" t="s">
        <v>71</v>
      </c>
      <c r="C49" s="3" t="s">
        <v>72</v>
      </c>
      <c r="D49" s="3" t="s">
        <v>73</v>
      </c>
      <c r="E49" s="3" t="s">
        <v>12</v>
      </c>
      <c r="F49" s="3" t="s">
        <v>74</v>
      </c>
      <c r="G49" s="3" t="s">
        <v>14</v>
      </c>
      <c r="H49" s="3" t="s">
        <v>15</v>
      </c>
      <c r="I49" s="3" t="s">
        <v>75</v>
      </c>
    </row>
    <row r="50" customFormat="false" ht="15" hidden="false" customHeight="false" outlineLevel="0" collapsed="false">
      <c r="A50" s="20" t="s">
        <v>114</v>
      </c>
      <c r="B50" s="20" t="s">
        <v>115</v>
      </c>
      <c r="C50" s="21" t="n">
        <v>40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157</v>
      </c>
    </row>
    <row r="51" customFormat="false" ht="15" hidden="false" customHeight="false" outlineLevel="0" collapsed="false">
      <c r="A51" s="20" t="s">
        <v>114</v>
      </c>
      <c r="B51" s="20" t="s">
        <v>116</v>
      </c>
      <c r="C51" s="21" t="n">
        <v>40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2</v>
      </c>
      <c r="I51" s="20" t="s">
        <v>78</v>
      </c>
    </row>
    <row r="52" customFormat="false" ht="15" hidden="false" customHeight="false" outlineLevel="0" collapsed="false">
      <c r="A52" s="20" t="s">
        <v>79</v>
      </c>
      <c r="B52" s="20" t="s">
        <v>117</v>
      </c>
      <c r="C52" s="21" t="n">
        <v>44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2</v>
      </c>
      <c r="I52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158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27</v>
      </c>
      <c r="C4" s="17" t="n">
        <v>3</v>
      </c>
      <c r="E4" s="17" t="n">
        <v>1118</v>
      </c>
      <c r="G4" s="17" t="n">
        <v>124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41.41</v>
      </c>
      <c r="C6" s="17" t="n">
        <v>1</v>
      </c>
      <c r="E6" s="17" t="n">
        <v>8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159</v>
      </c>
      <c r="C10" s="3" t="s">
        <v>160</v>
      </c>
      <c r="D10" s="3" t="s">
        <v>161</v>
      </c>
      <c r="E10" s="3" t="s">
        <v>162</v>
      </c>
      <c r="F10" s="3" t="s">
        <v>163</v>
      </c>
      <c r="G10" s="3" t="s">
        <v>164</v>
      </c>
      <c r="H10" s="3" t="s">
        <v>165</v>
      </c>
    </row>
    <row r="11" customFormat="false" ht="15" hidden="false" customHeight="false" outlineLevel="0" collapsed="false">
      <c r="A11" s="16" t="s">
        <v>65</v>
      </c>
      <c r="B11" s="19" t="n">
        <v>10</v>
      </c>
      <c r="C11" s="19" t="n">
        <v>15</v>
      </c>
      <c r="D11" s="19" t="n">
        <v>10</v>
      </c>
      <c r="E11" s="19" t="n">
        <v>8</v>
      </c>
      <c r="F11" s="19" t="n">
        <v>9</v>
      </c>
      <c r="G11" s="19" t="n">
        <v>9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3</v>
      </c>
      <c r="C12" s="19" t="n">
        <v>0</v>
      </c>
      <c r="D12" s="19" t="n">
        <v>0</v>
      </c>
      <c r="E12" s="19" t="n">
        <v>2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13</v>
      </c>
      <c r="C13" s="19" t="n">
        <v>11</v>
      </c>
      <c r="D13" s="19" t="n">
        <v>9</v>
      </c>
      <c r="E13" s="19" t="n">
        <v>9</v>
      </c>
      <c r="F13" s="19" t="n">
        <v>10</v>
      </c>
      <c r="G13" s="19" t="n">
        <v>9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1</v>
      </c>
      <c r="C14" s="19" t="n">
        <v>1</v>
      </c>
      <c r="D14" s="19" t="n">
        <v>8</v>
      </c>
      <c r="E14" s="19" t="n">
        <v>8</v>
      </c>
      <c r="F14" s="19" t="n">
        <v>8</v>
      </c>
      <c r="G14" s="19" t="n">
        <v>9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80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82</v>
      </c>
      <c r="B21" s="20" t="s">
        <v>83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134</v>
      </c>
    </row>
    <row r="22" customFormat="false" ht="15" hidden="false" customHeight="false" outlineLevel="0" collapsed="false">
      <c r="A22" s="20" t="s">
        <v>79</v>
      </c>
      <c r="B22" s="20" t="s">
        <v>84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134</v>
      </c>
    </row>
    <row r="23" customFormat="false" ht="15" hidden="false" customHeight="false" outlineLevel="0" collapsed="false">
      <c r="A23" s="20" t="s">
        <v>85</v>
      </c>
      <c r="B23" s="20" t="s">
        <v>86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134</v>
      </c>
    </row>
    <row r="24" customFormat="false" ht="15" hidden="false" customHeight="false" outlineLevel="0" collapsed="false">
      <c r="A24" s="24" t="s">
        <v>87</v>
      </c>
      <c r="B24" s="24" t="s">
        <v>88</v>
      </c>
      <c r="C24" s="25" t="n">
        <v>0</v>
      </c>
      <c r="D24" s="24" t="n">
        <v>5</v>
      </c>
      <c r="E24" s="24" t="n">
        <v>0</v>
      </c>
      <c r="F24" s="24" t="n">
        <v>0</v>
      </c>
      <c r="G24" s="24" t="n">
        <v>0</v>
      </c>
      <c r="H24" s="24" t="n">
        <v>2</v>
      </c>
      <c r="I24" s="24" t="s">
        <v>81</v>
      </c>
    </row>
    <row r="25" customFormat="false" ht="15" hidden="false" customHeight="false" outlineLevel="0" collapsed="false">
      <c r="A25" s="20" t="s">
        <v>85</v>
      </c>
      <c r="B25" s="20" t="s">
        <v>89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85</v>
      </c>
      <c r="B26" s="20" t="s">
        <v>91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134</v>
      </c>
    </row>
    <row r="27" customFormat="false" ht="15" hidden="false" customHeight="false" outlineLevel="0" collapsed="false">
      <c r="A27" s="20" t="s">
        <v>82</v>
      </c>
      <c r="B27" s="20" t="s">
        <v>92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134</v>
      </c>
    </row>
    <row r="28" customFormat="false" ht="15" hidden="false" customHeight="false" outlineLevel="0" collapsed="false">
      <c r="A28" s="20" t="s">
        <v>82</v>
      </c>
      <c r="B28" s="20" t="s">
        <v>93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85</v>
      </c>
      <c r="B29" s="20" t="s">
        <v>94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134</v>
      </c>
    </row>
    <row r="30" customFormat="false" ht="15" hidden="false" customHeight="false" outlineLevel="0" collapsed="false">
      <c r="A30" s="20" t="s">
        <v>76</v>
      </c>
      <c r="B30" s="20" t="s">
        <v>95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82</v>
      </c>
      <c r="B31" s="20" t="s">
        <v>96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134</v>
      </c>
    </row>
    <row r="32" customFormat="false" ht="15" hidden="false" customHeight="false" outlineLevel="0" collapsed="false">
      <c r="A32" s="22" t="s">
        <v>82</v>
      </c>
      <c r="B32" s="22" t="s">
        <v>97</v>
      </c>
      <c r="C32" s="23" t="n">
        <v>18</v>
      </c>
      <c r="D32" s="22" t="n">
        <v>3</v>
      </c>
      <c r="E32" s="22" t="n">
        <v>0</v>
      </c>
      <c r="F32" s="22" t="n">
        <v>0</v>
      </c>
      <c r="G32" s="22" t="n">
        <v>0</v>
      </c>
      <c r="H32" s="22" t="n">
        <v>2</v>
      </c>
      <c r="I32" s="22" t="s">
        <v>81</v>
      </c>
    </row>
    <row r="33" customFormat="false" ht="15" hidden="false" customHeight="false" outlineLevel="0" collapsed="false">
      <c r="A33" s="20" t="s">
        <v>79</v>
      </c>
      <c r="B33" s="20" t="s">
        <v>98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134</v>
      </c>
    </row>
    <row r="34" customFormat="false" ht="15" hidden="false" customHeight="false" outlineLevel="0" collapsed="false">
      <c r="A34" s="20" t="s">
        <v>99</v>
      </c>
      <c r="B34" s="20" t="s">
        <v>100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101</v>
      </c>
      <c r="B35" s="20" t="s">
        <v>102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76</v>
      </c>
      <c r="B36" s="20" t="s">
        <v>103</v>
      </c>
      <c r="C36" s="21" t="n">
        <v>44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134</v>
      </c>
    </row>
    <row r="37" customFormat="false" ht="15" hidden="false" customHeight="false" outlineLevel="0" collapsed="false">
      <c r="A37" s="20" t="s">
        <v>99</v>
      </c>
      <c r="B37" s="20" t="s">
        <v>104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134</v>
      </c>
    </row>
    <row r="38" customFormat="false" ht="15" hidden="false" customHeight="false" outlineLevel="0" collapsed="false">
      <c r="A38" s="20" t="s">
        <v>82</v>
      </c>
      <c r="B38" s="20" t="s">
        <v>105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85</v>
      </c>
      <c r="B39" s="20" t="s">
        <v>106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107</v>
      </c>
      <c r="B40" s="20" t="s">
        <v>108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101</v>
      </c>
      <c r="B41" s="20" t="s">
        <v>110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87</v>
      </c>
      <c r="B42" s="20" t="s">
        <v>153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79</v>
      </c>
      <c r="B43" s="20" t="s">
        <v>154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99</v>
      </c>
      <c r="B44" s="20" t="s">
        <v>155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107</v>
      </c>
      <c r="B45" s="20" t="s">
        <v>156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8" customFormat="false" ht="15" hidden="false" customHeight="false" outlineLevel="0" collapsed="false">
      <c r="A48" s="18" t="s">
        <v>113</v>
      </c>
    </row>
    <row r="49" customFormat="false" ht="23.85" hidden="false" customHeight="false" outlineLevel="0" collapsed="false">
      <c r="A49" s="3" t="s">
        <v>70</v>
      </c>
      <c r="B49" s="3" t="s">
        <v>71</v>
      </c>
      <c r="C49" s="3" t="s">
        <v>72</v>
      </c>
      <c r="D49" s="3" t="s">
        <v>73</v>
      </c>
      <c r="E49" s="3" t="s">
        <v>12</v>
      </c>
      <c r="F49" s="3" t="s">
        <v>74</v>
      </c>
      <c r="G49" s="3" t="s">
        <v>14</v>
      </c>
      <c r="H49" s="3" t="s">
        <v>15</v>
      </c>
      <c r="I49" s="3" t="s">
        <v>75</v>
      </c>
    </row>
    <row r="50" customFormat="false" ht="15" hidden="false" customHeight="false" outlineLevel="0" collapsed="false">
      <c r="A50" s="20" t="s">
        <v>114</v>
      </c>
      <c r="B50" s="20" t="s">
        <v>115</v>
      </c>
      <c r="C50" s="21" t="n">
        <v>40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1" customFormat="false" ht="15" hidden="false" customHeight="false" outlineLevel="0" collapsed="false">
      <c r="A51" s="20" t="s">
        <v>114</v>
      </c>
      <c r="B51" s="20" t="s">
        <v>116</v>
      </c>
      <c r="C51" s="21" t="n">
        <v>40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2</v>
      </c>
      <c r="I51" s="20" t="s">
        <v>78</v>
      </c>
    </row>
    <row r="52" customFormat="false" ht="15" hidden="false" customHeight="false" outlineLevel="0" collapsed="false">
      <c r="A52" s="20" t="s">
        <v>79</v>
      </c>
      <c r="B52" s="20" t="s">
        <v>117</v>
      </c>
      <c r="C52" s="21" t="n">
        <v>44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2</v>
      </c>
      <c r="I52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166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27</v>
      </c>
      <c r="C4" s="17" t="n">
        <v>3</v>
      </c>
      <c r="E4" s="17" t="n">
        <v>1180</v>
      </c>
      <c r="G4" s="17" t="n">
        <v>124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43.7</v>
      </c>
      <c r="C6" s="17" t="n">
        <v>0</v>
      </c>
      <c r="E6" s="17" t="n">
        <v>1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167</v>
      </c>
      <c r="C10" s="3" t="s">
        <v>168</v>
      </c>
      <c r="D10" s="3" t="s">
        <v>169</v>
      </c>
      <c r="E10" s="3" t="s">
        <v>170</v>
      </c>
      <c r="F10" s="3" t="s">
        <v>171</v>
      </c>
      <c r="G10" s="3" t="s">
        <v>172</v>
      </c>
      <c r="H10" s="3" t="s">
        <v>173</v>
      </c>
    </row>
    <row r="11" customFormat="false" ht="15" hidden="false" customHeight="false" outlineLevel="0" collapsed="false">
      <c r="A11" s="16" t="s">
        <v>65</v>
      </c>
      <c r="B11" s="19" t="n">
        <v>13</v>
      </c>
      <c r="C11" s="19" t="n">
        <v>13</v>
      </c>
      <c r="D11" s="19" t="n">
        <v>10</v>
      </c>
      <c r="E11" s="19" t="n">
        <v>12</v>
      </c>
      <c r="F11" s="19" t="n">
        <v>11</v>
      </c>
      <c r="G11" s="19" t="n">
        <v>9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13</v>
      </c>
      <c r="C13" s="19" t="n">
        <v>14</v>
      </c>
      <c r="D13" s="19" t="n">
        <v>11</v>
      </c>
      <c r="E13" s="19" t="n">
        <v>10</v>
      </c>
      <c r="F13" s="19" t="n">
        <v>10</v>
      </c>
      <c r="G13" s="19" t="n">
        <v>8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1</v>
      </c>
      <c r="C14" s="19" t="n">
        <v>0</v>
      </c>
      <c r="D14" s="19" t="n">
        <v>6</v>
      </c>
      <c r="E14" s="19" t="n">
        <v>5</v>
      </c>
      <c r="F14" s="19" t="n">
        <v>6</v>
      </c>
      <c r="G14" s="19" t="n">
        <v>10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134</v>
      </c>
    </row>
    <row r="20" customFormat="false" ht="15" hidden="false" customHeight="false" outlineLevel="0" collapsed="false">
      <c r="A20" s="20" t="s">
        <v>79</v>
      </c>
      <c r="B20" s="20" t="s">
        <v>80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134</v>
      </c>
    </row>
    <row r="21" customFormat="false" ht="15" hidden="false" customHeight="false" outlineLevel="0" collapsed="false">
      <c r="A21" s="20" t="s">
        <v>82</v>
      </c>
      <c r="B21" s="20" t="s">
        <v>83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134</v>
      </c>
    </row>
    <row r="22" customFormat="false" ht="15" hidden="false" customHeight="false" outlineLevel="0" collapsed="false">
      <c r="A22" s="20" t="s">
        <v>79</v>
      </c>
      <c r="B22" s="20" t="s">
        <v>84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134</v>
      </c>
    </row>
    <row r="23" customFormat="false" ht="15" hidden="false" customHeight="false" outlineLevel="0" collapsed="false">
      <c r="A23" s="20" t="s">
        <v>85</v>
      </c>
      <c r="B23" s="20" t="s">
        <v>86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134</v>
      </c>
    </row>
    <row r="24" customFormat="false" ht="15" hidden="false" customHeight="false" outlineLevel="0" collapsed="false">
      <c r="A24" s="20" t="s">
        <v>87</v>
      </c>
      <c r="B24" s="20" t="s">
        <v>88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134</v>
      </c>
    </row>
    <row r="25" customFormat="false" ht="15" hidden="false" customHeight="false" outlineLevel="0" collapsed="false">
      <c r="A25" s="20" t="s">
        <v>85</v>
      </c>
      <c r="B25" s="20" t="s">
        <v>89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85</v>
      </c>
      <c r="B26" s="20" t="s">
        <v>91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134</v>
      </c>
    </row>
    <row r="27" customFormat="false" ht="15" hidden="false" customHeight="false" outlineLevel="0" collapsed="false">
      <c r="A27" s="20" t="s">
        <v>82</v>
      </c>
      <c r="B27" s="20" t="s">
        <v>92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134</v>
      </c>
    </row>
    <row r="28" customFormat="false" ht="15" hidden="false" customHeight="false" outlineLevel="0" collapsed="false">
      <c r="A28" s="20" t="s">
        <v>82</v>
      </c>
      <c r="B28" s="20" t="s">
        <v>93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134</v>
      </c>
    </row>
    <row r="29" customFormat="false" ht="15" hidden="false" customHeight="false" outlineLevel="0" collapsed="false">
      <c r="A29" s="20" t="s">
        <v>85</v>
      </c>
      <c r="B29" s="20" t="s">
        <v>94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134</v>
      </c>
    </row>
    <row r="30" customFormat="false" ht="15" hidden="false" customHeight="false" outlineLevel="0" collapsed="false">
      <c r="A30" s="20" t="s">
        <v>76</v>
      </c>
      <c r="B30" s="20" t="s">
        <v>95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134</v>
      </c>
    </row>
    <row r="31" customFormat="false" ht="15" hidden="false" customHeight="false" outlineLevel="0" collapsed="false">
      <c r="A31" s="22" t="s">
        <v>82</v>
      </c>
      <c r="B31" s="22" t="s">
        <v>96</v>
      </c>
      <c r="C31" s="23" t="n">
        <v>36</v>
      </c>
      <c r="D31" s="22" t="n">
        <v>1</v>
      </c>
      <c r="E31" s="22" t="n">
        <v>0</v>
      </c>
      <c r="F31" s="22" t="n">
        <v>0</v>
      </c>
      <c r="G31" s="22" t="n">
        <v>0</v>
      </c>
      <c r="H31" s="22" t="n">
        <v>2</v>
      </c>
      <c r="I31" s="22" t="s">
        <v>134</v>
      </c>
    </row>
    <row r="32" customFormat="false" ht="15" hidden="false" customHeight="false" outlineLevel="0" collapsed="false">
      <c r="A32" s="20" t="s">
        <v>82</v>
      </c>
      <c r="B32" s="20" t="s">
        <v>97</v>
      </c>
      <c r="C32" s="21" t="n">
        <v>44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134</v>
      </c>
    </row>
    <row r="33" customFormat="false" ht="15" hidden="false" customHeight="false" outlineLevel="0" collapsed="false">
      <c r="A33" s="20" t="s">
        <v>79</v>
      </c>
      <c r="B33" s="20" t="s">
        <v>98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134</v>
      </c>
    </row>
    <row r="34" customFormat="false" ht="15" hidden="false" customHeight="false" outlineLevel="0" collapsed="false">
      <c r="A34" s="20" t="s">
        <v>99</v>
      </c>
      <c r="B34" s="20" t="s">
        <v>100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134</v>
      </c>
    </row>
    <row r="35" customFormat="false" ht="15" hidden="false" customHeight="false" outlineLevel="0" collapsed="false">
      <c r="A35" s="20" t="s">
        <v>101</v>
      </c>
      <c r="B35" s="20" t="s">
        <v>102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134</v>
      </c>
    </row>
    <row r="36" customFormat="false" ht="15" hidden="false" customHeight="false" outlineLevel="0" collapsed="false">
      <c r="A36" s="20" t="s">
        <v>76</v>
      </c>
      <c r="B36" s="20" t="s">
        <v>103</v>
      </c>
      <c r="C36" s="21" t="n">
        <v>44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134</v>
      </c>
    </row>
    <row r="37" customFormat="false" ht="15" hidden="false" customHeight="false" outlineLevel="0" collapsed="false">
      <c r="A37" s="20" t="s">
        <v>99</v>
      </c>
      <c r="B37" s="20" t="s">
        <v>104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134</v>
      </c>
    </row>
    <row r="38" customFormat="false" ht="15" hidden="false" customHeight="false" outlineLevel="0" collapsed="false">
      <c r="A38" s="20" t="s">
        <v>82</v>
      </c>
      <c r="B38" s="20" t="s">
        <v>105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134</v>
      </c>
    </row>
    <row r="39" customFormat="false" ht="15" hidden="false" customHeight="false" outlineLevel="0" collapsed="false">
      <c r="A39" s="20" t="s">
        <v>85</v>
      </c>
      <c r="B39" s="20" t="s">
        <v>106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107</v>
      </c>
      <c r="B40" s="20" t="s">
        <v>108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134</v>
      </c>
    </row>
    <row r="41" customFormat="false" ht="15" hidden="false" customHeight="false" outlineLevel="0" collapsed="false">
      <c r="A41" s="20" t="s">
        <v>101</v>
      </c>
      <c r="B41" s="20" t="s">
        <v>110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87</v>
      </c>
      <c r="B42" s="20" t="s">
        <v>153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79</v>
      </c>
      <c r="B43" s="20" t="s">
        <v>154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99</v>
      </c>
      <c r="B44" s="20" t="s">
        <v>155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107</v>
      </c>
      <c r="B45" s="20" t="s">
        <v>156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8" customFormat="false" ht="15" hidden="false" customHeight="false" outlineLevel="0" collapsed="false">
      <c r="A48" s="18" t="s">
        <v>113</v>
      </c>
    </row>
    <row r="49" customFormat="false" ht="23.85" hidden="false" customHeight="false" outlineLevel="0" collapsed="false">
      <c r="A49" s="3" t="s">
        <v>70</v>
      </c>
      <c r="B49" s="3" t="s">
        <v>71</v>
      </c>
      <c r="C49" s="3" t="s">
        <v>72</v>
      </c>
      <c r="D49" s="3" t="s">
        <v>73</v>
      </c>
      <c r="E49" s="3" t="s">
        <v>12</v>
      </c>
      <c r="F49" s="3" t="s">
        <v>74</v>
      </c>
      <c r="G49" s="3" t="s">
        <v>14</v>
      </c>
      <c r="H49" s="3" t="s">
        <v>15</v>
      </c>
      <c r="I49" s="3" t="s">
        <v>75</v>
      </c>
    </row>
    <row r="50" customFormat="false" ht="15" hidden="false" customHeight="false" outlineLevel="0" collapsed="false">
      <c r="A50" s="20" t="s">
        <v>114</v>
      </c>
      <c r="B50" s="20" t="s">
        <v>115</v>
      </c>
      <c r="C50" s="21" t="n">
        <v>40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174</v>
      </c>
    </row>
    <row r="51" customFormat="false" ht="15" hidden="false" customHeight="false" outlineLevel="0" collapsed="false">
      <c r="A51" s="20" t="s">
        <v>114</v>
      </c>
      <c r="B51" s="20" t="s">
        <v>116</v>
      </c>
      <c r="C51" s="21" t="n">
        <v>40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2</v>
      </c>
      <c r="I51" s="20" t="s">
        <v>78</v>
      </c>
    </row>
    <row r="52" customFormat="false" ht="15" hidden="false" customHeight="false" outlineLevel="0" collapsed="false">
      <c r="A52" s="20" t="s">
        <v>79</v>
      </c>
      <c r="B52" s="20" t="s">
        <v>117</v>
      </c>
      <c r="C52" s="21" t="n">
        <v>44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2</v>
      </c>
      <c r="I52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175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31</v>
      </c>
      <c r="C4" s="17" t="n">
        <v>3</v>
      </c>
      <c r="E4" s="17" t="n">
        <v>1025</v>
      </c>
      <c r="G4" s="17" t="n">
        <v>117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33.06</v>
      </c>
      <c r="C6" s="17" t="n">
        <v>6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176</v>
      </c>
      <c r="C10" s="3" t="s">
        <v>177</v>
      </c>
      <c r="D10" s="3" t="s">
        <v>178</v>
      </c>
      <c r="E10" s="3" t="s">
        <v>179</v>
      </c>
      <c r="F10" s="3" t="s">
        <v>180</v>
      </c>
      <c r="G10" s="3" t="s">
        <v>181</v>
      </c>
      <c r="H10" s="3" t="s">
        <v>182</v>
      </c>
    </row>
    <row r="11" customFormat="false" ht="15" hidden="false" customHeight="false" outlineLevel="0" collapsed="false">
      <c r="A11" s="16" t="s">
        <v>65</v>
      </c>
      <c r="B11" s="19" t="n">
        <v>8</v>
      </c>
      <c r="C11" s="19" t="n">
        <v>8</v>
      </c>
      <c r="D11" s="19" t="n">
        <v>7</v>
      </c>
      <c r="E11" s="19" t="n">
        <v>6</v>
      </c>
      <c r="F11" s="19" t="n">
        <v>5</v>
      </c>
      <c r="G11" s="19" t="n">
        <v>4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10</v>
      </c>
      <c r="C12" s="19" t="n">
        <v>10</v>
      </c>
      <c r="D12" s="19" t="n">
        <v>7</v>
      </c>
      <c r="E12" s="19" t="n">
        <v>8</v>
      </c>
      <c r="F12" s="19" t="n">
        <v>7</v>
      </c>
      <c r="G12" s="19" t="n">
        <v>10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7</v>
      </c>
      <c r="C13" s="19" t="n">
        <v>7</v>
      </c>
      <c r="D13" s="19" t="n">
        <v>6</v>
      </c>
      <c r="E13" s="19" t="n">
        <v>5</v>
      </c>
      <c r="F13" s="19" t="n">
        <v>5</v>
      </c>
      <c r="G13" s="19" t="n">
        <v>5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5</v>
      </c>
      <c r="E14" s="19" t="n">
        <v>6</v>
      </c>
      <c r="F14" s="19" t="n">
        <v>8</v>
      </c>
      <c r="G14" s="19" t="n">
        <v>12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41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134</v>
      </c>
    </row>
    <row r="20" customFormat="false" ht="15" hidden="false" customHeight="false" outlineLevel="0" collapsed="false">
      <c r="A20" s="20" t="s">
        <v>82</v>
      </c>
      <c r="B20" s="20" t="s">
        <v>83</v>
      </c>
      <c r="C20" s="21" t="n">
        <v>41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134</v>
      </c>
    </row>
    <row r="21" customFormat="false" ht="15" hidden="false" customHeight="false" outlineLevel="0" collapsed="false">
      <c r="A21" s="20" t="s">
        <v>79</v>
      </c>
      <c r="B21" s="20" t="s">
        <v>84</v>
      </c>
      <c r="C21" s="21" t="n">
        <v>41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134</v>
      </c>
    </row>
    <row r="22" customFormat="false" ht="15" hidden="false" customHeight="false" outlineLevel="0" collapsed="false">
      <c r="A22" s="20" t="s">
        <v>85</v>
      </c>
      <c r="B22" s="20" t="s">
        <v>86</v>
      </c>
      <c r="C22" s="21" t="n">
        <v>41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134</v>
      </c>
    </row>
    <row r="23" customFormat="false" ht="15" hidden="false" customHeight="false" outlineLevel="0" collapsed="false">
      <c r="A23" s="20" t="s">
        <v>87</v>
      </c>
      <c r="B23" s="20" t="s">
        <v>88</v>
      </c>
      <c r="C23" s="21" t="n">
        <v>41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134</v>
      </c>
    </row>
    <row r="24" customFormat="false" ht="15" hidden="false" customHeight="false" outlineLevel="0" collapsed="false">
      <c r="A24" s="20" t="s">
        <v>85</v>
      </c>
      <c r="B24" s="20" t="s">
        <v>89</v>
      </c>
      <c r="C24" s="21" t="n">
        <v>41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134</v>
      </c>
    </row>
    <row r="25" customFormat="false" ht="15" hidden="false" customHeight="false" outlineLevel="0" collapsed="false">
      <c r="A25" s="20" t="s">
        <v>85</v>
      </c>
      <c r="B25" s="20" t="s">
        <v>91</v>
      </c>
      <c r="C25" s="21" t="n">
        <v>41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82</v>
      </c>
      <c r="B26" s="20" t="s">
        <v>92</v>
      </c>
      <c r="C26" s="21" t="n">
        <v>41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134</v>
      </c>
    </row>
    <row r="27" customFormat="false" ht="15" hidden="false" customHeight="false" outlineLevel="0" collapsed="false">
      <c r="A27" s="20" t="s">
        <v>82</v>
      </c>
      <c r="B27" s="20" t="s">
        <v>93</v>
      </c>
      <c r="C27" s="21" t="n">
        <v>41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134</v>
      </c>
    </row>
    <row r="28" customFormat="false" ht="15" hidden="false" customHeight="false" outlineLevel="0" collapsed="false">
      <c r="A28" s="20" t="s">
        <v>85</v>
      </c>
      <c r="B28" s="20" t="s">
        <v>94</v>
      </c>
      <c r="C28" s="21" t="n">
        <v>41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134</v>
      </c>
    </row>
    <row r="29" customFormat="false" ht="15" hidden="false" customHeight="false" outlineLevel="0" collapsed="false">
      <c r="A29" s="20" t="s">
        <v>76</v>
      </c>
      <c r="B29" s="20" t="s">
        <v>95</v>
      </c>
      <c r="C29" s="21" t="n">
        <v>41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134</v>
      </c>
    </row>
    <row r="30" customFormat="false" ht="15" hidden="false" customHeight="false" outlineLevel="0" collapsed="false">
      <c r="A30" s="20" t="s">
        <v>82</v>
      </c>
      <c r="B30" s="20" t="s">
        <v>96</v>
      </c>
      <c r="C30" s="21" t="n">
        <v>41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134</v>
      </c>
    </row>
    <row r="31" customFormat="false" ht="15" hidden="false" customHeight="false" outlineLevel="0" collapsed="false">
      <c r="A31" s="20" t="s">
        <v>82</v>
      </c>
      <c r="B31" s="20" t="s">
        <v>97</v>
      </c>
      <c r="C31" s="21" t="n">
        <v>41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134</v>
      </c>
    </row>
    <row r="32" customFormat="false" ht="15" hidden="false" customHeight="false" outlineLevel="0" collapsed="false">
      <c r="A32" s="20" t="s">
        <v>79</v>
      </c>
      <c r="B32" s="20" t="s">
        <v>98</v>
      </c>
      <c r="C32" s="21" t="n">
        <v>41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134</v>
      </c>
    </row>
    <row r="33" customFormat="false" ht="15" hidden="false" customHeight="false" outlineLevel="0" collapsed="false">
      <c r="A33" s="24" t="s">
        <v>99</v>
      </c>
      <c r="B33" s="24" t="s">
        <v>100</v>
      </c>
      <c r="C33" s="25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2</v>
      </c>
      <c r="I33" s="24" t="s">
        <v>134</v>
      </c>
    </row>
    <row r="34" customFormat="false" ht="15" hidden="false" customHeight="false" outlineLevel="0" collapsed="false">
      <c r="A34" s="20" t="s">
        <v>101</v>
      </c>
      <c r="B34" s="20" t="s">
        <v>102</v>
      </c>
      <c r="C34" s="21" t="n">
        <v>41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134</v>
      </c>
    </row>
    <row r="35" customFormat="false" ht="15" hidden="false" customHeight="false" outlineLevel="0" collapsed="false">
      <c r="A35" s="24" t="s">
        <v>76</v>
      </c>
      <c r="B35" s="24" t="s">
        <v>103</v>
      </c>
      <c r="C35" s="25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2</v>
      </c>
      <c r="I35" s="24" t="s">
        <v>134</v>
      </c>
    </row>
    <row r="36" customFormat="false" ht="15" hidden="false" customHeight="false" outlineLevel="0" collapsed="false">
      <c r="A36" s="24" t="s">
        <v>99</v>
      </c>
      <c r="B36" s="24" t="s">
        <v>104</v>
      </c>
      <c r="C36" s="25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2</v>
      </c>
      <c r="I36" s="24" t="s">
        <v>134</v>
      </c>
    </row>
    <row r="37" customFormat="false" ht="15" hidden="false" customHeight="false" outlineLevel="0" collapsed="false">
      <c r="A37" s="24" t="s">
        <v>82</v>
      </c>
      <c r="B37" s="24" t="s">
        <v>105</v>
      </c>
      <c r="C37" s="25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2</v>
      </c>
      <c r="I37" s="24" t="s">
        <v>134</v>
      </c>
    </row>
    <row r="38" customFormat="false" ht="15" hidden="false" customHeight="false" outlineLevel="0" collapsed="false">
      <c r="A38" s="24" t="s">
        <v>85</v>
      </c>
      <c r="B38" s="24" t="s">
        <v>106</v>
      </c>
      <c r="C38" s="25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2</v>
      </c>
      <c r="I38" s="24" t="s">
        <v>78</v>
      </c>
    </row>
    <row r="39" customFormat="false" ht="15" hidden="false" customHeight="false" outlineLevel="0" collapsed="false">
      <c r="A39" s="24" t="s">
        <v>107</v>
      </c>
      <c r="B39" s="24" t="s">
        <v>108</v>
      </c>
      <c r="C39" s="25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2</v>
      </c>
      <c r="I39" s="24" t="s">
        <v>134</v>
      </c>
    </row>
    <row r="40" customFormat="false" ht="15" hidden="false" customHeight="false" outlineLevel="0" collapsed="false">
      <c r="A40" s="20" t="s">
        <v>101</v>
      </c>
      <c r="B40" s="20" t="s">
        <v>110</v>
      </c>
      <c r="C40" s="21" t="n">
        <v>41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87</v>
      </c>
      <c r="B41" s="20" t="s">
        <v>153</v>
      </c>
      <c r="C41" s="21" t="n">
        <v>41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79</v>
      </c>
      <c r="B42" s="20" t="s">
        <v>154</v>
      </c>
      <c r="C42" s="21" t="n">
        <v>41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99</v>
      </c>
      <c r="B43" s="20" t="s">
        <v>155</v>
      </c>
      <c r="C43" s="21" t="n">
        <v>41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107</v>
      </c>
      <c r="B44" s="20" t="s">
        <v>156</v>
      </c>
      <c r="C44" s="21" t="n">
        <v>41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114</v>
      </c>
      <c r="B45" s="20" t="s">
        <v>183</v>
      </c>
      <c r="C45" s="21" t="n">
        <v>41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114</v>
      </c>
      <c r="B46" s="20" t="s">
        <v>184</v>
      </c>
      <c r="C46" s="21" t="n">
        <v>41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87</v>
      </c>
      <c r="B47" s="20" t="s">
        <v>185</v>
      </c>
      <c r="C47" s="21" t="n">
        <v>41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76</v>
      </c>
      <c r="B48" s="20" t="s">
        <v>186</v>
      </c>
      <c r="C48" s="21" t="n">
        <v>41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101</v>
      </c>
      <c r="B49" s="20" t="s">
        <v>187</v>
      </c>
      <c r="C49" s="21" t="n">
        <v>41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2" customFormat="false" ht="15" hidden="false" customHeight="false" outlineLevel="0" collapsed="false">
      <c r="A52" s="18" t="s">
        <v>113</v>
      </c>
    </row>
    <row r="53" customFormat="false" ht="23.85" hidden="false" customHeight="false" outlineLevel="0" collapsed="false">
      <c r="A53" s="3" t="s">
        <v>70</v>
      </c>
      <c r="B53" s="3" t="s">
        <v>71</v>
      </c>
      <c r="C53" s="3" t="s">
        <v>72</v>
      </c>
      <c r="D53" s="3" t="s">
        <v>73</v>
      </c>
      <c r="E53" s="3" t="s">
        <v>12</v>
      </c>
      <c r="F53" s="3" t="s">
        <v>74</v>
      </c>
      <c r="G53" s="3" t="s">
        <v>14</v>
      </c>
      <c r="H53" s="3" t="s">
        <v>15</v>
      </c>
      <c r="I53" s="3" t="s">
        <v>75</v>
      </c>
    </row>
    <row r="54" customFormat="false" ht="15" hidden="false" customHeight="false" outlineLevel="0" collapsed="false">
      <c r="A54" s="20" t="s">
        <v>114</v>
      </c>
      <c r="B54" s="20" t="s">
        <v>115</v>
      </c>
      <c r="C54" s="21" t="n">
        <v>39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174</v>
      </c>
    </row>
    <row r="55" customFormat="false" ht="15" hidden="false" customHeight="false" outlineLevel="0" collapsed="false">
      <c r="A55" s="20" t="s">
        <v>114</v>
      </c>
      <c r="B55" s="20" t="s">
        <v>116</v>
      </c>
      <c r="C55" s="21" t="n">
        <v>37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79</v>
      </c>
      <c r="B56" s="20" t="s">
        <v>117</v>
      </c>
      <c r="C56" s="21" t="n">
        <v>41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188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31</v>
      </c>
      <c r="C4" s="17" t="n">
        <v>3</v>
      </c>
      <c r="E4" s="17" t="n">
        <v>1087</v>
      </c>
      <c r="G4" s="17" t="n">
        <v>119.5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35.06</v>
      </c>
      <c r="C6" s="17" t="n">
        <v>0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189</v>
      </c>
      <c r="C10" s="3" t="s">
        <v>190</v>
      </c>
      <c r="D10" s="3" t="s">
        <v>191</v>
      </c>
      <c r="E10" s="3" t="s">
        <v>192</v>
      </c>
      <c r="F10" s="3" t="s">
        <v>193</v>
      </c>
      <c r="G10" s="3" t="s">
        <v>194</v>
      </c>
      <c r="H10" s="3" t="s">
        <v>195</v>
      </c>
    </row>
    <row r="11" customFormat="false" ht="15" hidden="false" customHeight="false" outlineLevel="0" collapsed="false">
      <c r="A11" s="16" t="s">
        <v>65</v>
      </c>
      <c r="B11" s="19" t="n">
        <v>7</v>
      </c>
      <c r="C11" s="19" t="n">
        <v>7</v>
      </c>
      <c r="D11" s="19" t="n">
        <v>7</v>
      </c>
      <c r="E11" s="19" t="n">
        <v>7</v>
      </c>
      <c r="F11" s="19" t="n">
        <v>7</v>
      </c>
      <c r="G11" s="19" t="n">
        <v>9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11</v>
      </c>
      <c r="C12" s="19" t="n">
        <v>10</v>
      </c>
      <c r="D12" s="19" t="n">
        <v>11</v>
      </c>
      <c r="E12" s="19" t="n">
        <v>11</v>
      </c>
      <c r="F12" s="19" t="n">
        <v>11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7</v>
      </c>
      <c r="C13" s="19" t="n">
        <v>7</v>
      </c>
      <c r="D13" s="19" t="n">
        <v>6</v>
      </c>
      <c r="E13" s="19" t="n">
        <v>7</v>
      </c>
      <c r="F13" s="19" t="n">
        <v>7</v>
      </c>
      <c r="G13" s="19" t="n">
        <v>7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6</v>
      </c>
      <c r="E14" s="19" t="n">
        <v>5</v>
      </c>
      <c r="F14" s="19" t="n">
        <v>5</v>
      </c>
      <c r="G14" s="19" t="n">
        <v>15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39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134</v>
      </c>
    </row>
    <row r="20" customFormat="false" ht="15" hidden="false" customHeight="false" outlineLevel="0" collapsed="false">
      <c r="A20" s="20" t="s">
        <v>82</v>
      </c>
      <c r="B20" s="20" t="s">
        <v>83</v>
      </c>
      <c r="C20" s="21" t="n">
        <v>39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134</v>
      </c>
    </row>
    <row r="21" customFormat="false" ht="15" hidden="false" customHeight="false" outlineLevel="0" collapsed="false">
      <c r="A21" s="20" t="s">
        <v>79</v>
      </c>
      <c r="B21" s="20" t="s">
        <v>84</v>
      </c>
      <c r="C21" s="21" t="n">
        <v>8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134</v>
      </c>
    </row>
    <row r="22" customFormat="false" ht="15" hidden="false" customHeight="false" outlineLevel="0" collapsed="false">
      <c r="A22" s="20" t="s">
        <v>85</v>
      </c>
      <c r="B22" s="20" t="s">
        <v>86</v>
      </c>
      <c r="C22" s="21" t="n">
        <v>39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134</v>
      </c>
    </row>
    <row r="23" customFormat="false" ht="15" hidden="false" customHeight="false" outlineLevel="0" collapsed="false">
      <c r="A23" s="20" t="s">
        <v>87</v>
      </c>
      <c r="B23" s="20" t="s">
        <v>88</v>
      </c>
      <c r="C23" s="21" t="n">
        <v>39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134</v>
      </c>
    </row>
    <row r="24" customFormat="false" ht="15" hidden="false" customHeight="false" outlineLevel="0" collapsed="false">
      <c r="A24" s="20" t="s">
        <v>85</v>
      </c>
      <c r="B24" s="20" t="s">
        <v>89</v>
      </c>
      <c r="C24" s="21" t="n">
        <v>39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134</v>
      </c>
    </row>
    <row r="25" customFormat="false" ht="15" hidden="false" customHeight="false" outlineLevel="0" collapsed="false">
      <c r="A25" s="20" t="s">
        <v>85</v>
      </c>
      <c r="B25" s="20" t="s">
        <v>91</v>
      </c>
      <c r="C25" s="21" t="n">
        <v>39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82</v>
      </c>
      <c r="B26" s="20" t="s">
        <v>92</v>
      </c>
      <c r="C26" s="21" t="n">
        <v>39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134</v>
      </c>
    </row>
    <row r="27" customFormat="false" ht="15" hidden="false" customHeight="false" outlineLevel="0" collapsed="false">
      <c r="A27" s="20" t="s">
        <v>82</v>
      </c>
      <c r="B27" s="20" t="s">
        <v>93</v>
      </c>
      <c r="C27" s="21" t="n">
        <v>39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134</v>
      </c>
    </row>
    <row r="28" customFormat="false" ht="15" hidden="false" customHeight="false" outlineLevel="0" collapsed="false">
      <c r="A28" s="20" t="s">
        <v>85</v>
      </c>
      <c r="B28" s="20" t="s">
        <v>94</v>
      </c>
      <c r="C28" s="21" t="n">
        <v>39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134</v>
      </c>
    </row>
    <row r="29" customFormat="false" ht="15" hidden="false" customHeight="false" outlineLevel="0" collapsed="false">
      <c r="A29" s="20" t="s">
        <v>76</v>
      </c>
      <c r="B29" s="20" t="s">
        <v>95</v>
      </c>
      <c r="C29" s="21" t="n">
        <v>39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134</v>
      </c>
    </row>
    <row r="30" customFormat="false" ht="15" hidden="false" customHeight="false" outlineLevel="0" collapsed="false">
      <c r="A30" s="20" t="s">
        <v>82</v>
      </c>
      <c r="B30" s="20" t="s">
        <v>96</v>
      </c>
      <c r="C30" s="21" t="n">
        <v>39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134</v>
      </c>
    </row>
    <row r="31" customFormat="false" ht="15" hidden="false" customHeight="false" outlineLevel="0" collapsed="false">
      <c r="A31" s="20" t="s">
        <v>82</v>
      </c>
      <c r="B31" s="20" t="s">
        <v>97</v>
      </c>
      <c r="C31" s="21" t="n">
        <v>39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134</v>
      </c>
    </row>
    <row r="32" customFormat="false" ht="15" hidden="false" customHeight="false" outlineLevel="0" collapsed="false">
      <c r="A32" s="20" t="s">
        <v>79</v>
      </c>
      <c r="B32" s="20" t="s">
        <v>98</v>
      </c>
      <c r="C32" s="21" t="n">
        <v>39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134</v>
      </c>
    </row>
    <row r="33" customFormat="false" ht="15" hidden="false" customHeight="false" outlineLevel="0" collapsed="false">
      <c r="A33" s="20" t="s">
        <v>99</v>
      </c>
      <c r="B33" s="20" t="s">
        <v>100</v>
      </c>
      <c r="C33" s="21" t="n">
        <v>24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134</v>
      </c>
    </row>
    <row r="34" customFormat="false" ht="15" hidden="false" customHeight="false" outlineLevel="0" collapsed="false">
      <c r="A34" s="20" t="s">
        <v>101</v>
      </c>
      <c r="B34" s="20" t="s">
        <v>102</v>
      </c>
      <c r="C34" s="21" t="n">
        <v>39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134</v>
      </c>
    </row>
    <row r="35" customFormat="false" ht="15" hidden="false" customHeight="false" outlineLevel="0" collapsed="false">
      <c r="A35" s="20" t="s">
        <v>76</v>
      </c>
      <c r="B35" s="20" t="s">
        <v>103</v>
      </c>
      <c r="C35" s="21" t="n">
        <v>24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134</v>
      </c>
    </row>
    <row r="36" customFormat="false" ht="15" hidden="false" customHeight="false" outlineLevel="0" collapsed="false">
      <c r="A36" s="20" t="s">
        <v>99</v>
      </c>
      <c r="B36" s="20" t="s">
        <v>104</v>
      </c>
      <c r="C36" s="21" t="n">
        <v>24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134</v>
      </c>
    </row>
    <row r="37" customFormat="false" ht="15" hidden="false" customHeight="false" outlineLevel="0" collapsed="false">
      <c r="A37" s="20" t="s">
        <v>82</v>
      </c>
      <c r="B37" s="20" t="s">
        <v>105</v>
      </c>
      <c r="C37" s="21" t="n">
        <v>24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134</v>
      </c>
    </row>
    <row r="38" customFormat="false" ht="15" hidden="false" customHeight="false" outlineLevel="0" collapsed="false">
      <c r="A38" s="20" t="s">
        <v>85</v>
      </c>
      <c r="B38" s="20" t="s">
        <v>106</v>
      </c>
      <c r="C38" s="21" t="n">
        <v>23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107</v>
      </c>
      <c r="B39" s="20" t="s">
        <v>108</v>
      </c>
      <c r="C39" s="21" t="n">
        <v>24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134</v>
      </c>
    </row>
    <row r="40" customFormat="false" ht="15" hidden="false" customHeight="false" outlineLevel="0" collapsed="false">
      <c r="A40" s="20" t="s">
        <v>101</v>
      </c>
      <c r="B40" s="20" t="s">
        <v>110</v>
      </c>
      <c r="C40" s="21" t="n">
        <v>39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87</v>
      </c>
      <c r="B41" s="20" t="s">
        <v>153</v>
      </c>
      <c r="C41" s="21" t="n">
        <v>39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79</v>
      </c>
      <c r="B42" s="20" t="s">
        <v>154</v>
      </c>
      <c r="C42" s="21" t="n">
        <v>39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99</v>
      </c>
      <c r="B43" s="20" t="s">
        <v>155</v>
      </c>
      <c r="C43" s="21" t="n">
        <v>39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107</v>
      </c>
      <c r="B44" s="20" t="s">
        <v>156</v>
      </c>
      <c r="C44" s="21" t="n">
        <v>39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114</v>
      </c>
      <c r="B45" s="20" t="s">
        <v>183</v>
      </c>
      <c r="C45" s="21" t="n">
        <v>39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114</v>
      </c>
      <c r="B46" s="20" t="s">
        <v>184</v>
      </c>
      <c r="C46" s="21" t="n">
        <v>39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87</v>
      </c>
      <c r="B47" s="20" t="s">
        <v>185</v>
      </c>
      <c r="C47" s="21" t="n">
        <v>39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76</v>
      </c>
      <c r="B48" s="20" t="s">
        <v>186</v>
      </c>
      <c r="C48" s="21" t="n">
        <v>39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101</v>
      </c>
      <c r="B49" s="20" t="s">
        <v>187</v>
      </c>
      <c r="C49" s="21" t="n">
        <v>39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2" customFormat="false" ht="15" hidden="false" customHeight="false" outlineLevel="0" collapsed="false">
      <c r="A52" s="18" t="s">
        <v>113</v>
      </c>
    </row>
    <row r="53" customFormat="false" ht="23.85" hidden="false" customHeight="false" outlineLevel="0" collapsed="false">
      <c r="A53" s="3" t="s">
        <v>70</v>
      </c>
      <c r="B53" s="3" t="s">
        <v>71</v>
      </c>
      <c r="C53" s="3" t="s">
        <v>72</v>
      </c>
      <c r="D53" s="3" t="s">
        <v>73</v>
      </c>
      <c r="E53" s="3" t="s">
        <v>12</v>
      </c>
      <c r="F53" s="3" t="s">
        <v>74</v>
      </c>
      <c r="G53" s="3" t="s">
        <v>14</v>
      </c>
      <c r="H53" s="3" t="s">
        <v>15</v>
      </c>
      <c r="I53" s="3" t="s">
        <v>75</v>
      </c>
    </row>
    <row r="54" customFormat="false" ht="15" hidden="false" customHeight="false" outlineLevel="0" collapsed="false">
      <c r="A54" s="20" t="s">
        <v>114</v>
      </c>
      <c r="B54" s="20" t="s">
        <v>115</v>
      </c>
      <c r="C54" s="21" t="n">
        <v>35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174</v>
      </c>
    </row>
    <row r="55" customFormat="false" ht="15" hidden="false" customHeight="false" outlineLevel="0" collapsed="false">
      <c r="A55" s="20" t="s">
        <v>114</v>
      </c>
      <c r="B55" s="20" t="s">
        <v>116</v>
      </c>
      <c r="C55" s="21" t="n">
        <v>35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2" t="s">
        <v>79</v>
      </c>
      <c r="B56" s="22" t="s">
        <v>117</v>
      </c>
      <c r="C56" s="23" t="n">
        <v>49.5</v>
      </c>
      <c r="D56" s="22" t="n">
        <v>1</v>
      </c>
      <c r="E56" s="22" t="n">
        <v>0</v>
      </c>
      <c r="F56" s="22" t="n">
        <v>0</v>
      </c>
      <c r="G56" s="22" t="n">
        <v>0</v>
      </c>
      <c r="H56" s="22" t="n">
        <v>2</v>
      </c>
      <c r="I56" s="2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196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31</v>
      </c>
      <c r="C4" s="17" t="n">
        <v>3</v>
      </c>
      <c r="E4" s="17" t="n">
        <v>1109</v>
      </c>
      <c r="G4" s="17" t="n">
        <v>109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35.77</v>
      </c>
      <c r="C6" s="17" t="n">
        <v>1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197</v>
      </c>
      <c r="C10" s="3" t="s">
        <v>198</v>
      </c>
      <c r="D10" s="3" t="s">
        <v>199</v>
      </c>
      <c r="E10" s="3" t="s">
        <v>200</v>
      </c>
      <c r="F10" s="3" t="s">
        <v>201</v>
      </c>
      <c r="G10" s="3" t="s">
        <v>202</v>
      </c>
      <c r="H10" s="3" t="s">
        <v>203</v>
      </c>
    </row>
    <row r="11" customFormat="false" ht="15" hidden="false" customHeight="false" outlineLevel="0" collapsed="false">
      <c r="A11" s="16" t="s">
        <v>65</v>
      </c>
      <c r="B11" s="19" t="n">
        <v>10</v>
      </c>
      <c r="C11" s="19" t="n">
        <v>10</v>
      </c>
      <c r="D11" s="19" t="n">
        <v>6</v>
      </c>
      <c r="E11" s="19" t="n">
        <v>10</v>
      </c>
      <c r="F11" s="19" t="n">
        <v>8</v>
      </c>
      <c r="G11" s="19" t="n">
        <v>8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9</v>
      </c>
      <c r="C12" s="19" t="n">
        <v>8</v>
      </c>
      <c r="D12" s="19" t="n">
        <v>8</v>
      </c>
      <c r="E12" s="19" t="n">
        <v>4</v>
      </c>
      <c r="F12" s="19" t="n">
        <v>9</v>
      </c>
      <c r="G12" s="19" t="n">
        <v>9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7</v>
      </c>
      <c r="C13" s="19" t="n">
        <v>8</v>
      </c>
      <c r="D13" s="19" t="n">
        <v>7</v>
      </c>
      <c r="E13" s="19" t="n">
        <v>7</v>
      </c>
      <c r="F13" s="19" t="n">
        <v>7</v>
      </c>
      <c r="G13" s="19" t="n">
        <v>4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9</v>
      </c>
      <c r="E14" s="19" t="n">
        <v>9</v>
      </c>
      <c r="F14" s="19" t="n">
        <v>6</v>
      </c>
      <c r="G14" s="19" t="n">
        <v>7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39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134</v>
      </c>
    </row>
    <row r="20" customFormat="false" ht="15" hidden="false" customHeight="false" outlineLevel="0" collapsed="false">
      <c r="A20" s="20" t="s">
        <v>82</v>
      </c>
      <c r="B20" s="20" t="s">
        <v>83</v>
      </c>
      <c r="C20" s="21" t="n">
        <v>39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134</v>
      </c>
    </row>
    <row r="21" customFormat="false" ht="15" hidden="false" customHeight="false" outlineLevel="0" collapsed="false">
      <c r="A21" s="24" t="s">
        <v>79</v>
      </c>
      <c r="B21" s="24" t="s">
        <v>84</v>
      </c>
      <c r="C21" s="25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2</v>
      </c>
      <c r="I21" s="24" t="s">
        <v>134</v>
      </c>
    </row>
    <row r="22" customFormat="false" ht="15" hidden="false" customHeight="false" outlineLevel="0" collapsed="false">
      <c r="A22" s="20" t="s">
        <v>85</v>
      </c>
      <c r="B22" s="20" t="s">
        <v>86</v>
      </c>
      <c r="C22" s="21" t="n">
        <v>39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134</v>
      </c>
    </row>
    <row r="23" customFormat="false" ht="15" hidden="false" customHeight="false" outlineLevel="0" collapsed="false">
      <c r="A23" s="20" t="s">
        <v>87</v>
      </c>
      <c r="B23" s="20" t="s">
        <v>88</v>
      </c>
      <c r="C23" s="21" t="n">
        <v>39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134</v>
      </c>
    </row>
    <row r="24" customFormat="false" ht="15" hidden="false" customHeight="false" outlineLevel="0" collapsed="false">
      <c r="A24" s="20" t="s">
        <v>85</v>
      </c>
      <c r="B24" s="20" t="s">
        <v>89</v>
      </c>
      <c r="C24" s="21" t="n">
        <v>39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134</v>
      </c>
    </row>
    <row r="25" customFormat="false" ht="15" hidden="false" customHeight="false" outlineLevel="0" collapsed="false">
      <c r="A25" s="20" t="s">
        <v>85</v>
      </c>
      <c r="B25" s="20" t="s">
        <v>91</v>
      </c>
      <c r="C25" s="21" t="n">
        <v>39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134</v>
      </c>
    </row>
    <row r="26" customFormat="false" ht="15" hidden="false" customHeight="false" outlineLevel="0" collapsed="false">
      <c r="A26" s="20" t="s">
        <v>82</v>
      </c>
      <c r="B26" s="20" t="s">
        <v>92</v>
      </c>
      <c r="C26" s="21" t="n">
        <v>39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134</v>
      </c>
    </row>
    <row r="27" customFormat="false" ht="15" hidden="false" customHeight="false" outlineLevel="0" collapsed="false">
      <c r="A27" s="20" t="s">
        <v>82</v>
      </c>
      <c r="B27" s="20" t="s">
        <v>93</v>
      </c>
      <c r="C27" s="21" t="n">
        <v>39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134</v>
      </c>
    </row>
    <row r="28" customFormat="false" ht="15" hidden="false" customHeight="false" outlineLevel="0" collapsed="false">
      <c r="A28" s="20" t="s">
        <v>85</v>
      </c>
      <c r="B28" s="20" t="s">
        <v>94</v>
      </c>
      <c r="C28" s="21" t="n">
        <v>39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134</v>
      </c>
    </row>
    <row r="29" customFormat="false" ht="15" hidden="false" customHeight="false" outlineLevel="0" collapsed="false">
      <c r="A29" s="20" t="s">
        <v>76</v>
      </c>
      <c r="B29" s="20" t="s">
        <v>95</v>
      </c>
      <c r="C29" s="21" t="n">
        <v>39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134</v>
      </c>
    </row>
    <row r="30" customFormat="false" ht="15" hidden="false" customHeight="false" outlineLevel="0" collapsed="false">
      <c r="A30" s="20" t="s">
        <v>82</v>
      </c>
      <c r="B30" s="20" t="s">
        <v>96</v>
      </c>
      <c r="C30" s="21" t="n">
        <v>39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134</v>
      </c>
    </row>
    <row r="31" customFormat="false" ht="15" hidden="false" customHeight="false" outlineLevel="0" collapsed="false">
      <c r="A31" s="20" t="s">
        <v>82</v>
      </c>
      <c r="B31" s="20" t="s">
        <v>97</v>
      </c>
      <c r="C31" s="21" t="n">
        <v>39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134</v>
      </c>
    </row>
    <row r="32" customFormat="false" ht="15" hidden="false" customHeight="false" outlineLevel="0" collapsed="false">
      <c r="A32" s="20" t="s">
        <v>79</v>
      </c>
      <c r="B32" s="20" t="s">
        <v>98</v>
      </c>
      <c r="C32" s="21" t="n">
        <v>39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134</v>
      </c>
    </row>
    <row r="33" customFormat="false" ht="15" hidden="false" customHeight="false" outlineLevel="0" collapsed="false">
      <c r="A33" s="20" t="s">
        <v>99</v>
      </c>
      <c r="B33" s="20" t="s">
        <v>100</v>
      </c>
      <c r="C33" s="21" t="n">
        <v>39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134</v>
      </c>
    </row>
    <row r="34" customFormat="false" ht="15" hidden="false" customHeight="false" outlineLevel="0" collapsed="false">
      <c r="A34" s="20" t="s">
        <v>101</v>
      </c>
      <c r="B34" s="20" t="s">
        <v>102</v>
      </c>
      <c r="C34" s="21" t="n">
        <v>39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134</v>
      </c>
    </row>
    <row r="35" customFormat="false" ht="15" hidden="false" customHeight="false" outlineLevel="0" collapsed="false">
      <c r="A35" s="20" t="s">
        <v>76</v>
      </c>
      <c r="B35" s="20" t="s">
        <v>103</v>
      </c>
      <c r="C35" s="21" t="n">
        <v>24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134</v>
      </c>
    </row>
    <row r="36" customFormat="false" ht="15" hidden="false" customHeight="false" outlineLevel="0" collapsed="false">
      <c r="A36" s="20" t="s">
        <v>99</v>
      </c>
      <c r="B36" s="20" t="s">
        <v>104</v>
      </c>
      <c r="C36" s="21" t="n">
        <v>24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134</v>
      </c>
    </row>
    <row r="37" customFormat="false" ht="15" hidden="false" customHeight="false" outlineLevel="0" collapsed="false">
      <c r="A37" s="20" t="s">
        <v>82</v>
      </c>
      <c r="B37" s="20" t="s">
        <v>105</v>
      </c>
      <c r="C37" s="21" t="n">
        <v>39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134</v>
      </c>
    </row>
    <row r="38" customFormat="false" ht="15" hidden="false" customHeight="false" outlineLevel="0" collapsed="false">
      <c r="A38" s="20" t="s">
        <v>85</v>
      </c>
      <c r="B38" s="20" t="s">
        <v>106</v>
      </c>
      <c r="C38" s="21" t="n">
        <v>23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107</v>
      </c>
      <c r="B39" s="20" t="s">
        <v>108</v>
      </c>
      <c r="C39" s="21" t="n">
        <v>24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134</v>
      </c>
    </row>
    <row r="40" customFormat="false" ht="15" hidden="false" customHeight="false" outlineLevel="0" collapsed="false">
      <c r="A40" s="20" t="s">
        <v>101</v>
      </c>
      <c r="B40" s="20" t="s">
        <v>110</v>
      </c>
      <c r="C40" s="21" t="n">
        <v>39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87</v>
      </c>
      <c r="B41" s="20" t="s">
        <v>153</v>
      </c>
      <c r="C41" s="21" t="n">
        <v>39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79</v>
      </c>
      <c r="B42" s="20" t="s">
        <v>154</v>
      </c>
      <c r="C42" s="21" t="n">
        <v>39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99</v>
      </c>
      <c r="B43" s="20" t="s">
        <v>155</v>
      </c>
      <c r="C43" s="21" t="n">
        <v>39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107</v>
      </c>
      <c r="B44" s="20" t="s">
        <v>156</v>
      </c>
      <c r="C44" s="21" t="n">
        <v>39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114</v>
      </c>
      <c r="B45" s="20" t="s">
        <v>183</v>
      </c>
      <c r="C45" s="21" t="n">
        <v>39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114</v>
      </c>
      <c r="B46" s="20" t="s">
        <v>184</v>
      </c>
      <c r="C46" s="21" t="n">
        <v>39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87</v>
      </c>
      <c r="B47" s="20" t="s">
        <v>185</v>
      </c>
      <c r="C47" s="21" t="n">
        <v>39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76</v>
      </c>
      <c r="B48" s="20" t="s">
        <v>186</v>
      </c>
      <c r="C48" s="21" t="n">
        <v>39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101</v>
      </c>
      <c r="B49" s="20" t="s">
        <v>187</v>
      </c>
      <c r="C49" s="21" t="n">
        <v>39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2" customFormat="false" ht="15" hidden="false" customHeight="false" outlineLevel="0" collapsed="false">
      <c r="A52" s="18" t="s">
        <v>113</v>
      </c>
    </row>
    <row r="53" customFormat="false" ht="23.85" hidden="false" customHeight="false" outlineLevel="0" collapsed="false">
      <c r="A53" s="3" t="s">
        <v>70</v>
      </c>
      <c r="B53" s="3" t="s">
        <v>71</v>
      </c>
      <c r="C53" s="3" t="s">
        <v>72</v>
      </c>
      <c r="D53" s="3" t="s">
        <v>73</v>
      </c>
      <c r="E53" s="3" t="s">
        <v>12</v>
      </c>
      <c r="F53" s="3" t="s">
        <v>74</v>
      </c>
      <c r="G53" s="3" t="s">
        <v>14</v>
      </c>
      <c r="H53" s="3" t="s">
        <v>15</v>
      </c>
      <c r="I53" s="3" t="s">
        <v>75</v>
      </c>
    </row>
    <row r="54" customFormat="false" ht="15" hidden="false" customHeight="false" outlineLevel="0" collapsed="false">
      <c r="A54" s="20" t="s">
        <v>114</v>
      </c>
      <c r="B54" s="20" t="s">
        <v>115</v>
      </c>
      <c r="C54" s="21" t="n">
        <v>35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174</v>
      </c>
    </row>
    <row r="55" customFormat="false" ht="15" hidden="false" customHeight="false" outlineLevel="0" collapsed="false">
      <c r="A55" s="20" t="s">
        <v>114</v>
      </c>
      <c r="B55" s="20" t="s">
        <v>116</v>
      </c>
      <c r="C55" s="21" t="n">
        <v>35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79</v>
      </c>
      <c r="B56" s="20" t="s">
        <v>117</v>
      </c>
      <c r="C56" s="21" t="n">
        <v>39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204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31</v>
      </c>
      <c r="C4" s="17" t="n">
        <v>3</v>
      </c>
      <c r="E4" s="17" t="n">
        <v>1170</v>
      </c>
      <c r="G4" s="17" t="n">
        <v>109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37.74</v>
      </c>
      <c r="C6" s="17" t="n">
        <v>1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205</v>
      </c>
      <c r="C10" s="3" t="s">
        <v>206</v>
      </c>
      <c r="D10" s="3" t="s">
        <v>207</v>
      </c>
      <c r="E10" s="3" t="s">
        <v>208</v>
      </c>
      <c r="F10" s="3" t="s">
        <v>209</v>
      </c>
      <c r="G10" s="3" t="s">
        <v>210</v>
      </c>
      <c r="H10" s="3" t="s">
        <v>211</v>
      </c>
    </row>
    <row r="11" customFormat="false" ht="15" hidden="false" customHeight="false" outlineLevel="0" collapsed="false">
      <c r="A11" s="16" t="s">
        <v>65</v>
      </c>
      <c r="B11" s="19" t="n">
        <v>8</v>
      </c>
      <c r="C11" s="19" t="n">
        <v>8</v>
      </c>
      <c r="D11" s="19" t="n">
        <v>11</v>
      </c>
      <c r="E11" s="19" t="n">
        <v>10</v>
      </c>
      <c r="F11" s="19" t="n">
        <v>11</v>
      </c>
      <c r="G11" s="19" t="n">
        <v>7</v>
      </c>
      <c r="H11" s="19" t="n">
        <v>2</v>
      </c>
    </row>
    <row r="12" customFormat="false" ht="15" hidden="false" customHeight="false" outlineLevel="0" collapsed="false">
      <c r="A12" s="16" t="s">
        <v>66</v>
      </c>
      <c r="B12" s="19" t="n">
        <v>10</v>
      </c>
      <c r="C12" s="19" t="n">
        <v>10</v>
      </c>
      <c r="D12" s="19" t="n">
        <v>10</v>
      </c>
      <c r="E12" s="19" t="n">
        <v>10</v>
      </c>
      <c r="F12" s="19" t="n">
        <v>10</v>
      </c>
      <c r="G12" s="19" t="n">
        <v>0</v>
      </c>
      <c r="H12" s="19" t="n">
        <v>2</v>
      </c>
    </row>
    <row r="13" customFormat="false" ht="15" hidden="false" customHeight="false" outlineLevel="0" collapsed="false">
      <c r="A13" s="16" t="s">
        <v>67</v>
      </c>
      <c r="B13" s="19" t="n">
        <v>6</v>
      </c>
      <c r="C13" s="19" t="n">
        <v>6</v>
      </c>
      <c r="D13" s="19" t="n">
        <v>7</v>
      </c>
      <c r="E13" s="19" t="n">
        <v>7</v>
      </c>
      <c r="F13" s="19" t="n">
        <v>6</v>
      </c>
      <c r="G13" s="19" t="n">
        <v>7</v>
      </c>
      <c r="H13" s="19" t="n">
        <v>2</v>
      </c>
    </row>
    <row r="14" customFormat="false" ht="15" hidden="false" customHeight="false" outlineLevel="0" collapsed="false">
      <c r="A14" s="16" t="s">
        <v>68</v>
      </c>
      <c r="B14" s="19" t="n">
        <v>6</v>
      </c>
      <c r="C14" s="19" t="n">
        <v>6</v>
      </c>
      <c r="D14" s="19" t="n">
        <v>2</v>
      </c>
      <c r="E14" s="19" t="n">
        <v>3</v>
      </c>
      <c r="F14" s="19" t="n">
        <v>3</v>
      </c>
      <c r="G14" s="19" t="n">
        <v>17</v>
      </c>
      <c r="H14" s="19" t="n">
        <v>25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39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82</v>
      </c>
      <c r="B20" s="20" t="s">
        <v>83</v>
      </c>
      <c r="C20" s="21" t="n">
        <v>39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4" t="s">
        <v>79</v>
      </c>
      <c r="B21" s="24" t="s">
        <v>84</v>
      </c>
      <c r="C21" s="25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2</v>
      </c>
      <c r="I21" s="24" t="s">
        <v>78</v>
      </c>
    </row>
    <row r="22" customFormat="false" ht="15" hidden="false" customHeight="false" outlineLevel="0" collapsed="false">
      <c r="A22" s="20" t="s">
        <v>85</v>
      </c>
      <c r="B22" s="20" t="s">
        <v>86</v>
      </c>
      <c r="C22" s="21" t="n">
        <v>39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87</v>
      </c>
      <c r="B23" s="20" t="s">
        <v>88</v>
      </c>
      <c r="C23" s="21" t="n">
        <v>39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89</v>
      </c>
      <c r="C24" s="21" t="n">
        <v>39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85</v>
      </c>
      <c r="B25" s="20" t="s">
        <v>91</v>
      </c>
      <c r="C25" s="21" t="n">
        <v>39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92</v>
      </c>
      <c r="C26" s="21" t="n">
        <v>39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82</v>
      </c>
      <c r="B27" s="20" t="s">
        <v>93</v>
      </c>
      <c r="C27" s="21" t="n">
        <v>39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85</v>
      </c>
      <c r="B28" s="20" t="s">
        <v>94</v>
      </c>
      <c r="C28" s="21" t="n">
        <v>39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76</v>
      </c>
      <c r="B29" s="20" t="s">
        <v>95</v>
      </c>
      <c r="C29" s="21" t="n">
        <v>39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96</v>
      </c>
      <c r="C30" s="21" t="n">
        <v>39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82</v>
      </c>
      <c r="B31" s="20" t="s">
        <v>97</v>
      </c>
      <c r="C31" s="21" t="n">
        <v>39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79</v>
      </c>
      <c r="B32" s="20" t="s">
        <v>98</v>
      </c>
      <c r="C32" s="21" t="n">
        <v>39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99</v>
      </c>
      <c r="B33" s="20" t="s">
        <v>100</v>
      </c>
      <c r="C33" s="21" t="n">
        <v>39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101</v>
      </c>
      <c r="B34" s="20" t="s">
        <v>102</v>
      </c>
      <c r="C34" s="21" t="n">
        <v>39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76</v>
      </c>
      <c r="B35" s="20" t="s">
        <v>103</v>
      </c>
      <c r="C35" s="21" t="n">
        <v>39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99</v>
      </c>
      <c r="B36" s="20" t="s">
        <v>104</v>
      </c>
      <c r="C36" s="21" t="n">
        <v>39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82</v>
      </c>
      <c r="B37" s="20" t="s">
        <v>105</v>
      </c>
      <c r="C37" s="21" t="n">
        <v>39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85</v>
      </c>
      <c r="B38" s="20" t="s">
        <v>106</v>
      </c>
      <c r="C38" s="21" t="n">
        <v>39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107</v>
      </c>
      <c r="B39" s="20" t="s">
        <v>108</v>
      </c>
      <c r="C39" s="21" t="n">
        <v>39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101</v>
      </c>
      <c r="B40" s="20" t="s">
        <v>110</v>
      </c>
      <c r="C40" s="21" t="n">
        <v>39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87</v>
      </c>
      <c r="B41" s="20" t="s">
        <v>153</v>
      </c>
      <c r="C41" s="21" t="n">
        <v>39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79</v>
      </c>
      <c r="B42" s="20" t="s">
        <v>154</v>
      </c>
      <c r="C42" s="21" t="n">
        <v>39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99</v>
      </c>
      <c r="B43" s="20" t="s">
        <v>155</v>
      </c>
      <c r="C43" s="21" t="n">
        <v>39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107</v>
      </c>
      <c r="B44" s="20" t="s">
        <v>156</v>
      </c>
      <c r="C44" s="21" t="n">
        <v>39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114</v>
      </c>
      <c r="B45" s="20" t="s">
        <v>183</v>
      </c>
      <c r="C45" s="21" t="n">
        <v>39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114</v>
      </c>
      <c r="B46" s="20" t="s">
        <v>184</v>
      </c>
      <c r="C46" s="21" t="n">
        <v>39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87</v>
      </c>
      <c r="B47" s="20" t="s">
        <v>185</v>
      </c>
      <c r="C47" s="21" t="n">
        <v>39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76</v>
      </c>
      <c r="B48" s="20" t="s">
        <v>186</v>
      </c>
      <c r="C48" s="21" t="n">
        <v>39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101</v>
      </c>
      <c r="B49" s="20" t="s">
        <v>187</v>
      </c>
      <c r="C49" s="21" t="n">
        <v>39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2" customFormat="false" ht="15" hidden="false" customHeight="false" outlineLevel="0" collapsed="false">
      <c r="A52" s="18" t="s">
        <v>113</v>
      </c>
    </row>
    <row r="53" customFormat="false" ht="23.85" hidden="false" customHeight="false" outlineLevel="0" collapsed="false">
      <c r="A53" s="3" t="s">
        <v>70</v>
      </c>
      <c r="B53" s="3" t="s">
        <v>71</v>
      </c>
      <c r="C53" s="3" t="s">
        <v>72</v>
      </c>
      <c r="D53" s="3" t="s">
        <v>73</v>
      </c>
      <c r="E53" s="3" t="s">
        <v>12</v>
      </c>
      <c r="F53" s="3" t="s">
        <v>74</v>
      </c>
      <c r="G53" s="3" t="s">
        <v>14</v>
      </c>
      <c r="H53" s="3" t="s">
        <v>15</v>
      </c>
      <c r="I53" s="3" t="s">
        <v>75</v>
      </c>
    </row>
    <row r="54" customFormat="false" ht="15" hidden="false" customHeight="false" outlineLevel="0" collapsed="false">
      <c r="A54" s="20" t="s">
        <v>114</v>
      </c>
      <c r="B54" s="20" t="s">
        <v>115</v>
      </c>
      <c r="C54" s="21" t="n">
        <v>35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78</v>
      </c>
    </row>
    <row r="55" customFormat="false" ht="15" hidden="false" customHeight="false" outlineLevel="0" collapsed="false">
      <c r="A55" s="20" t="s">
        <v>114</v>
      </c>
      <c r="B55" s="20" t="s">
        <v>116</v>
      </c>
      <c r="C55" s="21" t="n">
        <v>35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79</v>
      </c>
      <c r="B56" s="20" t="s">
        <v>117</v>
      </c>
      <c r="C56" s="21" t="n">
        <v>39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212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30</v>
      </c>
      <c r="C4" s="17" t="n">
        <v>3</v>
      </c>
      <c r="E4" s="17" t="n">
        <v>999</v>
      </c>
      <c r="G4" s="17" t="n">
        <v>108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33.3</v>
      </c>
      <c r="C6" s="17" t="n">
        <v>2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213</v>
      </c>
      <c r="C10" s="3" t="s">
        <v>214</v>
      </c>
      <c r="D10" s="3" t="s">
        <v>215</v>
      </c>
      <c r="E10" s="3" t="s">
        <v>216</v>
      </c>
      <c r="F10" s="3" t="s">
        <v>217</v>
      </c>
      <c r="G10" s="3" t="s">
        <v>218</v>
      </c>
      <c r="H10" s="3" t="s">
        <v>219</v>
      </c>
    </row>
    <row r="11" customFormat="false" ht="15" hidden="false" customHeight="false" outlineLevel="0" collapsed="false">
      <c r="A11" s="16" t="s">
        <v>65</v>
      </c>
      <c r="B11" s="19" t="n">
        <v>5</v>
      </c>
      <c r="C11" s="19" t="n">
        <v>8</v>
      </c>
      <c r="D11" s="19" t="n">
        <v>9</v>
      </c>
      <c r="E11" s="19" t="n">
        <v>8</v>
      </c>
      <c r="F11" s="19" t="n">
        <v>8</v>
      </c>
      <c r="G11" s="19" t="n">
        <v>11</v>
      </c>
      <c r="H11" s="19" t="n">
        <v>3</v>
      </c>
    </row>
    <row r="12" customFormat="false" ht="15" hidden="false" customHeight="false" outlineLevel="0" collapsed="false">
      <c r="A12" s="16" t="s">
        <v>66</v>
      </c>
      <c r="B12" s="19" t="n">
        <v>8</v>
      </c>
      <c r="C12" s="19" t="n">
        <v>7</v>
      </c>
      <c r="D12" s="19" t="n">
        <v>7</v>
      </c>
      <c r="E12" s="19" t="n">
        <v>7</v>
      </c>
      <c r="F12" s="19" t="n">
        <v>6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4</v>
      </c>
      <c r="C13" s="19" t="n">
        <v>8</v>
      </c>
      <c r="D13" s="19" t="n">
        <v>4</v>
      </c>
      <c r="E13" s="19" t="n">
        <v>6</v>
      </c>
      <c r="F13" s="19" t="n">
        <v>5</v>
      </c>
      <c r="G13" s="19" t="n">
        <v>7</v>
      </c>
      <c r="H13" s="19" t="n">
        <v>3</v>
      </c>
    </row>
    <row r="14" customFormat="false" ht="15" hidden="false" customHeight="false" outlineLevel="0" collapsed="false">
      <c r="A14" s="16" t="s">
        <v>68</v>
      </c>
      <c r="B14" s="19" t="n">
        <v>6</v>
      </c>
      <c r="C14" s="19" t="n">
        <v>4</v>
      </c>
      <c r="D14" s="19" t="n">
        <v>8</v>
      </c>
      <c r="E14" s="19" t="n">
        <v>7</v>
      </c>
      <c r="F14" s="19" t="n">
        <v>9</v>
      </c>
      <c r="G14" s="19" t="n">
        <v>1</v>
      </c>
      <c r="H14" s="19" t="n">
        <v>24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4" t="s">
        <v>79</v>
      </c>
      <c r="B20" s="24" t="s">
        <v>84</v>
      </c>
      <c r="C20" s="25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2</v>
      </c>
      <c r="I20" s="24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40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40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40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41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41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40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41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33</v>
      </c>
      <c r="D31" s="20" t="n">
        <v>0</v>
      </c>
      <c r="E31" s="20" t="n">
        <v>0</v>
      </c>
      <c r="F31" s="20" t="n">
        <v>1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25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32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99</v>
      </c>
      <c r="B35" s="20" t="s">
        <v>104</v>
      </c>
      <c r="C35" s="21" t="n">
        <v>33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82</v>
      </c>
      <c r="B36" s="20" t="s">
        <v>105</v>
      </c>
      <c r="C36" s="21" t="n">
        <v>33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85</v>
      </c>
      <c r="B37" s="20" t="s">
        <v>106</v>
      </c>
      <c r="C37" s="21" t="n">
        <v>24</v>
      </c>
      <c r="D37" s="20" t="n">
        <v>0</v>
      </c>
      <c r="E37" s="20" t="n">
        <v>0</v>
      </c>
      <c r="F37" s="20" t="n">
        <v>1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4" t="s">
        <v>107</v>
      </c>
      <c r="B38" s="24" t="s">
        <v>108</v>
      </c>
      <c r="C38" s="25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1</v>
      </c>
      <c r="I38" s="24" t="s">
        <v>78</v>
      </c>
    </row>
    <row r="39" customFormat="false" ht="15" hidden="false" customHeight="false" outlineLevel="0" collapsed="false">
      <c r="A39" s="20" t="s">
        <v>101</v>
      </c>
      <c r="B39" s="20" t="s">
        <v>110</v>
      </c>
      <c r="C39" s="21" t="n">
        <v>32</v>
      </c>
      <c r="D39" s="20" t="n">
        <v>0</v>
      </c>
      <c r="E39" s="20" t="n">
        <v>0</v>
      </c>
      <c r="F39" s="20" t="n">
        <v>1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87</v>
      </c>
      <c r="B40" s="20" t="s">
        <v>153</v>
      </c>
      <c r="C40" s="21" t="n">
        <v>32</v>
      </c>
      <c r="D40" s="20" t="n">
        <v>0</v>
      </c>
      <c r="E40" s="20" t="n">
        <v>0</v>
      </c>
      <c r="F40" s="20" t="n">
        <v>1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79</v>
      </c>
      <c r="B41" s="20" t="s">
        <v>154</v>
      </c>
      <c r="C41" s="21" t="n">
        <v>40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99</v>
      </c>
      <c r="B42" s="20" t="s">
        <v>155</v>
      </c>
      <c r="C42" s="21" t="n">
        <v>40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107</v>
      </c>
      <c r="B43" s="20" t="s">
        <v>156</v>
      </c>
      <c r="C43" s="21" t="n">
        <v>32</v>
      </c>
      <c r="D43" s="20" t="n">
        <v>0</v>
      </c>
      <c r="E43" s="20" t="n">
        <v>0</v>
      </c>
      <c r="F43" s="20" t="n">
        <v>1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114</v>
      </c>
      <c r="B44" s="20" t="s">
        <v>183</v>
      </c>
      <c r="C44" s="21" t="n">
        <v>32</v>
      </c>
      <c r="D44" s="20" t="n">
        <v>0</v>
      </c>
      <c r="E44" s="20" t="n">
        <v>0</v>
      </c>
      <c r="F44" s="20" t="n">
        <v>1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114</v>
      </c>
      <c r="B45" s="20" t="s">
        <v>184</v>
      </c>
      <c r="C45" s="21" t="n">
        <v>32</v>
      </c>
      <c r="D45" s="20" t="n">
        <v>0</v>
      </c>
      <c r="E45" s="20" t="n">
        <v>0</v>
      </c>
      <c r="F45" s="20" t="n">
        <v>1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87</v>
      </c>
      <c r="B46" s="20" t="s">
        <v>185</v>
      </c>
      <c r="C46" s="21" t="n">
        <v>32</v>
      </c>
      <c r="D46" s="20" t="n">
        <v>0</v>
      </c>
      <c r="E46" s="20" t="n">
        <v>0</v>
      </c>
      <c r="F46" s="20" t="n">
        <v>1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76</v>
      </c>
      <c r="B47" s="20" t="s">
        <v>186</v>
      </c>
      <c r="C47" s="21" t="n">
        <v>32</v>
      </c>
      <c r="D47" s="20" t="n">
        <v>0</v>
      </c>
      <c r="E47" s="20" t="n">
        <v>0</v>
      </c>
      <c r="F47" s="20" t="n">
        <v>1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101</v>
      </c>
      <c r="B48" s="20" t="s">
        <v>187</v>
      </c>
      <c r="C48" s="21" t="n">
        <v>32</v>
      </c>
      <c r="D48" s="20" t="n">
        <v>0</v>
      </c>
      <c r="E48" s="20" t="n">
        <v>0</v>
      </c>
      <c r="F48" s="20" t="n">
        <v>1</v>
      </c>
      <c r="G48" s="20" t="n">
        <v>0</v>
      </c>
      <c r="H48" s="20" t="n">
        <v>2</v>
      </c>
      <c r="I48" s="20" t="s">
        <v>78</v>
      </c>
    </row>
    <row r="51" customFormat="false" ht="15" hidden="false" customHeight="false" outlineLevel="0" collapsed="false">
      <c r="A51" s="18" t="s">
        <v>113</v>
      </c>
    </row>
    <row r="52" customFormat="false" ht="23.85" hidden="false" customHeight="false" outlineLevel="0" collapsed="false">
      <c r="A52" s="3" t="s">
        <v>70</v>
      </c>
      <c r="B52" s="3" t="s">
        <v>71</v>
      </c>
      <c r="C52" s="3" t="s">
        <v>72</v>
      </c>
      <c r="D52" s="3" t="s">
        <v>73</v>
      </c>
      <c r="E52" s="3" t="s">
        <v>12</v>
      </c>
      <c r="F52" s="3" t="s">
        <v>74</v>
      </c>
      <c r="G52" s="3" t="s">
        <v>14</v>
      </c>
      <c r="H52" s="3" t="s">
        <v>15</v>
      </c>
      <c r="I52" s="3" t="s">
        <v>75</v>
      </c>
    </row>
    <row r="53" customFormat="false" ht="15" hidden="false" customHeight="false" outlineLevel="0" collapsed="false">
      <c r="A53" s="20" t="s">
        <v>114</v>
      </c>
      <c r="B53" s="20" t="s">
        <v>115</v>
      </c>
      <c r="C53" s="21" t="n">
        <v>36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2</v>
      </c>
      <c r="I53" s="20" t="s">
        <v>78</v>
      </c>
    </row>
    <row r="54" customFormat="false" ht="15" hidden="false" customHeight="false" outlineLevel="0" collapsed="false">
      <c r="A54" s="20" t="s">
        <v>114</v>
      </c>
      <c r="B54" s="20" t="s">
        <v>116</v>
      </c>
      <c r="C54" s="21" t="n">
        <v>35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78</v>
      </c>
    </row>
    <row r="55" customFormat="false" ht="15" hidden="false" customHeight="false" outlineLevel="0" collapsed="false">
      <c r="A55" s="20" t="s">
        <v>79</v>
      </c>
      <c r="B55" s="20" t="s">
        <v>117</v>
      </c>
      <c r="C55" s="21" t="n">
        <v>37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220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29</v>
      </c>
      <c r="C4" s="17" t="n">
        <v>3</v>
      </c>
      <c r="E4" s="17" t="n">
        <v>1080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37.24</v>
      </c>
      <c r="C6" s="17" t="n">
        <v>3</v>
      </c>
      <c r="E6" s="17" t="n">
        <v>5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221</v>
      </c>
      <c r="C10" s="3" t="s">
        <v>222</v>
      </c>
      <c r="D10" s="3" t="s">
        <v>223</v>
      </c>
      <c r="E10" s="3" t="s">
        <v>224</v>
      </c>
      <c r="F10" s="3" t="s">
        <v>225</v>
      </c>
      <c r="G10" s="3" t="s">
        <v>226</v>
      </c>
      <c r="H10" s="3" t="s">
        <v>227</v>
      </c>
    </row>
    <row r="11" customFormat="false" ht="15" hidden="false" customHeight="false" outlineLevel="0" collapsed="false">
      <c r="A11" s="16" t="s">
        <v>65</v>
      </c>
      <c r="B11" s="19" t="n">
        <v>6</v>
      </c>
      <c r="C11" s="19" t="n">
        <v>6</v>
      </c>
      <c r="D11" s="19" t="n">
        <v>9</v>
      </c>
      <c r="E11" s="19" t="n">
        <v>9</v>
      </c>
      <c r="F11" s="19" t="n">
        <v>8</v>
      </c>
      <c r="G11" s="19" t="n">
        <v>10</v>
      </c>
      <c r="H11" s="19" t="n">
        <v>0</v>
      </c>
    </row>
    <row r="12" customFormat="false" ht="15" hidden="false" customHeight="false" outlineLevel="0" collapsed="false">
      <c r="A12" s="16" t="s">
        <v>66</v>
      </c>
      <c r="B12" s="19" t="n">
        <v>7</v>
      </c>
      <c r="C12" s="19" t="n">
        <v>7</v>
      </c>
      <c r="D12" s="19" t="n">
        <v>8</v>
      </c>
      <c r="E12" s="19" t="n">
        <v>8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5</v>
      </c>
      <c r="C13" s="19" t="n">
        <v>5</v>
      </c>
      <c r="D13" s="19" t="n">
        <v>6</v>
      </c>
      <c r="E13" s="19" t="n">
        <v>7</v>
      </c>
      <c r="F13" s="19" t="n">
        <v>7</v>
      </c>
      <c r="G13" s="19" t="n">
        <v>7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5</v>
      </c>
      <c r="C14" s="19" t="n">
        <v>5</v>
      </c>
      <c r="D14" s="19" t="n">
        <v>4</v>
      </c>
      <c r="E14" s="19" t="n">
        <v>3</v>
      </c>
      <c r="F14" s="19" t="n">
        <v>12</v>
      </c>
      <c r="G14" s="19" t="n">
        <v>11</v>
      </c>
      <c r="H14" s="19" t="n">
        <v>22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4" t="s">
        <v>79</v>
      </c>
      <c r="B20" s="24" t="s">
        <v>84</v>
      </c>
      <c r="C20" s="25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2</v>
      </c>
      <c r="I20" s="24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28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4" t="s">
        <v>99</v>
      </c>
      <c r="B35" s="24" t="s">
        <v>104</v>
      </c>
      <c r="C35" s="25" t="n">
        <v>0</v>
      </c>
      <c r="D35" s="24" t="n">
        <v>5</v>
      </c>
      <c r="E35" s="24" t="n">
        <v>0</v>
      </c>
      <c r="F35" s="24" t="n">
        <v>0</v>
      </c>
      <c r="G35" s="24" t="n">
        <v>0</v>
      </c>
      <c r="H35" s="24" t="n">
        <v>2</v>
      </c>
      <c r="I35" s="24" t="s">
        <v>228</v>
      </c>
    </row>
    <row r="36" customFormat="false" ht="15" hidden="false" customHeight="false" outlineLevel="0" collapsed="false">
      <c r="A36" s="20" t="s">
        <v>82</v>
      </c>
      <c r="B36" s="20" t="s">
        <v>105</v>
      </c>
      <c r="C36" s="21" t="n">
        <v>28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85</v>
      </c>
      <c r="B37" s="20" t="s">
        <v>106</v>
      </c>
      <c r="C37" s="21" t="n">
        <v>28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4" t="s">
        <v>107</v>
      </c>
      <c r="B38" s="24" t="s">
        <v>108</v>
      </c>
      <c r="C38" s="25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1</v>
      </c>
      <c r="I38" s="24" t="s">
        <v>78</v>
      </c>
    </row>
    <row r="39" customFormat="false" ht="15" hidden="false" customHeight="false" outlineLevel="0" collapsed="false">
      <c r="A39" s="20" t="s">
        <v>101</v>
      </c>
      <c r="B39" s="20" t="s">
        <v>110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87</v>
      </c>
      <c r="B40" s="20" t="s">
        <v>153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79</v>
      </c>
      <c r="B41" s="20" t="s">
        <v>154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99</v>
      </c>
      <c r="B42" s="20" t="s">
        <v>155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107</v>
      </c>
      <c r="B43" s="20" t="s">
        <v>156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114</v>
      </c>
      <c r="B44" s="20" t="s">
        <v>184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87</v>
      </c>
      <c r="B45" s="20" t="s">
        <v>185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76</v>
      </c>
      <c r="B46" s="20" t="s">
        <v>186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101</v>
      </c>
      <c r="B47" s="20" t="s">
        <v>187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50" customFormat="false" ht="15" hidden="false" customHeight="false" outlineLevel="0" collapsed="false">
      <c r="A50" s="18" t="s">
        <v>113</v>
      </c>
    </row>
    <row r="51" customFormat="false" ht="23.85" hidden="false" customHeight="false" outlineLevel="0" collapsed="false">
      <c r="A51" s="3" t="s">
        <v>70</v>
      </c>
      <c r="B51" s="3" t="s">
        <v>71</v>
      </c>
      <c r="C51" s="3" t="s">
        <v>72</v>
      </c>
      <c r="D51" s="3" t="s">
        <v>73</v>
      </c>
      <c r="E51" s="3" t="s">
        <v>12</v>
      </c>
      <c r="F51" s="3" t="s">
        <v>74</v>
      </c>
      <c r="G51" s="3" t="s">
        <v>14</v>
      </c>
      <c r="H51" s="3" t="s">
        <v>15</v>
      </c>
      <c r="I51" s="3" t="s">
        <v>75</v>
      </c>
    </row>
    <row r="52" customFormat="false" ht="15" hidden="false" customHeight="false" outlineLevel="0" collapsed="false">
      <c r="A52" s="20" t="s">
        <v>114</v>
      </c>
      <c r="B52" s="20" t="s">
        <v>115</v>
      </c>
      <c r="C52" s="21" t="n">
        <v>40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2</v>
      </c>
      <c r="I52" s="20" t="s">
        <v>78</v>
      </c>
    </row>
    <row r="53" customFormat="false" ht="15" hidden="false" customHeight="false" outlineLevel="0" collapsed="false">
      <c r="A53" s="20" t="s">
        <v>114</v>
      </c>
      <c r="B53" s="20" t="s">
        <v>116</v>
      </c>
      <c r="C53" s="21" t="n">
        <v>40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2</v>
      </c>
      <c r="I53" s="20" t="s">
        <v>78</v>
      </c>
    </row>
    <row r="54" customFormat="false" ht="15" hidden="false" customHeight="false" outlineLevel="0" collapsed="false">
      <c r="A54" s="20" t="s">
        <v>79</v>
      </c>
      <c r="B54" s="20" t="s">
        <v>117</v>
      </c>
      <c r="C54" s="21" t="n">
        <v>40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229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29</v>
      </c>
      <c r="C4" s="17" t="n">
        <v>3</v>
      </c>
      <c r="E4" s="17" t="n">
        <v>1152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39.72</v>
      </c>
      <c r="C6" s="17" t="n">
        <v>1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230</v>
      </c>
      <c r="C10" s="3" t="s">
        <v>231</v>
      </c>
      <c r="D10" s="3" t="s">
        <v>232</v>
      </c>
      <c r="E10" s="3" t="s">
        <v>233</v>
      </c>
      <c r="F10" s="3" t="s">
        <v>234</v>
      </c>
      <c r="G10" s="3" t="s">
        <v>235</v>
      </c>
      <c r="H10" s="3" t="s">
        <v>236</v>
      </c>
    </row>
    <row r="11" customFormat="false" ht="15" hidden="false" customHeight="false" outlineLevel="0" collapsed="false">
      <c r="A11" s="16" t="s">
        <v>65</v>
      </c>
      <c r="B11" s="19" t="n">
        <v>11</v>
      </c>
      <c r="C11" s="19" t="n">
        <v>16</v>
      </c>
      <c r="D11" s="19" t="n">
        <v>18</v>
      </c>
      <c r="E11" s="19" t="n">
        <v>15</v>
      </c>
      <c r="F11" s="19" t="n">
        <v>15</v>
      </c>
      <c r="G11" s="19" t="n">
        <v>8</v>
      </c>
      <c r="H11" s="19" t="n">
        <v>3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7</v>
      </c>
      <c r="C13" s="19" t="n">
        <v>8</v>
      </c>
      <c r="D13" s="19" t="n">
        <v>7</v>
      </c>
      <c r="E13" s="19" t="n">
        <v>6</v>
      </c>
      <c r="F13" s="19" t="n">
        <v>7</v>
      </c>
      <c r="G13" s="19" t="n">
        <v>6</v>
      </c>
      <c r="H13" s="19" t="n">
        <v>3</v>
      </c>
    </row>
    <row r="14" customFormat="false" ht="15" hidden="false" customHeight="false" outlineLevel="0" collapsed="false">
      <c r="A14" s="16" t="s">
        <v>68</v>
      </c>
      <c r="B14" s="19" t="n">
        <v>4</v>
      </c>
      <c r="C14" s="19" t="n">
        <v>0</v>
      </c>
      <c r="D14" s="19" t="n">
        <v>3</v>
      </c>
      <c r="E14" s="19" t="n">
        <v>7</v>
      </c>
      <c r="F14" s="19" t="n">
        <v>6</v>
      </c>
      <c r="G14" s="19" t="n">
        <v>15</v>
      </c>
      <c r="H14" s="19" t="n">
        <v>23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4" t="s">
        <v>79</v>
      </c>
      <c r="B20" s="24" t="s">
        <v>84</v>
      </c>
      <c r="C20" s="25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2</v>
      </c>
      <c r="I20" s="24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36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99</v>
      </c>
      <c r="B35" s="20" t="s">
        <v>104</v>
      </c>
      <c r="C35" s="21" t="n">
        <v>28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82</v>
      </c>
      <c r="B36" s="20" t="s">
        <v>105</v>
      </c>
      <c r="C36" s="21" t="n">
        <v>28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85</v>
      </c>
      <c r="B37" s="20" t="s">
        <v>106</v>
      </c>
      <c r="C37" s="21" t="n">
        <v>28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107</v>
      </c>
      <c r="B38" s="20" t="s">
        <v>108</v>
      </c>
      <c r="C38" s="21" t="n">
        <v>36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101</v>
      </c>
      <c r="B39" s="20" t="s">
        <v>110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87</v>
      </c>
      <c r="B40" s="20" t="s">
        <v>153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79</v>
      </c>
      <c r="B41" s="20" t="s">
        <v>154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99</v>
      </c>
      <c r="B42" s="20" t="s">
        <v>155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107</v>
      </c>
      <c r="B43" s="20" t="s">
        <v>156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114</v>
      </c>
      <c r="B44" s="20" t="s">
        <v>184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87</v>
      </c>
      <c r="B45" s="20" t="s">
        <v>185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76</v>
      </c>
      <c r="B46" s="20" t="s">
        <v>186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101</v>
      </c>
      <c r="B47" s="20" t="s">
        <v>187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50" customFormat="false" ht="15" hidden="false" customHeight="false" outlineLevel="0" collapsed="false">
      <c r="A50" s="18" t="s">
        <v>113</v>
      </c>
    </row>
    <row r="51" customFormat="false" ht="23.85" hidden="false" customHeight="false" outlineLevel="0" collapsed="false">
      <c r="A51" s="3" t="s">
        <v>70</v>
      </c>
      <c r="B51" s="3" t="s">
        <v>71</v>
      </c>
      <c r="C51" s="3" t="s">
        <v>72</v>
      </c>
      <c r="D51" s="3" t="s">
        <v>73</v>
      </c>
      <c r="E51" s="3" t="s">
        <v>12</v>
      </c>
      <c r="F51" s="3" t="s">
        <v>74</v>
      </c>
      <c r="G51" s="3" t="s">
        <v>14</v>
      </c>
      <c r="H51" s="3" t="s">
        <v>15</v>
      </c>
      <c r="I51" s="3" t="s">
        <v>75</v>
      </c>
    </row>
    <row r="52" customFormat="false" ht="15" hidden="false" customHeight="false" outlineLevel="0" collapsed="false">
      <c r="A52" s="20" t="s">
        <v>114</v>
      </c>
      <c r="B52" s="20" t="s">
        <v>115</v>
      </c>
      <c r="C52" s="21" t="n">
        <v>40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2</v>
      </c>
      <c r="I52" s="20" t="s">
        <v>78</v>
      </c>
    </row>
    <row r="53" customFormat="false" ht="15" hidden="false" customHeight="false" outlineLevel="0" collapsed="false">
      <c r="A53" s="20" t="s">
        <v>114</v>
      </c>
      <c r="B53" s="20" t="s">
        <v>116</v>
      </c>
      <c r="C53" s="21" t="n">
        <v>40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2</v>
      </c>
      <c r="I53" s="20" t="s">
        <v>78</v>
      </c>
    </row>
    <row r="54" customFormat="false" ht="15" hidden="false" customHeight="false" outlineLevel="0" collapsed="false">
      <c r="A54" s="20" t="s">
        <v>79</v>
      </c>
      <c r="B54" s="20" t="s">
        <v>117</v>
      </c>
      <c r="C54" s="21" t="n">
        <v>40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237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36</v>
      </c>
      <c r="C4" s="17" t="n">
        <v>3</v>
      </c>
      <c r="E4" s="17" t="n">
        <v>1415</v>
      </c>
      <c r="G4" s="17" t="n">
        <v>109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39.31</v>
      </c>
      <c r="C6" s="17" t="n">
        <v>1</v>
      </c>
      <c r="E6" s="17" t="n">
        <v>11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238</v>
      </c>
      <c r="C10" s="3" t="s">
        <v>239</v>
      </c>
      <c r="D10" s="3" t="s">
        <v>240</v>
      </c>
      <c r="E10" s="3" t="s">
        <v>241</v>
      </c>
      <c r="F10" s="3" t="s">
        <v>242</v>
      </c>
      <c r="G10" s="3" t="s">
        <v>243</v>
      </c>
      <c r="H10" s="3" t="s">
        <v>244</v>
      </c>
    </row>
    <row r="11" customFormat="false" ht="15" hidden="false" customHeight="false" outlineLevel="0" collapsed="false">
      <c r="A11" s="16" t="s">
        <v>65</v>
      </c>
      <c r="B11" s="19" t="n">
        <v>9</v>
      </c>
      <c r="C11" s="19" t="n">
        <v>13</v>
      </c>
      <c r="D11" s="19" t="n">
        <v>20</v>
      </c>
      <c r="E11" s="19" t="n">
        <v>15</v>
      </c>
      <c r="F11" s="19" t="n">
        <v>19</v>
      </c>
      <c r="G11" s="19" t="n">
        <v>17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7</v>
      </c>
      <c r="C13" s="19" t="n">
        <v>6</v>
      </c>
      <c r="D13" s="19" t="n">
        <v>10</v>
      </c>
      <c r="E13" s="19" t="n">
        <v>13</v>
      </c>
      <c r="F13" s="19" t="n">
        <v>8</v>
      </c>
      <c r="G13" s="19" t="n">
        <v>8</v>
      </c>
      <c r="H13" s="19" t="n">
        <v>4</v>
      </c>
    </row>
    <row r="14" customFormat="false" ht="15" hidden="false" customHeight="false" outlineLevel="0" collapsed="false">
      <c r="A14" s="16" t="s">
        <v>68</v>
      </c>
      <c r="B14" s="19" t="n">
        <v>20</v>
      </c>
      <c r="C14" s="19" t="n">
        <v>3</v>
      </c>
      <c r="D14" s="19" t="n">
        <v>4</v>
      </c>
      <c r="E14" s="19" t="n">
        <v>8</v>
      </c>
      <c r="F14" s="19" t="n">
        <v>9</v>
      </c>
      <c r="G14" s="19" t="n">
        <v>11</v>
      </c>
      <c r="H14" s="19" t="n">
        <v>28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4" t="s">
        <v>79</v>
      </c>
      <c r="B20" s="24" t="s">
        <v>84</v>
      </c>
      <c r="C20" s="25" t="n">
        <v>0</v>
      </c>
      <c r="D20" s="24" t="n">
        <v>5</v>
      </c>
      <c r="E20" s="24" t="n">
        <v>0</v>
      </c>
      <c r="F20" s="24" t="n">
        <v>0</v>
      </c>
      <c r="G20" s="24" t="n">
        <v>0</v>
      </c>
      <c r="H20" s="24" t="n">
        <v>2</v>
      </c>
      <c r="I20" s="24" t="s">
        <v>245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43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36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28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99</v>
      </c>
      <c r="B35" s="20" t="s">
        <v>104</v>
      </c>
      <c r="C35" s="21" t="n">
        <v>28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82</v>
      </c>
      <c r="B36" s="20" t="s">
        <v>105</v>
      </c>
      <c r="C36" s="21" t="n">
        <v>36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2" t="s">
        <v>85</v>
      </c>
      <c r="B37" s="22" t="s">
        <v>106</v>
      </c>
      <c r="C37" s="23" t="n">
        <v>19</v>
      </c>
      <c r="D37" s="22" t="n">
        <v>2</v>
      </c>
      <c r="E37" s="22" t="n">
        <v>0</v>
      </c>
      <c r="F37" s="22" t="n">
        <v>0</v>
      </c>
      <c r="G37" s="22" t="n">
        <v>0</v>
      </c>
      <c r="H37" s="22" t="n">
        <v>2</v>
      </c>
      <c r="I37" s="22" t="s">
        <v>78</v>
      </c>
    </row>
    <row r="38" customFormat="false" ht="15" hidden="false" customHeight="false" outlineLevel="0" collapsed="false">
      <c r="A38" s="22" t="s">
        <v>107</v>
      </c>
      <c r="B38" s="22" t="s">
        <v>108</v>
      </c>
      <c r="C38" s="23" t="n">
        <v>1</v>
      </c>
      <c r="D38" s="22" t="n">
        <v>4</v>
      </c>
      <c r="E38" s="22" t="n">
        <v>0</v>
      </c>
      <c r="F38" s="22" t="n">
        <v>0</v>
      </c>
      <c r="G38" s="22" t="n">
        <v>0</v>
      </c>
      <c r="H38" s="22" t="n">
        <v>2</v>
      </c>
      <c r="I38" s="22" t="s">
        <v>245</v>
      </c>
    </row>
    <row r="39" customFormat="false" ht="15" hidden="false" customHeight="false" outlineLevel="0" collapsed="false">
      <c r="A39" s="20" t="s">
        <v>101</v>
      </c>
      <c r="B39" s="20" t="s">
        <v>110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87</v>
      </c>
      <c r="B40" s="20" t="s">
        <v>153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79</v>
      </c>
      <c r="B41" s="20" t="s">
        <v>154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99</v>
      </c>
      <c r="B42" s="20" t="s">
        <v>155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107</v>
      </c>
      <c r="B43" s="20" t="s">
        <v>156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114</v>
      </c>
      <c r="B44" s="20" t="s">
        <v>184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87</v>
      </c>
      <c r="B45" s="20" t="s">
        <v>185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101</v>
      </c>
      <c r="B46" s="20" t="s">
        <v>187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76</v>
      </c>
      <c r="B47" s="20" t="s">
        <v>246</v>
      </c>
      <c r="C47" s="21" t="n">
        <v>43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247</v>
      </c>
    </row>
    <row r="48" customFormat="false" ht="15" hidden="false" customHeight="false" outlineLevel="0" collapsed="false">
      <c r="A48" s="20" t="s">
        <v>82</v>
      </c>
      <c r="B48" s="20" t="s">
        <v>248</v>
      </c>
      <c r="C48" s="21" t="n">
        <v>43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247</v>
      </c>
    </row>
    <row r="49" customFormat="false" ht="15" hidden="false" customHeight="false" outlineLevel="0" collapsed="false">
      <c r="A49" s="20" t="s">
        <v>79</v>
      </c>
      <c r="B49" s="20" t="s">
        <v>249</v>
      </c>
      <c r="C49" s="21" t="n">
        <v>43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247</v>
      </c>
    </row>
    <row r="50" customFormat="false" ht="15" hidden="false" customHeight="false" outlineLevel="0" collapsed="false">
      <c r="A50" s="20" t="s">
        <v>79</v>
      </c>
      <c r="B50" s="20" t="s">
        <v>250</v>
      </c>
      <c r="C50" s="21" t="n">
        <v>43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247</v>
      </c>
    </row>
    <row r="51" customFormat="false" ht="15" hidden="false" customHeight="false" outlineLevel="0" collapsed="false">
      <c r="A51" s="20" t="s">
        <v>82</v>
      </c>
      <c r="B51" s="20" t="s">
        <v>251</v>
      </c>
      <c r="C51" s="21" t="n">
        <v>43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2</v>
      </c>
      <c r="I51" s="20" t="s">
        <v>247</v>
      </c>
    </row>
    <row r="52" customFormat="false" ht="15" hidden="false" customHeight="false" outlineLevel="0" collapsed="false">
      <c r="A52" s="20" t="s">
        <v>82</v>
      </c>
      <c r="B52" s="20" t="s">
        <v>252</v>
      </c>
      <c r="C52" s="21" t="n">
        <v>43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2</v>
      </c>
      <c r="I52" s="20" t="s">
        <v>247</v>
      </c>
    </row>
    <row r="53" customFormat="false" ht="15" hidden="false" customHeight="false" outlineLevel="0" collapsed="false">
      <c r="A53" s="20" t="s">
        <v>85</v>
      </c>
      <c r="B53" s="20" t="s">
        <v>253</v>
      </c>
      <c r="C53" s="21" t="n">
        <v>43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2</v>
      </c>
      <c r="I53" s="20" t="s">
        <v>247</v>
      </c>
    </row>
    <row r="54" customFormat="false" ht="15" hidden="false" customHeight="false" outlineLevel="0" collapsed="false">
      <c r="A54" s="20" t="s">
        <v>107</v>
      </c>
      <c r="B54" s="20" t="s">
        <v>254</v>
      </c>
      <c r="C54" s="21" t="n">
        <v>43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2</v>
      </c>
      <c r="I54" s="20" t="s">
        <v>247</v>
      </c>
    </row>
    <row r="57" customFormat="false" ht="15" hidden="false" customHeight="false" outlineLevel="0" collapsed="false">
      <c r="A57" s="18" t="s">
        <v>113</v>
      </c>
    </row>
    <row r="58" customFormat="false" ht="23.85" hidden="false" customHeight="false" outlineLevel="0" collapsed="false">
      <c r="A58" s="3" t="s">
        <v>70</v>
      </c>
      <c r="B58" s="3" t="s">
        <v>71</v>
      </c>
      <c r="C58" s="3" t="s">
        <v>72</v>
      </c>
      <c r="D58" s="3" t="s">
        <v>73</v>
      </c>
      <c r="E58" s="3" t="s">
        <v>12</v>
      </c>
      <c r="F58" s="3" t="s">
        <v>74</v>
      </c>
      <c r="G58" s="3" t="s">
        <v>14</v>
      </c>
      <c r="H58" s="3" t="s">
        <v>15</v>
      </c>
      <c r="I58" s="3" t="s">
        <v>75</v>
      </c>
    </row>
    <row r="59" customFormat="false" ht="15" hidden="false" customHeight="false" outlineLevel="0" collapsed="false">
      <c r="A59" s="20" t="s">
        <v>114</v>
      </c>
      <c r="B59" s="20" t="s">
        <v>115</v>
      </c>
      <c r="C59" s="21" t="n">
        <v>40</v>
      </c>
      <c r="D59" s="20" t="n">
        <v>0</v>
      </c>
      <c r="E59" s="20" t="n">
        <v>0</v>
      </c>
      <c r="F59" s="20" t="n">
        <v>0</v>
      </c>
      <c r="G59" s="20" t="n">
        <v>0</v>
      </c>
      <c r="H59" s="20" t="n">
        <v>2</v>
      </c>
      <c r="I59" s="20" t="s">
        <v>78</v>
      </c>
    </row>
    <row r="60" customFormat="false" ht="15" hidden="false" customHeight="false" outlineLevel="0" collapsed="false">
      <c r="A60" s="20" t="s">
        <v>114</v>
      </c>
      <c r="B60" s="20" t="s">
        <v>116</v>
      </c>
      <c r="C60" s="21" t="n">
        <v>30</v>
      </c>
      <c r="D60" s="20" t="n">
        <v>0</v>
      </c>
      <c r="E60" s="20" t="n">
        <v>0</v>
      </c>
      <c r="F60" s="20" t="n">
        <v>0</v>
      </c>
      <c r="G60" s="20" t="n">
        <v>0</v>
      </c>
      <c r="H60" s="20" t="n">
        <v>2</v>
      </c>
      <c r="I60" s="20" t="s">
        <v>78</v>
      </c>
    </row>
    <row r="61" customFormat="false" ht="15" hidden="false" customHeight="false" outlineLevel="0" collapsed="false">
      <c r="A61" s="20" t="s">
        <v>79</v>
      </c>
      <c r="B61" s="20" t="s">
        <v>117</v>
      </c>
      <c r="C61" s="21" t="n">
        <v>39</v>
      </c>
      <c r="D61" s="20" t="n">
        <v>0</v>
      </c>
      <c r="E61" s="20" t="n">
        <v>0</v>
      </c>
      <c r="F61" s="20" t="n">
        <v>0</v>
      </c>
      <c r="G61" s="20" t="n">
        <v>0</v>
      </c>
      <c r="H61" s="20" t="n">
        <v>2</v>
      </c>
      <c r="I61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255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35</v>
      </c>
      <c r="C4" s="17" t="n">
        <v>3</v>
      </c>
      <c r="E4" s="17" t="n">
        <v>1449</v>
      </c>
      <c r="G4" s="17" t="n">
        <v>119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41.4</v>
      </c>
      <c r="C6" s="17" t="n">
        <v>0</v>
      </c>
      <c r="E6" s="17" t="n">
        <v>5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256</v>
      </c>
      <c r="C10" s="3" t="s">
        <v>257</v>
      </c>
      <c r="D10" s="3" t="s">
        <v>258</v>
      </c>
      <c r="E10" s="3" t="s">
        <v>259</v>
      </c>
      <c r="F10" s="3" t="s">
        <v>260</v>
      </c>
      <c r="G10" s="3" t="s">
        <v>261</v>
      </c>
      <c r="H10" s="3" t="s">
        <v>262</v>
      </c>
    </row>
    <row r="11" customFormat="false" ht="15" hidden="false" customHeight="false" outlineLevel="0" collapsed="false">
      <c r="A11" s="16" t="s">
        <v>65</v>
      </c>
      <c r="B11" s="19" t="n">
        <v>10</v>
      </c>
      <c r="C11" s="19" t="n">
        <v>13</v>
      </c>
      <c r="D11" s="19" t="n">
        <v>13</v>
      </c>
      <c r="E11" s="19" t="n">
        <v>11</v>
      </c>
      <c r="F11" s="19" t="n">
        <v>13</v>
      </c>
      <c r="G11" s="19" t="n">
        <v>10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5</v>
      </c>
      <c r="C12" s="19" t="n">
        <v>5</v>
      </c>
      <c r="D12" s="19" t="n">
        <v>5</v>
      </c>
      <c r="E12" s="19" t="n">
        <v>0</v>
      </c>
      <c r="F12" s="19" t="n">
        <v>5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12</v>
      </c>
      <c r="C13" s="19" t="n">
        <v>12</v>
      </c>
      <c r="D13" s="19" t="n">
        <v>13</v>
      </c>
      <c r="E13" s="19" t="n">
        <v>10</v>
      </c>
      <c r="F13" s="19" t="n">
        <v>11</v>
      </c>
      <c r="G13" s="19" t="n">
        <v>8</v>
      </c>
      <c r="H13" s="19" t="n">
        <v>4</v>
      </c>
    </row>
    <row r="14" customFormat="false" ht="15" hidden="false" customHeight="false" outlineLevel="0" collapsed="false">
      <c r="A14" s="16" t="s">
        <v>68</v>
      </c>
      <c r="B14" s="19" t="n">
        <v>4</v>
      </c>
      <c r="C14" s="19" t="n">
        <v>3</v>
      </c>
      <c r="D14" s="19" t="n">
        <v>4</v>
      </c>
      <c r="E14" s="19" t="n">
        <v>14</v>
      </c>
      <c r="F14" s="19" t="n">
        <v>6</v>
      </c>
      <c r="G14" s="19" t="n">
        <v>16</v>
      </c>
      <c r="H14" s="19" t="n">
        <v>26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2" t="s">
        <v>85</v>
      </c>
      <c r="B23" s="22" t="s">
        <v>89</v>
      </c>
      <c r="C23" s="23" t="n">
        <v>27</v>
      </c>
      <c r="D23" s="22" t="n">
        <v>2</v>
      </c>
      <c r="E23" s="22" t="n">
        <v>0</v>
      </c>
      <c r="F23" s="22" t="n">
        <v>0</v>
      </c>
      <c r="G23" s="22" t="n">
        <v>0</v>
      </c>
      <c r="H23" s="22" t="n">
        <v>2</v>
      </c>
      <c r="I23" s="22" t="s">
        <v>228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36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263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99</v>
      </c>
      <c r="B35" s="20" t="s">
        <v>104</v>
      </c>
      <c r="C35" s="21" t="n">
        <v>28</v>
      </c>
      <c r="D35" s="20" t="n">
        <v>0</v>
      </c>
      <c r="E35" s="20" t="n">
        <v>0</v>
      </c>
      <c r="F35" s="20" t="n">
        <v>0</v>
      </c>
      <c r="G35" s="20" t="n">
        <v>2</v>
      </c>
      <c r="H35" s="20" t="n">
        <v>0</v>
      </c>
      <c r="I35" s="20" t="s">
        <v>264</v>
      </c>
    </row>
    <row r="36" customFormat="false" ht="15" hidden="false" customHeight="false" outlineLevel="0" collapsed="false">
      <c r="A36" s="22" t="s">
        <v>82</v>
      </c>
      <c r="B36" s="22" t="s">
        <v>105</v>
      </c>
      <c r="C36" s="23" t="n">
        <v>19</v>
      </c>
      <c r="D36" s="22" t="n">
        <v>2</v>
      </c>
      <c r="E36" s="22" t="n">
        <v>0</v>
      </c>
      <c r="F36" s="22" t="n">
        <v>0</v>
      </c>
      <c r="G36" s="22" t="n">
        <v>0</v>
      </c>
      <c r="H36" s="22" t="n">
        <v>2</v>
      </c>
      <c r="I36" s="22" t="s">
        <v>265</v>
      </c>
    </row>
    <row r="37" customFormat="false" ht="15" hidden="false" customHeight="false" outlineLevel="0" collapsed="false">
      <c r="A37" s="22" t="s">
        <v>85</v>
      </c>
      <c r="B37" s="22" t="s">
        <v>106</v>
      </c>
      <c r="C37" s="23" t="n">
        <v>35</v>
      </c>
      <c r="D37" s="22" t="n">
        <v>1</v>
      </c>
      <c r="E37" s="22" t="n">
        <v>0</v>
      </c>
      <c r="F37" s="22" t="n">
        <v>0</v>
      </c>
      <c r="G37" s="22" t="n">
        <v>0</v>
      </c>
      <c r="H37" s="22" t="n">
        <v>2</v>
      </c>
      <c r="I37" s="22" t="s">
        <v>228</v>
      </c>
    </row>
    <row r="38" customFormat="false" ht="15" hidden="false" customHeight="false" outlineLevel="0" collapsed="false">
      <c r="A38" s="20" t="s">
        <v>107</v>
      </c>
      <c r="B38" s="20" t="s">
        <v>108</v>
      </c>
      <c r="C38" s="21" t="n">
        <v>28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264</v>
      </c>
    </row>
    <row r="39" customFormat="false" ht="15" hidden="false" customHeight="false" outlineLevel="0" collapsed="false">
      <c r="A39" s="20" t="s">
        <v>101</v>
      </c>
      <c r="B39" s="20" t="s">
        <v>110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87</v>
      </c>
      <c r="B40" s="20" t="s">
        <v>153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79</v>
      </c>
      <c r="B41" s="20" t="s">
        <v>154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99</v>
      </c>
      <c r="B42" s="20" t="s">
        <v>155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107</v>
      </c>
      <c r="B43" s="20" t="s">
        <v>156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114</v>
      </c>
      <c r="B44" s="20" t="s">
        <v>184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87</v>
      </c>
      <c r="B45" s="20" t="s">
        <v>185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101</v>
      </c>
      <c r="B46" s="20" t="s">
        <v>187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82</v>
      </c>
      <c r="B47" s="20" t="s">
        <v>248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79</v>
      </c>
      <c r="B48" s="20" t="s">
        <v>249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79</v>
      </c>
      <c r="B49" s="20" t="s">
        <v>250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82</v>
      </c>
      <c r="B50" s="20" t="s">
        <v>251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1" customFormat="false" ht="15" hidden="false" customHeight="false" outlineLevel="0" collapsed="false">
      <c r="A51" s="20" t="s">
        <v>82</v>
      </c>
      <c r="B51" s="20" t="s">
        <v>252</v>
      </c>
      <c r="C51" s="21" t="n">
        <v>44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2</v>
      </c>
      <c r="I51" s="20" t="s">
        <v>78</v>
      </c>
    </row>
    <row r="52" customFormat="false" ht="15" hidden="false" customHeight="false" outlineLevel="0" collapsed="false">
      <c r="A52" s="20" t="s">
        <v>85</v>
      </c>
      <c r="B52" s="20" t="s">
        <v>253</v>
      </c>
      <c r="C52" s="21" t="n">
        <v>44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2</v>
      </c>
      <c r="I52" s="20" t="s">
        <v>78</v>
      </c>
    </row>
    <row r="53" customFormat="false" ht="15" hidden="false" customHeight="false" outlineLevel="0" collapsed="false">
      <c r="A53" s="20" t="s">
        <v>107</v>
      </c>
      <c r="B53" s="20" t="s">
        <v>254</v>
      </c>
      <c r="C53" s="21" t="n">
        <v>44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2</v>
      </c>
      <c r="I53" s="20" t="s">
        <v>78</v>
      </c>
    </row>
    <row r="56" customFormat="false" ht="15" hidden="false" customHeight="false" outlineLevel="0" collapsed="false">
      <c r="A56" s="18" t="s">
        <v>113</v>
      </c>
    </row>
    <row r="57" customFormat="false" ht="23.85" hidden="false" customHeight="false" outlineLevel="0" collapsed="false">
      <c r="A57" s="3" t="s">
        <v>70</v>
      </c>
      <c r="B57" s="3" t="s">
        <v>71</v>
      </c>
      <c r="C57" s="3" t="s">
        <v>72</v>
      </c>
      <c r="D57" s="3" t="s">
        <v>73</v>
      </c>
      <c r="E57" s="3" t="s">
        <v>12</v>
      </c>
      <c r="F57" s="3" t="s">
        <v>74</v>
      </c>
      <c r="G57" s="3" t="s">
        <v>14</v>
      </c>
      <c r="H57" s="3" t="s">
        <v>15</v>
      </c>
      <c r="I57" s="3" t="s">
        <v>75</v>
      </c>
    </row>
    <row r="58" customFormat="false" ht="15" hidden="false" customHeight="false" outlineLevel="0" collapsed="false">
      <c r="A58" s="20" t="s">
        <v>114</v>
      </c>
      <c r="B58" s="20" t="s">
        <v>115</v>
      </c>
      <c r="C58" s="21" t="n">
        <v>40</v>
      </c>
      <c r="D58" s="20" t="n">
        <v>0</v>
      </c>
      <c r="E58" s="20" t="n">
        <v>0</v>
      </c>
      <c r="F58" s="20" t="n">
        <v>0</v>
      </c>
      <c r="G58" s="20" t="n">
        <v>0</v>
      </c>
      <c r="H58" s="20" t="n">
        <v>2</v>
      </c>
      <c r="I58" s="20" t="s">
        <v>78</v>
      </c>
    </row>
    <row r="59" customFormat="false" ht="15" hidden="false" customHeight="false" outlineLevel="0" collapsed="false">
      <c r="A59" s="20" t="s">
        <v>114</v>
      </c>
      <c r="B59" s="20" t="s">
        <v>116</v>
      </c>
      <c r="C59" s="21" t="n">
        <v>40</v>
      </c>
      <c r="D59" s="20" t="n">
        <v>0</v>
      </c>
      <c r="E59" s="20" t="n">
        <v>0</v>
      </c>
      <c r="F59" s="20" t="n">
        <v>0</v>
      </c>
      <c r="G59" s="20" t="n">
        <v>0</v>
      </c>
      <c r="H59" s="20" t="n">
        <v>2</v>
      </c>
      <c r="I59" s="20" t="s">
        <v>78</v>
      </c>
    </row>
    <row r="60" customFormat="false" ht="15" hidden="false" customHeight="false" outlineLevel="0" collapsed="false">
      <c r="A60" s="20" t="s">
        <v>79</v>
      </c>
      <c r="B60" s="20" t="s">
        <v>117</v>
      </c>
      <c r="C60" s="21" t="n">
        <v>39</v>
      </c>
      <c r="D60" s="20" t="n">
        <v>0</v>
      </c>
      <c r="E60" s="20" t="n">
        <v>0</v>
      </c>
      <c r="F60" s="20" t="n">
        <v>0</v>
      </c>
      <c r="G60" s="20" t="n">
        <v>0</v>
      </c>
      <c r="H60" s="20" t="n">
        <v>2</v>
      </c>
      <c r="I60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266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1280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40</v>
      </c>
      <c r="C6" s="17" t="n">
        <v>2</v>
      </c>
      <c r="E6" s="17" t="n">
        <v>10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267</v>
      </c>
      <c r="C10" s="3" t="s">
        <v>268</v>
      </c>
      <c r="D10" s="3" t="s">
        <v>269</v>
      </c>
      <c r="E10" s="3" t="s">
        <v>270</v>
      </c>
      <c r="F10" s="3" t="s">
        <v>271</v>
      </c>
      <c r="G10" s="3" t="s">
        <v>272</v>
      </c>
      <c r="H10" s="3" t="s">
        <v>273</v>
      </c>
    </row>
    <row r="11" customFormat="false" ht="15" hidden="false" customHeight="false" outlineLevel="0" collapsed="false">
      <c r="A11" s="16" t="s">
        <v>65</v>
      </c>
      <c r="B11" s="19" t="n">
        <v>11</v>
      </c>
      <c r="C11" s="19" t="n">
        <v>14</v>
      </c>
      <c r="D11" s="19" t="n">
        <v>13</v>
      </c>
      <c r="E11" s="19" t="n">
        <v>13</v>
      </c>
      <c r="F11" s="19" t="n">
        <v>14</v>
      </c>
      <c r="G11" s="19" t="n">
        <v>12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11</v>
      </c>
      <c r="C13" s="19" t="n">
        <v>9</v>
      </c>
      <c r="D13" s="19" t="n">
        <v>10</v>
      </c>
      <c r="E13" s="19" t="n">
        <v>11</v>
      </c>
      <c r="F13" s="19" t="n">
        <v>11</v>
      </c>
      <c r="G13" s="19" t="n">
        <v>8</v>
      </c>
      <c r="H13" s="19" t="n">
        <v>4</v>
      </c>
    </row>
    <row r="14" customFormat="false" ht="15" hidden="false" customHeight="false" outlineLevel="0" collapsed="false">
      <c r="A14" s="16" t="s">
        <v>68</v>
      </c>
      <c r="B14" s="19" t="n">
        <v>7</v>
      </c>
      <c r="C14" s="19" t="n">
        <v>7</v>
      </c>
      <c r="D14" s="19" t="n">
        <v>9</v>
      </c>
      <c r="E14" s="19" t="n">
        <v>8</v>
      </c>
      <c r="F14" s="19" t="n">
        <v>7</v>
      </c>
      <c r="G14" s="19" t="n">
        <v>12</v>
      </c>
      <c r="H14" s="19" t="n">
        <v>24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4" t="s">
        <v>85</v>
      </c>
      <c r="B24" s="24" t="s">
        <v>91</v>
      </c>
      <c r="C24" s="25" t="n">
        <v>0</v>
      </c>
      <c r="D24" s="24" t="n">
        <v>5</v>
      </c>
      <c r="E24" s="24" t="n">
        <v>0</v>
      </c>
      <c r="F24" s="24" t="n">
        <v>0</v>
      </c>
      <c r="G24" s="24" t="n">
        <v>0</v>
      </c>
      <c r="H24" s="24" t="n">
        <v>2</v>
      </c>
      <c r="I24" s="24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4" t="s">
        <v>82</v>
      </c>
      <c r="B35" s="24" t="s">
        <v>105</v>
      </c>
      <c r="C35" s="25" t="n">
        <v>0</v>
      </c>
      <c r="D35" s="24" t="n">
        <v>5</v>
      </c>
      <c r="E35" s="24" t="n">
        <v>0</v>
      </c>
      <c r="F35" s="24" t="n">
        <v>0</v>
      </c>
      <c r="G35" s="24" t="n">
        <v>0</v>
      </c>
      <c r="H35" s="24" t="n">
        <v>2</v>
      </c>
      <c r="I35" s="24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28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36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274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1068</v>
      </c>
      <c r="G4" s="17" t="n">
        <v>96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33.38</v>
      </c>
      <c r="C6" s="17" t="n">
        <v>1</v>
      </c>
      <c r="E6" s="17" t="n">
        <v>4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275</v>
      </c>
      <c r="C10" s="3" t="s">
        <v>276</v>
      </c>
      <c r="D10" s="3" t="s">
        <v>277</v>
      </c>
      <c r="E10" s="3" t="s">
        <v>278</v>
      </c>
      <c r="F10" s="3" t="s">
        <v>279</v>
      </c>
      <c r="G10" s="3" t="s">
        <v>280</v>
      </c>
      <c r="H10" s="3" t="s">
        <v>281</v>
      </c>
    </row>
    <row r="11" customFormat="false" ht="15" hidden="false" customHeight="false" outlineLevel="0" collapsed="false">
      <c r="A11" s="16" t="s">
        <v>65</v>
      </c>
      <c r="B11" s="19" t="n">
        <v>9</v>
      </c>
      <c r="C11" s="19" t="n">
        <v>13</v>
      </c>
      <c r="D11" s="19" t="n">
        <v>13</v>
      </c>
      <c r="E11" s="19" t="n">
        <v>8</v>
      </c>
      <c r="F11" s="19" t="n">
        <v>0</v>
      </c>
      <c r="G11" s="19" t="n">
        <v>12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3</v>
      </c>
      <c r="C12" s="19" t="n">
        <v>3</v>
      </c>
      <c r="D12" s="19" t="n">
        <v>2</v>
      </c>
      <c r="E12" s="19" t="n">
        <v>1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10</v>
      </c>
      <c r="C13" s="19" t="n">
        <v>10</v>
      </c>
      <c r="D13" s="19" t="n">
        <v>10</v>
      </c>
      <c r="E13" s="19" t="n">
        <v>7</v>
      </c>
      <c r="F13" s="19" t="n">
        <v>0</v>
      </c>
      <c r="G13" s="19" t="n">
        <v>9</v>
      </c>
      <c r="H13" s="19" t="n">
        <v>4</v>
      </c>
    </row>
    <row r="14" customFormat="false" ht="15" hidden="false" customHeight="false" outlineLevel="0" collapsed="false">
      <c r="A14" s="16" t="s">
        <v>68</v>
      </c>
      <c r="B14" s="19" t="n">
        <v>6</v>
      </c>
      <c r="C14" s="19" t="n">
        <v>4</v>
      </c>
      <c r="D14" s="19" t="n">
        <v>7</v>
      </c>
      <c r="E14" s="19" t="n">
        <v>16</v>
      </c>
      <c r="F14" s="19" t="n">
        <v>0</v>
      </c>
      <c r="G14" s="19" t="n">
        <v>11</v>
      </c>
      <c r="H14" s="19" t="n">
        <v>24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36</v>
      </c>
      <c r="D19" s="20" t="n">
        <v>0</v>
      </c>
      <c r="E19" s="20" t="n">
        <v>0</v>
      </c>
      <c r="F19" s="20" t="n">
        <v>1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36</v>
      </c>
      <c r="D20" s="20" t="n">
        <v>0</v>
      </c>
      <c r="E20" s="20" t="n">
        <v>0</v>
      </c>
      <c r="F20" s="20" t="n">
        <v>1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36</v>
      </c>
      <c r="D21" s="20" t="n">
        <v>0</v>
      </c>
      <c r="E21" s="20" t="n">
        <v>0</v>
      </c>
      <c r="F21" s="20" t="n">
        <v>1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36</v>
      </c>
      <c r="D22" s="20" t="n">
        <v>0</v>
      </c>
      <c r="E22" s="20" t="n">
        <v>0</v>
      </c>
      <c r="F22" s="20" t="n">
        <v>1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36</v>
      </c>
      <c r="D23" s="20" t="n">
        <v>0</v>
      </c>
      <c r="E23" s="20" t="n">
        <v>0</v>
      </c>
      <c r="F23" s="20" t="n">
        <v>1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4" t="s">
        <v>85</v>
      </c>
      <c r="B24" s="24" t="s">
        <v>91</v>
      </c>
      <c r="C24" s="25" t="n">
        <v>0</v>
      </c>
      <c r="D24" s="24" t="n">
        <v>4</v>
      </c>
      <c r="E24" s="24" t="n">
        <v>0</v>
      </c>
      <c r="F24" s="24" t="n">
        <v>1</v>
      </c>
      <c r="G24" s="24" t="n">
        <v>0</v>
      </c>
      <c r="H24" s="24" t="n">
        <v>2</v>
      </c>
      <c r="I24" s="24" t="s">
        <v>81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36</v>
      </c>
      <c r="D25" s="20" t="n">
        <v>0</v>
      </c>
      <c r="E25" s="20" t="n">
        <v>0</v>
      </c>
      <c r="F25" s="20" t="n">
        <v>1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36</v>
      </c>
      <c r="D26" s="20" t="n">
        <v>0</v>
      </c>
      <c r="E26" s="20" t="n">
        <v>0</v>
      </c>
      <c r="F26" s="20" t="n">
        <v>1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36</v>
      </c>
      <c r="D27" s="20" t="n">
        <v>0</v>
      </c>
      <c r="E27" s="20" t="n">
        <v>0</v>
      </c>
      <c r="F27" s="20" t="n">
        <v>1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36</v>
      </c>
      <c r="D28" s="20" t="n">
        <v>0</v>
      </c>
      <c r="E28" s="20" t="n">
        <v>0</v>
      </c>
      <c r="F28" s="20" t="n">
        <v>1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36</v>
      </c>
      <c r="D29" s="20" t="n">
        <v>0</v>
      </c>
      <c r="E29" s="20" t="n">
        <v>0</v>
      </c>
      <c r="F29" s="20" t="n">
        <v>1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36</v>
      </c>
      <c r="D30" s="20" t="n">
        <v>0</v>
      </c>
      <c r="E30" s="20" t="n">
        <v>0</v>
      </c>
      <c r="F30" s="20" t="n">
        <v>1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36</v>
      </c>
      <c r="D31" s="20" t="n">
        <v>0</v>
      </c>
      <c r="E31" s="20" t="n">
        <v>0</v>
      </c>
      <c r="F31" s="20" t="n">
        <v>1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1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36</v>
      </c>
      <c r="D33" s="20" t="n">
        <v>0</v>
      </c>
      <c r="E33" s="20" t="n">
        <v>0</v>
      </c>
      <c r="F33" s="20" t="n">
        <v>1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20</v>
      </c>
      <c r="D34" s="20" t="n">
        <v>0</v>
      </c>
      <c r="E34" s="20" t="n">
        <v>0</v>
      </c>
      <c r="F34" s="20" t="n">
        <v>1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20</v>
      </c>
      <c r="D35" s="20" t="n">
        <v>0</v>
      </c>
      <c r="E35" s="20" t="n">
        <v>0</v>
      </c>
      <c r="F35" s="20" t="n">
        <v>1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36</v>
      </c>
      <c r="D36" s="20" t="n">
        <v>0</v>
      </c>
      <c r="E36" s="20" t="n">
        <v>0</v>
      </c>
      <c r="F36" s="20" t="n">
        <v>1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28</v>
      </c>
      <c r="D37" s="20" t="n">
        <v>0</v>
      </c>
      <c r="E37" s="20" t="n">
        <v>0</v>
      </c>
      <c r="F37" s="20" t="n">
        <v>1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36</v>
      </c>
      <c r="D38" s="20" t="n">
        <v>0</v>
      </c>
      <c r="E38" s="20" t="n">
        <v>0</v>
      </c>
      <c r="F38" s="20" t="n">
        <v>1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36</v>
      </c>
      <c r="D39" s="20" t="n">
        <v>0</v>
      </c>
      <c r="E39" s="20" t="n">
        <v>0</v>
      </c>
      <c r="F39" s="20" t="n">
        <v>1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36</v>
      </c>
      <c r="D40" s="20" t="n">
        <v>0</v>
      </c>
      <c r="E40" s="20" t="n">
        <v>0</v>
      </c>
      <c r="F40" s="20" t="n">
        <v>1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36</v>
      </c>
      <c r="D41" s="20" t="n">
        <v>0</v>
      </c>
      <c r="E41" s="20" t="n">
        <v>0</v>
      </c>
      <c r="F41" s="20" t="n">
        <v>1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36</v>
      </c>
      <c r="D42" s="20" t="n">
        <v>0</v>
      </c>
      <c r="E42" s="20" t="n">
        <v>0</v>
      </c>
      <c r="F42" s="20" t="n">
        <v>1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36</v>
      </c>
      <c r="D43" s="20" t="n">
        <v>0</v>
      </c>
      <c r="E43" s="20" t="n">
        <v>0</v>
      </c>
      <c r="F43" s="20" t="n">
        <v>1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36</v>
      </c>
      <c r="D44" s="20" t="n">
        <v>0</v>
      </c>
      <c r="E44" s="20" t="n">
        <v>0</v>
      </c>
      <c r="F44" s="20" t="n">
        <v>1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36</v>
      </c>
      <c r="D45" s="20" t="n">
        <v>0</v>
      </c>
      <c r="E45" s="20" t="n">
        <v>0</v>
      </c>
      <c r="F45" s="20" t="n">
        <v>1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36</v>
      </c>
      <c r="D46" s="20" t="n">
        <v>0</v>
      </c>
      <c r="E46" s="20" t="n">
        <v>0</v>
      </c>
      <c r="F46" s="20" t="n">
        <v>1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36</v>
      </c>
      <c r="D47" s="20" t="n">
        <v>0</v>
      </c>
      <c r="E47" s="20" t="n">
        <v>0</v>
      </c>
      <c r="F47" s="20" t="n">
        <v>1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36</v>
      </c>
      <c r="D48" s="20" t="n">
        <v>0</v>
      </c>
      <c r="E48" s="20" t="n">
        <v>0</v>
      </c>
      <c r="F48" s="20" t="n">
        <v>1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36</v>
      </c>
      <c r="D49" s="20" t="n">
        <v>0</v>
      </c>
      <c r="E49" s="20" t="n">
        <v>0</v>
      </c>
      <c r="F49" s="20" t="n">
        <v>1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36</v>
      </c>
      <c r="D50" s="20" t="n">
        <v>0</v>
      </c>
      <c r="E50" s="20" t="n">
        <v>0</v>
      </c>
      <c r="F50" s="20" t="n">
        <v>1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32</v>
      </c>
      <c r="D55" s="20" t="n">
        <v>0</v>
      </c>
      <c r="E55" s="20" t="n">
        <v>0</v>
      </c>
      <c r="F55" s="20" t="n">
        <v>1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32</v>
      </c>
      <c r="D56" s="20" t="n">
        <v>0</v>
      </c>
      <c r="E56" s="20" t="n">
        <v>0</v>
      </c>
      <c r="F56" s="20" t="n">
        <v>1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32</v>
      </c>
      <c r="D57" s="20" t="n">
        <v>0</v>
      </c>
      <c r="E57" s="20" t="n">
        <v>0</v>
      </c>
      <c r="F57" s="20" t="n">
        <v>1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282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1256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39.25</v>
      </c>
      <c r="C6" s="17" t="n">
        <v>2</v>
      </c>
      <c r="E6" s="17" t="n">
        <v>11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283</v>
      </c>
      <c r="C10" s="3" t="s">
        <v>284</v>
      </c>
      <c r="D10" s="3" t="s">
        <v>285</v>
      </c>
      <c r="E10" s="3" t="s">
        <v>286</v>
      </c>
      <c r="F10" s="3" t="s">
        <v>287</v>
      </c>
      <c r="G10" s="3" t="s">
        <v>288</v>
      </c>
      <c r="H10" s="3" t="s">
        <v>289</v>
      </c>
    </row>
    <row r="11" customFormat="false" ht="15" hidden="false" customHeight="false" outlineLevel="0" collapsed="false">
      <c r="A11" s="16" t="s">
        <v>65</v>
      </c>
      <c r="B11" s="19" t="n">
        <v>11</v>
      </c>
      <c r="C11" s="19" t="n">
        <v>15</v>
      </c>
      <c r="D11" s="19" t="n">
        <v>16</v>
      </c>
      <c r="E11" s="19" t="n">
        <v>11</v>
      </c>
      <c r="F11" s="19" t="n">
        <v>9</v>
      </c>
      <c r="G11" s="19" t="n">
        <v>11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10</v>
      </c>
      <c r="C13" s="19" t="n">
        <v>11</v>
      </c>
      <c r="D13" s="19" t="n">
        <v>12</v>
      </c>
      <c r="E13" s="19" t="n">
        <v>10</v>
      </c>
      <c r="F13" s="19" t="n">
        <v>7</v>
      </c>
      <c r="G13" s="19" t="n">
        <v>8</v>
      </c>
      <c r="H13" s="19" t="n">
        <v>3</v>
      </c>
    </row>
    <row r="14" customFormat="false" ht="15" hidden="false" customHeight="false" outlineLevel="0" collapsed="false">
      <c r="A14" s="16" t="s">
        <v>68</v>
      </c>
      <c r="B14" s="19" t="n">
        <v>5</v>
      </c>
      <c r="C14" s="19" t="n">
        <v>3</v>
      </c>
      <c r="D14" s="19" t="n">
        <v>3</v>
      </c>
      <c r="E14" s="19" t="n">
        <v>10</v>
      </c>
      <c r="F14" s="19" t="n">
        <v>16</v>
      </c>
      <c r="G14" s="19" t="n">
        <v>13</v>
      </c>
      <c r="H14" s="19" t="n">
        <v>25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4" t="s">
        <v>76</v>
      </c>
      <c r="B19" s="24" t="s">
        <v>77</v>
      </c>
      <c r="C19" s="25" t="n">
        <v>0</v>
      </c>
      <c r="D19" s="24" t="n">
        <v>5</v>
      </c>
      <c r="E19" s="24" t="n">
        <v>0</v>
      </c>
      <c r="F19" s="24" t="n">
        <v>0</v>
      </c>
      <c r="G19" s="24" t="n">
        <v>0</v>
      </c>
      <c r="H19" s="24" t="n">
        <v>2</v>
      </c>
      <c r="I19" s="24" t="s">
        <v>290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4" t="s">
        <v>76</v>
      </c>
      <c r="B28" s="24" t="s">
        <v>95</v>
      </c>
      <c r="C28" s="25" t="n">
        <v>0</v>
      </c>
      <c r="D28" s="24" t="n">
        <v>5</v>
      </c>
      <c r="E28" s="24" t="n">
        <v>0</v>
      </c>
      <c r="F28" s="24" t="n">
        <v>0</v>
      </c>
      <c r="G28" s="24" t="n">
        <v>0</v>
      </c>
      <c r="H28" s="24" t="n">
        <v>2</v>
      </c>
      <c r="I28" s="24" t="s">
        <v>290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36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2" t="s">
        <v>76</v>
      </c>
      <c r="B34" s="22" t="s">
        <v>103</v>
      </c>
      <c r="C34" s="23" t="n">
        <v>20</v>
      </c>
      <c r="D34" s="22" t="n">
        <v>1</v>
      </c>
      <c r="E34" s="22" t="n">
        <v>0</v>
      </c>
      <c r="F34" s="22" t="n">
        <v>0</v>
      </c>
      <c r="G34" s="22" t="n">
        <v>0</v>
      </c>
      <c r="H34" s="22" t="n">
        <v>2</v>
      </c>
      <c r="I34" s="22" t="s">
        <v>290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36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28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36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291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1316</v>
      </c>
      <c r="G4" s="17" t="n">
        <v>112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41.12</v>
      </c>
      <c r="C6" s="17" t="n">
        <v>1</v>
      </c>
      <c r="E6" s="17" t="n">
        <v>5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292</v>
      </c>
      <c r="C10" s="3" t="s">
        <v>293</v>
      </c>
      <c r="D10" s="3" t="s">
        <v>294</v>
      </c>
      <c r="E10" s="3" t="s">
        <v>295</v>
      </c>
      <c r="F10" s="3" t="s">
        <v>296</v>
      </c>
      <c r="G10" s="3" t="s">
        <v>297</v>
      </c>
      <c r="H10" s="3" t="s">
        <v>298</v>
      </c>
    </row>
    <row r="11" customFormat="false" ht="15" hidden="false" customHeight="false" outlineLevel="0" collapsed="false">
      <c r="A11" s="16" t="s">
        <v>65</v>
      </c>
      <c r="B11" s="19" t="n">
        <v>9</v>
      </c>
      <c r="C11" s="19" t="n">
        <v>13</v>
      </c>
      <c r="D11" s="19" t="n">
        <v>14</v>
      </c>
      <c r="E11" s="19" t="n">
        <v>13</v>
      </c>
      <c r="F11" s="19" t="n">
        <v>14</v>
      </c>
      <c r="G11" s="19" t="n">
        <v>8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3</v>
      </c>
      <c r="C12" s="19" t="n">
        <v>3</v>
      </c>
      <c r="D12" s="19" t="n">
        <v>3</v>
      </c>
      <c r="E12" s="19" t="n">
        <v>3</v>
      </c>
      <c r="F12" s="19" t="n">
        <v>3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8</v>
      </c>
      <c r="C13" s="19" t="n">
        <v>8</v>
      </c>
      <c r="D13" s="19" t="n">
        <v>9</v>
      </c>
      <c r="E13" s="19" t="n">
        <v>9</v>
      </c>
      <c r="F13" s="19" t="n">
        <v>9</v>
      </c>
      <c r="G13" s="19" t="n">
        <v>7</v>
      </c>
      <c r="H13" s="19" t="n">
        <v>3</v>
      </c>
    </row>
    <row r="14" customFormat="false" ht="15" hidden="false" customHeight="false" outlineLevel="0" collapsed="false">
      <c r="A14" s="16" t="s">
        <v>68</v>
      </c>
      <c r="B14" s="19" t="n">
        <v>6</v>
      </c>
      <c r="C14" s="19" t="n">
        <v>5</v>
      </c>
      <c r="D14" s="19" t="n">
        <v>3</v>
      </c>
      <c r="E14" s="19" t="n">
        <v>7</v>
      </c>
      <c r="F14" s="19" t="n">
        <v>6</v>
      </c>
      <c r="G14" s="19" t="n">
        <v>17</v>
      </c>
      <c r="H14" s="19" t="n">
        <v>25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4" t="s">
        <v>85</v>
      </c>
      <c r="B21" s="24" t="s">
        <v>86</v>
      </c>
      <c r="C21" s="25" t="n">
        <v>0</v>
      </c>
      <c r="D21" s="24" t="n">
        <v>5</v>
      </c>
      <c r="E21" s="24" t="n">
        <v>0</v>
      </c>
      <c r="F21" s="24" t="n">
        <v>0</v>
      </c>
      <c r="G21" s="24" t="n">
        <v>0</v>
      </c>
      <c r="H21" s="24" t="n">
        <v>2</v>
      </c>
      <c r="I21" s="24" t="s">
        <v>245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36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36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36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36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32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299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1368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42.75</v>
      </c>
      <c r="C6" s="17" t="n">
        <v>0</v>
      </c>
      <c r="E6" s="17" t="n">
        <v>1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300</v>
      </c>
      <c r="C10" s="3" t="s">
        <v>301</v>
      </c>
      <c r="D10" s="3" t="s">
        <v>302</v>
      </c>
      <c r="E10" s="3" t="s">
        <v>303</v>
      </c>
      <c r="F10" s="3" t="s">
        <v>304</v>
      </c>
      <c r="G10" s="3" t="s">
        <v>305</v>
      </c>
      <c r="H10" s="3" t="s">
        <v>306</v>
      </c>
    </row>
    <row r="11" customFormat="false" ht="15" hidden="false" customHeight="false" outlineLevel="0" collapsed="false">
      <c r="A11" s="16" t="s">
        <v>65</v>
      </c>
      <c r="B11" s="19" t="n">
        <v>13</v>
      </c>
      <c r="C11" s="19" t="n">
        <v>18</v>
      </c>
      <c r="D11" s="19" t="n">
        <v>13</v>
      </c>
      <c r="E11" s="19" t="n">
        <v>10</v>
      </c>
      <c r="F11" s="19" t="n">
        <v>12</v>
      </c>
      <c r="G11" s="19" t="n">
        <v>12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4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3</v>
      </c>
      <c r="E14" s="19" t="n">
        <v>3</v>
      </c>
      <c r="F14" s="19" t="n">
        <v>1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2" t="s">
        <v>85</v>
      </c>
      <c r="B21" s="22" t="s">
        <v>86</v>
      </c>
      <c r="C21" s="23" t="n">
        <v>36</v>
      </c>
      <c r="D21" s="22" t="n">
        <v>1</v>
      </c>
      <c r="E21" s="22" t="n">
        <v>0</v>
      </c>
      <c r="F21" s="22" t="n">
        <v>0</v>
      </c>
      <c r="G21" s="22" t="n">
        <v>0</v>
      </c>
      <c r="H21" s="22" t="n">
        <v>2</v>
      </c>
      <c r="I21" s="22" t="s">
        <v>245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44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36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36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36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36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307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1188</v>
      </c>
      <c r="G4" s="17" t="n">
        <v>80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37.12</v>
      </c>
      <c r="C6" s="17" t="n">
        <v>3</v>
      </c>
      <c r="E6" s="17" t="n">
        <v>12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308</v>
      </c>
      <c r="C10" s="3" t="s">
        <v>309</v>
      </c>
      <c r="D10" s="3" t="s">
        <v>310</v>
      </c>
      <c r="E10" s="3" t="s">
        <v>311</v>
      </c>
      <c r="F10" s="3" t="s">
        <v>312</v>
      </c>
      <c r="G10" s="3" t="s">
        <v>313</v>
      </c>
      <c r="H10" s="3" t="s">
        <v>314</v>
      </c>
    </row>
    <row r="11" customFormat="false" ht="15" hidden="false" customHeight="false" outlineLevel="0" collapsed="false">
      <c r="A11" s="16" t="s">
        <v>65</v>
      </c>
      <c r="B11" s="19" t="n">
        <v>12</v>
      </c>
      <c r="C11" s="19" t="n">
        <v>12</v>
      </c>
      <c r="D11" s="19" t="n">
        <v>12</v>
      </c>
      <c r="E11" s="19" t="n">
        <v>10</v>
      </c>
      <c r="F11" s="19" t="n">
        <v>9</v>
      </c>
      <c r="G11" s="19" t="n">
        <v>10</v>
      </c>
      <c r="H11" s="19" t="n">
        <v>5</v>
      </c>
    </row>
    <row r="12" customFormat="false" ht="15" hidden="false" customHeight="false" outlineLevel="0" collapsed="false">
      <c r="A12" s="16" t="s">
        <v>66</v>
      </c>
      <c r="B12" s="19" t="n">
        <v>0</v>
      </c>
      <c r="C12" s="19" t="n">
        <v>4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36</v>
      </c>
      <c r="D21" s="20" t="n">
        <v>0</v>
      </c>
      <c r="E21" s="20" t="n">
        <v>0</v>
      </c>
      <c r="F21" s="20" t="n">
        <v>1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4" t="s">
        <v>82</v>
      </c>
      <c r="B26" s="24" t="s">
        <v>93</v>
      </c>
      <c r="C26" s="25" t="n">
        <v>0</v>
      </c>
      <c r="D26" s="24" t="n">
        <v>4</v>
      </c>
      <c r="E26" s="24" t="n">
        <v>0</v>
      </c>
      <c r="F26" s="24" t="n">
        <v>1</v>
      </c>
      <c r="G26" s="24" t="n">
        <v>0</v>
      </c>
      <c r="H26" s="24" t="n">
        <v>2</v>
      </c>
      <c r="I26" s="24" t="s">
        <v>245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36</v>
      </c>
      <c r="D27" s="20" t="n">
        <v>0</v>
      </c>
      <c r="E27" s="20" t="n">
        <v>0</v>
      </c>
      <c r="F27" s="20" t="n">
        <v>1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4" t="s">
        <v>82</v>
      </c>
      <c r="B29" s="24" t="s">
        <v>96</v>
      </c>
      <c r="C29" s="25" t="n">
        <v>0</v>
      </c>
      <c r="D29" s="24" t="n">
        <v>4</v>
      </c>
      <c r="E29" s="24" t="n">
        <v>0</v>
      </c>
      <c r="F29" s="24" t="n">
        <v>1</v>
      </c>
      <c r="G29" s="24" t="n">
        <v>0</v>
      </c>
      <c r="H29" s="24" t="n">
        <v>2</v>
      </c>
      <c r="I29" s="24" t="s">
        <v>245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36</v>
      </c>
      <c r="D31" s="20" t="n">
        <v>0</v>
      </c>
      <c r="E31" s="20" t="n">
        <v>0</v>
      </c>
      <c r="F31" s="20" t="n">
        <v>1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36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4" t="s">
        <v>101</v>
      </c>
      <c r="B33" s="24" t="s">
        <v>102</v>
      </c>
      <c r="C33" s="25" t="n">
        <v>0</v>
      </c>
      <c r="D33" s="24" t="n">
        <v>4</v>
      </c>
      <c r="E33" s="24" t="n">
        <v>0</v>
      </c>
      <c r="F33" s="24" t="n">
        <v>1</v>
      </c>
      <c r="G33" s="24" t="n">
        <v>0</v>
      </c>
      <c r="H33" s="24" t="n">
        <v>2</v>
      </c>
      <c r="I33" s="24" t="s">
        <v>245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36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36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28</v>
      </c>
      <c r="D36" s="20" t="n">
        <v>0</v>
      </c>
      <c r="E36" s="20" t="n">
        <v>0</v>
      </c>
      <c r="F36" s="20" t="n">
        <v>1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36</v>
      </c>
      <c r="D38" s="20" t="n">
        <v>0</v>
      </c>
      <c r="E38" s="20" t="n">
        <v>0</v>
      </c>
      <c r="F38" s="20" t="n">
        <v>1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36</v>
      </c>
      <c r="D39" s="20" t="n">
        <v>0</v>
      </c>
      <c r="E39" s="20" t="n">
        <v>0</v>
      </c>
      <c r="F39" s="20" t="n">
        <v>1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36</v>
      </c>
      <c r="D44" s="20" t="n">
        <v>0</v>
      </c>
      <c r="E44" s="20" t="n">
        <v>0</v>
      </c>
      <c r="F44" s="20" t="n">
        <v>1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4" t="s">
        <v>114</v>
      </c>
      <c r="B56" s="24" t="s">
        <v>116</v>
      </c>
      <c r="C56" s="25" t="n">
        <v>0</v>
      </c>
      <c r="D56" s="24" t="n">
        <v>4</v>
      </c>
      <c r="E56" s="24" t="n">
        <v>0</v>
      </c>
      <c r="F56" s="24" t="n">
        <v>1</v>
      </c>
      <c r="G56" s="24" t="n">
        <v>0</v>
      </c>
      <c r="H56" s="24" t="n">
        <v>2</v>
      </c>
      <c r="I56" s="24" t="s">
        <v>290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315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1192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37.25</v>
      </c>
      <c r="C6" s="17" t="n">
        <v>4</v>
      </c>
      <c r="E6" s="17" t="n">
        <v>20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316</v>
      </c>
      <c r="C10" s="3" t="s">
        <v>317</v>
      </c>
      <c r="D10" s="3" t="s">
        <v>318</v>
      </c>
      <c r="E10" s="3" t="s">
        <v>319</v>
      </c>
      <c r="F10" s="3" t="s">
        <v>320</v>
      </c>
      <c r="G10" s="3" t="s">
        <v>321</v>
      </c>
      <c r="H10" s="3" t="s">
        <v>322</v>
      </c>
    </row>
    <row r="11" customFormat="false" ht="15" hidden="false" customHeight="false" outlineLevel="0" collapsed="false">
      <c r="A11" s="16" t="s">
        <v>65</v>
      </c>
      <c r="B11" s="19" t="n">
        <v>9</v>
      </c>
      <c r="C11" s="19" t="n">
        <v>14</v>
      </c>
      <c r="D11" s="19" t="n">
        <v>14</v>
      </c>
      <c r="E11" s="19" t="n">
        <v>14</v>
      </c>
      <c r="F11" s="19" t="n">
        <v>10</v>
      </c>
      <c r="G11" s="19" t="n">
        <v>8</v>
      </c>
      <c r="H11" s="19" t="n">
        <v>4</v>
      </c>
    </row>
    <row r="12" customFormat="false" ht="15" hidden="false" customHeight="false" outlineLevel="0" collapsed="false">
      <c r="A12" s="16" t="s">
        <v>66</v>
      </c>
      <c r="B12" s="19" t="n">
        <v>4</v>
      </c>
      <c r="C12" s="19" t="n">
        <v>1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</v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0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0</v>
      </c>
      <c r="E14" s="19" t="n">
        <v>1</v>
      </c>
      <c r="F14" s="19" t="n">
        <v>0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4" t="s">
        <v>82</v>
      </c>
      <c r="B25" s="24" t="s">
        <v>92</v>
      </c>
      <c r="C25" s="25" t="n">
        <v>0</v>
      </c>
      <c r="D25" s="24" t="n">
        <v>5</v>
      </c>
      <c r="E25" s="24" t="n">
        <v>0</v>
      </c>
      <c r="F25" s="24" t="n">
        <v>0</v>
      </c>
      <c r="G25" s="24" t="n">
        <v>0</v>
      </c>
      <c r="H25" s="24" t="n">
        <v>2</v>
      </c>
      <c r="I25" s="24" t="s">
        <v>245</v>
      </c>
    </row>
    <row r="26" customFormat="false" ht="15" hidden="false" customHeight="false" outlineLevel="0" collapsed="false">
      <c r="A26" s="24" t="s">
        <v>82</v>
      </c>
      <c r="B26" s="24" t="s">
        <v>93</v>
      </c>
      <c r="C26" s="25" t="n">
        <v>0</v>
      </c>
      <c r="D26" s="24" t="n">
        <v>5</v>
      </c>
      <c r="E26" s="24" t="n">
        <v>0</v>
      </c>
      <c r="F26" s="24" t="n">
        <v>0</v>
      </c>
      <c r="G26" s="24" t="n">
        <v>0</v>
      </c>
      <c r="H26" s="24" t="n">
        <v>2</v>
      </c>
      <c r="I26" s="24" t="s">
        <v>245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4" t="s">
        <v>82</v>
      </c>
      <c r="B29" s="24" t="s">
        <v>96</v>
      </c>
      <c r="C29" s="25" t="n">
        <v>0</v>
      </c>
      <c r="D29" s="24" t="n">
        <v>5</v>
      </c>
      <c r="E29" s="24" t="n">
        <v>0</v>
      </c>
      <c r="F29" s="24" t="n">
        <v>0</v>
      </c>
      <c r="G29" s="24" t="n">
        <v>0</v>
      </c>
      <c r="H29" s="24" t="n">
        <v>2</v>
      </c>
      <c r="I29" s="24" t="s">
        <v>245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36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4" t="s">
        <v>101</v>
      </c>
      <c r="B33" s="24" t="s">
        <v>102</v>
      </c>
      <c r="C33" s="25" t="n">
        <v>0</v>
      </c>
      <c r="D33" s="24" t="n">
        <v>5</v>
      </c>
      <c r="E33" s="24" t="n">
        <v>0</v>
      </c>
      <c r="F33" s="24" t="n">
        <v>0</v>
      </c>
      <c r="G33" s="24" t="n">
        <v>0</v>
      </c>
      <c r="H33" s="24" t="n">
        <v>2</v>
      </c>
      <c r="I33" s="24" t="s">
        <v>245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44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36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36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28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323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1220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38.12</v>
      </c>
      <c r="C6" s="17" t="n">
        <v>3</v>
      </c>
      <c r="E6" s="17" t="n">
        <v>14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324</v>
      </c>
      <c r="C10" s="3" t="s">
        <v>325</v>
      </c>
      <c r="D10" s="3" t="s">
        <v>326</v>
      </c>
      <c r="E10" s="3" t="s">
        <v>327</v>
      </c>
      <c r="F10" s="3" t="s">
        <v>328</v>
      </c>
      <c r="G10" s="3" t="s">
        <v>329</v>
      </c>
      <c r="H10" s="3" t="s">
        <v>330</v>
      </c>
    </row>
    <row r="11" customFormat="false" ht="15" hidden="false" customHeight="false" outlineLevel="0" collapsed="false">
      <c r="A11" s="16" t="s">
        <v>65</v>
      </c>
      <c r="B11" s="19" t="n">
        <v>12</v>
      </c>
      <c r="C11" s="19" t="n">
        <v>14</v>
      </c>
      <c r="D11" s="19" t="n">
        <v>13</v>
      </c>
      <c r="E11" s="19" t="n">
        <v>12</v>
      </c>
      <c r="F11" s="19" t="n">
        <v>14</v>
      </c>
      <c r="G11" s="19" t="n">
        <v>10</v>
      </c>
      <c r="H11" s="19" t="n">
        <v>5</v>
      </c>
    </row>
    <row r="12" customFormat="false" ht="15" hidden="false" customHeight="false" outlineLevel="0" collapsed="false">
      <c r="A12" s="16" t="s">
        <v>66</v>
      </c>
      <c r="B12" s="19" t="n">
        <v>4</v>
      </c>
      <c r="C12" s="19" t="n">
        <v>2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1</v>
      </c>
      <c r="C13" s="19" t="n">
        <v>1</v>
      </c>
      <c r="D13" s="19" t="n">
        <v>1</v>
      </c>
      <c r="E13" s="19" t="n">
        <v>1</v>
      </c>
      <c r="F13" s="19" t="n">
        <v>0</v>
      </c>
      <c r="G13" s="19" t="n">
        <v>0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4" t="s">
        <v>82</v>
      </c>
      <c r="B26" s="24" t="s">
        <v>93</v>
      </c>
      <c r="C26" s="25" t="n">
        <v>0</v>
      </c>
      <c r="D26" s="24" t="n">
        <v>5</v>
      </c>
      <c r="E26" s="24" t="n">
        <v>0</v>
      </c>
      <c r="F26" s="24" t="n">
        <v>0</v>
      </c>
      <c r="G26" s="24" t="n">
        <v>0</v>
      </c>
      <c r="H26" s="24" t="n">
        <v>2</v>
      </c>
      <c r="I26" s="24" t="s">
        <v>245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4" t="s">
        <v>82</v>
      </c>
      <c r="B29" s="24" t="s">
        <v>96</v>
      </c>
      <c r="C29" s="25" t="n">
        <v>0</v>
      </c>
      <c r="D29" s="24" t="n">
        <v>5</v>
      </c>
      <c r="E29" s="24" t="n">
        <v>0</v>
      </c>
      <c r="F29" s="24" t="n">
        <v>0</v>
      </c>
      <c r="G29" s="24" t="n">
        <v>0</v>
      </c>
      <c r="H29" s="24" t="n">
        <v>2</v>
      </c>
      <c r="I29" s="24" t="s">
        <v>245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4" t="s">
        <v>101</v>
      </c>
      <c r="B33" s="24" t="s">
        <v>102</v>
      </c>
      <c r="C33" s="25" t="n">
        <v>0</v>
      </c>
      <c r="D33" s="24" t="n">
        <v>3</v>
      </c>
      <c r="E33" s="24" t="n">
        <v>0</v>
      </c>
      <c r="F33" s="24" t="n">
        <v>0</v>
      </c>
      <c r="G33" s="24" t="n">
        <v>0</v>
      </c>
      <c r="H33" s="24" t="n">
        <v>2</v>
      </c>
      <c r="I33" s="24" t="s">
        <v>331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28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36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36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2" t="s">
        <v>101</v>
      </c>
      <c r="B38" s="22" t="s">
        <v>110</v>
      </c>
      <c r="C38" s="23" t="n">
        <v>36</v>
      </c>
      <c r="D38" s="22" t="n">
        <v>1</v>
      </c>
      <c r="E38" s="22" t="n">
        <v>0</v>
      </c>
      <c r="F38" s="22" t="n">
        <v>0</v>
      </c>
      <c r="G38" s="22" t="n">
        <v>0</v>
      </c>
      <c r="H38" s="22" t="n">
        <v>2</v>
      </c>
      <c r="I38" s="22" t="s">
        <v>245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332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33</v>
      </c>
      <c r="C4" s="17" t="n">
        <v>3</v>
      </c>
      <c r="E4" s="17" t="n">
        <v>1340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40.61</v>
      </c>
      <c r="C6" s="17" t="n">
        <v>2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333</v>
      </c>
      <c r="C10" s="3" t="s">
        <v>334</v>
      </c>
      <c r="D10" s="3" t="s">
        <v>335</v>
      </c>
      <c r="E10" s="3" t="s">
        <v>336</v>
      </c>
      <c r="F10" s="3" t="s">
        <v>337</v>
      </c>
      <c r="G10" s="3" t="s">
        <v>338</v>
      </c>
      <c r="H10" s="3" t="s">
        <v>339</v>
      </c>
    </row>
    <row r="11" customFormat="false" ht="15" hidden="false" customHeight="false" outlineLevel="0" collapsed="false">
      <c r="A11" s="16" t="s">
        <v>65</v>
      </c>
      <c r="B11" s="19" t="n">
        <v>9</v>
      </c>
      <c r="C11" s="19" t="n">
        <v>12</v>
      </c>
      <c r="D11" s="19" t="n">
        <v>11</v>
      </c>
      <c r="E11" s="19" t="n">
        <v>15</v>
      </c>
      <c r="F11" s="19" t="n">
        <v>14</v>
      </c>
      <c r="G11" s="19" t="n">
        <v>10</v>
      </c>
      <c r="H11" s="19" t="n">
        <v>5</v>
      </c>
    </row>
    <row r="12" customFormat="false" ht="15" hidden="false" customHeight="false" outlineLevel="0" collapsed="false">
      <c r="A12" s="16" t="s">
        <v>66</v>
      </c>
      <c r="B12" s="19" t="n">
        <v>2</v>
      </c>
      <c r="C12" s="19" t="n">
        <v>1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5</v>
      </c>
      <c r="C13" s="19" t="n">
        <v>5</v>
      </c>
      <c r="D13" s="19" t="n">
        <v>4</v>
      </c>
      <c r="E13" s="19" t="n">
        <v>2</v>
      </c>
      <c r="F13" s="19" t="n">
        <v>4</v>
      </c>
      <c r="G13" s="19" t="n">
        <v>2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4" t="s">
        <v>82</v>
      </c>
      <c r="B29" s="24" t="s">
        <v>96</v>
      </c>
      <c r="C29" s="25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2</v>
      </c>
      <c r="I29" s="24" t="s">
        <v>340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44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4" t="s">
        <v>101</v>
      </c>
      <c r="B33" s="24" t="s">
        <v>102</v>
      </c>
      <c r="C33" s="25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2</v>
      </c>
      <c r="I33" s="24" t="s">
        <v>340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36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28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44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79</v>
      </c>
      <c r="B47" s="20" t="s">
        <v>250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82</v>
      </c>
      <c r="B48" s="20" t="s">
        <v>251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85</v>
      </c>
      <c r="B49" s="20" t="s">
        <v>253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107</v>
      </c>
      <c r="B50" s="20" t="s">
        <v>254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1" customFormat="false" ht="15" hidden="false" customHeight="false" outlineLevel="0" collapsed="false">
      <c r="A51" s="20" t="s">
        <v>82</v>
      </c>
      <c r="B51" s="20" t="s">
        <v>341</v>
      </c>
      <c r="C51" s="21" t="n">
        <v>44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2</v>
      </c>
      <c r="I51" s="20" t="s">
        <v>342</v>
      </c>
    </row>
    <row r="54" customFormat="false" ht="15" hidden="false" customHeight="false" outlineLevel="0" collapsed="false">
      <c r="A54" s="18" t="s">
        <v>113</v>
      </c>
    </row>
    <row r="55" customFormat="false" ht="23.85" hidden="false" customHeight="false" outlineLevel="0" collapsed="false">
      <c r="A55" s="3" t="s">
        <v>70</v>
      </c>
      <c r="B55" s="3" t="s">
        <v>71</v>
      </c>
      <c r="C55" s="3" t="s">
        <v>72</v>
      </c>
      <c r="D55" s="3" t="s">
        <v>73</v>
      </c>
      <c r="E55" s="3" t="s">
        <v>12</v>
      </c>
      <c r="F55" s="3" t="s">
        <v>74</v>
      </c>
      <c r="G55" s="3" t="s">
        <v>14</v>
      </c>
      <c r="H55" s="3" t="s">
        <v>15</v>
      </c>
      <c r="I55" s="3" t="s">
        <v>75</v>
      </c>
    </row>
    <row r="56" customFormat="false" ht="15" hidden="false" customHeight="false" outlineLevel="0" collapsed="false">
      <c r="A56" s="20" t="s">
        <v>114</v>
      </c>
      <c r="B56" s="20" t="s">
        <v>115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114</v>
      </c>
      <c r="B57" s="20" t="s">
        <v>116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  <row r="58" customFormat="false" ht="15" hidden="false" customHeight="false" outlineLevel="0" collapsed="false">
      <c r="A58" s="20" t="s">
        <v>79</v>
      </c>
      <c r="B58" s="20" t="s">
        <v>117</v>
      </c>
      <c r="C58" s="21" t="n">
        <v>40</v>
      </c>
      <c r="D58" s="20" t="n">
        <v>0</v>
      </c>
      <c r="E58" s="20" t="n">
        <v>0</v>
      </c>
      <c r="F58" s="20" t="n">
        <v>0</v>
      </c>
      <c r="G58" s="20" t="n">
        <v>0</v>
      </c>
      <c r="H58" s="20" t="n">
        <v>2</v>
      </c>
      <c r="I58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343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1262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39.44</v>
      </c>
      <c r="C6" s="17" t="n">
        <v>0</v>
      </c>
      <c r="E6" s="17" t="n">
        <v>0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344</v>
      </c>
      <c r="C10" s="3" t="s">
        <v>345</v>
      </c>
      <c r="D10" s="3" t="s">
        <v>346</v>
      </c>
      <c r="E10" s="3" t="s">
        <v>347</v>
      </c>
      <c r="F10" s="3" t="s">
        <v>348</v>
      </c>
      <c r="G10" s="3" t="s">
        <v>349</v>
      </c>
      <c r="H10" s="3" t="s">
        <v>350</v>
      </c>
    </row>
    <row r="11" customFormat="false" ht="15" hidden="false" customHeight="false" outlineLevel="0" collapsed="false">
      <c r="A11" s="16" t="s">
        <v>65</v>
      </c>
      <c r="B11" s="19" t="n">
        <v>14</v>
      </c>
      <c r="C11" s="19" t="n">
        <v>11</v>
      </c>
      <c r="D11" s="19" t="n">
        <v>16</v>
      </c>
      <c r="E11" s="19" t="n">
        <v>14</v>
      </c>
      <c r="F11" s="19" t="n">
        <v>12</v>
      </c>
      <c r="G11" s="19" t="n">
        <v>8</v>
      </c>
      <c r="H11" s="19" t="n">
        <v>5</v>
      </c>
    </row>
    <row r="12" customFormat="false" ht="15" hidden="false" customHeight="false" outlineLevel="0" collapsed="false">
      <c r="A12" s="16" t="s">
        <v>66</v>
      </c>
      <c r="B12" s="19" t="n">
        <v>4</v>
      </c>
      <c r="C12" s="19" t="n">
        <v>2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0</v>
      </c>
      <c r="C13" s="19" t="n">
        <v>0</v>
      </c>
      <c r="D13" s="19" t="n">
        <v>1</v>
      </c>
      <c r="E13" s="19" t="n">
        <v>1</v>
      </c>
      <c r="F13" s="19" t="n">
        <v>1</v>
      </c>
      <c r="G13" s="19" t="n">
        <v>0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35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351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0" t="s">
        <v>79</v>
      </c>
      <c r="B31" s="20" t="s">
        <v>98</v>
      </c>
      <c r="C31" s="21" t="n">
        <v>44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2</v>
      </c>
      <c r="I31" s="20" t="s">
        <v>78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78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8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351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36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28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1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351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82</v>
      </c>
      <c r="B47" s="20" t="s">
        <v>251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85</v>
      </c>
      <c r="B48" s="20" t="s">
        <v>253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107</v>
      </c>
      <c r="B49" s="20" t="s">
        <v>254</v>
      </c>
      <c r="C49" s="21" t="n">
        <v>26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351</v>
      </c>
    </row>
    <row r="50" customFormat="false" ht="15" hidden="false" customHeight="false" outlineLevel="0" collapsed="false">
      <c r="A50" s="20" t="s">
        <v>82</v>
      </c>
      <c r="B50" s="20" t="s">
        <v>341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352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1307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40.84</v>
      </c>
      <c r="C6" s="17" t="n">
        <v>1</v>
      </c>
      <c r="E6" s="17" t="n">
        <v>7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353</v>
      </c>
      <c r="C10" s="3" t="s">
        <v>354</v>
      </c>
      <c r="D10" s="3" t="s">
        <v>355</v>
      </c>
      <c r="E10" s="3" t="s">
        <v>356</v>
      </c>
      <c r="F10" s="3" t="s">
        <v>357</v>
      </c>
      <c r="G10" s="3" t="s">
        <v>358</v>
      </c>
      <c r="H10" s="3" t="s">
        <v>359</v>
      </c>
    </row>
    <row r="11" customFormat="false" ht="15" hidden="false" customHeight="false" outlineLevel="0" collapsed="false">
      <c r="A11" s="16" t="s">
        <v>65</v>
      </c>
      <c r="B11" s="19" t="n">
        <v>10</v>
      </c>
      <c r="C11" s="19" t="n">
        <v>16</v>
      </c>
      <c r="D11" s="19" t="n">
        <v>16</v>
      </c>
      <c r="E11" s="19" t="n">
        <v>13</v>
      </c>
      <c r="F11" s="19" t="n">
        <v>14</v>
      </c>
      <c r="G11" s="19" t="n">
        <v>13</v>
      </c>
      <c r="H11" s="19" t="n">
        <v>5</v>
      </c>
    </row>
    <row r="12" customFormat="false" ht="15" hidden="false" customHeight="false" outlineLevel="0" collapsed="false">
      <c r="A12" s="16" t="s">
        <v>66</v>
      </c>
      <c r="B12" s="19" t="n">
        <v>4</v>
      </c>
      <c r="C12" s="19" t="n">
        <v>1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0</v>
      </c>
      <c r="C13" s="19" t="n">
        <v>0</v>
      </c>
      <c r="D13" s="19" t="n">
        <v>0</v>
      </c>
      <c r="E13" s="19" t="n">
        <v>1</v>
      </c>
      <c r="F13" s="19" t="n">
        <v>1</v>
      </c>
      <c r="G13" s="19" t="n">
        <v>0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0" t="s">
        <v>79</v>
      </c>
      <c r="B20" s="20" t="s">
        <v>84</v>
      </c>
      <c r="C20" s="21" t="n">
        <v>44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2</v>
      </c>
      <c r="I20" s="20" t="s">
        <v>78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4" t="s">
        <v>79</v>
      </c>
      <c r="B31" s="24" t="s">
        <v>98</v>
      </c>
      <c r="C31" s="25" t="n">
        <v>0</v>
      </c>
      <c r="D31" s="24" t="n">
        <v>5</v>
      </c>
      <c r="E31" s="24" t="n">
        <v>0</v>
      </c>
      <c r="F31" s="24" t="n">
        <v>0</v>
      </c>
      <c r="G31" s="24" t="n">
        <v>0</v>
      </c>
      <c r="H31" s="24" t="n">
        <v>2</v>
      </c>
      <c r="I31" s="24" t="s">
        <v>245</v>
      </c>
    </row>
    <row r="32" customFormat="false" ht="15" hidden="false" customHeight="false" outlineLevel="0" collapsed="false">
      <c r="A32" s="22" t="s">
        <v>99</v>
      </c>
      <c r="B32" s="22" t="s">
        <v>100</v>
      </c>
      <c r="C32" s="23" t="n">
        <v>19</v>
      </c>
      <c r="D32" s="22" t="n">
        <v>2</v>
      </c>
      <c r="E32" s="22" t="n">
        <v>0</v>
      </c>
      <c r="F32" s="22" t="n">
        <v>0</v>
      </c>
      <c r="G32" s="22" t="n">
        <v>0</v>
      </c>
      <c r="H32" s="22" t="n">
        <v>2</v>
      </c>
      <c r="I32" s="22" t="s">
        <v>245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36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44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36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28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82</v>
      </c>
      <c r="B47" s="20" t="s">
        <v>251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85</v>
      </c>
      <c r="B48" s="20" t="s">
        <v>253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107</v>
      </c>
      <c r="B49" s="20" t="s">
        <v>254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82</v>
      </c>
      <c r="B50" s="20" t="s">
        <v>341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5" t="s">
        <v>360</v>
      </c>
    </row>
    <row r="3" customFormat="false" ht="15" hidden="false" customHeight="false" outlineLevel="0" collapsed="false">
      <c r="A3" s="16" t="s">
        <v>5</v>
      </c>
      <c r="C3" s="16" t="s">
        <v>6</v>
      </c>
      <c r="E3" s="16" t="s">
        <v>7</v>
      </c>
      <c r="G3" s="16" t="s">
        <v>8</v>
      </c>
    </row>
    <row r="4" customFormat="false" ht="15" hidden="false" customHeight="false" outlineLevel="0" collapsed="false">
      <c r="A4" s="17" t="n">
        <v>32</v>
      </c>
      <c r="C4" s="17" t="n">
        <v>3</v>
      </c>
      <c r="E4" s="17" t="n">
        <v>1272</v>
      </c>
      <c r="G4" s="17" t="n">
        <v>120</v>
      </c>
    </row>
    <row r="5" customFormat="false" ht="15" hidden="false" customHeight="false" outlineLevel="0" collapsed="false">
      <c r="A5" s="16" t="s">
        <v>10</v>
      </c>
      <c r="C5" s="16" t="s">
        <v>53</v>
      </c>
      <c r="E5" s="16" t="s">
        <v>54</v>
      </c>
      <c r="G5" s="16" t="s">
        <v>55</v>
      </c>
    </row>
    <row r="6" customFormat="false" ht="15" hidden="false" customHeight="false" outlineLevel="0" collapsed="false">
      <c r="A6" s="17" t="n">
        <v>39.75</v>
      </c>
      <c r="C6" s="17" t="n">
        <v>2</v>
      </c>
      <c r="E6" s="17" t="n">
        <v>5</v>
      </c>
      <c r="G6" s="17" t="n">
        <v>0</v>
      </c>
    </row>
    <row r="9" customFormat="false" ht="15" hidden="false" customHeight="false" outlineLevel="0" collapsed="false">
      <c r="A9" s="18" t="s">
        <v>56</v>
      </c>
    </row>
    <row r="10" customFormat="false" ht="27.75" hidden="false" customHeight="true" outlineLevel="0" collapsed="false">
      <c r="A10" s="3" t="s">
        <v>57</v>
      </c>
      <c r="B10" s="3" t="s">
        <v>361</v>
      </c>
      <c r="C10" s="3" t="s">
        <v>362</v>
      </c>
      <c r="D10" s="3" t="s">
        <v>363</v>
      </c>
      <c r="E10" s="3" t="s">
        <v>364</v>
      </c>
      <c r="F10" s="3" t="s">
        <v>365</v>
      </c>
      <c r="G10" s="3" t="s">
        <v>366</v>
      </c>
      <c r="H10" s="3" t="s">
        <v>367</v>
      </c>
    </row>
    <row r="11" customFormat="false" ht="15" hidden="false" customHeight="false" outlineLevel="0" collapsed="false">
      <c r="A11" s="16" t="s">
        <v>65</v>
      </c>
      <c r="B11" s="19" t="n">
        <v>10</v>
      </c>
      <c r="C11" s="19" t="n">
        <v>11</v>
      </c>
      <c r="D11" s="19" t="n">
        <v>11</v>
      </c>
      <c r="E11" s="19" t="n">
        <v>12</v>
      </c>
      <c r="F11" s="19" t="n">
        <v>15</v>
      </c>
      <c r="G11" s="19" t="n">
        <v>11</v>
      </c>
      <c r="H11" s="19" t="n">
        <v>5</v>
      </c>
    </row>
    <row r="12" customFormat="false" ht="15" hidden="false" customHeight="false" outlineLevel="0" collapsed="false">
      <c r="A12" s="16" t="s">
        <v>66</v>
      </c>
      <c r="B12" s="19" t="n">
        <v>4</v>
      </c>
      <c r="C12" s="19" t="n">
        <v>2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</row>
    <row r="13" customFormat="false" ht="15" hidden="false" customHeight="false" outlineLevel="0" collapsed="false">
      <c r="A13" s="16" t="s">
        <v>67</v>
      </c>
      <c r="B13" s="19" t="n">
        <v>0</v>
      </c>
      <c r="C13" s="19" t="n">
        <v>0</v>
      </c>
      <c r="D13" s="19" t="n">
        <v>1</v>
      </c>
      <c r="E13" s="19" t="n">
        <v>1</v>
      </c>
      <c r="F13" s="19" t="n">
        <v>1</v>
      </c>
      <c r="G13" s="19" t="n">
        <v>1</v>
      </c>
      <c r="H13" s="19" t="n">
        <v>0</v>
      </c>
    </row>
    <row r="14" customFormat="false" ht="15" hidden="false" customHeight="false" outlineLevel="0" collapsed="false">
      <c r="A14" s="16" t="s">
        <v>68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</row>
    <row r="17" customFormat="false" ht="15" hidden="false" customHeight="false" outlineLevel="0" collapsed="false">
      <c r="A17" s="18" t="s">
        <v>69</v>
      </c>
    </row>
    <row r="18" customFormat="false" ht="23.8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12</v>
      </c>
      <c r="F18" s="3" t="s">
        <v>74</v>
      </c>
      <c r="G18" s="3" t="s">
        <v>14</v>
      </c>
      <c r="H18" s="3" t="s">
        <v>15</v>
      </c>
      <c r="I18" s="3" t="s">
        <v>75</v>
      </c>
    </row>
    <row r="19" customFormat="false" ht="15" hidden="false" customHeight="false" outlineLevel="0" collapsed="false">
      <c r="A19" s="20" t="s">
        <v>76</v>
      </c>
      <c r="B19" s="20" t="s">
        <v>77</v>
      </c>
      <c r="C19" s="21" t="n">
        <v>44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2</v>
      </c>
      <c r="I19" s="20" t="s">
        <v>78</v>
      </c>
    </row>
    <row r="20" customFormat="false" ht="15" hidden="false" customHeight="false" outlineLevel="0" collapsed="false">
      <c r="A20" s="24" t="s">
        <v>79</v>
      </c>
      <c r="B20" s="24" t="s">
        <v>84</v>
      </c>
      <c r="C20" s="25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s">
        <v>368</v>
      </c>
    </row>
    <row r="21" customFormat="false" ht="15" hidden="false" customHeight="false" outlineLevel="0" collapsed="false">
      <c r="A21" s="20" t="s">
        <v>85</v>
      </c>
      <c r="B21" s="20" t="s">
        <v>86</v>
      </c>
      <c r="C21" s="21" t="n">
        <v>44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2</v>
      </c>
      <c r="I21" s="20" t="s">
        <v>78</v>
      </c>
    </row>
    <row r="22" customFormat="false" ht="15" hidden="false" customHeight="false" outlineLevel="0" collapsed="false">
      <c r="A22" s="20" t="s">
        <v>87</v>
      </c>
      <c r="B22" s="20" t="s">
        <v>88</v>
      </c>
      <c r="C22" s="21" t="n">
        <v>44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</v>
      </c>
      <c r="I22" s="20" t="s">
        <v>78</v>
      </c>
    </row>
    <row r="23" customFormat="false" ht="15" hidden="false" customHeight="false" outlineLevel="0" collapsed="false">
      <c r="A23" s="20" t="s">
        <v>85</v>
      </c>
      <c r="B23" s="20" t="s">
        <v>89</v>
      </c>
      <c r="C23" s="21" t="n">
        <v>44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2</v>
      </c>
      <c r="I23" s="20" t="s">
        <v>78</v>
      </c>
    </row>
    <row r="24" customFormat="false" ht="15" hidden="false" customHeight="false" outlineLevel="0" collapsed="false">
      <c r="A24" s="20" t="s">
        <v>85</v>
      </c>
      <c r="B24" s="20" t="s">
        <v>91</v>
      </c>
      <c r="C24" s="21" t="n">
        <v>44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2</v>
      </c>
      <c r="I24" s="20" t="s">
        <v>78</v>
      </c>
    </row>
    <row r="25" customFormat="false" ht="15" hidden="false" customHeight="false" outlineLevel="0" collapsed="false">
      <c r="A25" s="20" t="s">
        <v>82</v>
      </c>
      <c r="B25" s="20" t="s">
        <v>92</v>
      </c>
      <c r="C25" s="21" t="n">
        <v>44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</v>
      </c>
      <c r="I25" s="20" t="s">
        <v>78</v>
      </c>
    </row>
    <row r="26" customFormat="false" ht="15" hidden="false" customHeight="false" outlineLevel="0" collapsed="false">
      <c r="A26" s="20" t="s">
        <v>82</v>
      </c>
      <c r="B26" s="20" t="s">
        <v>93</v>
      </c>
      <c r="C26" s="21" t="n">
        <v>44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2</v>
      </c>
      <c r="I26" s="20" t="s">
        <v>78</v>
      </c>
    </row>
    <row r="27" customFormat="false" ht="15" hidden="false" customHeight="false" outlineLevel="0" collapsed="false">
      <c r="A27" s="20" t="s">
        <v>85</v>
      </c>
      <c r="B27" s="20" t="s">
        <v>94</v>
      </c>
      <c r="C27" s="21" t="n">
        <v>44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2</v>
      </c>
      <c r="I27" s="20" t="s">
        <v>78</v>
      </c>
    </row>
    <row r="28" customFormat="false" ht="15" hidden="false" customHeight="false" outlineLevel="0" collapsed="false">
      <c r="A28" s="20" t="s">
        <v>76</v>
      </c>
      <c r="B28" s="20" t="s">
        <v>95</v>
      </c>
      <c r="C28" s="21" t="n">
        <v>44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2</v>
      </c>
      <c r="I28" s="20" t="s">
        <v>78</v>
      </c>
    </row>
    <row r="29" customFormat="false" ht="15" hidden="false" customHeight="false" outlineLevel="0" collapsed="false">
      <c r="A29" s="20" t="s">
        <v>82</v>
      </c>
      <c r="B29" s="20" t="s">
        <v>96</v>
      </c>
      <c r="C29" s="21" t="n">
        <v>44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2</v>
      </c>
      <c r="I29" s="20" t="s">
        <v>78</v>
      </c>
    </row>
    <row r="30" customFormat="false" ht="15" hidden="false" customHeight="false" outlineLevel="0" collapsed="false">
      <c r="A30" s="20" t="s">
        <v>82</v>
      </c>
      <c r="B30" s="20" t="s">
        <v>97</v>
      </c>
      <c r="C30" s="21" t="n">
        <v>44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2</v>
      </c>
      <c r="I30" s="20" t="s">
        <v>78</v>
      </c>
    </row>
    <row r="31" customFormat="false" ht="15" hidden="false" customHeight="false" outlineLevel="0" collapsed="false">
      <c r="A31" s="24" t="s">
        <v>79</v>
      </c>
      <c r="B31" s="24" t="s">
        <v>98</v>
      </c>
      <c r="C31" s="25" t="n">
        <v>0</v>
      </c>
      <c r="D31" s="24" t="n">
        <v>5</v>
      </c>
      <c r="E31" s="24" t="n">
        <v>0</v>
      </c>
      <c r="F31" s="24" t="n">
        <v>0</v>
      </c>
      <c r="G31" s="24" t="n">
        <v>0</v>
      </c>
      <c r="H31" s="24" t="n">
        <v>2</v>
      </c>
      <c r="I31" s="24" t="s">
        <v>245</v>
      </c>
    </row>
    <row r="32" customFormat="false" ht="15" hidden="false" customHeight="false" outlineLevel="0" collapsed="false">
      <c r="A32" s="20" t="s">
        <v>99</v>
      </c>
      <c r="B32" s="20" t="s">
        <v>100</v>
      </c>
      <c r="C32" s="21" t="n">
        <v>28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2</v>
      </c>
      <c r="I32" s="20" t="s">
        <v>245</v>
      </c>
    </row>
    <row r="33" customFormat="false" ht="15" hidden="false" customHeight="false" outlineLevel="0" collapsed="false">
      <c r="A33" s="20" t="s">
        <v>101</v>
      </c>
      <c r="B33" s="20" t="s">
        <v>102</v>
      </c>
      <c r="C33" s="21" t="n">
        <v>44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2</v>
      </c>
      <c r="I33" s="20" t="s">
        <v>78</v>
      </c>
    </row>
    <row r="34" customFormat="false" ht="15" hidden="false" customHeight="false" outlineLevel="0" collapsed="false">
      <c r="A34" s="20" t="s">
        <v>76</v>
      </c>
      <c r="B34" s="20" t="s">
        <v>103</v>
      </c>
      <c r="C34" s="21" t="n">
        <v>36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2</v>
      </c>
      <c r="I34" s="20" t="s">
        <v>78</v>
      </c>
    </row>
    <row r="35" customFormat="false" ht="15" hidden="false" customHeight="false" outlineLevel="0" collapsed="false">
      <c r="A35" s="20" t="s">
        <v>82</v>
      </c>
      <c r="B35" s="20" t="s">
        <v>105</v>
      </c>
      <c r="C35" s="21" t="n">
        <v>28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2</v>
      </c>
      <c r="I35" s="20" t="s">
        <v>78</v>
      </c>
    </row>
    <row r="36" customFormat="false" ht="15" hidden="false" customHeight="false" outlineLevel="0" collapsed="false">
      <c r="A36" s="20" t="s">
        <v>85</v>
      </c>
      <c r="B36" s="20" t="s">
        <v>106</v>
      </c>
      <c r="C36" s="21" t="n">
        <v>36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2</v>
      </c>
      <c r="I36" s="20" t="s">
        <v>78</v>
      </c>
    </row>
    <row r="37" customFormat="false" ht="15" hidden="false" customHeight="false" outlineLevel="0" collapsed="false">
      <c r="A37" s="20" t="s">
        <v>107</v>
      </c>
      <c r="B37" s="20" t="s">
        <v>108</v>
      </c>
      <c r="C37" s="21" t="n">
        <v>44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2</v>
      </c>
      <c r="I37" s="20" t="s">
        <v>78</v>
      </c>
    </row>
    <row r="38" customFormat="false" ht="15" hidden="false" customHeight="false" outlineLevel="0" collapsed="false">
      <c r="A38" s="20" t="s">
        <v>101</v>
      </c>
      <c r="B38" s="20" t="s">
        <v>110</v>
      </c>
      <c r="C38" s="21" t="n">
        <v>44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2</v>
      </c>
      <c r="I38" s="20" t="s">
        <v>78</v>
      </c>
    </row>
    <row r="39" customFormat="false" ht="15" hidden="false" customHeight="false" outlineLevel="0" collapsed="false">
      <c r="A39" s="20" t="s">
        <v>87</v>
      </c>
      <c r="B39" s="20" t="s">
        <v>153</v>
      </c>
      <c r="C39" s="21" t="n">
        <v>44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</v>
      </c>
      <c r="I39" s="20" t="s">
        <v>78</v>
      </c>
    </row>
    <row r="40" customFormat="false" ht="15" hidden="false" customHeight="false" outlineLevel="0" collapsed="false">
      <c r="A40" s="20" t="s">
        <v>79</v>
      </c>
      <c r="B40" s="20" t="s">
        <v>154</v>
      </c>
      <c r="C40" s="21" t="n">
        <v>44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2</v>
      </c>
      <c r="I40" s="20" t="s">
        <v>78</v>
      </c>
    </row>
    <row r="41" customFormat="false" ht="15" hidden="false" customHeight="false" outlineLevel="0" collapsed="false">
      <c r="A41" s="20" t="s">
        <v>99</v>
      </c>
      <c r="B41" s="20" t="s">
        <v>155</v>
      </c>
      <c r="C41" s="21" t="n">
        <v>44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2</v>
      </c>
      <c r="I41" s="20" t="s">
        <v>78</v>
      </c>
    </row>
    <row r="42" customFormat="false" ht="15" hidden="false" customHeight="false" outlineLevel="0" collapsed="false">
      <c r="A42" s="20" t="s">
        <v>114</v>
      </c>
      <c r="B42" s="20" t="s">
        <v>184</v>
      </c>
      <c r="C42" s="21" t="n">
        <v>44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2</v>
      </c>
      <c r="I42" s="20" t="s">
        <v>78</v>
      </c>
    </row>
    <row r="43" customFormat="false" ht="15" hidden="false" customHeight="false" outlineLevel="0" collapsed="false">
      <c r="A43" s="20" t="s">
        <v>87</v>
      </c>
      <c r="B43" s="20" t="s">
        <v>185</v>
      </c>
      <c r="C43" s="21" t="n">
        <v>44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2</v>
      </c>
      <c r="I43" s="20" t="s">
        <v>78</v>
      </c>
    </row>
    <row r="44" customFormat="false" ht="15" hidden="false" customHeight="false" outlineLevel="0" collapsed="false">
      <c r="A44" s="20" t="s">
        <v>101</v>
      </c>
      <c r="B44" s="20" t="s">
        <v>187</v>
      </c>
      <c r="C44" s="21" t="n">
        <v>44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2</v>
      </c>
      <c r="I44" s="20" t="s">
        <v>78</v>
      </c>
    </row>
    <row r="45" customFormat="false" ht="15" hidden="false" customHeight="false" outlineLevel="0" collapsed="false">
      <c r="A45" s="20" t="s">
        <v>82</v>
      </c>
      <c r="B45" s="20" t="s">
        <v>248</v>
      </c>
      <c r="C45" s="21" t="n">
        <v>44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2</v>
      </c>
      <c r="I45" s="20" t="s">
        <v>78</v>
      </c>
    </row>
    <row r="46" customFormat="false" ht="15" hidden="false" customHeight="false" outlineLevel="0" collapsed="false">
      <c r="A46" s="20" t="s">
        <v>79</v>
      </c>
      <c r="B46" s="20" t="s">
        <v>249</v>
      </c>
      <c r="C46" s="21" t="n">
        <v>44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2</v>
      </c>
      <c r="I46" s="20" t="s">
        <v>78</v>
      </c>
    </row>
    <row r="47" customFormat="false" ht="15" hidden="false" customHeight="false" outlineLevel="0" collapsed="false">
      <c r="A47" s="20" t="s">
        <v>82</v>
      </c>
      <c r="B47" s="20" t="s">
        <v>251</v>
      </c>
      <c r="C47" s="21" t="n">
        <v>44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</v>
      </c>
      <c r="I47" s="20" t="s">
        <v>78</v>
      </c>
    </row>
    <row r="48" customFormat="false" ht="15" hidden="false" customHeight="false" outlineLevel="0" collapsed="false">
      <c r="A48" s="20" t="s">
        <v>85</v>
      </c>
      <c r="B48" s="20" t="s">
        <v>253</v>
      </c>
      <c r="C48" s="21" t="n">
        <v>44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2</v>
      </c>
      <c r="I48" s="20" t="s">
        <v>78</v>
      </c>
    </row>
    <row r="49" customFormat="false" ht="15" hidden="false" customHeight="false" outlineLevel="0" collapsed="false">
      <c r="A49" s="20" t="s">
        <v>107</v>
      </c>
      <c r="B49" s="20" t="s">
        <v>254</v>
      </c>
      <c r="C49" s="21" t="n">
        <v>44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2</v>
      </c>
      <c r="I49" s="20" t="s">
        <v>78</v>
      </c>
    </row>
    <row r="50" customFormat="false" ht="15" hidden="false" customHeight="false" outlineLevel="0" collapsed="false">
      <c r="A50" s="20" t="s">
        <v>82</v>
      </c>
      <c r="B50" s="20" t="s">
        <v>341</v>
      </c>
      <c r="C50" s="21" t="n">
        <v>44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2</v>
      </c>
      <c r="I50" s="20" t="s">
        <v>78</v>
      </c>
    </row>
    <row r="53" customFormat="false" ht="15" hidden="false" customHeight="false" outlineLevel="0" collapsed="false">
      <c r="A53" s="18" t="s">
        <v>113</v>
      </c>
    </row>
    <row r="54" customFormat="false" ht="23.85" hidden="false" customHeight="false" outlineLevel="0" collapsed="false">
      <c r="A54" s="3" t="s">
        <v>70</v>
      </c>
      <c r="B54" s="3" t="s">
        <v>71</v>
      </c>
      <c r="C54" s="3" t="s">
        <v>72</v>
      </c>
      <c r="D54" s="3" t="s">
        <v>73</v>
      </c>
      <c r="E54" s="3" t="s">
        <v>12</v>
      </c>
      <c r="F54" s="3" t="s">
        <v>74</v>
      </c>
      <c r="G54" s="3" t="s">
        <v>14</v>
      </c>
      <c r="H54" s="3" t="s">
        <v>15</v>
      </c>
      <c r="I54" s="3" t="s">
        <v>75</v>
      </c>
    </row>
    <row r="55" customFormat="false" ht="15" hidden="false" customHeight="false" outlineLevel="0" collapsed="false">
      <c r="A55" s="20" t="s">
        <v>114</v>
      </c>
      <c r="B55" s="20" t="s">
        <v>115</v>
      </c>
      <c r="C55" s="21" t="n">
        <v>40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2</v>
      </c>
      <c r="I55" s="20" t="s">
        <v>78</v>
      </c>
    </row>
    <row r="56" customFormat="false" ht="15" hidden="false" customHeight="false" outlineLevel="0" collapsed="false">
      <c r="A56" s="20" t="s">
        <v>114</v>
      </c>
      <c r="B56" s="20" t="s">
        <v>116</v>
      </c>
      <c r="C56" s="21" t="n">
        <v>40</v>
      </c>
      <c r="D56" s="20" t="n">
        <v>0</v>
      </c>
      <c r="E56" s="20" t="n">
        <v>0</v>
      </c>
      <c r="F56" s="20" t="n">
        <v>0</v>
      </c>
      <c r="G56" s="20" t="n">
        <v>0</v>
      </c>
      <c r="H56" s="20" t="n">
        <v>2</v>
      </c>
      <c r="I56" s="20" t="s">
        <v>78</v>
      </c>
    </row>
    <row r="57" customFormat="false" ht="15" hidden="false" customHeight="false" outlineLevel="0" collapsed="false">
      <c r="A57" s="20" t="s">
        <v>79</v>
      </c>
      <c r="B57" s="20" t="s">
        <v>117</v>
      </c>
      <c r="C57" s="21" t="n">
        <v>40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2</v>
      </c>
      <c r="I57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2026-07-03T13:11:56Z</dcterms:created>
  <dc:creator>openpyxl</dc:creator>
  <dc:description/>
  <dc:language>en-US</dc:language>
  <cp:lastModifiedBy/>
  <dcterms:modified xsi:type="dcterms:W3CDTF">2026-07-03T13:12:26Z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