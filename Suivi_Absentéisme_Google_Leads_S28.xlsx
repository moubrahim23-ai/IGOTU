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codeName="ThisWorkbook" hidePivotFieldList="1"/>
  <mc:AlternateContent xmlns:mc="http://schemas.openxmlformats.org/markup-compatibility/2006">
    <mc:Choice Requires="x15">
      <x15ac:absPath xmlns:x15ac="http://schemas.microsoft.com/office/spreadsheetml/2010/11/ac" url="\\uf11-a01\EIDS_WFM\GESTION DES FLUX\3 - CMCIC\2 - Google leads\1 - Suivi_Absentéisme\"/>
    </mc:Choice>
  </mc:AlternateContent>
  <xr:revisionPtr revIDLastSave="0" documentId="13_ncr:1_{54714D5B-5DCF-4AFA-9379-1B0AF4C9DE67}" xr6:coauthVersionLast="47" xr6:coauthVersionMax="47" xr10:uidLastSave="{00000000-0000-0000-0000-000000000000}"/>
  <bookViews>
    <workbookView xWindow="-110" yWindow="-110" windowWidth="19420" windowHeight="11500" tabRatio="711" activeTab="2" xr2:uid="{00000000-000D-0000-FFFF-FFFF00000000}"/>
  </bookViews>
  <sheets>
    <sheet name="Google Leads " sheetId="9" r:id="rId1"/>
    <sheet name="log" sheetId="21" r:id="rId2"/>
    <sheet name="trame" sheetId="19" r:id="rId3"/>
    <sheet name="Source CC pulse" sheetId="18" r:id="rId4"/>
    <sheet name="Planning" sheetId="14" r:id="rId5"/>
    <sheet name="Annuaire_roster" sheetId="10" r:id="rId6"/>
    <sheet name="Contrôle des heures" sheetId="16" r:id="rId7"/>
    <sheet name="Contrôle des jours" sheetId="15" r:id="rId8"/>
    <sheet name="Feuil1" sheetId="20" r:id="rId9"/>
    <sheet name="Suivi des justificatifs" sheetId="17" r:id="rId10"/>
  </sheets>
  <definedNames>
    <definedName name="_xlnm._FilterDatabase" localSheetId="5" hidden="1">Annuaire_roster!$A$1:$I$90</definedName>
    <definedName name="_xlnm._FilterDatabase" localSheetId="0" hidden="1">'Google Leads '!$A$1:$AG$225</definedName>
    <definedName name="_xlnm._FilterDatabase" localSheetId="4" hidden="1">Planning!#REF!</definedName>
    <definedName name="_xlnm._FilterDatabase" localSheetId="2" hidden="1">trame!$A$1:$I$22</definedName>
    <definedName name="Business">" "</definedName>
    <definedName name="Data">OFFSET('Google Leads '!$A$1,,,COUNTA('Google Leads '!$B:$B),COUNTA('Google Leads '!$1:$1))</definedName>
    <definedName name="Matricules">" "</definedName>
    <definedName name="Nom_complet">" "</definedName>
    <definedName name="Pause_déjeuner">Annuaire_roster!#REF!</definedName>
    <definedName name="Pausette">Annuaire_roster!#REF!</definedName>
    <definedName name="PL_Date">Planning!$B:$B</definedName>
    <definedName name="PL_Entrée">Planning!$C:$C</definedName>
    <definedName name="PL_Nom">Planning!$A:$A</definedName>
    <definedName name="PL_Sortie">Planning!$D:$D</definedName>
    <definedName name="Segment">" "</definedName>
    <definedName name="Segment_Business12">#N/A</definedName>
    <definedName name="Segment_Business141">#N/A</definedName>
    <definedName name="Segment_Mois12">#N/A</definedName>
    <definedName name="Segment_Mois141">#N/A</definedName>
    <definedName name="Segment_Segment12">#N/A</definedName>
    <definedName name="Segment_Segment141">#N/A</definedName>
    <definedName name="Segment_Semaine12">#N/A</definedName>
    <definedName name="Segment_Semaine141">#N/A</definedName>
    <definedName name="Team">" "</definedName>
  </definedNames>
  <calcPr calcId="191029"/>
  <pivotCaches>
    <pivotCache cacheId="93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15" i="9" l="1"/>
  <c r="U215" i="9"/>
  <c r="V215" i="9"/>
  <c r="Y215" i="9"/>
  <c r="Z215" i="9"/>
  <c r="AA215" i="9"/>
  <c r="T216" i="9"/>
  <c r="U216" i="9"/>
  <c r="V216" i="9"/>
  <c r="Y216" i="9"/>
  <c r="Z216" i="9"/>
  <c r="AA216" i="9"/>
  <c r="T217" i="9"/>
  <c r="U217" i="9"/>
  <c r="V217" i="9"/>
  <c r="Y217" i="9"/>
  <c r="Z217" i="9"/>
  <c r="AA217" i="9"/>
  <c r="T218" i="9"/>
  <c r="U218" i="9"/>
  <c r="V218" i="9"/>
  <c r="Y218" i="9"/>
  <c r="Z218" i="9"/>
  <c r="AA218" i="9"/>
  <c r="T219" i="9"/>
  <c r="U219" i="9"/>
  <c r="V219" i="9"/>
  <c r="Y219" i="9"/>
  <c r="Z219" i="9"/>
  <c r="AA219" i="9"/>
  <c r="T220" i="9"/>
  <c r="U220" i="9"/>
  <c r="V220" i="9"/>
  <c r="Y220" i="9"/>
  <c r="Z220" i="9"/>
  <c r="AA220" i="9"/>
  <c r="T221" i="9"/>
  <c r="U221" i="9"/>
  <c r="V221" i="9"/>
  <c r="Y221" i="9"/>
  <c r="Z221" i="9"/>
  <c r="AA221" i="9"/>
  <c r="T222" i="9"/>
  <c r="U222" i="9"/>
  <c r="V222" i="9"/>
  <c r="Y222" i="9"/>
  <c r="Z222" i="9"/>
  <c r="AA222" i="9"/>
  <c r="T223" i="9"/>
  <c r="U223" i="9"/>
  <c r="V223" i="9"/>
  <c r="Y223" i="9"/>
  <c r="Z223" i="9"/>
  <c r="AA223" i="9"/>
  <c r="T224" i="9"/>
  <c r="U224" i="9"/>
  <c r="V224" i="9"/>
  <c r="Y224" i="9"/>
  <c r="Z224" i="9"/>
  <c r="AA224" i="9"/>
  <c r="T225" i="9"/>
  <c r="U225" i="9"/>
  <c r="V225" i="9"/>
  <c r="Y225" i="9"/>
  <c r="Z225" i="9"/>
  <c r="AA225" i="9"/>
  <c r="P215" i="9"/>
  <c r="P216" i="9"/>
  <c r="P217" i="9"/>
  <c r="P218" i="9"/>
  <c r="P219" i="9"/>
  <c r="P220" i="9"/>
  <c r="P221" i="9"/>
  <c r="P222" i="9"/>
  <c r="P223" i="9"/>
  <c r="P224" i="9"/>
  <c r="P225" i="9"/>
  <c r="A215" i="9"/>
  <c r="A216" i="9"/>
  <c r="A217" i="9"/>
  <c r="A218" i="9"/>
  <c r="A219" i="9"/>
  <c r="A220" i="9"/>
  <c r="A221" i="9"/>
  <c r="A222" i="9"/>
  <c r="A223" i="9"/>
  <c r="A224" i="9"/>
  <c r="A225" i="9"/>
  <c r="P12" i="9"/>
  <c r="P33" i="9"/>
  <c r="P21" i="9"/>
  <c r="P20" i="9"/>
  <c r="P22" i="9"/>
  <c r="P24" i="9"/>
  <c r="P23" i="9"/>
  <c r="P26" i="9"/>
  <c r="P7" i="9"/>
  <c r="P2" i="9"/>
  <c r="P9" i="9"/>
  <c r="P27" i="9"/>
  <c r="P10" i="9"/>
  <c r="P15" i="9"/>
  <c r="P32" i="9"/>
  <c r="P17" i="9"/>
  <c r="P5" i="9"/>
  <c r="P11" i="9"/>
  <c r="P18" i="9"/>
  <c r="P28" i="9"/>
  <c r="P29" i="9"/>
  <c r="P3" i="9"/>
  <c r="P8" i="9"/>
  <c r="P13" i="9"/>
  <c r="P6" i="9"/>
  <c r="P19" i="9"/>
  <c r="P31" i="9"/>
  <c r="P14" i="9"/>
  <c r="P16" i="9"/>
  <c r="P30" i="9"/>
  <c r="P25" i="9"/>
  <c r="P4" i="9"/>
  <c r="P46" i="9"/>
  <c r="P36" i="9"/>
  <c r="P61" i="9"/>
  <c r="P56" i="9"/>
  <c r="P60" i="9"/>
  <c r="P58" i="9"/>
  <c r="P50" i="9"/>
  <c r="P41" i="9"/>
  <c r="P34" i="9"/>
  <c r="P39" i="9"/>
  <c r="P40" i="9"/>
  <c r="P51" i="9"/>
  <c r="P62" i="9"/>
  <c r="P63" i="9"/>
  <c r="P55" i="9"/>
  <c r="P38" i="9"/>
  <c r="P47" i="9"/>
  <c r="P35" i="9"/>
  <c r="P59" i="9"/>
  <c r="P42" i="9"/>
  <c r="P64" i="9"/>
  <c r="P57" i="9"/>
  <c r="P48" i="9"/>
  <c r="P49" i="9"/>
  <c r="P53" i="9"/>
  <c r="P54" i="9"/>
  <c r="P45" i="9"/>
  <c r="P37" i="9"/>
  <c r="P43" i="9"/>
  <c r="P90" i="9"/>
  <c r="P44" i="9"/>
  <c r="P65" i="9"/>
  <c r="P68" i="9"/>
  <c r="P77" i="9"/>
  <c r="P94" i="9"/>
  <c r="P52" i="9"/>
  <c r="P92" i="9"/>
  <c r="P91" i="9"/>
  <c r="P70" i="9"/>
  <c r="P97" i="9"/>
  <c r="P83" i="9"/>
  <c r="P71" i="9"/>
  <c r="P66" i="9"/>
  <c r="P81" i="9"/>
  <c r="P72" i="9"/>
  <c r="P78" i="9"/>
  <c r="P87" i="9"/>
  <c r="P73" i="9"/>
  <c r="P67" i="9"/>
  <c r="P82" i="9"/>
  <c r="P93" i="9"/>
  <c r="P79" i="9"/>
  <c r="P80" i="9"/>
  <c r="P88" i="9"/>
  <c r="P95" i="9"/>
  <c r="P96" i="9"/>
  <c r="P74" i="9"/>
  <c r="P69" i="9"/>
  <c r="P75" i="9"/>
  <c r="P105" i="9"/>
  <c r="P84" i="9"/>
  <c r="P76" i="9"/>
  <c r="P119" i="9"/>
  <c r="P128" i="9"/>
  <c r="P112" i="9"/>
  <c r="P85" i="9"/>
  <c r="P86" i="9"/>
  <c r="P89" i="9"/>
  <c r="P99" i="9"/>
  <c r="P127" i="9"/>
  <c r="P120" i="9"/>
  <c r="P100" i="9"/>
  <c r="P101" i="9"/>
  <c r="P121" i="9"/>
  <c r="P126" i="9"/>
  <c r="P107" i="9"/>
  <c r="P108" i="9"/>
  <c r="P110" i="9"/>
  <c r="P114" i="9"/>
  <c r="P109" i="9"/>
  <c r="P111" i="9"/>
  <c r="P122" i="9"/>
  <c r="P98" i="9"/>
  <c r="P129" i="9"/>
  <c r="P102" i="9"/>
  <c r="P115" i="9"/>
  <c r="P103" i="9"/>
  <c r="P124" i="9"/>
  <c r="P104" i="9"/>
  <c r="P145" i="9"/>
  <c r="P123" i="9"/>
  <c r="P106" i="9"/>
  <c r="P133" i="9"/>
  <c r="P134" i="9"/>
  <c r="P146" i="9"/>
  <c r="P138" i="9"/>
  <c r="P147" i="9"/>
  <c r="P116" i="9"/>
  <c r="P132" i="9"/>
  <c r="P158" i="9"/>
  <c r="P135" i="9"/>
  <c r="P117" i="9"/>
  <c r="P148" i="9"/>
  <c r="P125" i="9"/>
  <c r="P118" i="9"/>
  <c r="P113" i="9"/>
  <c r="P149" i="9"/>
  <c r="P136" i="9"/>
  <c r="P130" i="9"/>
  <c r="P144" i="9"/>
  <c r="P131" i="9"/>
  <c r="P157" i="9"/>
  <c r="P139" i="9"/>
  <c r="P155" i="9"/>
  <c r="P156" i="9"/>
  <c r="P137" i="9"/>
  <c r="P140" i="9"/>
  <c r="P176" i="9"/>
  <c r="P173" i="9"/>
  <c r="P164" i="9"/>
  <c r="P161" i="9"/>
  <c r="P154" i="9"/>
  <c r="P168" i="9"/>
  <c r="P169" i="9"/>
  <c r="P150" i="9"/>
  <c r="P165" i="9"/>
  <c r="P184" i="9"/>
  <c r="P163" i="9"/>
  <c r="P143" i="9"/>
  <c r="P177" i="9"/>
  <c r="P159" i="9"/>
  <c r="P183" i="9"/>
  <c r="P192" i="9"/>
  <c r="P178" i="9"/>
  <c r="P141" i="9"/>
  <c r="P172" i="9"/>
  <c r="P182" i="9"/>
  <c r="P160" i="9"/>
  <c r="P188" i="9"/>
  <c r="P142" i="9"/>
  <c r="P170" i="9"/>
  <c r="P151" i="9"/>
  <c r="P189" i="9"/>
  <c r="P162" i="9"/>
  <c r="P167" i="9"/>
  <c r="P174" i="9"/>
  <c r="P171" i="9"/>
  <c r="P152" i="9"/>
  <c r="P153" i="9"/>
  <c r="P187" i="9"/>
  <c r="P194" i="9"/>
  <c r="P195" i="9"/>
  <c r="P179" i="9"/>
  <c r="P196" i="9"/>
  <c r="P197" i="9"/>
  <c r="P198" i="9"/>
  <c r="P199" i="9"/>
  <c r="P175" i="9"/>
  <c r="P200" i="9"/>
  <c r="P190" i="9"/>
  <c r="P201" i="9"/>
  <c r="P202" i="9"/>
  <c r="P185" i="9"/>
  <c r="P181" i="9"/>
  <c r="P203" i="9"/>
  <c r="P204" i="9"/>
  <c r="P205" i="9"/>
  <c r="P206" i="9"/>
  <c r="P207" i="9"/>
  <c r="P208" i="9"/>
  <c r="P209" i="9"/>
  <c r="P193" i="9"/>
  <c r="P186" i="9"/>
  <c r="P166" i="9"/>
  <c r="P210" i="9"/>
  <c r="P180" i="9"/>
  <c r="P211" i="9"/>
  <c r="P191" i="9"/>
  <c r="P212" i="9"/>
  <c r="P213" i="9"/>
  <c r="P214" i="9"/>
  <c r="B35" i="14"/>
  <c r="B67" i="14" s="1"/>
  <c r="B99" i="14" s="1"/>
  <c r="B131" i="14" s="1"/>
  <c r="B163" i="14" s="1"/>
  <c r="B195" i="14" s="1"/>
  <c r="B36" i="14"/>
  <c r="B68" i="14" s="1"/>
  <c r="B100" i="14" s="1"/>
  <c r="B132" i="14" s="1"/>
  <c r="B164" i="14" s="1"/>
  <c r="B196" i="14" s="1"/>
  <c r="B37" i="14"/>
  <c r="B69" i="14" s="1"/>
  <c r="B101" i="14" s="1"/>
  <c r="B133" i="14" s="1"/>
  <c r="B165" i="14" s="1"/>
  <c r="B197" i="14" s="1"/>
  <c r="B38" i="14"/>
  <c r="B70" i="14" s="1"/>
  <c r="B102" i="14" s="1"/>
  <c r="B134" i="14" s="1"/>
  <c r="B166" i="14" s="1"/>
  <c r="B198" i="14" s="1"/>
  <c r="B39" i="14"/>
  <c r="B71" i="14" s="1"/>
  <c r="B103" i="14" s="1"/>
  <c r="B135" i="14" s="1"/>
  <c r="B167" i="14" s="1"/>
  <c r="B199" i="14" s="1"/>
  <c r="B40" i="14"/>
  <c r="B72" i="14" s="1"/>
  <c r="B104" i="14" s="1"/>
  <c r="B136" i="14" s="1"/>
  <c r="B168" i="14" s="1"/>
  <c r="B200" i="14" s="1"/>
  <c r="B41" i="14"/>
  <c r="B73" i="14" s="1"/>
  <c r="B105" i="14" s="1"/>
  <c r="B137" i="14" s="1"/>
  <c r="B169" i="14" s="1"/>
  <c r="B201" i="14" s="1"/>
  <c r="B42" i="14"/>
  <c r="B74" i="14" s="1"/>
  <c r="B106" i="14" s="1"/>
  <c r="B138" i="14" s="1"/>
  <c r="B170" i="14" s="1"/>
  <c r="B202" i="14" s="1"/>
  <c r="B43" i="14"/>
  <c r="B75" i="14" s="1"/>
  <c r="B107" i="14" s="1"/>
  <c r="B139" i="14" s="1"/>
  <c r="B171" i="14" s="1"/>
  <c r="B203" i="14" s="1"/>
  <c r="B44" i="14"/>
  <c r="B76" i="14" s="1"/>
  <c r="B108" i="14" s="1"/>
  <c r="B140" i="14" s="1"/>
  <c r="B172" i="14" s="1"/>
  <c r="B204" i="14" s="1"/>
  <c r="B45" i="14"/>
  <c r="B77" i="14" s="1"/>
  <c r="B109" i="14" s="1"/>
  <c r="B141" i="14" s="1"/>
  <c r="B173" i="14" s="1"/>
  <c r="B205" i="14" s="1"/>
  <c r="B46" i="14"/>
  <c r="B78" i="14" s="1"/>
  <c r="B110" i="14" s="1"/>
  <c r="B142" i="14" s="1"/>
  <c r="B174" i="14" s="1"/>
  <c r="B206" i="14" s="1"/>
  <c r="B47" i="14"/>
  <c r="B79" i="14" s="1"/>
  <c r="B111" i="14" s="1"/>
  <c r="B143" i="14" s="1"/>
  <c r="B175" i="14" s="1"/>
  <c r="B207" i="14" s="1"/>
  <c r="B48" i="14"/>
  <c r="B80" i="14" s="1"/>
  <c r="B112" i="14" s="1"/>
  <c r="B144" i="14" s="1"/>
  <c r="B176" i="14" s="1"/>
  <c r="B208" i="14" s="1"/>
  <c r="B49" i="14"/>
  <c r="B81" i="14" s="1"/>
  <c r="B113" i="14" s="1"/>
  <c r="B145" i="14" s="1"/>
  <c r="B177" i="14" s="1"/>
  <c r="B209" i="14" s="1"/>
  <c r="B50" i="14"/>
  <c r="B82" i="14" s="1"/>
  <c r="B114" i="14" s="1"/>
  <c r="B146" i="14" s="1"/>
  <c r="B178" i="14" s="1"/>
  <c r="B210" i="14" s="1"/>
  <c r="B51" i="14"/>
  <c r="B83" i="14" s="1"/>
  <c r="B115" i="14" s="1"/>
  <c r="B147" i="14" s="1"/>
  <c r="B179" i="14" s="1"/>
  <c r="B211" i="14" s="1"/>
  <c r="B52" i="14"/>
  <c r="B84" i="14" s="1"/>
  <c r="B116" i="14" s="1"/>
  <c r="B148" i="14" s="1"/>
  <c r="B180" i="14" s="1"/>
  <c r="B212" i="14" s="1"/>
  <c r="B53" i="14"/>
  <c r="B85" i="14" s="1"/>
  <c r="B117" i="14" s="1"/>
  <c r="B149" i="14" s="1"/>
  <c r="B181" i="14" s="1"/>
  <c r="B213" i="14" s="1"/>
  <c r="B54" i="14"/>
  <c r="B86" i="14" s="1"/>
  <c r="B118" i="14" s="1"/>
  <c r="B150" i="14" s="1"/>
  <c r="B182" i="14" s="1"/>
  <c r="B214" i="14" s="1"/>
  <c r="B55" i="14"/>
  <c r="B87" i="14" s="1"/>
  <c r="B119" i="14" s="1"/>
  <c r="B151" i="14" s="1"/>
  <c r="B183" i="14" s="1"/>
  <c r="B215" i="14" s="1"/>
  <c r="B56" i="14"/>
  <c r="B88" i="14" s="1"/>
  <c r="B120" i="14" s="1"/>
  <c r="B152" i="14" s="1"/>
  <c r="B184" i="14" s="1"/>
  <c r="B216" i="14" s="1"/>
  <c r="B57" i="14"/>
  <c r="B89" i="14" s="1"/>
  <c r="B121" i="14" s="1"/>
  <c r="B153" i="14" s="1"/>
  <c r="B185" i="14" s="1"/>
  <c r="B217" i="14" s="1"/>
  <c r="B58" i="14"/>
  <c r="B90" i="14" s="1"/>
  <c r="B122" i="14" s="1"/>
  <c r="B154" i="14" s="1"/>
  <c r="B186" i="14" s="1"/>
  <c r="B218" i="14" s="1"/>
  <c r="B59" i="14"/>
  <c r="B91" i="14" s="1"/>
  <c r="B123" i="14" s="1"/>
  <c r="B155" i="14" s="1"/>
  <c r="B187" i="14" s="1"/>
  <c r="B219" i="14" s="1"/>
  <c r="B60" i="14"/>
  <c r="B92" i="14" s="1"/>
  <c r="B124" i="14" s="1"/>
  <c r="B156" i="14" s="1"/>
  <c r="B188" i="14" s="1"/>
  <c r="B220" i="14" s="1"/>
  <c r="B61" i="14"/>
  <c r="B93" i="14" s="1"/>
  <c r="B125" i="14" s="1"/>
  <c r="B157" i="14" s="1"/>
  <c r="B189" i="14" s="1"/>
  <c r="B221" i="14" s="1"/>
  <c r="B62" i="14"/>
  <c r="B94" i="14" s="1"/>
  <c r="B126" i="14" s="1"/>
  <c r="B158" i="14" s="1"/>
  <c r="B190" i="14" s="1"/>
  <c r="B222" i="14" s="1"/>
  <c r="B63" i="14"/>
  <c r="B95" i="14" s="1"/>
  <c r="B127" i="14" s="1"/>
  <c r="B159" i="14" s="1"/>
  <c r="B191" i="14" s="1"/>
  <c r="B223" i="14" s="1"/>
  <c r="B64" i="14"/>
  <c r="B96" i="14" s="1"/>
  <c r="B65" i="14"/>
  <c r="B97" i="14" s="1"/>
  <c r="B129" i="14" s="1"/>
  <c r="B161" i="14" s="1"/>
  <c r="B193" i="14" s="1"/>
  <c r="B225" i="14" s="1"/>
  <c r="B34" i="14"/>
  <c r="B66" i="14" s="1"/>
  <c r="B98" i="14" s="1"/>
  <c r="B130" i="14" s="1"/>
  <c r="B162" i="14" s="1"/>
  <c r="B194" i="14" s="1"/>
  <c r="D121" i="9" l="1" a="1"/>
  <c r="D121" i="9" s="1"/>
  <c r="B128" i="14"/>
  <c r="E33" i="14"/>
  <c r="F33" i="14"/>
  <c r="B160" i="14" l="1"/>
  <c r="B192" i="14" l="1"/>
  <c r="F131" i="9" l="1" a="1"/>
  <c r="F131" i="9" s="1"/>
  <c r="F58" i="9" a="1"/>
  <c r="F58" i="9" s="1"/>
  <c r="D148" i="9" a="1"/>
  <c r="D148" i="9" s="1"/>
  <c r="D111" i="9" a="1"/>
  <c r="D111" i="9" s="1"/>
  <c r="D161" i="9" a="1"/>
  <c r="D161" i="9" s="1"/>
  <c r="F3" i="9" a="1"/>
  <c r="F3" i="9" s="1"/>
  <c r="B224" i="14"/>
  <c r="F150" i="9" s="1" a="1"/>
  <c r="F150" i="9" s="1"/>
  <c r="T175" i="9"/>
  <c r="U175" i="9"/>
  <c r="V175" i="9"/>
  <c r="Y175" i="9"/>
  <c r="Z175" i="9"/>
  <c r="AA175" i="9"/>
  <c r="T195" i="9"/>
  <c r="U195" i="9"/>
  <c r="V195" i="9"/>
  <c r="Y195" i="9"/>
  <c r="Z195" i="9"/>
  <c r="AA195" i="9"/>
  <c r="T179" i="9"/>
  <c r="U179" i="9"/>
  <c r="V179" i="9"/>
  <c r="Y179" i="9"/>
  <c r="Z179" i="9"/>
  <c r="AA179" i="9"/>
  <c r="T167" i="9"/>
  <c r="U167" i="9"/>
  <c r="V167" i="9"/>
  <c r="Y167" i="9"/>
  <c r="Z167" i="9"/>
  <c r="AA167" i="9"/>
  <c r="T150" i="9"/>
  <c r="U150" i="9"/>
  <c r="V150" i="9"/>
  <c r="Y150" i="9"/>
  <c r="Z150" i="9"/>
  <c r="AA150" i="9"/>
  <c r="T200" i="9"/>
  <c r="U200" i="9"/>
  <c r="V200" i="9"/>
  <c r="Y200" i="9"/>
  <c r="Z200" i="9"/>
  <c r="AA200" i="9"/>
  <c r="T190" i="9"/>
  <c r="U190" i="9"/>
  <c r="V190" i="9"/>
  <c r="Y190" i="9"/>
  <c r="Z190" i="9"/>
  <c r="AA190" i="9"/>
  <c r="T183" i="9"/>
  <c r="U183" i="9"/>
  <c r="V183" i="9"/>
  <c r="Y183" i="9"/>
  <c r="Z183" i="9"/>
  <c r="AA183" i="9"/>
  <c r="T182" i="9"/>
  <c r="U182" i="9"/>
  <c r="V182" i="9"/>
  <c r="Y182" i="9"/>
  <c r="Z182" i="9"/>
  <c r="AA182" i="9"/>
  <c r="T165" i="9"/>
  <c r="U165" i="9"/>
  <c r="V165" i="9"/>
  <c r="Y165" i="9"/>
  <c r="Z165" i="9"/>
  <c r="AA165" i="9"/>
  <c r="T187" i="9"/>
  <c r="U187" i="9"/>
  <c r="V187" i="9"/>
  <c r="Y187" i="9"/>
  <c r="Z187" i="9"/>
  <c r="AA187" i="9"/>
  <c r="T160" i="9"/>
  <c r="U160" i="9"/>
  <c r="V160" i="9"/>
  <c r="Y160" i="9"/>
  <c r="Z160" i="9"/>
  <c r="AA160" i="9"/>
  <c r="T188" i="9"/>
  <c r="U188" i="9"/>
  <c r="V188" i="9"/>
  <c r="Y188" i="9"/>
  <c r="Z188" i="9"/>
  <c r="AA188" i="9"/>
  <c r="T192" i="9"/>
  <c r="U192" i="9"/>
  <c r="V192" i="9"/>
  <c r="Y192" i="9"/>
  <c r="Z192" i="9"/>
  <c r="AA192" i="9"/>
  <c r="T142" i="9"/>
  <c r="U142" i="9"/>
  <c r="V142" i="9"/>
  <c r="Y142" i="9"/>
  <c r="Z142" i="9"/>
  <c r="AA142" i="9"/>
  <c r="T184" i="9"/>
  <c r="U184" i="9"/>
  <c r="V184" i="9"/>
  <c r="Y184" i="9"/>
  <c r="Z184" i="9"/>
  <c r="AA184" i="9"/>
  <c r="T163" i="9"/>
  <c r="U163" i="9"/>
  <c r="V163" i="9"/>
  <c r="Y163" i="9"/>
  <c r="Z163" i="9"/>
  <c r="AA163" i="9"/>
  <c r="T201" i="9"/>
  <c r="U201" i="9"/>
  <c r="V201" i="9"/>
  <c r="Y201" i="9"/>
  <c r="Z201" i="9"/>
  <c r="AA201" i="9"/>
  <c r="T202" i="9"/>
  <c r="U202" i="9"/>
  <c r="V202" i="9"/>
  <c r="Y202" i="9"/>
  <c r="Z202" i="9"/>
  <c r="AA202" i="9"/>
  <c r="T185" i="9"/>
  <c r="U185" i="9"/>
  <c r="V185" i="9"/>
  <c r="Y185" i="9"/>
  <c r="Z185" i="9"/>
  <c r="AA185" i="9"/>
  <c r="T181" i="9"/>
  <c r="U181" i="9"/>
  <c r="V181" i="9"/>
  <c r="Y181" i="9"/>
  <c r="Z181" i="9"/>
  <c r="AA181" i="9"/>
  <c r="T203" i="9"/>
  <c r="U203" i="9"/>
  <c r="V203" i="9"/>
  <c r="Y203" i="9"/>
  <c r="Z203" i="9"/>
  <c r="AA203" i="9"/>
  <c r="T204" i="9"/>
  <c r="U204" i="9"/>
  <c r="V204" i="9"/>
  <c r="Y204" i="9"/>
  <c r="Z204" i="9"/>
  <c r="AA204" i="9"/>
  <c r="T205" i="9"/>
  <c r="U205" i="9"/>
  <c r="V205" i="9"/>
  <c r="Y205" i="9"/>
  <c r="Z205" i="9"/>
  <c r="AA205" i="9"/>
  <c r="T206" i="9"/>
  <c r="U206" i="9"/>
  <c r="V206" i="9"/>
  <c r="Y206" i="9"/>
  <c r="Z206" i="9"/>
  <c r="AA206" i="9"/>
  <c r="T207" i="9"/>
  <c r="U207" i="9"/>
  <c r="V207" i="9"/>
  <c r="Y207" i="9"/>
  <c r="Z207" i="9"/>
  <c r="AA207" i="9"/>
  <c r="T208" i="9"/>
  <c r="U208" i="9"/>
  <c r="V208" i="9"/>
  <c r="Y208" i="9"/>
  <c r="Z208" i="9"/>
  <c r="AA208" i="9"/>
  <c r="T209" i="9"/>
  <c r="U209" i="9"/>
  <c r="V209" i="9"/>
  <c r="Y209" i="9"/>
  <c r="Z209" i="9"/>
  <c r="AA209" i="9"/>
  <c r="T193" i="9"/>
  <c r="U193" i="9"/>
  <c r="V193" i="9"/>
  <c r="Y193" i="9"/>
  <c r="Z193" i="9"/>
  <c r="AA193" i="9"/>
  <c r="T186" i="9"/>
  <c r="U186" i="9"/>
  <c r="V186" i="9"/>
  <c r="Y186" i="9"/>
  <c r="Z186" i="9"/>
  <c r="AA186" i="9"/>
  <c r="T166" i="9"/>
  <c r="U166" i="9"/>
  <c r="V166" i="9"/>
  <c r="Y166" i="9"/>
  <c r="Z166" i="9"/>
  <c r="AA166" i="9"/>
  <c r="T210" i="9"/>
  <c r="U210" i="9"/>
  <c r="V210" i="9"/>
  <c r="Y210" i="9"/>
  <c r="Z210" i="9"/>
  <c r="AA210" i="9"/>
  <c r="T180" i="9"/>
  <c r="U180" i="9"/>
  <c r="V180" i="9"/>
  <c r="Y180" i="9"/>
  <c r="Z180" i="9"/>
  <c r="AA180" i="9"/>
  <c r="T211" i="9"/>
  <c r="U211" i="9"/>
  <c r="V211" i="9"/>
  <c r="Y211" i="9"/>
  <c r="Z211" i="9"/>
  <c r="AA211" i="9"/>
  <c r="T191" i="9"/>
  <c r="U191" i="9"/>
  <c r="V191" i="9"/>
  <c r="Y191" i="9"/>
  <c r="Z191" i="9"/>
  <c r="AA191" i="9"/>
  <c r="T212" i="9"/>
  <c r="U212" i="9"/>
  <c r="V212" i="9"/>
  <c r="Y212" i="9"/>
  <c r="Z212" i="9"/>
  <c r="AA212" i="9"/>
  <c r="T213" i="9"/>
  <c r="U213" i="9"/>
  <c r="V213" i="9"/>
  <c r="Y213" i="9"/>
  <c r="Z213" i="9"/>
  <c r="AA213" i="9"/>
  <c r="T214" i="9"/>
  <c r="U214" i="9"/>
  <c r="V214" i="9"/>
  <c r="Y214" i="9"/>
  <c r="Z214" i="9"/>
  <c r="AA214" i="9"/>
  <c r="A175" i="9"/>
  <c r="A195" i="9"/>
  <c r="A179" i="9"/>
  <c r="A167" i="9"/>
  <c r="A150" i="9"/>
  <c r="A200" i="9"/>
  <c r="A190" i="9"/>
  <c r="A183" i="9"/>
  <c r="A182" i="9"/>
  <c r="A165" i="9"/>
  <c r="A187" i="9"/>
  <c r="A160" i="9"/>
  <c r="A188" i="9"/>
  <c r="A192" i="9"/>
  <c r="A142" i="9"/>
  <c r="A184" i="9"/>
  <c r="A163" i="9"/>
  <c r="A201" i="9"/>
  <c r="A202" i="9"/>
  <c r="A185" i="9"/>
  <c r="A181" i="9"/>
  <c r="A203" i="9"/>
  <c r="A204" i="9"/>
  <c r="A205" i="9"/>
  <c r="A206" i="9"/>
  <c r="A207" i="9"/>
  <c r="A208" i="9"/>
  <c r="A209" i="9"/>
  <c r="A193" i="9"/>
  <c r="A186" i="9"/>
  <c r="A166" i="9"/>
  <c r="A210" i="9"/>
  <c r="A180" i="9"/>
  <c r="A211" i="9"/>
  <c r="A191" i="9"/>
  <c r="A212" i="9"/>
  <c r="A213" i="9"/>
  <c r="A214" i="9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5" i="14"/>
  <c r="E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151" i="9" l="1" a="1"/>
  <c r="F151" i="9" s="1"/>
  <c r="D99" i="9" a="1"/>
  <c r="D99" i="9" s="1"/>
  <c r="F132" i="9" a="1"/>
  <c r="F132" i="9" s="1"/>
  <c r="D83" i="9" a="1"/>
  <c r="D83" i="9" s="1"/>
  <c r="F70" i="9" a="1"/>
  <c r="F70" i="9" s="1"/>
  <c r="D52" i="9" a="1"/>
  <c r="D52" i="9" s="1"/>
  <c r="D117" i="9" a="1"/>
  <c r="D117" i="9" s="1"/>
  <c r="D100" i="9" a="1"/>
  <c r="D100" i="9" s="1"/>
  <c r="D42" i="9" a="1"/>
  <c r="D42" i="9" s="1"/>
  <c r="D7" i="9" a="1"/>
  <c r="D7" i="9" s="1"/>
  <c r="F51" i="9" a="1"/>
  <c r="F51" i="9" s="1"/>
  <c r="D95" i="9" a="1"/>
  <c r="D95" i="9" s="1"/>
  <c r="F74" i="9" a="1"/>
  <c r="F74" i="9" s="1"/>
  <c r="D120" i="9" a="1"/>
  <c r="D120" i="9" s="1"/>
  <c r="F86" i="9" a="1"/>
  <c r="F86" i="9" s="1"/>
  <c r="D37" i="9" a="1"/>
  <c r="D37" i="9" s="1"/>
  <c r="F48" i="9" a="1"/>
  <c r="F48" i="9" s="1"/>
  <c r="D29" i="9" a="1"/>
  <c r="D29" i="9" s="1"/>
  <c r="D128" i="9" a="1"/>
  <c r="D128" i="9" s="1"/>
  <c r="D16" i="9" a="1"/>
  <c r="D16" i="9" s="1"/>
  <c r="F88" i="9" a="1"/>
  <c r="F88" i="9" s="1"/>
  <c r="D5" i="9" a="1"/>
  <c r="D5" i="9" s="1"/>
  <c r="D82" i="9" a="1"/>
  <c r="D82" i="9" s="1"/>
  <c r="F113" i="9" a="1"/>
  <c r="F113" i="9" s="1"/>
  <c r="D80" i="9" a="1"/>
  <c r="D80" i="9" s="1"/>
  <c r="D75" i="9" a="1"/>
  <c r="D75" i="9" s="1"/>
  <c r="F64" i="9" a="1"/>
  <c r="F64" i="9" s="1"/>
  <c r="F105" i="9" a="1"/>
  <c r="F105" i="9" s="1"/>
  <c r="D63" i="9" a="1"/>
  <c r="D63" i="9" s="1"/>
  <c r="D48" i="9" a="1"/>
  <c r="D48" i="9" s="1"/>
  <c r="D151" i="9" a="1"/>
  <c r="D151" i="9" s="1"/>
  <c r="F13" i="9" a="1"/>
  <c r="F13" i="9" s="1"/>
  <c r="D125" i="9" a="1"/>
  <c r="D125" i="9" s="1"/>
  <c r="D145" i="9" a="1"/>
  <c r="D145" i="9" s="1"/>
  <c r="F190" i="9" a="1"/>
  <c r="F190" i="9" s="1"/>
  <c r="F140" i="9" a="1"/>
  <c r="F140" i="9" s="1"/>
  <c r="F33" i="9" a="1"/>
  <c r="F33" i="9" s="1"/>
  <c r="F53" i="9" a="1"/>
  <c r="F53" i="9" s="1"/>
  <c r="F32" i="9" a="1"/>
  <c r="F32" i="9" s="1"/>
  <c r="D78" i="9" a="1"/>
  <c r="D78" i="9" s="1"/>
  <c r="F41" i="9" a="1"/>
  <c r="F41" i="9" s="1"/>
  <c r="F68" i="9" a="1"/>
  <c r="F68" i="9" s="1"/>
  <c r="D107" i="9" a="1"/>
  <c r="D107" i="9" s="1"/>
  <c r="D177" i="9" a="1"/>
  <c r="D177" i="9" s="1"/>
  <c r="F144" i="9" a="1"/>
  <c r="F144" i="9" s="1"/>
  <c r="D96" i="9" a="1"/>
  <c r="D96" i="9" s="1"/>
  <c r="D71" i="9" a="1"/>
  <c r="D71" i="9" s="1"/>
  <c r="F7" i="9" a="1"/>
  <c r="F7" i="9" s="1"/>
  <c r="D77" i="9" a="1"/>
  <c r="D77" i="9" s="1"/>
  <c r="F100" i="9" a="1"/>
  <c r="F100" i="9" s="1"/>
  <c r="F161" i="9" a="1"/>
  <c r="F161" i="9" s="1"/>
  <c r="D102" i="9" a="1"/>
  <c r="D102" i="9" s="1"/>
  <c r="D89" i="9" a="1"/>
  <c r="D89" i="9" s="1"/>
  <c r="F5" i="9" a="1"/>
  <c r="F5" i="9" s="1"/>
  <c r="F89" i="9" a="1"/>
  <c r="F89" i="9" s="1"/>
  <c r="F19" i="9" a="1"/>
  <c r="F19" i="9" s="1"/>
  <c r="D68" i="9" a="1"/>
  <c r="D68" i="9" s="1"/>
  <c r="D124" i="9" a="1"/>
  <c r="D124" i="9" s="1"/>
  <c r="F78" i="9" a="1"/>
  <c r="F78" i="9" s="1"/>
  <c r="D86" i="9" a="1"/>
  <c r="D86" i="9" s="1"/>
  <c r="F42" i="9" a="1"/>
  <c r="F42" i="9" s="1"/>
  <c r="F69" i="9" a="1"/>
  <c r="F69" i="9" s="1"/>
  <c r="F96" i="9" a="1"/>
  <c r="F96" i="9" s="1"/>
  <c r="D14" i="9" a="1"/>
  <c r="D14" i="9" s="1"/>
  <c r="F38" i="9" a="1"/>
  <c r="F38" i="9" s="1"/>
  <c r="F208" i="9" a="1"/>
  <c r="F208" i="9" s="1"/>
  <c r="D45" i="9" a="1"/>
  <c r="D45" i="9" s="1"/>
  <c r="D109" i="9" a="1"/>
  <c r="D109" i="9" s="1"/>
  <c r="D108" i="9" a="1"/>
  <c r="D108" i="9" s="1"/>
  <c r="D62" i="9" a="1"/>
  <c r="D62" i="9" s="1"/>
  <c r="D13" i="9" a="1"/>
  <c r="D13" i="9" s="1"/>
  <c r="F134" i="9" a="1"/>
  <c r="F134" i="9" s="1"/>
  <c r="D136" i="9" a="1"/>
  <c r="D136" i="9" s="1"/>
  <c r="D184" i="9" a="1"/>
  <c r="D184" i="9" s="1"/>
  <c r="F138" i="9" a="1"/>
  <c r="F138" i="9" s="1"/>
  <c r="D132" i="9" a="1"/>
  <c r="D132" i="9" s="1"/>
  <c r="F23" i="9" a="1"/>
  <c r="F23" i="9" s="1"/>
  <c r="F8" i="9" a="1"/>
  <c r="F8" i="9" s="1"/>
  <c r="D70" i="9" a="1"/>
  <c r="D70" i="9" s="1"/>
  <c r="F60" i="9" a="1"/>
  <c r="F60" i="9" s="1"/>
  <c r="F153" i="9" a="1"/>
  <c r="F153" i="9" s="1"/>
  <c r="F99" i="9" a="1"/>
  <c r="F99" i="9" s="1"/>
  <c r="F119" i="9" a="1"/>
  <c r="F119" i="9" s="1"/>
  <c r="D185" i="9" a="1"/>
  <c r="D185" i="9" s="1"/>
  <c r="D118" i="9" a="1"/>
  <c r="D118" i="9" s="1"/>
  <c r="F28" i="9" a="1"/>
  <c r="F28" i="9" s="1"/>
  <c r="D116" i="9" a="1"/>
  <c r="D116" i="9" s="1"/>
  <c r="D51" i="9" a="1"/>
  <c r="D51" i="9" s="1"/>
  <c r="D43" i="9" a="1"/>
  <c r="D43" i="9" s="1"/>
  <c r="F145" i="9" a="1"/>
  <c r="F145" i="9" s="1"/>
  <c r="F160" i="9" a="1"/>
  <c r="F160" i="9" s="1"/>
  <c r="D157" i="9" a="1"/>
  <c r="D157" i="9" s="1"/>
  <c r="F72" i="9" a="1"/>
  <c r="F72" i="9" s="1"/>
  <c r="F40" i="9" a="1"/>
  <c r="F40" i="9" s="1"/>
  <c r="F116" i="9" a="1"/>
  <c r="F116" i="9" s="1"/>
  <c r="F71" i="9" a="1"/>
  <c r="F71" i="9" s="1"/>
  <c r="F118" i="9" a="1"/>
  <c r="F118" i="9" s="1"/>
  <c r="D36" i="9" a="1"/>
  <c r="D36" i="9" s="1"/>
  <c r="D158" i="9" a="1"/>
  <c r="D158" i="9" s="1"/>
  <c r="F139" i="9" a="1"/>
  <c r="F139" i="9" s="1"/>
  <c r="D72" i="9" a="1"/>
  <c r="D72" i="9" s="1"/>
  <c r="D170" i="9" a="1"/>
  <c r="D170" i="9" s="1"/>
  <c r="F54" i="9" a="1"/>
  <c r="F54" i="9" s="1"/>
  <c r="D17" i="9" a="1"/>
  <c r="D17" i="9" s="1"/>
  <c r="D146" i="9" a="1"/>
  <c r="D146" i="9" s="1"/>
  <c r="F44" i="9" a="1"/>
  <c r="F44" i="9" s="1"/>
  <c r="D81" i="9" a="1"/>
  <c r="D81" i="9" s="1"/>
  <c r="D141" i="9" a="1"/>
  <c r="D141" i="9" s="1"/>
  <c r="D67" i="9" a="1"/>
  <c r="D67" i="9" s="1"/>
  <c r="F135" i="9" a="1"/>
  <c r="F135" i="9" s="1"/>
  <c r="F24" i="9" a="1"/>
  <c r="F24" i="9" s="1"/>
  <c r="D85" i="9" a="1"/>
  <c r="D85" i="9" s="1"/>
  <c r="D110" i="9" a="1"/>
  <c r="D110" i="9" s="1"/>
  <c r="F43" i="9" a="1"/>
  <c r="F43" i="9" s="1"/>
  <c r="F111" i="9" a="1"/>
  <c r="F111" i="9" s="1"/>
  <c r="D40" i="9" a="1"/>
  <c r="D40" i="9" s="1"/>
  <c r="F177" i="9" a="1"/>
  <c r="F177" i="9" s="1"/>
  <c r="F202" i="9" a="1"/>
  <c r="F202" i="9" s="1"/>
  <c r="F168" i="9" a="1"/>
  <c r="F168" i="9" s="1"/>
  <c r="F186" i="9" a="1"/>
  <c r="F186" i="9" s="1"/>
  <c r="F198" i="9" a="1"/>
  <c r="F198" i="9" s="1"/>
  <c r="F209" i="9" a="1"/>
  <c r="F209" i="9" s="1"/>
  <c r="D203" i="9" a="1"/>
  <c r="D203" i="9" s="1"/>
  <c r="F176" i="9" a="1"/>
  <c r="F176" i="9" s="1"/>
  <c r="F191" i="9" a="1"/>
  <c r="F191" i="9" s="1"/>
  <c r="D173" i="9" a="1"/>
  <c r="D173" i="9" s="1"/>
  <c r="D180" i="9" a="1"/>
  <c r="D180" i="9" s="1"/>
  <c r="F197" i="9" a="1"/>
  <c r="F197" i="9" s="1"/>
  <c r="D213" i="9" a="1"/>
  <c r="D213" i="9" s="1"/>
  <c r="D222" i="9" a="1"/>
  <c r="D222" i="9" s="1"/>
  <c r="D212" i="9" a="1"/>
  <c r="D212" i="9" s="1"/>
  <c r="F220" i="9" a="1"/>
  <c r="F220" i="9" s="1"/>
  <c r="D169" i="9" a="1"/>
  <c r="D169" i="9" s="1"/>
  <c r="D166" i="9" a="1"/>
  <c r="D166" i="9" s="1"/>
  <c r="D195" i="9" a="1"/>
  <c r="D195" i="9" s="1"/>
  <c r="F84" i="9" a="1"/>
  <c r="F84" i="9" s="1"/>
  <c r="D74" i="9" a="1"/>
  <c r="D74" i="9" s="1"/>
  <c r="D167" i="9" a="1"/>
  <c r="D167" i="9" s="1"/>
  <c r="D192" i="9" a="1"/>
  <c r="D192" i="9" s="1"/>
  <c r="D178" i="9" a="1"/>
  <c r="D178" i="9" s="1"/>
  <c r="D163" i="9" a="1"/>
  <c r="D163" i="9" s="1"/>
  <c r="F175" i="9" a="1"/>
  <c r="F175" i="9" s="1"/>
  <c r="F216" i="9" a="1"/>
  <c r="F216" i="9" s="1"/>
  <c r="D218" i="9" a="1"/>
  <c r="D218" i="9" s="1"/>
  <c r="F206" i="9" a="1"/>
  <c r="F206" i="9" s="1"/>
  <c r="F165" i="9" a="1"/>
  <c r="F165" i="9" s="1"/>
  <c r="D207" i="9" a="1"/>
  <c r="D207" i="9" s="1"/>
  <c r="F170" i="9" a="1"/>
  <c r="F170" i="9" s="1"/>
  <c r="D57" i="9" a="1"/>
  <c r="D57" i="9" s="1"/>
  <c r="D39" i="9" a="1"/>
  <c r="D39" i="9" s="1"/>
  <c r="D190" i="9" a="1"/>
  <c r="D190" i="9" s="1"/>
  <c r="F143" i="9" a="1"/>
  <c r="F143" i="9" s="1"/>
  <c r="F185" i="9" a="1"/>
  <c r="F185" i="9" s="1"/>
  <c r="F223" i="9" a="1"/>
  <c r="F223" i="9" s="1"/>
  <c r="D176" i="9" a="1"/>
  <c r="D176" i="9" s="1"/>
  <c r="D199" i="9" a="1"/>
  <c r="D199" i="9" s="1"/>
  <c r="F172" i="9" a="1"/>
  <c r="F172" i="9" s="1"/>
  <c r="D204" i="9" a="1"/>
  <c r="D204" i="9" s="1"/>
  <c r="F213" i="9" a="1"/>
  <c r="F213" i="9" s="1"/>
  <c r="D189" i="9" a="1"/>
  <c r="D189" i="9" s="1"/>
  <c r="F201" i="9" a="1"/>
  <c r="F201" i="9" s="1"/>
  <c r="D106" i="9" a="1"/>
  <c r="D106" i="9" s="1"/>
  <c r="F52" i="9" a="1"/>
  <c r="F52" i="9" s="1"/>
  <c r="F147" i="9" a="1"/>
  <c r="F147" i="9" s="1"/>
  <c r="D220" i="9" a="1"/>
  <c r="D220" i="9" s="1"/>
  <c r="F207" i="9" a="1"/>
  <c r="F207" i="9" s="1"/>
  <c r="F187" i="9" a="1"/>
  <c r="F187" i="9" s="1"/>
  <c r="D202" i="9" a="1"/>
  <c r="D202" i="9" s="1"/>
  <c r="D143" i="9" a="1"/>
  <c r="D143" i="9" s="1"/>
  <c r="F181" i="9" a="1"/>
  <c r="F181" i="9" s="1"/>
  <c r="D221" i="9" a="1"/>
  <c r="D221" i="9" s="1"/>
  <c r="D198" i="9" a="1"/>
  <c r="D198" i="9" s="1"/>
  <c r="D197" i="9" a="1"/>
  <c r="D197" i="9" s="1"/>
  <c r="F183" i="9" a="1"/>
  <c r="F183" i="9" s="1"/>
  <c r="F182" i="9" a="1"/>
  <c r="F182" i="9" s="1"/>
  <c r="F34" i="9" a="1"/>
  <c r="F34" i="9" s="1"/>
  <c r="F49" i="9" a="1"/>
  <c r="F49" i="9" s="1"/>
  <c r="D137" i="9" a="1"/>
  <c r="D137" i="9" s="1"/>
  <c r="D171" i="9" a="1"/>
  <c r="D171" i="9" s="1"/>
  <c r="F204" i="9" a="1"/>
  <c r="F204" i="9" s="1"/>
  <c r="F196" i="9" a="1"/>
  <c r="F196" i="9" s="1"/>
  <c r="F179" i="9" a="1"/>
  <c r="F179" i="9" s="1"/>
  <c r="D211" i="9" a="1"/>
  <c r="D211" i="9" s="1"/>
  <c r="D168" i="9" a="1"/>
  <c r="D168" i="9" s="1"/>
  <c r="D186" i="9" a="1"/>
  <c r="D186" i="9" s="1"/>
  <c r="D174" i="9" a="1"/>
  <c r="D174" i="9" s="1"/>
  <c r="F193" i="9" a="1"/>
  <c r="F193" i="9" s="1"/>
  <c r="D217" i="9" a="1"/>
  <c r="D217" i="9" s="1"/>
  <c r="D210" i="9" a="1"/>
  <c r="D210" i="9" s="1"/>
  <c r="F10" i="9" a="1"/>
  <c r="F10" i="9" s="1"/>
  <c r="F35" i="9" a="1"/>
  <c r="F35" i="9" s="1"/>
  <c r="F120" i="9" a="1"/>
  <c r="F120" i="9" s="1"/>
  <c r="F163" i="9" a="1"/>
  <c r="F163" i="9" s="1"/>
  <c r="F210" i="9" a="1"/>
  <c r="F210" i="9" s="1"/>
  <c r="F205" i="9" a="1"/>
  <c r="F205" i="9" s="1"/>
  <c r="F180" i="9" a="1"/>
  <c r="F180" i="9" s="1"/>
  <c r="F164" i="9" a="1"/>
  <c r="F164" i="9" s="1"/>
  <c r="F215" i="9" a="1"/>
  <c r="F215" i="9" s="1"/>
  <c r="F218" i="9" a="1"/>
  <c r="F218" i="9" s="1"/>
  <c r="D182" i="9" a="1"/>
  <c r="D182" i="9" s="1"/>
  <c r="D175" i="9" a="1"/>
  <c r="D175" i="9" s="1"/>
  <c r="D216" i="9" a="1"/>
  <c r="D216" i="9" s="1"/>
  <c r="D179" i="9" a="1"/>
  <c r="D179" i="9" s="1"/>
  <c r="D214" i="9" a="1"/>
  <c r="D214" i="9" s="1"/>
  <c r="D208" i="9" a="1"/>
  <c r="D208" i="9" s="1"/>
  <c r="D196" i="9" a="1"/>
  <c r="D196" i="9" s="1"/>
  <c r="D206" i="9" a="1"/>
  <c r="D206" i="9" s="1"/>
  <c r="F154" i="9" a="1"/>
  <c r="F154" i="9" s="1"/>
  <c r="D209" i="9" a="1"/>
  <c r="D209" i="9" s="1"/>
  <c r="F188" i="9" a="1"/>
  <c r="F188" i="9" s="1"/>
  <c r="F166" i="9" a="1"/>
  <c r="F166" i="9" s="1"/>
  <c r="D165" i="9" a="1"/>
  <c r="D165" i="9" s="1"/>
  <c r="D31" i="9" a="1"/>
  <c r="D31" i="9" s="1"/>
  <c r="D142" i="9" a="1"/>
  <c r="D142" i="9" s="1"/>
  <c r="F128" i="9" a="1"/>
  <c r="F128" i="9" s="1"/>
  <c r="F221" i="9" a="1"/>
  <c r="F221" i="9" s="1"/>
  <c r="D187" i="9" a="1"/>
  <c r="D187" i="9" s="1"/>
  <c r="F171" i="9" a="1"/>
  <c r="F171" i="9" s="1"/>
  <c r="F167" i="9" a="1"/>
  <c r="F167" i="9" s="1"/>
  <c r="F212" i="9" a="1"/>
  <c r="F212" i="9" s="1"/>
  <c r="F200" i="9" a="1"/>
  <c r="F200" i="9" s="1"/>
  <c r="F203" i="9" a="1"/>
  <c r="F203" i="9" s="1"/>
  <c r="D219" i="9" a="1"/>
  <c r="D219" i="9" s="1"/>
  <c r="D188" i="9" a="1"/>
  <c r="D188" i="9" s="1"/>
  <c r="F222" i="9" a="1"/>
  <c r="F222" i="9" s="1"/>
  <c r="F149" i="9" a="1"/>
  <c r="F149" i="9" s="1"/>
  <c r="F57" i="9" a="1"/>
  <c r="F57" i="9" s="1"/>
  <c r="F115" i="9" a="1"/>
  <c r="F115" i="9" s="1"/>
  <c r="D154" i="9" a="1"/>
  <c r="D154" i="9" s="1"/>
  <c r="F217" i="9" a="1"/>
  <c r="F217" i="9" s="1"/>
  <c r="D181" i="9" a="1"/>
  <c r="D181" i="9" s="1"/>
  <c r="D172" i="9" a="1"/>
  <c r="D172" i="9" s="1"/>
  <c r="F192" i="9" a="1"/>
  <c r="F192" i="9" s="1"/>
  <c r="F174" i="9" a="1"/>
  <c r="F174" i="9" s="1"/>
  <c r="D191" i="9" a="1"/>
  <c r="D191" i="9" s="1"/>
  <c r="D193" i="9" a="1"/>
  <c r="D193" i="9" s="1"/>
  <c r="F219" i="9" a="1"/>
  <c r="F219" i="9" s="1"/>
  <c r="D201" i="9" a="1"/>
  <c r="D201" i="9" s="1"/>
  <c r="F133" i="9" a="1"/>
  <c r="F133" i="9" s="1"/>
  <c r="F75" i="9" a="1"/>
  <c r="F75" i="9" s="1"/>
  <c r="F184" i="9" a="1"/>
  <c r="F184" i="9" s="1"/>
  <c r="F211" i="9" a="1"/>
  <c r="F211" i="9" s="1"/>
  <c r="F199" i="9" a="1"/>
  <c r="F199" i="9" s="1"/>
  <c r="D164" i="9" a="1"/>
  <c r="D164" i="9" s="1"/>
  <c r="D215" i="9" a="1"/>
  <c r="D215" i="9" s="1"/>
  <c r="F178" i="9" a="1"/>
  <c r="F178" i="9" s="1"/>
  <c r="F169" i="9" a="1"/>
  <c r="F169" i="9" s="1"/>
  <c r="F195" i="9" a="1"/>
  <c r="F195" i="9" s="1"/>
  <c r="D183" i="9" a="1"/>
  <c r="D183" i="9" s="1"/>
  <c r="F67" i="9" a="1"/>
  <c r="F67" i="9" s="1"/>
  <c r="D50" i="9" a="1"/>
  <c r="D50" i="9" s="1"/>
  <c r="F123" i="9" a="1"/>
  <c r="F123" i="9" s="1"/>
  <c r="F189" i="9" a="1"/>
  <c r="F189" i="9" s="1"/>
  <c r="D73" i="9" a="1"/>
  <c r="D73" i="9" s="1"/>
  <c r="D66" i="9" a="1"/>
  <c r="D66" i="9" s="1"/>
  <c r="D156" i="9" a="1"/>
  <c r="D156" i="9" s="1"/>
  <c r="F47" i="9" a="1"/>
  <c r="F47" i="9" s="1"/>
  <c r="D44" i="9" a="1"/>
  <c r="D44" i="9" s="1"/>
  <c r="F114" i="9" a="1"/>
  <c r="F114" i="9" s="1"/>
  <c r="D60" i="9" a="1"/>
  <c r="D60" i="9" s="1"/>
  <c r="D10" i="9" a="1"/>
  <c r="D10" i="9" s="1"/>
  <c r="D28" i="9" a="1"/>
  <c r="D28" i="9" s="1"/>
  <c r="D200" i="9" a="1"/>
  <c r="D200" i="9" s="1"/>
  <c r="D140" i="9" a="1"/>
  <c r="D140" i="9" s="1"/>
  <c r="D55" i="9" a="1"/>
  <c r="D55" i="9" s="1"/>
  <c r="D4" i="9" a="1"/>
  <c r="D4" i="9" s="1"/>
  <c r="D97" i="9" a="1"/>
  <c r="D97" i="9" s="1"/>
  <c r="D25" i="9" a="1"/>
  <c r="D25" i="9" s="1"/>
  <c r="D20" i="9" a="1"/>
  <c r="D20" i="9" s="1"/>
  <c r="F55" i="9" a="1"/>
  <c r="F55" i="9" s="1"/>
  <c r="D64" i="9" a="1"/>
  <c r="D64" i="9" s="1"/>
  <c r="D133" i="9" a="1"/>
  <c r="D133" i="9" s="1"/>
  <c r="D38" i="9" a="1"/>
  <c r="D38" i="9" s="1"/>
  <c r="D104" i="9" a="1"/>
  <c r="D104" i="9" s="1"/>
  <c r="F214" i="9" a="1"/>
  <c r="F214" i="9" s="1"/>
  <c r="F110" i="9" a="1"/>
  <c r="F110" i="9" s="1"/>
  <c r="F158" i="9" a="1"/>
  <c r="F158" i="9" s="1"/>
  <c r="F50" i="9" a="1"/>
  <c r="F50" i="9" s="1"/>
  <c r="D150" i="9" a="1"/>
  <c r="D150" i="9" s="1"/>
  <c r="F124" i="9" a="1"/>
  <c r="F124" i="9" s="1"/>
  <c r="F148" i="9" a="1"/>
  <c r="F148" i="9" s="1"/>
  <c r="D27" i="9" a="1"/>
  <c r="D27" i="9" s="1"/>
  <c r="F121" i="9" a="1"/>
  <c r="F121" i="9" s="1"/>
  <c r="D114" i="9" a="1"/>
  <c r="D114" i="9" s="1"/>
  <c r="D147" i="9" a="1"/>
  <c r="D147" i="9" s="1"/>
  <c r="F141" i="9" a="1"/>
  <c r="F141" i="9" s="1"/>
  <c r="F30" i="9" a="1"/>
  <c r="F30" i="9" s="1"/>
  <c r="F39" i="9" a="1"/>
  <c r="F39" i="9" s="1"/>
  <c r="F17" i="9" a="1"/>
  <c r="F17" i="9" s="1"/>
  <c r="D49" i="9" a="1"/>
  <c r="D49" i="9" s="1"/>
  <c r="F4" i="9" a="1"/>
  <c r="F4" i="9" s="1"/>
  <c r="F109" i="9" a="1"/>
  <c r="F109" i="9" s="1"/>
  <c r="D35" i="9" a="1"/>
  <c r="D35" i="9" s="1"/>
  <c r="F66" i="9" a="1"/>
  <c r="F66" i="9" s="1"/>
  <c r="F107" i="9" a="1"/>
  <c r="F107" i="9" s="1"/>
  <c r="F159" i="9" a="1"/>
  <c r="F159" i="9" s="1"/>
  <c r="D9" i="9" a="1"/>
  <c r="D9" i="9" s="1"/>
  <c r="F29" i="9" a="1"/>
  <c r="F29" i="9" s="1"/>
  <c r="F80" i="9" a="1"/>
  <c r="F80" i="9" s="1"/>
  <c r="F83" i="9" a="1"/>
  <c r="F83" i="9" s="1"/>
  <c r="D47" i="9" a="1"/>
  <c r="D47" i="9" s="1"/>
  <c r="D69" i="9" a="1"/>
  <c r="D69" i="9" s="1"/>
  <c r="D155" i="9" a="1"/>
  <c r="D155" i="9" s="1"/>
  <c r="F18" i="9" a="1"/>
  <c r="F18" i="9" s="1"/>
  <c r="D6" i="9" a="1"/>
  <c r="D6" i="9" s="1"/>
  <c r="F125" i="9" a="1"/>
  <c r="F125" i="9" s="1"/>
  <c r="D94" i="9" a="1"/>
  <c r="D94" i="9" s="1"/>
  <c r="D105" i="9" a="1"/>
  <c r="D105" i="9" s="1"/>
  <c r="D93" i="9" a="1"/>
  <c r="D93" i="9" s="1"/>
  <c r="F155" i="9" a="1"/>
  <c r="F155" i="9" s="1"/>
  <c r="F16" i="9" a="1"/>
  <c r="F16" i="9" s="1"/>
  <c r="D87" i="9" a="1"/>
  <c r="D87" i="9" s="1"/>
  <c r="F122" i="9" a="1"/>
  <c r="F122" i="9" s="1"/>
  <c r="D122" i="9" a="1"/>
  <c r="D122" i="9" s="1"/>
  <c r="D119" i="9" a="1"/>
  <c r="D119" i="9" s="1"/>
  <c r="F93" i="9" a="1"/>
  <c r="F93" i="9" s="1"/>
  <c r="D33" i="9" a="1"/>
  <c r="D33" i="9" s="1"/>
  <c r="F62" i="9" a="1"/>
  <c r="F62" i="9" s="1"/>
  <c r="D2" i="9" a="1"/>
  <c r="D2" i="9" s="1"/>
  <c r="F137" i="9" a="1"/>
  <c r="F137" i="9" s="1"/>
  <c r="F14" i="9" a="1"/>
  <c r="F14" i="9" s="1"/>
  <c r="D139" i="9" a="1"/>
  <c r="D139" i="9" s="1"/>
  <c r="F157" i="9" a="1"/>
  <c r="F157" i="9" s="1"/>
  <c r="D159" i="9" a="1"/>
  <c r="D159" i="9" s="1"/>
  <c r="F106" i="9" a="1"/>
  <c r="F106" i="9" s="1"/>
  <c r="D153" i="9" a="1"/>
  <c r="D153" i="9" s="1"/>
  <c r="F90" i="9" a="1"/>
  <c r="F90" i="9" s="1"/>
  <c r="F173" i="9" a="1"/>
  <c r="F173" i="9" s="1"/>
  <c r="D79" i="9" a="1"/>
  <c r="D79" i="9" s="1"/>
  <c r="D138" i="9" a="1"/>
  <c r="D138" i="9" s="1"/>
  <c r="F9" i="9" a="1"/>
  <c r="F9" i="9" s="1"/>
  <c r="F63" i="9" a="1"/>
  <c r="F63" i="9" s="1"/>
  <c r="F25" i="9" a="1"/>
  <c r="F25" i="9" s="1"/>
  <c r="F112" i="9" a="1"/>
  <c r="F112" i="9" s="1"/>
  <c r="D30" i="9" a="1"/>
  <c r="D30" i="9" s="1"/>
  <c r="F27" i="9" a="1"/>
  <c r="F27" i="9" s="1"/>
  <c r="D112" i="9" a="1"/>
  <c r="D112" i="9" s="1"/>
  <c r="F79" i="9" a="1"/>
  <c r="F79" i="9" s="1"/>
  <c r="F76" i="9" a="1"/>
  <c r="F76" i="9" s="1"/>
  <c r="D8" i="9" a="1"/>
  <c r="D8" i="9" s="1"/>
  <c r="F97" i="9" a="1"/>
  <c r="F97" i="9" s="1"/>
  <c r="D101" i="9" a="1"/>
  <c r="D101" i="9" s="1"/>
  <c r="D152" i="9" a="1"/>
  <c r="D152" i="9" s="1"/>
  <c r="F2" i="9" a="1"/>
  <c r="F2" i="9" s="1"/>
  <c r="D19" i="9" a="1"/>
  <c r="D19" i="9" s="1"/>
  <c r="F142" i="9" a="1"/>
  <c r="F142" i="9" s="1"/>
  <c r="F20" i="9" a="1"/>
  <c r="F20" i="9" s="1"/>
  <c r="D126" i="9" a="1"/>
  <c r="D126" i="9" s="1"/>
  <c r="D123" i="9" a="1"/>
  <c r="D123" i="9" s="1"/>
  <c r="D144" i="9" a="1"/>
  <c r="D144" i="9" s="1"/>
  <c r="D34" i="9" a="1"/>
  <c r="D34" i="9" s="1"/>
  <c r="F94" i="9" a="1"/>
  <c r="F94" i="9" s="1"/>
  <c r="F36" i="9" a="1"/>
  <c r="F36" i="9" s="1"/>
  <c r="D3" i="9" a="1"/>
  <c r="D3" i="9" s="1"/>
  <c r="D90" i="9" a="1"/>
  <c r="D90" i="9" s="1"/>
  <c r="D56" i="9" a="1"/>
  <c r="D56" i="9" s="1"/>
  <c r="D53" i="9" a="1"/>
  <c r="D53" i="9" s="1"/>
  <c r="D131" i="9" a="1"/>
  <c r="D131" i="9" s="1"/>
  <c r="F82" i="9" a="1"/>
  <c r="F82" i="9" s="1"/>
  <c r="F31" i="9" a="1"/>
  <c r="F31" i="9" s="1"/>
  <c r="F45" i="9" a="1"/>
  <c r="F45" i="9" s="1"/>
  <c r="F117" i="9" a="1"/>
  <c r="F117" i="9" s="1"/>
  <c r="F156" i="9" a="1"/>
  <c r="F156" i="9" s="1"/>
  <c r="D65" i="9" a="1"/>
  <c r="D65" i="9" s="1"/>
  <c r="D160" i="9" a="1"/>
  <c r="D160" i="9" s="1"/>
  <c r="F59" i="9" a="1"/>
  <c r="F59" i="9" s="1"/>
  <c r="D135" i="9" a="1"/>
  <c r="D135" i="9" s="1"/>
  <c r="D98" i="9" a="1"/>
  <c r="D98" i="9" s="1"/>
  <c r="D115" i="9" a="1"/>
  <c r="D115" i="9" s="1"/>
  <c r="F103" i="9" a="1"/>
  <c r="F103" i="9" s="1"/>
  <c r="F37" i="9" a="1"/>
  <c r="F37" i="9" s="1"/>
  <c r="F65" i="9" a="1"/>
  <c r="F65" i="9" s="1"/>
  <c r="D15" i="9" a="1"/>
  <c r="D15" i="9" s="1"/>
  <c r="D41" i="9" a="1"/>
  <c r="D41" i="9" s="1"/>
  <c r="F22" i="9" a="1"/>
  <c r="F22" i="9" s="1"/>
  <c r="F152" i="9" a="1"/>
  <c r="F152" i="9" s="1"/>
  <c r="F11" i="9" a="1"/>
  <c r="F11" i="9" s="1"/>
  <c r="F98" i="9" a="1"/>
  <c r="F98" i="9" s="1"/>
  <c r="D11" i="9" a="1"/>
  <c r="D11" i="9" s="1"/>
  <c r="F126" i="9" a="1"/>
  <c r="F126" i="9" s="1"/>
  <c r="D149" i="9" a="1"/>
  <c r="D149" i="9" s="1"/>
  <c r="F102" i="9" a="1"/>
  <c r="F102" i="9" s="1"/>
  <c r="D76" i="9" a="1"/>
  <c r="D76" i="9" s="1"/>
  <c r="F136" i="9" a="1"/>
  <c r="F136" i="9" s="1"/>
  <c r="D54" i="9" a="1"/>
  <c r="D54" i="9" s="1"/>
  <c r="D205" i="9" a="1"/>
  <c r="D205" i="9" s="1"/>
  <c r="D134" i="9" a="1"/>
  <c r="D134" i="9" s="1"/>
  <c r="D223" i="9" a="1"/>
  <c r="D223" i="9" s="1"/>
  <c r="F73" i="9" a="1"/>
  <c r="F73" i="9" s="1"/>
  <c r="D88" i="9" a="1"/>
  <c r="D88" i="9" s="1"/>
  <c r="F6" i="9" a="1"/>
  <c r="F6" i="9" s="1"/>
  <c r="F104" i="9" a="1"/>
  <c r="F104" i="9" s="1"/>
  <c r="F81" i="9" a="1"/>
  <c r="F81" i="9" s="1"/>
  <c r="D84" i="9" a="1"/>
  <c r="D84" i="9" s="1"/>
  <c r="D103" i="9" a="1"/>
  <c r="D103" i="9" s="1"/>
  <c r="F56" i="9" a="1"/>
  <c r="F56" i="9" s="1"/>
  <c r="F95" i="9" a="1"/>
  <c r="F95" i="9" s="1"/>
  <c r="D18" i="9" a="1"/>
  <c r="D18" i="9" s="1"/>
  <c r="F15" i="9" a="1"/>
  <c r="F15" i="9" s="1"/>
  <c r="F21" i="9" a="1"/>
  <c r="F21" i="9" s="1"/>
  <c r="D113" i="9" a="1"/>
  <c r="D113" i="9" s="1"/>
  <c r="F101" i="9" a="1"/>
  <c r="F101" i="9" s="1"/>
  <c r="D129" i="9" a="1"/>
  <c r="D129" i="9" s="1"/>
  <c r="F87" i="9" a="1"/>
  <c r="F87" i="9" s="1"/>
  <c r="F129" i="9" a="1"/>
  <c r="F129" i="9" s="1"/>
  <c r="F85" i="9" a="1"/>
  <c r="F85" i="9" s="1"/>
  <c r="F108" i="9" a="1"/>
  <c r="F108" i="9" s="1"/>
  <c r="D32" i="9" a="1"/>
  <c r="D32" i="9" s="1"/>
  <c r="F77" i="9" a="1"/>
  <c r="F77" i="9" s="1"/>
  <c r="F146" i="9" a="1"/>
  <c r="F146" i="9" s="1"/>
  <c r="D46" i="9" a="1"/>
  <c r="D46" i="9" s="1"/>
  <c r="F130" i="9" a="1"/>
  <c r="F130" i="9" s="1"/>
  <c r="D194" i="9" a="1"/>
  <c r="D194" i="9" s="1"/>
  <c r="D162" i="9" a="1"/>
  <c r="D162" i="9" s="1"/>
  <c r="F225" i="9" a="1"/>
  <c r="F225" i="9" s="1"/>
  <c r="F12" i="9" a="1"/>
  <c r="F12" i="9" s="1"/>
  <c r="D224" i="9" a="1"/>
  <c r="D224" i="9" s="1"/>
  <c r="F127" i="9" a="1"/>
  <c r="F127" i="9" s="1"/>
  <c r="D130" i="9" a="1"/>
  <c r="D130" i="9" s="1"/>
  <c r="D225" i="9" a="1"/>
  <c r="D225" i="9" s="1"/>
  <c r="F46" i="9" a="1"/>
  <c r="F46" i="9" s="1"/>
  <c r="F92" i="9" a="1"/>
  <c r="F92" i="9" s="1"/>
  <c r="F162" i="9" a="1"/>
  <c r="F162" i="9" s="1"/>
  <c r="D127" i="9" a="1"/>
  <c r="D127" i="9" s="1"/>
  <c r="F224" i="9" a="1"/>
  <c r="F224" i="9" s="1"/>
  <c r="D92" i="9" a="1"/>
  <c r="D92" i="9" s="1"/>
  <c r="F194" i="9" a="1"/>
  <c r="F194" i="9" s="1"/>
  <c r="E224" i="14"/>
  <c r="E210" i="14"/>
  <c r="E209" i="14"/>
  <c r="E198" i="14"/>
  <c r="E197" i="14"/>
  <c r="E205" i="14"/>
  <c r="E207" i="14"/>
  <c r="E201" i="14"/>
  <c r="E200" i="14"/>
  <c r="E199" i="14"/>
  <c r="E203" i="14"/>
  <c r="E206" i="14"/>
  <c r="E202" i="14"/>
  <c r="E204" i="14"/>
  <c r="O222" i="9" l="1"/>
  <c r="M222" i="9" s="1"/>
  <c r="X222" i="9" s="1"/>
  <c r="AE223" i="9"/>
  <c r="O224" i="9"/>
  <c r="M224" i="9" s="1"/>
  <c r="N224" i="9" s="1"/>
  <c r="O221" i="9"/>
  <c r="M221" i="9" s="1"/>
  <c r="O223" i="9"/>
  <c r="M223" i="9" s="1"/>
  <c r="L223" i="9" s="1"/>
  <c r="AB223" i="9"/>
  <c r="I223" i="9"/>
  <c r="K223" i="9" s="1"/>
  <c r="AC223" i="9"/>
  <c r="L222" i="9"/>
  <c r="AD223" i="9"/>
  <c r="O218" i="9"/>
  <c r="M218" i="9" s="1"/>
  <c r="AC220" i="9"/>
  <c r="I220" i="9"/>
  <c r="K220" i="9" s="1"/>
  <c r="AE220" i="9"/>
  <c r="AB220" i="9"/>
  <c r="AD220" i="9"/>
  <c r="AB219" i="9"/>
  <c r="AE219" i="9"/>
  <c r="AD219" i="9"/>
  <c r="AC219" i="9"/>
  <c r="I219" i="9"/>
  <c r="K219" i="9" s="1"/>
  <c r="AC217" i="9"/>
  <c r="AD217" i="9"/>
  <c r="AB217" i="9"/>
  <c r="AE217" i="9"/>
  <c r="I217" i="9"/>
  <c r="K217" i="9" s="1"/>
  <c r="AD215" i="9"/>
  <c r="AC215" i="9"/>
  <c r="AE215" i="9"/>
  <c r="AB215" i="9"/>
  <c r="I215" i="9"/>
  <c r="K215" i="9" s="1"/>
  <c r="O215" i="9"/>
  <c r="M215" i="9" s="1"/>
  <c r="O217" i="9"/>
  <c r="M217" i="9" s="1"/>
  <c r="I221" i="9"/>
  <c r="K221" i="9" s="1"/>
  <c r="AE221" i="9"/>
  <c r="AC221" i="9"/>
  <c r="AD221" i="9"/>
  <c r="AB221" i="9"/>
  <c r="AC218" i="9"/>
  <c r="AD218" i="9"/>
  <c r="AE218" i="9"/>
  <c r="I218" i="9"/>
  <c r="K218" i="9" s="1"/>
  <c r="AB218" i="9"/>
  <c r="O220" i="9"/>
  <c r="M220" i="9" s="1"/>
  <c r="O216" i="9"/>
  <c r="M216" i="9" s="1"/>
  <c r="N216" i="9" s="1"/>
  <c r="O219" i="9"/>
  <c r="M219" i="9" s="1"/>
  <c r="L219" i="9" s="1"/>
  <c r="I216" i="9"/>
  <c r="K216" i="9" s="1"/>
  <c r="AB216" i="9"/>
  <c r="AC216" i="9"/>
  <c r="AE216" i="9"/>
  <c r="AD216" i="9"/>
  <c r="AB222" i="9"/>
  <c r="AD222" i="9"/>
  <c r="N222" i="9"/>
  <c r="AC222" i="9"/>
  <c r="I222" i="9"/>
  <c r="K222" i="9" s="1"/>
  <c r="AE222" i="9"/>
  <c r="AD225" i="9"/>
  <c r="AB225" i="9"/>
  <c r="AC225" i="9"/>
  <c r="I225" i="9"/>
  <c r="K225" i="9" s="1"/>
  <c r="AE225" i="9"/>
  <c r="AE224" i="9"/>
  <c r="AD224" i="9"/>
  <c r="AC224" i="9"/>
  <c r="I224" i="9"/>
  <c r="K224" i="9" s="1"/>
  <c r="AB224" i="9"/>
  <c r="O225" i="9"/>
  <c r="M225" i="9" s="1"/>
  <c r="L224" i="9"/>
  <c r="R224" i="9"/>
  <c r="X224" i="9"/>
  <c r="T143" i="9"/>
  <c r="U143" i="9"/>
  <c r="V143" i="9"/>
  <c r="Y143" i="9"/>
  <c r="Z143" i="9"/>
  <c r="AA143" i="9"/>
  <c r="T170" i="9"/>
  <c r="U170" i="9"/>
  <c r="V170" i="9"/>
  <c r="Y170" i="9"/>
  <c r="Z170" i="9"/>
  <c r="AA170" i="9"/>
  <c r="T199" i="9"/>
  <c r="U199" i="9"/>
  <c r="V199" i="9"/>
  <c r="Y199" i="9"/>
  <c r="Z199" i="9"/>
  <c r="AA199" i="9"/>
  <c r="T169" i="9"/>
  <c r="U169" i="9"/>
  <c r="V169" i="9"/>
  <c r="Y169" i="9"/>
  <c r="Z169" i="9"/>
  <c r="AA169" i="9"/>
  <c r="T172" i="9"/>
  <c r="U172" i="9"/>
  <c r="V172" i="9"/>
  <c r="Y172" i="9"/>
  <c r="Z172" i="9"/>
  <c r="AA172" i="9"/>
  <c r="T125" i="9"/>
  <c r="U125" i="9"/>
  <c r="V125" i="9"/>
  <c r="Y125" i="9"/>
  <c r="Z125" i="9"/>
  <c r="AA125" i="9"/>
  <c r="A143" i="9"/>
  <c r="A170" i="9"/>
  <c r="A199" i="9"/>
  <c r="A169" i="9"/>
  <c r="A172" i="9"/>
  <c r="A125" i="9"/>
  <c r="R222" i="9" l="1"/>
  <c r="N223" i="9"/>
  <c r="R223" i="9"/>
  <c r="S223" i="9" s="1"/>
  <c r="X223" i="9"/>
  <c r="N221" i="9"/>
  <c r="L221" i="9"/>
  <c r="R221" i="9"/>
  <c r="X221" i="9"/>
  <c r="L218" i="9"/>
  <c r="R218" i="9"/>
  <c r="X218" i="9"/>
  <c r="N218" i="9"/>
  <c r="S224" i="9"/>
  <c r="S222" i="9"/>
  <c r="N215" i="9"/>
  <c r="X215" i="9"/>
  <c r="R215" i="9"/>
  <c r="N219" i="9"/>
  <c r="N220" i="9"/>
  <c r="R220" i="9"/>
  <c r="L220" i="9"/>
  <c r="X220" i="9"/>
  <c r="L215" i="9"/>
  <c r="R219" i="9"/>
  <c r="S219" i="9" s="1"/>
  <c r="X219" i="9"/>
  <c r="X217" i="9"/>
  <c r="R217" i="9"/>
  <c r="N217" i="9"/>
  <c r="L216" i="9"/>
  <c r="X216" i="9"/>
  <c r="R216" i="9"/>
  <c r="L217" i="9"/>
  <c r="L225" i="9"/>
  <c r="X225" i="9"/>
  <c r="R225" i="9"/>
  <c r="N225" i="9"/>
  <c r="T107" i="9"/>
  <c r="U107" i="9"/>
  <c r="V107" i="9"/>
  <c r="Y107" i="9"/>
  <c r="Z107" i="9"/>
  <c r="AA107" i="9"/>
  <c r="T177" i="9"/>
  <c r="U177" i="9"/>
  <c r="V177" i="9"/>
  <c r="Y177" i="9"/>
  <c r="Z177" i="9"/>
  <c r="AA177" i="9"/>
  <c r="T173" i="9"/>
  <c r="U173" i="9"/>
  <c r="V173" i="9"/>
  <c r="Y173" i="9"/>
  <c r="Z173" i="9"/>
  <c r="AA173" i="9"/>
  <c r="A107" i="9"/>
  <c r="A177" i="9"/>
  <c r="A173" i="9"/>
  <c r="S221" i="9" l="1"/>
  <c r="S218" i="9"/>
  <c r="S215" i="9"/>
  <c r="S216" i="9"/>
  <c r="S217" i="9"/>
  <c r="S220" i="9"/>
  <c r="S225" i="9"/>
  <c r="I183" i="9"/>
  <c r="K183" i="9" s="1"/>
  <c r="I80" i="9"/>
  <c r="I165" i="9"/>
  <c r="K165" i="9" s="1"/>
  <c r="AD184" i="9"/>
  <c r="I142" i="9"/>
  <c r="K142" i="9" s="1"/>
  <c r="I52" i="9"/>
  <c r="I110" i="9"/>
  <c r="I83" i="9"/>
  <c r="I128" i="9"/>
  <c r="I94" i="9"/>
  <c r="I73" i="9"/>
  <c r="AC167" i="9"/>
  <c r="I77" i="9"/>
  <c r="I69" i="9"/>
  <c r="I210" i="9"/>
  <c r="K210" i="9" s="1"/>
  <c r="I200" i="9"/>
  <c r="K200" i="9" s="1"/>
  <c r="I185" i="9"/>
  <c r="K185" i="9" s="1"/>
  <c r="I209" i="9"/>
  <c r="K209" i="9" s="1"/>
  <c r="I203" i="9"/>
  <c r="K203" i="9" s="1"/>
  <c r="I160" i="9"/>
  <c r="K160" i="9" s="1"/>
  <c r="I182" i="9"/>
  <c r="K182" i="9" s="1"/>
  <c r="D12" i="9" a="1"/>
  <c r="D12" i="9" s="1"/>
  <c r="I192" i="9"/>
  <c r="K192" i="9" s="1"/>
  <c r="I105" i="9"/>
  <c r="Y89" i="9"/>
  <c r="Z89" i="9"/>
  <c r="AA89" i="9"/>
  <c r="A89" i="9"/>
  <c r="I79" i="9" l="1"/>
  <c r="I68" i="9"/>
  <c r="AE188" i="9"/>
  <c r="I98" i="9"/>
  <c r="I66" i="9"/>
  <c r="I92" i="9"/>
  <c r="I55" i="9"/>
  <c r="I107" i="9"/>
  <c r="K107" i="9" s="1"/>
  <c r="I38" i="9"/>
  <c r="O136" i="9"/>
  <c r="M136" i="9" s="1"/>
  <c r="L136" i="9" s="1"/>
  <c r="O167" i="9"/>
  <c r="M167" i="9" s="1"/>
  <c r="L167" i="9" s="1"/>
  <c r="AB167" i="9"/>
  <c r="AE167" i="9"/>
  <c r="AC142" i="9"/>
  <c r="I184" i="9"/>
  <c r="K184" i="9" s="1"/>
  <c r="O171" i="9"/>
  <c r="M171" i="9" s="1"/>
  <c r="L171" i="9" s="1"/>
  <c r="O159" i="9"/>
  <c r="M159" i="9" s="1"/>
  <c r="L159" i="9" s="1"/>
  <c r="AC188" i="9"/>
  <c r="O168" i="9"/>
  <c r="M168" i="9" s="1"/>
  <c r="L168" i="9" s="1"/>
  <c r="I188" i="9"/>
  <c r="K188" i="9" s="1"/>
  <c r="AD188" i="9"/>
  <c r="AB188" i="9"/>
  <c r="O188" i="9"/>
  <c r="M188" i="9" s="1"/>
  <c r="O150" i="9"/>
  <c r="M150" i="9" s="1"/>
  <c r="L150" i="9" s="1"/>
  <c r="I78" i="9"/>
  <c r="O151" i="9"/>
  <c r="M151" i="9" s="1"/>
  <c r="L151" i="9" s="1"/>
  <c r="AC208" i="9"/>
  <c r="AE165" i="9"/>
  <c r="AD167" i="9"/>
  <c r="I167" i="9"/>
  <c r="K167" i="9" s="1"/>
  <c r="O152" i="9"/>
  <c r="O165" i="9"/>
  <c r="M165" i="9" s="1"/>
  <c r="AB165" i="9"/>
  <c r="AD165" i="9"/>
  <c r="AC165" i="9"/>
  <c r="O174" i="9"/>
  <c r="AD142" i="9"/>
  <c r="AB160" i="9"/>
  <c r="AB142" i="9"/>
  <c r="AD160" i="9"/>
  <c r="AE142" i="9"/>
  <c r="AE160" i="9"/>
  <c r="O160" i="9"/>
  <c r="M160" i="9" s="1"/>
  <c r="L160" i="9" s="1"/>
  <c r="AC160" i="9"/>
  <c r="O142" i="9"/>
  <c r="M142" i="9" s="1"/>
  <c r="L142" i="9" s="1"/>
  <c r="O177" i="9"/>
  <c r="AD183" i="9"/>
  <c r="AE184" i="9"/>
  <c r="O16" i="9"/>
  <c r="M16" i="9" s="1"/>
  <c r="L16" i="9" s="1"/>
  <c r="AC183" i="9"/>
  <c r="AB184" i="9"/>
  <c r="AC184" i="9"/>
  <c r="AB183" i="9"/>
  <c r="O183" i="9"/>
  <c r="M183" i="9" s="1"/>
  <c r="L183" i="9" s="1"/>
  <c r="O184" i="9"/>
  <c r="M184" i="9" s="1"/>
  <c r="L184" i="9" s="1"/>
  <c r="AE183" i="9"/>
  <c r="AE213" i="9"/>
  <c r="I75" i="9"/>
  <c r="O175" i="9"/>
  <c r="M175" i="9" s="1"/>
  <c r="L175" i="9" s="1"/>
  <c r="AB182" i="9"/>
  <c r="AC182" i="9"/>
  <c r="O182" i="9"/>
  <c r="M182" i="9" s="1"/>
  <c r="AE182" i="9"/>
  <c r="AD182" i="9"/>
  <c r="I208" i="9"/>
  <c r="K208" i="9" s="1"/>
  <c r="AD187" i="9"/>
  <c r="O214" i="9"/>
  <c r="M214" i="9" s="1"/>
  <c r="L214" i="9" s="1"/>
  <c r="AD208" i="9"/>
  <c r="O208" i="9"/>
  <c r="M208" i="9" s="1"/>
  <c r="AB208" i="9"/>
  <c r="AE208" i="9"/>
  <c r="AE200" i="9"/>
  <c r="AD209" i="9"/>
  <c r="AE210" i="9"/>
  <c r="AC187" i="9"/>
  <c r="O192" i="9"/>
  <c r="M192" i="9" s="1"/>
  <c r="AC195" i="9"/>
  <c r="O187" i="9"/>
  <c r="M187" i="9" s="1"/>
  <c r="AB180" i="9"/>
  <c r="AE187" i="9"/>
  <c r="AD203" i="9"/>
  <c r="O186" i="9"/>
  <c r="M186" i="9" s="1"/>
  <c r="AB209" i="9"/>
  <c r="AC209" i="9"/>
  <c r="I187" i="9"/>
  <c r="K187" i="9" s="1"/>
  <c r="AB187" i="9"/>
  <c r="I95" i="9"/>
  <c r="I87" i="9"/>
  <c r="AC193" i="9"/>
  <c r="AD204" i="9"/>
  <c r="AB210" i="9"/>
  <c r="AC210" i="9"/>
  <c r="I70" i="9"/>
  <c r="I97" i="9"/>
  <c r="AC200" i="9"/>
  <c r="AD200" i="9"/>
  <c r="O200" i="9"/>
  <c r="M200" i="9" s="1"/>
  <c r="L200" i="9" s="1"/>
  <c r="AE204" i="9"/>
  <c r="AC204" i="9"/>
  <c r="AB203" i="9"/>
  <c r="I204" i="9"/>
  <c r="K204" i="9" s="1"/>
  <c r="AC203" i="9"/>
  <c r="AB204" i="9"/>
  <c r="O210" i="9"/>
  <c r="M210" i="9" s="1"/>
  <c r="I65" i="9"/>
  <c r="AD210" i="9"/>
  <c r="O212" i="9"/>
  <c r="M212" i="9" s="1"/>
  <c r="O203" i="9"/>
  <c r="M203" i="9" s="1"/>
  <c r="L203" i="9" s="1"/>
  <c r="AE193" i="9"/>
  <c r="AB200" i="9"/>
  <c r="O204" i="9"/>
  <c r="M204" i="9" s="1"/>
  <c r="I193" i="9"/>
  <c r="K193" i="9" s="1"/>
  <c r="AB150" i="9"/>
  <c r="AE203" i="9"/>
  <c r="O195" i="9"/>
  <c r="M195" i="9" s="1"/>
  <c r="AB193" i="9"/>
  <c r="AD195" i="9"/>
  <c r="O209" i="9"/>
  <c r="M209" i="9" s="1"/>
  <c r="I67" i="9"/>
  <c r="AE190" i="9"/>
  <c r="O205" i="9"/>
  <c r="M205" i="9" s="1"/>
  <c r="AE202" i="9"/>
  <c r="AD150" i="9"/>
  <c r="AE209" i="9"/>
  <c r="O193" i="9"/>
  <c r="M193" i="9" s="1"/>
  <c r="L193" i="9" s="1"/>
  <c r="AE195" i="9"/>
  <c r="AD201" i="9"/>
  <c r="AD193" i="9"/>
  <c r="I82" i="9"/>
  <c r="O181" i="9"/>
  <c r="M181" i="9" s="1"/>
  <c r="L181" i="9" s="1"/>
  <c r="I195" i="9"/>
  <c r="K195" i="9" s="1"/>
  <c r="AB195" i="9"/>
  <c r="AE185" i="9"/>
  <c r="AD185" i="9"/>
  <c r="AB185" i="9"/>
  <c r="AC185" i="9"/>
  <c r="O185" i="9"/>
  <c r="M185" i="9" s="1"/>
  <c r="L185" i="9" s="1"/>
  <c r="AD202" i="9"/>
  <c r="O190" i="9"/>
  <c r="M190" i="9" s="1"/>
  <c r="L190" i="9" s="1"/>
  <c r="AB202" i="9"/>
  <c r="AC202" i="9"/>
  <c r="AD190" i="9"/>
  <c r="AB190" i="9"/>
  <c r="AB205" i="9"/>
  <c r="I202" i="9"/>
  <c r="K202" i="9" s="1"/>
  <c r="AC190" i="9"/>
  <c r="AC205" i="9"/>
  <c r="AE205" i="9"/>
  <c r="AD205" i="9"/>
  <c r="I74" i="9"/>
  <c r="O202" i="9"/>
  <c r="M202" i="9" s="1"/>
  <c r="I190" i="9"/>
  <c r="K190" i="9" s="1"/>
  <c r="I205" i="9"/>
  <c r="K205" i="9" s="1"/>
  <c r="O72" i="9"/>
  <c r="M72" i="9" s="1"/>
  <c r="L72" i="9" s="1"/>
  <c r="O201" i="9"/>
  <c r="M201" i="9" s="1"/>
  <c r="I71" i="9"/>
  <c r="AB192" i="9"/>
  <c r="AC192" i="9"/>
  <c r="AE192" i="9"/>
  <c r="AD192" i="9"/>
  <c r="O213" i="9"/>
  <c r="M213" i="9" s="1"/>
  <c r="L213" i="9" s="1"/>
  <c r="I96" i="9"/>
  <c r="AE175" i="9"/>
  <c r="I150" i="9"/>
  <c r="K150" i="9" s="1"/>
  <c r="AC150" i="9"/>
  <c r="I163" i="9"/>
  <c r="K163" i="9" s="1"/>
  <c r="AD163" i="9"/>
  <c r="AB163" i="9"/>
  <c r="AC163" i="9"/>
  <c r="AE163" i="9"/>
  <c r="I93" i="9"/>
  <c r="O163" i="9"/>
  <c r="M163" i="9" s="1"/>
  <c r="L163" i="9" s="1"/>
  <c r="I88" i="9"/>
  <c r="O180" i="9"/>
  <c r="M180" i="9" s="1"/>
  <c r="AE150" i="9"/>
  <c r="I207" i="9"/>
  <c r="K207" i="9" s="1"/>
  <c r="AC207" i="9"/>
  <c r="AD207" i="9"/>
  <c r="AE207" i="9"/>
  <c r="AB207" i="9"/>
  <c r="I166" i="9"/>
  <c r="K166" i="9" s="1"/>
  <c r="AD166" i="9"/>
  <c r="AC166" i="9"/>
  <c r="AB166" i="9"/>
  <c r="AE166" i="9"/>
  <c r="AD206" i="9"/>
  <c r="I206" i="9"/>
  <c r="K206" i="9" s="1"/>
  <c r="AE206" i="9"/>
  <c r="AC206" i="9"/>
  <c r="I212" i="9"/>
  <c r="K212" i="9" s="1"/>
  <c r="AE212" i="9"/>
  <c r="AC212" i="9"/>
  <c r="AD212" i="9"/>
  <c r="AB212" i="9"/>
  <c r="I211" i="9"/>
  <c r="K211" i="9" s="1"/>
  <c r="AE211" i="9"/>
  <c r="AD211" i="9"/>
  <c r="AC211" i="9"/>
  <c r="AB211" i="9"/>
  <c r="I191" i="9"/>
  <c r="K191" i="9" s="1"/>
  <c r="AE191" i="9"/>
  <c r="AD191" i="9"/>
  <c r="AB191" i="9"/>
  <c r="O191" i="9"/>
  <c r="M191" i="9" s="1"/>
  <c r="L191" i="9" s="1"/>
  <c r="O211" i="9"/>
  <c r="M211" i="9" s="1"/>
  <c r="L211" i="9" s="1"/>
  <c r="I180" i="9"/>
  <c r="K180" i="9" s="1"/>
  <c r="AD180" i="9"/>
  <c r="AC180" i="9"/>
  <c r="AE180" i="9"/>
  <c r="AC191" i="9"/>
  <c r="AB201" i="9"/>
  <c r="AE201" i="9"/>
  <c r="I201" i="9"/>
  <c r="K201" i="9" s="1"/>
  <c r="AC201" i="9"/>
  <c r="O207" i="9"/>
  <c r="M207" i="9" s="1"/>
  <c r="L207" i="9" s="1"/>
  <c r="I186" i="9"/>
  <c r="K186" i="9" s="1"/>
  <c r="AD186" i="9"/>
  <c r="AC186" i="9"/>
  <c r="AB186" i="9"/>
  <c r="AE186" i="9"/>
  <c r="AE179" i="9"/>
  <c r="AD179" i="9"/>
  <c r="AB179" i="9"/>
  <c r="AC179" i="9"/>
  <c r="I179" i="9"/>
  <c r="K179" i="9" s="1"/>
  <c r="O206" i="9"/>
  <c r="M206" i="9" s="1"/>
  <c r="L206" i="9" s="1"/>
  <c r="I181" i="9"/>
  <c r="K181" i="9" s="1"/>
  <c r="AE181" i="9"/>
  <c r="AD181" i="9"/>
  <c r="AB181" i="9"/>
  <c r="AC181" i="9"/>
  <c r="I214" i="9"/>
  <c r="K214" i="9" s="1"/>
  <c r="AC214" i="9"/>
  <c r="AB214" i="9"/>
  <c r="AE214" i="9"/>
  <c r="AD214" i="9"/>
  <c r="I213" i="9"/>
  <c r="K213" i="9" s="1"/>
  <c r="AD213" i="9"/>
  <c r="AC213" i="9"/>
  <c r="AB213" i="9"/>
  <c r="AB206" i="9"/>
  <c r="O166" i="9"/>
  <c r="M166" i="9" s="1"/>
  <c r="L166" i="9" s="1"/>
  <c r="I175" i="9"/>
  <c r="K175" i="9" s="1"/>
  <c r="AD175" i="9"/>
  <c r="AB175" i="9"/>
  <c r="AC175" i="9"/>
  <c r="O179" i="9"/>
  <c r="M179" i="9" s="1"/>
  <c r="L179" i="9" s="1"/>
  <c r="AE107" i="9"/>
  <c r="O134" i="9"/>
  <c r="M134" i="9" s="1"/>
  <c r="L134" i="9" s="1"/>
  <c r="O56" i="9"/>
  <c r="M56" i="9" s="1"/>
  <c r="L56" i="9" s="1"/>
  <c r="O62" i="9"/>
  <c r="M62" i="9" s="1"/>
  <c r="L62" i="9" s="1"/>
  <c r="O27" i="9"/>
  <c r="M27" i="9" s="1"/>
  <c r="L27" i="9" s="1"/>
  <c r="O113" i="9"/>
  <c r="M113" i="9" s="1"/>
  <c r="L113" i="9" s="1"/>
  <c r="O4" i="9"/>
  <c r="M4" i="9" s="1"/>
  <c r="L4" i="9" s="1"/>
  <c r="O19" i="9"/>
  <c r="M19" i="9" s="1"/>
  <c r="L19" i="9" s="1"/>
  <c r="O32" i="9"/>
  <c r="M32" i="9" s="1"/>
  <c r="L32" i="9" s="1"/>
  <c r="O64" i="9"/>
  <c r="M64" i="9" s="1"/>
  <c r="L64" i="9" s="1"/>
  <c r="O39" i="9"/>
  <c r="M39" i="9" s="1"/>
  <c r="L39" i="9" s="1"/>
  <c r="O14" i="9"/>
  <c r="M14" i="9" s="1"/>
  <c r="L14" i="9" s="1"/>
  <c r="O121" i="9"/>
  <c r="M121" i="9" s="1"/>
  <c r="L121" i="9" s="1"/>
  <c r="O80" i="9"/>
  <c r="M80" i="9" s="1"/>
  <c r="L80" i="9" s="1"/>
  <c r="O89" i="9"/>
  <c r="M89" i="9" s="1"/>
  <c r="L89" i="9" s="1"/>
  <c r="O3" i="9"/>
  <c r="M3" i="9" s="1"/>
  <c r="L3" i="9" s="1"/>
  <c r="O63" i="9"/>
  <c r="M63" i="9" s="1"/>
  <c r="L63" i="9" s="1"/>
  <c r="O114" i="9"/>
  <c r="M114" i="9" s="1"/>
  <c r="L114" i="9" s="1"/>
  <c r="O48" i="9"/>
  <c r="M48" i="9" s="1"/>
  <c r="L48" i="9" s="1"/>
  <c r="O24" i="9"/>
  <c r="M24" i="9" s="1"/>
  <c r="L24" i="9" s="1"/>
  <c r="O98" i="9"/>
  <c r="M98" i="9" s="1"/>
  <c r="L98" i="9" s="1"/>
  <c r="O30" i="9"/>
  <c r="M30" i="9" s="1"/>
  <c r="L30" i="9" s="1"/>
  <c r="O11" i="9"/>
  <c r="M11" i="9" s="1"/>
  <c r="L11" i="9" s="1"/>
  <c r="O10" i="9"/>
  <c r="M10" i="9" s="1"/>
  <c r="L10" i="9" s="1"/>
  <c r="O18" i="9"/>
  <c r="M18" i="9" s="1"/>
  <c r="L18" i="9" s="1"/>
  <c r="O35" i="9"/>
  <c r="M35" i="9" s="1"/>
  <c r="L35" i="9" s="1"/>
  <c r="O124" i="9"/>
  <c r="M124" i="9" s="1"/>
  <c r="L124" i="9" s="1"/>
  <c r="O13" i="9"/>
  <c r="M13" i="9" s="1"/>
  <c r="L13" i="9" s="1"/>
  <c r="O44" i="9"/>
  <c r="M44" i="9" s="1"/>
  <c r="L44" i="9" s="1"/>
  <c r="O82" i="9"/>
  <c r="M82" i="9" s="1"/>
  <c r="L82" i="9" s="1"/>
  <c r="O66" i="9"/>
  <c r="M66" i="9" s="1"/>
  <c r="L66" i="9" s="1"/>
  <c r="O69" i="9"/>
  <c r="M69" i="9" s="1"/>
  <c r="L69" i="9" s="1"/>
  <c r="O93" i="9"/>
  <c r="M93" i="9" s="1"/>
  <c r="L93" i="9" s="1"/>
  <c r="O110" i="9"/>
  <c r="M110" i="9" s="1"/>
  <c r="L110" i="9" s="1"/>
  <c r="O58" i="9"/>
  <c r="M58" i="9" s="1"/>
  <c r="L58" i="9" s="1"/>
  <c r="O97" i="9"/>
  <c r="M97" i="9" s="1"/>
  <c r="L97" i="9" s="1"/>
  <c r="O130" i="9"/>
  <c r="M130" i="9" s="1"/>
  <c r="L130" i="9" s="1"/>
  <c r="O164" i="9"/>
  <c r="M164" i="9" s="1"/>
  <c r="L164" i="9" s="1"/>
  <c r="O107" i="9"/>
  <c r="M107" i="9" s="1"/>
  <c r="O41" i="9"/>
  <c r="M41" i="9" s="1"/>
  <c r="L41" i="9" s="1"/>
  <c r="O104" i="9"/>
  <c r="M104" i="9" s="1"/>
  <c r="L104" i="9" s="1"/>
  <c r="O157" i="9"/>
  <c r="M157" i="9" s="1"/>
  <c r="L157" i="9" s="1"/>
  <c r="O83" i="9"/>
  <c r="M83" i="9" s="1"/>
  <c r="L83" i="9" s="1"/>
  <c r="O149" i="9"/>
  <c r="M149" i="9" s="1"/>
  <c r="L149" i="9" s="1"/>
  <c r="O155" i="9"/>
  <c r="M155" i="9" s="1"/>
  <c r="L155" i="9" s="1"/>
  <c r="O148" i="9"/>
  <c r="M148" i="9" s="1"/>
  <c r="L148" i="9" s="1"/>
  <c r="AB107" i="9"/>
  <c r="AD107" i="9"/>
  <c r="AC107" i="9"/>
  <c r="AA94" i="9"/>
  <c r="Z94" i="9"/>
  <c r="Y94" i="9"/>
  <c r="U94" i="9"/>
  <c r="T94" i="9"/>
  <c r="A94" i="9"/>
  <c r="AA83" i="9"/>
  <c r="Z83" i="9"/>
  <c r="Y83" i="9"/>
  <c r="V83" i="9"/>
  <c r="U83" i="9"/>
  <c r="T83" i="9"/>
  <c r="A83" i="9"/>
  <c r="AA90" i="9"/>
  <c r="Z90" i="9"/>
  <c r="Y90" i="9"/>
  <c r="V90" i="9"/>
  <c r="U90" i="9"/>
  <c r="T90" i="9"/>
  <c r="A90" i="9"/>
  <c r="N201" i="9" l="1"/>
  <c r="L201" i="9"/>
  <c r="N212" i="9"/>
  <c r="L212" i="9"/>
  <c r="R188" i="9"/>
  <c r="L188" i="9"/>
  <c r="N209" i="9"/>
  <c r="L209" i="9"/>
  <c r="X186" i="9"/>
  <c r="L186" i="9"/>
  <c r="X208" i="9"/>
  <c r="L208" i="9"/>
  <c r="X210" i="9"/>
  <c r="L210" i="9"/>
  <c r="X165" i="9"/>
  <c r="L165" i="9"/>
  <c r="X202" i="9"/>
  <c r="L202" i="9"/>
  <c r="N195" i="9"/>
  <c r="L195" i="9"/>
  <c r="X180" i="9"/>
  <c r="L180" i="9"/>
  <c r="N187" i="9"/>
  <c r="L187" i="9"/>
  <c r="N192" i="9"/>
  <c r="L192" i="9"/>
  <c r="R107" i="9"/>
  <c r="L107" i="9"/>
  <c r="S107" i="9" s="1"/>
  <c r="X204" i="9"/>
  <c r="L204" i="9"/>
  <c r="N182" i="9"/>
  <c r="L182" i="9"/>
  <c r="N205" i="9"/>
  <c r="L205" i="9"/>
  <c r="N142" i="9"/>
  <c r="N150" i="9"/>
  <c r="N184" i="9"/>
  <c r="N183" i="9"/>
  <c r="N166" i="9"/>
  <c r="N175" i="9"/>
  <c r="R167" i="9"/>
  <c r="S167" i="9" s="1"/>
  <c r="X167" i="9"/>
  <c r="N167" i="9"/>
  <c r="R165" i="9"/>
  <c r="N188" i="9"/>
  <c r="R150" i="9"/>
  <c r="N165" i="9"/>
  <c r="X150" i="9"/>
  <c r="X188" i="9"/>
  <c r="X175" i="9"/>
  <c r="R182" i="9"/>
  <c r="N160" i="9"/>
  <c r="R175" i="9"/>
  <c r="X160" i="9"/>
  <c r="R142" i="9"/>
  <c r="X142" i="9"/>
  <c r="R160" i="9"/>
  <c r="S160" i="9" s="1"/>
  <c r="X182" i="9"/>
  <c r="X183" i="9"/>
  <c r="R183" i="9"/>
  <c r="R184" i="9"/>
  <c r="X184" i="9"/>
  <c r="N214" i="9"/>
  <c r="R214" i="9"/>
  <c r="S214" i="9" s="1"/>
  <c r="X214" i="9"/>
  <c r="R208" i="9"/>
  <c r="R195" i="9"/>
  <c r="N208" i="9"/>
  <c r="R187" i="9"/>
  <c r="X187" i="9"/>
  <c r="N193" i="9"/>
  <c r="X193" i="9"/>
  <c r="R190" i="9"/>
  <c r="S190" i="9" s="1"/>
  <c r="X192" i="9"/>
  <c r="R192" i="9"/>
  <c r="X190" i="9"/>
  <c r="N210" i="9"/>
  <c r="R193" i="9"/>
  <c r="S193" i="9" s="1"/>
  <c r="R210" i="9"/>
  <c r="R186" i="9"/>
  <c r="N186" i="9"/>
  <c r="R203" i="9"/>
  <c r="S203" i="9" s="1"/>
  <c r="N203" i="9"/>
  <c r="X203" i="9"/>
  <c r="R200" i="9"/>
  <c r="S200" i="9" s="1"/>
  <c r="N200" i="9"/>
  <c r="X212" i="9"/>
  <c r="R212" i="9"/>
  <c r="R185" i="9"/>
  <c r="S185" i="9" s="1"/>
  <c r="R204" i="9"/>
  <c r="N204" i="9"/>
  <c r="X205" i="9"/>
  <c r="X200" i="9"/>
  <c r="N190" i="9"/>
  <c r="X209" i="9"/>
  <c r="N181" i="9"/>
  <c r="R209" i="9"/>
  <c r="R181" i="9"/>
  <c r="S181" i="9" s="1"/>
  <c r="X181" i="9"/>
  <c r="N185" i="9"/>
  <c r="X195" i="9"/>
  <c r="R205" i="9"/>
  <c r="N202" i="9"/>
  <c r="R202" i="9"/>
  <c r="X185" i="9"/>
  <c r="R213" i="9"/>
  <c r="S213" i="9" s="1"/>
  <c r="R201" i="9"/>
  <c r="X201" i="9"/>
  <c r="N213" i="9"/>
  <c r="X213" i="9"/>
  <c r="N180" i="9"/>
  <c r="R180" i="9"/>
  <c r="R163" i="9"/>
  <c r="N163" i="9"/>
  <c r="X163" i="9"/>
  <c r="X179" i="9"/>
  <c r="R179" i="9"/>
  <c r="R206" i="9"/>
  <c r="X206" i="9"/>
  <c r="N179" i="9"/>
  <c r="R211" i="9"/>
  <c r="X211" i="9"/>
  <c r="N211" i="9"/>
  <c r="N191" i="9"/>
  <c r="X191" i="9"/>
  <c r="R191" i="9"/>
  <c r="X207" i="9"/>
  <c r="R207" i="9"/>
  <c r="N207" i="9"/>
  <c r="N206" i="9"/>
  <c r="R166" i="9"/>
  <c r="X166" i="9"/>
  <c r="O132" i="9"/>
  <c r="M132" i="9" s="1"/>
  <c r="L132" i="9" s="1"/>
  <c r="O126" i="9"/>
  <c r="M126" i="9" s="1"/>
  <c r="L126" i="9" s="1"/>
  <c r="O70" i="9"/>
  <c r="M70" i="9" s="1"/>
  <c r="L70" i="9" s="1"/>
  <c r="O140" i="9"/>
  <c r="M140" i="9" s="1"/>
  <c r="L140" i="9" s="1"/>
  <c r="O111" i="9"/>
  <c r="M111" i="9" s="1"/>
  <c r="L111" i="9" s="1"/>
  <c r="O94" i="9"/>
  <c r="M94" i="9" s="1"/>
  <c r="L94" i="9" s="1"/>
  <c r="O116" i="9"/>
  <c r="M116" i="9" s="1"/>
  <c r="L116" i="9" s="1"/>
  <c r="O108" i="9"/>
  <c r="M108" i="9" s="1"/>
  <c r="L108" i="9" s="1"/>
  <c r="O75" i="9"/>
  <c r="M75" i="9" s="1"/>
  <c r="L75" i="9" s="1"/>
  <c r="O65" i="9"/>
  <c r="M65" i="9" s="1"/>
  <c r="L65" i="9" s="1"/>
  <c r="O95" i="9"/>
  <c r="M95" i="9" s="1"/>
  <c r="L95" i="9" s="1"/>
  <c r="O92" i="9"/>
  <c r="M92" i="9" s="1"/>
  <c r="L92" i="9" s="1"/>
  <c r="O86" i="9"/>
  <c r="M86" i="9" s="1"/>
  <c r="L86" i="9" s="1"/>
  <c r="O137" i="9"/>
  <c r="M137" i="9" s="1"/>
  <c r="L137" i="9" s="1"/>
  <c r="O101" i="9"/>
  <c r="M101" i="9" s="1"/>
  <c r="L101" i="9" s="1"/>
  <c r="O67" i="9"/>
  <c r="M67" i="9" s="1"/>
  <c r="L67" i="9" s="1"/>
  <c r="O109" i="9"/>
  <c r="M109" i="9" s="1"/>
  <c r="L109" i="9" s="1"/>
  <c r="M177" i="9"/>
  <c r="L177" i="9" s="1"/>
  <c r="O38" i="9"/>
  <c r="M38" i="9" s="1"/>
  <c r="L38" i="9" s="1"/>
  <c r="O59" i="9"/>
  <c r="M59" i="9" s="1"/>
  <c r="L59" i="9" s="1"/>
  <c r="O50" i="9"/>
  <c r="M50" i="9" s="1"/>
  <c r="L50" i="9" s="1"/>
  <c r="O81" i="9"/>
  <c r="M81" i="9" s="1"/>
  <c r="L81" i="9" s="1"/>
  <c r="AC177" i="9"/>
  <c r="O88" i="9"/>
  <c r="M88" i="9" s="1"/>
  <c r="L88" i="9" s="1"/>
  <c r="O34" i="9"/>
  <c r="M34" i="9" s="1"/>
  <c r="L34" i="9" s="1"/>
  <c r="O73" i="9"/>
  <c r="M73" i="9" s="1"/>
  <c r="L73" i="9" s="1"/>
  <c r="O71" i="9"/>
  <c r="M71" i="9" s="1"/>
  <c r="L71" i="9" s="1"/>
  <c r="O96" i="9"/>
  <c r="M96" i="9" s="1"/>
  <c r="L96" i="9" s="1"/>
  <c r="M152" i="9"/>
  <c r="L152" i="9" s="1"/>
  <c r="O102" i="9"/>
  <c r="M102" i="9" s="1"/>
  <c r="L102" i="9" s="1"/>
  <c r="O127" i="9"/>
  <c r="M127" i="9" s="1"/>
  <c r="L127" i="9" s="1"/>
  <c r="O135" i="9"/>
  <c r="M135" i="9" s="1"/>
  <c r="L135" i="9" s="1"/>
  <c r="O79" i="9"/>
  <c r="M79" i="9" s="1"/>
  <c r="L79" i="9" s="1"/>
  <c r="O131" i="9"/>
  <c r="M131" i="9" s="1"/>
  <c r="L131" i="9" s="1"/>
  <c r="AB177" i="9"/>
  <c r="M174" i="9"/>
  <c r="L174" i="9" s="1"/>
  <c r="O77" i="9"/>
  <c r="M77" i="9" s="1"/>
  <c r="L77" i="9" s="1"/>
  <c r="O123" i="9"/>
  <c r="M123" i="9" s="1"/>
  <c r="L123" i="9" s="1"/>
  <c r="O42" i="9"/>
  <c r="M42" i="9" s="1"/>
  <c r="L42" i="9" s="1"/>
  <c r="O2" i="9"/>
  <c r="M2" i="9" s="1"/>
  <c r="L2" i="9" s="1"/>
  <c r="O61" i="9"/>
  <c r="M61" i="9" s="1"/>
  <c r="L61" i="9" s="1"/>
  <c r="O129" i="9"/>
  <c r="M129" i="9" s="1"/>
  <c r="L129" i="9" s="1"/>
  <c r="O51" i="9"/>
  <c r="M51" i="9" s="1"/>
  <c r="L51" i="9" s="1"/>
  <c r="O112" i="9"/>
  <c r="M112" i="9" s="1"/>
  <c r="L112" i="9" s="1"/>
  <c r="O84" i="9"/>
  <c r="M84" i="9" s="1"/>
  <c r="L84" i="9" s="1"/>
  <c r="O5" i="9"/>
  <c r="M5" i="9" s="1"/>
  <c r="L5" i="9" s="1"/>
  <c r="O76" i="9"/>
  <c r="M76" i="9" s="1"/>
  <c r="L76" i="9" s="1"/>
  <c r="O122" i="9"/>
  <c r="M122" i="9" s="1"/>
  <c r="L122" i="9" s="1"/>
  <c r="O85" i="9"/>
  <c r="M85" i="9" s="1"/>
  <c r="L85" i="9" s="1"/>
  <c r="O144" i="9"/>
  <c r="M144" i="9" s="1"/>
  <c r="L144" i="9" s="1"/>
  <c r="AE177" i="9"/>
  <c r="O156" i="9"/>
  <c r="M156" i="9" s="1"/>
  <c r="L156" i="9" s="1"/>
  <c r="AD177" i="9"/>
  <c r="O99" i="9"/>
  <c r="M99" i="9" s="1"/>
  <c r="L99" i="9" s="1"/>
  <c r="O54" i="9"/>
  <c r="M54" i="9" s="1"/>
  <c r="L54" i="9" s="1"/>
  <c r="O74" i="9"/>
  <c r="M74" i="9" s="1"/>
  <c r="L74" i="9" s="1"/>
  <c r="I177" i="9"/>
  <c r="K177" i="9" s="1"/>
  <c r="O100" i="9"/>
  <c r="M100" i="9" s="1"/>
  <c r="L100" i="9" s="1"/>
  <c r="O68" i="9"/>
  <c r="M68" i="9" s="1"/>
  <c r="L68" i="9" s="1"/>
  <c r="O106" i="9"/>
  <c r="M106" i="9" s="1"/>
  <c r="L106" i="9" s="1"/>
  <c r="O139" i="9"/>
  <c r="M139" i="9" s="1"/>
  <c r="L139" i="9" s="1"/>
  <c r="O78" i="9"/>
  <c r="M78" i="9" s="1"/>
  <c r="L78" i="9" s="1"/>
  <c r="O115" i="9"/>
  <c r="M115" i="9" s="1"/>
  <c r="L115" i="9" s="1"/>
  <c r="O120" i="9"/>
  <c r="M120" i="9" s="1"/>
  <c r="L120" i="9" s="1"/>
  <c r="O145" i="9"/>
  <c r="M145" i="9" s="1"/>
  <c r="L145" i="9" s="1"/>
  <c r="O87" i="9"/>
  <c r="M87" i="9" s="1"/>
  <c r="L87" i="9" s="1"/>
  <c r="O20" i="9"/>
  <c r="M20" i="9" s="1"/>
  <c r="L20" i="9" s="1"/>
  <c r="O90" i="9"/>
  <c r="M90" i="9" s="1"/>
  <c r="L90" i="9" s="1"/>
  <c r="O6" i="9"/>
  <c r="M6" i="9" s="1"/>
  <c r="L6" i="9" s="1"/>
  <c r="O172" i="9"/>
  <c r="M172" i="9" s="1"/>
  <c r="L172" i="9" s="1"/>
  <c r="O105" i="9"/>
  <c r="M105" i="9" s="1"/>
  <c r="L105" i="9" s="1"/>
  <c r="O128" i="9"/>
  <c r="M128" i="9" s="1"/>
  <c r="L128" i="9" s="1"/>
  <c r="O52" i="9"/>
  <c r="M52" i="9" s="1"/>
  <c r="L52" i="9" s="1"/>
  <c r="O21" i="9"/>
  <c r="M21" i="9" s="1"/>
  <c r="L21" i="9" s="1"/>
  <c r="O26" i="9"/>
  <c r="M26" i="9" s="1"/>
  <c r="L26" i="9" s="1"/>
  <c r="O9" i="9"/>
  <c r="M9" i="9" s="1"/>
  <c r="L9" i="9" s="1"/>
  <c r="O7" i="9"/>
  <c r="M7" i="9" s="1"/>
  <c r="L7" i="9" s="1"/>
  <c r="O25" i="9"/>
  <c r="M25" i="9" s="1"/>
  <c r="L25" i="9" s="1"/>
  <c r="O8" i="9"/>
  <c r="M8" i="9" s="1"/>
  <c r="L8" i="9" s="1"/>
  <c r="O17" i="9"/>
  <c r="M17" i="9" s="1"/>
  <c r="L17" i="9" s="1"/>
  <c r="O36" i="9"/>
  <c r="M36" i="9" s="1"/>
  <c r="L36" i="9" s="1"/>
  <c r="O28" i="9"/>
  <c r="M28" i="9" s="1"/>
  <c r="L28" i="9" s="1"/>
  <c r="O12" i="9"/>
  <c r="M12" i="9" s="1"/>
  <c r="O23" i="9"/>
  <c r="M23" i="9" s="1"/>
  <c r="L23" i="9" s="1"/>
  <c r="O22" i="9"/>
  <c r="M22" i="9" s="1"/>
  <c r="L22" i="9" s="1"/>
  <c r="O119" i="9"/>
  <c r="M119" i="9" s="1"/>
  <c r="L119" i="9" s="1"/>
  <c r="O57" i="9"/>
  <c r="M57" i="9" s="1"/>
  <c r="L57" i="9" s="1"/>
  <c r="O15" i="9"/>
  <c r="M15" i="9" s="1"/>
  <c r="L15" i="9" s="1"/>
  <c r="O53" i="9"/>
  <c r="M53" i="9" s="1"/>
  <c r="L53" i="9" s="1"/>
  <c r="O46" i="9"/>
  <c r="M46" i="9" s="1"/>
  <c r="L46" i="9" s="1"/>
  <c r="O47" i="9"/>
  <c r="M47" i="9" s="1"/>
  <c r="L47" i="9" s="1"/>
  <c r="O45" i="9"/>
  <c r="M45" i="9" s="1"/>
  <c r="L45" i="9" s="1"/>
  <c r="O31" i="9"/>
  <c r="M31" i="9" s="1"/>
  <c r="L31" i="9" s="1"/>
  <c r="O33" i="9"/>
  <c r="M33" i="9" s="1"/>
  <c r="L33" i="9" s="1"/>
  <c r="O40" i="9"/>
  <c r="M40" i="9" s="1"/>
  <c r="L40" i="9" s="1"/>
  <c r="O55" i="9"/>
  <c r="M55" i="9" s="1"/>
  <c r="L55" i="9" s="1"/>
  <c r="O103" i="9"/>
  <c r="M103" i="9" s="1"/>
  <c r="L103" i="9" s="1"/>
  <c r="O37" i="9"/>
  <c r="M37" i="9" s="1"/>
  <c r="L37" i="9" s="1"/>
  <c r="O60" i="9"/>
  <c r="M60" i="9" s="1"/>
  <c r="L60" i="9" s="1"/>
  <c r="O49" i="9"/>
  <c r="M49" i="9" s="1"/>
  <c r="L49" i="9" s="1"/>
  <c r="O91" i="9"/>
  <c r="M91" i="9" s="1"/>
  <c r="L91" i="9" s="1"/>
  <c r="O43" i="9"/>
  <c r="M43" i="9" s="1"/>
  <c r="L43" i="9" s="1"/>
  <c r="O169" i="9"/>
  <c r="M169" i="9" s="1"/>
  <c r="L169" i="9" s="1"/>
  <c r="O125" i="9"/>
  <c r="M125" i="9" s="1"/>
  <c r="L125" i="9" s="1"/>
  <c r="O176" i="9"/>
  <c r="M176" i="9" s="1"/>
  <c r="L176" i="9" s="1"/>
  <c r="O199" i="9"/>
  <c r="M199" i="9" s="1"/>
  <c r="L199" i="9" s="1"/>
  <c r="O143" i="9"/>
  <c r="M143" i="9" s="1"/>
  <c r="L143" i="9" s="1"/>
  <c r="O141" i="9"/>
  <c r="M141" i="9" s="1"/>
  <c r="L141" i="9" s="1"/>
  <c r="O154" i="9"/>
  <c r="M154" i="9" s="1"/>
  <c r="L154" i="9" s="1"/>
  <c r="O117" i="9"/>
  <c r="M117" i="9" s="1"/>
  <c r="L117" i="9" s="1"/>
  <c r="O197" i="9"/>
  <c r="M197" i="9" s="1"/>
  <c r="L197" i="9" s="1"/>
  <c r="O158" i="9"/>
  <c r="M158" i="9" s="1"/>
  <c r="L158" i="9" s="1"/>
  <c r="O194" i="9"/>
  <c r="M194" i="9" s="1"/>
  <c r="L194" i="9" s="1"/>
  <c r="O198" i="9"/>
  <c r="M198" i="9" s="1"/>
  <c r="L198" i="9" s="1"/>
  <c r="O189" i="9"/>
  <c r="M189" i="9" s="1"/>
  <c r="L189" i="9" s="1"/>
  <c r="O153" i="9"/>
  <c r="M153" i="9" s="1"/>
  <c r="L153" i="9" s="1"/>
  <c r="O173" i="9"/>
  <c r="M173" i="9" s="1"/>
  <c r="L173" i="9" s="1"/>
  <c r="O146" i="9"/>
  <c r="M146" i="9" s="1"/>
  <c r="L146" i="9" s="1"/>
  <c r="O161" i="9"/>
  <c r="M161" i="9" s="1"/>
  <c r="L161" i="9" s="1"/>
  <c r="O147" i="9"/>
  <c r="M147" i="9" s="1"/>
  <c r="L147" i="9" s="1"/>
  <c r="O118" i="9"/>
  <c r="M118" i="9" s="1"/>
  <c r="L118" i="9" s="1"/>
  <c r="O170" i="9"/>
  <c r="M170" i="9" s="1"/>
  <c r="L170" i="9" s="1"/>
  <c r="O178" i="9"/>
  <c r="M178" i="9" s="1"/>
  <c r="L178" i="9" s="1"/>
  <c r="O138" i="9"/>
  <c r="M138" i="9" s="1"/>
  <c r="L138" i="9" s="1"/>
  <c r="O133" i="9"/>
  <c r="M133" i="9" s="1"/>
  <c r="L133" i="9" s="1"/>
  <c r="O162" i="9"/>
  <c r="M162" i="9" s="1"/>
  <c r="L162" i="9" s="1"/>
  <c r="O196" i="9"/>
  <c r="M196" i="9" s="1"/>
  <c r="L196" i="9" s="1"/>
  <c r="AE173" i="9"/>
  <c r="I173" i="9"/>
  <c r="K173" i="9" s="1"/>
  <c r="AC173" i="9"/>
  <c r="AD173" i="9"/>
  <c r="AB173" i="9"/>
  <c r="AB199" i="9"/>
  <c r="AD199" i="9"/>
  <c r="AE199" i="9"/>
  <c r="I199" i="9"/>
  <c r="K199" i="9" s="1"/>
  <c r="AC199" i="9"/>
  <c r="AE170" i="9"/>
  <c r="I170" i="9"/>
  <c r="K170" i="9" s="1"/>
  <c r="AB170" i="9"/>
  <c r="AC170" i="9"/>
  <c r="AD170" i="9"/>
  <c r="AD143" i="9"/>
  <c r="AE143" i="9"/>
  <c r="AB143" i="9"/>
  <c r="AC143" i="9"/>
  <c r="I143" i="9"/>
  <c r="K143" i="9" s="1"/>
  <c r="AE169" i="9"/>
  <c r="I169" i="9"/>
  <c r="K169" i="9" s="1"/>
  <c r="AB169" i="9"/>
  <c r="AC169" i="9"/>
  <c r="AD169" i="9"/>
  <c r="AE172" i="9"/>
  <c r="I172" i="9"/>
  <c r="K172" i="9" s="1"/>
  <c r="AB172" i="9"/>
  <c r="AD172" i="9"/>
  <c r="AC172" i="9"/>
  <c r="AC125" i="9"/>
  <c r="AD125" i="9"/>
  <c r="I125" i="9"/>
  <c r="K125" i="9" s="1"/>
  <c r="AE125" i="9"/>
  <c r="AB125" i="9"/>
  <c r="X107" i="9"/>
  <c r="V94" i="9"/>
  <c r="U89" i="9"/>
  <c r="V89" i="9"/>
  <c r="T89" i="9"/>
  <c r="AA20" i="9"/>
  <c r="Z20" i="9"/>
  <c r="Y20" i="9"/>
  <c r="V20" i="9"/>
  <c r="U20" i="9"/>
  <c r="T20" i="9"/>
  <c r="A20" i="9"/>
  <c r="AA13" i="9"/>
  <c r="Z13" i="9"/>
  <c r="Y13" i="9"/>
  <c r="V13" i="9"/>
  <c r="U13" i="9"/>
  <c r="T13" i="9"/>
  <c r="A13" i="9"/>
  <c r="AA11" i="9"/>
  <c r="Z11" i="9"/>
  <c r="Y11" i="9"/>
  <c r="V11" i="9"/>
  <c r="U11" i="9"/>
  <c r="T11" i="9"/>
  <c r="A11" i="9"/>
  <c r="AA9" i="9"/>
  <c r="Z9" i="9"/>
  <c r="Y9" i="9"/>
  <c r="V9" i="9"/>
  <c r="U9" i="9"/>
  <c r="T9" i="9"/>
  <c r="A9" i="9"/>
  <c r="AA2" i="9"/>
  <c r="Z2" i="9"/>
  <c r="Y2" i="9"/>
  <c r="V2" i="9"/>
  <c r="U2" i="9"/>
  <c r="T2" i="9"/>
  <c r="A2" i="9"/>
  <c r="S188" i="9" l="1"/>
  <c r="S187" i="9"/>
  <c r="S150" i="9"/>
  <c r="S165" i="9"/>
  <c r="S201" i="9"/>
  <c r="S183" i="9"/>
  <c r="S142" i="9"/>
  <c r="S205" i="9"/>
  <c r="S182" i="9"/>
  <c r="S175" i="9"/>
  <c r="S184" i="9"/>
  <c r="S208" i="9"/>
  <c r="S195" i="9"/>
  <c r="S210" i="9"/>
  <c r="S192" i="9"/>
  <c r="S212" i="9"/>
  <c r="S186" i="9"/>
  <c r="S204" i="9"/>
  <c r="S209" i="9"/>
  <c r="S202" i="9"/>
  <c r="S180" i="9"/>
  <c r="S207" i="9"/>
  <c r="S191" i="9"/>
  <c r="S179" i="9"/>
  <c r="S166" i="9"/>
  <c r="S206" i="9"/>
  <c r="S163" i="9"/>
  <c r="S211" i="9"/>
  <c r="X177" i="9"/>
  <c r="N107" i="9"/>
  <c r="N177" i="9"/>
  <c r="R177" i="9"/>
  <c r="X173" i="9"/>
  <c r="R173" i="9"/>
  <c r="N173" i="9"/>
  <c r="N199" i="9"/>
  <c r="X199" i="9"/>
  <c r="R199" i="9"/>
  <c r="S199" i="9" s="1"/>
  <c r="N172" i="9"/>
  <c r="X172" i="9"/>
  <c r="R172" i="9"/>
  <c r="S172" i="9" s="1"/>
  <c r="N170" i="9"/>
  <c r="N143" i="9"/>
  <c r="R143" i="9"/>
  <c r="S143" i="9" s="1"/>
  <c r="X143" i="9"/>
  <c r="X169" i="9"/>
  <c r="R169" i="9"/>
  <c r="N125" i="9"/>
  <c r="N169" i="9"/>
  <c r="X125" i="9"/>
  <c r="R125" i="9"/>
  <c r="S125" i="9" s="1"/>
  <c r="R170" i="9"/>
  <c r="S170" i="9" s="1"/>
  <c r="X170" i="9"/>
  <c r="T102" i="9"/>
  <c r="U102" i="9"/>
  <c r="V102" i="9"/>
  <c r="Y102" i="9"/>
  <c r="Z102" i="9"/>
  <c r="AA102" i="9"/>
  <c r="T157" i="9"/>
  <c r="U157" i="9"/>
  <c r="V157" i="9"/>
  <c r="Y157" i="9"/>
  <c r="Z157" i="9"/>
  <c r="AA157" i="9"/>
  <c r="T174" i="9"/>
  <c r="U174" i="9"/>
  <c r="V174" i="9"/>
  <c r="Y174" i="9"/>
  <c r="Z174" i="9"/>
  <c r="AA174" i="9"/>
  <c r="T119" i="9"/>
  <c r="U119" i="9"/>
  <c r="V119" i="9"/>
  <c r="Y119" i="9"/>
  <c r="Z119" i="9"/>
  <c r="AA119" i="9"/>
  <c r="T117" i="9"/>
  <c r="U117" i="9"/>
  <c r="V117" i="9"/>
  <c r="Y117" i="9"/>
  <c r="Z117" i="9"/>
  <c r="AA117" i="9"/>
  <c r="T146" i="9"/>
  <c r="U146" i="9"/>
  <c r="V146" i="9"/>
  <c r="Y146" i="9"/>
  <c r="Z146" i="9"/>
  <c r="AA146" i="9"/>
  <c r="T147" i="9"/>
  <c r="U147" i="9"/>
  <c r="V147" i="9"/>
  <c r="Y147" i="9"/>
  <c r="Z147" i="9"/>
  <c r="AA147" i="9"/>
  <c r="T138" i="9"/>
  <c r="U138" i="9"/>
  <c r="V138" i="9"/>
  <c r="Y138" i="9"/>
  <c r="Z138" i="9"/>
  <c r="AA138" i="9"/>
  <c r="T158" i="9"/>
  <c r="U158" i="9"/>
  <c r="V158" i="9"/>
  <c r="Y158" i="9"/>
  <c r="Z158" i="9"/>
  <c r="AA158" i="9"/>
  <c r="T133" i="9"/>
  <c r="U133" i="9"/>
  <c r="V133" i="9"/>
  <c r="Y133" i="9"/>
  <c r="Z133" i="9"/>
  <c r="AA133" i="9"/>
  <c r="T176" i="9"/>
  <c r="U176" i="9"/>
  <c r="V176" i="9"/>
  <c r="Y176" i="9"/>
  <c r="Z176" i="9"/>
  <c r="AA176" i="9"/>
  <c r="T189" i="9"/>
  <c r="U189" i="9"/>
  <c r="V189" i="9"/>
  <c r="Y189" i="9"/>
  <c r="Z189" i="9"/>
  <c r="AA189" i="9"/>
  <c r="T194" i="9"/>
  <c r="U194" i="9"/>
  <c r="V194" i="9"/>
  <c r="Y194" i="9"/>
  <c r="Z194" i="9"/>
  <c r="AA194" i="9"/>
  <c r="T118" i="9"/>
  <c r="U118" i="9"/>
  <c r="V118" i="9"/>
  <c r="Y118" i="9"/>
  <c r="Z118" i="9"/>
  <c r="AA118" i="9"/>
  <c r="T178" i="9"/>
  <c r="U178" i="9"/>
  <c r="V178" i="9"/>
  <c r="Y178" i="9"/>
  <c r="Z178" i="9"/>
  <c r="AA178" i="9"/>
  <c r="T141" i="9"/>
  <c r="U141" i="9"/>
  <c r="V141" i="9"/>
  <c r="Y141" i="9"/>
  <c r="Z141" i="9"/>
  <c r="AA141" i="9"/>
  <c r="T136" i="9"/>
  <c r="U136" i="9"/>
  <c r="V136" i="9"/>
  <c r="Y136" i="9"/>
  <c r="Z136" i="9"/>
  <c r="AA136" i="9"/>
  <c r="T196" i="9"/>
  <c r="U196" i="9"/>
  <c r="V196" i="9"/>
  <c r="Y196" i="9"/>
  <c r="Z196" i="9"/>
  <c r="AA196" i="9"/>
  <c r="T197" i="9"/>
  <c r="U197" i="9"/>
  <c r="V197" i="9"/>
  <c r="Y197" i="9"/>
  <c r="Z197" i="9"/>
  <c r="AA197" i="9"/>
  <c r="T130" i="9"/>
  <c r="U130" i="9"/>
  <c r="V130" i="9"/>
  <c r="Y130" i="9"/>
  <c r="Z130" i="9"/>
  <c r="AA130" i="9"/>
  <c r="T198" i="9"/>
  <c r="U198" i="9"/>
  <c r="V198" i="9"/>
  <c r="Y198" i="9"/>
  <c r="Z198" i="9"/>
  <c r="AA198" i="9"/>
  <c r="T153" i="9"/>
  <c r="U153" i="9"/>
  <c r="V153" i="9"/>
  <c r="Y153" i="9"/>
  <c r="Z153" i="9"/>
  <c r="AA153" i="9"/>
  <c r="T162" i="9"/>
  <c r="U162" i="9"/>
  <c r="V162" i="9"/>
  <c r="Y162" i="9"/>
  <c r="Z162" i="9"/>
  <c r="AA162" i="9"/>
  <c r="A102" i="9"/>
  <c r="A157" i="9"/>
  <c r="A174" i="9"/>
  <c r="A119" i="9"/>
  <c r="A117" i="9"/>
  <c r="A146" i="9"/>
  <c r="A147" i="9"/>
  <c r="A138" i="9"/>
  <c r="A158" i="9"/>
  <c r="A133" i="9"/>
  <c r="A176" i="9"/>
  <c r="A189" i="9"/>
  <c r="A194" i="9"/>
  <c r="A118" i="9"/>
  <c r="A178" i="9"/>
  <c r="A141" i="9"/>
  <c r="A136" i="9"/>
  <c r="A196" i="9"/>
  <c r="A197" i="9"/>
  <c r="A130" i="9"/>
  <c r="A198" i="9"/>
  <c r="A153" i="9"/>
  <c r="A162" i="9"/>
  <c r="E170" i="14"/>
  <c r="E173" i="14"/>
  <c r="E186" i="14"/>
  <c r="E188" i="14"/>
  <c r="E189" i="14"/>
  <c r="E190" i="14"/>
  <c r="E191" i="14"/>
  <c r="E174" i="14"/>
  <c r="E171" i="14"/>
  <c r="E192" i="14"/>
  <c r="E193" i="14"/>
  <c r="E194" i="14"/>
  <c r="E195" i="14"/>
  <c r="E196" i="14"/>
  <c r="E187" i="14"/>
  <c r="F184" i="14"/>
  <c r="F170" i="14"/>
  <c r="F173" i="14"/>
  <c r="F185" i="14"/>
  <c r="F186" i="14"/>
  <c r="F187" i="14"/>
  <c r="F188" i="14"/>
  <c r="F189" i="14"/>
  <c r="F190" i="14"/>
  <c r="F191" i="14"/>
  <c r="F174" i="14"/>
  <c r="F171" i="14"/>
  <c r="F192" i="14"/>
  <c r="F193" i="14"/>
  <c r="F194" i="14"/>
  <c r="F195" i="14"/>
  <c r="F196" i="14"/>
  <c r="S177" i="9" l="1"/>
  <c r="S173" i="9"/>
  <c r="S169" i="9"/>
  <c r="E184" i="14"/>
  <c r="E185" i="14"/>
  <c r="AA155" i="9"/>
  <c r="Z155" i="9"/>
  <c r="Y155" i="9"/>
  <c r="V155" i="9"/>
  <c r="U155" i="9"/>
  <c r="T155" i="9"/>
  <c r="AA171" i="9"/>
  <c r="Z171" i="9"/>
  <c r="Y171" i="9"/>
  <c r="V171" i="9"/>
  <c r="U171" i="9"/>
  <c r="T171" i="9"/>
  <c r="AA116" i="9"/>
  <c r="Z116" i="9"/>
  <c r="Y116" i="9"/>
  <c r="V116" i="9"/>
  <c r="U116" i="9"/>
  <c r="T116" i="9"/>
  <c r="AA152" i="9"/>
  <c r="Z152" i="9"/>
  <c r="Y152" i="9"/>
  <c r="V152" i="9"/>
  <c r="U152" i="9"/>
  <c r="T152" i="9"/>
  <c r="A152" i="9"/>
  <c r="A116" i="9"/>
  <c r="A171" i="9"/>
  <c r="A155" i="9"/>
  <c r="I168" i="9" l="1"/>
  <c r="I117" i="9"/>
  <c r="K117" i="9" s="1"/>
  <c r="I162" i="9"/>
  <c r="I194" i="9"/>
  <c r="K194" i="9" s="1"/>
  <c r="I196" i="9"/>
  <c r="K196" i="9" s="1"/>
  <c r="I152" i="9"/>
  <c r="I106" i="9"/>
  <c r="I114" i="9"/>
  <c r="I86" i="9"/>
  <c r="I153" i="9"/>
  <c r="K153" i="9" s="1"/>
  <c r="I159" i="9"/>
  <c r="I164" i="9"/>
  <c r="I132" i="9"/>
  <c r="I111" i="9"/>
  <c r="I99" i="9"/>
  <c r="I138" i="9"/>
  <c r="K138" i="9" s="1"/>
  <c r="I156" i="9"/>
  <c r="I197" i="9"/>
  <c r="K197" i="9" s="1"/>
  <c r="I137" i="9"/>
  <c r="I155" i="9"/>
  <c r="I198" i="9"/>
  <c r="I146" i="9"/>
  <c r="K146" i="9" s="1"/>
  <c r="I161" i="9"/>
  <c r="I158" i="9"/>
  <c r="I174" i="9"/>
  <c r="I127" i="9"/>
  <c r="I141" i="9"/>
  <c r="I171" i="9"/>
  <c r="I116" i="9"/>
  <c r="I136" i="9"/>
  <c r="I133" i="9"/>
  <c r="I157" i="9"/>
  <c r="I118" i="9"/>
  <c r="K118" i="9" s="1"/>
  <c r="I189" i="9"/>
  <c r="K189" i="9" s="1"/>
  <c r="I130" i="9"/>
  <c r="K130" i="9" s="1"/>
  <c r="I122" i="9"/>
  <c r="T39" i="9"/>
  <c r="U39" i="9"/>
  <c r="V39" i="9"/>
  <c r="Y39" i="9"/>
  <c r="Z39" i="9"/>
  <c r="AA39" i="9"/>
  <c r="T76" i="9"/>
  <c r="U76" i="9"/>
  <c r="V76" i="9"/>
  <c r="Y76" i="9"/>
  <c r="Z76" i="9"/>
  <c r="AA76" i="9"/>
  <c r="T98" i="9"/>
  <c r="U98" i="9"/>
  <c r="V98" i="9"/>
  <c r="Y98" i="9"/>
  <c r="Z98" i="9"/>
  <c r="AA98" i="9"/>
  <c r="T126" i="9"/>
  <c r="U126" i="9"/>
  <c r="V126" i="9"/>
  <c r="Y126" i="9"/>
  <c r="Z126" i="9"/>
  <c r="AA126" i="9"/>
  <c r="T137" i="9"/>
  <c r="U137" i="9"/>
  <c r="V137" i="9"/>
  <c r="Y137" i="9"/>
  <c r="Z137" i="9"/>
  <c r="AA137" i="9"/>
  <c r="T120" i="9"/>
  <c r="U120" i="9"/>
  <c r="V120" i="9"/>
  <c r="Y120" i="9"/>
  <c r="Z120" i="9"/>
  <c r="AA120" i="9"/>
  <c r="T121" i="9"/>
  <c r="U121" i="9"/>
  <c r="V121" i="9"/>
  <c r="Y121" i="9"/>
  <c r="Z121" i="9"/>
  <c r="AA121" i="9"/>
  <c r="T77" i="9"/>
  <c r="U77" i="9"/>
  <c r="V77" i="9"/>
  <c r="Y77" i="9"/>
  <c r="Z77" i="9"/>
  <c r="AA77" i="9"/>
  <c r="T123" i="9"/>
  <c r="U123" i="9"/>
  <c r="V123" i="9"/>
  <c r="Y123" i="9"/>
  <c r="Z123" i="9"/>
  <c r="AA123" i="9"/>
  <c r="T109" i="9"/>
  <c r="U109" i="9"/>
  <c r="V109" i="9"/>
  <c r="Y109" i="9"/>
  <c r="Z109" i="9"/>
  <c r="AA109" i="9"/>
  <c r="T139" i="9"/>
  <c r="U139" i="9"/>
  <c r="V139" i="9"/>
  <c r="Y139" i="9"/>
  <c r="Z139" i="9"/>
  <c r="AA139" i="9"/>
  <c r="T114" i="9"/>
  <c r="U114" i="9"/>
  <c r="V114" i="9"/>
  <c r="Y114" i="9"/>
  <c r="Z114" i="9"/>
  <c r="AA114" i="9"/>
  <c r="T168" i="9"/>
  <c r="U168" i="9"/>
  <c r="V168" i="9"/>
  <c r="Y168" i="9"/>
  <c r="Z168" i="9"/>
  <c r="AA168" i="9"/>
  <c r="T113" i="9"/>
  <c r="U113" i="9"/>
  <c r="V113" i="9"/>
  <c r="Y113" i="9"/>
  <c r="Z113" i="9"/>
  <c r="AA113" i="9"/>
  <c r="T131" i="9"/>
  <c r="U131" i="9"/>
  <c r="V131" i="9"/>
  <c r="Y131" i="9"/>
  <c r="Z131" i="9"/>
  <c r="AA131" i="9"/>
  <c r="T132" i="9"/>
  <c r="U132" i="9"/>
  <c r="V132" i="9"/>
  <c r="Y132" i="9"/>
  <c r="Z132" i="9"/>
  <c r="AA132" i="9"/>
  <c r="T161" i="9"/>
  <c r="U161" i="9"/>
  <c r="V161" i="9"/>
  <c r="Y161" i="9"/>
  <c r="Z161" i="9"/>
  <c r="AA161" i="9"/>
  <c r="T156" i="9"/>
  <c r="U156" i="9"/>
  <c r="V156" i="9"/>
  <c r="Y156" i="9"/>
  <c r="Z156" i="9"/>
  <c r="AA156" i="9"/>
  <c r="T110" i="9"/>
  <c r="U110" i="9"/>
  <c r="V110" i="9"/>
  <c r="Y110" i="9"/>
  <c r="Z110" i="9"/>
  <c r="AA110" i="9"/>
  <c r="T149" i="9"/>
  <c r="U149" i="9"/>
  <c r="V149" i="9"/>
  <c r="Y149" i="9"/>
  <c r="Z149" i="9"/>
  <c r="AA149" i="9"/>
  <c r="T111" i="9"/>
  <c r="U111" i="9"/>
  <c r="V111" i="9"/>
  <c r="Y111" i="9"/>
  <c r="Z111" i="9"/>
  <c r="AA111" i="9"/>
  <c r="T140" i="9"/>
  <c r="U140" i="9"/>
  <c r="V140" i="9"/>
  <c r="Y140" i="9"/>
  <c r="Z140" i="9"/>
  <c r="AA140" i="9"/>
  <c r="T151" i="9"/>
  <c r="U151" i="9"/>
  <c r="V151" i="9"/>
  <c r="Y151" i="9"/>
  <c r="Z151" i="9"/>
  <c r="AA151" i="9"/>
  <c r="T148" i="9"/>
  <c r="U148" i="9"/>
  <c r="V148" i="9"/>
  <c r="Y148" i="9"/>
  <c r="Z148" i="9"/>
  <c r="AA148" i="9"/>
  <c r="T134" i="9"/>
  <c r="U134" i="9"/>
  <c r="V134" i="9"/>
  <c r="Y134" i="9"/>
  <c r="Z134" i="9"/>
  <c r="AA134" i="9"/>
  <c r="T154" i="9"/>
  <c r="U154" i="9"/>
  <c r="V154" i="9"/>
  <c r="Y154" i="9"/>
  <c r="Z154" i="9"/>
  <c r="AA154" i="9"/>
  <c r="T101" i="9"/>
  <c r="U101" i="9"/>
  <c r="V101" i="9"/>
  <c r="Y101" i="9"/>
  <c r="Z101" i="9"/>
  <c r="AA101" i="9"/>
  <c r="A39" i="9"/>
  <c r="A76" i="9"/>
  <c r="A98" i="9"/>
  <c r="A126" i="9"/>
  <c r="A137" i="9"/>
  <c r="A120" i="9"/>
  <c r="A121" i="9"/>
  <c r="A77" i="9"/>
  <c r="A123" i="9"/>
  <c r="A109" i="9"/>
  <c r="A139" i="9"/>
  <c r="A114" i="9"/>
  <c r="A168" i="9"/>
  <c r="A113" i="9"/>
  <c r="A131" i="9"/>
  <c r="A132" i="9"/>
  <c r="A161" i="9"/>
  <c r="A156" i="9"/>
  <c r="A110" i="9"/>
  <c r="A149" i="9"/>
  <c r="A111" i="9"/>
  <c r="A140" i="9"/>
  <c r="A151" i="9"/>
  <c r="A148" i="9"/>
  <c r="A134" i="9"/>
  <c r="A154" i="9"/>
  <c r="A101" i="9"/>
  <c r="E158" i="14"/>
  <c r="E159" i="14"/>
  <c r="E161" i="14"/>
  <c r="E162" i="14"/>
  <c r="E165" i="14"/>
  <c r="E166" i="14"/>
  <c r="E177" i="14"/>
  <c r="E172" i="14"/>
  <c r="E178" i="14"/>
  <c r="E168" i="14"/>
  <c r="E179" i="14"/>
  <c r="E180" i="14"/>
  <c r="E181" i="14"/>
  <c r="E182" i="14"/>
  <c r="E157" i="14"/>
  <c r="E160" i="14"/>
  <c r="E163" i="14"/>
  <c r="E164" i="14"/>
  <c r="E167" i="14"/>
  <c r="E175" i="14"/>
  <c r="E176" i="14"/>
  <c r="E169" i="14"/>
  <c r="E183" i="14"/>
  <c r="F157" i="14"/>
  <c r="F158" i="14"/>
  <c r="F159" i="14"/>
  <c r="F160" i="14"/>
  <c r="F161" i="14"/>
  <c r="F162" i="14"/>
  <c r="F163" i="14"/>
  <c r="F164" i="14"/>
  <c r="F165" i="14"/>
  <c r="F166" i="14"/>
  <c r="F167" i="14"/>
  <c r="F175" i="14"/>
  <c r="F176" i="14"/>
  <c r="F177" i="14"/>
  <c r="F172" i="14"/>
  <c r="F178" i="14"/>
  <c r="F168" i="14"/>
  <c r="F169" i="14"/>
  <c r="F179" i="14"/>
  <c r="F180" i="14"/>
  <c r="F181" i="14"/>
  <c r="F182" i="14"/>
  <c r="F183" i="14"/>
  <c r="E23" i="14"/>
  <c r="F23" i="14"/>
  <c r="E24" i="14"/>
  <c r="F24" i="14"/>
  <c r="I101" i="9" l="1"/>
  <c r="I119" i="9"/>
  <c r="K119" i="9" s="1"/>
  <c r="I140" i="9"/>
  <c r="I36" i="9"/>
  <c r="I8" i="9"/>
  <c r="I64" i="9"/>
  <c r="I35" i="9"/>
  <c r="I45" i="9"/>
  <c r="I34" i="9"/>
  <c r="I135" i="9"/>
  <c r="I115" i="9"/>
  <c r="I149" i="9"/>
  <c r="I144" i="9"/>
  <c r="I131" i="9"/>
  <c r="I121" i="9"/>
  <c r="I104" i="9"/>
  <c r="I120" i="9"/>
  <c r="I151" i="9"/>
  <c r="I84" i="9"/>
  <c r="AE178" i="9"/>
  <c r="I176" i="9"/>
  <c r="K176" i="9" s="1"/>
  <c r="AE13" i="9"/>
  <c r="I13" i="9"/>
  <c r="K13" i="9" s="1"/>
  <c r="AD13" i="9"/>
  <c r="AC13" i="9"/>
  <c r="AB13" i="9"/>
  <c r="AC2" i="9"/>
  <c r="AB2" i="9"/>
  <c r="AD2" i="9"/>
  <c r="AE2" i="9"/>
  <c r="I2" i="9"/>
  <c r="K2" i="9" s="1"/>
  <c r="AE11" i="9"/>
  <c r="I11" i="9"/>
  <c r="K11" i="9" s="1"/>
  <c r="AD11" i="9"/>
  <c r="AC11" i="9"/>
  <c r="AB11" i="9"/>
  <c r="AD9" i="9"/>
  <c r="I9" i="9"/>
  <c r="K9" i="9" s="1"/>
  <c r="AE9" i="9"/>
  <c r="AB9" i="9"/>
  <c r="AC9" i="9"/>
  <c r="AE20" i="9"/>
  <c r="I20" i="9"/>
  <c r="K20" i="9" s="1"/>
  <c r="AD20" i="9"/>
  <c r="AC20" i="9"/>
  <c r="AB20" i="9"/>
  <c r="I124" i="9"/>
  <c r="I112" i="9"/>
  <c r="I54" i="9"/>
  <c r="I178" i="9"/>
  <c r="K178" i="9" s="1"/>
  <c r="I147" i="9"/>
  <c r="K147" i="9" s="1"/>
  <c r="AE94" i="9"/>
  <c r="K94" i="9"/>
  <c r="AD94" i="9"/>
  <c r="AC94" i="9"/>
  <c r="AB94" i="9"/>
  <c r="AD90" i="9"/>
  <c r="AE90" i="9"/>
  <c r="I90" i="9"/>
  <c r="K90" i="9" s="1"/>
  <c r="AC90" i="9"/>
  <c r="AB90" i="9"/>
  <c r="I102" i="9"/>
  <c r="K102" i="9" s="1"/>
  <c r="AD83" i="9"/>
  <c r="AE83" i="9"/>
  <c r="K83" i="9"/>
  <c r="AC83" i="9"/>
  <c r="AB83" i="9"/>
  <c r="AC89" i="9"/>
  <c r="AE89" i="9"/>
  <c r="AB89" i="9"/>
  <c r="AD89" i="9"/>
  <c r="I89" i="9"/>
  <c r="K89" i="9" s="1"/>
  <c r="I108" i="9"/>
  <c r="I154" i="9"/>
  <c r="I126" i="9"/>
  <c r="I100" i="9"/>
  <c r="AB157" i="9"/>
  <c r="I113" i="9"/>
  <c r="I85" i="9"/>
  <c r="I148" i="9"/>
  <c r="I51" i="9"/>
  <c r="AC194" i="9"/>
  <c r="I58" i="9"/>
  <c r="I76" i="9"/>
  <c r="I41" i="9"/>
  <c r="I109" i="9"/>
  <c r="I139" i="9"/>
  <c r="I134" i="9"/>
  <c r="I123" i="9"/>
  <c r="I103" i="9"/>
  <c r="I40" i="9"/>
  <c r="I81" i="9"/>
  <c r="AE146" i="9"/>
  <c r="I145" i="9"/>
  <c r="I39" i="9"/>
  <c r="AD141" i="9"/>
  <c r="AD102" i="9"/>
  <c r="AE133" i="9"/>
  <c r="AD117" i="9"/>
  <c r="AE102" i="9"/>
  <c r="AC136" i="9"/>
  <c r="AC118" i="9"/>
  <c r="AB147" i="9"/>
  <c r="K133" i="9"/>
  <c r="AE176" i="9"/>
  <c r="AD147" i="9"/>
  <c r="AB102" i="9"/>
  <c r="AC147" i="9"/>
  <c r="AB176" i="9"/>
  <c r="AB133" i="9"/>
  <c r="AD146" i="9"/>
  <c r="AC102" i="9"/>
  <c r="AC146" i="9"/>
  <c r="AE147" i="9"/>
  <c r="AD133" i="9"/>
  <c r="AC133" i="9"/>
  <c r="K141" i="9"/>
  <c r="AC176" i="9"/>
  <c r="AB194" i="9"/>
  <c r="AD194" i="9"/>
  <c r="AC117" i="9"/>
  <c r="AD176" i="9"/>
  <c r="AE194" i="9"/>
  <c r="AE130" i="9"/>
  <c r="AD130" i="9"/>
  <c r="AB117" i="9"/>
  <c r="AE117" i="9"/>
  <c r="AC130" i="9"/>
  <c r="AD136" i="9"/>
  <c r="AD153" i="9"/>
  <c r="AE138" i="9"/>
  <c r="AC138" i="9"/>
  <c r="AD157" i="9"/>
  <c r="K157" i="9"/>
  <c r="AB118" i="9"/>
  <c r="AB138" i="9"/>
  <c r="AC141" i="9"/>
  <c r="AB141" i="9"/>
  <c r="AC157" i="9"/>
  <c r="AB146" i="9"/>
  <c r="AD138" i="9"/>
  <c r="AB130" i="9"/>
  <c r="AB153" i="9"/>
  <c r="AE136" i="9"/>
  <c r="AE157" i="9"/>
  <c r="AB136" i="9"/>
  <c r="AC153" i="9"/>
  <c r="K136" i="9"/>
  <c r="AE118" i="9"/>
  <c r="AE141" i="9"/>
  <c r="AE153" i="9"/>
  <c r="AD118" i="9"/>
  <c r="AB178" i="9"/>
  <c r="K174" i="9"/>
  <c r="AB174" i="9"/>
  <c r="AC174" i="9"/>
  <c r="AD174" i="9"/>
  <c r="AE174" i="9"/>
  <c r="AD158" i="9"/>
  <c r="K158" i="9"/>
  <c r="AE158" i="9"/>
  <c r="AB158" i="9"/>
  <c r="AC158" i="9"/>
  <c r="AD189" i="9"/>
  <c r="AB189" i="9"/>
  <c r="AE189" i="9"/>
  <c r="AC189" i="9"/>
  <c r="AC178" i="9"/>
  <c r="AC119" i="9"/>
  <c r="AE119" i="9"/>
  <c r="AD119" i="9"/>
  <c r="AB119" i="9"/>
  <c r="K198" i="9"/>
  <c r="AB198" i="9"/>
  <c r="AD198" i="9"/>
  <c r="AC198" i="9"/>
  <c r="AE198" i="9"/>
  <c r="AE196" i="9"/>
  <c r="AC196" i="9"/>
  <c r="AB196" i="9"/>
  <c r="K162" i="9"/>
  <c r="AB162" i="9"/>
  <c r="AD162" i="9"/>
  <c r="AE162" i="9"/>
  <c r="AC162" i="9"/>
  <c r="AD178" i="9"/>
  <c r="AD196" i="9"/>
  <c r="AC197" i="9"/>
  <c r="AD197" i="9"/>
  <c r="AB197" i="9"/>
  <c r="AE197" i="9"/>
  <c r="AB116" i="9"/>
  <c r="AC116" i="9"/>
  <c r="AE116" i="9"/>
  <c r="AD116" i="9"/>
  <c r="K116" i="9"/>
  <c r="AB152" i="9"/>
  <c r="K152" i="9"/>
  <c r="AC152" i="9"/>
  <c r="AD152" i="9"/>
  <c r="AE152" i="9"/>
  <c r="AB171" i="9"/>
  <c r="AC171" i="9"/>
  <c r="AE171" i="9"/>
  <c r="AD171" i="9"/>
  <c r="K171" i="9"/>
  <c r="AB155" i="9"/>
  <c r="AC155" i="9"/>
  <c r="AE155" i="9"/>
  <c r="AD155" i="9"/>
  <c r="K155" i="9"/>
  <c r="T55" i="9"/>
  <c r="U55" i="9"/>
  <c r="V55" i="9"/>
  <c r="Y55" i="9"/>
  <c r="Z55" i="9"/>
  <c r="AA55" i="9"/>
  <c r="T159" i="9"/>
  <c r="U159" i="9"/>
  <c r="V159" i="9"/>
  <c r="Y159" i="9"/>
  <c r="Z159" i="9"/>
  <c r="AA159" i="9"/>
  <c r="T58" i="9"/>
  <c r="U58" i="9"/>
  <c r="V58" i="9"/>
  <c r="Y58" i="9"/>
  <c r="Z58" i="9"/>
  <c r="AA58" i="9"/>
  <c r="T128" i="9"/>
  <c r="U128" i="9"/>
  <c r="V128" i="9"/>
  <c r="Y128" i="9"/>
  <c r="Z128" i="9"/>
  <c r="AA128" i="9"/>
  <c r="A55" i="9"/>
  <c r="A159" i="9"/>
  <c r="A58" i="9"/>
  <c r="A128" i="9"/>
  <c r="N83" i="9" l="1"/>
  <c r="N176" i="9"/>
  <c r="R102" i="9"/>
  <c r="S102" i="9" s="1"/>
  <c r="N94" i="9"/>
  <c r="X102" i="9"/>
  <c r="N102" i="9"/>
  <c r="N2" i="9"/>
  <c r="N13" i="9"/>
  <c r="N11" i="9"/>
  <c r="N9" i="9"/>
  <c r="X13" i="9"/>
  <c r="R13" i="9"/>
  <c r="S13" i="9" s="1"/>
  <c r="X11" i="9"/>
  <c r="R11" i="9"/>
  <c r="S11" i="9" s="1"/>
  <c r="N20" i="9"/>
  <c r="X2" i="9"/>
  <c r="R2" i="9"/>
  <c r="S2" i="9" s="1"/>
  <c r="R20" i="9"/>
  <c r="S20" i="9" s="1"/>
  <c r="X20" i="9"/>
  <c r="X9" i="9"/>
  <c r="R9" i="9"/>
  <c r="S9" i="9" s="1"/>
  <c r="R147" i="9"/>
  <c r="S147" i="9" s="1"/>
  <c r="N90" i="9"/>
  <c r="N171" i="9"/>
  <c r="R83" i="9"/>
  <c r="S83" i="9" s="1"/>
  <c r="X83" i="9"/>
  <c r="R94" i="9"/>
  <c r="X94" i="9"/>
  <c r="X90" i="9"/>
  <c r="R90" i="9"/>
  <c r="S90" i="9" s="1"/>
  <c r="N141" i="9"/>
  <c r="N89" i="9"/>
  <c r="X89" i="9"/>
  <c r="R89" i="9"/>
  <c r="S89" i="9" s="1"/>
  <c r="N136" i="9"/>
  <c r="N162" i="9"/>
  <c r="N153" i="9"/>
  <c r="N157" i="9"/>
  <c r="R146" i="9"/>
  <c r="S146" i="9" s="1"/>
  <c r="N158" i="9"/>
  <c r="N133" i="9"/>
  <c r="N118" i="9"/>
  <c r="R138" i="9"/>
  <c r="S138" i="9" s="1"/>
  <c r="N194" i="9"/>
  <c r="N130" i="9"/>
  <c r="X138" i="9"/>
  <c r="N138" i="9"/>
  <c r="X176" i="9"/>
  <c r="N147" i="9"/>
  <c r="R176" i="9"/>
  <c r="S176" i="9" s="1"/>
  <c r="X147" i="9"/>
  <c r="X136" i="9"/>
  <c r="X133" i="9"/>
  <c r="R133" i="9"/>
  <c r="S133" i="9" s="1"/>
  <c r="R153" i="9"/>
  <c r="R194" i="9"/>
  <c r="S194" i="9" s="1"/>
  <c r="X153" i="9"/>
  <c r="R136" i="9"/>
  <c r="R117" i="9"/>
  <c r="S117" i="9" s="1"/>
  <c r="N146" i="9"/>
  <c r="X146" i="9"/>
  <c r="X130" i="9"/>
  <c r="R130" i="9"/>
  <c r="X117" i="9"/>
  <c r="N117" i="9"/>
  <c r="R118" i="9"/>
  <c r="X118" i="9"/>
  <c r="X194" i="9"/>
  <c r="X157" i="9"/>
  <c r="R157" i="9"/>
  <c r="X141" i="9"/>
  <c r="R141" i="9"/>
  <c r="R162" i="9"/>
  <c r="X119" i="9"/>
  <c r="X162" i="9"/>
  <c r="N119" i="9"/>
  <c r="R119" i="9"/>
  <c r="S119" i="9" s="1"/>
  <c r="N197" i="9"/>
  <c r="X197" i="9"/>
  <c r="R197" i="9"/>
  <c r="N198" i="9"/>
  <c r="R198" i="9"/>
  <c r="X198" i="9"/>
  <c r="X178" i="9"/>
  <c r="R178" i="9"/>
  <c r="N178" i="9"/>
  <c r="X196" i="9"/>
  <c r="R196" i="9"/>
  <c r="S196" i="9" s="1"/>
  <c r="N196" i="9"/>
  <c r="N189" i="9"/>
  <c r="X189" i="9"/>
  <c r="R189" i="9"/>
  <c r="N174" i="9"/>
  <c r="X174" i="9"/>
  <c r="R174" i="9"/>
  <c r="X158" i="9"/>
  <c r="R158" i="9"/>
  <c r="N155" i="9"/>
  <c r="N116" i="9"/>
  <c r="X155" i="9"/>
  <c r="R155" i="9"/>
  <c r="S155" i="9" s="1"/>
  <c r="X152" i="9"/>
  <c r="R152" i="9"/>
  <c r="S152" i="9" s="1"/>
  <c r="X116" i="9"/>
  <c r="R116" i="9"/>
  <c r="S116" i="9" s="1"/>
  <c r="N152" i="9"/>
  <c r="X171" i="9"/>
  <c r="R171" i="9"/>
  <c r="T34" i="9"/>
  <c r="U34" i="9"/>
  <c r="T36" i="9"/>
  <c r="U36" i="9"/>
  <c r="T28" i="9"/>
  <c r="U28" i="9"/>
  <c r="T44" i="9"/>
  <c r="U44" i="9"/>
  <c r="T60" i="9"/>
  <c r="U60" i="9"/>
  <c r="T27" i="9"/>
  <c r="U27" i="9"/>
  <c r="T43" i="9"/>
  <c r="U43" i="9"/>
  <c r="T59" i="9"/>
  <c r="U59" i="9"/>
  <c r="T53" i="9"/>
  <c r="U53" i="9"/>
  <c r="S94" i="9" l="1"/>
  <c r="S136" i="9"/>
  <c r="S153" i="9"/>
  <c r="S118" i="9"/>
  <c r="S141" i="9"/>
  <c r="S157" i="9"/>
  <c r="S130" i="9"/>
  <c r="S197" i="9"/>
  <c r="S162" i="9"/>
  <c r="S158" i="9"/>
  <c r="S178" i="9"/>
  <c r="S174" i="9"/>
  <c r="S189" i="9"/>
  <c r="S198" i="9"/>
  <c r="S171" i="9"/>
  <c r="T104" i="9"/>
  <c r="U104" i="9"/>
  <c r="V104" i="9"/>
  <c r="Y104" i="9"/>
  <c r="Z104" i="9"/>
  <c r="AA104" i="9"/>
  <c r="T144" i="9"/>
  <c r="U144" i="9"/>
  <c r="V144" i="9"/>
  <c r="Y144" i="9"/>
  <c r="Z144" i="9"/>
  <c r="AA144" i="9"/>
  <c r="T73" i="9"/>
  <c r="U73" i="9"/>
  <c r="V73" i="9"/>
  <c r="Y73" i="9"/>
  <c r="Z73" i="9"/>
  <c r="AA73" i="9"/>
  <c r="T100" i="9"/>
  <c r="U100" i="9"/>
  <c r="V100" i="9"/>
  <c r="Y100" i="9"/>
  <c r="Z100" i="9"/>
  <c r="AA100" i="9"/>
  <c r="T80" i="9"/>
  <c r="U80" i="9"/>
  <c r="V80" i="9"/>
  <c r="Y80" i="9"/>
  <c r="Z80" i="9"/>
  <c r="AA80" i="9"/>
  <c r="T96" i="9"/>
  <c r="U96" i="9"/>
  <c r="V96" i="9"/>
  <c r="Y96" i="9"/>
  <c r="Z96" i="9"/>
  <c r="AA96" i="9"/>
  <c r="T108" i="9"/>
  <c r="U108" i="9"/>
  <c r="V108" i="9"/>
  <c r="Y108" i="9"/>
  <c r="Z108" i="9"/>
  <c r="AA108" i="9"/>
  <c r="T65" i="9"/>
  <c r="U65" i="9"/>
  <c r="V65" i="9"/>
  <c r="Y65" i="9"/>
  <c r="Z65" i="9"/>
  <c r="AA65" i="9"/>
  <c r="A104" i="9"/>
  <c r="A144" i="9"/>
  <c r="A73" i="9"/>
  <c r="A100" i="9"/>
  <c r="A80" i="9"/>
  <c r="A96" i="9"/>
  <c r="A108" i="9"/>
  <c r="A65" i="9"/>
  <c r="E26" i="14"/>
  <c r="F26" i="14"/>
  <c r="E27" i="14"/>
  <c r="F27" i="14"/>
  <c r="N168" i="9" l="1"/>
  <c r="K55" i="9"/>
  <c r="AB156" i="9"/>
  <c r="K156" i="9"/>
  <c r="N156" i="9" s="1"/>
  <c r="AB110" i="9"/>
  <c r="K110" i="9"/>
  <c r="N110" i="9" s="1"/>
  <c r="AB76" i="9"/>
  <c r="K76" i="9"/>
  <c r="AB98" i="9"/>
  <c r="K98" i="9"/>
  <c r="AB131" i="9"/>
  <c r="K131" i="9"/>
  <c r="N131" i="9" s="1"/>
  <c r="AB168" i="9"/>
  <c r="K168" i="9"/>
  <c r="AB128" i="9"/>
  <c r="K128" i="9"/>
  <c r="N128" i="9" s="1"/>
  <c r="AB101" i="9"/>
  <c r="K101" i="9"/>
  <c r="K134" i="9"/>
  <c r="AB134" i="9"/>
  <c r="AB151" i="9"/>
  <c r="K151" i="9"/>
  <c r="N151" i="9" s="1"/>
  <c r="K139" i="9"/>
  <c r="AB113" i="9"/>
  <c r="K113" i="9"/>
  <c r="N113" i="9" s="1"/>
  <c r="AB148" i="9"/>
  <c r="K148" i="9"/>
  <c r="N148" i="9" s="1"/>
  <c r="AB159" i="9"/>
  <c r="K159" i="9"/>
  <c r="AB58" i="9"/>
  <c r="K58" i="9"/>
  <c r="AB126" i="9"/>
  <c r="K126" i="9"/>
  <c r="N126" i="9" s="1"/>
  <c r="AB121" i="9"/>
  <c r="K121" i="9"/>
  <c r="K149" i="9"/>
  <c r="N149" i="9" s="1"/>
  <c r="AB114" i="9"/>
  <c r="K114" i="9"/>
  <c r="N114" i="9" s="1"/>
  <c r="AB77" i="9"/>
  <c r="K77" i="9"/>
  <c r="N77" i="9" s="1"/>
  <c r="AB132" i="9"/>
  <c r="K132" i="9"/>
  <c r="N132" i="9" s="1"/>
  <c r="AB55" i="9"/>
  <c r="AB161" i="9"/>
  <c r="K161" i="9"/>
  <c r="AD114" i="9"/>
  <c r="AE114" i="9"/>
  <c r="AC114" i="9"/>
  <c r="AD148" i="9"/>
  <c r="AC148" i="9"/>
  <c r="AE148" i="9"/>
  <c r="AC132" i="9"/>
  <c r="AE132" i="9"/>
  <c r="AD132" i="9"/>
  <c r="AC113" i="9"/>
  <c r="AD113" i="9"/>
  <c r="AE113" i="9"/>
  <c r="AC77" i="9"/>
  <c r="AD77" i="9"/>
  <c r="AE77" i="9"/>
  <c r="AC58" i="9"/>
  <c r="AD58" i="9"/>
  <c r="AE58" i="9"/>
  <c r="AC161" i="9"/>
  <c r="AD161" i="9"/>
  <c r="AE161" i="9"/>
  <c r="AE159" i="9"/>
  <c r="AC159" i="9"/>
  <c r="AD159" i="9"/>
  <c r="AC55" i="9"/>
  <c r="AD55" i="9"/>
  <c r="AE55" i="9"/>
  <c r="AD156" i="9"/>
  <c r="AC156" i="9"/>
  <c r="AE156" i="9"/>
  <c r="AC121" i="9"/>
  <c r="AD121" i="9"/>
  <c r="AE121" i="9"/>
  <c r="AD126" i="9"/>
  <c r="AE126" i="9"/>
  <c r="AC126" i="9"/>
  <c r="AE168" i="9"/>
  <c r="AD168" i="9"/>
  <c r="AC168" i="9"/>
  <c r="AD128" i="9"/>
  <c r="AE128" i="9"/>
  <c r="AC128" i="9"/>
  <c r="AE110" i="9"/>
  <c r="AC110" i="9"/>
  <c r="AD110" i="9"/>
  <c r="AD151" i="9"/>
  <c r="AC151" i="9"/>
  <c r="AE151" i="9"/>
  <c r="X168" i="9"/>
  <c r="R168" i="9"/>
  <c r="AC76" i="9"/>
  <c r="AD76" i="9"/>
  <c r="AE76" i="9"/>
  <c r="AD98" i="9"/>
  <c r="AC98" i="9"/>
  <c r="AE98" i="9"/>
  <c r="AC131" i="9"/>
  <c r="AD131" i="9"/>
  <c r="AE131" i="9"/>
  <c r="AD101" i="9"/>
  <c r="AE101" i="9"/>
  <c r="AC101" i="9"/>
  <c r="AD134" i="9"/>
  <c r="AC134" i="9"/>
  <c r="AE134" i="9"/>
  <c r="T75" i="9"/>
  <c r="U75" i="9"/>
  <c r="V75" i="9"/>
  <c r="Y75" i="9"/>
  <c r="Z75" i="9"/>
  <c r="AA75" i="9"/>
  <c r="T106" i="9"/>
  <c r="U106" i="9"/>
  <c r="V106" i="9"/>
  <c r="Y106" i="9"/>
  <c r="Z106" i="9"/>
  <c r="AA106" i="9"/>
  <c r="T115" i="9"/>
  <c r="U115" i="9"/>
  <c r="V115" i="9"/>
  <c r="Y115" i="9"/>
  <c r="Z115" i="9"/>
  <c r="AA115" i="9"/>
  <c r="A75" i="9"/>
  <c r="A106" i="9"/>
  <c r="A115" i="9"/>
  <c r="E25" i="14"/>
  <c r="F25" i="14"/>
  <c r="K120" i="9" l="1"/>
  <c r="N161" i="9"/>
  <c r="N76" i="9"/>
  <c r="X58" i="9"/>
  <c r="AB120" i="9"/>
  <c r="AB154" i="9"/>
  <c r="K154" i="9"/>
  <c r="N154" i="9" s="1"/>
  <c r="AB39" i="9"/>
  <c r="K39" i="9"/>
  <c r="N98" i="9"/>
  <c r="AB137" i="9"/>
  <c r="K137" i="9"/>
  <c r="N58" i="9"/>
  <c r="R137" i="9"/>
  <c r="N101" i="9"/>
  <c r="N134" i="9"/>
  <c r="AB109" i="9"/>
  <c r="K109" i="9"/>
  <c r="N109" i="9" s="1"/>
  <c r="AB140" i="9"/>
  <c r="K140" i="9"/>
  <c r="N140" i="9" s="1"/>
  <c r="AC139" i="9"/>
  <c r="N139" i="9"/>
  <c r="AB139" i="9"/>
  <c r="AB111" i="9"/>
  <c r="K111" i="9"/>
  <c r="N111" i="9" s="1"/>
  <c r="AB123" i="9"/>
  <c r="K123" i="9"/>
  <c r="R123" i="9"/>
  <c r="AB149" i="9"/>
  <c r="S168" i="9"/>
  <c r="R58" i="9"/>
  <c r="N121" i="9"/>
  <c r="AD149" i="9"/>
  <c r="AE139" i="9"/>
  <c r="AE149" i="9"/>
  <c r="AC149" i="9"/>
  <c r="AC109" i="9"/>
  <c r="AD109" i="9"/>
  <c r="AE109" i="9"/>
  <c r="X55" i="9"/>
  <c r="N55" i="9"/>
  <c r="R55" i="9"/>
  <c r="X156" i="9"/>
  <c r="R156" i="9"/>
  <c r="AD140" i="9"/>
  <c r="AE140" i="9"/>
  <c r="AC140" i="9"/>
  <c r="X101" i="9"/>
  <c r="R101" i="9"/>
  <c r="S101" i="9" s="1"/>
  <c r="R77" i="9"/>
  <c r="X77" i="9"/>
  <c r="X134" i="9"/>
  <c r="R134" i="9"/>
  <c r="S134" i="9" s="1"/>
  <c r="X76" i="9"/>
  <c r="R76" i="9"/>
  <c r="S76" i="9" s="1"/>
  <c r="AD154" i="9"/>
  <c r="AE154" i="9"/>
  <c r="AC154" i="9"/>
  <c r="AE120" i="9"/>
  <c r="AD120" i="9"/>
  <c r="R128" i="9"/>
  <c r="X128" i="9"/>
  <c r="X110" i="9"/>
  <c r="R110" i="9"/>
  <c r="AD111" i="9"/>
  <c r="AC111" i="9"/>
  <c r="AE111" i="9"/>
  <c r="AD123" i="9"/>
  <c r="AC123" i="9"/>
  <c r="AE123" i="9"/>
  <c r="X126" i="9"/>
  <c r="R126" i="9"/>
  <c r="R151" i="9"/>
  <c r="S151" i="9" s="1"/>
  <c r="X151" i="9"/>
  <c r="X121" i="9"/>
  <c r="R121" i="9"/>
  <c r="X114" i="9"/>
  <c r="R114" i="9"/>
  <c r="AD39" i="9"/>
  <c r="AC39" i="9"/>
  <c r="AE39" i="9"/>
  <c r="AC120" i="9"/>
  <c r="X113" i="9"/>
  <c r="R113" i="9"/>
  <c r="R132" i="9"/>
  <c r="X132" i="9"/>
  <c r="AC137" i="9"/>
  <c r="AE137" i="9"/>
  <c r="AD137" i="9"/>
  <c r="N120" i="9"/>
  <c r="X120" i="9"/>
  <c r="R120" i="9"/>
  <c r="X161" i="9"/>
  <c r="R161" i="9"/>
  <c r="S161" i="9" s="1"/>
  <c r="X111" i="9"/>
  <c r="R111" i="9"/>
  <c r="X148" i="9"/>
  <c r="R148" i="9"/>
  <c r="R98" i="9"/>
  <c r="X98" i="9"/>
  <c r="N159" i="9"/>
  <c r="R159" i="9"/>
  <c r="X159" i="9"/>
  <c r="AD139" i="9"/>
  <c r="X149" i="9"/>
  <c r="R149" i="9"/>
  <c r="X131" i="9"/>
  <c r="R131" i="9"/>
  <c r="T38" i="9"/>
  <c r="U38" i="9"/>
  <c r="V38" i="9"/>
  <c r="Y38" i="9"/>
  <c r="Z38" i="9"/>
  <c r="AA38" i="9"/>
  <c r="T164" i="9"/>
  <c r="U164" i="9"/>
  <c r="V164" i="9"/>
  <c r="Y164" i="9"/>
  <c r="Z164" i="9"/>
  <c r="AA164" i="9"/>
  <c r="T64" i="9"/>
  <c r="U64" i="9"/>
  <c r="V64" i="9"/>
  <c r="Y64" i="9"/>
  <c r="Z64" i="9"/>
  <c r="AA64" i="9"/>
  <c r="T52" i="9"/>
  <c r="U52" i="9"/>
  <c r="V52" i="9"/>
  <c r="Y52" i="9"/>
  <c r="Z52" i="9"/>
  <c r="AA52" i="9"/>
  <c r="T145" i="9"/>
  <c r="U145" i="9"/>
  <c r="V145" i="9"/>
  <c r="Y145" i="9"/>
  <c r="Z145" i="9"/>
  <c r="AA145" i="9"/>
  <c r="T81" i="9"/>
  <c r="U81" i="9"/>
  <c r="V81" i="9"/>
  <c r="Y81" i="9"/>
  <c r="Z81" i="9"/>
  <c r="AA81" i="9"/>
  <c r="T71" i="9"/>
  <c r="U71" i="9"/>
  <c r="V71" i="9"/>
  <c r="Y71" i="9"/>
  <c r="Z71" i="9"/>
  <c r="AA71" i="9"/>
  <c r="T86" i="9"/>
  <c r="U86" i="9"/>
  <c r="V86" i="9"/>
  <c r="Y86" i="9"/>
  <c r="Z86" i="9"/>
  <c r="AA86" i="9"/>
  <c r="T40" i="9"/>
  <c r="U40" i="9"/>
  <c r="V40" i="9"/>
  <c r="Y40" i="9"/>
  <c r="Z40" i="9"/>
  <c r="AA40" i="9"/>
  <c r="T122" i="9"/>
  <c r="U122" i="9"/>
  <c r="V122" i="9"/>
  <c r="Y122" i="9"/>
  <c r="Z122" i="9"/>
  <c r="AA122" i="9"/>
  <c r="T88" i="9"/>
  <c r="U88" i="9"/>
  <c r="V88" i="9"/>
  <c r="Y88" i="9"/>
  <c r="Z88" i="9"/>
  <c r="AA88" i="9"/>
  <c r="T84" i="9"/>
  <c r="U84" i="9"/>
  <c r="V84" i="9"/>
  <c r="Y84" i="9"/>
  <c r="Z84" i="9"/>
  <c r="AA84" i="9"/>
  <c r="T87" i="9"/>
  <c r="U87" i="9"/>
  <c r="V87" i="9"/>
  <c r="Y87" i="9"/>
  <c r="Z87" i="9"/>
  <c r="AA87" i="9"/>
  <c r="T85" i="9"/>
  <c r="U85" i="9"/>
  <c r="V85" i="9"/>
  <c r="Y85" i="9"/>
  <c r="Z85" i="9"/>
  <c r="AA85" i="9"/>
  <c r="T78" i="9"/>
  <c r="U78" i="9"/>
  <c r="V78" i="9"/>
  <c r="Y78" i="9"/>
  <c r="Z78" i="9"/>
  <c r="AA78" i="9"/>
  <c r="A38" i="9"/>
  <c r="A164" i="9"/>
  <c r="A64" i="9"/>
  <c r="A52" i="9"/>
  <c r="A145" i="9"/>
  <c r="A81" i="9"/>
  <c r="A71" i="9"/>
  <c r="A86" i="9"/>
  <c r="A40" i="9"/>
  <c r="A122" i="9"/>
  <c r="A88" i="9"/>
  <c r="A84" i="9"/>
  <c r="A87" i="9"/>
  <c r="A85" i="9"/>
  <c r="A78" i="9"/>
  <c r="S113" i="9" l="1"/>
  <c r="S77" i="9"/>
  <c r="S131" i="9"/>
  <c r="X154" i="9"/>
  <c r="S156" i="9"/>
  <c r="S58" i="9"/>
  <c r="S121" i="9"/>
  <c r="S98" i="9"/>
  <c r="X123" i="9"/>
  <c r="X137" i="9"/>
  <c r="N137" i="9"/>
  <c r="R39" i="9"/>
  <c r="S39" i="9" s="1"/>
  <c r="S137" i="9"/>
  <c r="X39" i="9"/>
  <c r="S123" i="9"/>
  <c r="N123" i="9"/>
  <c r="N39" i="9"/>
  <c r="R154" i="9"/>
  <c r="S132" i="9"/>
  <c r="S114" i="9"/>
  <c r="S159" i="9"/>
  <c r="S149" i="9"/>
  <c r="S148" i="9"/>
  <c r="S126" i="9"/>
  <c r="S110" i="9"/>
  <c r="S128" i="9"/>
  <c r="S55" i="9"/>
  <c r="X109" i="9"/>
  <c r="R109" i="9"/>
  <c r="S120" i="9"/>
  <c r="X139" i="9"/>
  <c r="R139" i="9"/>
  <c r="S111" i="9"/>
  <c r="X140" i="9"/>
  <c r="R140" i="9"/>
  <c r="E22" i="14"/>
  <c r="F22" i="14"/>
  <c r="S154" i="9" l="1"/>
  <c r="S139" i="9"/>
  <c r="S109" i="9"/>
  <c r="S140" i="9"/>
  <c r="T99" i="9"/>
  <c r="U99" i="9"/>
  <c r="V99" i="9"/>
  <c r="Y99" i="9"/>
  <c r="Z99" i="9"/>
  <c r="AA99" i="9"/>
  <c r="T74" i="9"/>
  <c r="U74" i="9"/>
  <c r="V74" i="9"/>
  <c r="Y74" i="9"/>
  <c r="Z74" i="9"/>
  <c r="AA74" i="9"/>
  <c r="T129" i="9"/>
  <c r="U129" i="9"/>
  <c r="V129" i="9"/>
  <c r="Y129" i="9"/>
  <c r="Z129" i="9"/>
  <c r="AA129" i="9"/>
  <c r="T93" i="9"/>
  <c r="U93" i="9"/>
  <c r="V93" i="9"/>
  <c r="Y93" i="9"/>
  <c r="Z93" i="9"/>
  <c r="AA93" i="9"/>
  <c r="T127" i="9"/>
  <c r="U127" i="9"/>
  <c r="V127" i="9"/>
  <c r="Y127" i="9"/>
  <c r="Z127" i="9"/>
  <c r="AA127" i="9"/>
  <c r="T105" i="9"/>
  <c r="U105" i="9"/>
  <c r="V105" i="9"/>
  <c r="Y105" i="9"/>
  <c r="Z105" i="9"/>
  <c r="AA105" i="9"/>
  <c r="T68" i="9"/>
  <c r="U68" i="9"/>
  <c r="V68" i="9"/>
  <c r="Y68" i="9"/>
  <c r="Z68" i="9"/>
  <c r="AA68" i="9"/>
  <c r="T54" i="9"/>
  <c r="U54" i="9"/>
  <c r="V54" i="9"/>
  <c r="Y54" i="9"/>
  <c r="Z54" i="9"/>
  <c r="AA54" i="9"/>
  <c r="A99" i="9"/>
  <c r="A74" i="9"/>
  <c r="A129" i="9"/>
  <c r="A93" i="9"/>
  <c r="A127" i="9"/>
  <c r="A105" i="9"/>
  <c r="A68" i="9"/>
  <c r="A54" i="9"/>
  <c r="E20" i="14"/>
  <c r="F20" i="14"/>
  <c r="E21" i="14"/>
  <c r="F21" i="14"/>
  <c r="I129" i="9" l="1"/>
  <c r="K68" i="9" l="1"/>
  <c r="K80" i="9"/>
  <c r="N80" i="9" s="1"/>
  <c r="AB80" i="9"/>
  <c r="K144" i="9"/>
  <c r="AB74" i="9"/>
  <c r="K74" i="9"/>
  <c r="N74" i="9" s="1"/>
  <c r="AB93" i="9"/>
  <c r="K93" i="9"/>
  <c r="AB54" i="9"/>
  <c r="K54" i="9"/>
  <c r="AB105" i="9"/>
  <c r="K105" i="9"/>
  <c r="AB99" i="9"/>
  <c r="K99" i="9"/>
  <c r="AB127" i="9"/>
  <c r="K127" i="9"/>
  <c r="N127" i="9" s="1"/>
  <c r="AB129" i="9"/>
  <c r="K129" i="9"/>
  <c r="AB65" i="9"/>
  <c r="K65" i="9"/>
  <c r="K106" i="9"/>
  <c r="N106" i="9" s="1"/>
  <c r="AB68" i="9"/>
  <c r="AE65" i="9"/>
  <c r="AD65" i="9"/>
  <c r="AC65" i="9"/>
  <c r="AD80" i="9"/>
  <c r="AE80" i="9"/>
  <c r="AC80" i="9"/>
  <c r="AE93" i="9"/>
  <c r="AC93" i="9"/>
  <c r="AD93" i="9"/>
  <c r="AE99" i="9"/>
  <c r="AC68" i="9"/>
  <c r="AD68" i="9"/>
  <c r="AE68" i="9"/>
  <c r="AC54" i="9"/>
  <c r="AE127" i="9"/>
  <c r="AD74" i="9"/>
  <c r="AE54" i="9"/>
  <c r="AD54" i="9"/>
  <c r="AC74" i="9"/>
  <c r="AC105" i="9"/>
  <c r="AD105" i="9"/>
  <c r="AE105" i="9"/>
  <c r="AE129" i="9"/>
  <c r="AD129" i="9"/>
  <c r="AD99" i="9"/>
  <c r="AC99" i="9"/>
  <c r="AD127" i="9"/>
  <c r="AC129" i="9"/>
  <c r="AC127" i="9"/>
  <c r="AE74" i="9"/>
  <c r="K38" i="9" l="1"/>
  <c r="K88" i="9"/>
  <c r="N99" i="9"/>
  <c r="N54" i="9"/>
  <c r="K81" i="9"/>
  <c r="K86" i="9"/>
  <c r="N86" i="9" s="1"/>
  <c r="N68" i="9"/>
  <c r="N105" i="9"/>
  <c r="K108" i="9"/>
  <c r="N93" i="9"/>
  <c r="N65" i="9"/>
  <c r="N129" i="9"/>
  <c r="R84" i="9"/>
  <c r="AC104" i="9"/>
  <c r="AB104" i="9"/>
  <c r="K104" i="9"/>
  <c r="AB96" i="9"/>
  <c r="K96" i="9"/>
  <c r="N96" i="9" s="1"/>
  <c r="AB85" i="9"/>
  <c r="K85" i="9"/>
  <c r="K122" i="9"/>
  <c r="AB108" i="9"/>
  <c r="AB78" i="9"/>
  <c r="K78" i="9"/>
  <c r="AB115" i="9"/>
  <c r="K115" i="9"/>
  <c r="AB100" i="9"/>
  <c r="K100" i="9"/>
  <c r="AB88" i="9"/>
  <c r="AB84" i="9"/>
  <c r="K84" i="9"/>
  <c r="AB144" i="9"/>
  <c r="AB75" i="9"/>
  <c r="K75" i="9"/>
  <c r="N75" i="9" s="1"/>
  <c r="AB73" i="9"/>
  <c r="K73" i="9"/>
  <c r="AB52" i="9"/>
  <c r="K52" i="9"/>
  <c r="AB86" i="9"/>
  <c r="AB38" i="9"/>
  <c r="AB71" i="9"/>
  <c r="K71" i="9"/>
  <c r="AB164" i="9"/>
  <c r="K164" i="9"/>
  <c r="AB87" i="9"/>
  <c r="K87" i="9"/>
  <c r="N87" i="9" s="1"/>
  <c r="AB145" i="9"/>
  <c r="K145" i="9"/>
  <c r="AB81" i="9"/>
  <c r="AB64" i="9"/>
  <c r="K64" i="9"/>
  <c r="AB40" i="9"/>
  <c r="K40" i="9"/>
  <c r="AB106" i="9"/>
  <c r="AE144" i="9"/>
  <c r="AE106" i="9"/>
  <c r="AC106" i="9"/>
  <c r="AE104" i="9"/>
  <c r="AD104" i="9"/>
  <c r="N144" i="9"/>
  <c r="AC144" i="9"/>
  <c r="AD144" i="9"/>
  <c r="AD106" i="9"/>
  <c r="AE78" i="9"/>
  <c r="AD78" i="9"/>
  <c r="AC78" i="9"/>
  <c r="AD38" i="9"/>
  <c r="AC38" i="9"/>
  <c r="AE38" i="9"/>
  <c r="AE115" i="9"/>
  <c r="AC115" i="9"/>
  <c r="AD115" i="9"/>
  <c r="AC40" i="9"/>
  <c r="AD40" i="9"/>
  <c r="AE40" i="9"/>
  <c r="AC88" i="9"/>
  <c r="AD88" i="9"/>
  <c r="AE88" i="9"/>
  <c r="AE81" i="9"/>
  <c r="AD81" i="9"/>
  <c r="AC81" i="9"/>
  <c r="AE84" i="9"/>
  <c r="AC84" i="9"/>
  <c r="AD84" i="9"/>
  <c r="AC71" i="9"/>
  <c r="AD71" i="9"/>
  <c r="AE71" i="9"/>
  <c r="AE145" i="9"/>
  <c r="AD145" i="9"/>
  <c r="AC145" i="9"/>
  <c r="AD64" i="9"/>
  <c r="AE64" i="9"/>
  <c r="AC64" i="9"/>
  <c r="AE52" i="9"/>
  <c r="AD52" i="9"/>
  <c r="AC52" i="9"/>
  <c r="AD87" i="9"/>
  <c r="AC87" i="9"/>
  <c r="AE87" i="9"/>
  <c r="AC85" i="9"/>
  <c r="AE85" i="9"/>
  <c r="AD85" i="9"/>
  <c r="AC86" i="9"/>
  <c r="AD86" i="9"/>
  <c r="AE86" i="9"/>
  <c r="AC164" i="9"/>
  <c r="AE164" i="9"/>
  <c r="AD164" i="9"/>
  <c r="AD108" i="9"/>
  <c r="AD96" i="9"/>
  <c r="AC96" i="9"/>
  <c r="AE96" i="9"/>
  <c r="AC108" i="9"/>
  <c r="AC100" i="9"/>
  <c r="AE100" i="9"/>
  <c r="AD100" i="9"/>
  <c r="AD75" i="9"/>
  <c r="AC75" i="9"/>
  <c r="AE75" i="9"/>
  <c r="X80" i="9"/>
  <c r="R80" i="9"/>
  <c r="S80" i="9" s="1"/>
  <c r="X65" i="9"/>
  <c r="R65" i="9"/>
  <c r="AE108" i="9"/>
  <c r="AC73" i="9"/>
  <c r="AD73" i="9"/>
  <c r="AE73" i="9"/>
  <c r="X93" i="9"/>
  <c r="R93" i="9"/>
  <c r="R105" i="9"/>
  <c r="R54" i="9"/>
  <c r="R68" i="9"/>
  <c r="X68" i="9"/>
  <c r="X129" i="9"/>
  <c r="R129" i="9"/>
  <c r="X54" i="9"/>
  <c r="X74" i="9"/>
  <c r="R74" i="9"/>
  <c r="X105" i="9"/>
  <c r="X99" i="9"/>
  <c r="R99" i="9"/>
  <c r="X127" i="9"/>
  <c r="R127" i="9"/>
  <c r="N38" i="9" l="1"/>
  <c r="S65" i="9"/>
  <c r="N108" i="9"/>
  <c r="N40" i="9"/>
  <c r="N71" i="9"/>
  <c r="R86" i="9"/>
  <c r="S93" i="9"/>
  <c r="N100" i="9"/>
  <c r="X164" i="9"/>
  <c r="X73" i="9"/>
  <c r="N85" i="9"/>
  <c r="N81" i="9"/>
  <c r="N64" i="9"/>
  <c r="N145" i="9"/>
  <c r="N78" i="9"/>
  <c r="N52" i="9"/>
  <c r="N115" i="9"/>
  <c r="N104" i="9"/>
  <c r="N88" i="9"/>
  <c r="N73" i="9"/>
  <c r="N164" i="9"/>
  <c r="S84" i="9"/>
  <c r="X86" i="9"/>
  <c r="X84" i="9"/>
  <c r="R164" i="9"/>
  <c r="R104" i="9"/>
  <c r="X104" i="9"/>
  <c r="X106" i="9"/>
  <c r="R144" i="9"/>
  <c r="R106" i="9"/>
  <c r="S106" i="9" s="1"/>
  <c r="X144" i="9"/>
  <c r="X87" i="9"/>
  <c r="R87" i="9"/>
  <c r="S87" i="9" s="1"/>
  <c r="R100" i="9"/>
  <c r="S100" i="9" s="1"/>
  <c r="R40" i="9"/>
  <c r="X40" i="9"/>
  <c r="R78" i="9"/>
  <c r="X78" i="9"/>
  <c r="R115" i="9"/>
  <c r="X115" i="9"/>
  <c r="R71" i="9"/>
  <c r="X71" i="9"/>
  <c r="R88" i="9"/>
  <c r="X88" i="9"/>
  <c r="R52" i="9"/>
  <c r="X52" i="9"/>
  <c r="R64" i="9"/>
  <c r="X64" i="9"/>
  <c r="X81" i="9"/>
  <c r="R81" i="9"/>
  <c r="X38" i="9"/>
  <c r="R38" i="9"/>
  <c r="R85" i="9"/>
  <c r="X85" i="9"/>
  <c r="R145" i="9"/>
  <c r="X145" i="9"/>
  <c r="X100" i="9"/>
  <c r="R73" i="9"/>
  <c r="X108" i="9"/>
  <c r="R108" i="9"/>
  <c r="S108" i="9" s="1"/>
  <c r="X75" i="9"/>
  <c r="R75" i="9"/>
  <c r="X96" i="9"/>
  <c r="R96" i="9"/>
  <c r="S54" i="9"/>
  <c r="S68" i="9"/>
  <c r="S105" i="9"/>
  <c r="S129" i="9"/>
  <c r="S99" i="9"/>
  <c r="S74" i="9"/>
  <c r="S127" i="9"/>
  <c r="T112" i="9"/>
  <c r="U112" i="9"/>
  <c r="V112" i="9"/>
  <c r="Y112" i="9"/>
  <c r="Z112" i="9"/>
  <c r="AA112" i="9"/>
  <c r="T33" i="9"/>
  <c r="U33" i="9"/>
  <c r="V33" i="9"/>
  <c r="Y33" i="9"/>
  <c r="Z33" i="9"/>
  <c r="AA33" i="9"/>
  <c r="T69" i="9"/>
  <c r="U69" i="9"/>
  <c r="V69" i="9"/>
  <c r="Y69" i="9"/>
  <c r="Z69" i="9"/>
  <c r="AA69" i="9"/>
  <c r="T56" i="9"/>
  <c r="U56" i="9"/>
  <c r="V56" i="9"/>
  <c r="Y56" i="9"/>
  <c r="Z56" i="9"/>
  <c r="AA56" i="9"/>
  <c r="T67" i="9"/>
  <c r="U67" i="9"/>
  <c r="V67" i="9"/>
  <c r="Y67" i="9"/>
  <c r="Z67" i="9"/>
  <c r="AA67" i="9"/>
  <c r="T95" i="9"/>
  <c r="U95" i="9"/>
  <c r="V95" i="9"/>
  <c r="Y95" i="9"/>
  <c r="Z95" i="9"/>
  <c r="AA95" i="9"/>
  <c r="T97" i="9"/>
  <c r="U97" i="9"/>
  <c r="V97" i="9"/>
  <c r="Y97" i="9"/>
  <c r="Z97" i="9"/>
  <c r="AA97" i="9"/>
  <c r="T70" i="9"/>
  <c r="U70" i="9"/>
  <c r="V70" i="9"/>
  <c r="Y70" i="9"/>
  <c r="Z70" i="9"/>
  <c r="AA70" i="9"/>
  <c r="T42" i="9"/>
  <c r="U42" i="9"/>
  <c r="V42" i="9"/>
  <c r="Y42" i="9"/>
  <c r="Z42" i="9"/>
  <c r="AA42" i="9"/>
  <c r="T61" i="9"/>
  <c r="U61" i="9"/>
  <c r="V61" i="9"/>
  <c r="Y61" i="9"/>
  <c r="Z61" i="9"/>
  <c r="AA61" i="9"/>
  <c r="T35" i="9"/>
  <c r="U35" i="9"/>
  <c r="V35" i="9"/>
  <c r="Y35" i="9"/>
  <c r="Z35" i="9"/>
  <c r="AA35" i="9"/>
  <c r="A112" i="9"/>
  <c r="A33" i="9"/>
  <c r="A69" i="9"/>
  <c r="A56" i="9"/>
  <c r="A67" i="9"/>
  <c r="A95" i="9"/>
  <c r="A97" i="9"/>
  <c r="A70" i="9"/>
  <c r="A42" i="9"/>
  <c r="A61" i="9"/>
  <c r="A35" i="9"/>
  <c r="E151" i="14"/>
  <c r="E152" i="14"/>
  <c r="E153" i="14"/>
  <c r="E154" i="14"/>
  <c r="E155" i="14"/>
  <c r="E156" i="14"/>
  <c r="F151" i="14"/>
  <c r="F152" i="14"/>
  <c r="F153" i="14"/>
  <c r="F154" i="14"/>
  <c r="F155" i="14"/>
  <c r="F156" i="14"/>
  <c r="S86" i="9" l="1"/>
  <c r="N84" i="9"/>
  <c r="S104" i="9"/>
  <c r="S144" i="9"/>
  <c r="S164" i="9"/>
  <c r="S75" i="9"/>
  <c r="S145" i="9"/>
  <c r="S64" i="9"/>
  <c r="S38" i="9"/>
  <c r="S40" i="9"/>
  <c r="S88" i="9"/>
  <c r="S85" i="9"/>
  <c r="S78" i="9"/>
  <c r="S115" i="9"/>
  <c r="S52" i="9"/>
  <c r="S81" i="9"/>
  <c r="S71" i="9"/>
  <c r="S73" i="9"/>
  <c r="S96" i="9"/>
  <c r="E18" i="14"/>
  <c r="F18" i="14"/>
  <c r="E19" i="14"/>
  <c r="F19" i="14"/>
  <c r="V53" i="9" l="1"/>
  <c r="Y53" i="9"/>
  <c r="Z53" i="9"/>
  <c r="AA53" i="9"/>
  <c r="T91" i="9"/>
  <c r="U91" i="9"/>
  <c r="V91" i="9"/>
  <c r="Y91" i="9"/>
  <c r="Z91" i="9"/>
  <c r="AA91" i="9"/>
  <c r="A17" i="9"/>
  <c r="A45" i="9"/>
  <c r="A66" i="9"/>
  <c r="A19" i="9"/>
  <c r="A72" i="9"/>
  <c r="A63" i="9"/>
  <c r="A8" i="9"/>
  <c r="A79" i="9"/>
  <c r="A25" i="9"/>
  <c r="A103" i="9"/>
  <c r="A53" i="9"/>
  <c r="A91" i="9"/>
  <c r="T17" i="9"/>
  <c r="U17" i="9"/>
  <c r="V17" i="9"/>
  <c r="Y17" i="9"/>
  <c r="Z17" i="9"/>
  <c r="AA17" i="9"/>
  <c r="T45" i="9"/>
  <c r="U45" i="9"/>
  <c r="V45" i="9"/>
  <c r="Y45" i="9"/>
  <c r="Z45" i="9"/>
  <c r="AA45" i="9"/>
  <c r="T66" i="9"/>
  <c r="U66" i="9"/>
  <c r="V66" i="9"/>
  <c r="Y66" i="9"/>
  <c r="Z66" i="9"/>
  <c r="AA66" i="9"/>
  <c r="T19" i="9"/>
  <c r="U19" i="9"/>
  <c r="V19" i="9"/>
  <c r="Y19" i="9"/>
  <c r="Z19" i="9"/>
  <c r="AA19" i="9"/>
  <c r="T72" i="9"/>
  <c r="U72" i="9"/>
  <c r="V72" i="9"/>
  <c r="Y72" i="9"/>
  <c r="Z72" i="9"/>
  <c r="AA72" i="9"/>
  <c r="T63" i="9"/>
  <c r="U63" i="9"/>
  <c r="V63" i="9"/>
  <c r="Y63" i="9"/>
  <c r="Z63" i="9"/>
  <c r="AA63" i="9"/>
  <c r="T8" i="9"/>
  <c r="U8" i="9"/>
  <c r="V8" i="9"/>
  <c r="Y8" i="9"/>
  <c r="Z8" i="9"/>
  <c r="AA8" i="9"/>
  <c r="T79" i="9"/>
  <c r="U79" i="9"/>
  <c r="V79" i="9"/>
  <c r="Y79" i="9"/>
  <c r="Z79" i="9"/>
  <c r="AA79" i="9"/>
  <c r="T25" i="9"/>
  <c r="U25" i="9"/>
  <c r="V25" i="9"/>
  <c r="Y25" i="9"/>
  <c r="Z25" i="9"/>
  <c r="AA25" i="9"/>
  <c r="T103" i="9"/>
  <c r="U103" i="9"/>
  <c r="V103" i="9"/>
  <c r="Y103" i="9"/>
  <c r="Z103" i="9"/>
  <c r="AA103" i="9"/>
  <c r="E147" i="14"/>
  <c r="E148" i="14"/>
  <c r="E149" i="14"/>
  <c r="E150" i="14"/>
  <c r="F147" i="14"/>
  <c r="F148" i="14"/>
  <c r="F149" i="14"/>
  <c r="F150" i="14"/>
  <c r="T23" i="9" l="1"/>
  <c r="U23" i="9"/>
  <c r="V23" i="9"/>
  <c r="Y23" i="9"/>
  <c r="Z23" i="9"/>
  <c r="AA23" i="9"/>
  <c r="V34" i="9"/>
  <c r="Y34" i="9"/>
  <c r="Z34" i="9"/>
  <c r="AA34" i="9"/>
  <c r="T124" i="9"/>
  <c r="U124" i="9"/>
  <c r="V124" i="9"/>
  <c r="Y124" i="9"/>
  <c r="Z124" i="9"/>
  <c r="AA124" i="9"/>
  <c r="A23" i="9"/>
  <c r="A34" i="9"/>
  <c r="A124" i="9"/>
  <c r="I61" i="9" l="1"/>
  <c r="A49" i="9"/>
  <c r="T49" i="9"/>
  <c r="U49" i="9"/>
  <c r="V49" i="9"/>
  <c r="Y49" i="9"/>
  <c r="Z49" i="9"/>
  <c r="AA49" i="9"/>
  <c r="A6" i="9"/>
  <c r="T6" i="9"/>
  <c r="U6" i="9"/>
  <c r="V6" i="9"/>
  <c r="Y6" i="9"/>
  <c r="Z6" i="9"/>
  <c r="AA6" i="9"/>
  <c r="A62" i="9"/>
  <c r="T62" i="9"/>
  <c r="U62" i="9"/>
  <c r="V62" i="9"/>
  <c r="Y62" i="9"/>
  <c r="Z62" i="9"/>
  <c r="AA62" i="9"/>
  <c r="A43" i="9"/>
  <c r="V43" i="9"/>
  <c r="Y43" i="9"/>
  <c r="Z43" i="9"/>
  <c r="AA43" i="9"/>
  <c r="A4" i="9"/>
  <c r="T4" i="9"/>
  <c r="U4" i="9"/>
  <c r="V4" i="9"/>
  <c r="Y4" i="9"/>
  <c r="Z4" i="9"/>
  <c r="AA4" i="9"/>
  <c r="A22" i="9"/>
  <c r="T22" i="9"/>
  <c r="U22" i="9"/>
  <c r="V22" i="9"/>
  <c r="Y22" i="9"/>
  <c r="Z22" i="9"/>
  <c r="AA22" i="9"/>
  <c r="A59" i="9"/>
  <c r="V59" i="9"/>
  <c r="Y59" i="9"/>
  <c r="Z59" i="9"/>
  <c r="AA59" i="9"/>
  <c r="A135" i="9"/>
  <c r="T135" i="9"/>
  <c r="U135" i="9"/>
  <c r="V135" i="9"/>
  <c r="Y135" i="9"/>
  <c r="Z135" i="9"/>
  <c r="AA135" i="9"/>
  <c r="A21" i="9"/>
  <c r="T21" i="9"/>
  <c r="U21" i="9"/>
  <c r="V21" i="9"/>
  <c r="Y21" i="9"/>
  <c r="Z21" i="9"/>
  <c r="AA21" i="9"/>
  <c r="A92" i="9"/>
  <c r="T92" i="9"/>
  <c r="U92" i="9"/>
  <c r="V92" i="9"/>
  <c r="Y92" i="9"/>
  <c r="Z92" i="9"/>
  <c r="AA92" i="9"/>
  <c r="E129" i="14"/>
  <c r="E130" i="14"/>
  <c r="E131" i="14"/>
  <c r="E132" i="14"/>
  <c r="E133" i="14"/>
  <c r="E134" i="14"/>
  <c r="E137" i="14"/>
  <c r="E124" i="14"/>
  <c r="E127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E14" i="14"/>
  <c r="F14" i="14"/>
  <c r="E15" i="14"/>
  <c r="F15" i="14"/>
  <c r="E16" i="14"/>
  <c r="F16" i="14"/>
  <c r="E17" i="14"/>
  <c r="F17" i="14"/>
  <c r="I42" i="9" l="1"/>
  <c r="K42" i="9" s="1"/>
  <c r="AB72" i="9"/>
  <c r="I72" i="9"/>
  <c r="K72" i="9" s="1"/>
  <c r="AB8" i="9"/>
  <c r="K8" i="9"/>
  <c r="AB42" i="9"/>
  <c r="AB61" i="9"/>
  <c r="K61" i="9"/>
  <c r="AB67" i="9"/>
  <c r="K67" i="9"/>
  <c r="AB69" i="9"/>
  <c r="K69" i="9"/>
  <c r="N69" i="9" s="1"/>
  <c r="AB95" i="9"/>
  <c r="K95" i="9"/>
  <c r="AC67" i="9"/>
  <c r="AD67" i="9"/>
  <c r="AE67" i="9"/>
  <c r="AE42" i="9"/>
  <c r="AC42" i="9"/>
  <c r="AD42" i="9"/>
  <c r="AC69" i="9"/>
  <c r="AD69" i="9"/>
  <c r="AE69" i="9"/>
  <c r="AD95" i="9"/>
  <c r="AC95" i="9"/>
  <c r="AE95" i="9"/>
  <c r="AC61" i="9"/>
  <c r="AE61" i="9"/>
  <c r="AD61" i="9"/>
  <c r="AE8" i="9"/>
  <c r="AD8" i="9"/>
  <c r="AC8" i="9"/>
  <c r="AC72" i="9"/>
  <c r="AE72" i="9"/>
  <c r="AD72" i="9"/>
  <c r="E128" i="14"/>
  <c r="E146" i="14"/>
  <c r="E126" i="14"/>
  <c r="E138" i="14"/>
  <c r="E117" i="14"/>
  <c r="E120" i="14"/>
  <c r="E140" i="14"/>
  <c r="E119" i="14"/>
  <c r="E139" i="14"/>
  <c r="E118" i="14"/>
  <c r="E123" i="14"/>
  <c r="E143" i="14"/>
  <c r="E135" i="14"/>
  <c r="E114" i="14"/>
  <c r="E144" i="14"/>
  <c r="E122" i="14"/>
  <c r="E142" i="14"/>
  <c r="E125" i="14"/>
  <c r="E141" i="14"/>
  <c r="E136" i="14"/>
  <c r="E115" i="14"/>
  <c r="E121" i="14"/>
  <c r="E145" i="14"/>
  <c r="E116" i="14"/>
  <c r="I25" i="9" l="1"/>
  <c r="K25" i="9" s="1"/>
  <c r="K70" i="9"/>
  <c r="K79" i="9"/>
  <c r="I33" i="9"/>
  <c r="K33" i="9" s="1"/>
  <c r="I53" i="9"/>
  <c r="K53" i="9" s="1"/>
  <c r="N72" i="9"/>
  <c r="N42" i="9"/>
  <c r="N8" i="9"/>
  <c r="AB53" i="9"/>
  <c r="N67" i="9"/>
  <c r="AB66" i="9"/>
  <c r="K66" i="9"/>
  <c r="AB25" i="9"/>
  <c r="N95" i="9"/>
  <c r="AB79" i="9"/>
  <c r="AD19" i="9"/>
  <c r="AB33" i="9"/>
  <c r="AB97" i="9"/>
  <c r="K97" i="9"/>
  <c r="AB103" i="9"/>
  <c r="K103" i="9"/>
  <c r="N103" i="9" s="1"/>
  <c r="AB56" i="9"/>
  <c r="I56" i="9"/>
  <c r="K56" i="9" s="1"/>
  <c r="AB19" i="9"/>
  <c r="AB70" i="9"/>
  <c r="AB91" i="9"/>
  <c r="I91" i="9"/>
  <c r="K91" i="9" s="1"/>
  <c r="AB17" i="9"/>
  <c r="I17" i="9"/>
  <c r="K17" i="9" s="1"/>
  <c r="AB112" i="9"/>
  <c r="K112" i="9"/>
  <c r="AB45" i="9"/>
  <c r="K45" i="9"/>
  <c r="AB63" i="9"/>
  <c r="I63" i="9"/>
  <c r="K63" i="9" s="1"/>
  <c r="N61" i="9"/>
  <c r="AB35" i="9"/>
  <c r="K35" i="9"/>
  <c r="I19" i="9"/>
  <c r="K19" i="9" s="1"/>
  <c r="R53" i="9"/>
  <c r="AE19" i="9"/>
  <c r="AC103" i="9"/>
  <c r="AE53" i="9"/>
  <c r="AD53" i="9"/>
  <c r="AC53" i="9"/>
  <c r="AD103" i="9"/>
  <c r="AE66" i="9"/>
  <c r="AC66" i="9"/>
  <c r="AD66" i="9"/>
  <c r="AD17" i="9"/>
  <c r="AC17" i="9"/>
  <c r="AE17" i="9"/>
  <c r="AD45" i="9"/>
  <c r="AE45" i="9"/>
  <c r="AC45" i="9"/>
  <c r="AE25" i="9"/>
  <c r="AC25" i="9"/>
  <c r="AD25" i="9"/>
  <c r="AE103" i="9"/>
  <c r="AE63" i="9"/>
  <c r="AD63" i="9"/>
  <c r="AC63" i="9"/>
  <c r="AC79" i="9"/>
  <c r="AD79" i="9"/>
  <c r="AE79" i="9"/>
  <c r="AC19" i="9"/>
  <c r="AE33" i="9"/>
  <c r="AE112" i="9"/>
  <c r="AC112" i="9"/>
  <c r="AD112" i="9"/>
  <c r="AC33" i="9"/>
  <c r="AC56" i="9"/>
  <c r="AE56" i="9"/>
  <c r="AD56" i="9"/>
  <c r="AC70" i="9"/>
  <c r="AD70" i="9"/>
  <c r="AE70" i="9"/>
  <c r="AC91" i="9"/>
  <c r="AD91" i="9"/>
  <c r="AE91" i="9"/>
  <c r="AC35" i="9"/>
  <c r="AD35" i="9"/>
  <c r="AE35" i="9"/>
  <c r="X69" i="9"/>
  <c r="R69" i="9"/>
  <c r="X42" i="9"/>
  <c r="R42" i="9"/>
  <c r="AD33" i="9"/>
  <c r="X95" i="9"/>
  <c r="R95" i="9"/>
  <c r="R61" i="9"/>
  <c r="X61" i="9"/>
  <c r="AE97" i="9"/>
  <c r="AD97" i="9"/>
  <c r="AC97" i="9"/>
  <c r="X67" i="9"/>
  <c r="R67" i="9"/>
  <c r="X8" i="9"/>
  <c r="R8" i="9"/>
  <c r="X72" i="9"/>
  <c r="R72" i="9"/>
  <c r="I49" i="9"/>
  <c r="I44" i="9"/>
  <c r="I50" i="9" l="1"/>
  <c r="K50" i="9" s="1"/>
  <c r="I48" i="9"/>
  <c r="K48" i="9" s="1"/>
  <c r="I31" i="9"/>
  <c r="K31" i="9" s="1"/>
  <c r="I28" i="9"/>
  <c r="K28" i="9" s="1"/>
  <c r="N35" i="9"/>
  <c r="N91" i="9"/>
  <c r="N63" i="9"/>
  <c r="N25" i="9"/>
  <c r="N112" i="9"/>
  <c r="S8" i="9"/>
  <c r="N45" i="9"/>
  <c r="N17" i="9"/>
  <c r="N56" i="9"/>
  <c r="N70" i="9"/>
  <c r="N79" i="9"/>
  <c r="N97" i="9"/>
  <c r="AB124" i="9"/>
  <c r="K124" i="9"/>
  <c r="N124" i="9" s="1"/>
  <c r="AB24" i="9"/>
  <c r="AB34" i="9"/>
  <c r="K34" i="9"/>
  <c r="AB49" i="9"/>
  <c r="K49" i="9"/>
  <c r="AB41" i="9"/>
  <c r="K41" i="9"/>
  <c r="AB12" i="9"/>
  <c r="L12" i="9"/>
  <c r="AB135" i="9"/>
  <c r="K135" i="9"/>
  <c r="AB6" i="9"/>
  <c r="I6" i="9"/>
  <c r="K6" i="9" s="1"/>
  <c r="AB43" i="9"/>
  <c r="I43" i="9"/>
  <c r="K43" i="9" s="1"/>
  <c r="AB51" i="9"/>
  <c r="K51" i="9"/>
  <c r="AB44" i="9"/>
  <c r="K44" i="9"/>
  <c r="AB36" i="9"/>
  <c r="K36" i="9"/>
  <c r="AB28" i="9"/>
  <c r="AB82" i="9"/>
  <c r="K82" i="9"/>
  <c r="AB57" i="9"/>
  <c r="I57" i="9"/>
  <c r="K57" i="9" s="1"/>
  <c r="AB30" i="9"/>
  <c r="AB31" i="9"/>
  <c r="N66" i="9"/>
  <c r="AB59" i="9"/>
  <c r="I59" i="9"/>
  <c r="K59" i="9" s="1"/>
  <c r="AB48" i="9"/>
  <c r="AB50" i="9"/>
  <c r="AB60" i="9"/>
  <c r="I60" i="9"/>
  <c r="K60" i="9" s="1"/>
  <c r="AB21" i="9"/>
  <c r="I21" i="9"/>
  <c r="K21" i="9" s="1"/>
  <c r="AB37" i="9"/>
  <c r="K37" i="9"/>
  <c r="AB92" i="9"/>
  <c r="K92" i="9"/>
  <c r="N92" i="9" s="1"/>
  <c r="AB62" i="9"/>
  <c r="I62" i="9"/>
  <c r="I47" i="9"/>
  <c r="K47" i="9" s="1"/>
  <c r="I18" i="9"/>
  <c r="K18" i="9" s="1"/>
  <c r="I5" i="9"/>
  <c r="K5" i="9" s="1"/>
  <c r="I27" i="9"/>
  <c r="K27" i="9" s="1"/>
  <c r="I29" i="9"/>
  <c r="K29" i="9" s="1"/>
  <c r="I12" i="9"/>
  <c r="K12" i="9" s="1"/>
  <c r="I30" i="9"/>
  <c r="K30" i="9" s="1"/>
  <c r="I10" i="9"/>
  <c r="K10" i="9" s="1"/>
  <c r="N33" i="9"/>
  <c r="I4" i="9"/>
  <c r="K4" i="9" s="1"/>
  <c r="I46" i="9"/>
  <c r="K46" i="9" s="1"/>
  <c r="I15" i="9"/>
  <c r="K15" i="9" s="1"/>
  <c r="I16" i="9"/>
  <c r="K16" i="9" s="1"/>
  <c r="I24" i="9"/>
  <c r="K24" i="9" s="1"/>
  <c r="I3" i="9"/>
  <c r="K3" i="9" s="1"/>
  <c r="I7" i="9"/>
  <c r="K7" i="9" s="1"/>
  <c r="I14" i="9"/>
  <c r="K14" i="9" s="1"/>
  <c r="I32" i="9"/>
  <c r="K32" i="9" s="1"/>
  <c r="I26" i="9"/>
  <c r="K26" i="9" s="1"/>
  <c r="R27" i="9"/>
  <c r="N53" i="9"/>
  <c r="I22" i="9"/>
  <c r="K22" i="9" s="1"/>
  <c r="R97" i="9"/>
  <c r="X97" i="9"/>
  <c r="I23" i="9"/>
  <c r="K23" i="9" s="1"/>
  <c r="X33" i="9"/>
  <c r="S69" i="9"/>
  <c r="R33" i="9"/>
  <c r="S95" i="9"/>
  <c r="N19" i="9"/>
  <c r="S72" i="9"/>
  <c r="O29" i="9"/>
  <c r="M29" i="9" s="1"/>
  <c r="L29" i="9" s="1"/>
  <c r="R45" i="9"/>
  <c r="X45" i="9"/>
  <c r="R63" i="9"/>
  <c r="X63" i="9"/>
  <c r="R79" i="9"/>
  <c r="X103" i="9"/>
  <c r="R103" i="9"/>
  <c r="S103" i="9" s="1"/>
  <c r="X53" i="9"/>
  <c r="X79" i="9"/>
  <c r="X25" i="9"/>
  <c r="R25" i="9"/>
  <c r="R66" i="9"/>
  <c r="X66" i="9"/>
  <c r="R19" i="9"/>
  <c r="X19" i="9"/>
  <c r="X17" i="9"/>
  <c r="R17" i="9"/>
  <c r="S67" i="9"/>
  <c r="X91" i="9"/>
  <c r="R91" i="9"/>
  <c r="S91" i="9" s="1"/>
  <c r="X35" i="9"/>
  <c r="R35" i="9"/>
  <c r="S42" i="9"/>
  <c r="R56" i="9"/>
  <c r="X56" i="9"/>
  <c r="S61" i="9"/>
  <c r="X112" i="9"/>
  <c r="R112" i="9"/>
  <c r="R70" i="9"/>
  <c r="X70" i="9"/>
  <c r="AC124" i="9"/>
  <c r="AD124" i="9"/>
  <c r="AE124" i="9"/>
  <c r="AE34" i="9"/>
  <c r="AC34" i="9"/>
  <c r="AD34" i="9"/>
  <c r="AB23" i="9"/>
  <c r="AC23" i="9"/>
  <c r="AD23" i="9"/>
  <c r="AE23" i="9"/>
  <c r="AC4" i="9"/>
  <c r="AE62" i="9"/>
  <c r="AD62" i="9"/>
  <c r="AC62" i="9"/>
  <c r="AE4" i="9"/>
  <c r="AB4" i="9"/>
  <c r="AD4" i="9"/>
  <c r="AD43" i="9"/>
  <c r="AE43" i="9"/>
  <c r="AC43" i="9"/>
  <c r="AD6" i="9"/>
  <c r="AC6" i="9"/>
  <c r="AE6" i="9"/>
  <c r="AC49" i="9"/>
  <c r="AD49" i="9"/>
  <c r="AE49" i="9"/>
  <c r="AB22" i="9"/>
  <c r="AD22" i="9"/>
  <c r="AC22" i="9"/>
  <c r="AE22" i="9"/>
  <c r="AD21" i="9"/>
  <c r="AE21" i="9"/>
  <c r="AC21" i="9"/>
  <c r="AD59" i="9"/>
  <c r="AC59" i="9"/>
  <c r="AE59" i="9"/>
  <c r="AE92" i="9"/>
  <c r="AD92" i="9"/>
  <c r="AC92" i="9"/>
  <c r="AD135" i="9"/>
  <c r="AE135" i="9"/>
  <c r="AC135" i="9"/>
  <c r="R60" i="9" l="1"/>
  <c r="N60" i="9"/>
  <c r="R36" i="9"/>
  <c r="R43" i="9"/>
  <c r="N43" i="9"/>
  <c r="N49" i="9"/>
  <c r="N44" i="9"/>
  <c r="R44" i="9"/>
  <c r="N41" i="9"/>
  <c r="S70" i="9"/>
  <c r="S25" i="9"/>
  <c r="N135" i="9"/>
  <c r="S79" i="9"/>
  <c r="S97" i="9"/>
  <c r="N37" i="9"/>
  <c r="N21" i="9"/>
  <c r="R34" i="9"/>
  <c r="N62" i="9"/>
  <c r="R59" i="9"/>
  <c r="N6" i="9"/>
  <c r="N30" i="9"/>
  <c r="N24" i="9"/>
  <c r="N82" i="9"/>
  <c r="N12" i="9"/>
  <c r="N50" i="9"/>
  <c r="N57" i="9"/>
  <c r="R28" i="9"/>
  <c r="N4" i="9"/>
  <c r="N14" i="9"/>
  <c r="N47" i="9"/>
  <c r="N7" i="9"/>
  <c r="N34" i="9"/>
  <c r="S53" i="9"/>
  <c r="N28" i="9"/>
  <c r="N59" i="9"/>
  <c r="N27" i="9"/>
  <c r="R4" i="9"/>
  <c r="X4" i="9"/>
  <c r="S33" i="9"/>
  <c r="S19" i="9"/>
  <c r="N18" i="9"/>
  <c r="S45" i="9"/>
  <c r="N22" i="9"/>
  <c r="S63" i="9"/>
  <c r="N31" i="9"/>
  <c r="N16" i="9"/>
  <c r="N23" i="9"/>
  <c r="N10" i="9"/>
  <c r="N26" i="9"/>
  <c r="N51" i="9"/>
  <c r="N48" i="9"/>
  <c r="N29" i="9"/>
  <c r="S17" i="9"/>
  <c r="S66" i="9"/>
  <c r="S35" i="9"/>
  <c r="S112" i="9"/>
  <c r="S56" i="9"/>
  <c r="X23" i="9"/>
  <c r="R23" i="9"/>
  <c r="X34" i="9"/>
  <c r="X124" i="9"/>
  <c r="R124" i="9"/>
  <c r="R62" i="9"/>
  <c r="X62" i="9"/>
  <c r="X43" i="9"/>
  <c r="R6" i="9"/>
  <c r="X49" i="9"/>
  <c r="R49" i="9"/>
  <c r="X6" i="9"/>
  <c r="R135" i="9"/>
  <c r="S135" i="9" s="1"/>
  <c r="X135" i="9"/>
  <c r="R21" i="9"/>
  <c r="X21" i="9"/>
  <c r="R92" i="9"/>
  <c r="X92" i="9"/>
  <c r="R22" i="9"/>
  <c r="X22" i="9"/>
  <c r="S36" i="9" l="1"/>
  <c r="S49" i="9"/>
  <c r="S62" i="9"/>
  <c r="N36" i="9"/>
  <c r="N15" i="9"/>
  <c r="N46" i="9"/>
  <c r="N3" i="9"/>
  <c r="N5" i="9"/>
  <c r="S44" i="9"/>
  <c r="S43" i="9"/>
  <c r="S34" i="9"/>
  <c r="S60" i="9"/>
  <c r="S28" i="9"/>
  <c r="S59" i="9"/>
  <c r="S27" i="9"/>
  <c r="S4" i="9"/>
  <c r="S124" i="9"/>
  <c r="S92" i="9"/>
  <c r="S6" i="9"/>
  <c r="S23" i="9"/>
  <c r="X59" i="9"/>
  <c r="S22" i="9"/>
  <c r="S21" i="9"/>
  <c r="E13" i="14" l="1"/>
  <c r="F13" i="14"/>
  <c r="A41" i="9" l="1"/>
  <c r="T41" i="9"/>
  <c r="U41" i="9"/>
  <c r="V41" i="9"/>
  <c r="Y41" i="9"/>
  <c r="Z41" i="9"/>
  <c r="AA41" i="9"/>
  <c r="T31" i="9" l="1"/>
  <c r="U31" i="9"/>
  <c r="V31" i="9"/>
  <c r="Y31" i="9"/>
  <c r="Z31" i="9"/>
  <c r="AA31" i="9"/>
  <c r="T51" i="9"/>
  <c r="U51" i="9"/>
  <c r="V51" i="9"/>
  <c r="Y51" i="9"/>
  <c r="Z51" i="9"/>
  <c r="AA51" i="9"/>
  <c r="T30" i="9"/>
  <c r="U30" i="9"/>
  <c r="V30" i="9"/>
  <c r="Y30" i="9"/>
  <c r="Z30" i="9"/>
  <c r="AA30" i="9"/>
  <c r="T12" i="9"/>
  <c r="U12" i="9"/>
  <c r="V12" i="9"/>
  <c r="Y12" i="9"/>
  <c r="Z12" i="9"/>
  <c r="AA12" i="9"/>
  <c r="T82" i="9"/>
  <c r="U82" i="9"/>
  <c r="V82" i="9"/>
  <c r="Y82" i="9"/>
  <c r="Z82" i="9"/>
  <c r="AA82" i="9"/>
  <c r="T18" i="9"/>
  <c r="U18" i="9"/>
  <c r="V18" i="9"/>
  <c r="Y18" i="9"/>
  <c r="Z18" i="9"/>
  <c r="AA18" i="9"/>
  <c r="V27" i="9"/>
  <c r="Y27" i="9"/>
  <c r="Z27" i="9"/>
  <c r="AA27" i="9"/>
  <c r="A31" i="9"/>
  <c r="A51" i="9"/>
  <c r="A30" i="9"/>
  <c r="A12" i="9"/>
  <c r="A82" i="9"/>
  <c r="A18" i="9"/>
  <c r="A27" i="9"/>
  <c r="E112" i="14"/>
  <c r="E113" i="14"/>
  <c r="F111" i="14"/>
  <c r="F112" i="14"/>
  <c r="F113" i="14"/>
  <c r="F100" i="14"/>
  <c r="F101" i="14"/>
  <c r="F102" i="14"/>
  <c r="F103" i="14"/>
  <c r="F104" i="14"/>
  <c r="F105" i="14"/>
  <c r="F106" i="14"/>
  <c r="F107" i="14"/>
  <c r="F108" i="14"/>
  <c r="F109" i="14"/>
  <c r="F110" i="14"/>
  <c r="E108" i="14" l="1"/>
  <c r="E102" i="14"/>
  <c r="E110" i="14"/>
  <c r="E103" i="14"/>
  <c r="E101" i="14"/>
  <c r="E109" i="14"/>
  <c r="E104" i="14"/>
  <c r="E107" i="14"/>
  <c r="E105" i="14"/>
  <c r="E106" i="14"/>
  <c r="V60" i="9" l="1"/>
  <c r="Y60" i="9"/>
  <c r="Z60" i="9"/>
  <c r="AA60" i="9"/>
  <c r="A60" i="9"/>
  <c r="E100" i="14" l="1"/>
  <c r="V44" i="9"/>
  <c r="Y44" i="9"/>
  <c r="Z44" i="9"/>
  <c r="AA44" i="9"/>
  <c r="T47" i="9"/>
  <c r="U47" i="9"/>
  <c r="V47" i="9"/>
  <c r="Y47" i="9"/>
  <c r="Z47" i="9"/>
  <c r="AA47" i="9"/>
  <c r="T37" i="9"/>
  <c r="U37" i="9"/>
  <c r="V37" i="9"/>
  <c r="Y37" i="9"/>
  <c r="Z37" i="9"/>
  <c r="AA37" i="9"/>
  <c r="T46" i="9"/>
  <c r="U46" i="9"/>
  <c r="V46" i="9"/>
  <c r="Y46" i="9"/>
  <c r="Z46" i="9"/>
  <c r="AA46" i="9"/>
  <c r="V28" i="9"/>
  <c r="Y28" i="9"/>
  <c r="Z28" i="9"/>
  <c r="AA28" i="9"/>
  <c r="T48" i="9"/>
  <c r="U48" i="9"/>
  <c r="V48" i="9"/>
  <c r="Y48" i="9"/>
  <c r="Z48" i="9"/>
  <c r="AA48" i="9"/>
  <c r="T16" i="9"/>
  <c r="U16" i="9"/>
  <c r="V16" i="9"/>
  <c r="Y16" i="9"/>
  <c r="Z16" i="9"/>
  <c r="AA16" i="9"/>
  <c r="A44" i="9"/>
  <c r="A47" i="9"/>
  <c r="A37" i="9"/>
  <c r="A46" i="9"/>
  <c r="A28" i="9"/>
  <c r="A48" i="9"/>
  <c r="A16" i="9"/>
  <c r="AC31" i="9" l="1"/>
  <c r="AE31" i="9"/>
  <c r="AD31" i="9"/>
  <c r="AD82" i="9"/>
  <c r="AC82" i="9"/>
  <c r="AE82" i="9"/>
  <c r="AE18" i="9"/>
  <c r="AD18" i="9"/>
  <c r="AC18" i="9"/>
  <c r="AB18" i="9"/>
  <c r="AC51" i="9"/>
  <c r="AD51" i="9"/>
  <c r="AE51" i="9"/>
  <c r="AC30" i="9"/>
  <c r="AE30" i="9"/>
  <c r="AD30" i="9"/>
  <c r="AD12" i="9"/>
  <c r="AE12" i="9"/>
  <c r="AC12" i="9"/>
  <c r="AE27" i="9"/>
  <c r="AD27" i="9"/>
  <c r="AB27" i="9"/>
  <c r="AC27" i="9"/>
  <c r="E111" i="14"/>
  <c r="V36" i="9"/>
  <c r="Y36" i="9"/>
  <c r="Z36" i="9"/>
  <c r="AA36" i="9"/>
  <c r="T29" i="9"/>
  <c r="U29" i="9"/>
  <c r="V29" i="9"/>
  <c r="Y29" i="9"/>
  <c r="Z29" i="9"/>
  <c r="AA29" i="9"/>
  <c r="N32" i="9" l="1"/>
  <c r="AE60" i="9"/>
  <c r="AD41" i="9"/>
  <c r="AD60" i="9"/>
  <c r="AC60" i="9"/>
  <c r="AE41" i="9"/>
  <c r="AC41" i="9"/>
  <c r="R31" i="9"/>
  <c r="X18" i="9"/>
  <c r="X12" i="9"/>
  <c r="R12" i="9"/>
  <c r="S12" i="9" s="1"/>
  <c r="X51" i="9"/>
  <c r="R51" i="9"/>
  <c r="S51" i="9" s="1"/>
  <c r="R18" i="9"/>
  <c r="X31" i="9"/>
  <c r="X30" i="9"/>
  <c r="R30" i="9"/>
  <c r="X82" i="9"/>
  <c r="R82" i="9"/>
  <c r="T57" i="9"/>
  <c r="U57" i="9"/>
  <c r="V57" i="9"/>
  <c r="Y57" i="9"/>
  <c r="Z57" i="9"/>
  <c r="AA57" i="9"/>
  <c r="T7" i="9"/>
  <c r="U7" i="9"/>
  <c r="V7" i="9"/>
  <c r="Y7" i="9"/>
  <c r="Z7" i="9"/>
  <c r="AA7" i="9"/>
  <c r="T3" i="9"/>
  <c r="U3" i="9"/>
  <c r="V3" i="9"/>
  <c r="Y3" i="9"/>
  <c r="Z3" i="9"/>
  <c r="AA3" i="9"/>
  <c r="T15" i="9"/>
  <c r="U15" i="9"/>
  <c r="V15" i="9"/>
  <c r="Y15" i="9"/>
  <c r="Z15" i="9"/>
  <c r="AA15" i="9"/>
  <c r="T24" i="9"/>
  <c r="U24" i="9"/>
  <c r="V24" i="9"/>
  <c r="Y24" i="9"/>
  <c r="Z24" i="9"/>
  <c r="AA24" i="9"/>
  <c r="X27" i="9" l="1"/>
  <c r="X60" i="9"/>
  <c r="X41" i="9"/>
  <c r="R41" i="9"/>
  <c r="S31" i="9"/>
  <c r="S18" i="9"/>
  <c r="S82" i="9"/>
  <c r="S30" i="9"/>
  <c r="T50" i="9"/>
  <c r="U50" i="9"/>
  <c r="V50" i="9"/>
  <c r="Y50" i="9"/>
  <c r="Z50" i="9"/>
  <c r="AA50" i="9"/>
  <c r="T32" i="9"/>
  <c r="U32" i="9"/>
  <c r="V32" i="9"/>
  <c r="Y32" i="9"/>
  <c r="Z32" i="9"/>
  <c r="AA32" i="9"/>
  <c r="T14" i="9"/>
  <c r="U14" i="9"/>
  <c r="V14" i="9"/>
  <c r="Y14" i="9"/>
  <c r="Z14" i="9"/>
  <c r="AA14" i="9"/>
  <c r="A50" i="9"/>
  <c r="A32" i="9"/>
  <c r="A14" i="9"/>
  <c r="E93" i="14"/>
  <c r="E96" i="14"/>
  <c r="E95" i="14"/>
  <c r="E94" i="14"/>
  <c r="E99" i="14"/>
  <c r="F93" i="14"/>
  <c r="F94" i="14"/>
  <c r="F95" i="14"/>
  <c r="F96" i="14"/>
  <c r="F97" i="14"/>
  <c r="F98" i="14"/>
  <c r="F99" i="14"/>
  <c r="E85" i="14"/>
  <c r="E87" i="14"/>
  <c r="F82" i="14"/>
  <c r="F83" i="14"/>
  <c r="F84" i="14"/>
  <c r="F85" i="14"/>
  <c r="F86" i="14"/>
  <c r="F87" i="14"/>
  <c r="F88" i="14"/>
  <c r="F89" i="14"/>
  <c r="F90" i="14"/>
  <c r="F91" i="14"/>
  <c r="F92" i="14"/>
  <c r="S41" i="9" l="1"/>
  <c r="AB14" i="9"/>
  <c r="AC14" i="9"/>
  <c r="AD14" i="9"/>
  <c r="AE14" i="9"/>
  <c r="AE50" i="9"/>
  <c r="AD50" i="9"/>
  <c r="AC50" i="9"/>
  <c r="AE32" i="9"/>
  <c r="AD32" i="9"/>
  <c r="AC32" i="9"/>
  <c r="AB32" i="9"/>
  <c r="E98" i="14"/>
  <c r="E84" i="14"/>
  <c r="E82" i="14"/>
  <c r="E97" i="14"/>
  <c r="E92" i="14"/>
  <c r="E91" i="14"/>
  <c r="E83" i="14"/>
  <c r="E89" i="14"/>
  <c r="E90" i="14"/>
  <c r="E88" i="14"/>
  <c r="E86" i="14"/>
  <c r="R16" i="9" l="1"/>
  <c r="AC37" i="9"/>
  <c r="AD37" i="9"/>
  <c r="AE37" i="9"/>
  <c r="AC28" i="9"/>
  <c r="AD28" i="9"/>
  <c r="AE28" i="9"/>
  <c r="AD46" i="9"/>
  <c r="AE46" i="9"/>
  <c r="AB46" i="9"/>
  <c r="AC46" i="9"/>
  <c r="AC44" i="9"/>
  <c r="AE44" i="9"/>
  <c r="AD44" i="9"/>
  <c r="AE16" i="9"/>
  <c r="AC16" i="9"/>
  <c r="AD16" i="9"/>
  <c r="AB16" i="9"/>
  <c r="AB47" i="9"/>
  <c r="AC47" i="9"/>
  <c r="AD47" i="9"/>
  <c r="AE47" i="9"/>
  <c r="AE48" i="9"/>
  <c r="AD48" i="9"/>
  <c r="AC48" i="9"/>
  <c r="R32" i="9"/>
  <c r="X32" i="9"/>
  <c r="R14" i="9"/>
  <c r="X14" i="9"/>
  <c r="R50" i="9"/>
  <c r="X50" i="9"/>
  <c r="X47" i="9" l="1"/>
  <c r="X16" i="9"/>
  <c r="R47" i="9"/>
  <c r="S47" i="9" s="1"/>
  <c r="X28" i="9"/>
  <c r="R46" i="9"/>
  <c r="X46" i="9"/>
  <c r="S16" i="9"/>
  <c r="X37" i="9"/>
  <c r="R37" i="9"/>
  <c r="X44" i="9"/>
  <c r="S50" i="9"/>
  <c r="S32" i="9"/>
  <c r="S14" i="9"/>
  <c r="S37" i="9" l="1"/>
  <c r="R48" i="9"/>
  <c r="S48" i="9" s="1"/>
  <c r="X48" i="9"/>
  <c r="S46" i="9"/>
  <c r="E5" i="14" l="1"/>
  <c r="F5" i="14"/>
  <c r="A10" i="9" l="1"/>
  <c r="A57" i="9" l="1"/>
  <c r="E80" i="14" l="1"/>
  <c r="E81" i="14"/>
  <c r="F80" i="14"/>
  <c r="F81" i="14"/>
  <c r="F77" i="14" l="1"/>
  <c r="F78" i="14"/>
  <c r="F79" i="14"/>
  <c r="F8" i="14" l="1"/>
  <c r="E78" i="14" l="1"/>
  <c r="E79" i="14"/>
  <c r="F66" i="14"/>
  <c r="F67" i="14"/>
  <c r="F68" i="14"/>
  <c r="F69" i="14"/>
  <c r="F70" i="14"/>
  <c r="F71" i="14"/>
  <c r="F72" i="14"/>
  <c r="F73" i="14"/>
  <c r="F74" i="14"/>
  <c r="F75" i="14"/>
  <c r="F76" i="14"/>
  <c r="F58" i="14"/>
  <c r="F59" i="14"/>
  <c r="F60" i="14"/>
  <c r="F61" i="14"/>
  <c r="F62" i="14"/>
  <c r="F63" i="14"/>
  <c r="F64" i="14"/>
  <c r="F65" i="14"/>
  <c r="F9" i="14"/>
  <c r="E76" i="14" l="1"/>
  <c r="E40" i="14"/>
  <c r="E66" i="14"/>
  <c r="E59" i="14"/>
  <c r="E70" i="14"/>
  <c r="E67" i="14"/>
  <c r="E72" i="14"/>
  <c r="E60" i="14"/>
  <c r="E61" i="14"/>
  <c r="E73" i="14"/>
  <c r="E74" i="14"/>
  <c r="E71" i="14"/>
  <c r="E58" i="14"/>
  <c r="E69" i="14"/>
  <c r="E77" i="14"/>
  <c r="E68" i="14" l="1"/>
  <c r="E63" i="14"/>
  <c r="E75" i="14"/>
  <c r="E64" i="14"/>
  <c r="E65" i="14"/>
  <c r="E62" i="14" l="1"/>
  <c r="T10" i="9"/>
  <c r="U10" i="9"/>
  <c r="V10" i="9"/>
  <c r="Y10" i="9"/>
  <c r="Z10" i="9"/>
  <c r="AA10" i="9"/>
  <c r="T5" i="9"/>
  <c r="U5" i="9"/>
  <c r="V5" i="9"/>
  <c r="Y5" i="9"/>
  <c r="Z5" i="9"/>
  <c r="AA5" i="9"/>
  <c r="A5" i="9"/>
  <c r="AB10" i="9" l="1"/>
  <c r="AB5" i="9"/>
  <c r="AC10" i="9"/>
  <c r="AD10" i="9"/>
  <c r="AE10" i="9"/>
  <c r="AD5" i="9"/>
  <c r="AE5" i="9"/>
  <c r="AC5" i="9"/>
  <c r="R10" i="9" l="1"/>
  <c r="X10" i="9"/>
  <c r="R5" i="9"/>
  <c r="X5" i="9"/>
  <c r="S10" i="9" l="1"/>
  <c r="S5" i="9"/>
  <c r="E54" i="14"/>
  <c r="E55" i="14"/>
  <c r="E56" i="14"/>
  <c r="E57" i="14"/>
  <c r="F54" i="14"/>
  <c r="F55" i="14"/>
  <c r="F56" i="14"/>
  <c r="F57" i="14"/>
  <c r="E50" i="14" l="1"/>
  <c r="E51" i="14"/>
  <c r="E52" i="14"/>
  <c r="E53" i="14"/>
  <c r="F50" i="14"/>
  <c r="F51" i="14"/>
  <c r="F52" i="14"/>
  <c r="F53" i="14"/>
  <c r="T26" i="9" l="1"/>
  <c r="U26" i="9"/>
  <c r="V26" i="9"/>
  <c r="Y26" i="9"/>
  <c r="Z26" i="9"/>
  <c r="AA26" i="9"/>
  <c r="A26" i="9"/>
  <c r="E46" i="14" l="1"/>
  <c r="E45" i="14"/>
  <c r="E44" i="14"/>
  <c r="F42" i="14"/>
  <c r="F43" i="14"/>
  <c r="F44" i="14"/>
  <c r="F45" i="14"/>
  <c r="F46" i="14"/>
  <c r="F47" i="14"/>
  <c r="F48" i="14"/>
  <c r="F49" i="14"/>
  <c r="A36" i="9"/>
  <c r="A24" i="9"/>
  <c r="E43" i="14" l="1"/>
  <c r="E42" i="14"/>
  <c r="E49" i="14"/>
  <c r="E48" i="14"/>
  <c r="E47" i="14"/>
  <c r="AB26" i="9" l="1"/>
  <c r="AC26" i="9"/>
  <c r="AD26" i="9"/>
  <c r="AE26" i="9"/>
  <c r="E36" i="14"/>
  <c r="F35" i="14"/>
  <c r="F36" i="14"/>
  <c r="F37" i="14"/>
  <c r="F38" i="14"/>
  <c r="F39" i="14"/>
  <c r="F40" i="14"/>
  <c r="F41" i="14"/>
  <c r="F30" i="14"/>
  <c r="F31" i="14"/>
  <c r="F32" i="14"/>
  <c r="F34" i="14"/>
  <c r="R26" i="9" l="1"/>
  <c r="X26" i="9"/>
  <c r="E35" i="14"/>
  <c r="E32" i="14"/>
  <c r="E37" i="14"/>
  <c r="E34" i="14"/>
  <c r="E30" i="14"/>
  <c r="E41" i="14"/>
  <c r="E31" i="14"/>
  <c r="E38" i="14"/>
  <c r="S26" i="9" l="1"/>
  <c r="E39" i="14" l="1"/>
  <c r="AB29" i="9" l="1"/>
  <c r="AC29" i="9"/>
  <c r="AD29" i="9"/>
  <c r="AE29" i="9"/>
  <c r="AC36" i="9"/>
  <c r="AD36" i="9"/>
  <c r="AE36" i="9"/>
  <c r="AE24" i="9"/>
  <c r="AC24" i="9"/>
  <c r="AD24" i="9"/>
  <c r="AC57" i="9"/>
  <c r="AD57" i="9"/>
  <c r="AE57" i="9"/>
  <c r="AB7" i="9" l="1"/>
  <c r="AC7" i="9"/>
  <c r="AD7" i="9"/>
  <c r="AE7" i="9"/>
  <c r="AB15" i="9"/>
  <c r="AC15" i="9"/>
  <c r="AD15" i="9"/>
  <c r="AE15" i="9"/>
  <c r="AD3" i="9"/>
  <c r="AE3" i="9"/>
  <c r="AC3" i="9"/>
  <c r="AB3" i="9"/>
  <c r="E28" i="14" l="1"/>
  <c r="E29" i="14"/>
  <c r="F29" i="14"/>
  <c r="F28" i="14"/>
  <c r="A3" i="9" l="1"/>
  <c r="A7" i="9" l="1"/>
  <c r="J33" i="17" l="1"/>
  <c r="E11" i="14" l="1"/>
  <c r="E9" i="14"/>
  <c r="E6" i="14"/>
  <c r="E12" i="14"/>
  <c r="F11" i="14"/>
  <c r="F6" i="14"/>
  <c r="F12" i="14"/>
  <c r="E8" i="14"/>
  <c r="E3" i="14"/>
  <c r="E7" i="14"/>
  <c r="F3" i="14"/>
  <c r="F7" i="14"/>
  <c r="E10" i="14"/>
  <c r="F10" i="14"/>
  <c r="E4" i="14"/>
  <c r="F4" i="14"/>
  <c r="E2" i="14"/>
  <c r="F2" i="14"/>
  <c r="A15" i="9" l="1"/>
  <c r="C25" i="17" l="1"/>
  <c r="A29" i="9" l="1"/>
  <c r="C22" i="17"/>
  <c r="C18" i="17" l="1"/>
  <c r="C19" i="17" l="1"/>
  <c r="C20" i="17"/>
  <c r="C21" i="17"/>
  <c r="C23" i="17"/>
  <c r="C24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J14" i="17"/>
  <c r="J15" i="17"/>
  <c r="C17" i="17" l="1"/>
  <c r="C15" i="17"/>
  <c r="C14" i="17"/>
  <c r="C16" i="17"/>
  <c r="C11" i="17" l="1"/>
  <c r="C12" i="17"/>
  <c r="C13" i="17"/>
  <c r="J6" i="17" l="1"/>
  <c r="J5" i="17"/>
  <c r="J7" i="17"/>
  <c r="J8" i="17"/>
  <c r="J9" i="17"/>
  <c r="J10" i="17"/>
  <c r="J11" i="17"/>
  <c r="J12" i="17"/>
  <c r="J13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C6" i="17"/>
  <c r="C5" i="17" l="1"/>
  <c r="C7" i="17" l="1"/>
  <c r="C8" i="17"/>
  <c r="C9" i="17"/>
  <c r="C10" i="17"/>
  <c r="B5" i="17" l="1"/>
  <c r="X3" i="9" l="1"/>
  <c r="X24" i="9"/>
  <c r="X57" i="9"/>
  <c r="X7" i="9"/>
  <c r="X15" i="9"/>
  <c r="R15" i="9"/>
  <c r="R3" i="9"/>
  <c r="R57" i="9"/>
  <c r="R24" i="9"/>
  <c r="R7" i="9"/>
  <c r="S24" i="9" l="1"/>
  <c r="S57" i="9"/>
  <c r="S7" i="9"/>
  <c r="S3" i="9"/>
  <c r="S15" i="9"/>
  <c r="X29" i="9" l="1"/>
  <c r="R29" i="9"/>
  <c r="X36" i="9"/>
  <c r="S29" i="9" l="1"/>
  <c r="AB122" i="9" l="1"/>
  <c r="AD122" i="9"/>
  <c r="AC122" i="9"/>
  <c r="AE122" i="9"/>
  <c r="X122" i="9" l="1"/>
  <c r="N122" i="9"/>
  <c r="R122" i="9"/>
  <c r="S12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ARBOUBBA Oumaima [EIDS]</author>
  </authors>
  <commentList>
    <comment ref="I19" authorId="0" shapeId="0" xr:uid="{F9CDEE83-564B-4A50-B0D5-F64678394A1A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session</t>
        </r>
      </text>
    </comment>
  </commentList>
</comments>
</file>

<file path=xl/sharedStrings.xml><?xml version="1.0" encoding="utf-8"?>
<sst xmlns="http://schemas.openxmlformats.org/spreadsheetml/2006/main" count="1537" uniqueCount="260">
  <si>
    <t>Nom</t>
  </si>
  <si>
    <t>Hr début shift Planifiée</t>
  </si>
  <si>
    <t>Hr Fin shift Planifiée</t>
  </si>
  <si>
    <t>Statut</t>
  </si>
  <si>
    <t>Date</t>
  </si>
  <si>
    <t>Hr début shift Réalisée</t>
  </si>
  <si>
    <t>Retard Debut de shift</t>
  </si>
  <si>
    <t>Retard Dej</t>
  </si>
  <si>
    <t>Somme des retards</t>
  </si>
  <si>
    <t>Absences</t>
  </si>
  <si>
    <t>Hr Adherée</t>
  </si>
  <si>
    <t>Hr Planifiée</t>
  </si>
  <si>
    <t>Nom De l'agent</t>
  </si>
  <si>
    <t>Durée de la Pause Dej</t>
  </si>
  <si>
    <t>Départs Anticipés</t>
  </si>
  <si>
    <t>Hr Abs Pure</t>
  </si>
  <si>
    <t>Hr Abs Totales</t>
  </si>
  <si>
    <t>Semaine</t>
  </si>
  <si>
    <t>Mois</t>
  </si>
  <si>
    <t>Année</t>
  </si>
  <si>
    <t>VTO</t>
  </si>
  <si>
    <t>Heures SUP</t>
  </si>
  <si>
    <t>Team</t>
  </si>
  <si>
    <t>Business</t>
  </si>
  <si>
    <t>Segment</t>
  </si>
  <si>
    <t>Entrée</t>
  </si>
  <si>
    <t>Sortie</t>
  </si>
  <si>
    <t>Dépsement des pauses</t>
  </si>
  <si>
    <t>Matricule</t>
  </si>
  <si>
    <t>Date embauche</t>
  </si>
  <si>
    <t>Date sortie</t>
  </si>
  <si>
    <t>OFF</t>
  </si>
  <si>
    <t>Hr fin shift Réalisée</t>
  </si>
  <si>
    <t>Congé payé</t>
  </si>
  <si>
    <t>Congé sans solde</t>
  </si>
  <si>
    <t>Congé spécial</t>
  </si>
  <si>
    <t>Plannif spécial</t>
  </si>
  <si>
    <t>Google leads</t>
  </si>
  <si>
    <t>HMIDOUCH Fouad</t>
  </si>
  <si>
    <t>AFEDIM</t>
  </si>
  <si>
    <t>EL BATAL AMINA</t>
  </si>
  <si>
    <t>HAOUACH Ikram</t>
  </si>
  <si>
    <t>HARGOUS FATIMA ZAHRA</t>
  </si>
  <si>
    <t>MASSROUR MOUNIA</t>
  </si>
  <si>
    <t>MOUHAFIDI WALID</t>
  </si>
  <si>
    <t>NIANG NDEYE ABSA</t>
  </si>
  <si>
    <t>Total général</t>
  </si>
  <si>
    <t>(Tous)</t>
  </si>
  <si>
    <t>Somme de Théorique</t>
  </si>
  <si>
    <t>No Semaine</t>
  </si>
  <si>
    <t>Jour férié</t>
  </si>
  <si>
    <t>Activité</t>
  </si>
  <si>
    <t>Manager</t>
  </si>
  <si>
    <t>Nom et Prénom du salarié</t>
  </si>
  <si>
    <t>Date début de l'arrêt</t>
  </si>
  <si>
    <t>Date de reprise</t>
  </si>
  <si>
    <t>Date de dépôt du CM</t>
  </si>
  <si>
    <t>Durée de l'arrêt</t>
  </si>
  <si>
    <t>RHATOUS HAMZA</t>
  </si>
  <si>
    <t>Commentaire</t>
  </si>
  <si>
    <t>DOURAFEI IKRAM</t>
  </si>
  <si>
    <t>Forfaitaire</t>
  </si>
  <si>
    <t>Nombre de Segment</t>
  </si>
  <si>
    <t>SAIDI SAMIA</t>
  </si>
  <si>
    <t>SANHAJI SARA</t>
  </si>
  <si>
    <t>LASRI NIDAL</t>
  </si>
  <si>
    <t>GHAOUTY NISRINE</t>
  </si>
  <si>
    <t>TLV</t>
  </si>
  <si>
    <t>ADERBAZ KAWTAR</t>
  </si>
  <si>
    <t>LAKHIOUI MERYEM</t>
  </si>
  <si>
    <t>TALBI FAIROUZ</t>
  </si>
  <si>
    <t>Nom Prénom</t>
  </si>
  <si>
    <t xml:space="preserve">OUAQERROUCH NOUR EL HOUDA </t>
  </si>
  <si>
    <t>Google Leads</t>
  </si>
  <si>
    <t>COUNDOUL Birane</t>
  </si>
  <si>
    <t>5J</t>
  </si>
  <si>
    <t>ZAKI OMAR</t>
  </si>
  <si>
    <t>OUAQERROUCH NOURELHOUDA</t>
  </si>
  <si>
    <t>30Jours</t>
  </si>
  <si>
    <t>RADGUI Sara</t>
  </si>
  <si>
    <t>IHASSANE Ikram</t>
  </si>
  <si>
    <t>Dernier log</t>
  </si>
  <si>
    <t>OUAQERROUCH Nour-El Houda</t>
  </si>
  <si>
    <t>EL HOUSSAINI HOUDA</t>
  </si>
  <si>
    <t>Retard Début de shift</t>
  </si>
  <si>
    <t>LAFDIL NADA</t>
  </si>
  <si>
    <t>EL AOUAQUI Bouchra</t>
  </si>
  <si>
    <t>EL HARROUCHI CHAIMAE</t>
  </si>
  <si>
    <t>AIT LARBI HIND</t>
  </si>
  <si>
    <t>GUEYE MOUHAMED</t>
  </si>
  <si>
    <t>LEHMOUCH NOUHAILA</t>
  </si>
  <si>
    <t>ZITOUNI LAMYA</t>
  </si>
  <si>
    <t>DIOP MAMADOU MOUSTAPHA DOKY</t>
  </si>
  <si>
    <t>EL BAHLOULY DOHA</t>
  </si>
  <si>
    <t>RACHAD NAWAR</t>
  </si>
  <si>
    <t>BENHAMMOU ALAE-EDDINE</t>
  </si>
  <si>
    <t>BOUAZZA YASSINE</t>
  </si>
  <si>
    <t>EL JAOUHARI Ussama</t>
  </si>
  <si>
    <t>Colonne1</t>
  </si>
  <si>
    <t>CM Leasing</t>
  </si>
  <si>
    <t>OUBRAHIM Mohammed</t>
  </si>
  <si>
    <t>BOUAZZA Yassine</t>
  </si>
  <si>
    <t>DIOUF OUSSMANE</t>
  </si>
  <si>
    <t>EL IDRISSI ELHASSANI MAHA</t>
  </si>
  <si>
    <t>GOMIS AMINATA AGNES</t>
  </si>
  <si>
    <t>ESSABERY ISMAIL</t>
  </si>
  <si>
    <t>TOURE ABIBOU</t>
  </si>
  <si>
    <t>CHOUIFI Mustapha</t>
  </si>
  <si>
    <t>Colonne2</t>
  </si>
  <si>
    <t>DIOP Abdou</t>
  </si>
  <si>
    <t>KANTAOUI SALMA</t>
  </si>
  <si>
    <t>BOUABDILLAH ZAKARIA</t>
  </si>
  <si>
    <t>IKRADINE RIME</t>
  </si>
  <si>
    <t>LIMANE HIBA</t>
  </si>
  <si>
    <t>GLF</t>
  </si>
  <si>
    <t>ABOURI Fatima</t>
  </si>
  <si>
    <t>SANE MOHAMMED LAMINE</t>
  </si>
  <si>
    <t>BARA HAJAR</t>
  </si>
  <si>
    <t>EL GUARJAOUI HIBA</t>
  </si>
  <si>
    <t>KBIRI AKRAM</t>
  </si>
  <si>
    <t>MELLAHI YOUSSEF</t>
  </si>
  <si>
    <t>MEZIAN ABIR</t>
  </si>
  <si>
    <t>NDIAYE SEYNABOU</t>
  </si>
  <si>
    <t>RHEMARI REDA</t>
  </si>
  <si>
    <t>TAOUIL AYA</t>
  </si>
  <si>
    <t>TRENNOU HATIM</t>
  </si>
  <si>
    <t>ZIOUI DOUNIA</t>
  </si>
  <si>
    <t>MBENE GUEYE</t>
  </si>
  <si>
    <t>AIT LARBI Hind</t>
  </si>
  <si>
    <t>BOUABDILLAH Zakaria</t>
  </si>
  <si>
    <t>EL GUARJAOUI Hiba</t>
  </si>
  <si>
    <t>EL HARROUCHI Chaimae</t>
  </si>
  <si>
    <t>GOMIS Aminata Agnes</t>
  </si>
  <si>
    <t>IKRADINE Rime</t>
  </si>
  <si>
    <t>KANTAOUI Salma</t>
  </si>
  <si>
    <t>LAFDIL Nada</t>
  </si>
  <si>
    <t>LIMANE Hiba</t>
  </si>
  <si>
    <t>NIANG Ndeye Absa</t>
  </si>
  <si>
    <t>RACHAD Nawar</t>
  </si>
  <si>
    <t>TOURE Abibou</t>
  </si>
  <si>
    <t>ZIOUI Dounia</t>
  </si>
  <si>
    <t>AIT ADDI KHADIJA</t>
  </si>
  <si>
    <t>NDIAYE ADJI MARIE CISSE</t>
  </si>
  <si>
    <t>SAADA LINA</t>
  </si>
  <si>
    <t xml:space="preserve">EL HOUJJAJI Soufiane </t>
  </si>
  <si>
    <t>LAKHAL MEHDI</t>
  </si>
  <si>
    <t>BOUMEZGANE Soukaina</t>
  </si>
  <si>
    <t>ZAKI Omar</t>
  </si>
  <si>
    <t>SIMOUR Khalil</t>
  </si>
  <si>
    <t>EL MASSAOUDI Houssam</t>
  </si>
  <si>
    <t>DAC Crédit</t>
  </si>
  <si>
    <t>DAMI OUMAIMA</t>
  </si>
  <si>
    <t>EL MOUBARIK Oumnia</t>
  </si>
  <si>
    <t>SYLLA Sokhna Safietou</t>
  </si>
  <si>
    <t>IGEDDI Meryeme</t>
  </si>
  <si>
    <t>EL BADAOUI CHAIMAA</t>
  </si>
  <si>
    <t xml:space="preserve">RHOUDANE Othmane </t>
  </si>
  <si>
    <t>KASMI SARA</t>
  </si>
  <si>
    <t>M'BARKI IMANE</t>
  </si>
  <si>
    <t>SEMBENE PAPALATY</t>
  </si>
  <si>
    <t>HABBOUB KARIM</t>
  </si>
  <si>
    <t>IDELHAJ Meryem</t>
  </si>
  <si>
    <t>NOUIBI  Chaimae</t>
  </si>
  <si>
    <t>AIT RABIAA  Nouhaila</t>
  </si>
  <si>
    <t xml:space="preserve">EL MAHJOUBI ABDESATAR </t>
  </si>
  <si>
    <t>SOUFIANE LEILA</t>
  </si>
  <si>
    <t>JALAL NABILA</t>
  </si>
  <si>
    <t>AKHSASS MAJDA</t>
  </si>
  <si>
    <t>BENCHRIF Hafssa BENCHRHF</t>
  </si>
  <si>
    <t>Accessibilité</t>
  </si>
  <si>
    <t>HAMDANI Mohamed HAMDANMO</t>
  </si>
  <si>
    <t>LISSAOUI Hiba LISSAOHI</t>
  </si>
  <si>
    <t>RMAIDI Imad RMAIDIIM</t>
  </si>
  <si>
    <t>Assistant de production</t>
  </si>
  <si>
    <t>ARBOUBBA Oumaima</t>
  </si>
  <si>
    <t>GF</t>
  </si>
  <si>
    <t>FARKACH Hicham</t>
  </si>
  <si>
    <t>manager</t>
  </si>
  <si>
    <t>OUAQERROUCH Nour El Houda</t>
  </si>
  <si>
    <t xml:space="preserve">CHOUIFI Mustapha </t>
  </si>
  <si>
    <t>TADLAOUI ZAKARIA</t>
  </si>
  <si>
    <t>ABDELAOUI KHADIJA</t>
  </si>
  <si>
    <t xml:space="preserve">AZIANE YASSINE </t>
  </si>
  <si>
    <t>KANDI FATIMA ZOHRA</t>
  </si>
  <si>
    <t xml:space="preserve">EL KAOUTAR FATIMA ZAHRA </t>
  </si>
  <si>
    <t xml:space="preserve">BOUAFIA ABDELLATIF </t>
  </si>
  <si>
    <t>GL</t>
  </si>
  <si>
    <t>CM leasing</t>
  </si>
  <si>
    <t>DAC</t>
  </si>
  <si>
    <t>LA PRESSE</t>
  </si>
  <si>
    <t>Taux ABS</t>
  </si>
  <si>
    <t>S01</t>
  </si>
  <si>
    <t>S02</t>
  </si>
  <si>
    <t>FACTO</t>
  </si>
  <si>
    <t>S03</t>
  </si>
  <si>
    <t>S04</t>
  </si>
  <si>
    <t>AZHARI ABDELHAMID</t>
  </si>
  <si>
    <t>NUNEZ LUCIEN BERNARD</t>
  </si>
  <si>
    <t xml:space="preserve">LALOUN MANAL </t>
  </si>
  <si>
    <t>MRANI REDA</t>
  </si>
  <si>
    <t>S05</t>
  </si>
  <si>
    <t>Appels reçus</t>
  </si>
  <si>
    <t>Appels traités</t>
  </si>
  <si>
    <t>Appels Dissuadés</t>
  </si>
  <si>
    <t>Appels abandonnés</t>
  </si>
  <si>
    <t>QS</t>
  </si>
  <si>
    <t>CM_FACTORING</t>
  </si>
  <si>
    <t>FACTOFRANCE</t>
  </si>
  <si>
    <t>DIATTA AISSATOU</t>
  </si>
  <si>
    <t>SIDIBE MOUSKEBA DALAFINA</t>
  </si>
  <si>
    <t>BOULHROUD SALMA</t>
  </si>
  <si>
    <t>ALAMI SOUMAYYA</t>
  </si>
  <si>
    <t>BOURABAA HASSAN</t>
  </si>
  <si>
    <t>EL-AOUAQUI BOUCHRA</t>
  </si>
  <si>
    <t>GUEYE GORA</t>
  </si>
  <si>
    <t xml:space="preserve">DERKAOUI AMAL </t>
  </si>
  <si>
    <t>SECK DIARRA</t>
  </si>
  <si>
    <t>AINELKITANE ZINEB</t>
  </si>
  <si>
    <t>ELBOUTI AYOUB</t>
  </si>
  <si>
    <t>BENSAR ANAS</t>
  </si>
  <si>
    <t>NEMMAOUI MOUNIRA</t>
  </si>
  <si>
    <t>QARBOUI Aymane</t>
  </si>
  <si>
    <t>AIT ADDI Khadija</t>
  </si>
  <si>
    <t>SECK Diarra</t>
  </si>
  <si>
    <t>SOUOUD ZAKARIA</t>
  </si>
  <si>
    <t>Congé</t>
  </si>
  <si>
    <t>Missionnée</t>
  </si>
  <si>
    <t>AAZAROU Boutayna</t>
  </si>
  <si>
    <t>AMEZIANE Zakaria</t>
  </si>
  <si>
    <t>AMRI Zineb</t>
  </si>
  <si>
    <t>BARA Hajar</t>
  </si>
  <si>
    <t>BELLARAJ Ilhame</t>
  </si>
  <si>
    <t>BENSAR Anas</t>
  </si>
  <si>
    <t>BOCOUM Diawariah</t>
  </si>
  <si>
    <t>BOULHROUD Salma</t>
  </si>
  <si>
    <t>BOULLOUH Haddou</t>
  </si>
  <si>
    <t>BOUQATHB Hiba</t>
  </si>
  <si>
    <t>BOURABAA Hassan</t>
  </si>
  <si>
    <t>CHAMKHA Nouhaila</t>
  </si>
  <si>
    <t>CHAYAH Chaimae</t>
  </si>
  <si>
    <t>CISSE Oumar</t>
  </si>
  <si>
    <t>DAMI Oumaima</t>
  </si>
  <si>
    <t>EL BASRI Najib</t>
  </si>
  <si>
    <t>EL IDRISSI ELHA Maha</t>
  </si>
  <si>
    <t>EL OUIKSANI Samia</t>
  </si>
  <si>
    <t>ELANMATI Lamiae</t>
  </si>
  <si>
    <t>FAYE Rokhaya</t>
  </si>
  <si>
    <t>GUEYE Mouhamed</t>
  </si>
  <si>
    <t>HAMDOUNI Yasser</t>
  </si>
  <si>
    <t>KHAN Nizamuddin</t>
  </si>
  <si>
    <t>MERZOUG Nasrallah</t>
  </si>
  <si>
    <t>MESKOURI Nabila</t>
  </si>
  <si>
    <t>NUNEZ Lucien Bernard</t>
  </si>
  <si>
    <t>RHEMARI Reda</t>
  </si>
  <si>
    <t>ROUMANE Kaoutar</t>
  </si>
  <si>
    <t>SABRI Ayoub</t>
  </si>
  <si>
    <t>ZAIMI Nada</t>
  </si>
  <si>
    <t>ZAYER Salma</t>
  </si>
  <si>
    <t>ZOUAKAT Abdel Illah</t>
  </si>
  <si>
    <t>ZTAIT Najlae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</si>
</sst>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h]:mm:ss;@"/>
    <numFmt numFmtId="165" formatCode="00000"/>
    <numFmt numFmtId="166" formatCode="[h]:mm;@"/>
    <numFmt numFmtId="167" formatCode="[$-F400]h:mm:ss\ AM/PM"/>
    <numFmt numFmtId="168" formatCode="h:mm;@"/>
    <numFmt numFmtId="169" formatCode="h:mm"/>
    <numFmt numFmtId="170" formatCode="yyyy"/>
  </numFmts>
  <fonts count="6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C0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Trebuchet MS"/>
      <family val="2"/>
    </font>
    <font>
      <sz val="10"/>
      <color rgb="FF000000"/>
      <name val="Trebuchet MS"/>
      <family val="2"/>
    </font>
    <font>
      <sz val="10"/>
      <color rgb="FF000000"/>
      <name val="Trebuchet MS"/>
      <family val="2"/>
    </font>
    <font>
      <sz val="11"/>
      <color theme="0"/>
      <name val="Calibri"/>
      <family val="2"/>
      <scheme val="minor"/>
    </font>
    <font>
      <sz val="12"/>
      <color rgb="FF000000"/>
      <name val="Trebuchet MS"/>
      <family val="2"/>
    </font>
    <font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C00000"/>
      <name val="Calibri"/>
      <family val="2"/>
    </font>
    <font>
      <sz val="10"/>
      <color rgb="FF0D0D0D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B050"/>
      <name val="Calibri"/>
      <family val="2"/>
    </font>
    <font>
      <b/>
      <sz val="10"/>
      <color rgb="FF00B05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5406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ck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 tint="-0.24994659260841701"/>
      </left>
      <right/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6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1" fillId="0" borderId="0"/>
    <xf numFmtId="0" fontId="11" fillId="4" borderId="0" applyNumberFormat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15" fillId="0" borderId="0"/>
    <xf numFmtId="0" fontId="3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9">
    <xf numFmtId="0" fontId="0" fillId="0" borderId="0" xfId="0"/>
    <xf numFmtId="166" fontId="5" fillId="2" borderId="1" xfId="12" applyNumberFormat="1" applyFont="1" applyFill="1" applyBorder="1" applyAlignment="1">
      <alignment horizontal="center" vertical="center" wrapText="1"/>
    </xf>
    <xf numFmtId="164" fontId="5" fillId="2" borderId="1" xfId="12" applyNumberFormat="1" applyFont="1" applyFill="1" applyBorder="1" applyAlignment="1">
      <alignment horizontal="center" vertical="center" wrapText="1"/>
    </xf>
    <xf numFmtId="166" fontId="7" fillId="5" borderId="2" xfId="12" applyNumberFormat="1" applyFont="1" applyFill="1" applyBorder="1" applyAlignment="1">
      <alignment horizontal="center" vertical="center" wrapText="1"/>
    </xf>
    <xf numFmtId="169" fontId="7" fillId="5" borderId="2" xfId="12" applyNumberFormat="1" applyFont="1" applyFill="1" applyBorder="1" applyAlignment="1">
      <alignment horizontal="center" vertical="center" wrapText="1"/>
    </xf>
    <xf numFmtId="169" fontId="9" fillId="4" borderId="2" xfId="12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5" fillId="2" borderId="5" xfId="12" applyNumberFormat="1" applyFont="1" applyFill="1" applyBorder="1" applyAlignment="1">
      <alignment horizontal="center" vertical="center" wrapText="1"/>
    </xf>
    <xf numFmtId="14" fontId="7" fillId="5" borderId="2" xfId="14" applyNumberFormat="1" applyFont="1" applyFill="1" applyBorder="1" applyAlignment="1">
      <alignment horizontal="center" vertical="center" wrapText="1"/>
    </xf>
    <xf numFmtId="166" fontId="6" fillId="4" borderId="2" xfId="12" applyNumberFormat="1" applyFont="1" applyFill="1" applyBorder="1" applyAlignment="1">
      <alignment horizontal="center"/>
    </xf>
    <xf numFmtId="168" fontId="9" fillId="3" borderId="2" xfId="12" applyNumberFormat="1" applyFont="1" applyFill="1" applyBorder="1" applyAlignment="1">
      <alignment horizontal="center"/>
    </xf>
    <xf numFmtId="170" fontId="9" fillId="4" borderId="2" xfId="12" applyNumberFormat="1" applyFont="1" applyFill="1" applyBorder="1" applyAlignment="1">
      <alignment horizontal="left"/>
    </xf>
    <xf numFmtId="168" fontId="9" fillId="3" borderId="2" xfId="12" applyNumberFormat="1" applyFont="1" applyFill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8" fillId="0" borderId="0" xfId="0" applyFont="1" applyFill="1"/>
    <xf numFmtId="165" fontId="8" fillId="0" borderId="0" xfId="0" applyNumberFormat="1" applyFont="1" applyFill="1" applyAlignment="1">
      <alignment horizontal="right"/>
    </xf>
    <xf numFmtId="167" fontId="8" fillId="0" borderId="0" xfId="0" applyNumberFormat="1" applyFont="1" applyFill="1" applyAlignment="1">
      <alignment horizontal="center" vertical="center"/>
    </xf>
    <xf numFmtId="166" fontId="8" fillId="0" borderId="0" xfId="0" applyNumberFormat="1" applyFont="1" applyFill="1" applyAlignment="1">
      <alignment horizontal="center" vertical="center"/>
    </xf>
    <xf numFmtId="20" fontId="8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Fill="1"/>
    <xf numFmtId="169" fontId="8" fillId="0" borderId="0" xfId="0" applyNumberFormat="1" applyFont="1" applyFill="1" applyAlignment="1">
      <alignment horizontal="center" vertical="center"/>
    </xf>
    <xf numFmtId="169" fontId="6" fillId="3" borderId="2" xfId="12" applyNumberFormat="1" applyFont="1" applyFill="1" applyBorder="1" applyAlignment="1">
      <alignment horizontal="center" vertical="center" wrapText="1"/>
    </xf>
    <xf numFmtId="167" fontId="0" fillId="0" borderId="0" xfId="14" applyNumberFormat="1" applyFont="1"/>
    <xf numFmtId="43" fontId="0" fillId="0" borderId="0" xfId="14" applyFont="1"/>
    <xf numFmtId="0" fontId="0" fillId="0" borderId="0" xfId="0" applyNumberFormat="1" applyAlignment="1">
      <alignment horizontal="center" vertical="center"/>
    </xf>
    <xf numFmtId="12" fontId="0" fillId="0" borderId="0" xfId="14" applyNumberFormat="1" applyFont="1"/>
    <xf numFmtId="0" fontId="25" fillId="6" borderId="7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14" fontId="26" fillId="0" borderId="7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4" fontId="26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4" fontId="27" fillId="0" borderId="8" xfId="0" applyNumberFormat="1" applyFont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 wrapText="1"/>
    </xf>
    <xf numFmtId="165" fontId="27" fillId="0" borderId="9" xfId="0" applyNumberFormat="1" applyFont="1" applyBorder="1" applyAlignment="1">
      <alignment horizontal="center" vertical="center"/>
    </xf>
    <xf numFmtId="1" fontId="26" fillId="0" borderId="7" xfId="0" applyNumberFormat="1" applyFont="1" applyBorder="1" applyAlignment="1">
      <alignment horizontal="center" vertical="center"/>
    </xf>
    <xf numFmtId="166" fontId="6" fillId="0" borderId="4" xfId="12" applyNumberFormat="1" applyFont="1" applyFill="1" applyBorder="1" applyAlignment="1">
      <alignment horizontal="center" vertical="center"/>
    </xf>
    <xf numFmtId="22" fontId="28" fillId="0" borderId="0" xfId="0" applyNumberFormat="1" applyFont="1"/>
    <xf numFmtId="164" fontId="0" fillId="0" borderId="0" xfId="0" applyNumberFormat="1"/>
    <xf numFmtId="0" fontId="8" fillId="0" borderId="0" xfId="0" applyFont="1" applyFill="1" applyAlignment="1">
      <alignment horizontal="center" vertical="center"/>
    </xf>
    <xf numFmtId="0" fontId="0" fillId="0" borderId="0" xfId="0" applyFill="1"/>
    <xf numFmtId="14" fontId="29" fillId="0" borderId="10" xfId="0" applyNumberFormat="1" applyFont="1" applyBorder="1" applyAlignment="1">
      <alignment horizontal="center" vertical="center"/>
    </xf>
    <xf numFmtId="14" fontId="31" fillId="0" borderId="1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164" fontId="0" fillId="0" borderId="0" xfId="0" applyNumberFormat="1" applyFont="1" applyFill="1" applyBorder="1" applyAlignment="1">
      <alignment horizontal="center" vertical="center"/>
    </xf>
    <xf numFmtId="167" fontId="0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10" fillId="0" borderId="0" xfId="0" applyFont="1"/>
    <xf numFmtId="0" fontId="10" fillId="0" borderId="0" xfId="0" applyNumberFormat="1" applyFont="1" applyFill="1"/>
    <xf numFmtId="165" fontId="10" fillId="0" borderId="0" xfId="0" applyNumberFormat="1" applyFont="1"/>
    <xf numFmtId="0" fontId="0" fillId="0" borderId="0" xfId="0" applyAlignment="1">
      <alignment horizontal="left" vertical="center"/>
    </xf>
    <xf numFmtId="0" fontId="0" fillId="0" borderId="0" xfId="0" applyFill="1"/>
    <xf numFmtId="165" fontId="10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10" fillId="0" borderId="0" xfId="0" applyNumberFormat="1" applyFont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4" fontId="29" fillId="0" borderId="6" xfId="0" applyNumberFormat="1" applyFont="1" applyBorder="1" applyAlignment="1">
      <alignment horizontal="center" vertical="center"/>
    </xf>
    <xf numFmtId="14" fontId="30" fillId="0" borderId="7" xfId="0" applyNumberFormat="1" applyFont="1" applyBorder="1" applyAlignment="1">
      <alignment horizontal="center" vertical="center"/>
    </xf>
    <xf numFmtId="166" fontId="6" fillId="0" borderId="3" xfId="12" applyNumberFormat="1" applyFont="1" applyFill="1" applyBorder="1" applyAlignment="1">
      <alignment horizontal="center" vertical="center"/>
    </xf>
    <xf numFmtId="0" fontId="6" fillId="3" borderId="3" xfId="12" applyNumberFormat="1" applyFont="1" applyFill="1" applyBorder="1" applyAlignment="1">
      <alignment horizontal="center"/>
    </xf>
    <xf numFmtId="168" fontId="9" fillId="3" borderId="3" xfId="12" applyNumberFormat="1" applyFont="1" applyFill="1" applyBorder="1" applyAlignment="1">
      <alignment horizontal="center"/>
    </xf>
    <xf numFmtId="166" fontId="5" fillId="2" borderId="7" xfId="12" applyNumberFormat="1" applyFont="1" applyFill="1" applyBorder="1" applyAlignment="1">
      <alignment horizontal="center" vertical="center" wrapText="1"/>
    </xf>
    <xf numFmtId="167" fontId="5" fillId="2" borderId="7" xfId="12" applyNumberFormat="1" applyFont="1" applyFill="1" applyBorder="1" applyAlignment="1">
      <alignment horizontal="center" vertical="center" wrapText="1"/>
    </xf>
    <xf numFmtId="20" fontId="5" fillId="2" borderId="7" xfId="12" applyNumberFormat="1" applyFont="1" applyFill="1" applyBorder="1" applyAlignment="1">
      <alignment horizontal="center" vertical="center" wrapText="1"/>
    </xf>
    <xf numFmtId="164" fontId="5" fillId="2" borderId="7" xfId="12" applyNumberFormat="1" applyFont="1" applyFill="1" applyBorder="1" applyAlignment="1">
      <alignment horizontal="center" vertical="center" wrapText="1"/>
    </xf>
    <xf numFmtId="14" fontId="5" fillId="0" borderId="7" xfId="12" applyNumberFormat="1" applyFont="1" applyFill="1" applyBorder="1" applyAlignment="1">
      <alignment horizontal="center" vertical="center" wrapText="1"/>
    </xf>
    <xf numFmtId="166" fontId="7" fillId="5" borderId="7" xfId="12" applyNumberFormat="1" applyFont="1" applyFill="1" applyBorder="1" applyAlignment="1">
      <alignment horizontal="center" vertical="center" wrapText="1"/>
    </xf>
    <xf numFmtId="165" fontId="6" fillId="4" borderId="12" xfId="12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/>
    <xf numFmtId="164" fontId="33" fillId="0" borderId="0" xfId="0" applyNumberFormat="1" applyFont="1" applyFill="1" applyBorder="1" applyAlignment="1">
      <alignment horizontal="center" vertical="center"/>
    </xf>
    <xf numFmtId="167" fontId="33" fillId="0" borderId="0" xfId="0" applyNumberFormat="1" applyFont="1" applyFill="1" applyBorder="1" applyAlignment="1">
      <alignment horizontal="center" vertical="center"/>
    </xf>
    <xf numFmtId="1" fontId="33" fillId="0" borderId="0" xfId="0" applyNumberFormat="1" applyFont="1" applyFill="1" applyBorder="1" applyAlignment="1">
      <alignment horizontal="center" vertical="center"/>
    </xf>
    <xf numFmtId="164" fontId="33" fillId="0" borderId="0" xfId="0" applyNumberFormat="1" applyFont="1" applyFill="1" applyBorder="1"/>
    <xf numFmtId="0" fontId="31" fillId="0" borderId="11" xfId="0" applyFont="1" applyBorder="1" applyAlignment="1">
      <alignment horizontal="center" vertical="center"/>
    </xf>
    <xf numFmtId="14" fontId="29" fillId="0" borderId="11" xfId="0" applyNumberFormat="1" applyFont="1" applyBorder="1" applyAlignment="1">
      <alignment horizontal="center" vertical="center"/>
    </xf>
    <xf numFmtId="14" fontId="34" fillId="0" borderId="0" xfId="12" applyNumberFormat="1" applyFont="1" applyFill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167" fontId="36" fillId="0" borderId="0" xfId="0" applyNumberFormat="1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14" fontId="31" fillId="0" borderId="6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" fontId="37" fillId="0" borderId="0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/>
    <xf numFmtId="169" fontId="6" fillId="0" borderId="2" xfId="12" applyNumberFormat="1" applyFont="1" applyFill="1" applyBorder="1" applyAlignment="1">
      <alignment horizontal="center" vertical="center" wrapText="1"/>
    </xf>
    <xf numFmtId="169" fontId="6" fillId="0" borderId="3" xfId="12" applyNumberFormat="1" applyFont="1" applyFill="1" applyBorder="1" applyAlignment="1">
      <alignment horizontal="center" vertical="center" wrapText="1"/>
    </xf>
    <xf numFmtId="166" fontId="6" fillId="0" borderId="3" xfId="12" applyNumberFormat="1" applyFont="1" applyFill="1" applyBorder="1" applyAlignment="1">
      <alignment horizontal="center"/>
    </xf>
    <xf numFmtId="0" fontId="6" fillId="0" borderId="3" xfId="12" applyNumberFormat="1" applyFont="1" applyFill="1" applyBorder="1" applyAlignment="1">
      <alignment horizontal="left"/>
    </xf>
    <xf numFmtId="166" fontId="5" fillId="0" borderId="7" xfId="12" applyNumberFormat="1" applyFont="1" applyFill="1" applyBorder="1" applyAlignment="1">
      <alignment horizontal="center" vertical="center" wrapText="1"/>
    </xf>
    <xf numFmtId="0" fontId="6" fillId="0" borderId="3" xfId="12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6" fillId="3" borderId="3" xfId="12" applyNumberFormat="1" applyFont="1" applyFill="1" applyBorder="1" applyAlignment="1">
      <alignment horizontal="center" vertical="center"/>
    </xf>
    <xf numFmtId="0" fontId="6" fillId="3" borderId="3" xfId="12" applyNumberFormat="1" applyFont="1" applyFill="1" applyBorder="1" applyAlignment="1">
      <alignment horizontal="center" vertical="center"/>
    </xf>
    <xf numFmtId="166" fontId="6" fillId="3" borderId="2" xfId="12" applyNumberFormat="1" applyFont="1" applyFill="1" applyBorder="1" applyAlignment="1">
      <alignment horizontal="center"/>
    </xf>
    <xf numFmtId="0" fontId="8" fillId="3" borderId="0" xfId="0" applyFont="1" applyFill="1"/>
    <xf numFmtId="0" fontId="0" fillId="0" borderId="0" xfId="0"/>
    <xf numFmtId="0" fontId="33" fillId="0" borderId="0" xfId="0" applyFont="1" applyFill="1" applyAlignment="1">
      <alignment horizontal="center"/>
    </xf>
    <xf numFmtId="0" fontId="32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20" fontId="0" fillId="0" borderId="14" xfId="0" applyNumberFormat="1" applyBorder="1" applyAlignment="1">
      <alignment vertical="center" wrapText="1"/>
    </xf>
    <xf numFmtId="20" fontId="0" fillId="0" borderId="0" xfId="0" applyNumberFormat="1"/>
    <xf numFmtId="167" fontId="39" fillId="0" borderId="0" xfId="0" applyNumberFormat="1" applyFont="1" applyFill="1" applyBorder="1" applyAlignment="1">
      <alignment horizontal="center" vertical="center"/>
    </xf>
    <xf numFmtId="1" fontId="40" fillId="0" borderId="0" xfId="0" applyNumberFormat="1" applyFont="1" applyFill="1" applyBorder="1" applyAlignment="1">
      <alignment horizontal="center" vertical="center"/>
    </xf>
    <xf numFmtId="164" fontId="40" fillId="0" borderId="0" xfId="0" applyNumberFormat="1" applyFont="1" applyFill="1" applyBorder="1"/>
    <xf numFmtId="0" fontId="0" fillId="7" borderId="0" xfId="0" applyFill="1" applyBorder="1" applyAlignment="1">
      <alignment horizontal="left" vertical="center"/>
    </xf>
    <xf numFmtId="0" fontId="0" fillId="7" borderId="0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167" fontId="41" fillId="0" borderId="0" xfId="0" applyNumberFormat="1" applyFont="1" applyFill="1" applyBorder="1" applyAlignment="1">
      <alignment horizontal="center" vertical="center"/>
    </xf>
    <xf numFmtId="1" fontId="42" fillId="0" borderId="0" xfId="0" applyNumberFormat="1" applyFont="1" applyFill="1" applyBorder="1" applyAlignment="1">
      <alignment horizontal="center" vertical="center"/>
    </xf>
    <xf numFmtId="164" fontId="42" fillId="0" borderId="0" xfId="0" applyNumberFormat="1" applyFont="1" applyFill="1" applyBorder="1"/>
    <xf numFmtId="20" fontId="32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14" fontId="34" fillId="7" borderId="0" xfId="12" applyNumberFormat="1" applyFont="1" applyFill="1" applyAlignment="1">
      <alignment horizontal="center" vertical="center"/>
    </xf>
    <xf numFmtId="167" fontId="46" fillId="0" borderId="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64" fontId="47" fillId="0" borderId="0" xfId="0" applyNumberFormat="1" applyFont="1" applyFill="1" applyBorder="1"/>
    <xf numFmtId="0" fontId="0" fillId="8" borderId="0" xfId="0" applyFill="1" applyBorder="1" applyAlignment="1">
      <alignment horizontal="left" vertical="center"/>
    </xf>
    <xf numFmtId="0" fontId="33" fillId="0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left" vertical="center"/>
    </xf>
    <xf numFmtId="0" fontId="0" fillId="10" borderId="0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48" fillId="0" borderId="0" xfId="0" applyNumberFormat="1" applyFont="1" applyFill="1" applyBorder="1" applyAlignment="1">
      <alignment horizontal="center" vertical="center"/>
    </xf>
    <xf numFmtId="164" fontId="48" fillId="0" borderId="0" xfId="0" applyNumberFormat="1" applyFont="1" applyFill="1" applyBorder="1"/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168" fontId="9" fillId="0" borderId="2" xfId="12" applyNumberFormat="1" applyFont="1" applyFill="1" applyBorder="1" applyAlignment="1">
      <alignment horizontal="center"/>
    </xf>
    <xf numFmtId="168" fontId="9" fillId="3" borderId="15" xfId="12" applyNumberFormat="1" applyFont="1" applyFill="1" applyBorder="1" applyAlignment="1">
      <alignment horizontal="center"/>
    </xf>
    <xf numFmtId="0" fontId="35" fillId="0" borderId="0" xfId="0" applyFont="1" applyBorder="1" applyAlignment="1">
      <alignment vertical="center"/>
    </xf>
    <xf numFmtId="20" fontId="45" fillId="0" borderId="0" xfId="0" applyNumberFormat="1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169" fontId="6" fillId="0" borderId="4" xfId="12" applyNumberFormat="1" applyFont="1" applyFill="1" applyBorder="1" applyAlignment="1">
      <alignment horizontal="center" vertical="center"/>
    </xf>
    <xf numFmtId="167" fontId="51" fillId="0" borderId="0" xfId="0" applyNumberFormat="1" applyFont="1" applyFill="1" applyBorder="1" applyAlignment="1">
      <alignment horizontal="center" vertical="center"/>
    </xf>
    <xf numFmtId="1" fontId="52" fillId="0" borderId="0" xfId="0" applyNumberFormat="1" applyFont="1" applyFill="1" applyBorder="1" applyAlignment="1">
      <alignment horizontal="center" vertical="center"/>
    </xf>
    <xf numFmtId="164" fontId="52" fillId="0" borderId="0" xfId="0" applyNumberFormat="1" applyFont="1" applyFill="1" applyBorder="1"/>
    <xf numFmtId="0" fontId="0" fillId="0" borderId="13" xfId="0" applyBorder="1"/>
    <xf numFmtId="0" fontId="33" fillId="7" borderId="0" xfId="0" applyFont="1" applyFill="1" applyBorder="1"/>
    <xf numFmtId="1" fontId="57" fillId="0" borderId="0" xfId="0" applyNumberFormat="1" applyFont="1" applyFill="1" applyBorder="1" applyAlignment="1">
      <alignment horizontal="center" vertical="center"/>
    </xf>
    <xf numFmtId="164" fontId="57" fillId="0" borderId="0" xfId="0" applyNumberFormat="1" applyFont="1" applyFill="1" applyBorder="1"/>
    <xf numFmtId="0" fontId="57" fillId="0" borderId="0" xfId="0" applyFont="1" applyFill="1" applyBorder="1"/>
    <xf numFmtId="0" fontId="32" fillId="0" borderId="0" xfId="0" applyFont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/>
    </xf>
    <xf numFmtId="167" fontId="58" fillId="0" borderId="0" xfId="0" applyNumberFormat="1" applyFont="1" applyFill="1" applyBorder="1" applyAlignment="1">
      <alignment horizontal="center" vertical="center"/>
    </xf>
    <xf numFmtId="1" fontId="59" fillId="0" borderId="0" xfId="0" applyNumberFormat="1" applyFont="1" applyFill="1" applyBorder="1" applyAlignment="1">
      <alignment horizontal="center" vertical="center"/>
    </xf>
    <xf numFmtId="164" fontId="59" fillId="0" borderId="0" xfId="0" applyNumberFormat="1" applyFont="1" applyFill="1" applyBorder="1"/>
    <xf numFmtId="0" fontId="59" fillId="0" borderId="0" xfId="0" applyFont="1" applyFill="1" applyBorder="1" applyAlignment="1">
      <alignment horizontal="center"/>
    </xf>
    <xf numFmtId="0" fontId="59" fillId="0" borderId="0" xfId="0" applyFont="1" applyFill="1" applyBorder="1"/>
    <xf numFmtId="0" fontId="38" fillId="0" borderId="0" xfId="0" applyFont="1" applyFill="1" applyBorder="1"/>
    <xf numFmtId="0" fontId="38" fillId="7" borderId="0" xfId="0" applyFont="1" applyFill="1" applyBorder="1"/>
    <xf numFmtId="0" fontId="8" fillId="0" borderId="3" xfId="12" applyNumberFormat="1" applyFont="1" applyFill="1" applyBorder="1" applyAlignment="1">
      <alignment horizontal="left" vertical="center"/>
    </xf>
    <xf numFmtId="14" fontId="49" fillId="0" borderId="16" xfId="12" applyNumberFormat="1" applyFont="1" applyBorder="1" applyAlignment="1">
      <alignment horizontal="left" vertical="center"/>
    </xf>
    <xf numFmtId="0" fontId="0" fillId="12" borderId="0" xfId="0" applyFill="1" applyBorder="1" applyAlignment="1">
      <alignment horizontal="left" vertical="center"/>
    </xf>
    <xf numFmtId="0" fontId="0" fillId="12" borderId="0" xfId="0" applyFill="1" applyAlignment="1">
      <alignment horizontal="center"/>
    </xf>
    <xf numFmtId="0" fontId="0" fillId="12" borderId="0" xfId="0" applyFill="1" applyBorder="1" applyAlignment="1">
      <alignment horizontal="center" vertical="center"/>
    </xf>
    <xf numFmtId="0" fontId="0" fillId="12" borderId="0" xfId="0" applyNumberFormat="1" applyFill="1" applyBorder="1" applyAlignment="1">
      <alignment horizontal="center" vertical="center"/>
    </xf>
    <xf numFmtId="0" fontId="0" fillId="12" borderId="0" xfId="0" applyFill="1" applyBorder="1"/>
    <xf numFmtId="0" fontId="0" fillId="12" borderId="0" xfId="0" applyFill="1" applyBorder="1" applyAlignment="1">
      <alignment horizontal="center"/>
    </xf>
    <xf numFmtId="0" fontId="0" fillId="11" borderId="0" xfId="0" applyFill="1" applyBorder="1" applyAlignment="1">
      <alignment horizontal="left" vertical="center"/>
    </xf>
    <xf numFmtId="0" fontId="0" fillId="11" borderId="0" xfId="0" applyNumberForma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0" xfId="0" applyFill="1" applyBorder="1"/>
    <xf numFmtId="0" fontId="38" fillId="11" borderId="0" xfId="0" applyFont="1" applyFill="1" applyBorder="1" applyAlignment="1">
      <alignment horizontal="left" vertical="center"/>
    </xf>
    <xf numFmtId="0" fontId="45" fillId="8" borderId="15" xfId="12" applyNumberFormat="1" applyFont="1" applyFill="1" applyBorder="1" applyAlignment="1">
      <alignment horizontal="left" vertical="center"/>
    </xf>
    <xf numFmtId="0" fontId="0" fillId="13" borderId="0" xfId="0" applyFill="1" applyBorder="1" applyAlignment="1">
      <alignment horizontal="left" vertical="center"/>
    </xf>
    <xf numFmtId="0" fontId="0" fillId="13" borderId="0" xfId="0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Border="1"/>
    <xf numFmtId="0" fontId="0" fillId="14" borderId="0" xfId="0" applyFont="1" applyFill="1" applyBorder="1" applyAlignment="1">
      <alignment horizontal="left" vertical="center"/>
    </xf>
    <xf numFmtId="0" fontId="0" fillId="14" borderId="0" xfId="0" applyFill="1" applyAlignment="1">
      <alignment horizontal="center"/>
    </xf>
    <xf numFmtId="0" fontId="0" fillId="15" borderId="0" xfId="0" applyFill="1" applyBorder="1" applyAlignment="1">
      <alignment horizontal="left" vertical="center"/>
    </xf>
    <xf numFmtId="0" fontId="0" fillId="15" borderId="0" xfId="0" applyFill="1" applyAlignment="1">
      <alignment horizontal="center"/>
    </xf>
    <xf numFmtId="0" fontId="0" fillId="15" borderId="0" xfId="0" applyFill="1" applyBorder="1" applyAlignment="1">
      <alignment vertical="center"/>
    </xf>
    <xf numFmtId="0" fontId="60" fillId="0" borderId="7" xfId="0" applyFont="1" applyFill="1" applyBorder="1"/>
    <xf numFmtId="0" fontId="60" fillId="17" borderId="7" xfId="0" applyFont="1" applyFill="1" applyBorder="1"/>
    <xf numFmtId="0" fontId="32" fillId="17" borderId="7" xfId="0" applyFont="1" applyFill="1" applyBorder="1" applyAlignment="1">
      <alignment horizontal="center" vertical="center"/>
    </xf>
    <xf numFmtId="10" fontId="0" fillId="16" borderId="7" xfId="0" applyNumberFormat="1" applyFill="1" applyBorder="1" applyAlignment="1">
      <alignment horizontal="center" vertical="center"/>
    </xf>
    <xf numFmtId="0" fontId="61" fillId="0" borderId="0" xfId="0" applyFont="1"/>
    <xf numFmtId="0" fontId="0" fillId="0" borderId="0" xfId="0" applyFill="1" applyBorder="1" applyAlignment="1">
      <alignment horizontal="left" vertical="center"/>
    </xf>
    <xf numFmtId="1" fontId="62" fillId="0" borderId="0" xfId="0" applyNumberFormat="1" applyFont="1" applyFill="1" applyBorder="1" applyAlignment="1">
      <alignment horizontal="center" vertical="center"/>
    </xf>
    <xf numFmtId="164" fontId="62" fillId="0" borderId="0" xfId="0" applyNumberFormat="1" applyFont="1" applyFill="1" applyBorder="1"/>
    <xf numFmtId="0" fontId="62" fillId="0" borderId="0" xfId="0" applyFont="1" applyFill="1" applyBorder="1"/>
    <xf numFmtId="0" fontId="60" fillId="17" borderId="7" xfId="0" applyFont="1" applyFill="1" applyBorder="1" applyAlignment="1">
      <alignment horizontal="center" vertical="center"/>
    </xf>
    <xf numFmtId="10" fontId="32" fillId="19" borderId="7" xfId="0" applyNumberFormat="1" applyFont="1" applyFill="1" applyBorder="1" applyAlignment="1">
      <alignment horizontal="center" vertical="center"/>
    </xf>
    <xf numFmtId="0" fontId="60" fillId="18" borderId="7" xfId="0" applyFont="1" applyFill="1" applyBorder="1"/>
    <xf numFmtId="0" fontId="6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4" fillId="0" borderId="7" xfId="0" applyFont="1" applyBorder="1" applyAlignment="1">
      <alignment horizontal="center" vertical="center" wrapText="1"/>
    </xf>
    <xf numFmtId="10" fontId="64" fillId="0" borderId="7" xfId="0" applyNumberFormat="1" applyFont="1" applyBorder="1" applyAlignment="1">
      <alignment horizontal="center" vertical="center" wrapText="1"/>
    </xf>
    <xf numFmtId="0" fontId="60" fillId="17" borderId="7" xfId="0" applyFont="1" applyFill="1" applyBorder="1" applyAlignment="1">
      <alignment horizontal="center" vertical="center" wrapText="1"/>
    </xf>
    <xf numFmtId="169" fontId="8" fillId="0" borderId="3" xfId="12" applyNumberFormat="1" applyFont="1" applyFill="1" applyBorder="1" applyAlignment="1">
      <alignment horizontal="center" vertical="center" wrapText="1"/>
    </xf>
    <xf numFmtId="0" fontId="8" fillId="7" borderId="0" xfId="0" applyFont="1" applyFill="1"/>
    <xf numFmtId="165" fontId="6" fillId="0" borderId="12" xfId="12" applyNumberFormat="1" applyFont="1" applyFill="1" applyBorder="1" applyAlignment="1">
      <alignment horizontal="center" vertical="center"/>
    </xf>
    <xf numFmtId="166" fontId="6" fillId="0" borderId="2" xfId="12" applyNumberFormat="1" applyFont="1" applyFill="1" applyBorder="1" applyAlignment="1">
      <alignment horizontal="center"/>
    </xf>
    <xf numFmtId="14" fontId="6" fillId="0" borderId="3" xfId="12" applyNumberFormat="1" applyFont="1" applyFill="1" applyBorder="1" applyAlignment="1">
      <alignment horizontal="center" vertical="center"/>
    </xf>
    <xf numFmtId="170" fontId="9" fillId="0" borderId="2" xfId="12" applyNumberFormat="1" applyFont="1" applyFill="1" applyBorder="1" applyAlignment="1">
      <alignment horizontal="left"/>
    </xf>
    <xf numFmtId="169" fontId="9" fillId="0" borderId="2" xfId="12" applyNumberFormat="1" applyFont="1" applyFill="1" applyBorder="1" applyAlignment="1">
      <alignment horizontal="center" vertical="center" wrapText="1"/>
    </xf>
    <xf numFmtId="168" fontId="9" fillId="0" borderId="2" xfId="12" applyNumberFormat="1" applyFont="1" applyFill="1" applyBorder="1" applyAlignment="1">
      <alignment horizontal="left"/>
    </xf>
    <xf numFmtId="168" fontId="9" fillId="0" borderId="15" xfId="12" applyNumberFormat="1" applyFont="1" applyFill="1" applyBorder="1" applyAlignment="1">
      <alignment horizontal="center"/>
    </xf>
    <xf numFmtId="168" fontId="9" fillId="0" borderId="3" xfId="12" applyNumberFormat="1" applyFont="1" applyFill="1" applyBorder="1" applyAlignment="1">
      <alignment horizontal="center"/>
    </xf>
    <xf numFmtId="0" fontId="49" fillId="0" borderId="3" xfId="12" applyNumberFormat="1" applyFont="1" applyFill="1" applyBorder="1" applyAlignment="1">
      <alignment horizontal="left" vertical="center"/>
    </xf>
    <xf numFmtId="20" fontId="44" fillId="9" borderId="7" xfId="0" applyNumberFormat="1" applyFont="1" applyFill="1" applyBorder="1" applyAlignment="1">
      <alignment horizontal="center" vertical="center" wrapText="1"/>
    </xf>
    <xf numFmtId="0" fontId="44" fillId="9" borderId="7" xfId="0" applyFont="1" applyFill="1" applyBorder="1" applyAlignment="1">
      <alignment horizontal="center" vertical="center" wrapText="1"/>
    </xf>
    <xf numFmtId="0" fontId="0" fillId="0" borderId="7" xfId="0" applyBorder="1"/>
    <xf numFmtId="166" fontId="6" fillId="0" borderId="7" xfId="12" applyNumberFormat="1" applyFont="1" applyFill="1" applyBorder="1" applyAlignment="1">
      <alignment horizontal="center" vertical="center"/>
    </xf>
    <xf numFmtId="20" fontId="54" fillId="0" borderId="7" xfId="0" applyNumberFormat="1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/>
    </xf>
    <xf numFmtId="0" fontId="6" fillId="0" borderId="7" xfId="12" applyNumberFormat="1" applyFont="1" applyFill="1" applyBorder="1" applyAlignment="1">
      <alignment horizontal="center"/>
    </xf>
    <xf numFmtId="14" fontId="6" fillId="3" borderId="7" xfId="12" applyNumberFormat="1" applyFont="1" applyFill="1" applyBorder="1" applyAlignment="1">
      <alignment horizontal="center" vertical="center"/>
    </xf>
    <xf numFmtId="0" fontId="65" fillId="0" borderId="7" xfId="0" applyFont="1" applyBorder="1" applyAlignment="1">
      <alignment horizontal="center" vertical="center"/>
    </xf>
    <xf numFmtId="20" fontId="66" fillId="0" borderId="7" xfId="0" applyNumberFormat="1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/>
    </xf>
    <xf numFmtId="0" fontId="55" fillId="0" borderId="7" xfId="0" applyFont="1" applyBorder="1" applyAlignment="1">
      <alignment horizontal="center" vertical="center"/>
    </xf>
    <xf numFmtId="0" fontId="50" fillId="0" borderId="7" xfId="0" applyFont="1" applyFill="1" applyBorder="1" applyAlignment="1">
      <alignment horizontal="center" vertical="center"/>
    </xf>
    <xf numFmtId="0" fontId="54" fillId="0" borderId="7" xfId="0" applyFont="1" applyFill="1" applyBorder="1" applyAlignment="1">
      <alignment horizontal="center" vertical="center"/>
    </xf>
    <xf numFmtId="169" fontId="8" fillId="7" borderId="3" xfId="12" applyNumberFormat="1" applyFont="1" applyFill="1" applyBorder="1" applyAlignment="1">
      <alignment horizontal="center" vertical="center" wrapText="1"/>
    </xf>
    <xf numFmtId="0" fontId="53" fillId="0" borderId="0" xfId="0" applyFont="1" applyFill="1" applyBorder="1" applyAlignment="1">
      <alignment horizontal="center" vertical="center" wrapText="1"/>
    </xf>
    <xf numFmtId="0" fontId="53" fillId="0" borderId="0" xfId="0" applyFont="1" applyFill="1" applyBorder="1" applyAlignment="1">
      <alignment horizontal="center" wrapText="1"/>
    </xf>
  </cellXfs>
  <cellStyles count="69">
    <cellStyle name="CCS_Normal" xfId="16" xr:uid="{00000000-0005-0000-0000-000000000000}"/>
    <cellStyle name="Milliers" xfId="14" builtinId="3"/>
    <cellStyle name="Milliers 2" xfId="22" xr:uid="{00000000-0005-0000-0000-000002000000}"/>
    <cellStyle name="Milliers 2 2" xfId="38" xr:uid="{00000000-0005-0000-0000-000003000000}"/>
    <cellStyle name="Milliers 2 2 2" xfId="51" xr:uid="{00000000-0005-0000-0000-000004000000}"/>
    <cellStyle name="Milliers 2 2 2 2" xfId="60" xr:uid="{00000000-0005-0000-0000-000005000000}"/>
    <cellStyle name="Milliers 2 2 2 3" xfId="68" xr:uid="{00000000-0005-0000-0000-000006000000}"/>
    <cellStyle name="Milliers 2 2 3" xfId="56" xr:uid="{00000000-0005-0000-0000-000007000000}"/>
    <cellStyle name="Milliers 2 2 4" xfId="64" xr:uid="{00000000-0005-0000-0000-000008000000}"/>
    <cellStyle name="Milliers 2 3" xfId="49" xr:uid="{00000000-0005-0000-0000-000009000000}"/>
    <cellStyle name="Milliers 2 3 2" xfId="58" xr:uid="{00000000-0005-0000-0000-00000A000000}"/>
    <cellStyle name="Milliers 2 3 3" xfId="66" xr:uid="{00000000-0005-0000-0000-00000B000000}"/>
    <cellStyle name="Milliers 2 4" xfId="54" xr:uid="{00000000-0005-0000-0000-00000C000000}"/>
    <cellStyle name="Milliers 2 5" xfId="62" xr:uid="{00000000-0005-0000-0000-00000D000000}"/>
    <cellStyle name="Milliers 3" xfId="36" xr:uid="{00000000-0005-0000-0000-00000E000000}"/>
    <cellStyle name="Milliers 3 2" xfId="50" xr:uid="{00000000-0005-0000-0000-00000F000000}"/>
    <cellStyle name="Milliers 3 2 2" xfId="59" xr:uid="{00000000-0005-0000-0000-000010000000}"/>
    <cellStyle name="Milliers 3 2 3" xfId="67" xr:uid="{00000000-0005-0000-0000-000011000000}"/>
    <cellStyle name="Milliers 3 3" xfId="55" xr:uid="{00000000-0005-0000-0000-000012000000}"/>
    <cellStyle name="Milliers 3 4" xfId="63" xr:uid="{00000000-0005-0000-0000-000013000000}"/>
    <cellStyle name="Milliers 4" xfId="48" xr:uid="{00000000-0005-0000-0000-000014000000}"/>
    <cellStyle name="Milliers 4 2" xfId="57" xr:uid="{00000000-0005-0000-0000-000015000000}"/>
    <cellStyle name="Milliers 4 3" xfId="65" xr:uid="{00000000-0005-0000-0000-000016000000}"/>
    <cellStyle name="Milliers 5" xfId="53" xr:uid="{00000000-0005-0000-0000-000017000000}"/>
    <cellStyle name="Milliers 6" xfId="61" xr:uid="{00000000-0005-0000-0000-000018000000}"/>
    <cellStyle name="Nor}al" xfId="12" xr:uid="{00000000-0005-0000-0000-000019000000}"/>
    <cellStyle name="Normal" xfId="0" builtinId="0"/>
    <cellStyle name="Normal 10" xfId="28" xr:uid="{00000000-0005-0000-0000-00001B000000}"/>
    <cellStyle name="Normal 10 2" xfId="41" xr:uid="{00000000-0005-0000-0000-00001C000000}"/>
    <cellStyle name="Normal 11" xfId="29" xr:uid="{00000000-0005-0000-0000-00001D000000}"/>
    <cellStyle name="Normal 11 2" xfId="42" xr:uid="{00000000-0005-0000-0000-00001E000000}"/>
    <cellStyle name="Normal 12" xfId="30" xr:uid="{00000000-0005-0000-0000-00001F000000}"/>
    <cellStyle name="Normal 12 2" xfId="43" xr:uid="{00000000-0005-0000-0000-000020000000}"/>
    <cellStyle name="Normal 13" xfId="31" xr:uid="{00000000-0005-0000-0000-000021000000}"/>
    <cellStyle name="Normal 13 2" xfId="44" xr:uid="{00000000-0005-0000-0000-000022000000}"/>
    <cellStyle name="Normal 14" xfId="32" xr:uid="{00000000-0005-0000-0000-000023000000}"/>
    <cellStyle name="Normal 14 2" xfId="45" xr:uid="{00000000-0005-0000-0000-000024000000}"/>
    <cellStyle name="Normal 15" xfId="33" xr:uid="{00000000-0005-0000-0000-000025000000}"/>
    <cellStyle name="Normal 15 2" xfId="46" xr:uid="{00000000-0005-0000-0000-000026000000}"/>
    <cellStyle name="Normal 16" xfId="34" xr:uid="{00000000-0005-0000-0000-000027000000}"/>
    <cellStyle name="Normal 17" xfId="47" xr:uid="{00000000-0005-0000-0000-000028000000}"/>
    <cellStyle name="Normal 17 2" xfId="52" xr:uid="{00000000-0005-0000-0000-000029000000}"/>
    <cellStyle name="Normal 2" xfId="15" xr:uid="{00000000-0005-0000-0000-00002A000000}"/>
    <cellStyle name="Normal 2 10 2" xfId="7" xr:uid="{00000000-0005-0000-0000-00002B000000}"/>
    <cellStyle name="Normal 3" xfId="13" xr:uid="{00000000-0005-0000-0000-00002C000000}"/>
    <cellStyle name="Normal 4" xfId="17" xr:uid="{00000000-0005-0000-0000-00002D000000}"/>
    <cellStyle name="Normal 4 2" xfId="23" xr:uid="{00000000-0005-0000-0000-00002E000000}"/>
    <cellStyle name="Normal 5" xfId="18" xr:uid="{00000000-0005-0000-0000-00002F000000}"/>
    <cellStyle name="Normal 5 2" xfId="24" xr:uid="{00000000-0005-0000-0000-000030000000}"/>
    <cellStyle name="Normal 58 2" xfId="2" xr:uid="{00000000-0005-0000-0000-000031000000}"/>
    <cellStyle name="Normal 59" xfId="1" xr:uid="{00000000-0005-0000-0000-000032000000}"/>
    <cellStyle name="Normal 6" xfId="19" xr:uid="{00000000-0005-0000-0000-000033000000}"/>
    <cellStyle name="Normal 6 2" xfId="25" xr:uid="{00000000-0005-0000-0000-000034000000}"/>
    <cellStyle name="Normal 60" xfId="3" xr:uid="{00000000-0005-0000-0000-000035000000}"/>
    <cellStyle name="Normal 61" xfId="4" xr:uid="{00000000-0005-0000-0000-000036000000}"/>
    <cellStyle name="Normal 62" xfId="5" xr:uid="{00000000-0005-0000-0000-000037000000}"/>
    <cellStyle name="Normal 63" xfId="6" xr:uid="{00000000-0005-0000-0000-000038000000}"/>
    <cellStyle name="Normal 64" xfId="8" xr:uid="{00000000-0005-0000-0000-000039000000}"/>
    <cellStyle name="Normal 65" xfId="9" xr:uid="{00000000-0005-0000-0000-00003A000000}"/>
    <cellStyle name="Normal 66" xfId="10" xr:uid="{00000000-0005-0000-0000-00003B000000}"/>
    <cellStyle name="Normal 68" xfId="11" xr:uid="{00000000-0005-0000-0000-00003C000000}"/>
    <cellStyle name="Normal 68 2" xfId="21" xr:uid="{00000000-0005-0000-0000-00003D000000}"/>
    <cellStyle name="Normal 7" xfId="20" xr:uid="{00000000-0005-0000-0000-00003E000000}"/>
    <cellStyle name="Normal 7 2" xfId="37" xr:uid="{00000000-0005-0000-0000-00003F000000}"/>
    <cellStyle name="Normal 8" xfId="26" xr:uid="{00000000-0005-0000-0000-000040000000}"/>
    <cellStyle name="Normal 8 2" xfId="39" xr:uid="{00000000-0005-0000-0000-000041000000}"/>
    <cellStyle name="Normal 9" xfId="27" xr:uid="{00000000-0005-0000-0000-000042000000}"/>
    <cellStyle name="Normal 9 2" xfId="40" xr:uid="{00000000-0005-0000-0000-000043000000}"/>
    <cellStyle name="Pourcentage 2" xfId="35" xr:uid="{00000000-0005-0000-0000-000044000000}"/>
  </cellStyles>
  <dxfs count="1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scheme val="none"/>
      </font>
      <numFmt numFmtId="165" formatCode="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rebuchet MS"/>
        <scheme val="none"/>
      </font>
      <fill>
        <patternFill patternType="solid">
          <fgColor indexed="64"/>
          <bgColor rgb="FF25406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64" formatCode="[h]:mm:ss;@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164" formatCode="[h]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numFmt numFmtId="164" formatCode="[h]:mm:ss;@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numFmt numFmtId="164" formatCode="[h]:mm:ss;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D0F0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20</xdr:row>
      <xdr:rowOff>71438</xdr:rowOff>
    </xdr:from>
    <xdr:to>
      <xdr:col>1</xdr:col>
      <xdr:colOff>381000</xdr:colOff>
      <xdr:row>30</xdr:row>
      <xdr:rowOff>134471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is 7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4" y="3881438"/>
              <a:ext cx="1001247" cy="19680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408213</xdr:colOff>
      <xdr:row>20</xdr:row>
      <xdr:rowOff>78582</xdr:rowOff>
    </xdr:from>
    <xdr:to>
      <xdr:col>4</xdr:col>
      <xdr:colOff>1586</xdr:colOff>
      <xdr:row>30</xdr:row>
      <xdr:rowOff>134471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ine 7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in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184" y="3888582"/>
              <a:ext cx="1644049" cy="1960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8</xdr:row>
      <xdr:rowOff>166688</xdr:rowOff>
    </xdr:from>
    <xdr:to>
      <xdr:col>4</xdr:col>
      <xdr:colOff>2382</xdr:colOff>
      <xdr:row>19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 6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1809751"/>
              <a:ext cx="2856706" cy="20081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71439</xdr:colOff>
      <xdr:row>0</xdr:row>
      <xdr:rowOff>59532</xdr:rowOff>
    </xdr:from>
    <xdr:to>
      <xdr:col>4</xdr:col>
      <xdr:colOff>2382</xdr:colOff>
      <xdr:row>7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usiness 6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9" y="242095"/>
              <a:ext cx="2880518" cy="1277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107435</xdr:colOff>
      <xdr:row>17</xdr:row>
      <xdr:rowOff>1892</xdr:rowOff>
    </xdr:from>
    <xdr:to>
      <xdr:col>1</xdr:col>
      <xdr:colOff>402711</xdr:colOff>
      <xdr:row>30</xdr:row>
      <xdr:rowOff>29673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is 4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35" y="3105455"/>
              <a:ext cx="1057276" cy="2394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418018</xdr:colOff>
      <xdr:row>17</xdr:row>
      <xdr:rowOff>4273</xdr:rowOff>
    </xdr:from>
    <xdr:to>
      <xdr:col>5</xdr:col>
      <xdr:colOff>121723</xdr:colOff>
      <xdr:row>30</xdr:row>
      <xdr:rowOff>20941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ine 4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in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487" y="3242773"/>
              <a:ext cx="1644424" cy="2493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116962</xdr:colOff>
      <xdr:row>6</xdr:row>
      <xdr:rowOff>124667</xdr:rowOff>
    </xdr:from>
    <xdr:to>
      <xdr:col>5</xdr:col>
      <xdr:colOff>140775</xdr:colOff>
      <xdr:row>16</xdr:row>
      <xdr:rowOff>142923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 3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62" y="1220042"/>
              <a:ext cx="2865438" cy="1849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116962</xdr:colOff>
      <xdr:row>0</xdr:row>
      <xdr:rowOff>41322</xdr:rowOff>
    </xdr:from>
    <xdr:to>
      <xdr:col>5</xdr:col>
      <xdr:colOff>164587</xdr:colOff>
      <xdr:row>6</xdr:row>
      <xdr:rowOff>77041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usiness 3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62" y="41322"/>
              <a:ext cx="2889250" cy="1131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BOUBBA Oumaima [EIDS]" refreshedDate="44724.423288773149" createdVersion="6" refreshedVersion="7" minRefreshableVersion="3" recordCount="231" xr:uid="{00000000-000A-0000-FFFF-FFFF3C000000}">
  <cacheSource type="worksheet">
    <worksheetSource name="=data"/>
  </cacheSource>
  <cacheFields count="35">
    <cacheField name="Matricule" numFmtId="165">
      <sharedItems containsSemiMixedTypes="0" containsString="0" containsNumber="1" containsInteger="1" minValue="0" maxValue="1274"/>
    </cacheField>
    <cacheField name="Nom De l'agent" numFmtId="0">
      <sharedItems count="223">
        <s v="EL-AOUAQUI BOUCHRA"/>
        <s v="EL HARROUCHI CHAIMAE"/>
        <s v="LAFDIL NADA"/>
        <s v="GUEYE MOUHAMED"/>
        <s v="ZITOUNI LAMYA"/>
        <s v="AIT ADDI KHADIJA"/>
        <s v="SIDIBE MOUSKEBA DALAFINA"/>
        <s v="BENSAR ANAS"/>
        <s v="NEMMAOUI MOUNIRA"/>
        <s v="IHASSANE Ikram"/>
        <s v="EL HOUJJAJI Soufiane "/>
        <s v="BOURABAA HASSAN"/>
        <s v="QARBOUI Aymane"/>
        <s v="SOUOUD ZAKARIA"/>
        <s v="ZAKI OMAR"/>
        <s v="AIT LARBI HIND"/>
        <s v="MELLAHI YOUSSEF"/>
        <s v="AZHARI ABDELHAMID"/>
        <s v="LALOUN MANAL "/>
        <s v="BOULHROUD SALMA"/>
        <s v="SECK DIARRA"/>
        <s v="AINELKITANE ZINEB"/>
        <s v="ELBOUTI AYOUB"/>
        <s v="KANTAOUI SALMA"/>
        <s v="ZIOUI DOUNIA"/>
        <s v="GUEYE GORA"/>
        <s v="TOURE ABIBOU"/>
        <s v="NIANG NDEYE ABSA"/>
        <s v="EL HOUSSAINI HOUDA"/>
        <s v="RACHAD NAWAR"/>
        <s v="DIOUF OUSSMANE"/>
        <s v="DERKAOUI AMAL "/>
        <s v="NUNEZ LUCIEN BERNARD"/>
        <s v="DIAGNE MOHAMED IBRAHIMA" u="1"/>
        <s v="TAMIR ADAM" u="1"/>
        <s v="ZIZAH JAAFAR" u="1"/>
        <s v="ESSABERY ISMAIL" u="1"/>
        <s v="SYLLA SOKHNA SAFIETOU" u="1"/>
        <s v="EL KHATTABI NOUHAILA" u="1"/>
        <s v="DEBBOU SARA" u="1"/>
        <s v="DAANOUNE ZINEB" u="1"/>
        <s v="COUNDOUL Birane" u="1"/>
        <s v="BOUCHENTOUF ABDELHADI" u="1"/>
        <s v="RHEMARI REDA" u="1"/>
        <s v="LAAFIF Otmane" u="1"/>
        <s v="SADIO BINTOU" u="1"/>
        <s v="HADDAOUI NOUHAYLA" u="1"/>
        <s v="KEBDI JALAL" u="1"/>
        <s v="ALAMI SOUMAYYA" u="1"/>
        <s v="GARGACH HAJAR" u="1"/>
        <s v="EL AROUI MOHAMED" u="1"/>
        <s v="JANAH KHALIL" u="1"/>
        <s v="EL BAKRAOUI Mariame" u="1"/>
        <s v="BOUABDILLAH ZAKARIA" u="1"/>
        <s v="BENHAMMOU ALAE-EDDINE" u="1"/>
        <s v="ET-TOUMI AHMED" u="1"/>
        <s v="EL BATAL AMINA" u="1"/>
        <s v="IDELHAJ MERYEM" u="1"/>
        <s v="SANHAJI SARA" u="1"/>
        <s v="BELRHITI HAJAR" u="1"/>
        <s v="EL AKKAF Badr" u="1"/>
        <s v="BALBAL Dina" u="1"/>
        <s v="IDELHAJ MERIEM" u="1"/>
        <s v="NDIAYE ADJI MARIE CISSE" u="1"/>
        <s v="SEFTI HALA" u="1"/>
        <s v="TRENNOU HATIM" u="1"/>
        <s v="HAMAMI Zineb" u="1"/>
        <s v="ELOULIDI OUMAIMA" u="1"/>
        <s v="IKAMA YOUSSEF" u="1"/>
        <s v="EL HARROUCHI CHAIMAE " u="1"/>
        <s v="PAPA Demba Ndir" u="1"/>
        <s v="EL BAHLOULY DOHA" u="1"/>
        <s v="NOUIBI CHAIMAE " u="1"/>
        <s v="HADDANI ABIR" u="1"/>
        <s v="KBIRI AKRAM" u="1"/>
        <s v="DIEYE MAIMOUNA" u="1"/>
        <s v="CHEHOUANI ADNANE" u="1"/>
        <s v="EL AOUAQUI Bouchra" u="1"/>
        <s v="ASSOR ADAM" u="1"/>
        <s v="NASSI SALMA" u="1"/>
        <s v="AL AOUAQUI Bouchra" u="1"/>
        <s v="IBRAHIM AYOUB" u="1"/>
        <s v="EL BOUTI AHMED" u="1"/>
        <s v="MAKHZEN WISSAL" u="1"/>
        <s v="RHOUDANE OTHMANE " u="1"/>
        <s v="AFINDY CHAIMAA" u="1"/>
        <s v="ESSASBOU Majda" u="1"/>
        <s v="EVORA SYLVA LEONTINE ALEXANDRA" u="1"/>
        <s v="AIT MOULAY YOUSSRA" u="1"/>
        <s v="BESLEM MERYEM " u="1"/>
        <s v="RADI ZINEB " u="1"/>
        <s v="AIT ABIBI AFAFE" u="1"/>
        <s v="LIMANE HIBA" u="1"/>
        <s v="EL KATTI Ghita " u="1"/>
        <s v="BRIHOUMA KHOULOUD" u="1"/>
        <s v="MRANI REDA" u="1"/>
        <s v="MASSROUR Mounia" u="1"/>
        <s v="EL MOUJAHID RACHID" u="1"/>
        <s v="DIALLO ISMATOU" u="1"/>
        <s v="LEHMOUCH NOUHAILA" u="1"/>
        <s v="ENNADAOUI KAWTAR" u="1"/>
        <s v="CHERKAOUI YOUNES" u="1"/>
        <s v="ESSABBAQ INSAF" u="1"/>
        <s v="OUAZZOUZ Sanae" u="1"/>
        <s v="SAGNANG MAME GNIMA" u="1"/>
        <s v="LAFDIL NADA " u="1"/>
        <s v="BOUAZZA YASSINE" u="1"/>
        <s v="FALL EP DIAGNE NOGAYE" u="1"/>
        <s v="BAKHTOUCH OUMAYMA" u="1"/>
        <s v="BOUCHATIB Zakaria" u="1"/>
        <s v="ACHOUR MARYAM" u="1"/>
        <s v="BEMBAREK OUMAIMA" u="1"/>
        <s v="BOUMEZGANE SOUKAINA" u="1"/>
        <s v="HAL SOUFIANE" u="1"/>
        <s v="EL IDRISSI ELHASSANI MAHA" u="1"/>
        <s v="LAGHRISSI ZOUHAIR" u="1"/>
        <s v="AIT RABIAA NOUHAILA " u="1"/>
        <s v="HARGOUS FATIMA ZAHRA" u="1"/>
        <s v="EL ANBOURI HAMZA" u="1"/>
        <s v="AMAZZAL NISRINE" u="1"/>
        <s v="EL KACIMI HAMZA" u="1"/>
        <s v="EL MOUBARIK MOSTAPHA" u="1"/>
        <s v="FALL CHEIKH MOUHAMADOU BA" u="1"/>
        <s v="FADEL YOUSSEF" u="1"/>
        <s v="RADGUI SARA" u="1"/>
        <s v="MADHOUNI SAMIA" u="1"/>
        <s v="MANSRIT IHSSANE" u="1"/>
        <s v="M'BARKA CHOUKHA" u="1"/>
        <s v="MOKATAA  YASMINE " u="1"/>
        <s v="CHAMMOUM HAJAR" u="1"/>
        <s v="LAKHAL MEHDI" u="1"/>
        <s v="GORA GUEYE" u="1"/>
        <s v="HAOUACH Ikram" u="1"/>
        <s v="CHAHIRI HAJAR" u="1"/>
        <s v="SIMOUR Khalil" u="1"/>
        <s v="RADI ZINEB" u="1"/>
        <s v="DERKAOUI Amal" u="1"/>
        <s v="DIAW SALIMATA" u="1"/>
        <s v="EL ALLAKI MOUNTASSER" u="1"/>
        <s v="DIOP ABDOU" u="1"/>
        <s v="BOUABID IMAD" u="1"/>
        <s v="HAREHOR BASMA" u="1"/>
        <s v="CHIQRI ZAKARIA" u="1"/>
        <s v="ABOUNAAIM SANAA" u="1"/>
        <s v="BAYA OUMAIMA" u="1"/>
        <s v="FARZIZ SANAE" u="1"/>
        <s v="NKKAR MOHAMED YOUSSEF" u="1"/>
        <s v="FAYE ASSY" u="1"/>
        <s v="MOUHAFIDI WALID" u="1"/>
        <s v="ZOUINE FATIMA-ZAHRA" u="1"/>
        <s v="DIATTA AISSATOU" u="1"/>
        <s v="REMMAL KAMAL" u="1"/>
        <s v="BOUABID WALID" u="1"/>
        <s v="KAIBOUR SANAE " u="1"/>
        <s v="ELBAHLOUL Nazha" u="1"/>
        <s v="DIAL OUMAIMA" u="1"/>
        <s v="CHAHID Ittou" u="1"/>
        <s v="ADERBAZ Kawtar" u="1"/>
        <s v="EL ATMANI Aboubaker" u="1"/>
        <s v="EL MAHJOUBI ABDESSATAR" u="1"/>
        <s v="BESLEM MERYEM" u="1"/>
        <s v="CHAABANE BTISSAM" u="1"/>
        <s v="SAIDI SAMIA" u="1"/>
        <s v="AOUMARI Halima" u="1"/>
        <s v="IKRADINE RIME" u="1"/>
        <s v="SYASSI Zineb" u="1"/>
        <s v="CHEBBALI RABAB" u="1"/>
        <s v="KHALFAOUI Khaoula" u="1"/>
        <s v="BERNOUSSI RHEBOURI AMINA" u="1"/>
        <s v="YABOU Ayoub" u="1"/>
        <s v="OUQERROUCH NOUR ELHOUDA" u="1"/>
        <s v="MESSOUR MERYEM" u="1"/>
        <s v="MAHFOUD BOUCHRA" u="1"/>
        <s v="MEKKOUR OTHMANE" u="1"/>
        <s v="ELYAROUBI YOUSRA" u="1"/>
        <s v="LAKHIOUI MERYEM" u="1"/>
        <s v="karte jihane" u="1"/>
        <s v="GHAOUTY NISRINE" u="1"/>
        <s v="KHALLA FATIMA ZOHRA" u="1"/>
        <s v="SAMOURE NDEYE ROKHAYA" u="1"/>
        <s v="EL BOUGADRAOUI HIBA" u="1"/>
        <s v="SAADA LINA" u="1"/>
        <s v="DELRHARH HOUDA" u="1"/>
        <s v="RHATOUS HAMZA" u="1"/>
        <s v="NDOUR MOUHAMADOU MOUSTAPHA" u="1"/>
        <s v="AGUIZOUL MOHAMMED MOUNDIR" u="1"/>
        <s v="NAKHLA Soukaina" u="1"/>
        <s v="BOUAFIA ABDELLATIF" u="1"/>
        <s v="ZBIDA MAJDA" u="1"/>
        <s v="KHTATI MADIHA " u="1"/>
        <s v="LASRI NIDAL" u="1"/>
        <s v="OUBRAHIM MOHAMMED" u="1"/>
        <s v="DAGDAG Younes" u="1"/>
        <s v="EL GUARJAOUI HIBA" u="1"/>
        <s v="BOUZIANI Lina" u="1"/>
        <s v="IGEDDI MERYEM" u="1"/>
        <s v="OUADI ATIKA" u="1"/>
        <s v="MAIZI ANASS" u="1"/>
        <s v="ELMQUIRMI ILIAS-NABIL" u="1"/>
        <s v="JARBI JIHANE" u="1"/>
        <s v="IDRISSI JAZOULI Youssef" u="1"/>
        <s v="SABRI AYOUB" u="1"/>
        <s v="NAGRAOUI Atef" u="1"/>
        <s v="ACHAOUI SAFAE" u="1"/>
        <s v="MASRAR MOHAMMED" u="1"/>
        <s v="EL KHALLOUKI ABIR" u="1"/>
        <s v="BAYEZ LAMIAE" u="1"/>
        <s v="KHARMIZ NADA" u="1"/>
        <s v="GOMIS AMINATA AGNES" u="1"/>
        <s v="TALBI FAIROUZ" u="1"/>
        <s v="BOUCHALLA OMAIMA" u="1"/>
        <s v="BELQASMI EL MEHDI" u="1"/>
        <s v="FIKRI Mohamed" u="1"/>
        <s v="EL AMRI IBTISSAM" u="1"/>
        <s v="EL KHAOUDI AMINE" u="1"/>
        <s v="BIHAT HIBA" u="1"/>
        <s v="OUKACHE ISSAM" u="1"/>
        <s v="JAHID KHALID" u="1"/>
        <s v="BOUZBOUZ SOUKAYNA" u="1"/>
        <s v="BENKHAYI AWATIF" u="1"/>
        <s v="DIALLOU MATHURIN MOUSTAPHA" u="1"/>
        <s v="DEBBOU SARA " u="1"/>
        <s v="TADLAOUI ZAKARIA" u="1"/>
      </sharedItems>
    </cacheField>
    <cacheField name="Hr début shift Réalisée" numFmtId="166">
      <sharedItems containsNonDate="0" containsString="0" containsBlank="1"/>
    </cacheField>
    <cacheField name="Hr début shift Planifiée" numFmtId="166">
      <sharedItems containsDate="1" containsBlank="1" containsMixedTypes="1" minDate="1904-01-01T00:00:00" maxDate="1904-01-01T19:00:00" count="35">
        <d v="1904-01-01T07:00:00"/>
        <d v="1904-01-01T08:00:00"/>
        <d v="1904-01-01T10:00:00"/>
        <d v="1904-01-01T15:00:00"/>
        <s v="Congé sans solde"/>
        <s v="OFF"/>
        <d v="1904-01-01T11:00:00"/>
        <s v="08:00" u="1"/>
        <m u="1"/>
        <s v="-" u="1"/>
        <s v="Mission  " u="1"/>
        <d v="1904-01-01T00:00:00" u="1"/>
        <d v="1904-01-01T06:00:00" u="1"/>
        <s v="AT" u="1"/>
        <d v="1904-01-01T09:00:00" u="1"/>
        <d v="1904-01-01T12:00:00" u="1"/>
        <s v="14:00" u="1"/>
        <d v="1904-01-01T14:00:00" u="1"/>
        <s v="Férié" u="1"/>
        <d v="1904-01-01T06:30:00" u="1"/>
        <d v="1904-01-01T18:00:00" u="1"/>
        <d v="1904-01-01T19:00:00" u="1"/>
        <d v="1904-01-01T08:30:00" u="1"/>
        <s v="PRESSE" u="1"/>
        <d v="1904-01-01T09:30:00" u="1"/>
        <s v="Démission" u="1"/>
        <s v="Congé" u="1"/>
        <s v="Maladie" u="1"/>
        <s v="HS" u="1"/>
        <s v="OFF " u="1"/>
        <s v="00:00" u="1"/>
        <s v="Congé spécial" u="1"/>
        <s v="Récup " u="1"/>
        <s v="MB" u="1"/>
        <s v="10:00:00" u="1"/>
      </sharedItems>
    </cacheField>
    <cacheField name="Hr fin shift Réalisée" numFmtId="0">
      <sharedItems containsNonDate="0" containsString="0" containsBlank="1"/>
    </cacheField>
    <cacheField name="Hr Fin shift Planifiée" numFmtId="166">
      <sharedItems containsDate="1" containsMixedTypes="1" minDate="1904-01-01T16:00:00" maxDate="1904-01-01T20:00:00"/>
    </cacheField>
    <cacheField name="Durée de la Pause Dej" numFmtId="169">
      <sharedItems containsNonDate="0" containsString="0" containsBlank="1"/>
    </cacheField>
    <cacheField name="Dépsement des pauses" numFmtId="169">
      <sharedItems containsNonDate="0" containsString="0" containsBlank="1"/>
    </cacheField>
    <cacheField name="Retard Debut de shift" numFmtId="169">
      <sharedItems/>
    </cacheField>
    <cacheField name="Retard Dej" numFmtId="169">
      <sharedItems containsNonDate="0" containsString="0" containsBlank="1"/>
    </cacheField>
    <cacheField name="Somme des retards" numFmtId="169">
      <sharedItems containsNonDate="0" containsDate="1" containsString="0" containsBlank="1" minDate="1904-01-01T00:00:00" maxDate="1904-01-02T00:00:00"/>
    </cacheField>
    <cacheField name="Départs Anticipés" numFmtId="169">
      <sharedItems containsSemiMixedTypes="0" containsNonDate="0" containsDate="1" containsString="0" minDate="1904-01-01T00:00:00" maxDate="1904-01-02T00:00:00"/>
    </cacheField>
    <cacheField name="Absences" numFmtId="0">
      <sharedItems containsMixedTypes="1" containsNumber="1" containsInteger="1" minValue="0" maxValue="0"/>
    </cacheField>
    <cacheField name="Hr Adherée" numFmtId="166">
      <sharedItems/>
    </cacheField>
    <cacheField name="Hr Planifiée" numFmtId="166">
      <sharedItems containsSemiMixedTypes="0" containsNonDate="0" containsDate="1" containsString="0" minDate="1904-01-01T00:00:00" maxDate="1904-01-01T09:00:00"/>
    </cacheField>
    <cacheField name="Segment" numFmtId="0">
      <sharedItems containsMixedTypes="1" containsNumber="1" containsInteger="1" minValue="0" maxValue="0" count="2">
        <s v="Google Leads"/>
        <n v="0" u="1"/>
      </sharedItems>
    </cacheField>
    <cacheField name="Date" numFmtId="14">
      <sharedItems containsSemiMixedTypes="0" containsNonDate="0" containsDate="1" containsString="0" minDate="1904-01-08T00:00:00" maxDate="2026-06-22T00:00:00" count="1203">
        <d v="2026-06-15T00:00:00"/>
        <d v="2026-06-16T00:00:00"/>
        <d v="2026-06-17T00:00:00"/>
        <d v="2026-06-18T00:00:00"/>
        <d v="2026-06-19T00:00:00"/>
        <d v="2026-06-20T00:00:00"/>
        <d v="2026-06-21T00:00:00"/>
        <d v="2025-12-15T00:00:00" u="1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3-11-21T00:00:00" u="1"/>
        <d v="2025-10-25T00:00:00" u="1"/>
        <d v="2022-12-17T00:00:00" u="1"/>
        <d v="2024-11-21T00:00:00" u="1"/>
        <d v="2023-12-17T00:00:00" u="1"/>
        <d v="2024-12-17T00:00:00" u="1"/>
        <d v="2025-12-17T00:00:00" u="1"/>
        <d v="2021-10-27T00:00:00" u="1"/>
        <d v="2022-10-27T00:00:00" u="1"/>
        <d v="2021-11-23T00:00:00" u="1"/>
        <d v="2022-11-23T00:00:00" u="1"/>
        <d v="2021-12-19T00:00:00" u="1"/>
        <d v="2023-11-23T00:00:00" u="1"/>
        <d v="2024-11-23T00:00:00" u="1"/>
        <d v="2023-12-19T00:00:00" u="1"/>
        <d v="2024-12-19T00:00:00" u="1"/>
        <d v="2025-12-19T00:00:00" u="1"/>
        <d v="1904-01-08T00:00:00" u="1"/>
        <d v="2021-10-29T00:00:00" u="1"/>
        <d v="2022-10-29T00:00:00" u="1"/>
        <d v="2021-11-25T00:00:00" u="1"/>
        <d v="2022-11-25T00:00:00" u="1"/>
        <d v="2024-10-29T00:00:00" u="1"/>
        <d v="2021-12-21T00:00:00" u="1"/>
        <d v="2023-11-25T00:00:00" u="1"/>
        <d v="2024-11-25T00:00:00" u="1"/>
        <d v="2023-12-21T00:00:00" u="1"/>
        <d v="2024-12-21T00:00:00" u="1"/>
        <d v="2025-12-21T00:00:00" u="1"/>
        <d v="2022-01-02T00:00:00" u="1"/>
        <d v="2025-01-02T00:00:00" u="1"/>
        <d v="2026-01-02T00:00:00" u="1"/>
        <d v="2021-10-31T00:00:00" u="1"/>
        <d v="2022-10-31T00:00:00" u="1"/>
        <d v="2021-11-27T00:00:00" u="1"/>
        <d v="2023-10-31T00:00:00" u="1"/>
        <d v="2022-11-27T00:00:00" u="1"/>
        <d v="2024-10-31T00:00:00" u="1"/>
        <d v="2021-12-23T00:00:00" u="1"/>
        <d v="2023-11-27T00:00:00" u="1"/>
        <d v="2024-11-27T00:00:00" u="1"/>
        <d v="2023-12-23T00:00:00" u="1"/>
        <d v="2024-12-23T00:00:00" u="1"/>
        <d v="2025-12-23T00:00:00" u="1"/>
        <d v="2022-01-04T00:00:00" u="1"/>
        <d v="2025-01-04T00:00:00" u="1"/>
        <d v="2026-01-04T00:00:00" u="1"/>
        <d v="2021-11-29T00:00:00" u="1"/>
        <d v="2022-11-29T00:00:00" u="1"/>
        <d v="2021-12-25T00:00:00" u="1"/>
        <d v="2023-11-29T00:00:00" u="1"/>
        <d v="2024-11-29T00:00:00" u="1"/>
        <d v="2023-12-25T00:00:00" u="1"/>
        <d v="2024-12-25T00:00:00" u="1"/>
        <d v="2025-12-25T00:00:00" u="1"/>
        <d v="2022-01-06T00:00:00" u="1"/>
        <d v="2022-02-02T00:00:00" u="1"/>
        <d v="2023-02-02T00:00:00" u="1"/>
        <d v="2025-01-06T00:00:00" u="1"/>
        <d v="2024-02-02T00:00:00" u="1"/>
        <d v="2026-02-02T00:00:00" u="1"/>
        <d v="2021-12-27T00:00:00" u="1"/>
        <d v="2022-12-27T00:00:00" u="1"/>
        <d v="2023-12-27T00:00:00" u="1"/>
        <d v="2024-12-27T00:00:00" u="1"/>
        <d v="2025-12-27T00:00:00" u="1"/>
        <d v="2022-01-08T00:00:00" u="1"/>
        <d v="2022-02-04T00:00:00" u="1"/>
        <d v="2023-02-04T00:00:00" u="1"/>
        <d v="2025-01-08T00:00:00" u="1"/>
        <d v="2024-02-04T00:00:00" u="1"/>
        <d v="2026-02-04T00:00:00" u="1"/>
        <d v="2021-12-29T00:00:00" u="1"/>
        <d v="2022-12-29T00:00:00" u="1"/>
        <d v="2023-12-29T00:00:00" u="1"/>
        <d v="2024-12-29T00:00:00" u="1"/>
        <d v="2025-12-29T00:00:00" u="1"/>
        <d v="2022-01-10T00:00:00" u="1"/>
        <d v="2023-01-10T00:00:00" u="1"/>
        <d v="2022-02-06T00:00:00" u="1"/>
        <d v="2025-01-10T00:00:00" u="1"/>
        <d v="2022-03-02T00:00:00" u="1"/>
        <d v="2024-02-06T00:00:00" u="1"/>
        <d v="2023-03-02T00:00:00" u="1"/>
        <d v="2024-03-02T00:00:00" u="1"/>
        <d v="2026-02-06T00:00:00" u="1"/>
        <d v="2026-03-02T00:00:00" u="1"/>
        <d v="2021-12-31T00:00:00" u="1"/>
        <d v="2022-12-31T00:00:00" u="1"/>
        <d v="2023-12-31T00:00:00" u="1"/>
        <d v="2024-12-31T00:00:00" u="1"/>
        <d v="2025-12-31T00:00:00" u="1"/>
        <d v="2022-01-12T00:00:00" u="1"/>
        <d v="2023-01-12T00:00:00" u="1"/>
        <d v="2022-02-08T00:00:00" u="1"/>
        <d v="2025-01-12T00:00:00" u="1"/>
        <d v="2022-03-04T00:00:00" u="1"/>
        <d v="2024-02-08T00:00:00" u="1"/>
        <d v="2023-03-04T00:00:00" u="1"/>
        <d v="2026-02-08T00:00:00" u="1"/>
        <d v="2025-03-04T00:00:00" u="1"/>
        <d v="2026-03-04T00:00:00" u="1"/>
        <d v="2022-01-14T00:00:00" u="1"/>
        <d v="2023-01-14T00:00:00" u="1"/>
        <d v="2022-02-10T00:00:00" u="1"/>
        <d v="2025-01-14T00:00:00" u="1"/>
        <d v="2022-03-06T00:00:00" u="1"/>
        <d v="2024-02-10T00:00:00" u="1"/>
        <d v="2023-03-06T00:00:00" u="1"/>
        <d v="2022-04-02T00:00:00" u="1"/>
        <d v="2026-02-10T00:00:00" u="1"/>
        <d v="2023-04-02T00:00:00" u="1"/>
        <d v="2025-03-06T00:00:00" u="1"/>
        <d v="2026-03-06T00:00:00" u="1"/>
        <d v="2025-04-02T00:00:00" u="1"/>
        <d v="2026-04-02T00:00:00" u="1"/>
        <d v="2022-01-16T00:00:00" u="1"/>
        <d v="2023-01-16T00:00:00" u="1"/>
        <d v="2022-02-12T00:00:00" u="1"/>
        <d v="2024-01-16T00:00:00" u="1"/>
        <d v="2025-01-16T00:00:00" u="1"/>
        <d v="2022-03-08T00:00:00" u="1"/>
        <d v="2023-03-08T00:00:00" u="1"/>
        <d v="2022-04-04T00:00:00" u="1"/>
        <d v="2026-02-12T00:00:00" u="1"/>
        <d v="2023-04-04T00:00:00" u="1"/>
        <d v="2025-03-08T00:00:00" u="1"/>
        <d v="2026-03-08T00:00:00" u="1"/>
        <d v="2025-04-04T00:00:00" u="1"/>
        <d v="2026-04-04T00:00:00" u="1"/>
        <d v="2022-01-18T00:00:00" u="1"/>
        <d v="2023-01-18T00:00:00" u="1"/>
        <d v="2022-02-14T00:00:00" u="1"/>
        <d v="2024-01-18T00:00:00" u="1"/>
        <d v="2023-02-14T00:00:00" u="1"/>
        <d v="2025-01-18T00:00:00" u="1"/>
        <d v="2022-03-10T00:00:00" u="1"/>
        <d v="2023-03-10T00:00:00" u="1"/>
        <d v="2022-04-06T00:00:00" u="1"/>
        <d v="2026-02-14T00:00:00" u="1"/>
        <d v="2023-04-06T00:00:00" u="1"/>
        <d v="2022-05-02T00:00:00" u="1"/>
        <d v="2023-05-02T00:00:00" u="1"/>
        <d v="2025-04-06T00:00:00" u="1"/>
        <d v="2026-05-02T00:00:00" u="1"/>
        <d v="2022-01-20T00:00:00" u="1"/>
        <d v="2023-01-20T00:00:00" u="1"/>
        <d v="2022-02-16T00:00:00" u="1"/>
        <d v="2024-01-20T00:00:00" u="1"/>
        <d v="2023-02-16T00:00:00" u="1"/>
        <d v="2025-01-20T00:00:00" u="1"/>
        <d v="2022-03-12T00:00:00" u="1"/>
        <d v="2023-03-12T00:00:00" u="1"/>
        <d v="2022-04-08T00:00:00" u="1"/>
        <d v="2023-04-08T00:00:00" u="1"/>
        <d v="2022-05-04T00:00:00" u="1"/>
        <d v="2023-05-04T00:00:00" u="1"/>
        <d v="2025-04-08T00:00:00" u="1"/>
        <d v="2022-01-22T00:00:00" u="1"/>
        <d v="2023-01-22T00:00:00" u="1"/>
        <d v="2022-02-18T00:00:00" u="1"/>
        <d v="2024-01-22T00:00:00" u="1"/>
        <d v="2023-02-18T00:00:00" u="1"/>
        <d v="2025-01-22T00:00:00" u="1"/>
        <d v="2022-03-14T00:00:00" u="1"/>
        <d v="2023-03-14T00:00:00" u="1"/>
        <d v="2025-02-18T00:00:00" u="1"/>
        <d v="2022-04-10T00:00:00" u="1"/>
        <d v="2023-04-10T00:00:00" u="1"/>
        <d v="2022-05-06T00:00:00" u="1"/>
        <d v="2023-05-06T00:00:00" u="1"/>
        <d v="2025-04-10T00:00:00" u="1"/>
        <d v="2022-06-02T00:00:00" u="1"/>
        <d v="2024-06-02T00:00:00" u="1"/>
        <d v="2025-06-02T00:00:00" u="1"/>
        <d v="2022-01-24T00:00:00" u="1"/>
        <d v="2023-01-24T00:00:00" u="1"/>
        <d v="2022-02-20T00:00:00" u="1"/>
        <d v="2024-01-24T00:00:00" u="1"/>
        <d v="2023-02-20T00:00:00" u="1"/>
        <d v="2025-01-24T00:00:00" u="1"/>
        <d v="2022-03-16T00:00:00" u="1"/>
        <d v="2023-03-16T00:00:00" u="1"/>
        <d v="2025-02-20T00:00:00" u="1"/>
        <d v="2022-04-12T00:00:00" u="1"/>
        <d v="2023-04-12T00:00:00" u="1"/>
        <d v="2022-05-08T00:00:00" u="1"/>
        <d v="2023-05-08T00:00:00" u="1"/>
        <d v="2025-04-12T00:00:00" u="1"/>
        <d v="2022-06-04T00:00:00" u="1"/>
        <d v="2024-06-04T00:00:00" u="1"/>
        <d v="2025-06-04T00:00:00" u="1"/>
        <d v="2022-01-26T00:00:00" u="1"/>
        <d v="2023-01-26T00:00:00" u="1"/>
        <d v="2022-02-22T00:00:00" u="1"/>
        <d v="2024-01-26T00:00:00" u="1"/>
        <d v="2023-02-22T00:00:00" u="1"/>
        <d v="2022-03-18T00:00:00" u="1"/>
        <d v="2023-03-18T00:00:00" u="1"/>
        <d v="2025-02-22T00:00:00" u="1"/>
        <d v="2022-04-14T00:00:00" u="1"/>
        <d v="2023-04-14T00:00:00" u="1"/>
        <d v="2025-03-18T00:00:00" u="1"/>
        <d v="2022-05-10T00:00:00" u="1"/>
        <d v="2023-05-10T00:00:00" u="1"/>
        <d v="2025-04-14T00:00:00" u="1"/>
        <d v="2022-06-06T00:00:00" u="1"/>
        <d v="2026-04-14T00:00:00" u="1"/>
        <d v="2023-06-06T00:00:00" u="1"/>
        <d v="2022-07-02T00:00:00" u="1"/>
        <d v="2024-06-06T00:00:00" u="1"/>
        <d v="2025-06-06T00:00:00" u="1"/>
        <d v="2024-07-02T00:00:00" u="1"/>
        <d v="2025-07-02T00:00:00" u="1"/>
        <d v="2022-01-28T00:00:00" u="1"/>
        <d v="2023-01-28T00:00:00" u="1"/>
        <d v="2022-02-24T00:00:00" u="1"/>
        <d v="2024-01-28T00:00:00" u="1"/>
        <d v="2023-02-24T00:00:00" u="1"/>
        <d v="2022-03-20T00:00:00" u="1"/>
        <d v="2023-03-20T00:00:00" u="1"/>
        <d v="2022-04-16T00:00:00" u="1"/>
        <d v="2023-04-16T00:00:00" u="1"/>
        <d v="2025-03-20T00:00:00" u="1"/>
        <d v="2022-05-12T00:00:00" u="1"/>
        <d v="2023-05-12T00:00:00" u="1"/>
        <d v="2025-04-16T00:00:00" u="1"/>
        <d v="2022-06-08T00:00:00" u="1"/>
        <d v="2026-04-16T00:00:00" u="1"/>
        <d v="2023-06-08T00:00:00" u="1"/>
        <d v="2022-07-04T00:00:00" u="1"/>
        <d v="2024-06-08T00:00:00" u="1"/>
        <d v="2026-05-12T00:00:00" u="1"/>
        <d v="2023-07-04T00:00:00" u="1"/>
        <d v="2025-06-08T00:00:00" u="1"/>
        <d v="2024-07-04T00:00:00" u="1"/>
        <d v="2025-07-04T00:00:00" u="1"/>
        <d v="2022-01-30T00:00:00" u="1"/>
        <d v="2023-01-30T00:00:00" u="1"/>
        <d v="2022-02-26T00:00:00" u="1"/>
        <d v="2024-01-30T00:00:00" u="1"/>
        <d v="2023-02-26T00:00:00" u="1"/>
        <d v="2022-03-22T00:00:00" u="1"/>
        <d v="2024-02-26T00:00:00" u="1"/>
        <d v="2023-03-22T00:00:00" u="1"/>
        <d v="2022-04-18T00:00:00" u="1"/>
        <d v="2023-04-18T00:00:00" u="1"/>
        <d v="2025-03-22T00:00:00" u="1"/>
        <d v="2022-05-14T00:00:00" u="1"/>
        <d v="2023-05-14T00:00:00" u="1"/>
        <d v="2025-04-18T00:00:00" u="1"/>
        <d v="2022-06-10T00:00:00" u="1"/>
        <d v="2026-04-18T00:00:00" u="1"/>
        <d v="2023-06-10T00:00:00" u="1"/>
        <d v="2022-07-06T00:00:00" u="1"/>
        <d v="2026-05-14T00:00:00" u="1"/>
        <d v="2021-08-02T00:00:00" u="1"/>
        <d v="2023-07-06T00:00:00" u="1"/>
        <d v="2022-08-02T00:00:00" u="1"/>
        <d v="2024-07-06T00:00:00" u="1"/>
        <d v="2025-07-06T00:00:00" u="1"/>
        <d v="2024-08-02T00:00:00" u="1"/>
        <d v="2022-02-28T00:00:00" u="1"/>
        <d v="2023-02-28T00:00:00" u="1"/>
        <d v="2022-03-24T00:00:00" u="1"/>
        <d v="2024-02-28T00:00:00" u="1"/>
        <d v="2023-03-24T00:00:00" u="1"/>
        <d v="2022-04-20T00:00:00" u="1"/>
        <d v="2023-04-20T00:00:00" u="1"/>
        <d v="2022-05-16T00:00:00" u="1"/>
        <d v="2023-05-16T00:00:00" u="1"/>
        <d v="2025-04-20T00:00:00" u="1"/>
        <d v="2022-06-12T00:00:00" u="1"/>
        <d v="2022-07-08T00:00:00" u="1"/>
        <d v="2026-05-16T00:00:00" u="1"/>
        <d v="2021-08-04T00:00:00" u="1"/>
        <d v="2023-07-08T00:00:00" u="1"/>
        <d v="2022-08-04T00:00:00" u="1"/>
        <d v="2024-07-08T00:00:00" u="1"/>
        <d v="2025-07-08T00:00:00" u="1"/>
        <d v="2024-08-04T00:00:00" u="1"/>
        <d v="2025-08-04T00:00:00" u="1"/>
        <d v="2022-03-26T00:00:00" u="1"/>
        <d v="2023-03-26T00:00:00" u="1"/>
        <d v="2022-04-22T00:00:00" u="1"/>
        <d v="2023-04-22T00:00:00" u="1"/>
        <d v="2022-05-18T00:00:00" u="1"/>
        <d v="2023-05-18T00:00:00" u="1"/>
        <d v="2022-06-14T00:00:00" u="1"/>
        <d v="2022-07-10T00:00:00" u="1"/>
        <d v="2026-05-18T00:00:00" u="1"/>
        <d v="2021-08-06T00:00:00" u="1"/>
        <d v="2023-07-10T00:00:00" u="1"/>
        <d v="2022-08-06T00:00:00" u="1"/>
        <d v="2024-07-10T00:00:00" u="1"/>
        <d v="2021-09-02T00:00:00" u="1"/>
        <d v="2025-07-10T00:00:00" u="1"/>
        <d v="2022-09-02T00:00:00" u="1"/>
        <d v="2024-08-06T00:00:00" u="1"/>
        <d v="2023-09-02T00:00:00" u="1"/>
        <d v="2025-08-06T00:00:00" u="1"/>
        <d v="2024-09-02T00:00:00" u="1"/>
        <d v="2022-03-28T00:00:00" u="1"/>
        <d v="2023-03-28T00:00:00" u="1"/>
        <d v="2022-04-24T00:00:00" u="1"/>
        <d v="2023-04-24T00:00:00" u="1"/>
        <d v="2022-05-20T00:00:00" u="1"/>
        <d v="2023-05-20T00:00:00" u="1"/>
        <d v="2022-06-16T00:00:00" u="1"/>
        <d v="2024-05-20T00:00:00" u="1"/>
        <d v="2025-05-20T00:00:00" u="1"/>
        <d v="2026-05-20T00:00:00" u="1"/>
        <d v="2021-08-08T00:00:00" u="1"/>
        <d v="2023-07-12T00:00:00" u="1"/>
        <d v="2022-08-08T00:00:00" u="1"/>
        <d v="2024-07-12T00:00:00" u="1"/>
        <d v="2021-09-04T00:00:00" u="1"/>
        <d v="2025-07-12T00:00:00" u="1"/>
        <d v="2022-09-04T00:00:00" u="1"/>
        <d v="2024-08-08T00:00:00" u="1"/>
        <d v="2023-09-04T00:00:00" u="1"/>
        <d v="2025-08-08T00:00:00" u="1"/>
        <d v="2024-09-04T00:00:00" u="1"/>
        <d v="2022-03-30T00:00:00" u="1"/>
        <d v="2023-03-30T00:00:00" u="1"/>
        <d v="2022-04-26T00:00:00" u="1"/>
        <d v="2023-04-26T00:00:00" u="1"/>
        <d v="2022-05-22T00:00:00" u="1"/>
        <d v="2026-03-30T00:00:00" u="1"/>
        <d v="2023-05-22T00:00:00" u="1"/>
        <d v="2022-06-18T00:00:00" u="1"/>
        <d v="2024-05-22T00:00:00" u="1"/>
        <d v="2025-05-22T00:00:00" u="1"/>
        <d v="2026-05-22T00:00:00" u="1"/>
        <d v="2021-08-10T00:00:00" u="1"/>
        <d v="2023-07-14T00:00:00" u="1"/>
        <d v="2022-08-10T00:00:00" u="1"/>
        <d v="2024-07-14T00:00:00" u="1"/>
        <d v="2021-09-06T00:00:00" u="1"/>
        <d v="2022-09-06T00:00:00" u="1"/>
        <d v="2024-08-10T00:00:00" u="1"/>
        <d v="2021-10-02T00:00:00" u="1"/>
        <d v="2023-09-06T00:00:00" u="1"/>
        <d v="2025-08-10T00:00:00" u="1"/>
        <d v="2022-10-02T00:00:00" u="1"/>
        <d v="2024-09-06T00:00:00" u="1"/>
        <d v="2022-04-28T00:00:00" u="1"/>
        <d v="2023-04-28T00:00:00" u="1"/>
        <d v="2022-05-24T00:00:00" u="1"/>
        <d v="2023-05-24T00:00:00" u="1"/>
        <d v="2022-06-20T00:00:00" u="1"/>
        <d v="2024-05-24T00:00:00" u="1"/>
        <d v="2026-04-28T00:00:00" u="1"/>
        <d v="2023-06-20T00:00:00" u="1"/>
        <d v="2025-05-24T00:00:00" u="1"/>
        <d v="2026-05-24T00:00:00" u="1"/>
        <d v="2021-08-12T00:00:00" u="1"/>
        <d v="2023-07-16T00:00:00" u="1"/>
        <d v="2022-08-12T00:00:00" u="1"/>
        <d v="2024-07-16T00:00:00" u="1"/>
        <d v="2021-09-08T00:00:00" u="1"/>
        <d v="2022-09-08T00:00:00" u="1"/>
        <d v="2021-10-04T00:00:00" u="1"/>
        <d v="2023-09-08T00:00:00" u="1"/>
        <d v="2022-10-04T00:00:00" u="1"/>
        <d v="2024-09-08T00:00:00" u="1"/>
        <d v="2022-04-30T00:00:00" u="1"/>
        <d v="2023-04-30T00:00:00" u="1"/>
        <d v="2022-05-26T00:00:00" u="1"/>
        <d v="2023-05-26T00:00:00" u="1"/>
        <d v="2022-06-22T00:00:00" u="1"/>
        <d v="2024-05-26T00:00:00" u="1"/>
        <d v="2026-04-30T00:00:00" u="1"/>
        <d v="2023-06-22T00:00:00" u="1"/>
        <d v="2022-07-18T00:00:00" u="1"/>
        <d v="2026-05-26T00:00:00" u="1"/>
        <d v="2021-08-14T00:00:00" u="1"/>
        <d v="2022-08-14T00:00:00" u="1"/>
        <d v="2024-07-18T00:00:00" u="1"/>
        <d v="2021-09-10T00:00:00" u="1"/>
        <d v="2022-09-10T00:00:00" u="1"/>
        <d v="2021-10-06T00:00:00" u="1"/>
        <d v="2023-09-10T00:00:00" u="1"/>
        <d v="2022-10-06T00:00:00" u="1"/>
        <d v="2021-11-02T00:00:00" u="1"/>
        <d v="2022-11-02T00:00:00" u="1"/>
        <d v="2023-11-02T00:00:00" u="1"/>
        <d v="2025-10-06T00:00:00" u="1"/>
        <d v="2024-11-02T00:00:00" u="1"/>
        <d v="2022-05-28T00:00:00" u="1"/>
        <d v="2023-05-28T00:00:00" u="1"/>
        <d v="2022-06-24T00:00:00" u="1"/>
        <d v="2024-05-28T00:00:00" u="1"/>
        <d v="2021-07-20T00:00:00" u="1"/>
        <d v="2023-06-24T00:00:00" u="1"/>
        <d v="2022-07-20T00:00:00" u="1"/>
        <d v="2026-05-28T00:00:00" u="1"/>
        <d v="2021-08-16T00:00:00" u="1"/>
        <d v="2025-06-24T00:00:00" u="1"/>
        <d v="2022-08-16T00:00:00" u="1"/>
        <d v="2024-07-20T00:00:00" u="1"/>
        <d v="2021-09-12T00:00:00" u="1"/>
        <d v="2022-09-12T00:00:00" u="1"/>
        <d v="2021-10-08T00:00:00" u="1"/>
        <d v="2023-09-12T00:00:00" u="1"/>
        <d v="2022-10-08T00:00:00" u="1"/>
        <d v="2021-11-04T00:00:00" u="1"/>
        <d v="2022-11-04T00:00:00" u="1"/>
        <d v="2023-11-04T00:00:00" u="1"/>
        <d v="2025-10-08T00:00:00" u="1"/>
        <d v="2024-11-04T00:00:00" u="1"/>
        <d v="2025-11-04T00:00:00" u="1"/>
        <d v="2022-05-30T00:00:00" u="1"/>
        <d v="2022-06-26T00:00:00" u="1"/>
        <d v="2024-05-30T00:00:00" u="1"/>
        <d v="2021-07-22T00:00:00" u="1"/>
        <d v="2022-07-22T00:00:00" u="1"/>
        <d v="2026-05-30T00:00:00" u="1"/>
        <d v="2021-08-18T00:00:00" u="1"/>
        <d v="2025-06-26T00:00:00" u="1"/>
        <d v="2022-08-18T00:00:00" u="1"/>
        <d v="2024-07-22T00:00:00" u="1"/>
        <d v="2021-09-14T00:00:00" u="1"/>
        <d v="2022-09-14T00:00:00" u="1"/>
        <d v="2021-10-10T00:00:00" u="1"/>
        <d v="2023-09-14T00:00:00" u="1"/>
        <d v="2025-08-18T00:00:00" u="1"/>
        <d v="2022-10-10T00:00:00" u="1"/>
        <d v="2021-11-06T00:00:00" u="1"/>
        <d v="2023-10-10T00:00:00" u="1"/>
        <d v="2022-11-06T00:00:00" u="1"/>
        <d v="2021-12-02T00:00:00" u="1"/>
        <d v="2023-11-06T00:00:00" u="1"/>
        <d v="2025-10-10T00:00:00" u="1"/>
        <d v="2022-12-02T00:00:00" u="1"/>
        <d v="2024-11-06T00:00:00" u="1"/>
        <d v="2023-12-02T00:00:00" u="1"/>
        <d v="2025-11-06T00:00:00" u="1"/>
        <d v="2022-06-28T00:00:00" u="1"/>
        <d v="2021-07-24T00:00:00" u="1"/>
        <d v="2022-07-24T00:00:00" u="1"/>
        <d v="2021-08-20T00:00:00" u="1"/>
        <d v="2025-06-28T00:00:00" u="1"/>
        <d v="2022-08-20T00:00:00" u="1"/>
        <d v="2024-07-24T00:00:00" u="1"/>
        <d v="2021-09-16T00:00:00" u="1"/>
        <d v="2022-09-16T00:00:00" u="1"/>
        <d v="2024-08-20T00:00:00" u="1"/>
        <d v="2021-10-12T00:00:00" u="1"/>
        <d v="2023-09-16T00:00:00" u="1"/>
        <d v="2025-08-20T00:00:00" u="1"/>
        <d v="2022-10-12T00:00:00" u="1"/>
        <d v="2024-09-16T00:00:00" u="1"/>
        <d v="2021-11-08T00:00:00" u="1"/>
        <d v="2023-10-12T00:00:00" u="1"/>
        <d v="2025-09-16T00:00:00" u="1"/>
        <d v="2022-11-08T00:00:00" u="1"/>
        <d v="2021-12-04T00:00:00" u="1"/>
        <d v="2023-11-08T00:00:00" u="1"/>
        <d v="2025-10-12T00:00:00" u="1"/>
        <d v="2022-12-04T00:00:00" u="1"/>
        <d v="2024-11-08T00:00:00" u="1"/>
        <d v="2023-12-04T00:00:00" u="1"/>
        <d v="2025-11-08T00:00:00" u="1"/>
        <d v="2022-06-30T00:00:00" u="1"/>
        <d v="2021-07-26T00:00:00" u="1"/>
        <d v="2022-07-26T00:00:00" u="1"/>
        <d v="2021-08-22T00:00:00" u="1"/>
        <d v="2025-06-30T00:00:00" u="1"/>
        <d v="2022-08-22T00:00:00" u="1"/>
        <d v="2024-07-26T00:00:00" u="1"/>
        <d v="2021-09-18T00:00:00" u="1"/>
        <d v="2022-09-18T00:00:00" u="1"/>
        <d v="2024-08-22T00:00:00" u="1"/>
        <d v="2021-10-14T00:00:00" u="1"/>
        <d v="2025-08-22T00:00:00" u="1"/>
        <d v="2022-10-14T00:00:00" u="1"/>
        <d v="2024-09-18T00:00:00" u="1"/>
        <d v="2021-11-10T00:00:00" u="1"/>
        <d v="2023-10-14T00:00:00" u="1"/>
        <d v="2025-09-18T00:00:00" u="1"/>
        <d v="2022-11-10T00:00:00" u="1"/>
        <d v="2021-12-06T00:00:00" u="1"/>
        <d v="2023-11-10T00:00:00" u="1"/>
        <d v="2025-10-14T00:00:00" u="1"/>
        <d v="2022-12-06T00:00:00" u="1"/>
        <d v="2024-11-10T00:00:00" u="1"/>
        <d v="2023-12-06T00:00:00" u="1"/>
        <d v="2021-07-28T00:00:00" u="1"/>
        <d v="2022-07-28T00:00:00" u="1"/>
        <d v="2021-08-24T00:00:00" u="1"/>
        <d v="2022-08-24T00:00:00" u="1"/>
        <d v="2024-07-28T00:00:00" u="1"/>
        <d v="2021-09-20T00:00:00" u="1"/>
        <d v="2022-09-20T00:00:00" u="1"/>
        <d v="2024-08-24T00:00:00" u="1"/>
        <d v="2021-10-16T00:00:00" u="1"/>
        <d v="2025-08-24T00:00:00" u="1"/>
        <d v="2022-10-16T00:00:00" u="1"/>
        <d v="2024-09-20T00:00:00" u="1"/>
        <d v="2021-11-12T00:00:00" u="1"/>
        <d v="2023-10-16T00:00:00" u="1"/>
        <d v="2025-09-20T00:00:00" u="1"/>
        <d v="2022-11-12T00:00:00" u="1"/>
        <d v="2021-12-08T00:00:00" u="1"/>
        <d v="2023-11-12T00:00:00" u="1"/>
        <d v="2025-10-16T00:00:00" u="1"/>
        <d v="2022-12-08T00:00:00" u="1"/>
        <d v="2024-11-12T00:00:00" u="1"/>
        <d v="2023-12-08T00:00:00" u="1"/>
        <d v="2021-07-30T00:00:00" u="1"/>
        <d v="2022-07-30T00:00:00" u="1"/>
        <d v="2021-08-26T00:00:00" u="1"/>
        <d v="2022-08-26T00:00:00" u="1"/>
        <d v="2024-07-30T00:00:00" u="1"/>
        <d v="2021-09-22T00:00:00" u="1"/>
        <d v="2022-09-22T00:00:00" u="1"/>
        <d v="2024-08-26T00:00:00" u="1"/>
        <d v="2021-10-18T00:00:00" u="1"/>
        <d v="2025-08-26T00:00:00" u="1"/>
        <d v="2022-10-18T00:00:00" u="1"/>
        <d v="2024-09-22T00:00:00" u="1"/>
        <d v="2021-11-14T00:00:00" u="1"/>
        <d v="2023-10-18T00:00:00" u="1"/>
        <d v="2022-11-14T00:00:00" u="1"/>
        <d v="2021-12-10T00:00:00" u="1"/>
        <d v="2023-11-14T00:00:00" u="1"/>
        <d v="2025-10-18T00:00:00" u="1"/>
        <d v="2022-12-10T00:00:00" u="1"/>
        <d v="2024-11-14T00:00:00" u="1"/>
        <d v="2023-12-10T00:00:00" u="1"/>
        <d v="2021-08-28T00:00:00" u="1"/>
        <d v="2022-08-28T00:00:00" u="1"/>
        <d v="2021-09-24T00:00:00" u="1"/>
        <d v="2023-08-28T00:00:00" u="1"/>
        <d v="2022-09-24T00:00:00" u="1"/>
        <d v="2024-08-28T00:00:00" u="1"/>
        <d v="2021-10-20T00:00:00" u="1"/>
        <d v="2025-08-28T00:00:00" u="1"/>
        <d v="2022-10-20T00:00:00" u="1"/>
        <d v="2021-11-16T00:00:00" u="1"/>
        <d v="2023-10-20T00:00:00" u="1"/>
        <d v="2022-11-16T00:00:00" u="1"/>
        <d v="2021-12-12T00:00:00" u="1"/>
        <d v="2023-11-16T00:00:00" u="1"/>
        <d v="2025-10-20T00:00:00" u="1"/>
        <d v="2022-12-12T00:00:00" u="1"/>
        <d v="2024-11-16T00:00:00" u="1"/>
        <d v="2023-12-12T00:00:00" u="1"/>
        <d v="2021-08-30T00:00:00" u="1"/>
        <d v="2022-08-30T00:00:00" u="1"/>
        <d v="2021-09-26T00:00:00" u="1"/>
        <d v="2023-08-30T00:00:00" u="1"/>
        <d v="2022-09-26T00:00:00" u="1"/>
        <d v="2024-08-30T00:00:00" u="1"/>
        <d v="2021-10-22T00:00:00" u="1"/>
        <d v="2025-08-30T00:00:00" u="1"/>
        <d v="2022-10-22T00:00:00" u="1"/>
        <d v="2021-11-18T00:00:00" u="1"/>
        <d v="2023-10-22T00:00:00" u="1"/>
        <d v="2022-11-18T00:00:00" u="1"/>
        <d v="2021-12-14T00:00:00" u="1"/>
        <d v="2023-11-18T00:00:00" u="1"/>
        <d v="2025-10-22T00:00:00" u="1"/>
        <d v="2022-12-14T00:00:00" u="1"/>
        <d v="2024-11-18T00:00:00" u="1"/>
        <d v="2023-12-14T00:00:00" u="1"/>
        <d v="2021-09-28T00:00:00" u="1"/>
        <d v="2022-09-28T00:00:00" u="1"/>
        <d v="2021-10-24T00:00:00" u="1"/>
        <d v="2022-10-24T00:00:00" u="1"/>
        <d v="2021-11-20T00:00:00" u="1"/>
        <d v="2022-11-20T00:00:00" u="1"/>
        <d v="2021-12-16T00:00:00" u="1"/>
        <d v="2023-11-20T00:00:00" u="1"/>
        <d v="2025-10-24T00:00:00" u="1"/>
        <d v="2022-12-16T00:00:00" u="1"/>
        <d v="2024-11-20T00:00:00" u="1"/>
        <d v="2023-12-16T00:00:00" u="1"/>
        <d v="2024-12-16T00:00:00" u="1"/>
        <d v="2025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3-11-22T00:00:00" u="1"/>
        <d v="2025-10-26T00:00:00" u="1"/>
        <d v="2022-12-18T00:00:00" u="1"/>
        <d v="2024-11-22T00:00:00" u="1"/>
        <d v="2023-12-18T00:00:00" u="1"/>
        <d v="2024-12-18T00:00:00" u="1"/>
        <d v="2025-12-18T00:00:00" u="1"/>
        <d v="2021-10-28T00:00:00" u="1"/>
        <d v="2022-10-28T00:00:00" u="1"/>
        <d v="2021-11-24T00:00:00" u="1"/>
        <d v="2022-11-24T00:00:00" u="1"/>
        <d v="2024-10-28T00:00:00" u="1"/>
        <d v="2021-12-20T00:00:00" u="1"/>
        <d v="2023-11-24T00:00:00" u="1"/>
        <d v="2024-11-24T00:00:00" u="1"/>
        <d v="2023-12-20T00:00:00" u="1"/>
        <d v="2024-12-20T00:00:00" u="1"/>
        <d v="2025-12-20T00:00:00" u="1"/>
        <d v="2022-01-01T00:00:00" u="1"/>
        <d v="2023-01-01T00:00:00" u="1"/>
        <d v="2025-01-01T00:00:00" u="1"/>
        <d v="2026-01-01T00:00:00" u="1"/>
        <d v="2021-10-30T00:00:00" u="1"/>
        <d v="2022-10-30T00:00:00" u="1"/>
        <d v="2021-11-26T00:00:00" u="1"/>
        <d v="2023-10-30T00:00:00" u="1"/>
        <d v="2022-11-26T00:00:00" u="1"/>
        <d v="2024-10-30T00:00:00" u="1"/>
        <d v="2021-12-22T00:00:00" u="1"/>
        <d v="2023-11-26T00:00:00" u="1"/>
        <d v="2024-11-26T00:00:00" u="1"/>
        <d v="2023-12-22T00:00:00" u="1"/>
        <d v="2024-12-22T00:00:00" u="1"/>
        <d v="2025-12-22T00:00:00" u="1"/>
        <d v="2022-01-03T00:00:00" u="1"/>
        <d v="2025-01-03T00:00:00" u="1"/>
        <d v="2026-01-03T00:00:00" u="1"/>
        <d v="2021-11-28T00:00:00" u="1"/>
        <d v="2022-11-28T00:00:00" u="1"/>
        <d v="2021-12-24T00:00:00" u="1"/>
        <d v="2023-11-28T00:00:00" u="1"/>
        <d v="2024-11-28T00:00:00" u="1"/>
        <d v="2023-12-24T00:00:00" u="1"/>
        <d v="2024-12-24T00:00:00" u="1"/>
        <d v="2025-12-24T00:00:00" u="1"/>
        <d v="2022-01-05T00:00:00" u="1"/>
        <d v="2022-02-01T00:00:00" u="1"/>
        <d v="2023-02-01T00:00:00" u="1"/>
        <d v="2025-01-05T00:00:00" u="1"/>
        <d v="2024-02-01T00:00:00" u="1"/>
        <d v="2021-11-30T00:00:00" u="1"/>
        <d v="2022-11-30T00:00:00" u="1"/>
        <d v="2021-12-26T00:00:00" u="1"/>
        <d v="2023-11-30T00:00:00" u="1"/>
        <d v="2022-12-26T00:00:00" u="1"/>
        <d v="2024-11-30T00:00:00" u="1"/>
        <d v="2023-12-26T00:00:00" u="1"/>
        <d v="2024-12-26T00:00:00" u="1"/>
        <d v="2025-12-26T00:00:00" u="1"/>
        <d v="2022-01-07T00:00:00" u="1"/>
        <d v="2022-02-03T00:00:00" u="1"/>
        <d v="2023-02-03T00:00:00" u="1"/>
        <d v="2025-01-07T00:00:00" u="1"/>
        <d v="2024-02-03T00:00:00" u="1"/>
        <d v="2026-02-03T00:00:00" u="1"/>
        <d v="2021-12-28T00:00:00" u="1"/>
        <d v="2022-12-28T00:00:00" u="1"/>
        <d v="2023-12-28T00:00:00" u="1"/>
        <d v="2024-12-28T00:00:00" u="1"/>
        <d v="2025-12-28T00:00:00" u="1"/>
        <d v="2022-01-09T00:00:00" u="1"/>
        <d v="2023-01-09T00:00:00" u="1"/>
        <d v="2022-02-05T00:00:00" u="1"/>
        <d v="2023-02-05T00:00:00" u="1"/>
        <d v="2025-01-09T00:00:00" u="1"/>
        <d v="2022-03-01T00:00:00" u="1"/>
        <d v="2024-02-05T00:00:00" u="1"/>
        <d v="2023-03-01T00:00:00" u="1"/>
        <d v="2024-03-01T00:00:00" u="1"/>
        <d v="2026-02-05T00:00:00" u="1"/>
        <d v="2021-12-30T00:00:00" u="1"/>
        <d v="2022-12-30T00:00:00" u="1"/>
        <d v="2023-12-30T00:00:00" u="1"/>
        <d v="2024-12-30T00:00:00" u="1"/>
        <d v="2025-12-30T00:00:00" u="1"/>
        <d v="2022-01-11T00:00:00" u="1"/>
        <d v="2023-01-11T00:00:00" u="1"/>
        <d v="2022-02-07T00:00:00" u="1"/>
        <d v="2025-01-11T00:00:00" u="1"/>
        <d v="2022-03-03T00:00:00" u="1"/>
        <d v="2024-02-07T00:00:00" u="1"/>
        <d v="2023-03-03T00:00:00" u="1"/>
        <d v="2024-03-03T00:00:00" u="1"/>
        <d v="2026-02-07T00:00:00" u="1"/>
        <d v="2025-03-03T00:00:00" u="1"/>
        <d v="2026-03-03T00:00:00" u="1"/>
        <d v="2022-01-13T00:00:00" u="1"/>
        <d v="2023-01-13T00:00:00" u="1"/>
        <d v="2022-02-09T00:00:00" u="1"/>
        <d v="2025-01-13T00:00:00" u="1"/>
        <d v="2022-03-05T00:00:00" u="1"/>
        <d v="2024-02-09T00:00:00" u="1"/>
        <d v="2023-03-05T00:00:00" u="1"/>
        <d v="2022-04-01T00:00:00" u="1"/>
        <d v="2026-02-09T00:00:00" u="1"/>
        <d v="2023-04-01T00:00:00" u="1"/>
        <d v="2025-03-05T00:00:00" u="1"/>
        <d v="2026-03-05T00:00:00" u="1"/>
        <d v="2025-04-01T00:00:00" u="1"/>
        <d v="2026-04-01T00:00:00" u="1"/>
        <d v="2022-01-15T00:00:00" u="1"/>
        <d v="2023-01-15T00:00:00" u="1"/>
        <d v="2022-02-11T00:00:00" u="1"/>
        <d v="2024-01-15T00:00:00" u="1"/>
        <d v="2025-01-15T00:00:00" u="1"/>
        <d v="2022-03-07T00:00:00" u="1"/>
        <d v="2024-02-11T00:00:00" u="1"/>
        <d v="2023-03-07T00:00:00" u="1"/>
        <d v="2022-04-03T00:00:00" u="1"/>
        <d v="2026-02-11T00:00:00" u="1"/>
        <d v="2023-04-03T00:00:00" u="1"/>
        <d v="2025-03-07T00:00:00" u="1"/>
        <d v="2026-03-07T00:00:00" u="1"/>
        <d v="2025-04-03T00:00:00" u="1"/>
        <d v="2026-04-03T00:00:00" u="1"/>
        <d v="2022-01-17T00:00:00" u="1"/>
        <d v="2023-01-17T00:00:00" u="1"/>
        <d v="2022-02-13T00:00:00" u="1"/>
        <d v="2024-01-17T00:00:00" u="1"/>
        <d v="2023-02-13T00:00:00" u="1"/>
        <d v="2025-01-17T00:00:00" u="1"/>
        <d v="2022-03-09T00:00:00" u="1"/>
        <d v="2023-03-09T00:00:00" u="1"/>
        <d v="2022-04-05T00:00:00" u="1"/>
        <d v="2026-02-13T00:00:00" u="1"/>
        <d v="2023-04-05T00:00:00" u="1"/>
        <d v="2025-03-09T00:00:00" u="1"/>
        <d v="2022-05-01T00:00:00" u="1"/>
        <d v="2023-05-01T00:00:00" u="1"/>
        <d v="2025-04-05T00:00:00" u="1"/>
        <d v="2026-04-05T00:00:00" u="1"/>
        <d v="2026-05-01T00:00:00" u="1"/>
        <d v="2022-01-19T00:00:00" u="1"/>
        <d v="2023-01-19T00:00:00" u="1"/>
        <d v="2022-02-15T00:00:00" u="1"/>
        <d v="2024-01-19T00:00:00" u="1"/>
        <d v="2023-02-15T00:00:00" u="1"/>
        <d v="2025-01-19T00:00:00" u="1"/>
        <d v="2022-03-11T00:00:00" u="1"/>
        <d v="2023-03-11T00:00:00" u="1"/>
        <d v="2022-04-07T00:00:00" u="1"/>
        <d v="2026-02-15T00:00:00" u="1"/>
        <d v="2023-04-07T00:00:00" u="1"/>
        <d v="2022-05-03T00:00:00" u="1"/>
        <d v="2023-05-03T00:00:00" u="1"/>
        <d v="2025-04-07T00:00:00" u="1"/>
        <d v="2026-05-03T00:00:00" u="1"/>
        <d v="2022-01-21T00:00:00" u="1"/>
        <d v="2023-01-21T00:00:00" u="1"/>
        <d v="2022-02-17T00:00:00" u="1"/>
        <d v="2024-01-21T00:00:00" u="1"/>
        <d v="2023-02-17T00:00:00" u="1"/>
        <d v="2025-01-21T00:00:00" u="1"/>
        <d v="2023-03-13T00:00:00" u="1"/>
        <d v="2025-02-17T00:00:00" u="1"/>
        <d v="2022-04-09T00:00:00" u="1"/>
        <d v="2023-04-09T00:00:00" u="1"/>
        <d v="2022-05-05T00:00:00" u="1"/>
        <d v="2023-05-05T00:00:00" u="1"/>
        <d v="2025-04-09T00:00:00" u="1"/>
        <d v="2022-06-01T00:00:00" u="1"/>
        <d v="2024-06-01T00:00:00" u="1"/>
        <d v="2022-01-23T00:00:00" u="1"/>
        <d v="2023-01-23T00:00:00" u="1"/>
        <d v="2022-02-19T00:00:00" u="1"/>
        <d v="2024-01-23T00:00:00" u="1"/>
        <d v="2023-02-19T00:00:00" u="1"/>
        <d v="2025-01-23T00:00:00" u="1"/>
        <d v="2022-03-15T00:00:00" u="1"/>
        <d v="2023-03-15T00:00:00" u="1"/>
        <d v="2025-02-19T00:00:00" u="1"/>
        <d v="2022-04-11T00:00:00" u="1"/>
        <d v="2023-04-11T00:00:00" u="1"/>
        <d v="2022-05-07T00:00:00" u="1"/>
        <d v="2023-05-07T00:00:00" u="1"/>
        <d v="2025-04-11T00:00:00" u="1"/>
        <d v="2022-06-03T00:00:00" u="1"/>
        <d v="2024-06-03T00:00:00" u="1"/>
        <d v="2025-06-03T00:00:00" u="1"/>
        <d v="2022-01-25T00:00:00" u="1"/>
        <d v="2023-01-25T00:00:00" u="1"/>
        <d v="2022-02-21T00:00:00" u="1"/>
        <d v="2024-01-25T00:00:00" u="1"/>
        <d v="2023-02-21T00:00:00" u="1"/>
        <d v="2025-01-25T00:00:00" u="1"/>
        <d v="2022-03-17T00:00:00" u="1"/>
        <d v="2023-03-17T00:00:00" u="1"/>
        <d v="2025-02-21T00:00:00" u="1"/>
        <d v="2022-04-13T00:00:00" u="1"/>
        <d v="2023-04-13T00:00:00" u="1"/>
        <d v="2025-03-17T00:00:00" u="1"/>
        <d v="2022-05-09T00:00:00" u="1"/>
        <d v="2023-05-09T00:00:00" u="1"/>
        <d v="2025-04-13T00:00:00" u="1"/>
        <d v="2022-06-05T00:00:00" u="1"/>
        <d v="2026-04-13T00:00:00" u="1"/>
        <d v="2023-06-05T00:00:00" u="1"/>
        <d v="2022-07-01T00:00:00" u="1"/>
        <d v="2024-06-05T00:00:00" u="1"/>
        <d v="2025-06-05T00:00:00" u="1"/>
        <d v="2024-07-01T00:00:00" u="1"/>
        <d v="2025-07-01T00:00:00" u="1"/>
        <d v="2022-01-27T00:00:00" u="1"/>
        <d v="2023-01-27T00:00:00" u="1"/>
        <d v="2022-02-23T00:00:00" u="1"/>
        <d v="2024-01-27T00:00:00" u="1"/>
        <d v="2023-02-23T00:00:00" u="1"/>
        <d v="2022-03-19T00:00:00" u="1"/>
        <d v="2023-03-19T00:00:00" u="1"/>
        <d v="2025-02-23T00:00:00" u="1"/>
        <d v="2022-04-15T00:00:00" u="1"/>
        <d v="2023-04-15T00:00:00" u="1"/>
        <d v="2025-03-19T00:00:00" u="1"/>
        <d v="2022-05-11T00:00:00" u="1"/>
        <d v="2023-05-11T00:00:00" u="1"/>
        <d v="2025-04-15T00:00:00" u="1"/>
        <d v="2022-06-07T00:00:00" u="1"/>
        <d v="2026-04-15T00:00:00" u="1"/>
        <d v="2023-06-07T00:00:00" u="1"/>
        <d v="2022-07-03T00:00:00" u="1"/>
        <d v="2024-06-07T00:00:00" u="1"/>
        <d v="2026-05-11T00:00:00" u="1"/>
        <d v="2023-07-03T00:00:00" u="1"/>
        <d v="2025-06-07T00:00:00" u="1"/>
        <d v="2024-07-03T00:00:00" u="1"/>
        <d v="2025-07-03T00:00:00" u="1"/>
        <d v="2022-01-29T00:00:00" u="1"/>
        <d v="2023-01-29T00:00:00" u="1"/>
        <d v="2022-02-25T00:00:00" u="1"/>
        <d v="2024-01-29T00:00:00" u="1"/>
        <d v="2023-02-25T00:00:00" u="1"/>
        <d v="2022-03-21T00:00:00" u="1"/>
        <d v="2023-03-21T00:00:00" u="1"/>
        <d v="2022-04-17T00:00:00" u="1"/>
        <d v="2023-04-17T00:00:00" u="1"/>
        <d v="2025-03-21T00:00:00" u="1"/>
        <d v="2022-05-13T00:00:00" u="1"/>
        <d v="2023-05-13T00:00:00" u="1"/>
        <d v="2025-04-17T00:00:00" u="1"/>
        <d v="2022-06-09T00:00:00" u="1"/>
        <d v="2026-04-17T00:00:00" u="1"/>
        <d v="2023-06-09T00:00:00" u="1"/>
        <d v="2022-07-05T00:00:00" u="1"/>
        <d v="2024-06-09T00:00:00" u="1"/>
        <d v="2026-05-13T00:00:00" u="1"/>
        <d v="2021-08-01T00:00:00" u="1"/>
        <d v="2023-07-05T00:00:00" u="1"/>
        <d v="2022-08-01T00:00:00" u="1"/>
        <d v="2024-07-05T00:00:00" u="1"/>
        <d v="2025-07-05T00:00:00" u="1"/>
        <d v="2024-08-01T00:00:00" u="1"/>
        <d v="2022-01-31T00:00:00" u="1"/>
        <d v="2023-01-31T00:00:00" u="1"/>
        <d v="2022-02-27T00:00:00" u="1"/>
        <d v="2024-01-31T00:00:00" u="1"/>
        <d v="2023-02-27T00:00:00" u="1"/>
        <d v="2022-03-23T00:00:00" u="1"/>
        <d v="2024-02-27T00:00:00" u="1"/>
        <d v="2023-03-23T00:00:00" u="1"/>
        <d v="2022-04-19T00:00:00" u="1"/>
        <d v="2023-04-19T00:00:00" u="1"/>
        <d v="2025-03-23T00:00:00" u="1"/>
        <d v="2022-05-15T00:00:00" u="1"/>
        <d v="2023-05-15T00:00:00" u="1"/>
        <d v="2025-04-19T00:00:00" u="1"/>
        <d v="2022-06-11T00:00:00" u="1"/>
        <d v="2026-04-19T00:00:00" u="1"/>
        <d v="2023-06-11T00:00:00" u="1"/>
        <d v="2022-07-07T00:00:00" u="1"/>
        <d v="2026-05-15T00:00:00" u="1"/>
        <d v="2021-08-03T00:00:00" u="1"/>
        <d v="2023-07-07T00:00:00" u="1"/>
        <d v="2022-08-03T00:00:00" u="1"/>
        <d v="2024-07-07T00:00:00" u="1"/>
        <d v="2025-07-07T00:00:00" u="1"/>
        <d v="2024-08-03T00:00:00" u="1"/>
        <d v="2022-03-25T00:00:00" u="1"/>
        <d v="2024-02-29T00:00:00" u="1"/>
        <d v="2023-03-25T00:00:00" u="1"/>
        <d v="2022-04-21T00:00:00" u="1"/>
        <d v="2023-04-21T00:00:00" u="1"/>
        <d v="2022-05-17T00:00:00" u="1"/>
        <d v="2023-05-17T00:00:00" u="1"/>
        <d v="2022-06-13T00:00:00" u="1"/>
        <d v="2022-07-09T00:00:00" u="1"/>
        <d v="2026-05-17T00:00:00" u="1"/>
        <d v="2021-08-05T00:00:00" u="1"/>
        <d v="2023-07-09T00:00:00" u="1"/>
        <d v="2022-08-05T00:00:00" u="1"/>
        <d v="2024-07-09T00:00:00" u="1"/>
        <d v="2021-09-01T00:00:00" u="1"/>
        <d v="2025-07-09T00:00:00" u="1"/>
        <d v="2022-09-01T00:00:00" u="1"/>
        <d v="2024-08-05T00:00:00" u="1"/>
        <d v="2023-09-01T00:00:00" u="1"/>
        <d v="2025-08-05T00:00:00" u="1"/>
        <d v="2024-09-01T00:00:00" u="1"/>
        <d v="2022-03-27T00:00:00" u="1"/>
        <d v="2023-03-27T00:00:00" u="1"/>
        <d v="2022-04-23T00:00:00" u="1"/>
        <d v="2023-04-23T00:00:00" u="1"/>
        <d v="2022-05-19T00:00:00" u="1"/>
        <d v="2023-05-19T00:00:00" u="1"/>
        <d v="2022-06-15T00:00:00" u="1"/>
        <d v="2025-05-19T00:00:00" u="1"/>
        <d v="2026-05-19T00:00:00" u="1"/>
        <d v="2021-08-07T00:00:00" u="1"/>
        <d v="2023-07-11T00:00:00" u="1"/>
        <d v="2022-08-07T00:00:00" u="1"/>
        <d v="2024-07-11T00:00:00" u="1"/>
        <d v="2021-09-03T00:00:00" u="1"/>
        <d v="2025-07-11T00:00:00" u="1"/>
        <d v="2022-09-03T00:00:00" u="1"/>
        <d v="2024-08-07T00:00:00" u="1"/>
        <d v="2023-09-03T00:00:00" u="1"/>
        <d v="2025-08-07T00:00:00" u="1"/>
        <d v="2024-09-03T00:00:00" u="1"/>
        <d v="2022-03-29T00:00:00" u="1"/>
        <d v="2023-03-29T00:00:00" u="1"/>
        <d v="2022-04-25T00:00:00" u="1"/>
        <d v="2023-04-25T00:00:00" u="1"/>
        <d v="2022-05-21T00:00:00" u="1"/>
        <d v="2023-05-21T00:00:00" u="1"/>
        <d v="2022-06-17T00:00:00" u="1"/>
        <d v="2024-05-21T00:00:00" u="1"/>
        <d v="2025-05-21T00:00:00" u="1"/>
        <d v="2026-05-21T00:00:00" u="1"/>
        <d v="2021-08-09T00:00:00" u="1"/>
        <d v="2023-07-13T00:00:00" u="1"/>
        <d v="2022-08-09T00:00:00" u="1"/>
        <d v="2024-07-13T00:00:00" u="1"/>
        <d v="2021-09-05T00:00:00" u="1"/>
        <d v="2025-07-13T00:00:00" u="1"/>
        <d v="2022-09-05T00:00:00" u="1"/>
        <d v="2024-08-09T00:00:00" u="1"/>
        <d v="2021-10-01T00:00:00" u="1"/>
        <d v="2023-09-05T00:00:00" u="1"/>
        <d v="2025-08-09T00:00:00" u="1"/>
        <d v="2022-10-01T00:00:00" u="1"/>
        <d v="2024-09-05T00:00:00" u="1"/>
        <d v="2022-03-31T00:00:00" u="1"/>
        <d v="2023-03-31T00:00:00" u="1"/>
        <d v="2022-04-27T00:00:00" u="1"/>
        <d v="2023-04-27T00:00:00" u="1"/>
        <d v="2025-03-31T00:00:00" u="1"/>
        <d v="2022-05-23T00:00:00" u="1"/>
        <d v="2026-03-31T00:00:00" u="1"/>
        <d v="2023-05-23T00:00:00" u="1"/>
        <d v="2022-06-19T00:00:00" u="1"/>
        <d v="2024-05-23T00:00:00" u="1"/>
        <d v="2026-04-27T00:00:00" u="1"/>
        <d v="2023-06-19T00:00:00" u="1"/>
        <d v="2025-05-23T00:00:00" u="1"/>
        <d v="2026-05-23T00:00:00" u="1"/>
        <d v="2021-08-11T00:00:00" u="1"/>
        <d v="2023-07-15T00:00:00" u="1"/>
        <d v="2022-08-11T00:00:00" u="1"/>
        <d v="2024-07-15T00:00:00" u="1"/>
        <d v="2021-09-07T00:00:00" u="1"/>
        <d v="2022-09-07T00:00:00" u="1"/>
        <d v="2024-08-11T00:00:00" u="1"/>
        <d v="2021-10-03T00:00:00" u="1"/>
        <d v="2023-09-07T00:00:00" u="1"/>
        <d v="2022-10-03T00:00:00" u="1"/>
        <d v="2024-09-07T00:00:00" u="1"/>
        <d v="2022-04-29T00:00:00" u="1"/>
        <d v="2023-04-29T00:00:00" u="1"/>
        <d v="2022-05-25T00:00:00" u="1"/>
        <d v="2023-05-25T00:00:00" u="1"/>
        <d v="2022-06-21T00:00:00" u="1"/>
        <d v="2024-05-25T00:00:00" u="1"/>
        <d v="2026-04-29T00:00:00" u="1"/>
        <d v="2023-06-21T00:00:00" u="1"/>
        <d v="2025-05-25T00:00:00" u="1"/>
        <d v="2026-05-25T00:00:00" u="1"/>
        <d v="2021-08-13T00:00:00" u="1"/>
        <d v="2022-08-13T00:00:00" u="1"/>
        <d v="2024-07-17T00:00:00" u="1"/>
        <d v="2021-09-09T00:00:00" u="1"/>
        <d v="2022-09-09T00:00:00" u="1"/>
        <d v="2021-10-05T00:00:00" u="1"/>
        <d v="2023-09-09T00:00:00" u="1"/>
        <d v="2022-10-05T00:00:00" u="1"/>
        <d v="2021-11-01T00:00:00" u="1"/>
        <d v="2022-11-01T00:00:00" u="1"/>
        <d v="2023-11-01T00:00:00" u="1"/>
        <d v="2024-11-01T00:00:00" u="1"/>
        <d v="2022-05-27T00:00:00" u="1"/>
        <d v="2023-05-27T00:00:00" u="1"/>
        <d v="2022-06-23T00:00:00" u="1"/>
        <d v="2024-05-27T00:00:00" u="1"/>
        <d v="2021-07-19T00:00:00" u="1"/>
        <d v="2023-06-23T00:00:00" u="1"/>
        <d v="2022-07-19T00:00:00" u="1"/>
        <d v="2026-05-27T00:00:00" u="1"/>
        <d v="2021-08-15T00:00:00" u="1"/>
        <d v="2025-06-23T00:00:00" u="1"/>
        <d v="2022-08-15T00:00:00" u="1"/>
        <d v="2024-07-19T00:00:00" u="1"/>
        <d v="2021-09-11T00:00:00" u="1"/>
        <d v="2022-09-11T00:00:00" u="1"/>
        <d v="2021-10-07T00:00:00" u="1"/>
        <d v="2023-09-11T00:00:00" u="1"/>
        <d v="2022-10-07T00:00:00" u="1"/>
        <d v="2021-11-03T00:00:00" u="1"/>
        <d v="2022-11-03T00:00:00" u="1"/>
        <d v="2023-11-03T00:00:00" u="1"/>
        <d v="2025-10-07T00:00:00" u="1"/>
        <d v="2024-11-03T00:00:00" u="1"/>
        <d v="2025-11-03T00:00:00" u="1"/>
        <d v="2022-05-29T00:00:00" u="1"/>
        <d v="2022-06-25T00:00:00" u="1"/>
        <d v="2024-05-29T00:00:00" u="1"/>
        <d v="2021-07-21T00:00:00" u="1"/>
        <d v="2023-06-25T00:00:00" u="1"/>
        <d v="2022-07-21T00:00:00" u="1"/>
        <d v="2026-05-29T00:00:00" u="1"/>
        <d v="2021-08-17T00:00:00" u="1"/>
        <d v="2025-06-25T00:00:00" u="1"/>
        <d v="2022-08-17T00:00:00" u="1"/>
        <d v="2024-07-21T00:00:00" u="1"/>
        <d v="2021-09-13T00:00:00" u="1"/>
        <d v="2022-09-13T00:00:00" u="1"/>
        <d v="2021-10-09T00:00:00" u="1"/>
        <d v="2023-09-13T00:00:00" u="1"/>
        <d v="2022-10-09T00:00:00" u="1"/>
        <d v="2021-11-05T00:00:00" u="1"/>
        <d v="2023-10-09T00:00:00" u="1"/>
        <d v="2022-11-05T00:00:00" u="1"/>
        <d v="2021-12-01T00:00:00" u="1"/>
        <d v="2023-11-05T00:00:00" u="1"/>
        <d v="2025-10-09T00:00:00" u="1"/>
        <d v="2022-12-01T00:00:00" u="1"/>
        <d v="2024-11-05T00:00:00" u="1"/>
        <d v="2023-12-01T00:00:00" u="1"/>
        <d v="2025-11-05T00:00:00" u="1"/>
        <d v="2024-12-01T00:00:00" u="1"/>
        <d v="2022-05-31T00:00:00" u="1"/>
        <d v="2022-06-27T00:00:00" u="1"/>
        <d v="2024-05-31T00:00:00" u="1"/>
        <d v="2021-07-23T00:00:00" u="1"/>
        <d v="2022-07-23T00:00:00" u="1"/>
        <d v="2026-05-31T00:00:00" u="1"/>
        <d v="2021-08-19T00:00:00" u="1"/>
        <d v="2025-06-27T00:00:00" u="1"/>
        <d v="2022-08-19T00:00:00" u="1"/>
        <d v="2024-07-23T00:00:00" u="1"/>
        <d v="2021-09-15T00:00:00" u="1"/>
        <d v="2022-09-15T00:00:00" u="1"/>
        <d v="2024-08-19T00:00:00" u="1"/>
        <d v="2021-10-11T00:00:00" u="1"/>
        <d v="2023-09-15T00:00:00" u="1"/>
        <d v="2025-08-19T00:00:00" u="1"/>
        <d v="2022-10-11T00:00:00" u="1"/>
        <d v="2021-11-07T00:00:00" u="1"/>
        <d v="2023-10-11T00:00:00" u="1"/>
        <d v="2025-09-15T00:00:00" u="1"/>
        <d v="2022-11-07T00:00:00" u="1"/>
        <d v="2021-12-03T00:00:00" u="1"/>
        <d v="2023-11-07T00:00:00" u="1"/>
        <d v="2025-10-11T00:00:00" u="1"/>
        <d v="2022-12-03T00:00:00" u="1"/>
        <d v="2024-11-07T00:00:00" u="1"/>
        <d v="2023-12-03T00:00:00" u="1"/>
        <d v="2025-11-07T00:00:00" u="1"/>
        <d v="2022-06-29T00:00:00" u="1"/>
        <d v="2021-07-25T00:00:00" u="1"/>
        <d v="2022-07-25T00:00:00" u="1"/>
        <d v="2021-08-21T00:00:00" u="1"/>
        <d v="2025-06-29T00:00:00" u="1"/>
        <d v="2022-08-21T00:00:00" u="1"/>
        <d v="2024-07-25T00:00:00" u="1"/>
        <d v="2021-09-17T00:00:00" u="1"/>
        <d v="2022-09-17T00:00:00" u="1"/>
        <d v="2024-08-21T00:00:00" u="1"/>
        <d v="2021-10-13T00:00:00" u="1"/>
        <d v="2023-09-17T00:00:00" u="1"/>
        <d v="2025-08-21T00:00:00" u="1"/>
        <d v="2022-10-13T00:00:00" u="1"/>
        <d v="2024-09-17T00:00:00" u="1"/>
        <d v="2021-11-09T00:00:00" u="1"/>
        <d v="2023-10-13T00:00:00" u="1"/>
        <d v="2025-09-17T00:00:00" u="1"/>
        <d v="2022-11-09T00:00:00" u="1"/>
        <d v="2021-12-05T00:00:00" u="1"/>
        <d v="2023-11-09T00:00:00" u="1"/>
        <d v="2025-10-13T00:00:00" u="1"/>
        <d v="2022-12-05T00:00:00" u="1"/>
        <d v="2024-11-09T00:00:00" u="1"/>
        <d v="2023-12-05T00:00:00" u="1"/>
        <d v="2025-11-09T00:00:00" u="1"/>
        <d v="2021-07-27T00:00:00" u="1"/>
        <d v="2022-07-27T00:00:00" u="1"/>
        <d v="2021-08-23T00:00:00" u="1"/>
        <d v="2022-08-23T00:00:00" u="1"/>
        <d v="2024-07-27T00:00:00" u="1"/>
        <d v="2021-09-19T00:00:00" u="1"/>
        <d v="2022-09-19T00:00:00" u="1"/>
        <d v="2024-08-23T00:00:00" u="1"/>
        <d v="2021-10-15T00:00:00" u="1"/>
        <d v="2025-08-23T00:00:00" u="1"/>
        <d v="2022-10-15T00:00:00" u="1"/>
        <d v="2024-09-19T00:00:00" u="1"/>
        <d v="2021-11-11T00:00:00" u="1"/>
        <d v="2023-10-15T00:00:00" u="1"/>
        <d v="2025-09-19T00:00:00" u="1"/>
        <d v="2022-11-11T00:00:00" u="1"/>
        <d v="2021-12-07T00:00:00" u="1"/>
        <d v="2023-11-11T00:00:00" u="1"/>
        <d v="2025-10-15T00:00:00" u="1"/>
        <d v="2022-12-07T00:00:00" u="1"/>
        <d v="2024-11-11T00:00:00" u="1"/>
        <d v="2023-12-07T00:00:00" u="1"/>
        <d v="2021-07-29T00:00:00" u="1"/>
        <d v="2022-07-29T00:00:00" u="1"/>
        <d v="2021-08-25T00:00:00" u="1"/>
        <d v="2022-08-25T00:00:00" u="1"/>
        <d v="2024-07-29T00:00:00" u="1"/>
        <d v="2021-09-21T00:00:00" u="1"/>
        <d v="2022-09-21T00:00:00" u="1"/>
        <d v="2024-08-25T00:00:00" u="1"/>
        <d v="2021-10-17T00:00:00" u="1"/>
        <d v="2025-08-25T00:00:00" u="1"/>
        <d v="2022-10-17T00:00:00" u="1"/>
        <d v="2024-09-21T00:00:00" u="1"/>
        <d v="2021-11-13T00:00:00" u="1"/>
        <d v="2023-10-17T00:00:00" u="1"/>
        <d v="2025-09-21T00:00:00" u="1"/>
        <d v="2022-11-13T00:00:00" u="1"/>
        <d v="2021-12-09T00:00:00" u="1"/>
        <d v="2023-11-13T00:00:00" u="1"/>
        <d v="2025-10-17T00:00:00" u="1"/>
        <d v="2022-12-09T00:00:00" u="1"/>
        <d v="2024-11-13T00:00:00" u="1"/>
        <d v="2023-12-09T00:00:00" u="1"/>
        <d v="2021-07-31T00:00:00" u="1"/>
        <d v="2022-07-31T00:00:00" u="1"/>
        <d v="2021-08-27T00:00:00" u="1"/>
        <d v="2022-08-27T00:00:00" u="1"/>
        <d v="2024-07-31T00:00:00" u="1"/>
        <d v="2021-09-23T00:00:00" u="1"/>
        <d v="2022-09-23T00:00:00" u="1"/>
        <d v="2024-08-27T00:00:00" u="1"/>
        <d v="2021-10-19T00:00:00" u="1"/>
        <d v="2025-08-27T00:00:00" u="1"/>
        <d v="2022-10-19T00:00:00" u="1"/>
        <d v="2021-11-15T00:00:00" u="1"/>
        <d v="2023-10-19T00:00:00" u="1"/>
        <d v="2022-11-15T00:00:00" u="1"/>
        <d v="2021-12-11T00:00:00" u="1"/>
        <d v="2023-11-15T00:00:00" u="1"/>
        <d v="2025-10-19T00:00:00" u="1"/>
        <d v="2022-12-11T00:00:00" u="1"/>
        <d v="2024-11-15T00:00:00" u="1"/>
        <d v="2023-12-11T00:00:00" u="1"/>
        <d v="2021-08-29T00:00:00" u="1"/>
        <d v="2022-08-29T00:00:00" u="1"/>
        <d v="2021-09-25T00:00:00" u="1"/>
        <d v="2023-08-29T00:00:00" u="1"/>
        <d v="2022-09-25T00:00:00" u="1"/>
        <d v="2024-08-29T00:00:00" u="1"/>
        <d v="2021-10-21T00:00:00" u="1"/>
        <d v="2025-08-29T00:00:00" u="1"/>
        <d v="2022-10-21T00:00:00" u="1"/>
        <d v="2021-11-17T00:00:00" u="1"/>
        <d v="2023-10-21T00:00:00" u="1"/>
        <d v="2022-11-17T00:00:00" u="1"/>
        <d v="2021-12-13T00:00:00" u="1"/>
        <d v="2023-11-17T00:00:00" u="1"/>
        <d v="2025-10-21T00:00:00" u="1"/>
        <d v="2022-12-13T00:00:00" u="1"/>
        <d v="2024-11-17T00:00:00" u="1"/>
        <d v="2023-12-13T00:00:00" u="1"/>
        <d v="2021-08-31T00:00:00" u="1"/>
        <d v="2022-08-31T00:00:00" u="1"/>
        <d v="2021-09-27T00:00:00" u="1"/>
        <d v="2023-08-31T00:00:00" u="1"/>
        <d v="2022-09-27T00:00:00" u="1"/>
        <d v="2024-08-31T00:00:00" u="1"/>
        <d v="2021-10-23T00:00:00" u="1"/>
        <d v="2025-08-31T00:00:00" u="1"/>
        <d v="2022-10-23T00:00:00" u="1"/>
        <d v="2021-11-19T00:00:00" u="1"/>
        <d v="2022-11-19T00:00:00" u="1"/>
        <d v="2021-12-15T00:00:00" u="1"/>
        <d v="2023-11-19T00:00:00" u="1"/>
        <d v="2025-10-23T00:00:00" u="1"/>
        <d v="2022-12-15T00:00:00" u="1"/>
        <d v="2024-11-19T00:00:00" u="1"/>
        <d v="2023-12-15T00:00:00" u="1"/>
      </sharedItems>
    </cacheField>
    <cacheField name="Hr Abs Pure" numFmtId="168">
      <sharedItems containsSemiMixedTypes="0" containsNonDate="0" containsDate="1" containsString="0" minDate="1904-01-01T00:00:00" maxDate="1904-01-01T09:00:00"/>
    </cacheField>
    <cacheField name="Hr Abs Totales" numFmtId="168">
      <sharedItems containsSemiMixedTypes="0" containsNonDate="0" containsDate="1" containsString="0" minDate="1904-01-01T00:00:00" maxDate="1904-01-01T09:00:00"/>
    </cacheField>
    <cacheField name="Semaine" numFmtId="0">
      <sharedItems containsBlank="1" count="55">
        <s v="Sem - 25"/>
        <m u="1"/>
        <s v="Sem - 39" u="1"/>
        <s v="Sem - 49" u="1"/>
        <e v="#REF!" u="1"/>
        <s v="Sem - 11" u="1"/>
        <s v="Sem - 21" u="1"/>
        <s v="Sem - 31" u="1"/>
        <s v="Sem - 14" u="1"/>
        <s v="Sem - 41" u="1"/>
        <s v="Sem - 24" u="1"/>
        <s v="Sem - 51" u="1"/>
        <s v="Sem - 34" u="1"/>
        <s v="Sem - 17" u="1"/>
        <s v="Sem - 44" u="1"/>
        <s v="Sem - 27" u="1"/>
        <s v="Sem - 37" u="1"/>
        <s v="Sem - 47" u="1"/>
        <s v="Sem - 1" u="1"/>
        <s v="Sem - 2" u="1"/>
        <s v="Sem - 3" u="1"/>
        <s v="Sem - 4" u="1"/>
        <s v="Sem - 5" u="1"/>
        <s v="Sem - 6" u="1"/>
        <s v="Sem - 7" u="1"/>
        <s v="Sem - 8" u="1"/>
        <s v="Sem - 9" u="1"/>
        <s v="Sem - 12" u="1"/>
        <s v="Sem - 22" u="1"/>
        <s v="Sem - 32" u="1"/>
        <s v="Sem - 15" u="1"/>
        <s v="Sem - 42" u="1"/>
        <s v="Sem - 52" u="1"/>
        <s v="Sem - 35" u="1"/>
        <s v="Sem - 18" u="1"/>
        <s v="Sem - 45" u="1"/>
        <s v="Sem - 28" u="1"/>
        <s v="Sem - 38" u="1"/>
        <s v="Sem - 48" u="1"/>
        <s v="Sem - 10" u="1"/>
        <s v="Sem - 20" u="1"/>
        <s v="Sem - 30" u="1"/>
        <s v="Sem - 13" u="1"/>
        <s v="Sem - 40" u="1"/>
        <s v="Sem - 23" u="1"/>
        <s v="Sem - 50" u="1"/>
        <s v="Sem - 33" u="1"/>
        <s v="Sem - 16" u="1"/>
        <s v="Sem - 43" u="1"/>
        <s v="Sem - 26" u="1"/>
        <s v="Sem - 53" u="1"/>
        <s v="Sem - 36" u="1"/>
        <s v="Sem - 19" u="1"/>
        <s v="Sem - 46" u="1"/>
        <s v="Sem - 29" u="1"/>
      </sharedItems>
    </cacheField>
    <cacheField name="Mois" numFmtId="0">
      <sharedItems containsBlank="1" count="14">
        <s v="Juin"/>
        <m u="1"/>
        <s v="Juillet" u="1"/>
        <s v="Octobre" u="1"/>
        <s v="Janvier" u="1"/>
        <e v="#REF!" u="1"/>
        <s v="Mai" u="1"/>
        <s v="Décembre" u="1"/>
        <s v="Août" u="1"/>
        <s v="Mars" u="1"/>
        <s v="Avril" u="1"/>
        <s v="Novembre" u="1"/>
        <s v="Septembre" u="1"/>
        <s v="Février" u="1"/>
      </sharedItems>
    </cacheField>
    <cacheField name="Année" numFmtId="170">
      <sharedItems/>
    </cacheField>
    <cacheField name="VTO" numFmtId="166">
      <sharedItems containsNonDate="0" containsString="0" containsBlank="1"/>
    </cacheField>
    <cacheField name="Heures SUP" numFmtId="169">
      <sharedItems containsSemiMixedTypes="0" containsNonDate="0" containsDate="1" containsString="0" minDate="1904-01-01T00:00:00" maxDate="1904-01-02T00:00:00"/>
    </cacheField>
    <cacheField name="Team" numFmtId="168">
      <sharedItems containsDate="1" containsBlank="1" containsMixedTypes="1" minDate="1904-01-01T00:00:00" maxDate="1904-01-02T00:00:00" count="26">
        <s v="OUAQERROUCH Nour-El Houda"/>
        <s v="CHOUIFI Mustapha"/>
        <d v="1904-01-01T00:00:00"/>
        <m u="1"/>
        <s v="EL-FATIMY Charaf Eddine" u="1"/>
        <s v="-" u="1"/>
        <s v="GOURARI Abdelssadek" u="1"/>
        <s v="MOUFARREH SANAE" u="1"/>
        <s v="IBRAHIM Ayoub" u="1"/>
        <s v="BELQASMI El Mehdi" u="1"/>
        <s v="ALLAM Youssef" u="1"/>
        <s v="CHERKAOUI Tarek" u="1"/>
        <s v="EL JOUHARI Ussama" u="1"/>
        <s v="EL JAOUHARI Ussama" u="1"/>
        <s v="EL ANBOURI HAMZA" u="1"/>
        <s v="BA DEMBA" u="1"/>
        <s v="OUAQERROUCH Nour El Houda" u="1"/>
        <s v="BENKARROUJE Dounia" u="1"/>
        <s v="HMIDOUCH Fouad" u="1"/>
        <s v="EL HARRATI Badreddine" u="1"/>
        <s v="ELMQUIRMI Ilias-Nabil" u="1"/>
        <s v="EL HADIRI Chaimae" u="1"/>
        <s v="JANAH Khalil" u="1"/>
        <s v="DOURAFEI Ikram" u="1"/>
        <s v="OUQERROUCH NOUR ELHOUDA" u="1"/>
        <s v="ABBADI Ihsane" u="1"/>
      </sharedItems>
    </cacheField>
    <cacheField name="Business" numFmtId="168">
      <sharedItems containsBlank="1" count="7">
        <s v="Google Leads"/>
        <m u="1"/>
        <s v="DAC Crédit" u="1"/>
        <s v="-" u="1"/>
        <s v="Credit Mutuel" u="1"/>
        <s v="COFIDIS" u="1"/>
        <s v="FLOA" u="1"/>
      </sharedItems>
    </cacheField>
    <cacheField name="Statut" numFmtId="168">
      <sharedItems containsDate="1" containsBlank="1" containsMixedTypes="1" minDate="1904-01-01T00:00:00" maxDate="1904-01-02T00:00:00" count="8">
        <s v="Forfaitaire"/>
        <d v="1904-01-01T00:00:00"/>
        <s v="Sortie" u="1"/>
        <m u="1"/>
        <s v="FT" u="1"/>
        <s v="INTERIM" u="1"/>
        <s v="-" u="1"/>
        <s v="Mission" u="1"/>
      </sharedItems>
    </cacheField>
    <cacheField name="Congé payé" numFmtId="168">
      <sharedItems/>
    </cacheField>
    <cacheField name="Congé sans solde" numFmtId="168">
      <sharedItems containsDate="1" containsMixedTypes="1" minDate="1904-01-01T08:00:00" maxDate="1904-01-01T08:00:00"/>
    </cacheField>
    <cacheField name="Congé spécial" numFmtId="168">
      <sharedItems/>
    </cacheField>
    <cacheField name="Jour férié" numFmtId="168">
      <sharedItems/>
    </cacheField>
    <cacheField name="Commentaire" numFmtId="168">
      <sharedItems containsNonDate="0" containsString="0" containsBlank="1"/>
    </cacheField>
    <cacheField name="Plannif spécial" numFmtId="168">
      <sharedItems containsNonDate="0" containsString="0" containsBlank="1"/>
    </cacheField>
    <cacheField name="Tx Abs (%)" numFmtId="0" formula=" IFERROR('Hr Abs Totales'/'Hr Planifiée',0)" databaseField="0"/>
    <cacheField name="Théorique" numFmtId="0" formula="'Hr Planifiée'+'Congé payé'+'Congé sans solde'+'Congé spécial'" databaseField="0"/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eau croisé dynamique5" cacheId="93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compact="0" compactData="0" multipleFieldFilters="0">
  <location ref="G4:I38" firstHeaderRow="1" firstDataRow="1" firstDataCol="2" rowPageCount="2" colPageCount="1"/>
  <pivotFields count="35">
    <pivotField compact="0" numFmtId="165" outline="0" showAll="0" defaultSubtotal="0"/>
    <pivotField axis="axisRow" compact="0" outline="0" showAll="0" sortType="descending" defaultSubtotal="0">
      <items count="223">
        <item sd="0" m="1" x="206"/>
        <item sd="0" m="1" x="194"/>
        <item sd="0" m="1" x="161"/>
        <item sd="0" m="1" x="49"/>
        <item sd="0" m="1" x="178"/>
        <item sd="0" m="1" x="149"/>
        <item sd="0" m="1" x="211"/>
        <item sd="0" m="1" x="76"/>
        <item sd="0" m="1" x="82"/>
        <item sd="0" m="1" x="155"/>
        <item sd="0" m="1" x="51"/>
        <item sd="0" m="1" x="197"/>
        <item sd="0" m="1" x="87"/>
        <item sd="0" m="1" x="66"/>
        <item sd="0" m="1" x="61"/>
        <item sd="0" m="1" x="52"/>
        <item sd="0" m="1" x="86"/>
        <item sd="0" m="1" x="45"/>
        <item sd="0" m="1" x="156"/>
        <item sd="0" m="1" x="198"/>
        <item sd="0" m="1" x="93"/>
        <item sd="0" m="1" x="169"/>
        <item sd="0" m="1" x="210"/>
        <item sd="0" m="1" x="42"/>
        <item sd="0" m="1" x="94"/>
        <item sd="0" m="1" x="137"/>
        <item sd="0" m="1" x="138"/>
        <item sd="0" m="1" x="67"/>
        <item sd="0" m="1" x="207"/>
        <item sd="0" m="1" x="204"/>
        <item sd="0" m="1" x="104"/>
        <item sd="0" m="1" x="179"/>
        <item sd="0" m="1" x="75"/>
        <item sd="0" m="1" x="180"/>
        <item sd="0" m="1" x="121"/>
        <item sd="0" m="1" x="145"/>
        <item sd="0" m="1" x="127"/>
        <item sd="0" m="1" x="35"/>
        <item sd="0" m="1" x="143"/>
        <item sd="0" m="1" x="91"/>
        <item sd="0" m="1" x="120"/>
        <item sd="0" m="1" x="174"/>
        <item sd="0" m="1" x="107"/>
        <item sd="0" m="1" x="141"/>
        <item sd="0" m="1" x="115"/>
        <item sd="0" m="1" x="34"/>
        <item sd="0" m="1" x="97"/>
        <item sd="0" m="1" x="125"/>
        <item sd="0" m="1" x="192"/>
        <item sd="0" m="1" x="60"/>
        <item sd="0" m="1" x="158"/>
        <item sd="0" m="1" x="85"/>
        <item sd="0" m="1" x="200"/>
        <item sd="0" m="1" x="44"/>
        <item sd="0" m="1" x="202"/>
        <item sd="0" m="1" x="186"/>
        <item sd="0" m="1" x="201"/>
        <item sd="0" m="1" x="100"/>
        <item sd="0" m="1" x="166"/>
        <item sd="0" m="1" x="83"/>
        <item sd="0" m="1" x="126"/>
        <item sd="0" m="1" x="110"/>
        <item sd="0" m="1" x="142"/>
        <item sd="0" m="1" x="102"/>
        <item sd="0" m="1" x="199"/>
        <item sd="0" m="1" x="101"/>
        <item sd="0" m="1" x="64"/>
        <item sd="0" m="1" x="219"/>
        <item sd="0" m="1" x="129"/>
        <item sd="0" m="1" x="152"/>
        <item sd="0" m="1" x="213"/>
        <item sd="0" m="1" x="170"/>
        <item sd="0" m="1" x="218"/>
        <item sd="0" m="1" x="80"/>
        <item sd="0" m="1" x="214"/>
        <item sd="0" m="1" x="132"/>
        <item sd="0" m="1" x="81"/>
        <item sd="0" m="1" x="47"/>
        <item sd="0" m="1" x="172"/>
        <item sd="0" m="1" x="146"/>
        <item sd="0" m="1" x="185"/>
        <item sd="0" m="1" x="59"/>
        <item sd="0" m="1" x="50"/>
        <item sd="0" m="1" x="56"/>
        <item sd="0" m="1" x="196"/>
        <item sd="0" m="1" x="176"/>
        <item sd="0" m="1" x="171"/>
        <item sd="0" m="1" x="217"/>
        <item sd="0" m="1" x="122"/>
        <item sd="0" m="1" x="191"/>
        <item sd="0" m="1" x="151"/>
        <item sd="0" m="1" x="183"/>
        <item sd="0" m="1" x="78"/>
        <item sd="0" m="1" x="108"/>
        <item sd="0" m="1" x="144"/>
        <item sd="0" m="1" x="111"/>
        <item sd="0" m="1" x="168"/>
        <item sd="0" m="1" x="109"/>
        <item sd="0" m="1" x="46"/>
        <item sd="0" m="1" x="117"/>
        <item sd="0" m="1" x="148"/>
        <item sd="0" m="1" x="96"/>
        <item m="1" x="55"/>
        <item m="1" x="216"/>
        <item sd="0" m="1" x="119"/>
        <item sd="0" m="1" x="162"/>
        <item sd="0" m="1" x="139"/>
        <item sd="0" m="1" x="182"/>
        <item sd="0" m="1" x="190"/>
        <item sd="0" m="1" x="58"/>
        <item sd="0" m="1" x="175"/>
        <item sd="0" m="1" x="157"/>
        <item sd="0" m="1" x="177"/>
        <item sd="0" m="1" x="38"/>
        <item sd="0" m="1" x="205"/>
        <item sd="0" m="1" x="203"/>
        <item sd="0" m="1" x="40"/>
        <item sd="0" m="1" x="209"/>
        <item sd="0" m="1" x="118"/>
        <item sd="0" m="1" x="134"/>
        <item sd="0" m="1" x="165"/>
        <item sd="0" m="1" x="135"/>
        <item sd="0" m="1" x="103"/>
        <item sd="0" m="1" x="212"/>
        <item sd="0" m="1" x="147"/>
        <item sd="0" x="27"/>
        <item sd="0" m="1" x="167"/>
        <item sd="0" m="1" x="163"/>
        <item sd="0" m="1" x="154"/>
        <item sd="0" m="1" x="73"/>
        <item sd="0" m="1" x="41"/>
        <item sd="0" m="1" x="98"/>
        <item sd="0" x="9"/>
        <item sd="0" m="1" x="153"/>
        <item sd="0" m="1" x="70"/>
        <item sd="0" m="1" x="63"/>
        <item sd="0" m="1" x="184"/>
        <item sd="0" m="1" x="33"/>
        <item sd="0" m="1" x="90"/>
        <item sd="0" m="1" x="136"/>
        <item sd="0" m="1" x="68"/>
        <item sd="0" m="1" x="124"/>
        <item sd="0" x="14"/>
        <item sd="0" x="28"/>
        <item sd="0" m="1" x="112"/>
        <item sd="0" m="1" x="79"/>
        <item sd="0" m="1" x="77"/>
        <item sd="0" m="1" x="89"/>
        <item sd="0" m="1" x="69"/>
        <item sd="0" m="1" x="105"/>
        <item sd="0" m="1" x="221"/>
        <item sd="0" m="1" x="62"/>
        <item sd="0" m="1" x="188"/>
        <item sd="0" m="1" x="57"/>
        <item sd="0" m="1" x="160"/>
        <item sd="0" m="1" x="39"/>
        <item sd="0" x="1"/>
        <item sd="0" x="2"/>
        <item sd="0" m="1" x="71"/>
        <item sd="0" m="1" x="99"/>
        <item sd="0" m="1" x="128"/>
        <item sd="0" x="4"/>
        <item sd="0" m="1" x="54"/>
        <item sd="0" m="1" x="159"/>
        <item sd="0" x="3"/>
        <item sd="0" x="29"/>
        <item sd="0" m="1" x="116"/>
        <item sd="0" m="1" x="195"/>
        <item sd="0" m="1" x="72"/>
        <item sd="0" m="1" x="220"/>
        <item sd="0" m="1" x="113"/>
        <item sd="0" m="1" x="189"/>
        <item sd="0" m="1" x="37"/>
        <item sd="0" m="1" x="140"/>
        <item sd="0" m="1" x="84"/>
        <item sd="0" m="1" x="131"/>
        <item sd="0" m="1" x="106"/>
        <item sd="0" m="1" x="133"/>
        <item sd="0" m="1" x="187"/>
        <item sd="0" m="1" x="173"/>
        <item sd="0" x="30"/>
        <item sd="0" m="1" x="114"/>
        <item sd="0" m="1" x="208"/>
        <item sd="0" x="15"/>
        <item sd="0" m="1" x="36"/>
        <item sd="0" x="26"/>
        <item sd="0" m="1" x="123"/>
        <item sd="0" x="23"/>
        <item sd="0" m="1" x="53"/>
        <item sd="0" m="1" x="164"/>
        <item sd="0" m="1" x="92"/>
        <item sd="0" m="1" x="193"/>
        <item sd="0" x="24"/>
        <item sd="0" m="1" x="222"/>
        <item sd="0" m="1" x="43"/>
        <item sd="0" m="1" x="65"/>
        <item sd="0" x="5"/>
        <item sd="0" x="16"/>
        <item sd="0" m="1" x="88"/>
        <item sd="0" m="1" x="181"/>
        <item sd="0" x="10"/>
        <item sd="0" m="1" x="130"/>
        <item sd="0" m="1" x="74"/>
        <item sd="0" m="1" x="95"/>
        <item sd="0" x="32"/>
        <item sd="0" x="17"/>
        <item sd="0" x="18"/>
        <item sd="0" m="1" x="150"/>
        <item sd="0" x="6"/>
        <item sd="0" x="19"/>
        <item sd="0" m="1" x="48"/>
        <item sd="0" x="11"/>
        <item sd="0" x="0"/>
        <item sd="0" x="25"/>
        <item sd="0" x="31"/>
        <item sd="0" x="20"/>
        <item sd="0" x="21"/>
        <item sd="0" x="22"/>
        <item sd="0" x="7"/>
        <item m="1" x="215"/>
        <item sd="0" x="8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2">
        <item m="1" x="1"/>
        <item x="0"/>
      </items>
    </pivotField>
    <pivotField axis="axisRow" compact="0" outline="0" multipleItemSelectionAllowed="1" showAll="0">
      <items count="1204">
        <item m="1" x="1026"/>
        <item m="1" x="430"/>
        <item m="1" x="1053"/>
        <item m="1" x="454"/>
        <item m="1" x="1079"/>
        <item m="1" x="480"/>
        <item m="1" x="1104"/>
        <item m="1" x="503"/>
        <item m="1" x="1126"/>
        <item m="1" x="525"/>
        <item m="1" x="1148"/>
        <item m="1" x="858"/>
        <item m="1" x="271"/>
        <item m="1" x="883"/>
        <item m="1" x="290"/>
        <item m="1" x="899"/>
        <item m="1" x="306"/>
        <item m="1" x="919"/>
        <item m="1" x="327"/>
        <item m="1" x="940"/>
        <item m="1" x="349"/>
        <item m="1" x="967"/>
        <item m="1" x="371"/>
        <item m="1" x="988"/>
        <item m="1" x="391"/>
        <item m="1" x="1008"/>
        <item m="1" x="1004"/>
        <item m="1" x="408"/>
        <item m="1" x="412"/>
        <item m="1" x="1030"/>
        <item m="1" x="433"/>
        <item m="1" x="1056"/>
        <item m="1" x="456"/>
        <item m="1" x="1081"/>
        <item m="1" x="482"/>
        <item m="1" x="1106"/>
        <item m="1" x="505"/>
        <item m="1" x="1128"/>
        <item m="1" x="527"/>
        <item m="1" x="1150"/>
        <item m="1" x="546"/>
        <item m="1" x="1168"/>
        <item m="1" x="564"/>
        <item m="1" x="1186"/>
        <item m="1" x="903"/>
        <item m="1" x="310"/>
        <item m="1" x="923"/>
        <item m="1" x="331"/>
        <item m="1" x="944"/>
        <item m="1" x="353"/>
        <item m="1" x="971"/>
        <item m="1" x="375"/>
        <item m="1" x="991"/>
        <item m="1" x="394"/>
        <item m="1" x="1012"/>
        <item m="1" x="1034"/>
        <item m="1" x="437"/>
        <item m="1" x="1060"/>
        <item m="1" x="460"/>
        <item m="1" x="1085"/>
        <item m="1" x="486"/>
        <item m="1" x="508"/>
        <item m="1" x="1131"/>
        <item m="1" x="416"/>
        <item m="1" x="1109"/>
        <item m="1" x="530"/>
        <item m="1" x="1153"/>
        <item m="1" x="548"/>
        <item m="1" x="1170"/>
        <item m="1" x="566"/>
        <item m="1" x="1188"/>
        <item m="1" x="582"/>
        <item m="1" x="8"/>
        <item m="1" x="596"/>
        <item m="1" x="948"/>
        <item m="1" x="356"/>
        <item m="1" x="974"/>
        <item m="1" x="377"/>
        <item m="1" x="993"/>
        <item m="1" x="396"/>
        <item m="1" x="1014"/>
        <item m="1" x="418"/>
        <item m="1" x="1036"/>
        <item m="1" x="439"/>
        <item m="1" x="1063"/>
        <item m="1" x="463"/>
        <item m="1" x="1088"/>
        <item m="1" x="489"/>
        <item m="1" x="1112"/>
        <item m="1" x="511"/>
        <item m="1" x="1134"/>
        <item m="1" x="533"/>
        <item m="1" x="1156"/>
        <item m="1" x="552"/>
        <item m="1" x="1174"/>
        <item m="1" x="570"/>
        <item m="1" x="1192"/>
        <item m="1" x="584"/>
        <item m="1" x="10"/>
        <item m="1" x="598"/>
        <item m="1" x="22"/>
        <item m="1" x="610"/>
        <item m="1" x="33"/>
        <item m="1" x="625"/>
        <item m="1" x="47"/>
        <item m="1" x="996"/>
        <item m="1" x="399"/>
        <item m="1" x="1017"/>
        <item m="1" x="421"/>
        <item m="1" x="1039"/>
        <item m="1" x="443"/>
        <item m="1" x="1067"/>
        <item m="1" x="468"/>
        <item m="1" x="1093"/>
        <item m="1" x="493"/>
        <item m="1" x="1116"/>
        <item m="1" x="515"/>
        <item m="1" x="1138"/>
        <item m="1" x="537"/>
        <item m="1" x="1159"/>
        <item m="1" x="555"/>
        <item m="1" x="1177"/>
        <item m="1" x="573"/>
        <item m="1" x="1195"/>
        <item m="1" x="586"/>
        <item m="1" x="12"/>
        <item m="1" x="600"/>
        <item m="1" x="24"/>
        <item m="1" x="612"/>
        <item m="1" x="35"/>
        <item m="1" x="627"/>
        <item m="1" x="49"/>
        <item m="1" x="640"/>
        <item m="1" x="62"/>
        <item m="1" x="653"/>
        <item m="1" x="1042"/>
        <item m="1" x="446"/>
        <item m="1" x="1071"/>
        <item m="1" x="472"/>
        <item m="1" x="1097"/>
        <item m="1" x="497"/>
        <item m="1" x="1120"/>
        <item m="1" x="519"/>
        <item m="1" x="1142"/>
        <item m="1" x="540"/>
        <item m="1" x="1162"/>
        <item m="1" x="558"/>
        <item m="1" x="1180"/>
        <item m="1" x="576"/>
        <item m="1" x="1197"/>
        <item m="1" x="588"/>
        <item m="1" x="14"/>
        <item m="1" x="602"/>
        <item m="1" x="26"/>
        <item m="1" x="615"/>
        <item m="1" x="38"/>
        <item m="1" x="631"/>
        <item m="1" x="53"/>
        <item m="1" x="642"/>
        <item m="1" x="64"/>
        <item m="1" x="655"/>
        <item m="1" x="76"/>
        <item m="1" x="668"/>
        <item m="1" x="87"/>
        <item m="1" x="683"/>
        <item m="1" x="102"/>
        <item m="1" x="621"/>
        <item m="1" x="44"/>
        <item m="1" x="637"/>
        <item m="1" x="59"/>
        <item m="1" x="648"/>
        <item m="1" x="70"/>
        <item m="1" x="662"/>
        <item m="1" x="81"/>
        <item m="1" x="673"/>
        <item m="1" x="92"/>
        <item m="1" x="688"/>
        <item m="1" x="107"/>
        <item m="1" x="699"/>
        <item m="1" x="117"/>
        <item m="1" x="713"/>
        <item m="1" x="131"/>
        <item m="1" x="728"/>
        <item m="1" x="145"/>
        <item m="1" x="745"/>
        <item m="1" x="160"/>
        <item m="1" x="760"/>
        <item m="1" x="173"/>
        <item m="1" x="775"/>
        <item m="1" x="190"/>
        <item m="1" x="792"/>
        <item m="1" x="207"/>
        <item m="1" x="815"/>
        <item m="1" x="229"/>
        <item m="1" x="839"/>
        <item m="1" x="252"/>
        <item m="1" x="864"/>
        <item m="1" x="649"/>
        <item m="1" x="71"/>
        <item m="1" x="663"/>
        <item m="1" x="82"/>
        <item m="1" x="675"/>
        <item m="1" x="94"/>
        <item m="1" x="690"/>
        <item m="1" x="109"/>
        <item m="1" x="701"/>
        <item m="1" x="119"/>
        <item m="1" x="715"/>
        <item m="1" x="133"/>
        <item m="1" x="730"/>
        <item m="1" x="147"/>
        <item m="1" x="747"/>
        <item m="1" x="162"/>
        <item m="1" x="762"/>
        <item m="1" x="175"/>
        <item m="1" x="777"/>
        <item m="1" x="192"/>
        <item m="1" x="794"/>
        <item m="1" x="209"/>
        <item m="1" x="817"/>
        <item m="1" x="231"/>
        <item m="1" x="841"/>
        <item m="1" x="254"/>
        <item m="1" x="866"/>
        <item m="1" x="277"/>
        <item m="1" x="678"/>
        <item m="1" x="96"/>
        <item m="1" x="692"/>
        <item m="1" x="111"/>
        <item m="1" x="703"/>
        <item m="1" x="121"/>
        <item m="1" x="718"/>
        <item m="1" x="136"/>
        <item m="1" x="734"/>
        <item m="1" x="151"/>
        <item m="1" x="751"/>
        <item m="1" x="166"/>
        <item m="1" x="179"/>
        <item m="1" x="781"/>
        <item m="1" x="196"/>
        <item m="1" x="798"/>
        <item m="1" x="212"/>
        <item m="1" x="820"/>
        <item m="1" x="234"/>
        <item m="1" x="844"/>
        <item m="1" x="257"/>
        <item m="1" x="869"/>
        <item m="1" x="279"/>
        <item m="1" x="889"/>
        <item m="1" x="297"/>
        <item m="1" x="910"/>
        <item m="1" x="317"/>
        <item m="1" x="930"/>
        <item m="1" x="338"/>
        <item m="1" x="953"/>
        <item m="1" x="706"/>
        <item m="1" x="124"/>
        <item m="1" x="721"/>
        <item m="1" x="138"/>
        <item m="1" x="736"/>
        <item m="1" x="153"/>
        <item m="1" x="753"/>
        <item m="1" x="168"/>
        <item m="1" x="768"/>
        <item m="1" x="182"/>
        <item m="1" x="784"/>
        <item m="1" x="199"/>
        <item m="1" x="801"/>
        <item m="1" x="215"/>
        <item m="1" x="823"/>
        <item m="1" x="236"/>
        <item m="1" x="846"/>
        <item m="1" x="260"/>
        <item m="1" x="872"/>
        <item m="1" x="282"/>
        <item m="1" x="892"/>
        <item m="1" x="299"/>
        <item m="1" x="912"/>
        <item m="1" x="319"/>
        <item m="1" x="932"/>
        <item m="1" x="340"/>
        <item m="1" x="955"/>
        <item m="1" x="361"/>
        <item m="1" x="978"/>
        <item m="1" x="381"/>
        <item m="1" x="740"/>
        <item m="1" x="32"/>
        <item m="1" x="156"/>
        <item m="1" x="756"/>
        <item m="1" x="170"/>
        <item m="1" x="770"/>
        <item m="1" x="184"/>
        <item m="1" x="786"/>
        <item m="1" x="201"/>
        <item m="1" x="804"/>
        <item m="1" x="218"/>
        <item m="1" x="826"/>
        <item m="1" x="239"/>
        <item m="1" x="849"/>
        <item m="1" x="263"/>
        <item m="1" x="875"/>
        <item m="1" x="284"/>
        <item m="1" x="894"/>
        <item m="1" x="301"/>
        <item m="1" x="914"/>
        <item m="1" x="321"/>
        <item m="1" x="934"/>
        <item m="1" x="342"/>
        <item m="1" x="958"/>
        <item m="1" x="363"/>
        <item m="1" x="980"/>
        <item m="1" x="383"/>
        <item m="1" x="1000"/>
        <item m="1" x="404"/>
        <item m="1" x="1023"/>
        <item m="1" x="427"/>
        <item m="1" x="1050"/>
        <item m="1" x="773"/>
        <item m="1" x="187"/>
        <item m="1" x="789"/>
        <item m="1" x="204"/>
        <item m="1" x="807"/>
        <item m="1" x="221"/>
        <item m="1" x="829"/>
        <item m="1" x="242"/>
        <item m="1" x="852"/>
        <item m="1" x="266"/>
        <item m="1" x="878"/>
        <item m="1" x="287"/>
        <item m="1" x="896"/>
        <item m="1" x="303"/>
        <item m="1" x="916"/>
        <item m="1" x="323"/>
        <item m="1" x="936"/>
        <item m="1" x="345"/>
        <item m="1" x="961"/>
        <item m="1" x="365"/>
        <item m="1" x="982"/>
        <item m="1" x="385"/>
        <item m="1" x="1002"/>
        <item m="1" x="406"/>
        <item m="1" x="1024"/>
        <item m="1" x="428"/>
        <item m="1" x="1051"/>
        <item m="1" x="453"/>
        <item m="1" x="1078"/>
        <item m="1" x="479"/>
        <item m="1" x="810"/>
        <item m="1" x="224"/>
        <item m="1" x="832"/>
        <item m="1" x="245"/>
        <item m="1" x="855"/>
        <item m="1" x="269"/>
        <item m="1" x="881"/>
        <item m="1" x="288"/>
        <item m="1" x="897"/>
        <item m="1" x="304"/>
        <item m="1" x="389"/>
        <item m="1" x="1006"/>
        <item m="1" x="410"/>
        <item m="1" x="1028"/>
        <item m="1" x="431"/>
        <item m="1" x="1054"/>
        <item m="1" x="455"/>
        <item m="1" x="1080"/>
        <item m="1" x="481"/>
        <item m="1" x="1105"/>
        <item m="1" x="504"/>
        <item m="1" x="1127"/>
        <item m="1" x="526"/>
        <item m="1" x="1149"/>
        <item m="1" x="860"/>
        <item m="1" x="273"/>
        <item m="1" x="885"/>
        <item m="1" x="292"/>
        <item m="1" x="901"/>
        <item m="1" x="308"/>
        <item m="1" x="921"/>
        <item m="1" x="329"/>
        <item m="1" x="942"/>
        <item m="1" x="351"/>
        <item m="1" x="969"/>
        <item m="1" x="373"/>
        <item m="1" x="989"/>
        <item m="1" x="392"/>
        <item m="1" x="1010"/>
        <item m="1" x="414"/>
        <item m="1" x="1032"/>
        <item m="1" x="435"/>
        <item m="1" x="1058"/>
        <item m="1" x="458"/>
        <item m="1" x="1083"/>
        <item m="1" x="484"/>
        <item m="1" x="1107"/>
        <item m="1" x="506"/>
        <item m="1" x="1129"/>
        <item m="1" x="528"/>
        <item m="1" x="1151"/>
        <item m="1" x="547"/>
        <item m="1" x="1169"/>
        <item m="1" x="565"/>
        <item m="1" x="1187"/>
        <item m="1" x="905"/>
        <item m="1" x="312"/>
        <item m="1" x="925"/>
        <item m="1" x="333"/>
        <item m="1" x="946"/>
        <item m="1" x="354"/>
        <item m="1" x="972"/>
        <item m="1" x="376"/>
        <item m="1" x="992"/>
        <item m="1" x="395"/>
        <item m="1" x="1013"/>
        <item m="1" x="417"/>
        <item m="1" x="1035"/>
        <item m="1" x="438"/>
        <item m="1" x="1061"/>
        <item m="1" x="461"/>
        <item m="1" x="1086"/>
        <item m="1" x="487"/>
        <item m="1" x="1110"/>
        <item m="1" x="509"/>
        <item m="1" x="1132"/>
        <item m="1" x="531"/>
        <item m="1" x="1154"/>
        <item m="1" x="550"/>
        <item m="1" x="1172"/>
        <item m="1" x="568"/>
        <item m="1" x="1190"/>
        <item m="1" x="583"/>
        <item m="1" x="9"/>
        <item m="1" x="597"/>
        <item m="1" x="951"/>
        <item m="1" x="359"/>
        <item m="1" x="976"/>
        <item m="1" x="379"/>
        <item m="1" x="995"/>
        <item m="1" x="398"/>
        <item m="1" x="1016"/>
        <item m="1" x="420"/>
        <item m="1" x="1038"/>
        <item m="1" x="442"/>
        <item m="1" x="1066"/>
        <item m="1" x="466"/>
        <item m="1" x="1091"/>
        <item m="1" x="491"/>
        <item m="1" x="1114"/>
        <item m="1" x="513"/>
        <item m="1" x="1136"/>
        <item m="1" x="535"/>
        <item m="1" x="1158"/>
        <item m="1" x="554"/>
        <item m="1" x="1176"/>
        <item m="1" x="572"/>
        <item m="1" x="1194"/>
        <item m="1" x="585"/>
        <item m="1" x="11"/>
        <item m="1" x="599"/>
        <item m="1" x="23"/>
        <item m="1" x="611"/>
        <item m="1" x="34"/>
        <item m="1" x="626"/>
        <item m="1" x="48"/>
        <item m="1" x="997"/>
        <item m="1" x="400"/>
        <item m="1" x="1018"/>
        <item m="1" x="422"/>
        <item m="1" x="1041"/>
        <item m="1" x="445"/>
        <item m="1" x="539"/>
        <item m="1" x="1161"/>
        <item m="1" x="471"/>
        <item m="1" x="557"/>
        <item m="1" x="1096"/>
        <item m="1" x="1179"/>
        <item m="1" x="496"/>
        <item m="1" x="575"/>
        <item m="1" x="1119"/>
        <item m="1" x="1196"/>
        <item m="1" x="518"/>
        <item m="1" x="587"/>
        <item m="1" x="1141"/>
        <item m="1" x="1070"/>
        <item m="1" x="13"/>
        <item m="1" x="601"/>
        <item m="1" x="25"/>
        <item m="1" x="613"/>
        <item m="1" x="36"/>
        <item m="1" x="629"/>
        <item m="1" x="51"/>
        <item m="1" x="641"/>
        <item m="1" x="63"/>
        <item m="1" x="654"/>
        <item m="1" x="1045"/>
        <item m="1" x="449"/>
        <item m="1" x="1074"/>
        <item m="1" x="475"/>
        <item m="1" x="1100"/>
        <item m="1" x="500"/>
        <item m="1" x="1123"/>
        <item m="1" x="522"/>
        <item m="1" x="1145"/>
        <item m="1" x="543"/>
        <item m="1" x="1165"/>
        <item m="1" x="561"/>
        <item m="1" x="1183"/>
        <item m="1" x="579"/>
        <item m="1" x="1200"/>
        <item m="1" x="591"/>
        <item m="1" x="17"/>
        <item m="1" x="605"/>
        <item m="1" x="657"/>
        <item m="1" x="77"/>
        <item m="1" x="669"/>
        <item m="1" x="88"/>
        <item m="1" x="684"/>
        <item m="1" x="103"/>
        <item m="1" x="622"/>
        <item m="1" x="674"/>
        <item m="1" x="93"/>
        <item m="1" x="689"/>
        <item m="1" x="108"/>
        <item m="1" x="700"/>
        <item m="1" x="118"/>
        <item m="1" x="714"/>
        <item m="1" x="132"/>
        <item m="1" x="729"/>
        <item m="1" x="146"/>
        <item m="1" x="746"/>
        <item m="1" x="161"/>
        <item m="1" x="761"/>
        <item m="1" x="174"/>
        <item m="1" x="776"/>
        <item m="1" x="191"/>
        <item m="1" x="793"/>
        <item m="1" x="208"/>
        <item m="1" x="816"/>
        <item m="1" x="230"/>
        <item m="1" x="840"/>
        <item m="1" x="253"/>
        <item m="1" x="865"/>
        <item m="1" x="650"/>
        <item m="1" x="72"/>
        <item m="1" x="664"/>
        <item m="1" x="83"/>
        <item m="1" x="676"/>
        <item m="1" x="732"/>
        <item m="1" x="149"/>
        <item m="1" x="749"/>
        <item m="1" x="164"/>
        <item m="1" x="764"/>
        <item m="1" x="177"/>
        <item m="1" x="779"/>
        <item m="1" x="194"/>
        <item m="1" x="796"/>
        <item m="1" x="211"/>
        <item m="1" x="819"/>
        <item m="1" x="233"/>
        <item m="1" x="843"/>
        <item m="1" x="256"/>
        <item m="1" x="868"/>
        <item m="1" x="278"/>
        <item m="1" x="680"/>
        <item m="1" x="98"/>
        <item m="1" x="694"/>
        <item m="1" x="113"/>
        <item m="1" x="705"/>
        <item m="1" x="123"/>
        <item m="1" x="720"/>
        <item m="1" x="137"/>
        <item m="1" x="735"/>
        <item m="1" x="152"/>
        <item m="1" x="752"/>
        <item m="1" x="167"/>
        <item m="1" x="766"/>
        <item m="1" x="180"/>
        <item m="1" x="782"/>
        <item m="1" x="197"/>
        <item m="1" x="799"/>
        <item m="1" x="213"/>
        <item m="1" x="821"/>
        <item m="1" x="235"/>
        <item m="1" x="845"/>
        <item m="1" x="259"/>
        <item m="1" x="871"/>
        <item m="1" x="281"/>
        <item m="1" x="891"/>
        <item m="1" x="298"/>
        <item m="1" x="911"/>
        <item m="1" x="318"/>
        <item m="1" x="931"/>
        <item m="1" x="339"/>
        <item m="1" x="954"/>
        <item m="1" x="708"/>
        <item m="1" x="126"/>
        <item m="1" x="723"/>
        <item m="1" x="140"/>
        <item m="1" x="738"/>
        <item m="1" x="155"/>
        <item m="1" x="755"/>
        <item m="1" x="169"/>
        <item m="1" x="769"/>
        <item m="1" x="183"/>
        <item m="1" x="785"/>
        <item m="1" x="200"/>
        <item m="1" x="802"/>
        <item m="1" x="216"/>
        <item m="1" x="824"/>
        <item m="1" x="237"/>
        <item m="1" x="847"/>
        <item m="1" x="261"/>
        <item m="1" x="873"/>
        <item m="1" x="283"/>
        <item m="1" x="893"/>
        <item m="1" x="300"/>
        <item m="1" x="913"/>
        <item m="1" x="320"/>
        <item m="1" x="933"/>
        <item m="1" x="341"/>
        <item m="1" x="956"/>
        <item m="1" x="362"/>
        <item m="1" x="979"/>
        <item m="1" x="382"/>
        <item m="1" x="741"/>
        <item m="1" x="157"/>
        <item m="1" x="757"/>
        <item m="1" x="171"/>
        <item m="1" x="771"/>
        <item m="1" x="185"/>
        <item m="1" x="787"/>
        <item m="1" x="202"/>
        <item m="1" x="805"/>
        <item m="1" x="219"/>
        <item m="1" x="827"/>
        <item m="1" x="240"/>
        <item m="1" x="850"/>
        <item m="1" x="264"/>
        <item m="1" x="876"/>
        <item m="1" x="285"/>
        <item m="1" x="895"/>
        <item m="1" x="302"/>
        <item m="1" x="915"/>
        <item m="1" x="322"/>
        <item m="1" x="935"/>
        <item m="1" x="344"/>
        <item m="1" x="960"/>
        <item m="1" x="364"/>
        <item m="1" x="981"/>
        <item m="1" x="384"/>
        <item m="1" x="1001"/>
        <item m="1" x="405"/>
        <item m="1" x="809"/>
        <item m="1" x="223"/>
        <item m="1" x="831"/>
        <item m="1" x="244"/>
        <item m="1" x="854"/>
        <item m="1" x="268"/>
        <item m="1" x="880"/>
        <item m="1" x="964"/>
        <item m="1" x="368"/>
        <item m="1" x="985"/>
        <item m="1" x="388"/>
        <item m="1" x="1005"/>
        <item m="1" x="409"/>
        <item m="1" x="1027"/>
        <item m="1" x="835"/>
        <item m="1" x="248"/>
        <item m="1" x="859"/>
        <item m="1" x="272"/>
        <item m="1" x="884"/>
        <item m="1" x="291"/>
        <item m="1" x="900"/>
        <item m="1" x="307"/>
        <item m="1" x="920"/>
        <item m="1" x="328"/>
        <item m="1" x="941"/>
        <item m="1" x="350"/>
        <item m="1" x="968"/>
        <item m="1" x="372"/>
        <item m="1" x="549"/>
        <item m="1" x="1171"/>
        <item m="1" x="567"/>
        <item m="1" x="1189"/>
        <item m="1" x="907"/>
        <item m="1" x="314"/>
        <item m="1" x="927"/>
        <item m="1" x="335"/>
        <item m="1" x="949"/>
        <item m="1" x="357"/>
        <item m="1" x="975"/>
        <item m="1" x="378"/>
        <item m="1" x="994"/>
        <item m="1" x="397"/>
        <item m="1" x="1015"/>
        <item m="1" x="419"/>
        <item m="1" x="1037"/>
        <item m="1" x="440"/>
        <item m="1" x="1064"/>
        <item m="1" x="464"/>
        <item m="1" x="1089"/>
        <item m="1" x="1040"/>
        <item m="1" x="444"/>
        <item m="1" x="1068"/>
        <item m="1" x="469"/>
        <item m="1" x="1094"/>
        <item m="1" x="494"/>
        <item m="1" x="1117"/>
        <item m="1" x="516"/>
        <item m="1" x="1139"/>
        <item m="1" x="538"/>
        <item m="1" x="1160"/>
        <item m="1" x="556"/>
        <item m="1" x="1178"/>
        <item m="1" x="574"/>
        <item m="1" x="628"/>
        <item m="1" x="50"/>
        <item m="1" x="998"/>
        <item m="1" x="401"/>
        <item m="1" x="1019"/>
        <item m="1" x="423"/>
        <item m="1" x="1043"/>
        <item m="1" x="447"/>
        <item m="1" x="1072"/>
        <item m="1" x="473"/>
        <item m="1" x="1098"/>
        <item m="1" x="498"/>
        <item m="1" x="1121"/>
        <item m="1" x="520"/>
        <item m="1" x="1143"/>
        <item m="1" x="541"/>
        <item m="1" x="1163"/>
        <item m="1" x="559"/>
        <item m="1" x="1181"/>
        <item m="1" x="577"/>
        <item m="1" x="1198"/>
        <item m="1" x="589"/>
        <item m="1" x="15"/>
        <item m="1" x="603"/>
        <item m="1" x="27"/>
        <item m="1" x="616"/>
        <item m="1" x="39"/>
        <item m="1" x="632"/>
        <item m="1" x="54"/>
        <item m="1" x="643"/>
        <item m="1" x="65"/>
        <item m="1" x="656"/>
        <item m="1" x="1047"/>
        <item m="1" x="451"/>
        <item m="1" x="1076"/>
        <item m="1" x="477"/>
        <item m="1" x="1102"/>
        <item m="1" x="502"/>
        <item m="1" x="1125"/>
        <item m="1" x="524"/>
        <item m="1" x="1147"/>
        <item m="1" x="545"/>
        <item m="1" x="1167"/>
        <item m="1" x="563"/>
        <item m="1" x="1185"/>
        <item m="1" x="581"/>
        <item m="1" x="1202"/>
        <item m="1" x="593"/>
        <item m="1" x="19"/>
        <item m="1" x="607"/>
        <item m="1" x="29"/>
        <item m="1" x="618"/>
        <item m="1" x="41"/>
        <item m="1" x="634"/>
        <item m="1" x="56"/>
        <item m="1" x="645"/>
        <item m="1" x="67"/>
        <item m="1" x="659"/>
        <item m="1" x="78"/>
        <item m="1" x="670"/>
        <item m="1" x="89"/>
        <item m="1" x="685"/>
        <item m="1" x="104"/>
        <item m="1" x="716"/>
        <item m="1" x="134"/>
        <item m="1" x="731"/>
        <item m="1" x="148"/>
        <item m="1" x="748"/>
        <item m="1" x="163"/>
        <item m="1" x="763"/>
        <item m="1" x="176"/>
        <item m="1" x="778"/>
        <item m="1" x="193"/>
        <item m="1" x="795"/>
        <item m="1" x="210"/>
        <item m="1" x="818"/>
        <item m="1" x="232"/>
        <item m="1" x="842"/>
        <item m="1" x="255"/>
        <item m="1" x="867"/>
        <item m="1" x="652"/>
        <item m="1" x="74"/>
        <item m="1" x="666"/>
        <item m="1" x="85"/>
        <item m="1" x="679"/>
        <item m="1" x="97"/>
        <item m="1" x="693"/>
        <item m="1" x="112"/>
        <item m="1" x="704"/>
        <item m="1" x="122"/>
        <item m="1" x="719"/>
        <item m="1" x="258"/>
        <item m="1" x="870"/>
        <item m="1" x="280"/>
        <item m="1" x="890"/>
        <item m="1" x="681"/>
        <item m="1" x="99"/>
        <item m="1" x="695"/>
        <item m="1" x="324"/>
        <item m="1" x="937"/>
        <item m="1" x="346"/>
        <item m="1" x="962"/>
        <item m="1" x="366"/>
        <item m="1" x="983"/>
        <item m="1" x="386"/>
        <item m="1" x="1003"/>
        <item m="1" x="407"/>
        <item m="1" x="1025"/>
        <item m="1" x="429"/>
        <item m="1" x="1052"/>
        <item m="1" x="774"/>
        <item m="1" x="188"/>
        <item m="1" x="790"/>
        <item m="1" x="205"/>
        <item m="1" x="811"/>
        <item m="1" x="225"/>
        <item m="1" x="833"/>
        <item m="1" x="246"/>
        <item m="1" x="856"/>
        <item m="1" x="813"/>
        <item m="1" x="227"/>
        <item m="1" x="837"/>
        <item m="1" x="250"/>
        <item m="1" x="861"/>
        <item m="1" x="274"/>
        <item m="1" x="886"/>
        <item m="1" x="293"/>
        <item m="1" x="902"/>
        <item m="1" x="309"/>
        <item m="1" x="922"/>
        <item m="1" x="330"/>
        <item m="1" x="943"/>
        <item m="1" x="352"/>
        <item m="1" x="970"/>
        <item m="1" x="374"/>
        <item m="1" x="990"/>
        <item m="1" x="393"/>
        <item m="1" x="1011"/>
        <item m="1" x="415"/>
        <item m="1" x="1033"/>
        <item m="1" x="436"/>
        <item m="1" x="1059"/>
        <item m="1" x="459"/>
        <item m="1" x="1084"/>
        <item m="1" x="485"/>
        <item m="1" x="1108"/>
        <item m="1" x="507"/>
        <item m="1" x="1130"/>
        <item m="1" x="529"/>
        <item m="1" x="1152"/>
        <item m="1" x="863"/>
        <item m="1" x="276"/>
        <item m="1" x="888"/>
        <item m="1" x="295"/>
        <item m="1" x="906"/>
        <item m="1" x="313"/>
        <item m="1" x="926"/>
        <item m="1" x="334"/>
        <item m="1" x="947"/>
        <item m="1" x="355"/>
        <item m="1" x="973"/>
        <item m="1" x="1062"/>
        <item m="1" x="462"/>
        <item m="1" x="1087"/>
        <item m="1" x="488"/>
        <item m="1" x="1111"/>
        <item m="1" x="510"/>
        <item m="1" x="1133"/>
        <item m="1" x="532"/>
        <item m="1" x="1155"/>
        <item m="1" x="551"/>
        <item m="1" x="1173"/>
        <item m="1" x="569"/>
        <item m="1" x="1191"/>
        <item m="1" x="909"/>
        <item m="1" x="316"/>
        <item m="1" x="929"/>
        <item m="1" x="337"/>
        <item m="1" x="952"/>
        <item m="1" x="360"/>
        <item m="1" x="977"/>
        <item m="1" x="380"/>
        <item m="1" x="467"/>
        <item m="1" x="1092"/>
        <item m="1" x="492"/>
        <item m="1" x="1115"/>
        <item m="1" x="514"/>
        <item m="1" x="1137"/>
        <item m="1" x="536"/>
        <item m="1" x="614"/>
        <item m="1" x="37"/>
        <item m="1" x="630"/>
        <item m="1" x="52"/>
        <item m="1" x="999"/>
        <item m="1" x="403"/>
        <item m="1" x="1021"/>
        <item m="1" x="425"/>
        <item m="1" x="1046"/>
        <item m="1" x="450"/>
        <item m="1" x="1075"/>
        <item m="1" x="476"/>
        <item m="1" x="1101"/>
        <item m="1" x="501"/>
        <item m="1" x="1124"/>
        <item m="1" x="523"/>
        <item m="1" x="1146"/>
        <item m="1" x="544"/>
        <item m="1" x="1166"/>
        <item m="1" x="562"/>
        <item m="1" x="1184"/>
        <item m="1" x="580"/>
        <item m="1" x="1201"/>
        <item m="1" x="592"/>
        <item m="1" x="18"/>
        <item m="1" x="606"/>
        <item m="1" x="28"/>
        <item m="1" x="617"/>
        <item m="1" x="40"/>
        <item m="1" x="633"/>
        <item m="1" x="55"/>
        <item m="1" x="644"/>
        <item m="1" x="66"/>
        <item m="1" x="658"/>
        <item m="1" x="1049"/>
        <item m="1" x="594"/>
        <item m="1" x="20"/>
        <item m="1" x="608"/>
        <item m="1" x="30"/>
        <item m="1" x="619"/>
        <item m="1" x="42"/>
        <item m="1" x="635"/>
        <item m="1" x="57"/>
        <item m="1" x="646"/>
        <item m="1" x="68"/>
        <item m="1" x="660"/>
        <item m="1" x="79"/>
        <item m="1" x="671"/>
        <item m="1" x="90"/>
        <item m="1" x="686"/>
        <item m="1" x="105"/>
        <item m="1" x="623"/>
        <item m="1" x="45"/>
        <item m="1" x="638"/>
        <item m="1" x="60"/>
        <item m="1" x="651"/>
        <item m="1" x="767"/>
        <item m="1" x="181"/>
        <item m="1" x="783"/>
        <item m="1" x="198"/>
        <item m="1" x="800"/>
        <item m="1" x="214"/>
        <item m="1" x="822"/>
        <item m="1" x="697"/>
        <item m="1" x="115"/>
        <item m="1" x="709"/>
        <item m="1" x="127"/>
        <item m="1" x="724"/>
        <item m="1" x="141"/>
        <item m="1" x="739"/>
        <item m="1" x="803"/>
        <item m="1" x="217"/>
        <item m="1" x="825"/>
        <item m="1" x="238"/>
        <item m="1" x="848"/>
        <item m="1" x="262"/>
        <item m="1" x="874"/>
        <item m="1" x="957"/>
        <item m="1" x="711"/>
        <item m="1" x="129"/>
        <item m="1" x="726"/>
        <item m="1" x="143"/>
        <item m="1" x="742"/>
        <item m="1" x="158"/>
        <item m="1" x="758"/>
        <item m="1" x="172"/>
        <item m="1" x="772"/>
        <item m="1" x="186"/>
        <item m="1" x="788"/>
        <item m="1" x="203"/>
        <item m="1" x="806"/>
        <item m="1" x="220"/>
        <item m="1" x="828"/>
        <item m="1" x="241"/>
        <item m="1" x="851"/>
        <item m="1" x="265"/>
        <item m="1" x="877"/>
        <item m="1" x="286"/>
        <item m="1" x="917"/>
        <item m="1" x="325"/>
        <item m="1" x="938"/>
        <item m="1" x="347"/>
        <item m="1" x="965"/>
        <item m="1" x="369"/>
        <item m="1" x="986"/>
        <item m="1" x="189"/>
        <item m="1" x="791"/>
        <item m="1" x="206"/>
        <item m="1" x="812"/>
        <item m="1" x="226"/>
        <item m="1" x="836"/>
        <item m="1" x="249"/>
        <item m="1" x="1009"/>
        <item m="1" x="413"/>
        <item m="1" x="1031"/>
        <item m="1" x="434"/>
        <item m="1" x="1057"/>
        <item m="1" x="457"/>
        <item m="1" x="1082"/>
        <item m="1" x="483"/>
        <item m="1" x="814"/>
        <item m="1" x="228"/>
        <item m="1" x="838"/>
        <item m="1" x="251"/>
        <item m="1" x="862"/>
        <item m="1" x="275"/>
        <item m="1" x="887"/>
        <item m="1" x="294"/>
        <item m="1" x="904"/>
        <item m="1" x="311"/>
        <item m="1" x="924"/>
        <item m="1" x="332"/>
        <item m="1" x="945"/>
        <item m="1" x="296"/>
        <item m="1" x="908"/>
        <item m="1" x="315"/>
        <item m="1" x="928"/>
        <item m="1" x="336"/>
        <item m="1" x="950"/>
        <item m="1" x="358"/>
        <item m="1" x="441"/>
        <item m="1" x="1065"/>
        <item m="1" x="465"/>
        <item m="1" x="1090"/>
        <item m="1" x="490"/>
        <item m="1" x="1113"/>
        <item m="1" x="512"/>
        <item m="1" x="1135"/>
        <item m="1" x="534"/>
        <item m="1" x="1157"/>
        <item m="1" x="553"/>
        <item m="1" x="1175"/>
        <item m="1" x="571"/>
        <item m="1" x="1193"/>
        <item m="1" x="1069"/>
        <item m="1" x="470"/>
        <item m="1" x="1095"/>
        <item m="1" x="495"/>
        <item m="1" x="1118"/>
        <item m="1" x="517"/>
        <item m="1" x="1140"/>
        <item m="1" x="402"/>
        <item m="1" x="1020"/>
        <item m="1" x="424"/>
        <item m="1" x="1044"/>
        <item m="1" x="448"/>
        <item m="1" x="1073"/>
        <item m="1" x="474"/>
        <item m="1" x="1099"/>
        <item m="1" x="499"/>
        <item m="1" x="1122"/>
        <item m="1" x="521"/>
        <item m="1" x="1144"/>
        <item m="1" x="542"/>
        <item m="1" x="1164"/>
        <item m="1" x="560"/>
        <item m="1" x="1182"/>
        <item m="1" x="578"/>
        <item m="1" x="1199"/>
        <item m="1" x="590"/>
        <item m="1" x="16"/>
        <item m="1" x="604"/>
        <item m="1" x="1022"/>
        <item m="1" x="426"/>
        <item m="1" x="1048"/>
        <item m="1" x="452"/>
        <item m="1" x="1077"/>
        <item m="1" x="478"/>
        <item m="1" x="1103"/>
        <item m="1" x="7"/>
        <item m="1" x="595"/>
        <item m="1" x="21"/>
        <item m="1" x="609"/>
        <item m="1" x="31"/>
        <item m="1" x="620"/>
        <item m="1" x="43"/>
        <item m="1" x="636"/>
        <item m="1" x="58"/>
        <item m="1" x="647"/>
        <item m="1" x="69"/>
        <item m="1" x="661"/>
        <item m="1" x="80"/>
        <item m="1" x="672"/>
        <item m="1" x="91"/>
        <item m="1" x="687"/>
        <item m="1" x="106"/>
        <item m="1" x="624"/>
        <item m="1" x="46"/>
        <item m="1" x="639"/>
        <item m="1" x="61"/>
        <item m="1" x="73"/>
        <item m="1" x="665"/>
        <item m="1" x="84"/>
        <item m="1" x="677"/>
        <item m="1" x="95"/>
        <item m="1" x="691"/>
        <item m="1" x="110"/>
        <item m="1" x="702"/>
        <item m="1" x="120"/>
        <item m="1" x="717"/>
        <item m="1" x="135"/>
        <item m="1" x="733"/>
        <item m="1" x="150"/>
        <item m="1" x="750"/>
        <item m="1" x="165"/>
        <item m="1" x="765"/>
        <item m="1" x="178"/>
        <item m="1" x="780"/>
        <item m="1" x="195"/>
        <item m="1" x="797"/>
        <item m="1" x="75"/>
        <item m="1" x="667"/>
        <item m="1" x="86"/>
        <item m="1" x="682"/>
        <item m="1" x="100"/>
        <item m="1" x="696"/>
        <item m="1" x="114"/>
        <item m="1" x="707"/>
        <item m="1" x="125"/>
        <item m="1" x="722"/>
        <item m="1" x="139"/>
        <item m="1" x="737"/>
        <item m="1" x="154"/>
        <item m="1" x="754"/>
        <item m="1" x="101"/>
        <item m="1" x="698"/>
        <item m="1" x="116"/>
        <item m="1" x="710"/>
        <item m="1" x="128"/>
        <item m="1" x="725"/>
        <item m="1" x="142"/>
        <item m="1" x="343"/>
        <item m="1" x="959"/>
        <item m="1" x="712"/>
        <item m="1" x="130"/>
        <item m="1" x="727"/>
        <item m="1" x="144"/>
        <item m="1" x="743"/>
        <item m="1" x="808"/>
        <item m="1" x="222"/>
        <item m="1" x="830"/>
        <item m="1" x="243"/>
        <item m="1" x="853"/>
        <item m="1" x="267"/>
        <item m="1" x="879"/>
        <item m="1" x="963"/>
        <item m="1" x="367"/>
        <item m="1" x="984"/>
        <item m="1" x="387"/>
        <item m="1" x="744"/>
        <item m="1" x="159"/>
        <item m="1" x="759"/>
        <item m="1" x="834"/>
        <item m="1" x="247"/>
        <item m="1" x="857"/>
        <item m="1" x="270"/>
        <item m="1" x="882"/>
        <item m="1" x="289"/>
        <item m="1" x="898"/>
        <item m="1" x="305"/>
        <item m="1" x="918"/>
        <item m="1" x="326"/>
        <item m="1" x="939"/>
        <item m="1" x="348"/>
        <item m="1" x="966"/>
        <item m="1" x="370"/>
        <item m="1" x="987"/>
        <item m="1" x="390"/>
        <item m="1" x="1007"/>
        <item m="1" x="411"/>
        <item m="1" x="1029"/>
        <item m="1" x="432"/>
        <item m="1" x="1055"/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numFmtId="166" outline="0" showAll="0"/>
    <pivotField compact="0" outline="0" showAll="0">
      <items count="56">
        <item m="1" x="18"/>
        <item m="1" x="39"/>
        <item m="1" x="5"/>
        <item m="1" x="27"/>
        <item m="1" x="42"/>
        <item m="1" x="8"/>
        <item m="1" x="30"/>
        <item m="1" x="47"/>
        <item m="1" x="13"/>
        <item m="1" x="34"/>
        <item m="1" x="52"/>
        <item m="1" x="19"/>
        <item m="1" x="40"/>
        <item m="1" x="6"/>
        <item m="1" x="28"/>
        <item m="1" x="44"/>
        <item m="1" x="10"/>
        <item x="0"/>
        <item m="1" x="49"/>
        <item m="1" x="15"/>
        <item m="1" x="36"/>
        <item m="1" x="54"/>
        <item m="1" x="20"/>
        <item m="1" x="41"/>
        <item m="1" x="7"/>
        <item m="1" x="29"/>
        <item m="1" x="46"/>
        <item m="1" x="12"/>
        <item m="1" x="33"/>
        <item m="1" x="51"/>
        <item m="1" x="16"/>
        <item m="1" x="37"/>
        <item m="1" x="2"/>
        <item m="1" x="21"/>
        <item m="1" x="43"/>
        <item m="1" x="9"/>
        <item m="1" x="31"/>
        <item m="1" x="48"/>
        <item m="1" x="14"/>
        <item m="1" x="35"/>
        <item m="1" x="53"/>
        <item m="1" x="17"/>
        <item m="1" x="38"/>
        <item m="1" x="3"/>
        <item m="1" x="22"/>
        <item m="1" x="45"/>
        <item m="1" x="11"/>
        <item m="1" x="32"/>
        <item m="1" x="50"/>
        <item m="1" x="23"/>
        <item m="1" x="24"/>
        <item m="1" x="25"/>
        <item m="1" x="26"/>
        <item m="1" x="4"/>
        <item m="1" x="1"/>
        <item t="default"/>
      </items>
    </pivotField>
    <pivotField compact="0" outline="0" showAll="0">
      <items count="15">
        <item m="1" x="4"/>
        <item m="1" x="13"/>
        <item m="1" x="9"/>
        <item m="1" x="10"/>
        <item m="1" x="6"/>
        <item x="0"/>
        <item m="1" x="2"/>
        <item m="1" x="8"/>
        <item m="1" x="12"/>
        <item m="1" x="3"/>
        <item m="1" x="11"/>
        <item m="1" x="7"/>
        <item m="1" x="5"/>
        <item m="1" x="1"/>
        <item t="default"/>
      </items>
    </pivotField>
    <pivotField compact="0" outline="0" showAll="0"/>
    <pivotField compact="0" outline="0" showAll="0"/>
    <pivotField compact="0" numFmtId="164" outline="0" showAll="0"/>
    <pivotField axis="axisPage" compact="0" outline="0" multipleItemSelectionAllowed="1" showAll="0" defaultSubtotal="0">
      <items count="26">
        <item m="1" x="25"/>
        <item m="1" x="12"/>
        <item m="1" x="9"/>
        <item x="2"/>
        <item m="1" x="17"/>
        <item m="1" x="21"/>
        <item m="1" x="4"/>
        <item m="1" x="22"/>
        <item m="1" x="13"/>
        <item h="1" m="1" x="3"/>
        <item m="1" x="10"/>
        <item m="1" x="23"/>
        <item m="1" x="11"/>
        <item h="1" m="1" x="19"/>
        <item h="1" m="1" x="5"/>
        <item m="1" x="18"/>
        <item m="1" x="16"/>
        <item m="1" x="7"/>
        <item m="1" x="14"/>
        <item m="1" x="8"/>
        <item m="1" x="24"/>
        <item m="1" x="6"/>
        <item x="0"/>
        <item h="1" m="1" x="15"/>
        <item m="1" x="20"/>
        <item x="1"/>
      </items>
    </pivotField>
    <pivotField compact="0" outline="0" showAll="0">
      <items count="8">
        <item m="1" x="5"/>
        <item m="1" x="1"/>
        <item m="1" x="4"/>
        <item m="1" x="6"/>
        <item m="1" x="3"/>
        <item x="0"/>
        <item m="1" x="2"/>
        <item t="default"/>
      </items>
    </pivotField>
    <pivotField axis="axisPage" compact="0" outline="0" multipleItemSelectionAllowed="1" showAll="0" defaultSubtotal="0">
      <items count="8">
        <item m="1" x="4"/>
        <item m="1" x="7"/>
        <item m="1" x="2"/>
        <item m="1" x="3"/>
        <item m="1" x="6"/>
        <item x="1"/>
        <item m="1" x="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1"/>
    <field x="16"/>
  </rowFields>
  <rowItems count="34">
    <i>
      <x v="205"/>
    </i>
    <i>
      <x v="216"/>
    </i>
    <i>
      <x v="211"/>
    </i>
    <i>
      <x v="132"/>
    </i>
    <i>
      <x v="221"/>
    </i>
    <i>
      <x v="142"/>
    </i>
    <i>
      <x v="208"/>
    </i>
    <i>
      <x v="143"/>
    </i>
    <i>
      <x v="214"/>
    </i>
    <i>
      <x v="156"/>
    </i>
    <i>
      <x v="218"/>
    </i>
    <i>
      <x v="157"/>
    </i>
    <i>
      <x v="204"/>
    </i>
    <i>
      <x v="161"/>
    </i>
    <i>
      <x v="206"/>
    </i>
    <i>
      <x v="164"/>
    </i>
    <i>
      <x v="209"/>
    </i>
    <i>
      <x v="165"/>
    </i>
    <i>
      <x v="212"/>
    </i>
    <i>
      <x v="180"/>
    </i>
    <i>
      <x v="215"/>
    </i>
    <i>
      <x v="183"/>
    </i>
    <i>
      <x v="217"/>
    </i>
    <i>
      <x v="196"/>
    </i>
    <i>
      <x v="220"/>
    </i>
    <i>
      <x v="197"/>
    </i>
    <i>
      <x v="222"/>
    </i>
    <i>
      <x v="125"/>
    </i>
    <i>
      <x v="200"/>
    </i>
    <i>
      <x v="213"/>
    </i>
    <i>
      <x v="185"/>
    </i>
    <i>
      <x v="187"/>
    </i>
    <i>
      <x v="192"/>
    </i>
    <i t="grand">
      <x/>
    </i>
  </rowItems>
  <colItems count="1">
    <i/>
  </colItems>
  <pageFields count="2">
    <pageField fld="26" hier="-1"/>
    <pageField fld="24" hier="-1"/>
  </pageFields>
  <dataFields count="1">
    <dataField name="Somme de Théorique" fld="34" baseField="0" baseItem="0" numFmtId="164"/>
  </dataFields>
  <formats count="9">
    <format dxfId="38">
      <pivotArea field="25" type="button" dataOnly="0" labelOnly="1" outline="0"/>
    </format>
    <format dxfId="37">
      <pivotArea field="15" type="button" dataOnly="0" labelOnly="1" outline="0"/>
    </format>
    <format dxfId="36">
      <pivotArea field="24" type="button" dataOnly="0" labelOnly="1" outline="0" axis="axisPage" fieldPosition="1"/>
    </format>
    <format dxfId="35">
      <pivotArea field="1" type="button" dataOnly="0" labelOnly="1" outline="0" axis="axisRow" fieldPosition="0"/>
    </format>
    <format dxfId="34">
      <pivotArea field="25" type="button" dataOnly="0" labelOnly="1" outline="0"/>
    </format>
    <format dxfId="33">
      <pivotArea field="15" type="button" dataOnly="0" labelOnly="1" outline="0"/>
    </format>
    <format dxfId="32">
      <pivotArea field="24" type="button" dataOnly="0" labelOnly="1" outline="0" axis="axisPage" fieldPosition="1"/>
    </format>
    <format dxfId="31">
      <pivotArea field="1" type="button" dataOnly="0" labelOnly="1" outline="0" axis="axisRow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eau croisé dynamique4" cacheId="93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compact="0" compactData="0" multipleFieldFilters="0">
  <location ref="G5:O40" firstHeaderRow="1" firstDataRow="2" firstDataCol="1" rowPageCount="2" colPageCount="1"/>
  <pivotFields count="35">
    <pivotField compact="0" numFmtId="165" outline="0" showAll="0" defaultSubtotal="0"/>
    <pivotField axis="axisRow" compact="0" outline="0" showAll="0" defaultSubtotal="0">
      <items count="223">
        <item m="1" x="149"/>
        <item m="1" x="197"/>
        <item m="1" x="178"/>
        <item m="1" x="51"/>
        <item m="1" x="66"/>
        <item m="1" x="49"/>
        <item m="1" x="87"/>
        <item m="1" x="82"/>
        <item m="1" x="155"/>
        <item m="1" x="76"/>
        <item m="1" x="161"/>
        <item m="1" x="194"/>
        <item m="1" x="211"/>
        <item m="1" x="206"/>
        <item m="1" x="61"/>
        <item m="1" x="52"/>
        <item m="1" x="86"/>
        <item m="1" x="45"/>
        <item m="1" x="156"/>
        <item m="1" x="198"/>
        <item m="1" x="93"/>
        <item m="1" x="169"/>
        <item m="1" x="210"/>
        <item m="1" x="42"/>
        <item m="1" x="94"/>
        <item m="1" x="137"/>
        <item m="1" x="138"/>
        <item m="1" x="67"/>
        <item m="1" x="207"/>
        <item m="1" x="204"/>
        <item m="1" x="104"/>
        <item m="1" x="179"/>
        <item m="1" x="75"/>
        <item m="1" x="180"/>
        <item m="1" x="121"/>
        <item m="1" x="145"/>
        <item m="1" x="127"/>
        <item m="1" x="35"/>
        <item m="1" x="143"/>
        <item m="1" x="91"/>
        <item m="1" x="120"/>
        <item m="1" x="174"/>
        <item m="1" x="107"/>
        <item m="1" x="141"/>
        <item m="1" x="115"/>
        <item m="1" x="34"/>
        <item m="1" x="97"/>
        <item m="1" x="125"/>
        <item m="1" x="192"/>
        <item m="1" x="60"/>
        <item m="1" x="158"/>
        <item m="1" x="85"/>
        <item m="1" x="200"/>
        <item m="1" x="44"/>
        <item m="1" x="202"/>
        <item m="1" x="186"/>
        <item m="1" x="201"/>
        <item m="1" x="100"/>
        <item m="1" x="166"/>
        <item m="1" x="83"/>
        <item m="1" x="126"/>
        <item m="1" x="110"/>
        <item m="1" x="142"/>
        <item m="1" x="102"/>
        <item m="1" x="199"/>
        <item m="1" x="101"/>
        <item m="1" x="64"/>
        <item m="1" x="219"/>
        <item m="1" x="129"/>
        <item m="1" x="152"/>
        <item m="1" x="213"/>
        <item m="1" x="170"/>
        <item m="1" x="218"/>
        <item m="1" x="80"/>
        <item m="1" x="214"/>
        <item m="1" x="132"/>
        <item m="1" x="81"/>
        <item m="1" x="47"/>
        <item m="1" x="172"/>
        <item m="1" x="146"/>
        <item m="1" x="185"/>
        <item m="1" x="59"/>
        <item m="1" x="50"/>
        <item m="1" x="56"/>
        <item m="1" x="196"/>
        <item m="1" x="176"/>
        <item m="1" x="171"/>
        <item m="1" x="217"/>
        <item m="1" x="122"/>
        <item m="1" x="191"/>
        <item m="1" x="151"/>
        <item m="1" x="183"/>
        <item m="1" x="78"/>
        <item m="1" x="108"/>
        <item m="1" x="144"/>
        <item m="1" x="111"/>
        <item m="1" x="168"/>
        <item m="1" x="109"/>
        <item m="1" x="46"/>
        <item m="1" x="117"/>
        <item m="1" x="148"/>
        <item m="1" x="96"/>
        <item m="1" x="55"/>
        <item m="1" x="216"/>
        <item m="1" x="119"/>
        <item m="1" x="162"/>
        <item m="1" x="139"/>
        <item m="1" x="182"/>
        <item m="1" x="190"/>
        <item m="1" x="58"/>
        <item m="1" x="175"/>
        <item m="1" x="157"/>
        <item m="1" x="177"/>
        <item m="1" x="38"/>
        <item m="1" x="205"/>
        <item m="1" x="203"/>
        <item m="1" x="40"/>
        <item m="1" x="209"/>
        <item m="1" x="118"/>
        <item m="1" x="134"/>
        <item m="1" x="165"/>
        <item m="1" x="135"/>
        <item m="1" x="103"/>
        <item m="1" x="212"/>
        <item m="1" x="147"/>
        <item x="27"/>
        <item m="1" x="167"/>
        <item m="1" x="163"/>
        <item m="1" x="154"/>
        <item m="1" x="73"/>
        <item m="1" x="41"/>
        <item m="1" x="98"/>
        <item x="9"/>
        <item m="1" x="153"/>
        <item m="1" x="70"/>
        <item m="1" x="63"/>
        <item m="1" x="184"/>
        <item m="1" x="33"/>
        <item m="1" x="90"/>
        <item m="1" x="136"/>
        <item m="1" x="68"/>
        <item m="1" x="124"/>
        <item x="14"/>
        <item x="28"/>
        <item m="1" x="112"/>
        <item m="1" x="79"/>
        <item m="1" x="77"/>
        <item m="1" x="89"/>
        <item m="1" x="69"/>
        <item m="1" x="105"/>
        <item m="1" x="221"/>
        <item m="1" x="62"/>
        <item m="1" x="188"/>
        <item m="1" x="57"/>
        <item m="1" x="160"/>
        <item m="1" x="39"/>
        <item x="1"/>
        <item x="2"/>
        <item m="1" x="71"/>
        <item m="1" x="99"/>
        <item m="1" x="128"/>
        <item x="4"/>
        <item m="1" x="54"/>
        <item m="1" x="159"/>
        <item x="3"/>
        <item x="29"/>
        <item m="1" x="116"/>
        <item m="1" x="195"/>
        <item m="1" x="72"/>
        <item m="1" x="220"/>
        <item m="1" x="113"/>
        <item m="1" x="189"/>
        <item m="1" x="37"/>
        <item m="1" x="140"/>
        <item m="1" x="84"/>
        <item m="1" x="131"/>
        <item m="1" x="106"/>
        <item m="1" x="133"/>
        <item m="1" x="187"/>
        <item m="1" x="173"/>
        <item x="30"/>
        <item m="1" x="114"/>
        <item m="1" x="208"/>
        <item x="15"/>
        <item m="1" x="36"/>
        <item x="26"/>
        <item m="1" x="123"/>
        <item x="23"/>
        <item m="1" x="53"/>
        <item m="1" x="164"/>
        <item m="1" x="92"/>
        <item m="1" x="193"/>
        <item x="24"/>
        <item m="1" x="222"/>
        <item m="1" x="43"/>
        <item m="1" x="65"/>
        <item x="5"/>
        <item x="16"/>
        <item m="1" x="88"/>
        <item m="1" x="181"/>
        <item x="10"/>
        <item m="1" x="130"/>
        <item m="1" x="74"/>
        <item m="1" x="95"/>
        <item x="32"/>
        <item x="17"/>
        <item x="18"/>
        <item m="1" x="150"/>
        <item x="6"/>
        <item x="19"/>
        <item m="1" x="48"/>
        <item x="11"/>
        <item x="0"/>
        <item x="25"/>
        <item x="31"/>
        <item x="20"/>
        <item x="21"/>
        <item x="22"/>
        <item x="7"/>
        <item m="1" x="215"/>
        <item x="8"/>
        <item x="12"/>
        <item x="13"/>
      </items>
    </pivotField>
    <pivotField compact="0" numFmtId="164" outline="0" showAll="0"/>
    <pivotField axis="axisPage" compact="0" numFmtId="164" outline="0" multipleItemSelectionAllowed="1" showAll="0">
      <items count="36">
        <item m="1" x="26"/>
        <item x="5"/>
        <item m="1" x="14"/>
        <item x="0"/>
        <item x="2"/>
        <item m="1" x="9"/>
        <item x="1"/>
        <item m="1" x="30"/>
        <item m="1" x="7"/>
        <item m="1" x="16"/>
        <item x="3"/>
        <item m="1" x="17"/>
        <item m="1" x="11"/>
        <item x="4"/>
        <item m="1" x="31"/>
        <item m="1" x="34"/>
        <item x="6"/>
        <item m="1" x="25"/>
        <item m="1" x="8"/>
        <item m="1" x="29"/>
        <item m="1" x="12"/>
        <item m="1" x="19"/>
        <item m="1" x="22"/>
        <item m="1" x="24"/>
        <item m="1" x="15"/>
        <item m="1" x="21"/>
        <item m="1" x="18"/>
        <item m="1" x="20"/>
        <item m="1" x="32"/>
        <item m="1" x="13"/>
        <item m="1" x="33"/>
        <item m="1" x="27"/>
        <item m="1" x="10"/>
        <item m="1" x="23"/>
        <item m="1" x="28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 defaultSubtotal="0">
      <items count="2">
        <item m="1" x="1"/>
        <item x="0"/>
      </items>
    </pivotField>
    <pivotField axis="axisCol" compact="0" outline="0" multipleItemSelectionAllowed="1" showAll="0" sortType="ascending">
      <items count="1204">
        <item m="1" x="32"/>
        <item m="1" x="1004"/>
        <item m="1" x="408"/>
        <item m="1" x="1026"/>
        <item m="1" x="430"/>
        <item m="1" x="1053"/>
        <item m="1" x="454"/>
        <item m="1" x="1079"/>
        <item m="1" x="480"/>
        <item m="1" x="1104"/>
        <item m="1" x="503"/>
        <item m="1" x="1126"/>
        <item m="1" x="525"/>
        <item m="1" x="1148"/>
        <item m="1" x="858"/>
        <item m="1" x="271"/>
        <item m="1" x="883"/>
        <item m="1" x="290"/>
        <item m="1" x="899"/>
        <item m="1" x="306"/>
        <item m="1" x="919"/>
        <item m="1" x="327"/>
        <item m="1" x="940"/>
        <item m="1" x="349"/>
        <item m="1" x="967"/>
        <item m="1" x="371"/>
        <item m="1" x="988"/>
        <item m="1" x="391"/>
        <item m="1" x="1008"/>
        <item m="1" x="412"/>
        <item m="1" x="1030"/>
        <item m="1" x="433"/>
        <item m="1" x="1056"/>
        <item m="1" x="456"/>
        <item m="1" x="1081"/>
        <item m="1" x="482"/>
        <item m="1" x="1106"/>
        <item m="1" x="505"/>
        <item m="1" x="1128"/>
        <item m="1" x="527"/>
        <item m="1" x="1150"/>
        <item m="1" x="546"/>
        <item m="1" x="1168"/>
        <item m="1" x="564"/>
        <item m="1" x="1186"/>
        <item m="1" x="903"/>
        <item m="1" x="310"/>
        <item m="1" x="923"/>
        <item m="1" x="331"/>
        <item m="1" x="944"/>
        <item m="1" x="353"/>
        <item m="1" x="971"/>
        <item m="1" x="375"/>
        <item m="1" x="991"/>
        <item m="1" x="394"/>
        <item m="1" x="1012"/>
        <item m="1" x="416"/>
        <item m="1" x="1034"/>
        <item m="1" x="437"/>
        <item m="1" x="1060"/>
        <item m="1" x="460"/>
        <item m="1" x="1085"/>
        <item m="1" x="486"/>
        <item m="1" x="1109"/>
        <item m="1" x="508"/>
        <item m="1" x="1131"/>
        <item m="1" x="530"/>
        <item m="1" x="1153"/>
        <item m="1" x="548"/>
        <item m="1" x="1170"/>
        <item m="1" x="566"/>
        <item m="1" x="1188"/>
        <item m="1" x="582"/>
        <item m="1" x="8"/>
        <item m="1" x="596"/>
        <item m="1" x="948"/>
        <item m="1" x="356"/>
        <item m="1" x="974"/>
        <item m="1" x="377"/>
        <item m="1" x="993"/>
        <item m="1" x="396"/>
        <item m="1" x="1014"/>
        <item m="1" x="418"/>
        <item m="1" x="1036"/>
        <item m="1" x="439"/>
        <item m="1" x="1063"/>
        <item m="1" x="463"/>
        <item m="1" x="1088"/>
        <item m="1" x="489"/>
        <item m="1" x="1112"/>
        <item m="1" x="511"/>
        <item m="1" x="1134"/>
        <item m="1" x="533"/>
        <item m="1" x="1156"/>
        <item m="1" x="552"/>
        <item m="1" x="1174"/>
        <item m="1" x="570"/>
        <item m="1" x="1192"/>
        <item m="1" x="584"/>
        <item m="1" x="10"/>
        <item m="1" x="598"/>
        <item m="1" x="22"/>
        <item m="1" x="610"/>
        <item m="1" x="33"/>
        <item m="1" x="625"/>
        <item m="1" x="47"/>
        <item m="1" x="996"/>
        <item m="1" x="399"/>
        <item m="1" x="1017"/>
        <item m="1" x="421"/>
        <item m="1" x="1039"/>
        <item m="1" x="443"/>
        <item m="1" x="1067"/>
        <item m="1" x="468"/>
        <item m="1" x="1093"/>
        <item m="1" x="493"/>
        <item m="1" x="1116"/>
        <item m="1" x="515"/>
        <item m="1" x="1138"/>
        <item m="1" x="537"/>
        <item m="1" x="1159"/>
        <item m="1" x="555"/>
        <item m="1" x="1177"/>
        <item m="1" x="573"/>
        <item m="1" x="1195"/>
        <item m="1" x="586"/>
        <item m="1" x="12"/>
        <item m="1" x="600"/>
        <item m="1" x="24"/>
        <item m="1" x="612"/>
        <item m="1" x="35"/>
        <item m="1" x="627"/>
        <item m="1" x="49"/>
        <item m="1" x="640"/>
        <item m="1" x="62"/>
        <item m="1" x="653"/>
        <item m="1" x="1042"/>
        <item m="1" x="446"/>
        <item m="1" x="1071"/>
        <item m="1" x="472"/>
        <item m="1" x="1097"/>
        <item m="1" x="497"/>
        <item m="1" x="1120"/>
        <item m="1" x="519"/>
        <item m="1" x="1142"/>
        <item m="1" x="540"/>
        <item m="1" x="1162"/>
        <item m="1" x="558"/>
        <item m="1" x="1180"/>
        <item m="1" x="576"/>
        <item m="1" x="1197"/>
        <item m="1" x="588"/>
        <item m="1" x="14"/>
        <item m="1" x="602"/>
        <item m="1" x="26"/>
        <item m="1" x="615"/>
        <item m="1" x="38"/>
        <item m="1" x="631"/>
        <item m="1" x="53"/>
        <item m="1" x="642"/>
        <item m="1" x="64"/>
        <item m="1" x="655"/>
        <item m="1" x="76"/>
        <item m="1" x="668"/>
        <item m="1" x="87"/>
        <item m="1" x="683"/>
        <item m="1" x="102"/>
        <item m="1" x="621"/>
        <item m="1" x="44"/>
        <item m="1" x="637"/>
        <item m="1" x="59"/>
        <item m="1" x="648"/>
        <item m="1" x="70"/>
        <item m="1" x="662"/>
        <item m="1" x="81"/>
        <item m="1" x="673"/>
        <item m="1" x="92"/>
        <item m="1" x="688"/>
        <item m="1" x="107"/>
        <item m="1" x="699"/>
        <item m="1" x="117"/>
        <item m="1" x="713"/>
        <item m="1" x="131"/>
        <item m="1" x="728"/>
        <item m="1" x="145"/>
        <item m="1" x="745"/>
        <item m="1" x="160"/>
        <item m="1" x="760"/>
        <item m="1" x="173"/>
        <item m="1" x="775"/>
        <item m="1" x="190"/>
        <item m="1" x="792"/>
        <item m="1" x="207"/>
        <item m="1" x="815"/>
        <item m="1" x="229"/>
        <item m="1" x="839"/>
        <item m="1" x="252"/>
        <item m="1" x="864"/>
        <item m="1" x="649"/>
        <item m="1" x="71"/>
        <item m="1" x="663"/>
        <item m="1" x="82"/>
        <item m="1" x="675"/>
        <item m="1" x="94"/>
        <item m="1" x="690"/>
        <item m="1" x="109"/>
        <item m="1" x="701"/>
        <item m="1" x="119"/>
        <item m="1" x="715"/>
        <item m="1" x="133"/>
        <item m="1" x="730"/>
        <item m="1" x="147"/>
        <item m="1" x="747"/>
        <item m="1" x="162"/>
        <item m="1" x="762"/>
        <item m="1" x="175"/>
        <item m="1" x="777"/>
        <item m="1" x="192"/>
        <item m="1" x="794"/>
        <item m="1" x="209"/>
        <item m="1" x="817"/>
        <item m="1" x="231"/>
        <item m="1" x="841"/>
        <item m="1" x="254"/>
        <item m="1" x="866"/>
        <item m="1" x="277"/>
        <item m="1" x="678"/>
        <item m="1" x="96"/>
        <item m="1" x="692"/>
        <item m="1" x="111"/>
        <item m="1" x="703"/>
        <item m="1" x="121"/>
        <item m="1" x="718"/>
        <item m="1" x="136"/>
        <item m="1" x="734"/>
        <item m="1" x="151"/>
        <item m="1" x="751"/>
        <item m="1" x="166"/>
        <item m="1" x="179"/>
        <item m="1" x="781"/>
        <item m="1" x="196"/>
        <item m="1" x="798"/>
        <item m="1" x="212"/>
        <item m="1" x="820"/>
        <item m="1" x="234"/>
        <item m="1" x="844"/>
        <item m="1" x="257"/>
        <item m="1" x="869"/>
        <item m="1" x="279"/>
        <item m="1" x="889"/>
        <item m="1" x="297"/>
        <item m="1" x="910"/>
        <item m="1" x="317"/>
        <item m="1" x="930"/>
        <item m="1" x="338"/>
        <item m="1" x="953"/>
        <item m="1" x="706"/>
        <item m="1" x="124"/>
        <item m="1" x="721"/>
        <item m="1" x="138"/>
        <item m="1" x="736"/>
        <item m="1" x="153"/>
        <item m="1" x="753"/>
        <item m="1" x="168"/>
        <item m="1" x="768"/>
        <item m="1" x="182"/>
        <item m="1" x="784"/>
        <item m="1" x="199"/>
        <item m="1" x="801"/>
        <item m="1" x="215"/>
        <item m="1" x="823"/>
        <item m="1" x="236"/>
        <item m="1" x="846"/>
        <item m="1" x="260"/>
        <item m="1" x="872"/>
        <item m="1" x="282"/>
        <item m="1" x="892"/>
        <item m="1" x="299"/>
        <item m="1" x="912"/>
        <item m="1" x="319"/>
        <item m="1" x="932"/>
        <item m="1" x="340"/>
        <item m="1" x="955"/>
        <item m="1" x="361"/>
        <item m="1" x="978"/>
        <item m="1" x="381"/>
        <item m="1" x="740"/>
        <item m="1" x="156"/>
        <item m="1" x="756"/>
        <item m="1" x="170"/>
        <item m="1" x="770"/>
        <item m="1" x="184"/>
        <item m="1" x="786"/>
        <item m="1" x="201"/>
        <item m="1" x="804"/>
        <item m="1" x="218"/>
        <item m="1" x="826"/>
        <item m="1" x="239"/>
        <item m="1" x="849"/>
        <item m="1" x="263"/>
        <item m="1" x="875"/>
        <item m="1" x="284"/>
        <item m="1" x="894"/>
        <item m="1" x="301"/>
        <item m="1" x="914"/>
        <item m="1" x="321"/>
        <item m="1" x="934"/>
        <item m="1" x="342"/>
        <item m="1" x="958"/>
        <item m="1" x="363"/>
        <item m="1" x="980"/>
        <item m="1" x="383"/>
        <item m="1" x="1000"/>
        <item m="1" x="404"/>
        <item m="1" x="1023"/>
        <item m="1" x="427"/>
        <item m="1" x="1050"/>
        <item m="1" x="773"/>
        <item m="1" x="187"/>
        <item m="1" x="789"/>
        <item m="1" x="204"/>
        <item m="1" x="807"/>
        <item m="1" x="221"/>
        <item m="1" x="829"/>
        <item m="1" x="242"/>
        <item m="1" x="852"/>
        <item m="1" x="266"/>
        <item m="1" x="878"/>
        <item m="1" x="287"/>
        <item m="1" x="896"/>
        <item m="1" x="303"/>
        <item m="1" x="916"/>
        <item m="1" x="323"/>
        <item m="1" x="936"/>
        <item m="1" x="345"/>
        <item m="1" x="961"/>
        <item m="1" x="365"/>
        <item m="1" x="982"/>
        <item m="1" x="385"/>
        <item m="1" x="1002"/>
        <item m="1" x="406"/>
        <item m="1" x="1024"/>
        <item m="1" x="428"/>
        <item m="1" x="1051"/>
        <item m="1" x="453"/>
        <item m="1" x="1078"/>
        <item m="1" x="479"/>
        <item m="1" x="810"/>
        <item m="1" x="224"/>
        <item m="1" x="832"/>
        <item m="1" x="245"/>
        <item m="1" x="855"/>
        <item m="1" x="269"/>
        <item m="1" x="881"/>
        <item m="1" x="288"/>
        <item m="1" x="897"/>
        <item m="1" x="304"/>
        <item m="1" x="389"/>
        <item m="1" x="1006"/>
        <item m="1" x="410"/>
        <item m="1" x="1028"/>
        <item m="1" x="431"/>
        <item m="1" x="1054"/>
        <item m="1" x="455"/>
        <item m="1" x="1080"/>
        <item m="1" x="481"/>
        <item m="1" x="1105"/>
        <item m="1" x="504"/>
        <item m="1" x="1127"/>
        <item m="1" x="526"/>
        <item m="1" x="1149"/>
        <item m="1" x="860"/>
        <item m="1" x="273"/>
        <item m="1" x="885"/>
        <item m="1" x="292"/>
        <item m="1" x="901"/>
        <item m="1" x="308"/>
        <item m="1" x="921"/>
        <item m="1" x="329"/>
        <item m="1" x="942"/>
        <item m="1" x="351"/>
        <item m="1" x="969"/>
        <item m="1" x="373"/>
        <item m="1" x="989"/>
        <item m="1" x="392"/>
        <item m="1" x="1010"/>
        <item m="1" x="414"/>
        <item m="1" x="1032"/>
        <item m="1" x="435"/>
        <item m="1" x="1058"/>
        <item m="1" x="458"/>
        <item m="1" x="1083"/>
        <item m="1" x="484"/>
        <item m="1" x="1107"/>
        <item m="1" x="506"/>
        <item m="1" x="1129"/>
        <item m="1" x="528"/>
        <item m="1" x="1151"/>
        <item m="1" x="547"/>
        <item m="1" x="1169"/>
        <item m="1" x="565"/>
        <item m="1" x="1187"/>
        <item m="1" x="905"/>
        <item m="1" x="312"/>
        <item m="1" x="925"/>
        <item m="1" x="333"/>
        <item m="1" x="946"/>
        <item m="1" x="354"/>
        <item m="1" x="972"/>
        <item m="1" x="376"/>
        <item m="1" x="992"/>
        <item m="1" x="395"/>
        <item m="1" x="1013"/>
        <item m="1" x="417"/>
        <item m="1" x="1035"/>
        <item m="1" x="438"/>
        <item m="1" x="1061"/>
        <item m="1" x="461"/>
        <item m="1" x="1086"/>
        <item m="1" x="487"/>
        <item m="1" x="1110"/>
        <item m="1" x="509"/>
        <item m="1" x="1132"/>
        <item m="1" x="531"/>
        <item m="1" x="1154"/>
        <item m="1" x="550"/>
        <item m="1" x="1172"/>
        <item m="1" x="568"/>
        <item m="1" x="1190"/>
        <item m="1" x="583"/>
        <item m="1" x="9"/>
        <item m="1" x="597"/>
        <item m="1" x="951"/>
        <item m="1" x="359"/>
        <item m="1" x="976"/>
        <item m="1" x="379"/>
        <item m="1" x="995"/>
        <item m="1" x="398"/>
        <item m="1" x="1016"/>
        <item m="1" x="420"/>
        <item m="1" x="1038"/>
        <item m="1" x="442"/>
        <item m="1" x="1066"/>
        <item m="1" x="466"/>
        <item m="1" x="1091"/>
        <item m="1" x="491"/>
        <item m="1" x="1114"/>
        <item m="1" x="513"/>
        <item m="1" x="1136"/>
        <item m="1" x="535"/>
        <item m="1" x="1158"/>
        <item m="1" x="554"/>
        <item m="1" x="1176"/>
        <item m="1" x="572"/>
        <item m="1" x="1194"/>
        <item m="1" x="585"/>
        <item m="1" x="11"/>
        <item m="1" x="599"/>
        <item m="1" x="23"/>
        <item m="1" x="611"/>
        <item m="1" x="34"/>
        <item m="1" x="626"/>
        <item m="1" x="48"/>
        <item m="1" x="997"/>
        <item m="1" x="400"/>
        <item m="1" x="1018"/>
        <item m="1" x="422"/>
        <item m="1" x="1041"/>
        <item m="1" x="445"/>
        <item m="1" x="1070"/>
        <item m="1" x="471"/>
        <item m="1" x="1096"/>
        <item m="1" x="496"/>
        <item m="1" x="1119"/>
        <item m="1" x="518"/>
        <item m="1" x="1141"/>
        <item m="1" x="539"/>
        <item m="1" x="1161"/>
        <item m="1" x="557"/>
        <item m="1" x="1179"/>
        <item m="1" x="575"/>
        <item m="1" x="1196"/>
        <item m="1" x="587"/>
        <item m="1" x="13"/>
        <item m="1" x="601"/>
        <item m="1" x="25"/>
        <item m="1" x="613"/>
        <item m="1" x="36"/>
        <item m="1" x="629"/>
        <item m="1" x="51"/>
        <item m="1" x="641"/>
        <item m="1" x="63"/>
        <item m="1" x="654"/>
        <item m="1" x="1045"/>
        <item m="1" x="449"/>
        <item m="1" x="1074"/>
        <item m="1" x="475"/>
        <item m="1" x="1100"/>
        <item m="1" x="500"/>
        <item m="1" x="1123"/>
        <item m="1" x="522"/>
        <item m="1" x="1145"/>
        <item m="1" x="543"/>
        <item m="1" x="1165"/>
        <item m="1" x="561"/>
        <item m="1" x="1183"/>
        <item m="1" x="579"/>
        <item m="1" x="1200"/>
        <item m="1" x="591"/>
        <item m="1" x="17"/>
        <item m="1" x="605"/>
        <item m="1" x="657"/>
        <item m="1" x="77"/>
        <item m="1" x="669"/>
        <item m="1" x="88"/>
        <item m="1" x="684"/>
        <item m="1" x="103"/>
        <item m="1" x="622"/>
        <item m="1" x="674"/>
        <item m="1" x="93"/>
        <item m="1" x="689"/>
        <item m="1" x="108"/>
        <item m="1" x="700"/>
        <item m="1" x="118"/>
        <item m="1" x="714"/>
        <item m="1" x="132"/>
        <item m="1" x="729"/>
        <item m="1" x="146"/>
        <item m="1" x="746"/>
        <item m="1" x="161"/>
        <item m="1" x="761"/>
        <item m="1" x="174"/>
        <item m="1" x="776"/>
        <item m="1" x="191"/>
        <item m="1" x="793"/>
        <item m="1" x="208"/>
        <item m="1" x="816"/>
        <item m="1" x="230"/>
        <item m="1" x="840"/>
        <item m="1" x="253"/>
        <item m="1" x="865"/>
        <item m="1" x="650"/>
        <item m="1" x="72"/>
        <item m="1" x="664"/>
        <item m="1" x="83"/>
        <item m="1" x="676"/>
        <item m="1" x="732"/>
        <item m="1" x="149"/>
        <item m="1" x="749"/>
        <item m="1" x="164"/>
        <item m="1" x="764"/>
        <item m="1" x="177"/>
        <item m="1" x="779"/>
        <item m="1" x="194"/>
        <item m="1" x="796"/>
        <item m="1" x="211"/>
        <item m="1" x="819"/>
        <item m="1" x="233"/>
        <item m="1" x="843"/>
        <item m="1" x="256"/>
        <item m="1" x="868"/>
        <item m="1" x="278"/>
        <item m="1" x="680"/>
        <item m="1" x="98"/>
        <item m="1" x="694"/>
        <item m="1" x="113"/>
        <item m="1" x="705"/>
        <item m="1" x="123"/>
        <item m="1" x="720"/>
        <item m="1" x="137"/>
        <item m="1" x="735"/>
        <item m="1" x="152"/>
        <item m="1" x="752"/>
        <item m="1" x="167"/>
        <item m="1" x="766"/>
        <item m="1" x="180"/>
        <item m="1" x="782"/>
        <item m="1" x="197"/>
        <item m="1" x="799"/>
        <item m="1" x="213"/>
        <item m="1" x="821"/>
        <item m="1" x="235"/>
        <item m="1" x="845"/>
        <item m="1" x="259"/>
        <item m="1" x="871"/>
        <item m="1" x="281"/>
        <item m="1" x="891"/>
        <item m="1" x="298"/>
        <item m="1" x="911"/>
        <item m="1" x="318"/>
        <item m="1" x="931"/>
        <item m="1" x="339"/>
        <item m="1" x="954"/>
        <item m="1" x="708"/>
        <item m="1" x="126"/>
        <item m="1" x="723"/>
        <item m="1" x="140"/>
        <item m="1" x="738"/>
        <item m="1" x="155"/>
        <item m="1" x="755"/>
        <item m="1" x="169"/>
        <item m="1" x="769"/>
        <item m="1" x="183"/>
        <item m="1" x="785"/>
        <item m="1" x="200"/>
        <item m="1" x="802"/>
        <item m="1" x="216"/>
        <item m="1" x="824"/>
        <item m="1" x="237"/>
        <item m="1" x="847"/>
        <item m="1" x="261"/>
        <item m="1" x="873"/>
        <item m="1" x="283"/>
        <item m="1" x="893"/>
        <item m="1" x="300"/>
        <item m="1" x="913"/>
        <item m="1" x="320"/>
        <item m="1" x="933"/>
        <item m="1" x="341"/>
        <item m="1" x="956"/>
        <item m="1" x="362"/>
        <item m="1" x="979"/>
        <item m="1" x="382"/>
        <item m="1" x="741"/>
        <item m="1" x="157"/>
        <item m="1" x="757"/>
        <item m="1" x="171"/>
        <item m="1" x="771"/>
        <item m="1" x="185"/>
        <item m="1" x="787"/>
        <item m="1" x="202"/>
        <item m="1" x="805"/>
        <item m="1" x="219"/>
        <item m="1" x="827"/>
        <item m="1" x="240"/>
        <item m="1" x="850"/>
        <item m="1" x="264"/>
        <item m="1" x="876"/>
        <item m="1" x="285"/>
        <item m="1" x="895"/>
        <item m="1" x="302"/>
        <item m="1" x="915"/>
        <item m="1" x="322"/>
        <item m="1" x="935"/>
        <item m="1" x="344"/>
        <item m="1" x="960"/>
        <item m="1" x="364"/>
        <item m="1" x="981"/>
        <item m="1" x="384"/>
        <item m="1" x="1001"/>
        <item m="1" x="405"/>
        <item m="1" x="809"/>
        <item m="1" x="223"/>
        <item m="1" x="831"/>
        <item m="1" x="244"/>
        <item m="1" x="854"/>
        <item m="1" x="268"/>
        <item m="1" x="880"/>
        <item m="1" x="964"/>
        <item m="1" x="368"/>
        <item m="1" x="985"/>
        <item m="1" x="388"/>
        <item m="1" x="1005"/>
        <item m="1" x="409"/>
        <item m="1" x="1027"/>
        <item m="1" x="835"/>
        <item m="1" x="248"/>
        <item m="1" x="859"/>
        <item m="1" x="272"/>
        <item m="1" x="884"/>
        <item m="1" x="291"/>
        <item m="1" x="900"/>
        <item m="1" x="307"/>
        <item m="1" x="920"/>
        <item m="1" x="328"/>
        <item m="1" x="941"/>
        <item m="1" x="350"/>
        <item m="1" x="968"/>
        <item m="1" x="372"/>
        <item m="1" x="549"/>
        <item m="1" x="1171"/>
        <item m="1" x="567"/>
        <item m="1" x="1189"/>
        <item m="1" x="907"/>
        <item m="1" x="314"/>
        <item m="1" x="927"/>
        <item m="1" x="335"/>
        <item m="1" x="949"/>
        <item m="1" x="357"/>
        <item m="1" x="975"/>
        <item m="1" x="378"/>
        <item m="1" x="994"/>
        <item m="1" x="397"/>
        <item m="1" x="1015"/>
        <item m="1" x="419"/>
        <item m="1" x="1037"/>
        <item m="1" x="440"/>
        <item m="1" x="1064"/>
        <item m="1" x="464"/>
        <item m="1" x="1089"/>
        <item m="1" x="1040"/>
        <item m="1" x="444"/>
        <item m="1" x="1068"/>
        <item m="1" x="469"/>
        <item m="1" x="1094"/>
        <item m="1" x="494"/>
        <item m="1" x="1117"/>
        <item m="1" x="516"/>
        <item m="1" x="1139"/>
        <item m="1" x="538"/>
        <item m="1" x="1160"/>
        <item m="1" x="556"/>
        <item m="1" x="1178"/>
        <item m="1" x="574"/>
        <item m="1" x="628"/>
        <item m="1" x="50"/>
        <item m="1" x="998"/>
        <item m="1" x="401"/>
        <item m="1" x="1019"/>
        <item m="1" x="423"/>
        <item m="1" x="1043"/>
        <item m="1" x="447"/>
        <item m="1" x="1072"/>
        <item m="1" x="473"/>
        <item m="1" x="1098"/>
        <item m="1" x="498"/>
        <item m="1" x="1121"/>
        <item m="1" x="520"/>
        <item m="1" x="1143"/>
        <item m="1" x="541"/>
        <item m="1" x="1163"/>
        <item m="1" x="559"/>
        <item m="1" x="1181"/>
        <item m="1" x="577"/>
        <item m="1" x="1198"/>
        <item m="1" x="589"/>
        <item m="1" x="15"/>
        <item m="1" x="603"/>
        <item m="1" x="27"/>
        <item m="1" x="616"/>
        <item m="1" x="39"/>
        <item m="1" x="632"/>
        <item m="1" x="54"/>
        <item m="1" x="643"/>
        <item m="1" x="65"/>
        <item m="1" x="656"/>
        <item m="1" x="1047"/>
        <item m="1" x="451"/>
        <item m="1" x="1076"/>
        <item m="1" x="477"/>
        <item m="1" x="1102"/>
        <item m="1" x="502"/>
        <item m="1" x="1125"/>
        <item m="1" x="524"/>
        <item m="1" x="1147"/>
        <item m="1" x="545"/>
        <item m="1" x="1167"/>
        <item m="1" x="563"/>
        <item m="1" x="1185"/>
        <item m="1" x="581"/>
        <item m="1" x="1202"/>
        <item m="1" x="593"/>
        <item m="1" x="19"/>
        <item m="1" x="607"/>
        <item m="1" x="29"/>
        <item m="1" x="618"/>
        <item m="1" x="41"/>
        <item m="1" x="634"/>
        <item m="1" x="56"/>
        <item m="1" x="645"/>
        <item m="1" x="67"/>
        <item m="1" x="659"/>
        <item m="1" x="78"/>
        <item m="1" x="670"/>
        <item m="1" x="89"/>
        <item m="1" x="685"/>
        <item m="1" x="104"/>
        <item m="1" x="716"/>
        <item m="1" x="134"/>
        <item m="1" x="731"/>
        <item m="1" x="148"/>
        <item m="1" x="748"/>
        <item m="1" x="163"/>
        <item m="1" x="763"/>
        <item m="1" x="176"/>
        <item m="1" x="778"/>
        <item m="1" x="193"/>
        <item m="1" x="795"/>
        <item m="1" x="210"/>
        <item m="1" x="818"/>
        <item m="1" x="232"/>
        <item m="1" x="842"/>
        <item m="1" x="255"/>
        <item m="1" x="867"/>
        <item m="1" x="652"/>
        <item m="1" x="74"/>
        <item m="1" x="666"/>
        <item m="1" x="85"/>
        <item m="1" x="679"/>
        <item m="1" x="97"/>
        <item m="1" x="693"/>
        <item m="1" x="112"/>
        <item m="1" x="704"/>
        <item m="1" x="122"/>
        <item m="1" x="719"/>
        <item m="1" x="258"/>
        <item m="1" x="870"/>
        <item m="1" x="280"/>
        <item m="1" x="890"/>
        <item m="1" x="681"/>
        <item m="1" x="99"/>
        <item m="1" x="695"/>
        <item m="1" x="324"/>
        <item m="1" x="937"/>
        <item m="1" x="346"/>
        <item m="1" x="962"/>
        <item m="1" x="366"/>
        <item m="1" x="983"/>
        <item m="1" x="386"/>
        <item m="1" x="1003"/>
        <item m="1" x="407"/>
        <item m="1" x="1025"/>
        <item m="1" x="429"/>
        <item m="1" x="1052"/>
        <item m="1" x="774"/>
        <item m="1" x="188"/>
        <item m="1" x="790"/>
        <item m="1" x="205"/>
        <item m="1" x="811"/>
        <item m="1" x="225"/>
        <item m="1" x="833"/>
        <item m="1" x="246"/>
        <item m="1" x="856"/>
        <item m="1" x="813"/>
        <item m="1" x="227"/>
        <item m="1" x="837"/>
        <item m="1" x="250"/>
        <item m="1" x="861"/>
        <item m="1" x="274"/>
        <item m="1" x="886"/>
        <item m="1" x="293"/>
        <item m="1" x="902"/>
        <item m="1" x="309"/>
        <item m="1" x="922"/>
        <item m="1" x="330"/>
        <item m="1" x="943"/>
        <item m="1" x="352"/>
        <item m="1" x="970"/>
        <item m="1" x="374"/>
        <item m="1" x="990"/>
        <item m="1" x="393"/>
        <item m="1" x="1011"/>
        <item m="1" x="415"/>
        <item m="1" x="1033"/>
        <item m="1" x="436"/>
        <item m="1" x="1059"/>
        <item m="1" x="459"/>
        <item m="1" x="1084"/>
        <item m="1" x="485"/>
        <item m="1" x="1108"/>
        <item m="1" x="507"/>
        <item m="1" x="1130"/>
        <item m="1" x="529"/>
        <item m="1" x="1152"/>
        <item m="1" x="863"/>
        <item m="1" x="276"/>
        <item m="1" x="888"/>
        <item m="1" x="295"/>
        <item m="1" x="906"/>
        <item m="1" x="313"/>
        <item m="1" x="926"/>
        <item m="1" x="334"/>
        <item m="1" x="947"/>
        <item m="1" x="355"/>
        <item m="1" x="973"/>
        <item m="1" x="1062"/>
        <item m="1" x="462"/>
        <item m="1" x="1087"/>
        <item m="1" x="488"/>
        <item m="1" x="1111"/>
        <item m="1" x="510"/>
        <item m="1" x="1133"/>
        <item m="1" x="532"/>
        <item m="1" x="1155"/>
        <item m="1" x="551"/>
        <item m="1" x="1173"/>
        <item m="1" x="569"/>
        <item m="1" x="1191"/>
        <item m="1" x="909"/>
        <item m="1" x="316"/>
        <item m="1" x="929"/>
        <item m="1" x="337"/>
        <item m="1" x="952"/>
        <item m="1" x="360"/>
        <item m="1" x="977"/>
        <item m="1" x="380"/>
        <item m="1" x="467"/>
        <item m="1" x="1092"/>
        <item m="1" x="492"/>
        <item m="1" x="1115"/>
        <item m="1" x="514"/>
        <item m="1" x="1137"/>
        <item m="1" x="536"/>
        <item m="1" x="614"/>
        <item m="1" x="37"/>
        <item m="1" x="630"/>
        <item m="1" x="52"/>
        <item m="1" x="999"/>
        <item m="1" x="403"/>
        <item m="1" x="1021"/>
        <item m="1" x="425"/>
        <item m="1" x="1046"/>
        <item m="1" x="450"/>
        <item m="1" x="1075"/>
        <item m="1" x="476"/>
        <item m="1" x="1101"/>
        <item m="1" x="501"/>
        <item m="1" x="1124"/>
        <item m="1" x="523"/>
        <item m="1" x="1146"/>
        <item m="1" x="544"/>
        <item m="1" x="1166"/>
        <item m="1" x="562"/>
        <item m="1" x="1184"/>
        <item m="1" x="580"/>
        <item m="1" x="1201"/>
        <item m="1" x="592"/>
        <item m="1" x="18"/>
        <item m="1" x="606"/>
        <item m="1" x="28"/>
        <item m="1" x="617"/>
        <item m="1" x="40"/>
        <item m="1" x="633"/>
        <item m="1" x="55"/>
        <item m="1" x="644"/>
        <item m="1" x="66"/>
        <item m="1" x="658"/>
        <item m="1" x="1049"/>
        <item m="1" x="594"/>
        <item m="1" x="20"/>
        <item m="1" x="608"/>
        <item m="1" x="30"/>
        <item m="1" x="619"/>
        <item m="1" x="42"/>
        <item m="1" x="635"/>
        <item m="1" x="57"/>
        <item m="1" x="646"/>
        <item m="1" x="68"/>
        <item m="1" x="660"/>
        <item m="1" x="79"/>
        <item m="1" x="671"/>
        <item m="1" x="90"/>
        <item m="1" x="686"/>
        <item m="1" x="105"/>
        <item m="1" x="623"/>
        <item m="1" x="45"/>
        <item m="1" x="638"/>
        <item m="1" x="60"/>
        <item m="1" x="651"/>
        <item m="1" x="73"/>
        <item m="1" x="665"/>
        <item m="1" x="84"/>
        <item m="1" x="677"/>
        <item m="1" x="95"/>
        <item m="1" x="691"/>
        <item m="1" x="110"/>
        <item m="1" x="702"/>
        <item m="1" x="120"/>
        <item m="1" x="717"/>
        <item m="1" x="135"/>
        <item m="1" x="733"/>
        <item m="1" x="150"/>
        <item m="1" x="750"/>
        <item m="1" x="165"/>
        <item m="1" x="765"/>
        <item m="1" x="178"/>
        <item m="1" x="780"/>
        <item m="1" x="195"/>
        <item m="1" x="797"/>
        <item m="1" x="767"/>
        <item m="1" x="181"/>
        <item m="1" x="783"/>
        <item m="1" x="198"/>
        <item m="1" x="800"/>
        <item m="1" x="214"/>
        <item m="1" x="822"/>
        <item m="1" x="697"/>
        <item m="1" x="115"/>
        <item m="1" x="709"/>
        <item m="1" x="127"/>
        <item m="1" x="724"/>
        <item m="1" x="141"/>
        <item m="1" x="739"/>
        <item m="1" x="803"/>
        <item m="1" x="217"/>
        <item m="1" x="825"/>
        <item m="1" x="238"/>
        <item m="1" x="848"/>
        <item m="1" x="262"/>
        <item m="1" x="874"/>
        <item m="1" x="957"/>
        <item m="1" x="711"/>
        <item m="1" x="129"/>
        <item m="1" x="726"/>
        <item m="1" x="143"/>
        <item m="1" x="742"/>
        <item m="1" x="158"/>
        <item m="1" x="758"/>
        <item m="1" x="172"/>
        <item m="1" x="772"/>
        <item m="1" x="186"/>
        <item m="1" x="788"/>
        <item m="1" x="203"/>
        <item m="1" x="806"/>
        <item m="1" x="220"/>
        <item m="1" x="828"/>
        <item m="1" x="241"/>
        <item m="1" x="851"/>
        <item m="1" x="265"/>
        <item m="1" x="877"/>
        <item m="1" x="286"/>
        <item m="1" x="917"/>
        <item m="1" x="325"/>
        <item m="1" x="938"/>
        <item m="1" x="347"/>
        <item m="1" x="965"/>
        <item m="1" x="369"/>
        <item m="1" x="986"/>
        <item m="1" x="189"/>
        <item m="1" x="791"/>
        <item m="1" x="206"/>
        <item m="1" x="812"/>
        <item m="1" x="226"/>
        <item m="1" x="836"/>
        <item m="1" x="249"/>
        <item m="1" x="1009"/>
        <item m="1" x="413"/>
        <item m="1" x="1031"/>
        <item m="1" x="434"/>
        <item m="1" x="1057"/>
        <item m="1" x="457"/>
        <item m="1" x="1082"/>
        <item m="1" x="483"/>
        <item m="1" x="814"/>
        <item m="1" x="228"/>
        <item m="1" x="838"/>
        <item m="1" x="251"/>
        <item m="1" x="862"/>
        <item m="1" x="275"/>
        <item m="1" x="887"/>
        <item m="1" x="294"/>
        <item m="1" x="904"/>
        <item m="1" x="311"/>
        <item m="1" x="924"/>
        <item m="1" x="332"/>
        <item m="1" x="945"/>
        <item m="1" x="296"/>
        <item m="1" x="908"/>
        <item m="1" x="315"/>
        <item m="1" x="928"/>
        <item m="1" x="336"/>
        <item m="1" x="950"/>
        <item m="1" x="358"/>
        <item m="1" x="441"/>
        <item m="1" x="1065"/>
        <item m="1" x="465"/>
        <item m="1" x="1090"/>
        <item m="1" x="490"/>
        <item m="1" x="1113"/>
        <item m="1" x="512"/>
        <item m="1" x="1135"/>
        <item m="1" x="534"/>
        <item m="1" x="1157"/>
        <item m="1" x="553"/>
        <item m="1" x="1175"/>
        <item m="1" x="571"/>
        <item m="1" x="1193"/>
        <item m="1" x="1069"/>
        <item m="1" x="470"/>
        <item m="1" x="1095"/>
        <item m="1" x="495"/>
        <item m="1" x="1118"/>
        <item m="1" x="517"/>
        <item m="1" x="1140"/>
        <item m="1" x="402"/>
        <item m="1" x="1020"/>
        <item m="1" x="424"/>
        <item m="1" x="1044"/>
        <item m="1" x="448"/>
        <item m="1" x="1073"/>
        <item m="1" x="474"/>
        <item m="1" x="1099"/>
        <item m="1" x="499"/>
        <item m="1" x="1122"/>
        <item m="1" x="521"/>
        <item m="1" x="1144"/>
        <item m="1" x="542"/>
        <item m="1" x="1164"/>
        <item m="1" x="560"/>
        <item m="1" x="1182"/>
        <item m="1" x="578"/>
        <item m="1" x="1199"/>
        <item m="1" x="590"/>
        <item m="1" x="16"/>
        <item m="1" x="604"/>
        <item m="1" x="1022"/>
        <item m="1" x="426"/>
        <item m="1" x="1048"/>
        <item m="1" x="452"/>
        <item m="1" x="1077"/>
        <item m="1" x="478"/>
        <item m="1" x="1103"/>
        <item m="1" x="7"/>
        <item m="1" x="595"/>
        <item m="1" x="21"/>
        <item m="1" x="609"/>
        <item m="1" x="31"/>
        <item m="1" x="620"/>
        <item m="1" x="43"/>
        <item m="1" x="636"/>
        <item m="1" x="58"/>
        <item m="1" x="647"/>
        <item m="1" x="69"/>
        <item m="1" x="661"/>
        <item m="1" x="80"/>
        <item m="1" x="672"/>
        <item m="1" x="91"/>
        <item m="1" x="687"/>
        <item m="1" x="106"/>
        <item m="1" x="624"/>
        <item m="1" x="46"/>
        <item m="1" x="639"/>
        <item m="1" x="61"/>
        <item m="1" x="75"/>
        <item m="1" x="667"/>
        <item m="1" x="86"/>
        <item m="1" x="682"/>
        <item m="1" x="100"/>
        <item m="1" x="696"/>
        <item m="1" x="114"/>
        <item m="1" x="707"/>
        <item m="1" x="125"/>
        <item m="1" x="722"/>
        <item m="1" x="139"/>
        <item m="1" x="737"/>
        <item m="1" x="154"/>
        <item m="1" x="754"/>
        <item m="1" x="101"/>
        <item m="1" x="698"/>
        <item m="1" x="116"/>
        <item m="1" x="710"/>
        <item m="1" x="128"/>
        <item m="1" x="725"/>
        <item m="1" x="142"/>
        <item m="1" x="343"/>
        <item m="1" x="959"/>
        <item m="1" x="712"/>
        <item m="1" x="130"/>
        <item m="1" x="727"/>
        <item m="1" x="144"/>
        <item m="1" x="743"/>
        <item m="1" x="808"/>
        <item m="1" x="222"/>
        <item m="1" x="830"/>
        <item m="1" x="243"/>
        <item m="1" x="853"/>
        <item m="1" x="267"/>
        <item m="1" x="879"/>
        <item m="1" x="963"/>
        <item m="1" x="367"/>
        <item m="1" x="984"/>
        <item m="1" x="387"/>
        <item m="1" x="744"/>
        <item m="1" x="159"/>
        <item m="1" x="759"/>
        <item m="1" x="834"/>
        <item m="1" x="247"/>
        <item m="1" x="857"/>
        <item m="1" x="270"/>
        <item m="1" x="882"/>
        <item m="1" x="289"/>
        <item m="1" x="898"/>
        <item m="1" x="305"/>
        <item m="1" x="918"/>
        <item m="1" x="326"/>
        <item m="1" x="939"/>
        <item m="1" x="348"/>
        <item m="1" x="966"/>
        <item m="1" x="370"/>
        <item m="1" x="987"/>
        <item m="1" x="390"/>
        <item m="1" x="1007"/>
        <item m="1" x="411"/>
        <item m="1" x="1029"/>
        <item m="1" x="432"/>
        <item m="1" x="1055"/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numFmtId="166" outline="0" showAll="0"/>
    <pivotField compact="0" outline="0" showAll="0">
      <items count="56">
        <item m="1" x="18"/>
        <item m="1" x="39"/>
        <item m="1" x="5"/>
        <item m="1" x="27"/>
        <item m="1" x="42"/>
        <item m="1" x="8"/>
        <item m="1" x="30"/>
        <item m="1" x="47"/>
        <item m="1" x="13"/>
        <item m="1" x="34"/>
        <item m="1" x="52"/>
        <item m="1" x="19"/>
        <item m="1" x="40"/>
        <item m="1" x="6"/>
        <item m="1" x="28"/>
        <item m="1" x="44"/>
        <item m="1" x="10"/>
        <item x="0"/>
        <item m="1" x="49"/>
        <item m="1" x="15"/>
        <item m="1" x="36"/>
        <item m="1" x="54"/>
        <item m="1" x="20"/>
        <item m="1" x="41"/>
        <item m="1" x="7"/>
        <item m="1" x="29"/>
        <item m="1" x="46"/>
        <item m="1" x="12"/>
        <item m="1" x="33"/>
        <item m="1" x="51"/>
        <item m="1" x="16"/>
        <item m="1" x="37"/>
        <item m="1" x="2"/>
        <item m="1" x="21"/>
        <item m="1" x="43"/>
        <item m="1" x="9"/>
        <item m="1" x="31"/>
        <item m="1" x="48"/>
        <item m="1" x="14"/>
        <item m="1" x="35"/>
        <item m="1" x="53"/>
        <item m="1" x="17"/>
        <item m="1" x="38"/>
        <item m="1" x="3"/>
        <item m="1" x="22"/>
        <item m="1" x="45"/>
        <item m="1" x="11"/>
        <item m="1" x="32"/>
        <item m="1" x="50"/>
        <item m="1" x="23"/>
        <item m="1" x="24"/>
        <item m="1" x="25"/>
        <item m="1" x="26"/>
        <item m="1" x="4"/>
        <item m="1" x="1"/>
        <item t="default"/>
      </items>
    </pivotField>
    <pivotField compact="0" outline="0" showAll="0">
      <items count="15">
        <item m="1" x="4"/>
        <item m="1" x="13"/>
        <item m="1" x="9"/>
        <item m="1" x="10"/>
        <item m="1" x="6"/>
        <item x="0"/>
        <item m="1" x="2"/>
        <item m="1" x="8"/>
        <item m="1" x="12"/>
        <item m="1" x="3"/>
        <item m="1" x="11"/>
        <item m="1" x="7"/>
        <item m="1" x="5"/>
        <item m="1"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 defaultSubtotal="0">
      <items count="26">
        <item m="1" x="25"/>
        <item m="1" x="12"/>
        <item m="1" x="9"/>
        <item x="2"/>
        <item m="1" x="17"/>
        <item m="1" x="21"/>
        <item m="1" x="4"/>
        <item m="1" x="22"/>
        <item m="1" x="13"/>
        <item m="1" x="3"/>
        <item m="1" x="10"/>
        <item m="1" x="23"/>
        <item m="1" x="11"/>
        <item m="1" x="19"/>
        <item m="1" x="5"/>
        <item m="1" x="18"/>
        <item m="1" x="16"/>
        <item m="1" x="7"/>
        <item m="1" x="14"/>
        <item m="1" x="8"/>
        <item m="1" x="24"/>
        <item m="1" x="6"/>
        <item x="0"/>
        <item m="1" x="15"/>
        <item m="1" x="20"/>
        <item x="1"/>
      </items>
    </pivotField>
    <pivotField compact="0" outline="0" showAll="0">
      <items count="8">
        <item m="1" x="5"/>
        <item m="1" x="1"/>
        <item m="1" x="4"/>
        <item m="1" x="6"/>
        <item m="1" x="3"/>
        <item x="0"/>
        <item m="1" x="2"/>
        <item t="default" sd="0"/>
      </items>
    </pivotField>
    <pivotField axis="axisPage" compact="0" outline="0" showAll="0" defaultSubtotal="0">
      <items count="8">
        <item m="1" x="4"/>
        <item m="1" x="7"/>
        <item m="1" x="2"/>
        <item m="1" x="3"/>
        <item m="1" x="6"/>
        <item x="1"/>
        <item m="1" x="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34">
    <i>
      <x v="125"/>
    </i>
    <i>
      <x v="132"/>
    </i>
    <i>
      <x v="142"/>
    </i>
    <i>
      <x v="143"/>
    </i>
    <i>
      <x v="156"/>
    </i>
    <i>
      <x v="157"/>
    </i>
    <i>
      <x v="161"/>
    </i>
    <i>
      <x v="164"/>
    </i>
    <i>
      <x v="165"/>
    </i>
    <i>
      <x v="180"/>
    </i>
    <i>
      <x v="183"/>
    </i>
    <i>
      <x v="185"/>
    </i>
    <i>
      <x v="187"/>
    </i>
    <i>
      <x v="192"/>
    </i>
    <i>
      <x v="196"/>
    </i>
    <i>
      <x v="197"/>
    </i>
    <i>
      <x v="200"/>
    </i>
    <i>
      <x v="204"/>
    </i>
    <i>
      <x v="205"/>
    </i>
    <i>
      <x v="206"/>
    </i>
    <i>
      <x v="208"/>
    </i>
    <i>
      <x v="209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20"/>
    </i>
    <i>
      <x v="221"/>
    </i>
    <i>
      <x v="222"/>
    </i>
    <i t="grand">
      <x/>
    </i>
  </rowItems>
  <colFields count="1">
    <field x="16"/>
  </colFields>
  <colItems count="8">
    <i>
      <x v="1196"/>
    </i>
    <i>
      <x v="1197"/>
    </i>
    <i>
      <x v="1198"/>
    </i>
    <i>
      <x v="1199"/>
    </i>
    <i>
      <x v="1200"/>
    </i>
    <i>
      <x v="1201"/>
    </i>
    <i>
      <x v="1202"/>
    </i>
    <i t="grand">
      <x/>
    </i>
  </colItems>
  <pageFields count="2">
    <pageField fld="26" hier="-1"/>
    <pageField fld="3" hier="-1"/>
  </pageFields>
  <dataFields count="1">
    <dataField name="Nombre de Segment" fld="15" subtotal="count" baseField="0" baseItem="0" numFmtId="1"/>
  </dataFields>
  <formats count="10">
    <format dxfId="23">
      <pivotArea field="25" type="button" dataOnly="0" labelOnly="1" outline="0"/>
    </format>
    <format dxfId="22">
      <pivotArea field="15" type="button" dataOnly="0" labelOnly="1" outline="0"/>
    </format>
    <format dxfId="21">
      <pivotArea field="24" type="button" dataOnly="0" labelOnly="1" outline="0"/>
    </format>
    <format dxfId="20">
      <pivotArea field="1" type="button" dataOnly="0" labelOnly="1" outline="0" axis="axisRow" fieldPosition="0"/>
    </format>
    <format dxfId="19">
      <pivotArea field="25" type="button" dataOnly="0" labelOnly="1" outline="0"/>
    </format>
    <format dxfId="18">
      <pivotArea field="15" type="button" dataOnly="0" labelOnly="1" outline="0"/>
    </format>
    <format dxfId="17">
      <pivotArea field="24" type="button" dataOnly="0" labelOnly="1" outline="0"/>
    </format>
    <format dxfId="16">
      <pivotArea field="1" type="button" dataOnly="0" labelOnly="1" outline="0" axis="axisRow" fieldPosition="0"/>
    </format>
    <format dxfId="15">
      <pivotArea outline="0" collapsedLevelsAreSubtotals="1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2" xr10:uid="{00000000-0013-0000-FFFF-FFFF01000000}" sourceName="Mois">
  <pivotTables>
    <pivotTable tabId="15" name="Tableau croisé dynamique4"/>
  </pivotTables>
  <data>
    <tabular pivotCacheId="4">
      <items count="14">
        <i x="0" s="1"/>
        <i x="4" s="1" nd="1"/>
        <i x="13" s="1" nd="1"/>
        <i x="9" s="1" nd="1"/>
        <i x="10" s="1" nd="1"/>
        <i x="6" s="1" nd="1"/>
        <i x="2" s="1" nd="1"/>
        <i x="8" s="1" nd="1"/>
        <i x="12" s="1" nd="1"/>
        <i x="3" s="1" nd="1"/>
        <i x="11" s="1" nd="1"/>
        <i x="7" s="1" nd="1"/>
        <i x="5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maine12" xr10:uid="{00000000-0013-0000-FFFF-FFFF02000000}" sourceName="Semaine">
  <pivotTables>
    <pivotTable tabId="15" name="Tableau croisé dynamique4"/>
  </pivotTables>
  <data>
    <tabular pivotCacheId="4">
      <items count="55">
        <i x="0" s="1"/>
        <i x="18" s="1" nd="1"/>
        <i x="39" s="1" nd="1"/>
        <i x="5" s="1" nd="1"/>
        <i x="27" s="1" nd="1"/>
        <i x="42" s="1" nd="1"/>
        <i x="8" s="1" nd="1"/>
        <i x="30" s="1" nd="1"/>
        <i x="47" s="1" nd="1"/>
        <i x="13" s="1" nd="1"/>
        <i x="34" s="1" nd="1"/>
        <i x="52" s="1" nd="1"/>
        <i x="19" s="1" nd="1"/>
        <i x="40" s="1" nd="1"/>
        <i x="6" s="1" nd="1"/>
        <i x="28" s="1" nd="1"/>
        <i x="44" s="1" nd="1"/>
        <i x="10" s="1" nd="1"/>
        <i x="49" s="1" nd="1"/>
        <i x="15" s="1" nd="1"/>
        <i x="36" s="1" nd="1"/>
        <i x="54" s="1" nd="1"/>
        <i x="20" s="1" nd="1"/>
        <i x="41" s="1" nd="1"/>
        <i x="7" s="1" nd="1"/>
        <i x="29" s="1" nd="1"/>
        <i x="46" s="1" nd="1"/>
        <i x="12" s="1" nd="1"/>
        <i x="33" s="1" nd="1"/>
        <i x="51" s="1" nd="1"/>
        <i x="16" s="1" nd="1"/>
        <i x="37" s="1" nd="1"/>
        <i x="2" s="1" nd="1"/>
        <i x="21" s="1" nd="1"/>
        <i x="43" s="1" nd="1"/>
        <i x="9" s="1" nd="1"/>
        <i x="31" s="1" nd="1"/>
        <i x="48" s="1" nd="1"/>
        <i x="14" s="1" nd="1"/>
        <i x="35" s="1" nd="1"/>
        <i x="53" s="1" nd="1"/>
        <i x="17" s="1" nd="1"/>
        <i x="38" s="1" nd="1"/>
        <i x="3" s="1" nd="1"/>
        <i x="22" s="1" nd="1"/>
        <i x="45" s="1" nd="1"/>
        <i x="11" s="1" nd="1"/>
        <i x="32" s="1" nd="1"/>
        <i x="50" s="1" nd="1"/>
        <i x="23" s="1" nd="1"/>
        <i x="24" s="1" nd="1"/>
        <i x="25" s="1" nd="1"/>
        <i x="26" s="1" nd="1"/>
        <i x="4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12" xr10:uid="{00000000-0013-0000-FFFF-FFFF03000000}" sourceName="Segment">
  <pivotTables>
    <pivotTable tabId="15" name="Tableau croisé dynamique4"/>
  </pivotTables>
  <data>
    <tabular pivotCacheId="4">
      <items count="2">
        <i x="0" s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usiness12" xr10:uid="{00000000-0013-0000-FFFF-FFFF04000000}" sourceName="Business">
  <pivotTables>
    <pivotTable tabId="15" name="Tableau croisé dynamique4"/>
  </pivotTables>
  <data>
    <tabular pivotCacheId="4">
      <items count="7">
        <i x="0" s="1"/>
        <i x="3" s="1" nd="1"/>
        <i x="5" s="1" nd="1"/>
        <i x="4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41" xr10:uid="{00000000-0013-0000-FFFF-FFFF05000000}" sourceName="Mois">
  <pivotTables>
    <pivotTable tabId="16" name="Tableau croisé dynamique5"/>
  </pivotTables>
  <data>
    <tabular pivotCacheId="4">
      <items count="14">
        <i x="0" s="1"/>
        <i x="4" s="1" nd="1"/>
        <i x="13" s="1" nd="1"/>
        <i x="9" s="1" nd="1"/>
        <i x="10" s="1" nd="1"/>
        <i x="6" s="1" nd="1"/>
        <i x="2" s="1" nd="1"/>
        <i x="8" s="1" nd="1"/>
        <i x="12" s="1" nd="1"/>
        <i x="3" s="1" nd="1"/>
        <i x="11" s="1" nd="1"/>
        <i x="7" s="1" nd="1"/>
        <i x="5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maine141" xr10:uid="{00000000-0013-0000-FFFF-FFFF06000000}" sourceName="Semaine">
  <pivotTables>
    <pivotTable tabId="16" name="Tableau croisé dynamique5"/>
  </pivotTables>
  <data>
    <tabular pivotCacheId="4">
      <items count="55">
        <i x="0" s="1"/>
        <i x="18" s="1" nd="1"/>
        <i x="39" s="1" nd="1"/>
        <i x="5" s="1" nd="1"/>
        <i x="27" s="1" nd="1"/>
        <i x="42" s="1" nd="1"/>
        <i x="8" s="1" nd="1"/>
        <i x="30" s="1" nd="1"/>
        <i x="47" s="1" nd="1"/>
        <i x="13" s="1" nd="1"/>
        <i x="34" s="1" nd="1"/>
        <i x="52" s="1" nd="1"/>
        <i x="19" s="1" nd="1"/>
        <i x="40" s="1" nd="1"/>
        <i x="6" s="1" nd="1"/>
        <i x="28" s="1" nd="1"/>
        <i x="44" s="1" nd="1"/>
        <i x="10" s="1" nd="1"/>
        <i x="49" s="1" nd="1"/>
        <i x="15" s="1" nd="1"/>
        <i x="36" s="1" nd="1"/>
        <i x="54" s="1" nd="1"/>
        <i x="20" s="1" nd="1"/>
        <i x="41" s="1" nd="1"/>
        <i x="7" s="1" nd="1"/>
        <i x="29" s="1" nd="1"/>
        <i x="46" s="1" nd="1"/>
        <i x="12" s="1" nd="1"/>
        <i x="33" s="1" nd="1"/>
        <i x="51" s="1" nd="1"/>
        <i x="16" s="1" nd="1"/>
        <i x="37" s="1" nd="1"/>
        <i x="2" s="1" nd="1"/>
        <i x="21" s="1" nd="1"/>
        <i x="43" s="1" nd="1"/>
        <i x="9" s="1" nd="1"/>
        <i x="31" s="1" nd="1"/>
        <i x="48" s="1" nd="1"/>
        <i x="14" s="1" nd="1"/>
        <i x="35" s="1" nd="1"/>
        <i x="53" s="1" nd="1"/>
        <i x="17" s="1" nd="1"/>
        <i x="38" s="1" nd="1"/>
        <i x="3" s="1" nd="1"/>
        <i x="22" s="1" nd="1"/>
        <i x="45" s="1" nd="1"/>
        <i x="11" s="1" nd="1"/>
        <i x="32" s="1" nd="1"/>
        <i x="50" s="1" nd="1"/>
        <i x="23" s="1" nd="1"/>
        <i x="24" s="1" nd="1"/>
        <i x="25" s="1" nd="1"/>
        <i x="26" s="1" nd="1"/>
        <i x="4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141" xr10:uid="{00000000-0013-0000-FFFF-FFFF07000000}" sourceName="Segment">
  <pivotTables>
    <pivotTable tabId="16" name="Tableau croisé dynamique5"/>
  </pivotTables>
  <data>
    <tabular pivotCacheId="4">
      <items count="2">
        <i x="0" s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usiness141" xr10:uid="{00000000-0013-0000-FFFF-FFFF08000000}" sourceName="Business">
  <pivotTables>
    <pivotTable tabId="16" name="Tableau croisé dynamique5"/>
  </pivotTables>
  <data>
    <tabular pivotCacheId="4">
      <items count="7">
        <i x="0" s="1"/>
        <i x="3" s="1" nd="1"/>
        <i x="5" s="1" nd="1"/>
        <i x="4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 7" xr10:uid="{00000000-0014-0000-FFFF-FFFF01000000}" cache="Segment_Mois141" caption="Mois" rowHeight="241300"/>
  <slicer name="Semaine 7" xr10:uid="{00000000-0014-0000-FFFF-FFFF02000000}" cache="Segment_Semaine141" caption="Semaine" rowHeight="241300"/>
  <slicer name="Segment 6" xr10:uid="{00000000-0014-0000-FFFF-FFFF03000000}" cache="Segment_Segment141" caption="Segment" style="SlicerStyleLight6" rowHeight="241300"/>
  <slicer name="Business 6" xr10:uid="{00000000-0014-0000-FFFF-FFFF04000000}" cache="Segment_Business141" caption="Business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 4" xr10:uid="{00000000-0014-0000-FFFF-FFFF05000000}" cache="Segment_Mois12" caption="Mois" rowHeight="241300"/>
  <slicer name="Semaine 4" xr10:uid="{00000000-0014-0000-FFFF-FFFF06000000}" cache="Segment_Semaine12" caption="Semaine" rowHeight="241300"/>
  <slicer name="Segment 3" xr10:uid="{00000000-0014-0000-FFFF-FFFF07000000}" cache="Segment_Segment12" caption="Segment" columnCount="2" style="SlicerStyleLight6" rowHeight="241300"/>
  <slicer name="Business 3" xr10:uid="{00000000-0014-0000-FFFF-FFFF08000000}" cache="Segment_Business12" caption="Business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lanning2" displayName="Planning2" ref="A1:H225" totalsRowShown="0" headerRowDxfId="116" dataDxfId="115">
  <autoFilter ref="A1:H225" xr:uid="{00000000-000C-0000-FFFF-FFFF00000000}">
    <filterColumn colId="0">
      <filters>
        <filter val="KANTAOUI SALMA"/>
      </filters>
    </filterColumn>
  </autoFilter>
  <sortState xmlns:xlrd2="http://schemas.microsoft.com/office/spreadsheetml/2017/richdata2" ref="A168:H196">
    <sortCondition ref="C1:C196"/>
  </sortState>
  <tableColumns count="8">
    <tableColumn id="1" xr3:uid="{00000000-0010-0000-0000-000001000000}" name="Nom" dataDxfId="114" dataCellStyle="Nor}al"/>
    <tableColumn id="2" xr3:uid="{00000000-0010-0000-0000-000002000000}" name="Date" dataDxfId="113" dataCellStyle="Nor}al"/>
    <tableColumn id="3" xr3:uid="{00000000-0010-0000-0000-000003000000}" name="Entrée" dataDxfId="112"/>
    <tableColumn id="4" xr3:uid="{00000000-0010-0000-0000-000004000000}" name="Sortie" dataDxfId="111"/>
    <tableColumn id="6" xr3:uid="{00000000-0010-0000-0000-000006000000}" name="No Semaine" dataDxfId="110">
      <calculatedColumnFormula>WEEKNUM(Planning2[[#This Row],[Date]],21)</calculatedColumnFormula>
    </tableColumn>
    <tableColumn id="5" xr3:uid="{00000000-0010-0000-0000-000005000000}" name="Segment" dataDxfId="109">
      <calculatedColumnFormula>VLOOKUP(A2,Annuaire_roster!B:C,2,0)</calculatedColumnFormula>
    </tableColumn>
    <tableColumn id="7" xr3:uid="{00000000-0010-0000-0000-000007000000}" name="Colonne1" dataDxfId="108"/>
    <tableColumn id="8" xr3:uid="{00000000-0010-0000-0000-000008000000}" name="Colonne2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4" displayName="Tableau4" ref="N5:Q16" totalsRowShown="0" headerRowDxfId="29">
  <autoFilter ref="N5:Q16" xr:uid="{00000000-0009-0000-0100-000004000000}"/>
  <tableColumns count="4">
    <tableColumn id="1" xr3:uid="{00000000-0010-0000-0100-000001000000}" name="Nom De l'agent" dataDxfId="28"/>
    <tableColumn id="2" xr3:uid="{00000000-0010-0000-0100-000002000000}" name="Date" dataDxfId="27"/>
    <tableColumn id="3" xr3:uid="{00000000-0010-0000-0100-000003000000}" name="Somme de Théorique" dataDxfId="26"/>
    <tableColumn id="4" xr3:uid="{00000000-0010-0000-0100-000004000000}" name="Commentaire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au132" displayName="Tableau132" ref="C4:J64" totalsRowShown="0" headerRowDxfId="11" headerRowBorderDxfId="10" tableBorderDxfId="9" totalsRowBorderDxfId="8">
  <sortState xmlns:xlrd2="http://schemas.microsoft.com/office/spreadsheetml/2017/richdata2" ref="C7:K74">
    <sortCondition ref="F4:F75"/>
  </sortState>
  <tableColumns count="8">
    <tableColumn id="8" xr3:uid="{00000000-0010-0000-0200-000008000000}" name="Matricule" dataDxfId="7">
      <calculatedColumnFormula>VLOOKUP(Tableau132[[#This Row],[Nom et Prénom du salarié]],Annuaire_roster!B:F,5,0)</calculatedColumnFormula>
    </tableColumn>
    <tableColumn id="1" xr3:uid="{00000000-0010-0000-0200-000001000000}" name="Activité" dataDxfId="6"/>
    <tableColumn id="2" xr3:uid="{00000000-0010-0000-0200-000002000000}" name="Manager" dataDxfId="5"/>
    <tableColumn id="3" xr3:uid="{00000000-0010-0000-0200-000003000000}" name="Nom et Prénom du salarié" dataDxfId="4"/>
    <tableColumn id="4" xr3:uid="{00000000-0010-0000-0200-000004000000}" name="Date début de l'arrêt" dataDxfId="3"/>
    <tableColumn id="5" xr3:uid="{00000000-0010-0000-0200-000005000000}" name="Date de reprise" dataDxfId="2"/>
    <tableColumn id="9" xr3:uid="{00000000-0010-0000-0200-000009000000}" name="Date de dépôt du CM" dataDxfId="1"/>
    <tableColumn id="6" xr3:uid="{00000000-0010-0000-0200-000006000000}" name="Durée de l'arrêt" dataDxfId="0">
      <calculatedColumnFormula>Tableau132[[#This Row],[Date de reprise]]-Tableau132[[#This Row],[Date début de l''arrêt]] &amp; "j"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/>
  <dimension ref="A1:AG225"/>
  <sheetViews>
    <sheetView showGridLines="0" zoomScaleNormal="100" workbookViewId="0">
      <pane xSplit="2" ySplit="1" topLeftCell="C169" activePane="bottomRight" state="frozen"/>
      <selection activeCell="C37" sqref="C37"/>
      <selection pane="topRight" activeCell="C37" sqref="C37"/>
      <selection pane="bottomLeft" activeCell="C37" sqref="C37"/>
      <selection pane="bottomRight" activeCell="F162" sqref="F162:F193"/>
    </sheetView>
  </sheetViews>
  <sheetFormatPr baseColWidth="10" defaultColWidth="11.42578125" defaultRowHeight="12.75" x14ac:dyDescent="0.2"/>
  <cols>
    <col min="1" max="1" width="13.7109375" style="16" customWidth="1"/>
    <col min="2" max="2" width="27.28515625" style="41" bestFit="1" customWidth="1"/>
    <col min="3" max="3" width="16.42578125" style="18" customWidth="1"/>
    <col min="4" max="4" width="16.42578125" style="19" customWidth="1"/>
    <col min="5" max="5" width="13.7109375" style="20" customWidth="1"/>
    <col min="6" max="6" width="14" style="20" customWidth="1"/>
    <col min="7" max="7" width="14.5703125" style="21" customWidth="1"/>
    <col min="8" max="8" width="17.7109375" style="21" customWidth="1"/>
    <col min="9" max="9" width="16.28515625" style="21" customWidth="1"/>
    <col min="10" max="11" width="13.7109375" style="21" customWidth="1"/>
    <col min="12" max="12" width="12.7109375" style="21" customWidth="1"/>
    <col min="13" max="13" width="12.7109375" style="16" customWidth="1"/>
    <col min="14" max="14" width="14.7109375" style="21" customWidth="1"/>
    <col min="15" max="15" width="14.5703125" style="21" customWidth="1"/>
    <col min="16" max="16" width="12.5703125" style="16" customWidth="1"/>
    <col min="17" max="17" width="10.42578125" style="16" customWidth="1"/>
    <col min="18" max="18" width="14.7109375" style="16" customWidth="1"/>
    <col min="19" max="19" width="16.7109375" style="16" customWidth="1"/>
    <col min="20" max="20" width="12.28515625" style="16" customWidth="1"/>
    <col min="21" max="21" width="9.28515625" style="16" customWidth="1"/>
    <col min="22" max="22" width="10.7109375" style="16" customWidth="1"/>
    <col min="23" max="23" width="8.7109375" style="16" customWidth="1"/>
    <col min="24" max="24" width="14.5703125" style="22" customWidth="1"/>
    <col min="25" max="25" width="25.28515625" style="16" customWidth="1"/>
    <col min="26" max="26" width="12.28515625" style="16" customWidth="1"/>
    <col min="27" max="27" width="10.42578125" style="17" customWidth="1"/>
    <col min="28" max="28" width="14.5703125" style="16" customWidth="1"/>
    <col min="29" max="29" width="18.7109375" style="16" customWidth="1"/>
    <col min="30" max="30" width="16" style="16" customWidth="1"/>
    <col min="31" max="31" width="13" style="16" customWidth="1"/>
    <col min="32" max="32" width="38.28515625" style="16" customWidth="1"/>
    <col min="33" max="33" width="16.42578125" style="16" bestFit="1" customWidth="1"/>
    <col min="34" max="16384" width="11.42578125" style="16"/>
  </cols>
  <sheetData>
    <row r="1" spans="1:33" s="15" customFormat="1" ht="35.25" customHeight="1" thickTop="1" thickBot="1" x14ac:dyDescent="0.3">
      <c r="A1" s="71" t="s">
        <v>28</v>
      </c>
      <c r="B1" s="92" t="s">
        <v>12</v>
      </c>
      <c r="C1" s="65" t="s">
        <v>5</v>
      </c>
      <c r="D1" s="64" t="s">
        <v>1</v>
      </c>
      <c r="E1" s="66" t="s">
        <v>32</v>
      </c>
      <c r="F1" s="66" t="s">
        <v>2</v>
      </c>
      <c r="G1" s="7" t="s">
        <v>13</v>
      </c>
      <c r="H1" s="7" t="s">
        <v>27</v>
      </c>
      <c r="I1" s="7" t="s">
        <v>6</v>
      </c>
      <c r="J1" s="7" t="s">
        <v>7</v>
      </c>
      <c r="K1" s="7" t="s">
        <v>8</v>
      </c>
      <c r="L1" s="7" t="s">
        <v>14</v>
      </c>
      <c r="M1" s="67" t="s">
        <v>9</v>
      </c>
      <c r="N1" s="2" t="s">
        <v>10</v>
      </c>
      <c r="O1" s="64" t="s">
        <v>11</v>
      </c>
      <c r="P1" s="64" t="s">
        <v>24</v>
      </c>
      <c r="Q1" s="68" t="s">
        <v>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1" t="s">
        <v>20</v>
      </c>
      <c r="X1" s="4" t="s">
        <v>21</v>
      </c>
      <c r="Y1" s="3" t="s">
        <v>22</v>
      </c>
      <c r="Z1" s="3" t="s">
        <v>23</v>
      </c>
      <c r="AA1" s="8" t="s">
        <v>3</v>
      </c>
      <c r="AB1" s="3" t="s">
        <v>33</v>
      </c>
      <c r="AC1" s="3" t="s">
        <v>34</v>
      </c>
      <c r="AD1" s="3" t="s">
        <v>35</v>
      </c>
      <c r="AE1" s="3" t="s">
        <v>50</v>
      </c>
      <c r="AF1" s="69" t="s">
        <v>59</v>
      </c>
      <c r="AG1" s="3" t="s">
        <v>36</v>
      </c>
    </row>
    <row r="2" spans="1:33" hidden="1" x14ac:dyDescent="0.2">
      <c r="A2" s="70">
        <f>VLOOKUP(B2,Annuaire_roster!B:F,5,0)</f>
        <v>742</v>
      </c>
      <c r="B2" s="166" t="s">
        <v>76</v>
      </c>
      <c r="C2" s="61">
        <v>0.29166666666666669</v>
      </c>
      <c r="D2" s="61">
        <f t="array" ref="D2">IFERROR(INDEX(Planning2[],MATCH(1,(Planning2[Nom]=B2)*(Planning2[Date]=Q2),0),3),"-")</f>
        <v>0.29166666666666669</v>
      </c>
      <c r="E2" s="38">
        <v>0.66666666666666663</v>
      </c>
      <c r="F2" s="38">
        <f t="array" ref="F2">IFERROR(INDEX(Planning2[],MATCH(1,(Planning2[Nom]=B2)*(Planning2[Date]=Q2),0),4),"-")</f>
        <v>0.66666666666666663</v>
      </c>
      <c r="G2" s="88"/>
      <c r="H2" s="88"/>
      <c r="I2" s="209" t="str">
        <f t="shared" ref="I2:I33" si="0">IF(IF(OR(C2="",D2="Congé",D2="OFF",D2="Congé spécial"),"",IF(D2&gt;F2,D2-C2,IF(C2-D2&lt;0,0,C2-D2)))&lt;0.00068287037037037,"",IF(OR(D2="Congé",D2="OFF",C2="",D2="Congé spécial"),"",IF(D2&gt;F2,D2-C2,IF(C2-D2&lt;0,0,C2-D2))))</f>
        <v/>
      </c>
      <c r="J2" s="88"/>
      <c r="K2" s="89">
        <f t="shared" ref="K2:K33" si="1">IF(SUM(H2:J2)&lt;0.00068287037037037,0,SUM(H2:J2))</f>
        <v>0</v>
      </c>
      <c r="L2" s="88">
        <f t="shared" ref="L2:L33" si="2">IF(OR(F2="Congé",F2="OFF",M2="Abs",F2="Congé sans solde",F2="Férié",F2="Congé spécial",D2="Congé spécial"),0,IF(F2-E2&lt;0,0,IF(F2-E2&lt;=0.00068287037037037,0,F2-E2)))</f>
        <v>0</v>
      </c>
      <c r="M2" s="62">
        <f t="shared" ref="M2:M33" si="3">IF(AND(O2&lt;&gt;0,C2=""),"Abs",0)</f>
        <v>0</v>
      </c>
      <c r="N2" s="102">
        <f t="shared" ref="N2:N33" si="4">IFERROR(IF(OR(D2="OFF",D2="Congé",M2="Abs",D2="Congé sans solde",D2="Férié"),"",IF(O2-K2-L2&gt;O2,O2,IF(O2-K2-L2&lt;0,"",O2-K2-L2))),"")</f>
        <v>0.33333333333333326</v>
      </c>
      <c r="O2" s="90">
        <f t="shared" ref="O2:O33" si="5">IF(AG2="2H Pause déjeuner",IF(F2-D2-0.0833333333333333&lt;0,F2-D2-0.0833333333333333+1,F2-D2-0.0833333333333333),IF(OR(AND(F2="OFF",D2="OFF"),AND(F2="Congé",D2="Congé"),AND(F2="Congé sans solde",D2="Congé sans solde"),AND(F2="Congé spécial",D2="Congé spécial"),AND(F2="Férié",D2="Férié"),AND(F2="OFF",D2="Congé"),AND(F2="OFF",D2="Congé sans solde"),AND(F2="OFF",D2="Congé spécial"),AND(F2="OFF",D2="Férié"),AND(F2="Congé",D2="OFF"),AND(F2="Congé",D2="Congé sans solde"),AND(F2="Congé",D2="Congé spécial"),AND(F2="Congé",D2="Férié"),AND(F2="Congé sans solde",D2="OFF"),AND(F2="Congé sans solde",D2="Congé"),AND(F2="Congé sans solde",D2="Congé spécial"),AND(F2="Congé sans solde",D2="Férié"),AND(F2="Congé spécial",D2="OFF"),AND(F2="Congé spécial",D2="Congé"),AND(F2="Congé spécial",D2="Congé sans solde"),AND(F2="Congé spécial",D2="Férié"),AND(F2="Férié",D2="OFF"),AND(F2="Férié",D2="Congé"),AND(F2="Férié",D2="Congé sans solde"),AND(F2="Férié",D2="Congé spécial")),0,IF(OR(F2="OFF",F2="Congé",F2="Congé spécial",F2="Congé sans solde",D2="OFF",D2="Congé",D2="Congé spécial",D2="Congé sans solde"),0.208333333333334,IF(AND(AG2="",F2-D2&lt;0),("24:00:00"-D2)+("00:00:00"+F2)-0.0416666666666667,IF(AND(OR(AG2="Allaitement",AG2="Sans déjeuner"),F2-D2&lt;0),("24:00:00"-D2)+("00:00:00"+F2),IF(AND(AG2="",F2-D2&gt;0.166666666666667),F2-D2-0.0416666666666667,IF(AND(OR(AG2="Allaitement",AG2="Sans déjeuner"),F2-D2&gt;0.166666666666667),F2-D2,F2-D2)))))))</f>
        <v>0.33333333333333326</v>
      </c>
      <c r="P2" s="91" t="str">
        <f>IFERROR(VLOOKUP($B2,Annuaire_roster!$B:$G,MATCH(P$1,Annuaire_roster!$B$1:$G$1,0),0),"-")</f>
        <v>Google Leads</v>
      </c>
      <c r="Q2" s="100">
        <v>44717</v>
      </c>
      <c r="R2" s="10">
        <f t="shared" ref="R2:R33" si="6">IF(M2="Abs",O2,0)</f>
        <v>0</v>
      </c>
      <c r="S2" s="10">
        <f t="shared" ref="S2:S33" si="7">SUM(R2,L2,I2,J2,W2,H2)</f>
        <v>0</v>
      </c>
      <c r="T2" s="16" t="str">
        <f t="shared" ref="T2:T33" si="8">"Sem - "&amp;WEEKNUM(Q2,21)</f>
        <v>Sem - 23</v>
      </c>
      <c r="U2" s="16" t="str">
        <f t="shared" ref="U2:U33" si="9">PROPER(TEXT(Q2,"mmmm"))</f>
        <v>Juin</v>
      </c>
      <c r="V2" s="11" t="str">
        <f t="shared" ref="V2:V33" si="10">+TEXT(Q2,"aaa")</f>
        <v>2026</v>
      </c>
      <c r="W2" s="9"/>
      <c r="X2" s="5">
        <f t="shared" ref="X2:X33" si="11">IFERROR(IF(M2="Abs",0,IF((D2-C2+E2-F2)&lt;0.000694444444444444,0,(D2-C2+E2-F2))),0)</f>
        <v>0</v>
      </c>
      <c r="Y2" s="12" t="str">
        <f>IFERROR(VLOOKUP(B2,Annuaire_roster!B:E,4,0),"-")</f>
        <v>OUAQERROUCH Nour-El Houda</v>
      </c>
      <c r="Z2" s="12" t="str">
        <f>IFERROR(VLOOKUP(B2,Annuaire_roster!B:F,3,0),"-")</f>
        <v>Google Leads</v>
      </c>
      <c r="AA2" s="12" t="str">
        <f>IFERROR(VLOOKUP(B2,Annuaire_roster!B:I,6,0),"-")</f>
        <v>Forfaitaire</v>
      </c>
      <c r="AB2" s="142" t="str">
        <f t="shared" ref="AB2:AB33" si="12">IF(AND(D2="Congé",F2="Congé"),0.333333333333333,IF(OR(AND(D2="Congé",F2&lt;&gt;"Congé"),(AND(F2="Congé",D2&lt;&gt;"Congé"))),0.166666666666667,""))</f>
        <v/>
      </c>
      <c r="AC2" s="142" t="str">
        <f t="shared" ref="AC2:AC33" si="13">IF(AND(D2="Congé sans solde",F2="Congé sans solde"),0.333333333333333,IF(OR(AND(D2="Congé sans solde",F2&lt;&gt;"Congé sans solde"),(AND(F2="Congé sans solde",D2&lt;&gt;"Congé sans solde"))),0.166666666666667,""))</f>
        <v/>
      </c>
      <c r="AD2" s="142" t="str">
        <f t="shared" ref="AD2:AD33" si="14">IF(AND(D2="Congé spécial",F2="Congé spécial"),0.333333333333333,IF(OR(AND(D2="Congé spécial",F2&lt;&gt;"Congé décès"),(AND(F2="Congé spécial",D2&lt;&gt;"Congé spécial"))),0.166666666666667,""))</f>
        <v/>
      </c>
      <c r="AE2" s="143" t="str">
        <f t="shared" ref="AE2:AE33" si="15">IF(AND(D2="Férié",F2="Férié"),0.333333333333333,IF(OR(AND(D2="Férié",F2&lt;&gt;"Férié"),(AND(F2="Férié",D2&lt;&gt;"Férié"))),0.166666666666667,""))</f>
        <v/>
      </c>
      <c r="AF2" s="63"/>
      <c r="AG2" s="10"/>
    </row>
    <row r="3" spans="1:33" hidden="1" x14ac:dyDescent="0.2">
      <c r="A3" s="70">
        <f>VLOOKUP(B3,Annuaire_roster!B:F,5,0)</f>
        <v>0</v>
      </c>
      <c r="B3" s="166" t="s">
        <v>196</v>
      </c>
      <c r="C3" s="61">
        <v>0.29166666666666669</v>
      </c>
      <c r="D3" s="61">
        <f t="array" ref="D3">IFERROR(INDEX(Planning2[],MATCH(1,(Planning2[Nom]=B3)*(Planning2[Date]=Q3),0),3),"-")</f>
        <v>0.29166666666666669</v>
      </c>
      <c r="E3" s="38">
        <v>0.70833333333333337</v>
      </c>
      <c r="F3" s="38">
        <f t="array" ref="F3">IFERROR(INDEX(Planning2[],MATCH(1,(Planning2[Nom]=B3)*(Planning2[Date]=Q3),0),4),"-")</f>
        <v>0.70833333333333337</v>
      </c>
      <c r="G3" s="88"/>
      <c r="H3" s="88"/>
      <c r="I3" s="209" t="str">
        <f t="shared" si="0"/>
        <v/>
      </c>
      <c r="J3" s="88"/>
      <c r="K3" s="89">
        <f t="shared" si="1"/>
        <v>0</v>
      </c>
      <c r="L3" s="88">
        <f t="shared" si="2"/>
        <v>0</v>
      </c>
      <c r="M3" s="62">
        <f t="shared" si="3"/>
        <v>0</v>
      </c>
      <c r="N3" s="102">
        <f t="shared" si="4"/>
        <v>0.375</v>
      </c>
      <c r="O3" s="90">
        <f t="shared" si="5"/>
        <v>0.375</v>
      </c>
      <c r="P3" s="91" t="str">
        <f>IFERROR(VLOOKUP($B3,Annuaire_roster!$B:$G,MATCH(P$1,Annuaire_roster!$B$1:$G$1,0),0),"-")</f>
        <v>Google Leads</v>
      </c>
      <c r="Q3" s="100">
        <v>44717</v>
      </c>
      <c r="R3" s="10">
        <f t="shared" si="6"/>
        <v>0</v>
      </c>
      <c r="S3" s="10">
        <f t="shared" si="7"/>
        <v>0</v>
      </c>
      <c r="T3" s="16" t="str">
        <f t="shared" si="8"/>
        <v>Sem - 23</v>
      </c>
      <c r="U3" s="16" t="str">
        <f t="shared" si="9"/>
        <v>Juin</v>
      </c>
      <c r="V3" s="11" t="str">
        <f t="shared" si="10"/>
        <v>2026</v>
      </c>
      <c r="W3" s="9"/>
      <c r="X3" s="5">
        <f t="shared" si="11"/>
        <v>0</v>
      </c>
      <c r="Y3" s="12">
        <f>IFERROR(VLOOKUP(B3,Annuaire_roster!B:E,4,0),"-")</f>
        <v>0</v>
      </c>
      <c r="Z3" s="12" t="str">
        <f>IFERROR(VLOOKUP(B3,Annuaire_roster!B:F,3,0),"-")</f>
        <v>Google Leads</v>
      </c>
      <c r="AA3" s="12">
        <f>IFERROR(VLOOKUP(B3,Annuaire_roster!B:I,6,0),"-")</f>
        <v>0</v>
      </c>
      <c r="AB3" s="142" t="str">
        <f t="shared" si="12"/>
        <v/>
      </c>
      <c r="AC3" s="142" t="str">
        <f t="shared" si="13"/>
        <v/>
      </c>
      <c r="AD3" s="142" t="str">
        <f t="shared" si="14"/>
        <v/>
      </c>
      <c r="AE3" s="143" t="str">
        <f t="shared" si="15"/>
        <v/>
      </c>
      <c r="AF3" s="63"/>
      <c r="AG3" s="10"/>
    </row>
    <row r="4" spans="1:33" s="210" customFormat="1" hidden="1" x14ac:dyDescent="0.2">
      <c r="A4" s="70">
        <f>VLOOKUP(B4,Annuaire_roster!B:F,5,0)</f>
        <v>0</v>
      </c>
      <c r="B4" s="166" t="s">
        <v>198</v>
      </c>
      <c r="C4" s="61">
        <v>0.28958333333333336</v>
      </c>
      <c r="D4" s="61">
        <f t="array" ref="D4">IFERROR(INDEX(Planning2[],MATCH(1,(Planning2[Nom]=B4)*(Planning2[Date]=Q4),0),3),"-")</f>
        <v>0.29166666666666669</v>
      </c>
      <c r="E4" s="38">
        <v>0.70833333333333337</v>
      </c>
      <c r="F4" s="38">
        <f t="array" ref="F4">IFERROR(INDEX(Planning2[],MATCH(1,(Planning2[Nom]=B4)*(Planning2[Date]=Q4),0),4),"-")</f>
        <v>0.70833333333333337</v>
      </c>
      <c r="G4" s="88"/>
      <c r="H4" s="88"/>
      <c r="I4" s="209" t="str">
        <f t="shared" si="0"/>
        <v/>
      </c>
      <c r="J4" s="88"/>
      <c r="K4" s="89">
        <f t="shared" si="1"/>
        <v>0</v>
      </c>
      <c r="L4" s="88">
        <f t="shared" si="2"/>
        <v>0</v>
      </c>
      <c r="M4" s="62">
        <f t="shared" si="3"/>
        <v>0</v>
      </c>
      <c r="N4" s="102">
        <f t="shared" si="4"/>
        <v>0.375</v>
      </c>
      <c r="O4" s="90">
        <f t="shared" si="5"/>
        <v>0.375</v>
      </c>
      <c r="P4" s="91" t="str">
        <f>IFERROR(VLOOKUP($B4,Annuaire_roster!$B:$G,MATCH(P$1,Annuaire_roster!$B$1:$G$1,0),0),"-")</f>
        <v>Google Leads</v>
      </c>
      <c r="Q4" s="100">
        <v>44717</v>
      </c>
      <c r="R4" s="10">
        <f t="shared" si="6"/>
        <v>0</v>
      </c>
      <c r="S4" s="10">
        <f t="shared" si="7"/>
        <v>0</v>
      </c>
      <c r="T4" s="16" t="str">
        <f t="shared" si="8"/>
        <v>Sem - 23</v>
      </c>
      <c r="U4" s="16" t="str">
        <f t="shared" si="9"/>
        <v>Juin</v>
      </c>
      <c r="V4" s="11" t="str">
        <f t="shared" si="10"/>
        <v>2026</v>
      </c>
      <c r="W4" s="9"/>
      <c r="X4" s="5">
        <f t="shared" si="11"/>
        <v>2.0833333333333259E-3</v>
      </c>
      <c r="Y4" s="12">
        <f>IFERROR(VLOOKUP(B4,Annuaire_roster!B:E,4,0),"-")</f>
        <v>0</v>
      </c>
      <c r="Z4" s="12" t="str">
        <f>IFERROR(VLOOKUP(B4,Annuaire_roster!B:F,3,0),"-")</f>
        <v>Google Leads</v>
      </c>
      <c r="AA4" s="12">
        <f>IFERROR(VLOOKUP(B4,Annuaire_roster!B:I,6,0),"-")</f>
        <v>0</v>
      </c>
      <c r="AB4" s="142" t="str">
        <f t="shared" si="12"/>
        <v/>
      </c>
      <c r="AC4" s="142" t="str">
        <f t="shared" si="13"/>
        <v/>
      </c>
      <c r="AD4" s="142" t="str">
        <f t="shared" si="14"/>
        <v/>
      </c>
      <c r="AE4" s="143" t="str">
        <f t="shared" si="15"/>
        <v/>
      </c>
      <c r="AF4" s="63"/>
      <c r="AG4" s="142"/>
    </row>
    <row r="5" spans="1:33" hidden="1" x14ac:dyDescent="0.2">
      <c r="A5" s="70">
        <f>VLOOKUP(B5,Annuaire_roster!B:F,5,0)</f>
        <v>0</v>
      </c>
      <c r="B5" s="166" t="s">
        <v>210</v>
      </c>
      <c r="C5" s="61">
        <v>0.29166666666666669</v>
      </c>
      <c r="D5" s="61">
        <f t="array" ref="D5">IFERROR(INDEX(Planning2[],MATCH(1,(Planning2[Nom]=B5)*(Planning2[Date]=Q5),0),3),"-")</f>
        <v>0.29166666666666669</v>
      </c>
      <c r="E5" s="38">
        <v>0.70833333333333337</v>
      </c>
      <c r="F5" s="38">
        <f t="array" ref="F5">IFERROR(INDEX(Planning2[],MATCH(1,(Planning2[Nom]=B5)*(Planning2[Date]=Q5),0),4),"-")</f>
        <v>0.70833333333333337</v>
      </c>
      <c r="G5" s="88"/>
      <c r="H5" s="88"/>
      <c r="I5" s="209" t="str">
        <f t="shared" si="0"/>
        <v/>
      </c>
      <c r="J5" s="88"/>
      <c r="K5" s="89">
        <f t="shared" si="1"/>
        <v>0</v>
      </c>
      <c r="L5" s="88">
        <f t="shared" si="2"/>
        <v>0</v>
      </c>
      <c r="M5" s="62">
        <f t="shared" si="3"/>
        <v>0</v>
      </c>
      <c r="N5" s="102">
        <f t="shared" si="4"/>
        <v>0.375</v>
      </c>
      <c r="O5" s="90">
        <f t="shared" si="5"/>
        <v>0.375</v>
      </c>
      <c r="P5" s="91" t="str">
        <f>IFERROR(VLOOKUP($B5,Annuaire_roster!$B:$G,MATCH(P$1,Annuaire_roster!$B$1:$G$1,0),0),"-")</f>
        <v>Google Leads</v>
      </c>
      <c r="Q5" s="100">
        <v>44717</v>
      </c>
      <c r="R5" s="10">
        <f t="shared" si="6"/>
        <v>0</v>
      </c>
      <c r="S5" s="10">
        <f t="shared" si="7"/>
        <v>0</v>
      </c>
      <c r="T5" s="16" t="str">
        <f t="shared" si="8"/>
        <v>Sem - 23</v>
      </c>
      <c r="U5" s="16" t="str">
        <f t="shared" si="9"/>
        <v>Juin</v>
      </c>
      <c r="V5" s="11" t="str">
        <f t="shared" si="10"/>
        <v>2026</v>
      </c>
      <c r="W5" s="9"/>
      <c r="X5" s="5">
        <f t="shared" si="11"/>
        <v>0</v>
      </c>
      <c r="Y5" s="12">
        <f>IFERROR(VLOOKUP(B5,Annuaire_roster!B:E,4,0),"-")</f>
        <v>0</v>
      </c>
      <c r="Z5" s="12" t="str">
        <f>IFERROR(VLOOKUP(B5,Annuaire_roster!B:F,3,0),"-")</f>
        <v>Google Leads</v>
      </c>
      <c r="AA5" s="12">
        <f>IFERROR(VLOOKUP(B5,Annuaire_roster!B:I,6,0),"-")</f>
        <v>0</v>
      </c>
      <c r="AB5" s="142" t="str">
        <f t="shared" si="12"/>
        <v/>
      </c>
      <c r="AC5" s="142" t="str">
        <f t="shared" si="13"/>
        <v/>
      </c>
      <c r="AD5" s="142" t="str">
        <f t="shared" si="14"/>
        <v/>
      </c>
      <c r="AE5" s="143" t="str">
        <f t="shared" si="15"/>
        <v/>
      </c>
      <c r="AF5" s="63"/>
      <c r="AG5" s="10"/>
    </row>
    <row r="6" spans="1:33" s="103" customFormat="1" hidden="1" x14ac:dyDescent="0.2">
      <c r="A6" s="211">
        <f>VLOOKUP(B6,Annuaire_roster!B:F,5,0)</f>
        <v>0</v>
      </c>
      <c r="B6" s="166" t="s">
        <v>220</v>
      </c>
      <c r="C6" s="61">
        <v>0.29166666666666669</v>
      </c>
      <c r="D6" s="61">
        <f t="array" ref="D6">IFERROR(INDEX(Planning2[],MATCH(1,(Planning2[Nom]=B6)*(Planning2[Date]=Q6),0),3),"-")</f>
        <v>0.29166666666666669</v>
      </c>
      <c r="E6" s="38">
        <v>0.70833333333333337</v>
      </c>
      <c r="F6" s="38">
        <f t="array" ref="F6">IFERROR(INDEX(Planning2[],MATCH(1,(Planning2[Nom]=B6)*(Planning2[Date]=Q6),0),4),"-")</f>
        <v>0.70833333333333337</v>
      </c>
      <c r="G6" s="88"/>
      <c r="H6" s="88"/>
      <c r="I6" s="209" t="str">
        <f t="shared" si="0"/>
        <v/>
      </c>
      <c r="J6" s="88"/>
      <c r="K6" s="89">
        <f t="shared" si="1"/>
        <v>0</v>
      </c>
      <c r="L6" s="88">
        <f t="shared" si="2"/>
        <v>0</v>
      </c>
      <c r="M6" s="62">
        <f t="shared" si="3"/>
        <v>0</v>
      </c>
      <c r="N6" s="212">
        <f t="shared" si="4"/>
        <v>0.375</v>
      </c>
      <c r="O6" s="90">
        <f t="shared" si="5"/>
        <v>0.375</v>
      </c>
      <c r="P6" s="91" t="str">
        <f>IFERROR(VLOOKUP($B6,Annuaire_roster!$B:$G,MATCH(P$1,Annuaire_roster!$B$1:$G$1,0),0),"-")</f>
        <v>Google Leads</v>
      </c>
      <c r="Q6" s="213">
        <v>44717</v>
      </c>
      <c r="R6" s="142">
        <f t="shared" si="6"/>
        <v>0</v>
      </c>
      <c r="S6" s="142">
        <f t="shared" si="7"/>
        <v>0</v>
      </c>
      <c r="T6" s="16" t="str">
        <f t="shared" si="8"/>
        <v>Sem - 23</v>
      </c>
      <c r="U6" s="16" t="str">
        <f t="shared" si="9"/>
        <v>Juin</v>
      </c>
      <c r="V6" s="214" t="str">
        <f t="shared" si="10"/>
        <v>2026</v>
      </c>
      <c r="W6" s="212"/>
      <c r="X6" s="215">
        <f t="shared" si="11"/>
        <v>0</v>
      </c>
      <c r="Y6" s="216">
        <f>IFERROR(VLOOKUP(B6,Annuaire_roster!B:E,4,0),"-")</f>
        <v>0</v>
      </c>
      <c r="Z6" s="216" t="str">
        <f>IFERROR(VLOOKUP(B6,Annuaire_roster!B:F,3,0),"-")</f>
        <v>Google Leads</v>
      </c>
      <c r="AA6" s="216">
        <f>IFERROR(VLOOKUP(B6,Annuaire_roster!B:I,6,0),"-")</f>
        <v>0</v>
      </c>
      <c r="AB6" s="142" t="str">
        <f t="shared" si="12"/>
        <v/>
      </c>
      <c r="AC6" s="142" t="str">
        <f t="shared" si="13"/>
        <v/>
      </c>
      <c r="AD6" s="142" t="str">
        <f t="shared" si="14"/>
        <v/>
      </c>
      <c r="AE6" s="217" t="str">
        <f t="shared" si="15"/>
        <v/>
      </c>
      <c r="AF6" s="63"/>
      <c r="AG6" s="142"/>
    </row>
    <row r="7" spans="1:33" hidden="1" x14ac:dyDescent="0.2">
      <c r="A7" s="70">
        <f>VLOOKUP(B7,Annuaire_roster!B:F,5,0)</f>
        <v>669</v>
      </c>
      <c r="B7" s="166" t="s">
        <v>45</v>
      </c>
      <c r="C7" s="61">
        <v>0.2902777777777778</v>
      </c>
      <c r="D7" s="61">
        <f t="array" ref="D7">IFERROR(INDEX(Planning2[],MATCH(1,(Planning2[Nom]=B7)*(Planning2[Date]=Q7),0),3),"-")</f>
        <v>0.29166666666666669</v>
      </c>
      <c r="E7" s="147">
        <v>0.70833333333333337</v>
      </c>
      <c r="F7" s="38">
        <f t="array" ref="F7">IFERROR(INDEX(Planning2[],MATCH(1,(Planning2[Nom]=B7)*(Planning2[Date]=Q7),0),4),"-")</f>
        <v>0.70833333333333337</v>
      </c>
      <c r="G7" s="88"/>
      <c r="H7" s="88"/>
      <c r="I7" s="209" t="str">
        <f t="shared" si="0"/>
        <v/>
      </c>
      <c r="J7" s="88"/>
      <c r="K7" s="89">
        <f t="shared" si="1"/>
        <v>0</v>
      </c>
      <c r="L7" s="88">
        <f t="shared" si="2"/>
        <v>0</v>
      </c>
      <c r="M7" s="62">
        <f t="shared" si="3"/>
        <v>0</v>
      </c>
      <c r="N7" s="102">
        <f t="shared" si="4"/>
        <v>0.375</v>
      </c>
      <c r="O7" s="90">
        <f t="shared" si="5"/>
        <v>0.375</v>
      </c>
      <c r="P7" s="91" t="str">
        <f>IFERROR(VLOOKUP($B7,Annuaire_roster!$B:$G,MATCH(P$1,Annuaire_roster!$B$1:$G$1,0),0),"-")</f>
        <v>Google Leads</v>
      </c>
      <c r="Q7" s="100">
        <v>44717</v>
      </c>
      <c r="R7" s="10">
        <f t="shared" si="6"/>
        <v>0</v>
      </c>
      <c r="S7" s="10">
        <f t="shared" si="7"/>
        <v>0</v>
      </c>
      <c r="T7" s="16" t="str">
        <f t="shared" si="8"/>
        <v>Sem - 23</v>
      </c>
      <c r="U7" s="16" t="str">
        <f t="shared" si="9"/>
        <v>Juin</v>
      </c>
      <c r="V7" s="11" t="str">
        <f t="shared" si="10"/>
        <v>2026</v>
      </c>
      <c r="W7" s="9"/>
      <c r="X7" s="5">
        <f t="shared" si="11"/>
        <v>1.388888888888884E-3</v>
      </c>
      <c r="Y7" s="12" t="str">
        <f>IFERROR(VLOOKUP(B7,Annuaire_roster!B:E,4,0),"-")</f>
        <v>CHOUIFI Mustapha</v>
      </c>
      <c r="Z7" s="12" t="str">
        <f>IFERROR(VLOOKUP(B7,Annuaire_roster!B:F,3,0),"-")</f>
        <v>Google Leads</v>
      </c>
      <c r="AA7" s="12" t="str">
        <f>IFERROR(VLOOKUP(B7,Annuaire_roster!B:I,6,0),"-")</f>
        <v>Forfaitaire</v>
      </c>
      <c r="AB7" s="142" t="str">
        <f t="shared" si="12"/>
        <v/>
      </c>
      <c r="AC7" s="142" t="str">
        <f t="shared" si="13"/>
        <v/>
      </c>
      <c r="AD7" s="142" t="str">
        <f t="shared" si="14"/>
        <v/>
      </c>
      <c r="AE7" s="143" t="str">
        <f t="shared" si="15"/>
        <v/>
      </c>
      <c r="AF7" s="63"/>
      <c r="AG7" s="10"/>
    </row>
    <row r="8" spans="1:33" hidden="1" x14ac:dyDescent="0.2">
      <c r="A8" s="211">
        <f>VLOOKUP(B8,Annuaire_roster!B:F,5,0)</f>
        <v>0</v>
      </c>
      <c r="B8" s="166" t="s">
        <v>219</v>
      </c>
      <c r="C8" s="61">
        <v>0.29166666666666669</v>
      </c>
      <c r="D8" s="61">
        <f t="array" ref="D8">IFERROR(INDEX(Planning2[],MATCH(1,(Planning2[Nom]=B8)*(Planning2[Date]=Q8),0),3),"-")</f>
        <v>0.29166666666666669</v>
      </c>
      <c r="E8" s="38">
        <v>0.70833333333333337</v>
      </c>
      <c r="F8" s="38">
        <f t="array" ref="F8">IFERROR(INDEX(Planning2[],MATCH(1,(Planning2[Nom]=B8)*(Planning2[Date]=Q8),0),4),"-")</f>
        <v>0.70833333333333337</v>
      </c>
      <c r="G8" s="88"/>
      <c r="H8" s="88"/>
      <c r="I8" s="209" t="str">
        <f t="shared" si="0"/>
        <v/>
      </c>
      <c r="J8" s="88"/>
      <c r="K8" s="89">
        <f t="shared" si="1"/>
        <v>0</v>
      </c>
      <c r="L8" s="88">
        <f t="shared" si="2"/>
        <v>0</v>
      </c>
      <c r="M8" s="62">
        <f t="shared" si="3"/>
        <v>0</v>
      </c>
      <c r="N8" s="212">
        <f t="shared" si="4"/>
        <v>0.375</v>
      </c>
      <c r="O8" s="90">
        <f t="shared" si="5"/>
        <v>0.375</v>
      </c>
      <c r="P8" s="91" t="str">
        <f>IFERROR(VLOOKUP($B8,Annuaire_roster!$B:$G,MATCH(P$1,Annuaire_roster!$B$1:$G$1,0),0),"-")</f>
        <v>Google Leads</v>
      </c>
      <c r="Q8" s="213">
        <v>44717</v>
      </c>
      <c r="R8" s="142">
        <f t="shared" si="6"/>
        <v>0</v>
      </c>
      <c r="S8" s="142">
        <f t="shared" si="7"/>
        <v>0</v>
      </c>
      <c r="T8" s="16" t="str">
        <f t="shared" si="8"/>
        <v>Sem - 23</v>
      </c>
      <c r="U8" s="16" t="str">
        <f t="shared" si="9"/>
        <v>Juin</v>
      </c>
      <c r="V8" s="214" t="str">
        <f t="shared" si="10"/>
        <v>2026</v>
      </c>
      <c r="W8" s="212"/>
      <c r="X8" s="215">
        <f t="shared" si="11"/>
        <v>0</v>
      </c>
      <c r="Y8" s="216">
        <f>IFERROR(VLOOKUP(B8,Annuaire_roster!B:E,4,0),"-")</f>
        <v>0</v>
      </c>
      <c r="Z8" s="216" t="str">
        <f>IFERROR(VLOOKUP(B8,Annuaire_roster!B:F,3,0),"-")</f>
        <v>Google Leads</v>
      </c>
      <c r="AA8" s="216">
        <f>IFERROR(VLOOKUP(B8,Annuaire_roster!B:I,6,0),"-")</f>
        <v>0</v>
      </c>
      <c r="AB8" s="142" t="str">
        <f t="shared" si="12"/>
        <v/>
      </c>
      <c r="AC8" s="142" t="str">
        <f t="shared" si="13"/>
        <v/>
      </c>
      <c r="AD8" s="142" t="str">
        <f t="shared" si="14"/>
        <v/>
      </c>
      <c r="AE8" s="217" t="str">
        <f t="shared" si="15"/>
        <v/>
      </c>
      <c r="AF8" s="63"/>
      <c r="AG8" s="142"/>
    </row>
    <row r="9" spans="1:33" hidden="1" x14ac:dyDescent="0.2">
      <c r="A9" s="211">
        <f>VLOOKUP(B9,Annuaire_roster!B:F,5,0)</f>
        <v>1165</v>
      </c>
      <c r="B9" s="166" t="s">
        <v>120</v>
      </c>
      <c r="C9" s="61">
        <v>0.29166666666666669</v>
      </c>
      <c r="D9" s="61">
        <f t="array" ref="D9">IFERROR(INDEX(Planning2[],MATCH(1,(Planning2[Nom]=B9)*(Planning2[Date]=Q9),0),3),"-")</f>
        <v>0.29166666666666669</v>
      </c>
      <c r="E9" s="38">
        <v>0.70833333333333337</v>
      </c>
      <c r="F9" s="38">
        <f t="array" ref="F9">IFERROR(INDEX(Planning2[],MATCH(1,(Planning2[Nom]=B9)*(Planning2[Date]=Q9),0),4),"-")</f>
        <v>0.70833333333333337</v>
      </c>
      <c r="G9" s="88"/>
      <c r="H9" s="88"/>
      <c r="I9" s="209" t="str">
        <f t="shared" si="0"/>
        <v/>
      </c>
      <c r="J9" s="88"/>
      <c r="K9" s="89">
        <f t="shared" si="1"/>
        <v>0</v>
      </c>
      <c r="L9" s="88">
        <f t="shared" si="2"/>
        <v>0</v>
      </c>
      <c r="M9" s="62">
        <f t="shared" si="3"/>
        <v>0</v>
      </c>
      <c r="N9" s="212">
        <f t="shared" si="4"/>
        <v>0.375</v>
      </c>
      <c r="O9" s="90">
        <f t="shared" si="5"/>
        <v>0.375</v>
      </c>
      <c r="P9" s="91" t="str">
        <f>IFERROR(VLOOKUP($B9,Annuaire_roster!$B:$G,MATCH(P$1,Annuaire_roster!$B$1:$G$1,0),0),"-")</f>
        <v>Google Leads</v>
      </c>
      <c r="Q9" s="213">
        <v>44717</v>
      </c>
      <c r="R9" s="142">
        <f t="shared" si="6"/>
        <v>0</v>
      </c>
      <c r="S9" s="142">
        <f t="shared" si="7"/>
        <v>0</v>
      </c>
      <c r="T9" s="16" t="str">
        <f t="shared" si="8"/>
        <v>Sem - 23</v>
      </c>
      <c r="U9" s="16" t="str">
        <f t="shared" si="9"/>
        <v>Juin</v>
      </c>
      <c r="V9" s="214" t="str">
        <f t="shared" si="10"/>
        <v>2026</v>
      </c>
      <c r="W9" s="212"/>
      <c r="X9" s="215">
        <f t="shared" si="11"/>
        <v>0</v>
      </c>
      <c r="Y9" s="216" t="str">
        <f>IFERROR(VLOOKUP(B9,Annuaire_roster!B:E,4,0),"-")</f>
        <v>OUAQERROUCH Nour-El Houda</v>
      </c>
      <c r="Z9" s="216" t="str">
        <f>IFERROR(VLOOKUP(B9,Annuaire_roster!B:F,3,0),"-")</f>
        <v>Google Leads</v>
      </c>
      <c r="AA9" s="216" t="str">
        <f>IFERROR(VLOOKUP(B9,Annuaire_roster!B:I,6,0),"-")</f>
        <v>Forfaitaire</v>
      </c>
      <c r="AB9" s="142" t="str">
        <f t="shared" si="12"/>
        <v/>
      </c>
      <c r="AC9" s="142" t="str">
        <f t="shared" si="13"/>
        <v/>
      </c>
      <c r="AD9" s="142" t="str">
        <f t="shared" si="14"/>
        <v/>
      </c>
      <c r="AE9" s="217" t="str">
        <f t="shared" si="15"/>
        <v/>
      </c>
      <c r="AF9" s="218"/>
      <c r="AG9" s="142"/>
    </row>
    <row r="10" spans="1:33" ht="12.75" hidden="1" customHeight="1" x14ac:dyDescent="0.2">
      <c r="A10" s="211">
        <f>VLOOKUP(B10,Annuaire_roster!B:F,5,0)</f>
        <v>0</v>
      </c>
      <c r="B10" s="166" t="s">
        <v>144</v>
      </c>
      <c r="C10" s="61">
        <v>0.29166666666666669</v>
      </c>
      <c r="D10" s="61">
        <f t="array" ref="D10">IFERROR(INDEX(Planning2[],MATCH(1,(Planning2[Nom]=B10)*(Planning2[Date]=Q10),0),3),"-")</f>
        <v>0.29166666666666669</v>
      </c>
      <c r="E10" s="38">
        <v>0.70833333333333337</v>
      </c>
      <c r="F10" s="38">
        <f t="array" ref="F10">IFERROR(INDEX(Planning2[],MATCH(1,(Planning2[Nom]=B10)*(Planning2[Date]=Q10),0),4),"-")</f>
        <v>0.70833333333333337</v>
      </c>
      <c r="G10" s="88"/>
      <c r="H10" s="88"/>
      <c r="I10" s="209" t="str">
        <f t="shared" si="0"/>
        <v/>
      </c>
      <c r="J10" s="88"/>
      <c r="K10" s="89">
        <f t="shared" si="1"/>
        <v>0</v>
      </c>
      <c r="L10" s="88">
        <f t="shared" si="2"/>
        <v>0</v>
      </c>
      <c r="M10" s="62">
        <f t="shared" si="3"/>
        <v>0</v>
      </c>
      <c r="N10" s="212">
        <f t="shared" si="4"/>
        <v>0.375</v>
      </c>
      <c r="O10" s="90">
        <f t="shared" si="5"/>
        <v>0.375</v>
      </c>
      <c r="P10" s="91" t="str">
        <f>IFERROR(VLOOKUP($B10,Annuaire_roster!$B:$G,MATCH(P$1,Annuaire_roster!$B$1:$G$1,0),0),"-")</f>
        <v>Google Leads</v>
      </c>
      <c r="Q10" s="213">
        <v>44717</v>
      </c>
      <c r="R10" s="142">
        <f t="shared" si="6"/>
        <v>0</v>
      </c>
      <c r="S10" s="142">
        <f t="shared" si="7"/>
        <v>0</v>
      </c>
      <c r="T10" s="16" t="str">
        <f t="shared" si="8"/>
        <v>Sem - 23</v>
      </c>
      <c r="U10" s="16" t="str">
        <f t="shared" si="9"/>
        <v>Juin</v>
      </c>
      <c r="V10" s="214" t="str">
        <f t="shared" si="10"/>
        <v>2026</v>
      </c>
      <c r="W10" s="212"/>
      <c r="X10" s="215">
        <f t="shared" si="11"/>
        <v>0</v>
      </c>
      <c r="Y10" s="216" t="str">
        <f>IFERROR(VLOOKUP(B10,Annuaire_roster!B:E,4,0),"-")</f>
        <v>CHOUIFI Mustapha</v>
      </c>
      <c r="Z10" s="216" t="str">
        <f>IFERROR(VLOOKUP(B10,Annuaire_roster!B:F,3,0),"-")</f>
        <v>Google Leads</v>
      </c>
      <c r="AA10" s="216" t="str">
        <f>IFERROR(VLOOKUP(B10,Annuaire_roster!B:I,6,0),"-")</f>
        <v>Forfaitaire</v>
      </c>
      <c r="AB10" s="142" t="str">
        <f t="shared" si="12"/>
        <v/>
      </c>
      <c r="AC10" s="142" t="str">
        <f t="shared" si="13"/>
        <v/>
      </c>
      <c r="AD10" s="142" t="str">
        <f t="shared" si="14"/>
        <v/>
      </c>
      <c r="AE10" s="217" t="str">
        <f t="shared" si="15"/>
        <v/>
      </c>
      <c r="AF10" s="63"/>
      <c r="AG10" s="142"/>
    </row>
    <row r="11" spans="1:33" ht="12.75" hidden="1" customHeight="1" x14ac:dyDescent="0.2">
      <c r="A11" s="211">
        <f>VLOOKUP(B11,Annuaire_roster!B:F,5,0)</f>
        <v>0</v>
      </c>
      <c r="B11" s="166" t="s">
        <v>212</v>
      </c>
      <c r="C11" s="61">
        <v>0.28402777777777777</v>
      </c>
      <c r="D11" s="61">
        <f t="array" ref="D11">IFERROR(INDEX(Planning2[],MATCH(1,(Planning2[Nom]=B11)*(Planning2[Date]=Q11),0),3),"-")</f>
        <v>0.29166666666666669</v>
      </c>
      <c r="E11" s="38">
        <v>0.70833333333333337</v>
      </c>
      <c r="F11" s="38">
        <f t="array" ref="F11">IFERROR(INDEX(Planning2[],MATCH(1,(Planning2[Nom]=B11)*(Planning2[Date]=Q11),0),4),"-")</f>
        <v>0.70833333333333337</v>
      </c>
      <c r="G11" s="88"/>
      <c r="H11" s="88"/>
      <c r="I11" s="209" t="str">
        <f t="shared" si="0"/>
        <v/>
      </c>
      <c r="J11" s="88"/>
      <c r="K11" s="89">
        <f t="shared" si="1"/>
        <v>0</v>
      </c>
      <c r="L11" s="88">
        <f t="shared" si="2"/>
        <v>0</v>
      </c>
      <c r="M11" s="62">
        <f t="shared" si="3"/>
        <v>0</v>
      </c>
      <c r="N11" s="212">
        <f t="shared" si="4"/>
        <v>0.375</v>
      </c>
      <c r="O11" s="90">
        <f t="shared" si="5"/>
        <v>0.375</v>
      </c>
      <c r="P11" s="91" t="str">
        <f>IFERROR(VLOOKUP($B11,Annuaire_roster!$B:$G,MATCH(P$1,Annuaire_roster!$B$1:$G$1,0),0),"-")</f>
        <v>Google Leads</v>
      </c>
      <c r="Q11" s="213">
        <v>44717</v>
      </c>
      <c r="R11" s="142">
        <f t="shared" si="6"/>
        <v>0</v>
      </c>
      <c r="S11" s="142">
        <f t="shared" si="7"/>
        <v>0</v>
      </c>
      <c r="T11" s="16" t="str">
        <f t="shared" si="8"/>
        <v>Sem - 23</v>
      </c>
      <c r="U11" s="16" t="str">
        <f t="shared" si="9"/>
        <v>Juin</v>
      </c>
      <c r="V11" s="214" t="str">
        <f t="shared" si="10"/>
        <v>2026</v>
      </c>
      <c r="W11" s="212"/>
      <c r="X11" s="215">
        <f t="shared" si="11"/>
        <v>7.6388888888888618E-3</v>
      </c>
      <c r="Y11" s="216">
        <f>IFERROR(VLOOKUP(B11,Annuaire_roster!B:E,4,0),"-")</f>
        <v>0</v>
      </c>
      <c r="Z11" s="216" t="str">
        <f>IFERROR(VLOOKUP(B11,Annuaire_roster!B:F,3,0),"-")</f>
        <v>Google Leads</v>
      </c>
      <c r="AA11" s="216">
        <f>IFERROR(VLOOKUP(B11,Annuaire_roster!B:I,6,0),"-")</f>
        <v>0</v>
      </c>
      <c r="AB11" s="142" t="str">
        <f t="shared" si="12"/>
        <v/>
      </c>
      <c r="AC11" s="142" t="str">
        <f t="shared" si="13"/>
        <v/>
      </c>
      <c r="AD11" s="142" t="str">
        <f t="shared" si="14"/>
        <v/>
      </c>
      <c r="AE11" s="217" t="str">
        <f t="shared" si="15"/>
        <v/>
      </c>
      <c r="AF11" s="218"/>
      <c r="AG11" s="142"/>
    </row>
    <row r="12" spans="1:33" hidden="1" x14ac:dyDescent="0.2">
      <c r="A12" s="211">
        <f>VLOOKUP(B12,Annuaire_roster!B:F,5,0)</f>
        <v>364</v>
      </c>
      <c r="B12" s="166" t="s">
        <v>213</v>
      </c>
      <c r="C12" s="61">
        <v>0.41388888888888886</v>
      </c>
      <c r="D12" s="61">
        <f t="array" ref="D12">IFERROR(INDEX(Planning2[],MATCH(1,(Planning2[Nom]=B12)*(Planning2[Date]=Q12),0),3),"-")</f>
        <v>0.41666666666666669</v>
      </c>
      <c r="E12" s="38">
        <v>0.83333333333333337</v>
      </c>
      <c r="F12" s="38">
        <f t="array" ref="F12">IFERROR(INDEX(Planning2[],MATCH(1,(Planning2[Nom]=B12)*(Planning2[Date]=Q12),0),4),"-")</f>
        <v>0.83333333333333337</v>
      </c>
      <c r="G12" s="88"/>
      <c r="H12" s="88"/>
      <c r="I12" s="209" t="str">
        <f t="shared" si="0"/>
        <v/>
      </c>
      <c r="J12" s="88"/>
      <c r="K12" s="89">
        <f t="shared" si="1"/>
        <v>0</v>
      </c>
      <c r="L12" s="88">
        <f t="shared" si="2"/>
        <v>0</v>
      </c>
      <c r="M12" s="62">
        <f t="shared" si="3"/>
        <v>0</v>
      </c>
      <c r="N12" s="212">
        <f t="shared" si="4"/>
        <v>0.375</v>
      </c>
      <c r="O12" s="90">
        <f t="shared" si="5"/>
        <v>0.375</v>
      </c>
      <c r="P12" s="91" t="str">
        <f>IFERROR(VLOOKUP($B12,Annuaire_roster!$B:$G,MATCH(P$1,Annuaire_roster!$B$1:$G$1,0),0),"-")</f>
        <v>Google Leads</v>
      </c>
      <c r="Q12" s="213">
        <v>44717</v>
      </c>
      <c r="R12" s="142">
        <f t="shared" si="6"/>
        <v>0</v>
      </c>
      <c r="S12" s="142">
        <f t="shared" si="7"/>
        <v>0</v>
      </c>
      <c r="T12" s="16" t="str">
        <f t="shared" si="8"/>
        <v>Sem - 23</v>
      </c>
      <c r="U12" s="16" t="str">
        <f t="shared" si="9"/>
        <v>Juin</v>
      </c>
      <c r="V12" s="214" t="str">
        <f t="shared" si="10"/>
        <v>2026</v>
      </c>
      <c r="W12" s="212"/>
      <c r="X12" s="215">
        <f t="shared" si="11"/>
        <v>2.7777777777778789E-3</v>
      </c>
      <c r="Y12" s="216" t="str">
        <f>IFERROR(VLOOKUP(B12,Annuaire_roster!B:E,4,0),"-")</f>
        <v>OUAQERROUCH Nour-El Houda</v>
      </c>
      <c r="Z12" s="216" t="str">
        <f>IFERROR(VLOOKUP(B12,Annuaire_roster!B:F,3,0),"-")</f>
        <v>Google Leads</v>
      </c>
      <c r="AA12" s="216" t="str">
        <f>IFERROR(VLOOKUP(B12,Annuaire_roster!B:I,6,0),"-")</f>
        <v>Forfaitaire</v>
      </c>
      <c r="AB12" s="142" t="str">
        <f t="shared" si="12"/>
        <v/>
      </c>
      <c r="AC12" s="142" t="str">
        <f t="shared" si="13"/>
        <v/>
      </c>
      <c r="AD12" s="142" t="str">
        <f t="shared" si="14"/>
        <v/>
      </c>
      <c r="AE12" s="217" t="str">
        <f t="shared" si="15"/>
        <v/>
      </c>
      <c r="AF12" s="218"/>
      <c r="AG12" s="142"/>
    </row>
    <row r="13" spans="1:33" hidden="1" x14ac:dyDescent="0.2">
      <c r="A13" s="211">
        <f>VLOOKUP(B13,Annuaire_roster!B:F,5,0)</f>
        <v>1009</v>
      </c>
      <c r="B13" s="166" t="s">
        <v>91</v>
      </c>
      <c r="C13" s="61">
        <v>0.41597222222222224</v>
      </c>
      <c r="D13" s="61">
        <f t="array" ref="D13">IFERROR(INDEX(Planning2[],MATCH(1,(Planning2[Nom]=B13)*(Planning2[Date]=Q13),0),3),"-")</f>
        <v>0.41666666666666669</v>
      </c>
      <c r="E13" s="38">
        <v>0.83333333333333337</v>
      </c>
      <c r="F13" s="38">
        <f t="array" ref="F13">IFERROR(INDEX(Planning2[],MATCH(1,(Planning2[Nom]=B13)*(Planning2[Date]=Q13),0),4),"-")</f>
        <v>0.83333333333333337</v>
      </c>
      <c r="G13" s="88"/>
      <c r="H13" s="88"/>
      <c r="I13" s="209" t="str">
        <f t="shared" si="0"/>
        <v/>
      </c>
      <c r="J13" s="88"/>
      <c r="K13" s="89">
        <f t="shared" si="1"/>
        <v>0</v>
      </c>
      <c r="L13" s="88">
        <f t="shared" si="2"/>
        <v>0</v>
      </c>
      <c r="M13" s="62">
        <f t="shared" si="3"/>
        <v>0</v>
      </c>
      <c r="N13" s="212">
        <f t="shared" si="4"/>
        <v>0.375</v>
      </c>
      <c r="O13" s="90">
        <f t="shared" si="5"/>
        <v>0.375</v>
      </c>
      <c r="P13" s="91" t="str">
        <f>IFERROR(VLOOKUP($B13,Annuaire_roster!$B:$G,MATCH(P$1,Annuaire_roster!$B$1:$G$1,0),0),"-")</f>
        <v>Google Leads</v>
      </c>
      <c r="Q13" s="213">
        <v>44717</v>
      </c>
      <c r="R13" s="142">
        <f t="shared" si="6"/>
        <v>0</v>
      </c>
      <c r="S13" s="142">
        <f t="shared" si="7"/>
        <v>0</v>
      </c>
      <c r="T13" s="16" t="str">
        <f t="shared" si="8"/>
        <v>Sem - 23</v>
      </c>
      <c r="U13" s="16" t="str">
        <f t="shared" si="9"/>
        <v>Juin</v>
      </c>
      <c r="V13" s="214" t="str">
        <f t="shared" si="10"/>
        <v>2026</v>
      </c>
      <c r="W13" s="212"/>
      <c r="X13" s="215">
        <f t="shared" si="11"/>
        <v>0</v>
      </c>
      <c r="Y13" s="216" t="str">
        <f>IFERROR(VLOOKUP(B13,Annuaire_roster!B:E,4,0),"-")</f>
        <v>OUAQERROUCH Nour-El Houda</v>
      </c>
      <c r="Z13" s="216" t="str">
        <f>IFERROR(VLOOKUP(B13,Annuaire_roster!B:F,3,0),"-")</f>
        <v>Google Leads</v>
      </c>
      <c r="AA13" s="216" t="str">
        <f>IFERROR(VLOOKUP(B13,Annuaire_roster!B:I,6,0),"-")</f>
        <v>Forfaitaire</v>
      </c>
      <c r="AB13" s="142" t="str">
        <f t="shared" si="12"/>
        <v/>
      </c>
      <c r="AC13" s="142" t="str">
        <f t="shared" si="13"/>
        <v/>
      </c>
      <c r="AD13" s="142" t="str">
        <f t="shared" si="14"/>
        <v/>
      </c>
      <c r="AE13" s="217" t="str">
        <f t="shared" si="15"/>
        <v/>
      </c>
      <c r="AF13" s="218"/>
      <c r="AG13" s="142"/>
    </row>
    <row r="14" spans="1:33" hidden="1" x14ac:dyDescent="0.2">
      <c r="A14" s="70">
        <f>VLOOKUP(B14,Annuaire_roster!B:F,5,0)</f>
        <v>0</v>
      </c>
      <c r="B14" s="166" t="s">
        <v>197</v>
      </c>
      <c r="C14" s="61">
        <v>0.41666666666666669</v>
      </c>
      <c r="D14" s="61">
        <f t="array" ref="D14">IFERROR(INDEX(Planning2[],MATCH(1,(Planning2[Nom]=B14)*(Planning2[Date]=Q14),0),3),"-")</f>
        <v>0.41666666666666669</v>
      </c>
      <c r="E14" s="38">
        <v>0.83333333333333337</v>
      </c>
      <c r="F14" s="38">
        <f t="array" ref="F14">IFERROR(INDEX(Planning2[],MATCH(1,(Planning2[Nom]=B14)*(Planning2[Date]=Q14),0),4),"-")</f>
        <v>0.83333333333333337</v>
      </c>
      <c r="G14" s="88"/>
      <c r="H14" s="88"/>
      <c r="I14" s="209" t="str">
        <f t="shared" si="0"/>
        <v/>
      </c>
      <c r="J14" s="88"/>
      <c r="K14" s="89">
        <f t="shared" si="1"/>
        <v>0</v>
      </c>
      <c r="L14" s="88">
        <f t="shared" si="2"/>
        <v>0</v>
      </c>
      <c r="M14" s="62">
        <f t="shared" si="3"/>
        <v>0</v>
      </c>
      <c r="N14" s="102">
        <f t="shared" si="4"/>
        <v>0.375</v>
      </c>
      <c r="O14" s="90">
        <f t="shared" si="5"/>
        <v>0.375</v>
      </c>
      <c r="P14" s="91" t="str">
        <f>IFERROR(VLOOKUP($B14,Annuaire_roster!$B:$G,MATCH(P$1,Annuaire_roster!$B$1:$G$1,0),0),"-")</f>
        <v>Google Leads</v>
      </c>
      <c r="Q14" s="100">
        <v>44717</v>
      </c>
      <c r="R14" s="10">
        <f t="shared" si="6"/>
        <v>0</v>
      </c>
      <c r="S14" s="10">
        <f t="shared" si="7"/>
        <v>0</v>
      </c>
      <c r="T14" s="16" t="str">
        <f t="shared" si="8"/>
        <v>Sem - 23</v>
      </c>
      <c r="U14" s="16" t="str">
        <f t="shared" si="9"/>
        <v>Juin</v>
      </c>
      <c r="V14" s="11" t="str">
        <f t="shared" si="10"/>
        <v>2026</v>
      </c>
      <c r="W14" s="9"/>
      <c r="X14" s="5">
        <f t="shared" si="11"/>
        <v>0</v>
      </c>
      <c r="Y14" s="12">
        <f>IFERROR(VLOOKUP(B14,Annuaire_roster!B:E,4,0),"-")</f>
        <v>0</v>
      </c>
      <c r="Z14" s="12" t="str">
        <f>IFERROR(VLOOKUP(B14,Annuaire_roster!B:F,3,0),"-")</f>
        <v>Google Leads</v>
      </c>
      <c r="AA14" s="12">
        <f>IFERROR(VLOOKUP(B14,Annuaire_roster!B:I,6,0),"-")</f>
        <v>0</v>
      </c>
      <c r="AB14" s="142" t="str">
        <f t="shared" si="12"/>
        <v/>
      </c>
      <c r="AC14" s="142" t="str">
        <f t="shared" si="13"/>
        <v/>
      </c>
      <c r="AD14" s="142" t="str">
        <f t="shared" si="14"/>
        <v/>
      </c>
      <c r="AE14" s="143" t="str">
        <f t="shared" si="15"/>
        <v/>
      </c>
      <c r="AF14" s="63"/>
      <c r="AG14" s="10"/>
    </row>
    <row r="15" spans="1:33" hidden="1" x14ac:dyDescent="0.2">
      <c r="A15" s="70">
        <f>VLOOKUP(B15,Annuaire_roster!B:F,5,0)</f>
        <v>0</v>
      </c>
      <c r="B15" s="166" t="s">
        <v>209</v>
      </c>
      <c r="C15" s="61">
        <v>0.41319444444444442</v>
      </c>
      <c r="D15" s="61">
        <f t="array" ref="D15">IFERROR(INDEX(Planning2[],MATCH(1,(Planning2[Nom]=B15)*(Planning2[Date]=Q15),0),3),"-")</f>
        <v>0.41666666666666669</v>
      </c>
      <c r="E15" s="147">
        <v>0.83333333333333337</v>
      </c>
      <c r="F15" s="38">
        <f t="array" ref="F15">IFERROR(INDEX(Planning2[],MATCH(1,(Planning2[Nom]=B15)*(Planning2[Date]=Q15),0),4),"-")</f>
        <v>0.83333333333333337</v>
      </c>
      <c r="G15" s="88"/>
      <c r="H15" s="88"/>
      <c r="I15" s="209" t="str">
        <f t="shared" si="0"/>
        <v/>
      </c>
      <c r="J15" s="88"/>
      <c r="K15" s="89">
        <f t="shared" si="1"/>
        <v>0</v>
      </c>
      <c r="L15" s="88">
        <f t="shared" si="2"/>
        <v>0</v>
      </c>
      <c r="M15" s="62">
        <f t="shared" si="3"/>
        <v>0</v>
      </c>
      <c r="N15" s="102">
        <f t="shared" si="4"/>
        <v>0.375</v>
      </c>
      <c r="O15" s="90">
        <f t="shared" si="5"/>
        <v>0.375</v>
      </c>
      <c r="P15" s="91" t="str">
        <f>IFERROR(VLOOKUP($B15,Annuaire_roster!$B:$G,MATCH(P$1,Annuaire_roster!$B$1:$G$1,0),0),"-")</f>
        <v>Google Leads</v>
      </c>
      <c r="Q15" s="100">
        <v>44717</v>
      </c>
      <c r="R15" s="10">
        <f t="shared" si="6"/>
        <v>0</v>
      </c>
      <c r="S15" s="10">
        <f t="shared" si="7"/>
        <v>0</v>
      </c>
      <c r="T15" s="16" t="str">
        <f t="shared" si="8"/>
        <v>Sem - 23</v>
      </c>
      <c r="U15" s="16" t="str">
        <f t="shared" si="9"/>
        <v>Juin</v>
      </c>
      <c r="V15" s="11" t="str">
        <f t="shared" si="10"/>
        <v>2026</v>
      </c>
      <c r="W15" s="9"/>
      <c r="X15" s="5">
        <f t="shared" si="11"/>
        <v>3.4722222222222099E-3</v>
      </c>
      <c r="Y15" s="12">
        <f>IFERROR(VLOOKUP(B15,Annuaire_roster!B:E,4,0),"-")</f>
        <v>0</v>
      </c>
      <c r="Z15" s="12" t="str">
        <f>IFERROR(VLOOKUP(B15,Annuaire_roster!B:F,3,0),"-")</f>
        <v>Google Leads</v>
      </c>
      <c r="AA15" s="12">
        <f>IFERROR(VLOOKUP(B15,Annuaire_roster!B:I,6,0),"-")</f>
        <v>0</v>
      </c>
      <c r="AB15" s="142" t="str">
        <f t="shared" si="12"/>
        <v/>
      </c>
      <c r="AC15" s="142" t="str">
        <f t="shared" si="13"/>
        <v/>
      </c>
      <c r="AD15" s="142" t="str">
        <f t="shared" si="14"/>
        <v/>
      </c>
      <c r="AE15" s="143" t="str">
        <f t="shared" si="15"/>
        <v/>
      </c>
      <c r="AF15" s="63"/>
      <c r="AG15" s="142"/>
    </row>
    <row r="16" spans="1:33" hidden="1" x14ac:dyDescent="0.2">
      <c r="A16" s="70">
        <f>VLOOKUP(B16,Annuaire_roster!B:F,5,0)</f>
        <v>0</v>
      </c>
      <c r="B16" s="166" t="s">
        <v>224</v>
      </c>
      <c r="C16" s="61">
        <v>0.41388888888888886</v>
      </c>
      <c r="D16" s="61">
        <f t="array" ref="D16">IFERROR(INDEX(Planning2[],MATCH(1,(Planning2[Nom]=B16)*(Planning2[Date]=Q16),0),3),"-")</f>
        <v>0.41666666666666669</v>
      </c>
      <c r="E16" s="38">
        <v>0.83333333333333337</v>
      </c>
      <c r="F16" s="38">
        <f t="array" ref="F16">IFERROR(INDEX(Planning2[],MATCH(1,(Planning2[Nom]=B16)*(Planning2[Date]=Q16),0),4),"-")</f>
        <v>0.83333333333333337</v>
      </c>
      <c r="G16" s="88"/>
      <c r="H16" s="88"/>
      <c r="I16" s="209" t="str">
        <f t="shared" si="0"/>
        <v/>
      </c>
      <c r="J16" s="88"/>
      <c r="K16" s="89">
        <f t="shared" si="1"/>
        <v>0</v>
      </c>
      <c r="L16" s="88">
        <f t="shared" si="2"/>
        <v>0</v>
      </c>
      <c r="M16" s="62">
        <f t="shared" si="3"/>
        <v>0</v>
      </c>
      <c r="N16" s="102">
        <f t="shared" si="4"/>
        <v>0.375</v>
      </c>
      <c r="O16" s="90">
        <f t="shared" si="5"/>
        <v>0.375</v>
      </c>
      <c r="P16" s="91" t="str">
        <f>IFERROR(VLOOKUP($B16,Annuaire_roster!$B:$G,MATCH(P$1,Annuaire_roster!$B$1:$G$1,0),0),"-")</f>
        <v>Google Leads</v>
      </c>
      <c r="Q16" s="100">
        <v>44717</v>
      </c>
      <c r="R16" s="10">
        <f t="shared" si="6"/>
        <v>0</v>
      </c>
      <c r="S16" s="10">
        <f t="shared" si="7"/>
        <v>0</v>
      </c>
      <c r="T16" s="16" t="str">
        <f t="shared" si="8"/>
        <v>Sem - 23</v>
      </c>
      <c r="U16" s="16" t="str">
        <f t="shared" si="9"/>
        <v>Juin</v>
      </c>
      <c r="V16" s="11" t="str">
        <f t="shared" si="10"/>
        <v>2026</v>
      </c>
      <c r="W16" s="9"/>
      <c r="X16" s="5">
        <f t="shared" si="11"/>
        <v>2.7777777777778789E-3</v>
      </c>
      <c r="Y16" s="12">
        <f>IFERROR(VLOOKUP(B16,Annuaire_roster!B:E,4,0),"-")</f>
        <v>0</v>
      </c>
      <c r="Z16" s="12" t="str">
        <f>IFERROR(VLOOKUP(B16,Annuaire_roster!B:F,3,0),"-")</f>
        <v>Google Leads</v>
      </c>
      <c r="AA16" s="12">
        <f>IFERROR(VLOOKUP(B16,Annuaire_roster!B:I,6,0),"-")</f>
        <v>0</v>
      </c>
      <c r="AB16" s="142" t="str">
        <f t="shared" si="12"/>
        <v/>
      </c>
      <c r="AC16" s="142" t="str">
        <f t="shared" si="13"/>
        <v/>
      </c>
      <c r="AD16" s="142" t="str">
        <f t="shared" si="14"/>
        <v/>
      </c>
      <c r="AE16" s="143" t="str">
        <f t="shared" si="15"/>
        <v/>
      </c>
      <c r="AF16" s="63"/>
      <c r="AG16" s="10"/>
    </row>
    <row r="17" spans="1:33" hidden="1" x14ac:dyDescent="0.2">
      <c r="A17" s="211">
        <f>VLOOKUP(B17,Annuaire_roster!B:F,5,0)</f>
        <v>949</v>
      </c>
      <c r="B17" s="166" t="s">
        <v>85</v>
      </c>
      <c r="C17" s="61">
        <v>0.41319444444444442</v>
      </c>
      <c r="D17" s="61">
        <f t="array" ref="D17">IFERROR(INDEX(Planning2[],MATCH(1,(Planning2[Nom]=B17)*(Planning2[Date]=Q17),0),3),"-")</f>
        <v>0.41666666666666669</v>
      </c>
      <c r="E17" s="38">
        <v>0.83333333333333337</v>
      </c>
      <c r="F17" s="38">
        <f t="array" ref="F17">IFERROR(INDEX(Planning2[],MATCH(1,(Planning2[Nom]=B17)*(Planning2[Date]=Q17),0),4),"-")</f>
        <v>0.83333333333333337</v>
      </c>
      <c r="G17" s="88"/>
      <c r="H17" s="88"/>
      <c r="I17" s="209" t="str">
        <f t="shared" si="0"/>
        <v/>
      </c>
      <c r="J17" s="88"/>
      <c r="K17" s="89">
        <f t="shared" si="1"/>
        <v>0</v>
      </c>
      <c r="L17" s="88">
        <f t="shared" si="2"/>
        <v>0</v>
      </c>
      <c r="M17" s="62">
        <f t="shared" si="3"/>
        <v>0</v>
      </c>
      <c r="N17" s="212">
        <f t="shared" si="4"/>
        <v>0.375</v>
      </c>
      <c r="O17" s="90">
        <f t="shared" si="5"/>
        <v>0.375</v>
      </c>
      <c r="P17" s="91" t="str">
        <f>IFERROR(VLOOKUP($B17,Annuaire_roster!$B:$G,MATCH(P$1,Annuaire_roster!$B$1:$G$1,0),0),"-")</f>
        <v>Google Leads</v>
      </c>
      <c r="Q17" s="213">
        <v>44717</v>
      </c>
      <c r="R17" s="142">
        <f t="shared" si="6"/>
        <v>0</v>
      </c>
      <c r="S17" s="142">
        <f t="shared" si="7"/>
        <v>0</v>
      </c>
      <c r="T17" s="16" t="str">
        <f t="shared" si="8"/>
        <v>Sem - 23</v>
      </c>
      <c r="U17" s="16" t="str">
        <f t="shared" si="9"/>
        <v>Juin</v>
      </c>
      <c r="V17" s="214" t="str">
        <f t="shared" si="10"/>
        <v>2026</v>
      </c>
      <c r="W17" s="212"/>
      <c r="X17" s="215">
        <f t="shared" si="11"/>
        <v>3.4722222222222099E-3</v>
      </c>
      <c r="Y17" s="216" t="str">
        <f>IFERROR(VLOOKUP(B17,Annuaire_roster!B:E,4,0),"-")</f>
        <v>CHOUIFI Mustapha</v>
      </c>
      <c r="Z17" s="216" t="str">
        <f>IFERROR(VLOOKUP(B17,Annuaire_roster!B:F,3,0),"-")</f>
        <v>Google Leads</v>
      </c>
      <c r="AA17" s="216" t="str">
        <f>IFERROR(VLOOKUP(B17,Annuaire_roster!B:I,6,0),"-")</f>
        <v>Forfaitaire</v>
      </c>
      <c r="AB17" s="142" t="str">
        <f t="shared" si="12"/>
        <v/>
      </c>
      <c r="AC17" s="142" t="str">
        <f t="shared" si="13"/>
        <v/>
      </c>
      <c r="AD17" s="142" t="str">
        <f t="shared" si="14"/>
        <v/>
      </c>
      <c r="AE17" s="217" t="str">
        <f t="shared" si="15"/>
        <v/>
      </c>
      <c r="AF17" s="63"/>
      <c r="AG17" s="142"/>
    </row>
    <row r="18" spans="1:33" hidden="1" x14ac:dyDescent="0.2">
      <c r="A18" s="70">
        <f>VLOOKUP(B18,Annuaire_roster!B:F,5,0)</f>
        <v>0</v>
      </c>
      <c r="B18" s="166" t="s">
        <v>216</v>
      </c>
      <c r="C18" s="61">
        <v>0.41666666666666669</v>
      </c>
      <c r="D18" s="61">
        <f t="array" ref="D18">IFERROR(INDEX(Planning2[],MATCH(1,(Planning2[Nom]=B18)*(Planning2[Date]=Q18),0),3),"-")</f>
        <v>0.41666666666666669</v>
      </c>
      <c r="E18" s="38">
        <v>0.83333333333333337</v>
      </c>
      <c r="F18" s="38">
        <f t="array" ref="F18">IFERROR(INDEX(Planning2[],MATCH(1,(Planning2[Nom]=B18)*(Planning2[Date]=Q18),0),4),"-")</f>
        <v>0.83333333333333337</v>
      </c>
      <c r="G18" s="88"/>
      <c r="H18" s="88"/>
      <c r="I18" s="209" t="str">
        <f t="shared" si="0"/>
        <v/>
      </c>
      <c r="J18" s="88"/>
      <c r="K18" s="89">
        <f t="shared" si="1"/>
        <v>0</v>
      </c>
      <c r="L18" s="88">
        <f t="shared" si="2"/>
        <v>0</v>
      </c>
      <c r="M18" s="62">
        <f t="shared" si="3"/>
        <v>0</v>
      </c>
      <c r="N18" s="102">
        <f t="shared" si="4"/>
        <v>0.375</v>
      </c>
      <c r="O18" s="90">
        <f t="shared" si="5"/>
        <v>0.375</v>
      </c>
      <c r="P18" s="91" t="str">
        <f>IFERROR(VLOOKUP($B18,Annuaire_roster!$B:$G,MATCH(P$1,Annuaire_roster!$B$1:$G$1,0),0),"-")</f>
        <v>Google Leads</v>
      </c>
      <c r="Q18" s="100">
        <v>44717</v>
      </c>
      <c r="R18" s="10">
        <f t="shared" si="6"/>
        <v>0</v>
      </c>
      <c r="S18" s="10">
        <f t="shared" si="7"/>
        <v>0</v>
      </c>
      <c r="T18" s="16" t="str">
        <f t="shared" si="8"/>
        <v>Sem - 23</v>
      </c>
      <c r="U18" s="16" t="str">
        <f t="shared" si="9"/>
        <v>Juin</v>
      </c>
      <c r="V18" s="11" t="str">
        <f t="shared" si="10"/>
        <v>2026</v>
      </c>
      <c r="W18" s="9"/>
      <c r="X18" s="5">
        <f t="shared" si="11"/>
        <v>0</v>
      </c>
      <c r="Y18" s="12">
        <f>IFERROR(VLOOKUP(B18,Annuaire_roster!B:E,4,0),"-")</f>
        <v>0</v>
      </c>
      <c r="Z18" s="12" t="str">
        <f>IFERROR(VLOOKUP(B18,Annuaire_roster!B:F,3,0),"-")</f>
        <v>Google Leads</v>
      </c>
      <c r="AA18" s="12">
        <f>IFERROR(VLOOKUP(B18,Annuaire_roster!B:I,6,0),"-")</f>
        <v>0</v>
      </c>
      <c r="AB18" s="142" t="str">
        <f t="shared" si="12"/>
        <v/>
      </c>
      <c r="AC18" s="142" t="str">
        <f t="shared" si="13"/>
        <v/>
      </c>
      <c r="AD18" s="142" t="str">
        <f t="shared" si="14"/>
        <v/>
      </c>
      <c r="AE18" s="143" t="str">
        <f t="shared" si="15"/>
        <v/>
      </c>
      <c r="AF18" s="63"/>
      <c r="AG18" s="142"/>
    </row>
    <row r="19" spans="1:33" hidden="1" x14ac:dyDescent="0.2">
      <c r="A19" s="70">
        <f>VLOOKUP(B19,Annuaire_roster!B:F,5,0)</f>
        <v>1131</v>
      </c>
      <c r="B19" s="166" t="s">
        <v>214</v>
      </c>
      <c r="C19" s="61">
        <v>0.4284722222222222</v>
      </c>
      <c r="D19" s="61">
        <f t="array" ref="D19">IFERROR(INDEX(Planning2[],MATCH(1,(Planning2[Nom]=B19)*(Planning2[Date]=Q19),0),3),"-")</f>
        <v>0.41666666666666669</v>
      </c>
      <c r="E19" s="38">
        <v>0.83333333333333337</v>
      </c>
      <c r="F19" s="38">
        <f t="array" ref="F19">IFERROR(INDEX(Planning2[],MATCH(1,(Planning2[Nom]=B19)*(Planning2[Date]=Q19),0),4),"-")</f>
        <v>0.83333333333333337</v>
      </c>
      <c r="G19" s="88"/>
      <c r="H19" s="88"/>
      <c r="I19" s="236">
        <f t="shared" si="0"/>
        <v>1.1805555555555514E-2</v>
      </c>
      <c r="J19" s="88"/>
      <c r="K19" s="89">
        <f t="shared" si="1"/>
        <v>1.1805555555555514E-2</v>
      </c>
      <c r="L19" s="88">
        <f t="shared" si="2"/>
        <v>0</v>
      </c>
      <c r="M19" s="62">
        <f t="shared" si="3"/>
        <v>0</v>
      </c>
      <c r="N19" s="102">
        <f t="shared" si="4"/>
        <v>0.36319444444444449</v>
      </c>
      <c r="O19" s="90">
        <f t="shared" si="5"/>
        <v>0.375</v>
      </c>
      <c r="P19" s="91" t="str">
        <f>IFERROR(VLOOKUP($B19,Annuaire_roster!$B:$G,MATCH(P$1,Annuaire_roster!$B$1:$G$1,0),0),"-")</f>
        <v>Google Leads</v>
      </c>
      <c r="Q19" s="100">
        <v>44717</v>
      </c>
      <c r="R19" s="10">
        <f t="shared" si="6"/>
        <v>0</v>
      </c>
      <c r="S19" s="10">
        <f t="shared" si="7"/>
        <v>1.1805555555555514E-2</v>
      </c>
      <c r="T19" s="16" t="str">
        <f t="shared" si="8"/>
        <v>Sem - 23</v>
      </c>
      <c r="U19" s="16" t="str">
        <f t="shared" si="9"/>
        <v>Juin</v>
      </c>
      <c r="V19" s="11" t="str">
        <f t="shared" si="10"/>
        <v>2026</v>
      </c>
      <c r="W19" s="9"/>
      <c r="X19" s="5">
        <f t="shared" si="11"/>
        <v>0</v>
      </c>
      <c r="Y19" s="12" t="str">
        <f>IFERROR(VLOOKUP(B19,Annuaire_roster!B:E,4,0),"-")</f>
        <v>CHOUIFI Mustapha</v>
      </c>
      <c r="Z19" s="12" t="str">
        <f>IFERROR(VLOOKUP(B19,Annuaire_roster!B:F,3,0),"-")</f>
        <v>Google Leads</v>
      </c>
      <c r="AA19" s="12" t="str">
        <f>IFERROR(VLOOKUP(B19,Annuaire_roster!B:I,6,0),"-")</f>
        <v>Forfaitaire</v>
      </c>
      <c r="AB19" s="142" t="str">
        <f t="shared" si="12"/>
        <v/>
      </c>
      <c r="AC19" s="142" t="str">
        <f t="shared" si="13"/>
        <v/>
      </c>
      <c r="AD19" s="142" t="str">
        <f t="shared" si="14"/>
        <v/>
      </c>
      <c r="AE19" s="143" t="str">
        <f t="shared" si="15"/>
        <v/>
      </c>
      <c r="AF19" s="63"/>
      <c r="AG19" s="10"/>
    </row>
    <row r="20" spans="1:33" hidden="1" x14ac:dyDescent="0.2">
      <c r="A20" s="211">
        <f>VLOOKUP(B20,Annuaire_roster!B:F,5,0)</f>
        <v>0</v>
      </c>
      <c r="B20" s="166" t="s">
        <v>217</v>
      </c>
      <c r="C20" s="61">
        <v>0.41597222222222224</v>
      </c>
      <c r="D20" s="61">
        <f t="array" ref="D20">IFERROR(INDEX(Planning2[],MATCH(1,(Planning2[Nom]=B20)*(Planning2[Date]=Q20),0),3),"-")</f>
        <v>0.41666666666666669</v>
      </c>
      <c r="E20" s="38">
        <v>0.83333333333333337</v>
      </c>
      <c r="F20" s="38">
        <f t="array" ref="F20">IFERROR(INDEX(Planning2[],MATCH(1,(Planning2[Nom]=B20)*(Planning2[Date]=Q20),0),4),"-")</f>
        <v>0.83333333333333337</v>
      </c>
      <c r="G20" s="88"/>
      <c r="H20" s="88"/>
      <c r="I20" s="209" t="str">
        <f t="shared" si="0"/>
        <v/>
      </c>
      <c r="J20" s="88"/>
      <c r="K20" s="89">
        <f t="shared" si="1"/>
        <v>0</v>
      </c>
      <c r="L20" s="88">
        <f t="shared" si="2"/>
        <v>0</v>
      </c>
      <c r="M20" s="62">
        <f t="shared" si="3"/>
        <v>0</v>
      </c>
      <c r="N20" s="212">
        <f t="shared" si="4"/>
        <v>0.375</v>
      </c>
      <c r="O20" s="90">
        <f t="shared" si="5"/>
        <v>0.375</v>
      </c>
      <c r="P20" s="91" t="str">
        <f>IFERROR(VLOOKUP($B20,Annuaire_roster!$B:$G,MATCH(P$1,Annuaire_roster!$B$1:$G$1,0),0),"-")</f>
        <v>Google Leads</v>
      </c>
      <c r="Q20" s="213">
        <v>44717</v>
      </c>
      <c r="R20" s="142">
        <f t="shared" si="6"/>
        <v>0</v>
      </c>
      <c r="S20" s="142">
        <f t="shared" si="7"/>
        <v>0</v>
      </c>
      <c r="T20" s="16" t="str">
        <f t="shared" si="8"/>
        <v>Sem - 23</v>
      </c>
      <c r="U20" s="16" t="str">
        <f t="shared" si="9"/>
        <v>Juin</v>
      </c>
      <c r="V20" s="214" t="str">
        <f t="shared" si="10"/>
        <v>2026</v>
      </c>
      <c r="W20" s="212"/>
      <c r="X20" s="215">
        <f t="shared" si="11"/>
        <v>0</v>
      </c>
      <c r="Y20" s="216">
        <f>IFERROR(VLOOKUP(B20,Annuaire_roster!B:E,4,0),"-")</f>
        <v>0</v>
      </c>
      <c r="Z20" s="216" t="str">
        <f>IFERROR(VLOOKUP(B20,Annuaire_roster!B:F,3,0),"-")</f>
        <v>Google Leads</v>
      </c>
      <c r="AA20" s="216">
        <f>IFERROR(VLOOKUP(B20,Annuaire_roster!B:I,6,0),"-")</f>
        <v>0</v>
      </c>
      <c r="AB20" s="142" t="str">
        <f t="shared" si="12"/>
        <v/>
      </c>
      <c r="AC20" s="142" t="str">
        <f t="shared" si="13"/>
        <v/>
      </c>
      <c r="AD20" s="142" t="str">
        <f t="shared" si="14"/>
        <v/>
      </c>
      <c r="AE20" s="217" t="str">
        <f t="shared" si="15"/>
        <v/>
      </c>
      <c r="AF20" s="218"/>
      <c r="AG20" s="142"/>
    </row>
    <row r="21" spans="1:33" hidden="1" x14ac:dyDescent="0.2">
      <c r="A21" s="70">
        <f>VLOOKUP(B21,Annuaire_roster!B:F,5,0)</f>
        <v>1132</v>
      </c>
      <c r="B21" s="166" t="s">
        <v>88</v>
      </c>
      <c r="C21" s="61">
        <v>0.29166666666666669</v>
      </c>
      <c r="D21" s="61">
        <v>0.29166666666666669</v>
      </c>
      <c r="E21" s="38">
        <v>0.70833333333333337</v>
      </c>
      <c r="F21" s="38">
        <f t="array" ref="F21">IFERROR(INDEX(Planning2[],MATCH(1,(Planning2[Nom]=B21)*(Planning2[Date]=Q21),0),4),"-")</f>
        <v>0.70833333333333337</v>
      </c>
      <c r="G21" s="88"/>
      <c r="H21" s="88"/>
      <c r="I21" s="209" t="str">
        <f t="shared" si="0"/>
        <v/>
      </c>
      <c r="J21" s="88"/>
      <c r="K21" s="89">
        <f t="shared" si="1"/>
        <v>0</v>
      </c>
      <c r="L21" s="88">
        <f t="shared" si="2"/>
        <v>0</v>
      </c>
      <c r="M21" s="62">
        <f t="shared" si="3"/>
        <v>0</v>
      </c>
      <c r="N21" s="102">
        <f t="shared" si="4"/>
        <v>0.375</v>
      </c>
      <c r="O21" s="90">
        <f t="shared" si="5"/>
        <v>0.375</v>
      </c>
      <c r="P21" s="91" t="str">
        <f>IFERROR(VLOOKUP($B21,Annuaire_roster!$B:$G,MATCH(P$1,Annuaire_roster!$B$1:$G$1,0),0),"-")</f>
        <v>Google Leads</v>
      </c>
      <c r="Q21" s="100">
        <v>44717</v>
      </c>
      <c r="R21" s="10">
        <f t="shared" si="6"/>
        <v>0</v>
      </c>
      <c r="S21" s="10">
        <f t="shared" si="7"/>
        <v>0</v>
      </c>
      <c r="T21" s="16" t="str">
        <f t="shared" si="8"/>
        <v>Sem - 23</v>
      </c>
      <c r="U21" s="16" t="str">
        <f t="shared" si="9"/>
        <v>Juin</v>
      </c>
      <c r="V21" s="11" t="str">
        <f t="shared" si="10"/>
        <v>2026</v>
      </c>
      <c r="W21" s="9"/>
      <c r="X21" s="5">
        <f t="shared" si="11"/>
        <v>0</v>
      </c>
      <c r="Y21" s="12" t="str">
        <f>IFERROR(VLOOKUP(B21,Annuaire_roster!B:E,4,0),"-")</f>
        <v>CHOUIFI Mustapha</v>
      </c>
      <c r="Z21" s="12" t="str">
        <f>IFERROR(VLOOKUP(B21,Annuaire_roster!B:F,3,0),"-")</f>
        <v>Google Leads</v>
      </c>
      <c r="AA21" s="12" t="str">
        <f>IFERROR(VLOOKUP(B21,Annuaire_roster!B:I,6,0),"-")</f>
        <v>Forfaitaire</v>
      </c>
      <c r="AB21" s="142" t="str">
        <f t="shared" si="12"/>
        <v/>
      </c>
      <c r="AC21" s="142" t="str">
        <f t="shared" si="13"/>
        <v/>
      </c>
      <c r="AD21" s="142" t="str">
        <f t="shared" si="14"/>
        <v/>
      </c>
      <c r="AE21" s="143" t="str">
        <f t="shared" si="15"/>
        <v/>
      </c>
      <c r="AF21" s="63"/>
      <c r="AG21" s="10"/>
    </row>
    <row r="22" spans="1:33" hidden="1" x14ac:dyDescent="0.2">
      <c r="A22" s="70">
        <f>VLOOKUP(B22,Annuaire_roster!B:F,5,0)</f>
        <v>1154</v>
      </c>
      <c r="B22" s="166" t="s">
        <v>110</v>
      </c>
      <c r="C22" s="61">
        <v>0.29166666666666669</v>
      </c>
      <c r="D22" s="61">
        <v>0.29166666666666669</v>
      </c>
      <c r="E22" s="38">
        <v>0.70833333333333337</v>
      </c>
      <c r="F22" s="38">
        <f t="array" ref="F22">IFERROR(INDEX(Planning2[],MATCH(1,(Planning2[Nom]=B22)*(Planning2[Date]=Q22),0),4),"-")</f>
        <v>0.70833333333333337</v>
      </c>
      <c r="G22" s="88"/>
      <c r="H22" s="88"/>
      <c r="I22" s="209" t="str">
        <f t="shared" si="0"/>
        <v/>
      </c>
      <c r="J22" s="88"/>
      <c r="K22" s="89">
        <f t="shared" si="1"/>
        <v>0</v>
      </c>
      <c r="L22" s="88">
        <f t="shared" si="2"/>
        <v>0</v>
      </c>
      <c r="M22" s="62">
        <f t="shared" si="3"/>
        <v>0</v>
      </c>
      <c r="N22" s="102">
        <f t="shared" si="4"/>
        <v>0.375</v>
      </c>
      <c r="O22" s="90">
        <f t="shared" si="5"/>
        <v>0.375</v>
      </c>
      <c r="P22" s="91" t="str">
        <f>IFERROR(VLOOKUP($B22,Annuaire_roster!$B:$G,MATCH(P$1,Annuaire_roster!$B$1:$G$1,0),0),"-")</f>
        <v>Google Leads</v>
      </c>
      <c r="Q22" s="100">
        <v>44717</v>
      </c>
      <c r="R22" s="10">
        <f t="shared" si="6"/>
        <v>0</v>
      </c>
      <c r="S22" s="10">
        <f t="shared" si="7"/>
        <v>0</v>
      </c>
      <c r="T22" s="16" t="str">
        <f t="shared" si="8"/>
        <v>Sem - 23</v>
      </c>
      <c r="U22" s="16" t="str">
        <f t="shared" si="9"/>
        <v>Juin</v>
      </c>
      <c r="V22" s="11" t="str">
        <f t="shared" si="10"/>
        <v>2026</v>
      </c>
      <c r="W22" s="9"/>
      <c r="X22" s="5">
        <f t="shared" si="11"/>
        <v>0</v>
      </c>
      <c r="Y22" s="12" t="str">
        <f>IFERROR(VLOOKUP(B22,Annuaire_roster!B:E,4,0),"-")</f>
        <v>CHOUIFI Mustapha</v>
      </c>
      <c r="Z22" s="12" t="str">
        <f>IFERROR(VLOOKUP(B22,Annuaire_roster!B:F,3,0),"-")</f>
        <v>Google Leads</v>
      </c>
      <c r="AA22" s="12" t="str">
        <f>IFERROR(VLOOKUP(B22,Annuaire_roster!B:I,6,0),"-")</f>
        <v>Forfaitaire</v>
      </c>
      <c r="AB22" s="142" t="str">
        <f t="shared" si="12"/>
        <v/>
      </c>
      <c r="AC22" s="142" t="str">
        <f t="shared" si="13"/>
        <v/>
      </c>
      <c r="AD22" s="142" t="str">
        <f t="shared" si="14"/>
        <v/>
      </c>
      <c r="AE22" s="143" t="str">
        <f t="shared" si="15"/>
        <v/>
      </c>
      <c r="AF22" s="63"/>
      <c r="AG22" s="10"/>
    </row>
    <row r="23" spans="1:33" hidden="1" x14ac:dyDescent="0.2">
      <c r="A23" s="70">
        <f>VLOOKUP(B23,Annuaire_roster!B:F,5,0)</f>
        <v>1274</v>
      </c>
      <c r="B23" s="166" t="s">
        <v>141</v>
      </c>
      <c r="C23" s="61">
        <v>0.29166666666666669</v>
      </c>
      <c r="D23" s="61">
        <v>0.29166666666666669</v>
      </c>
      <c r="E23" s="38">
        <v>0.70833333333333337</v>
      </c>
      <c r="F23" s="38">
        <f t="array" ref="F23">IFERROR(INDEX(Planning2[],MATCH(1,(Planning2[Nom]=B23)*(Planning2[Date]=Q23),0),4),"-")</f>
        <v>0.70833333333333337</v>
      </c>
      <c r="G23" s="88"/>
      <c r="H23" s="88"/>
      <c r="I23" s="209" t="str">
        <f t="shared" si="0"/>
        <v/>
      </c>
      <c r="J23" s="88"/>
      <c r="K23" s="89">
        <f t="shared" si="1"/>
        <v>0</v>
      </c>
      <c r="L23" s="88">
        <f t="shared" si="2"/>
        <v>0</v>
      </c>
      <c r="M23" s="62">
        <f t="shared" si="3"/>
        <v>0</v>
      </c>
      <c r="N23" s="102">
        <f t="shared" si="4"/>
        <v>0.375</v>
      </c>
      <c r="O23" s="90">
        <f t="shared" si="5"/>
        <v>0.375</v>
      </c>
      <c r="P23" s="91" t="str">
        <f>IFERROR(VLOOKUP($B23,Annuaire_roster!$B:$G,MATCH(P$1,Annuaire_roster!$B$1:$G$1,0),0),"-")</f>
        <v>Google Leads</v>
      </c>
      <c r="Q23" s="100">
        <v>44717</v>
      </c>
      <c r="R23" s="10">
        <f t="shared" si="6"/>
        <v>0</v>
      </c>
      <c r="S23" s="10">
        <f t="shared" si="7"/>
        <v>0</v>
      </c>
      <c r="T23" s="16" t="str">
        <f t="shared" si="8"/>
        <v>Sem - 23</v>
      </c>
      <c r="U23" s="16" t="str">
        <f t="shared" si="9"/>
        <v>Juin</v>
      </c>
      <c r="V23" s="11" t="str">
        <f t="shared" si="10"/>
        <v>2026</v>
      </c>
      <c r="W23" s="9"/>
      <c r="X23" s="5">
        <f t="shared" si="11"/>
        <v>0</v>
      </c>
      <c r="Y23" s="12" t="str">
        <f>IFERROR(VLOOKUP(B23,Annuaire_roster!B:E,4,0),"-")</f>
        <v>OUAQERROUCH Nour-El Houda</v>
      </c>
      <c r="Z23" s="12" t="str">
        <f>IFERROR(VLOOKUP(B23,Annuaire_roster!B:F,3,0),"-")</f>
        <v>Google Leads</v>
      </c>
      <c r="AA23" s="12" t="str">
        <f>IFERROR(VLOOKUP(B23,Annuaire_roster!B:I,6,0),"-")</f>
        <v>Forfaitaire</v>
      </c>
      <c r="AB23" s="142" t="str">
        <f t="shared" si="12"/>
        <v/>
      </c>
      <c r="AC23" s="142" t="str">
        <f t="shared" si="13"/>
        <v/>
      </c>
      <c r="AD23" s="142" t="str">
        <f t="shared" si="14"/>
        <v/>
      </c>
      <c r="AE23" s="143" t="str">
        <f t="shared" si="15"/>
        <v/>
      </c>
      <c r="AF23" s="63"/>
      <c r="AG23" s="10"/>
    </row>
    <row r="24" spans="1:33" hidden="1" x14ac:dyDescent="0.2">
      <c r="A24" s="70">
        <f>VLOOKUP(B24,Annuaire_roster!B:F,5,0)</f>
        <v>1167</v>
      </c>
      <c r="B24" s="219" t="s">
        <v>126</v>
      </c>
      <c r="C24" s="61"/>
      <c r="D24" s="61">
        <v>0.29166666666666669</v>
      </c>
      <c r="E24" s="38"/>
      <c r="F24" s="38">
        <f t="array" ref="F24">IFERROR(INDEX(Planning2[],MATCH(1,(Planning2[Nom]=B24)*(Planning2[Date]=Q24),0),4),"-")</f>
        <v>0.70833333333333337</v>
      </c>
      <c r="G24" s="88"/>
      <c r="H24" s="88"/>
      <c r="I24" s="209" t="str">
        <f t="shared" si="0"/>
        <v/>
      </c>
      <c r="J24" s="88"/>
      <c r="K24" s="89">
        <f t="shared" si="1"/>
        <v>0</v>
      </c>
      <c r="L24" s="88">
        <f t="shared" si="2"/>
        <v>0</v>
      </c>
      <c r="M24" s="62" t="str">
        <f t="shared" si="3"/>
        <v>Abs</v>
      </c>
      <c r="N24" s="102" t="str">
        <f t="shared" si="4"/>
        <v/>
      </c>
      <c r="O24" s="90">
        <f t="shared" si="5"/>
        <v>0.375</v>
      </c>
      <c r="P24" s="91" t="str">
        <f>IFERROR(VLOOKUP($B24,Annuaire_roster!$B:$G,MATCH(P$1,Annuaire_roster!$B$1:$G$1,0),0),"-")</f>
        <v>Google Leads</v>
      </c>
      <c r="Q24" s="100">
        <v>44717</v>
      </c>
      <c r="R24" s="10">
        <f t="shared" si="6"/>
        <v>0.375</v>
      </c>
      <c r="S24" s="10">
        <f t="shared" si="7"/>
        <v>0.375</v>
      </c>
      <c r="T24" s="16" t="str">
        <f t="shared" si="8"/>
        <v>Sem - 23</v>
      </c>
      <c r="U24" s="16" t="str">
        <f t="shared" si="9"/>
        <v>Juin</v>
      </c>
      <c r="V24" s="11" t="str">
        <f t="shared" si="10"/>
        <v>2026</v>
      </c>
      <c r="W24" s="9"/>
      <c r="X24" s="5">
        <f t="shared" si="11"/>
        <v>0</v>
      </c>
      <c r="Y24" s="12" t="str">
        <f>IFERROR(VLOOKUP(B24,Annuaire_roster!B:E,4,0),"-")</f>
        <v>OUAQERROUCH Nour-El Houda</v>
      </c>
      <c r="Z24" s="12" t="str">
        <f>IFERROR(VLOOKUP(B24,Annuaire_roster!B:F,3,0),"-")</f>
        <v>Google Leads</v>
      </c>
      <c r="AA24" s="12" t="str">
        <f>IFERROR(VLOOKUP(B24,Annuaire_roster!B:I,6,0),"-")</f>
        <v>Forfaitaire</v>
      </c>
      <c r="AB24" s="142" t="str">
        <f t="shared" si="12"/>
        <v/>
      </c>
      <c r="AC24" s="142" t="str">
        <f t="shared" si="13"/>
        <v/>
      </c>
      <c r="AD24" s="142" t="str">
        <f t="shared" si="14"/>
        <v/>
      </c>
      <c r="AE24" s="143" t="str">
        <f t="shared" si="15"/>
        <v/>
      </c>
      <c r="AF24" s="63"/>
      <c r="AG24" s="142"/>
    </row>
    <row r="25" spans="1:33" hidden="1" x14ac:dyDescent="0.2">
      <c r="A25" s="70">
        <f>VLOOKUP(B25,Annuaire_roster!B:F,5,0)</f>
        <v>397</v>
      </c>
      <c r="B25" s="166" t="s">
        <v>215</v>
      </c>
      <c r="C25" s="61"/>
      <c r="D25" s="61" t="str">
        <f t="array" ref="D25">IFERROR(INDEX(Planning2[],MATCH(1,(Planning2[Nom]=B25)*(Planning2[Date]=Q25),0),3),"-")</f>
        <v>Congé</v>
      </c>
      <c r="E25" s="38"/>
      <c r="F25" s="38" t="str">
        <f t="array" ref="F25">IFERROR(INDEX(Planning2[],MATCH(1,(Planning2[Nom]=B25)*(Planning2[Date]=Q25),0),4),"-")</f>
        <v>Congé</v>
      </c>
      <c r="G25" s="88"/>
      <c r="H25" s="88"/>
      <c r="I25" s="209" t="str">
        <f t="shared" si="0"/>
        <v/>
      </c>
      <c r="J25" s="88"/>
      <c r="K25" s="89">
        <f t="shared" si="1"/>
        <v>0</v>
      </c>
      <c r="L25" s="88">
        <f t="shared" si="2"/>
        <v>0</v>
      </c>
      <c r="M25" s="62">
        <f t="shared" si="3"/>
        <v>0</v>
      </c>
      <c r="N25" s="102" t="str">
        <f t="shared" si="4"/>
        <v/>
      </c>
      <c r="O25" s="90">
        <f t="shared" si="5"/>
        <v>0</v>
      </c>
      <c r="P25" s="91" t="str">
        <f>IFERROR(VLOOKUP($B25,Annuaire_roster!$B:$G,MATCH(P$1,Annuaire_roster!$B$1:$G$1,0),0),"-")</f>
        <v>Google Leads</v>
      </c>
      <c r="Q25" s="100">
        <v>44717</v>
      </c>
      <c r="R25" s="10">
        <f t="shared" si="6"/>
        <v>0</v>
      </c>
      <c r="S25" s="10">
        <f t="shared" si="7"/>
        <v>0</v>
      </c>
      <c r="T25" s="16" t="str">
        <f t="shared" si="8"/>
        <v>Sem - 23</v>
      </c>
      <c r="U25" s="16" t="str">
        <f t="shared" si="9"/>
        <v>Juin</v>
      </c>
      <c r="V25" s="11" t="str">
        <f t="shared" si="10"/>
        <v>2026</v>
      </c>
      <c r="W25" s="9"/>
      <c r="X25" s="5">
        <f t="shared" si="11"/>
        <v>0</v>
      </c>
      <c r="Y25" s="12" t="str">
        <f>IFERROR(VLOOKUP(B25,Annuaire_roster!B:E,4,0),"-")</f>
        <v>OUAQERROUCH Nour-El Houda</v>
      </c>
      <c r="Z25" s="12" t="str">
        <f>IFERROR(VLOOKUP(B25,Annuaire_roster!B:F,3,0),"-")</f>
        <v>Google Leads</v>
      </c>
      <c r="AA25" s="12" t="str">
        <f>IFERROR(VLOOKUP(B25,Annuaire_roster!B:I,6,0),"-")</f>
        <v>Forfaitaire</v>
      </c>
      <c r="AB25" s="142">
        <f t="shared" si="12"/>
        <v>0.33333333333333298</v>
      </c>
      <c r="AC25" s="142" t="str">
        <f t="shared" si="13"/>
        <v/>
      </c>
      <c r="AD25" s="142" t="str">
        <f t="shared" si="14"/>
        <v/>
      </c>
      <c r="AE25" s="143" t="str">
        <f t="shared" si="15"/>
        <v/>
      </c>
      <c r="AF25" s="63"/>
      <c r="AG25" s="10"/>
    </row>
    <row r="26" spans="1:33" hidden="1" x14ac:dyDescent="0.2">
      <c r="A26" s="70">
        <f>VLOOKUP(B26,Annuaire_roster!B:F,5,0)</f>
        <v>894</v>
      </c>
      <c r="B26" s="166" t="s">
        <v>80</v>
      </c>
      <c r="C26" s="61">
        <v>0.33333333333333331</v>
      </c>
      <c r="D26" s="61">
        <v>0.33333333333333331</v>
      </c>
      <c r="E26" s="38">
        <v>0.70833333333333337</v>
      </c>
      <c r="F26" s="38">
        <v>0.70833333333333337</v>
      </c>
      <c r="G26" s="88"/>
      <c r="H26" s="88"/>
      <c r="I26" s="209" t="str">
        <f t="shared" si="0"/>
        <v/>
      </c>
      <c r="J26" s="88"/>
      <c r="K26" s="89">
        <f t="shared" si="1"/>
        <v>0</v>
      </c>
      <c r="L26" s="88">
        <f t="shared" si="2"/>
        <v>0</v>
      </c>
      <c r="M26" s="62">
        <f t="shared" si="3"/>
        <v>0</v>
      </c>
      <c r="N26" s="102">
        <f t="shared" si="4"/>
        <v>0.33333333333333337</v>
      </c>
      <c r="O26" s="90">
        <f t="shared" si="5"/>
        <v>0.33333333333333337</v>
      </c>
      <c r="P26" s="91" t="str">
        <f>IFERROR(VLOOKUP($B26,Annuaire_roster!$B:$G,MATCH(P$1,Annuaire_roster!$B$1:$G$1,0),0),"-")</f>
        <v>Google Leads</v>
      </c>
      <c r="Q26" s="100">
        <v>44717</v>
      </c>
      <c r="R26" s="10">
        <f t="shared" si="6"/>
        <v>0</v>
      </c>
      <c r="S26" s="10">
        <f t="shared" si="7"/>
        <v>0</v>
      </c>
      <c r="T26" s="16" t="str">
        <f t="shared" si="8"/>
        <v>Sem - 23</v>
      </c>
      <c r="U26" s="16" t="str">
        <f t="shared" si="9"/>
        <v>Juin</v>
      </c>
      <c r="V26" s="11" t="str">
        <f t="shared" si="10"/>
        <v>2026</v>
      </c>
      <c r="W26" s="9"/>
      <c r="X26" s="5">
        <f t="shared" si="11"/>
        <v>0</v>
      </c>
      <c r="Y26" s="12" t="str">
        <f>IFERROR(VLOOKUP(B26,Annuaire_roster!B:E,4,0),"-")</f>
        <v>OUAQERROUCH Nour-El Houda</v>
      </c>
      <c r="Z26" s="12" t="str">
        <f>IFERROR(VLOOKUP(B26,Annuaire_roster!B:F,3,0),"-")</f>
        <v>Google Leads</v>
      </c>
      <c r="AA26" s="12" t="str">
        <f>IFERROR(VLOOKUP(B26,Annuaire_roster!B:I,6,0),"-")</f>
        <v>Forfaitaire</v>
      </c>
      <c r="AB26" s="142" t="str">
        <f t="shared" si="12"/>
        <v/>
      </c>
      <c r="AC26" s="142" t="str">
        <f t="shared" si="13"/>
        <v/>
      </c>
      <c r="AD26" s="142" t="str">
        <f t="shared" si="14"/>
        <v/>
      </c>
      <c r="AE26" s="143" t="str">
        <f t="shared" si="15"/>
        <v/>
      </c>
      <c r="AF26" s="63"/>
      <c r="AG26" s="10"/>
    </row>
    <row r="27" spans="1:33" hidden="1" x14ac:dyDescent="0.2">
      <c r="A27" s="70">
        <f>VLOOKUP(B27,Annuaire_roster!B:F,5,0)</f>
        <v>971</v>
      </c>
      <c r="B27" s="166" t="s">
        <v>83</v>
      </c>
      <c r="C27" s="61"/>
      <c r="D27" s="61" t="str">
        <f t="array" ref="D27">IFERROR(INDEX(Planning2[],MATCH(1,(Planning2[Nom]=B27)*(Planning2[Date]=Q27),0),3),"-")</f>
        <v>OFF</v>
      </c>
      <c r="E27" s="38"/>
      <c r="F27" s="38" t="str">
        <f t="array" ref="F27">IFERROR(INDEX(Planning2[],MATCH(1,(Planning2[Nom]=B27)*(Planning2[Date]=Q27),0),4),"-")</f>
        <v>OFF</v>
      </c>
      <c r="G27" s="88"/>
      <c r="H27" s="88"/>
      <c r="I27" s="209" t="str">
        <f t="shared" si="0"/>
        <v/>
      </c>
      <c r="J27" s="88"/>
      <c r="K27" s="89">
        <f t="shared" si="1"/>
        <v>0</v>
      </c>
      <c r="L27" s="88">
        <f t="shared" si="2"/>
        <v>0</v>
      </c>
      <c r="M27" s="62">
        <f t="shared" si="3"/>
        <v>0</v>
      </c>
      <c r="N27" s="102" t="str">
        <f t="shared" si="4"/>
        <v/>
      </c>
      <c r="O27" s="90">
        <f t="shared" si="5"/>
        <v>0</v>
      </c>
      <c r="P27" s="91" t="str">
        <f>IFERROR(VLOOKUP($B27,Annuaire_roster!$B:$G,MATCH(P$1,Annuaire_roster!$B$1:$G$1,0),0),"-")</f>
        <v>Google Leads</v>
      </c>
      <c r="Q27" s="100">
        <v>44717</v>
      </c>
      <c r="R27" s="10">
        <f t="shared" si="6"/>
        <v>0</v>
      </c>
      <c r="S27" s="10">
        <f t="shared" si="7"/>
        <v>0</v>
      </c>
      <c r="T27" s="16" t="str">
        <f t="shared" si="8"/>
        <v>Sem - 23</v>
      </c>
      <c r="U27" s="16" t="str">
        <f t="shared" si="9"/>
        <v>Juin</v>
      </c>
      <c r="V27" s="11" t="str">
        <f t="shared" si="10"/>
        <v>2026</v>
      </c>
      <c r="W27" s="9"/>
      <c r="X27" s="5">
        <f t="shared" si="11"/>
        <v>0</v>
      </c>
      <c r="Y27" s="12" t="str">
        <f>IFERROR(VLOOKUP(B27,Annuaire_roster!B:E,4,0),"-")</f>
        <v>CHOUIFI Mustapha</v>
      </c>
      <c r="Z27" s="12" t="str">
        <f>IFERROR(VLOOKUP(B27,Annuaire_roster!B:F,3,0),"-")</f>
        <v>Google Leads</v>
      </c>
      <c r="AA27" s="12" t="str">
        <f>IFERROR(VLOOKUP(B27,Annuaire_roster!B:I,6,0),"-")</f>
        <v>Forfaitaire</v>
      </c>
      <c r="AB27" s="142" t="str">
        <f t="shared" si="12"/>
        <v/>
      </c>
      <c r="AC27" s="142" t="str">
        <f t="shared" si="13"/>
        <v/>
      </c>
      <c r="AD27" s="142" t="str">
        <f t="shared" si="14"/>
        <v/>
      </c>
      <c r="AE27" s="143" t="str">
        <f t="shared" si="15"/>
        <v/>
      </c>
      <c r="AF27" s="63"/>
      <c r="AG27" s="10"/>
    </row>
    <row r="28" spans="1:33" hidden="1" x14ac:dyDescent="0.2">
      <c r="A28" s="211">
        <f>VLOOKUP(B28,Annuaire_roster!B:F,5,0)</f>
        <v>1007</v>
      </c>
      <c r="B28" s="166" t="s">
        <v>89</v>
      </c>
      <c r="C28" s="61"/>
      <c r="D28" s="61" t="str">
        <f t="array" ref="D28">IFERROR(INDEX(Planning2[],MATCH(1,(Planning2[Nom]=B28)*(Planning2[Date]=Q28),0),3),"-")</f>
        <v>OFF</v>
      </c>
      <c r="E28" s="38"/>
      <c r="F28" s="38" t="str">
        <f t="array" ref="F28">IFERROR(INDEX(Planning2[],MATCH(1,(Planning2[Nom]=B28)*(Planning2[Date]=Q28),0),4),"-")</f>
        <v>OFF</v>
      </c>
      <c r="G28" s="88"/>
      <c r="H28" s="88"/>
      <c r="I28" s="209" t="str">
        <f t="shared" si="0"/>
        <v/>
      </c>
      <c r="J28" s="88"/>
      <c r="K28" s="89">
        <f t="shared" si="1"/>
        <v>0</v>
      </c>
      <c r="L28" s="88">
        <f t="shared" si="2"/>
        <v>0</v>
      </c>
      <c r="M28" s="62">
        <f t="shared" si="3"/>
        <v>0</v>
      </c>
      <c r="N28" s="212" t="str">
        <f t="shared" si="4"/>
        <v/>
      </c>
      <c r="O28" s="90">
        <f t="shared" si="5"/>
        <v>0</v>
      </c>
      <c r="P28" s="91" t="str">
        <f>IFERROR(VLOOKUP($B28,Annuaire_roster!$B:$G,MATCH(P$1,Annuaire_roster!$B$1:$G$1,0),0),"-")</f>
        <v>Google Leads</v>
      </c>
      <c r="Q28" s="213">
        <v>44717</v>
      </c>
      <c r="R28" s="142">
        <f t="shared" si="6"/>
        <v>0</v>
      </c>
      <c r="S28" s="142">
        <f t="shared" si="7"/>
        <v>0</v>
      </c>
      <c r="T28" s="16" t="str">
        <f t="shared" si="8"/>
        <v>Sem - 23</v>
      </c>
      <c r="U28" s="16" t="str">
        <f t="shared" si="9"/>
        <v>Juin</v>
      </c>
      <c r="V28" s="214" t="str">
        <f t="shared" si="10"/>
        <v>2026</v>
      </c>
      <c r="W28" s="212"/>
      <c r="X28" s="215">
        <f t="shared" si="11"/>
        <v>0</v>
      </c>
      <c r="Y28" s="216" t="str">
        <f>IFERROR(VLOOKUP(B28,Annuaire_roster!B:E,4,0),"-")</f>
        <v>OUAQERROUCH Nour-El Houda</v>
      </c>
      <c r="Z28" s="216" t="str">
        <f>IFERROR(VLOOKUP(B28,Annuaire_roster!B:F,3,0),"-")</f>
        <v>Google Leads</v>
      </c>
      <c r="AA28" s="216" t="str">
        <f>IFERROR(VLOOKUP(B28,Annuaire_roster!B:I,6,0),"-")</f>
        <v>Forfaitaire</v>
      </c>
      <c r="AB28" s="142" t="str">
        <f t="shared" si="12"/>
        <v/>
      </c>
      <c r="AC28" s="142" t="str">
        <f t="shared" si="13"/>
        <v/>
      </c>
      <c r="AD28" s="142" t="str">
        <f t="shared" si="14"/>
        <v/>
      </c>
      <c r="AE28" s="217" t="str">
        <f t="shared" si="15"/>
        <v/>
      </c>
      <c r="AF28" s="63"/>
      <c r="AG28" s="142"/>
    </row>
    <row r="29" spans="1:33" hidden="1" x14ac:dyDescent="0.2">
      <c r="A29" s="70">
        <f>VLOOKUP(B29,Annuaire_roster!B:F,5,0)</f>
        <v>1008</v>
      </c>
      <c r="B29" s="166" t="s">
        <v>94</v>
      </c>
      <c r="C29" s="61"/>
      <c r="D29" s="61" t="str">
        <f t="array" ref="D29">IFERROR(INDEX(Planning2[],MATCH(1,(Planning2[Nom]=B29)*(Planning2[Date]=Q29),0),3),"-")</f>
        <v>OFF</v>
      </c>
      <c r="E29" s="38"/>
      <c r="F29" s="38" t="str">
        <f t="array" ref="F29">IFERROR(INDEX(Planning2[],MATCH(1,(Planning2[Nom]=B29)*(Planning2[Date]=Q29),0),4),"-")</f>
        <v>OFF</v>
      </c>
      <c r="G29" s="88"/>
      <c r="H29" s="88"/>
      <c r="I29" s="209" t="str">
        <f t="shared" si="0"/>
        <v/>
      </c>
      <c r="J29" s="88"/>
      <c r="K29" s="89">
        <f t="shared" si="1"/>
        <v>0</v>
      </c>
      <c r="L29" s="88">
        <f t="shared" si="2"/>
        <v>0</v>
      </c>
      <c r="M29" s="62">
        <f t="shared" si="3"/>
        <v>0</v>
      </c>
      <c r="N29" s="102" t="str">
        <f t="shared" si="4"/>
        <v/>
      </c>
      <c r="O29" s="90">
        <f t="shared" si="5"/>
        <v>0</v>
      </c>
      <c r="P29" s="91" t="str">
        <f>IFERROR(VLOOKUP($B29,Annuaire_roster!$B:$G,MATCH(P$1,Annuaire_roster!$B$1:$G$1,0),0),"-")</f>
        <v>Google Leads</v>
      </c>
      <c r="Q29" s="100">
        <v>44717</v>
      </c>
      <c r="R29" s="10">
        <f t="shared" si="6"/>
        <v>0</v>
      </c>
      <c r="S29" s="10">
        <f t="shared" si="7"/>
        <v>0</v>
      </c>
      <c r="T29" s="16" t="str">
        <f t="shared" si="8"/>
        <v>Sem - 23</v>
      </c>
      <c r="U29" s="16" t="str">
        <f t="shared" si="9"/>
        <v>Juin</v>
      </c>
      <c r="V29" s="11" t="str">
        <f t="shared" si="10"/>
        <v>2026</v>
      </c>
      <c r="W29" s="9"/>
      <c r="X29" s="5">
        <f t="shared" si="11"/>
        <v>0</v>
      </c>
      <c r="Y29" s="12" t="str">
        <f>IFERROR(VLOOKUP(B29,Annuaire_roster!B:E,4,0),"-")</f>
        <v>CHOUIFI Mustapha</v>
      </c>
      <c r="Z29" s="12" t="str">
        <f>IFERROR(VLOOKUP(B29,Annuaire_roster!B:F,3,0),"-")</f>
        <v>Google Leads</v>
      </c>
      <c r="AA29" s="12" t="str">
        <f>IFERROR(VLOOKUP(B29,Annuaire_roster!B:I,6,0),"-")</f>
        <v>Forfaitaire</v>
      </c>
      <c r="AB29" s="142" t="str">
        <f t="shared" si="12"/>
        <v/>
      </c>
      <c r="AC29" s="142" t="str">
        <f t="shared" si="13"/>
        <v/>
      </c>
      <c r="AD29" s="142" t="str">
        <f t="shared" si="14"/>
        <v/>
      </c>
      <c r="AE29" s="143" t="str">
        <f t="shared" si="15"/>
        <v/>
      </c>
      <c r="AF29" s="63"/>
      <c r="AG29" s="10"/>
    </row>
    <row r="30" spans="1:33" hidden="1" x14ac:dyDescent="0.2">
      <c r="A30" s="70">
        <f>VLOOKUP(B30,Annuaire_roster!B:F,5,0)</f>
        <v>1145</v>
      </c>
      <c r="B30" s="166" t="s">
        <v>102</v>
      </c>
      <c r="C30" s="61"/>
      <c r="D30" s="61" t="str">
        <f t="array" ref="D30">IFERROR(INDEX(Planning2[],MATCH(1,(Planning2[Nom]=B30)*(Planning2[Date]=Q30),0),3),"-")</f>
        <v>OFF</v>
      </c>
      <c r="E30" s="38"/>
      <c r="F30" s="38" t="str">
        <f t="array" ref="F30">IFERROR(INDEX(Planning2[],MATCH(1,(Planning2[Nom]=B30)*(Planning2[Date]=Q30),0),4),"-")</f>
        <v>OFF</v>
      </c>
      <c r="G30" s="88"/>
      <c r="H30" s="88"/>
      <c r="I30" s="209" t="str">
        <f t="shared" si="0"/>
        <v/>
      </c>
      <c r="J30" s="88"/>
      <c r="K30" s="89">
        <f t="shared" si="1"/>
        <v>0</v>
      </c>
      <c r="L30" s="88">
        <f t="shared" si="2"/>
        <v>0</v>
      </c>
      <c r="M30" s="62">
        <f t="shared" si="3"/>
        <v>0</v>
      </c>
      <c r="N30" s="102" t="str">
        <f t="shared" si="4"/>
        <v/>
      </c>
      <c r="O30" s="90">
        <f t="shared" si="5"/>
        <v>0</v>
      </c>
      <c r="P30" s="91" t="str">
        <f>IFERROR(VLOOKUP($B30,Annuaire_roster!$B:$G,MATCH(P$1,Annuaire_roster!$B$1:$G$1,0),0),"-")</f>
        <v>Google Leads</v>
      </c>
      <c r="Q30" s="100">
        <v>44717</v>
      </c>
      <c r="R30" s="10">
        <f t="shared" si="6"/>
        <v>0</v>
      </c>
      <c r="S30" s="10">
        <f t="shared" si="7"/>
        <v>0</v>
      </c>
      <c r="T30" s="16" t="str">
        <f t="shared" si="8"/>
        <v>Sem - 23</v>
      </c>
      <c r="U30" s="16" t="str">
        <f t="shared" si="9"/>
        <v>Juin</v>
      </c>
      <c r="V30" s="11" t="str">
        <f t="shared" si="10"/>
        <v>2026</v>
      </c>
      <c r="W30" s="9"/>
      <c r="X30" s="5">
        <f t="shared" si="11"/>
        <v>0</v>
      </c>
      <c r="Y30" s="12" t="str">
        <f>IFERROR(VLOOKUP(B30,Annuaire_roster!B:E,4,0),"-")</f>
        <v>CHOUIFI Mustapha</v>
      </c>
      <c r="Z30" s="12" t="str">
        <f>IFERROR(VLOOKUP(B30,Annuaire_roster!B:F,3,0),"-")</f>
        <v>Google Leads</v>
      </c>
      <c r="AA30" s="12" t="str">
        <f>IFERROR(VLOOKUP(B30,Annuaire_roster!B:I,6,0),"-")</f>
        <v>Forfaitaire</v>
      </c>
      <c r="AB30" s="142" t="str">
        <f t="shared" si="12"/>
        <v/>
      </c>
      <c r="AC30" s="142" t="str">
        <f t="shared" si="13"/>
        <v/>
      </c>
      <c r="AD30" s="142" t="str">
        <f t="shared" si="14"/>
        <v/>
      </c>
      <c r="AE30" s="143" t="str">
        <f t="shared" si="15"/>
        <v/>
      </c>
      <c r="AF30" s="63"/>
      <c r="AG30" s="10"/>
    </row>
    <row r="31" spans="1:33" hidden="1" x14ac:dyDescent="0.2">
      <c r="A31" s="70">
        <f>VLOOKUP(B31,Annuaire_roster!B:F,5,0)</f>
        <v>0</v>
      </c>
      <c r="B31" s="166" t="s">
        <v>221</v>
      </c>
      <c r="C31" s="61"/>
      <c r="D31" s="61" t="str">
        <f t="array" ref="D31">IFERROR(INDEX(Planning2[],MATCH(1,(Planning2[Nom]=B31)*(Planning2[Date]=Q31),0),3),"-")</f>
        <v>OFF</v>
      </c>
      <c r="E31" s="38"/>
      <c r="F31" s="38" t="str">
        <f t="array" ref="F31">IFERROR(INDEX(Planning2[],MATCH(1,(Planning2[Nom]=B31)*(Planning2[Date]=Q31),0),4),"-")</f>
        <v>OFF</v>
      </c>
      <c r="G31" s="88"/>
      <c r="H31" s="88"/>
      <c r="I31" s="209" t="str">
        <f t="shared" si="0"/>
        <v/>
      </c>
      <c r="J31" s="88"/>
      <c r="K31" s="89">
        <f t="shared" si="1"/>
        <v>0</v>
      </c>
      <c r="L31" s="88">
        <f t="shared" si="2"/>
        <v>0</v>
      </c>
      <c r="M31" s="62">
        <f t="shared" si="3"/>
        <v>0</v>
      </c>
      <c r="N31" s="102" t="str">
        <f t="shared" si="4"/>
        <v/>
      </c>
      <c r="O31" s="90">
        <f t="shared" si="5"/>
        <v>0</v>
      </c>
      <c r="P31" s="91" t="str">
        <f>IFERROR(VLOOKUP($B31,Annuaire_roster!$B:$G,MATCH(P$1,Annuaire_roster!$B$1:$G$1,0),0),"-")</f>
        <v>Google Leads</v>
      </c>
      <c r="Q31" s="100">
        <v>44717</v>
      </c>
      <c r="R31" s="10">
        <f t="shared" si="6"/>
        <v>0</v>
      </c>
      <c r="S31" s="10">
        <f t="shared" si="7"/>
        <v>0</v>
      </c>
      <c r="T31" s="16" t="str">
        <f t="shared" si="8"/>
        <v>Sem - 23</v>
      </c>
      <c r="U31" s="16" t="str">
        <f t="shared" si="9"/>
        <v>Juin</v>
      </c>
      <c r="V31" s="11" t="str">
        <f t="shared" si="10"/>
        <v>2026</v>
      </c>
      <c r="W31" s="9"/>
      <c r="X31" s="5">
        <f t="shared" si="11"/>
        <v>0</v>
      </c>
      <c r="Y31" s="12">
        <f>IFERROR(VLOOKUP(B31,Annuaire_roster!B:E,4,0),"-")</f>
        <v>0</v>
      </c>
      <c r="Z31" s="12" t="str">
        <f>IFERROR(VLOOKUP(B31,Annuaire_roster!B:F,3,0),"-")</f>
        <v>Google Leads</v>
      </c>
      <c r="AA31" s="12">
        <f>IFERROR(VLOOKUP(B31,Annuaire_roster!B:I,6,0),"-")</f>
        <v>0</v>
      </c>
      <c r="AB31" s="142" t="str">
        <f t="shared" si="12"/>
        <v/>
      </c>
      <c r="AC31" s="142" t="str">
        <f t="shared" si="13"/>
        <v/>
      </c>
      <c r="AD31" s="142" t="str">
        <f t="shared" si="14"/>
        <v/>
      </c>
      <c r="AE31" s="143" t="str">
        <f t="shared" si="15"/>
        <v/>
      </c>
      <c r="AF31" s="63"/>
      <c r="AG31" s="10"/>
    </row>
    <row r="32" spans="1:33" hidden="1" x14ac:dyDescent="0.2">
      <c r="A32" s="70">
        <f>VLOOKUP(B32,Annuaire_roster!B:F,5,0)</f>
        <v>952</v>
      </c>
      <c r="B32" s="166" t="s">
        <v>87</v>
      </c>
      <c r="C32" s="61"/>
      <c r="D32" s="61" t="str">
        <f t="array" ref="D32">IFERROR(INDEX(Planning2[],MATCH(1,(Planning2[Nom]=B32)*(Planning2[Date]=Q32),0),3),"-")</f>
        <v>OFF</v>
      </c>
      <c r="E32" s="38"/>
      <c r="F32" s="38" t="str">
        <f t="array" ref="F32">IFERROR(INDEX(Planning2[],MATCH(1,(Planning2[Nom]=B32)*(Planning2[Date]=Q32),0),4),"-")</f>
        <v>OFF</v>
      </c>
      <c r="G32" s="88"/>
      <c r="H32" s="88"/>
      <c r="I32" s="209" t="str">
        <f t="shared" si="0"/>
        <v/>
      </c>
      <c r="J32" s="88"/>
      <c r="K32" s="89">
        <f t="shared" si="1"/>
        <v>0</v>
      </c>
      <c r="L32" s="88">
        <f t="shared" si="2"/>
        <v>0</v>
      </c>
      <c r="M32" s="62">
        <f t="shared" si="3"/>
        <v>0</v>
      </c>
      <c r="N32" s="102" t="str">
        <f t="shared" si="4"/>
        <v/>
      </c>
      <c r="O32" s="90">
        <f t="shared" si="5"/>
        <v>0</v>
      </c>
      <c r="P32" s="91" t="str">
        <f>IFERROR(VLOOKUP($B32,Annuaire_roster!$B:$G,MATCH(P$1,Annuaire_roster!$B$1:$G$1,0),0),"-")</f>
        <v>Google Leads</v>
      </c>
      <c r="Q32" s="100">
        <v>44717</v>
      </c>
      <c r="R32" s="10">
        <f t="shared" si="6"/>
        <v>0</v>
      </c>
      <c r="S32" s="10">
        <f t="shared" si="7"/>
        <v>0</v>
      </c>
      <c r="T32" s="16" t="str">
        <f t="shared" si="8"/>
        <v>Sem - 23</v>
      </c>
      <c r="U32" s="16" t="str">
        <f t="shared" si="9"/>
        <v>Juin</v>
      </c>
      <c r="V32" s="11" t="str">
        <f t="shared" si="10"/>
        <v>2026</v>
      </c>
      <c r="W32" s="9"/>
      <c r="X32" s="5">
        <f t="shared" si="11"/>
        <v>0</v>
      </c>
      <c r="Y32" s="12" t="str">
        <f>IFERROR(VLOOKUP(B32,Annuaire_roster!B:E,4,0),"-")</f>
        <v>OUAQERROUCH Nour-El Houda</v>
      </c>
      <c r="Z32" s="12" t="str">
        <f>IFERROR(VLOOKUP(B32,Annuaire_roster!B:F,3,0),"-")</f>
        <v>Google Leads</v>
      </c>
      <c r="AA32" s="12" t="str">
        <f>IFERROR(VLOOKUP(B32,Annuaire_roster!B:I,6,0),"-")</f>
        <v>Forfaitaire</v>
      </c>
      <c r="AB32" s="142" t="str">
        <f t="shared" si="12"/>
        <v/>
      </c>
      <c r="AC32" s="142" t="str">
        <f t="shared" si="13"/>
        <v/>
      </c>
      <c r="AD32" s="142" t="str">
        <f t="shared" si="14"/>
        <v/>
      </c>
      <c r="AE32" s="143" t="str">
        <f t="shared" si="15"/>
        <v/>
      </c>
      <c r="AF32" s="63"/>
      <c r="AG32" s="142"/>
    </row>
    <row r="33" spans="1:33" hidden="1" x14ac:dyDescent="0.2">
      <c r="A33" s="70">
        <f>VLOOKUP(B33,Annuaire_roster!B:F,5,0)</f>
        <v>1170</v>
      </c>
      <c r="B33" s="166" t="s">
        <v>106</v>
      </c>
      <c r="C33" s="61"/>
      <c r="D33" s="61" t="str">
        <f t="array" ref="D33">IFERROR(INDEX(Planning2[],MATCH(1,(Planning2[Nom]=B33)*(Planning2[Date]=Q33),0),3),"-")</f>
        <v>OFF</v>
      </c>
      <c r="E33" s="38"/>
      <c r="F33" s="38" t="str">
        <f t="array" ref="F33">IFERROR(INDEX(Planning2[],MATCH(1,(Planning2[Nom]=B33)*(Planning2[Date]=Q33),0),4),"-")</f>
        <v>OFF</v>
      </c>
      <c r="G33" s="88"/>
      <c r="H33" s="88"/>
      <c r="I33" s="209" t="str">
        <f t="shared" si="0"/>
        <v/>
      </c>
      <c r="J33" s="88"/>
      <c r="K33" s="89">
        <f t="shared" si="1"/>
        <v>0</v>
      </c>
      <c r="L33" s="88">
        <f t="shared" si="2"/>
        <v>0</v>
      </c>
      <c r="M33" s="62">
        <f t="shared" si="3"/>
        <v>0</v>
      </c>
      <c r="N33" s="102" t="str">
        <f t="shared" si="4"/>
        <v/>
      </c>
      <c r="O33" s="90">
        <f t="shared" si="5"/>
        <v>0</v>
      </c>
      <c r="P33" s="91" t="str">
        <f>IFERROR(VLOOKUP($B33,Annuaire_roster!$B:$G,MATCH(P$1,Annuaire_roster!$B$1:$G$1,0),0),"-")</f>
        <v>Google Leads</v>
      </c>
      <c r="Q33" s="100">
        <v>44717</v>
      </c>
      <c r="R33" s="10">
        <f t="shared" si="6"/>
        <v>0</v>
      </c>
      <c r="S33" s="10">
        <f t="shared" si="7"/>
        <v>0</v>
      </c>
      <c r="T33" s="16" t="str">
        <f t="shared" si="8"/>
        <v>Sem - 23</v>
      </c>
      <c r="U33" s="16" t="str">
        <f t="shared" si="9"/>
        <v>Juin</v>
      </c>
      <c r="V33" s="11" t="str">
        <f t="shared" si="10"/>
        <v>2026</v>
      </c>
      <c r="W33" s="9"/>
      <c r="X33" s="5">
        <f t="shared" si="11"/>
        <v>0</v>
      </c>
      <c r="Y33" s="12" t="str">
        <f>IFERROR(VLOOKUP(B33,Annuaire_roster!B:E,4,0),"-")</f>
        <v>CHOUIFI Mustapha</v>
      </c>
      <c r="Z33" s="12" t="str">
        <f>IFERROR(VLOOKUP(B33,Annuaire_roster!B:F,3,0),"-")</f>
        <v>Google Leads</v>
      </c>
      <c r="AA33" s="12" t="str">
        <f>IFERROR(VLOOKUP(B33,Annuaire_roster!B:I,6,0),"-")</f>
        <v>Forfaitaire</v>
      </c>
      <c r="AB33" s="142" t="str">
        <f t="shared" si="12"/>
        <v/>
      </c>
      <c r="AC33" s="142" t="str">
        <f t="shared" si="13"/>
        <v/>
      </c>
      <c r="AD33" s="142" t="str">
        <f t="shared" si="14"/>
        <v/>
      </c>
      <c r="AE33" s="143" t="str">
        <f t="shared" si="15"/>
        <v/>
      </c>
      <c r="AF33" s="63"/>
      <c r="AG33" s="10"/>
    </row>
    <row r="34" spans="1:33" hidden="1" x14ac:dyDescent="0.2">
      <c r="A34" s="211">
        <f>VLOOKUP(B34,Annuaire_roster!B:F,5,0)</f>
        <v>742</v>
      </c>
      <c r="B34" s="166" t="s">
        <v>76</v>
      </c>
      <c r="C34" s="61">
        <v>0.29166666666666669</v>
      </c>
      <c r="D34" s="61">
        <f t="array" ref="D34">IFERROR(INDEX(Planning2[],MATCH(1,(Planning2[Nom]=B34)*(Planning2[Date]=Q34),0),3),"-")</f>
        <v>0.29166666666666669</v>
      </c>
      <c r="E34" s="38">
        <v>0.70833333333333337</v>
      </c>
      <c r="F34" s="38">
        <f t="array" ref="F34">IFERROR(INDEX(Planning2[],MATCH(1,(Planning2[Nom]=B34)*(Planning2[Date]=Q34),0),4),"-")</f>
        <v>0.70833333333333337</v>
      </c>
      <c r="G34" s="88"/>
      <c r="H34" s="88"/>
      <c r="I34" s="209" t="str">
        <f t="shared" ref="I34:I65" si="16">IF(IF(OR(C34="",D34="Congé",D34="OFF",D34="Congé spécial"),"",IF(D34&gt;F34,D34-C34,IF(C34-D34&lt;0,0,C34-D34)))&lt;0.00068287037037037,"",IF(OR(D34="Congé",D34="OFF",C34="",D34="Congé spécial"),"",IF(D34&gt;F34,D34-C34,IF(C34-D34&lt;0,0,C34-D34))))</f>
        <v/>
      </c>
      <c r="J34" s="88"/>
      <c r="K34" s="89">
        <f t="shared" ref="K34:K61" si="17">IF(SUM(H34:J34)&lt;0.00068287037037037,0,SUM(H34:J34))</f>
        <v>0</v>
      </c>
      <c r="L34" s="88">
        <f t="shared" ref="L34:L65" si="18">IF(OR(F34="Congé",F34="OFF",M34="Abs",F34="Congé sans solde",F34="Férié",F34="Congé spécial",D34="Congé spécial"),0,IF(F34-E34&lt;0,0,IF(F34-E34&lt;=0.00068287037037037,0,F34-E34)))</f>
        <v>0</v>
      </c>
      <c r="M34" s="62">
        <f t="shared" ref="M34:M65" si="19">IF(AND(O34&lt;&gt;0,C34=""),"Abs",0)</f>
        <v>0</v>
      </c>
      <c r="N34" s="212">
        <f t="shared" ref="N34:N65" si="20">IFERROR(IF(OR(D34="OFF",D34="Congé",M34="Abs",D34="Congé sans solde",D34="Férié"),"",IF(O34-K34-L34&gt;O34,O34,IF(O34-K34-L34&lt;0,"",O34-K34-L34))),"")</f>
        <v>0.375</v>
      </c>
      <c r="O34" s="90">
        <f t="shared" ref="O34:O65" si="21">IF(AG34="2H Pause déjeuner",IF(F34-D34-0.0833333333333333&lt;0,F34-D34-0.0833333333333333+1,F34-D34-0.0833333333333333),IF(OR(AND(F34="OFF",D34="OFF"),AND(F34="Congé",D34="Congé"),AND(F34="Congé sans solde",D34="Congé sans solde"),AND(F34="Congé spécial",D34="Congé spécial"),AND(F34="Férié",D34="Férié"),AND(F34="OFF",D34="Congé"),AND(F34="OFF",D34="Congé sans solde"),AND(F34="OFF",D34="Congé spécial"),AND(F34="OFF",D34="Férié"),AND(F34="Congé",D34="OFF"),AND(F34="Congé",D34="Congé sans solde"),AND(F34="Congé",D34="Congé spécial"),AND(F34="Congé",D34="Férié"),AND(F34="Congé sans solde",D34="OFF"),AND(F34="Congé sans solde",D34="Congé"),AND(F34="Congé sans solde",D34="Congé spécial"),AND(F34="Congé sans solde",D34="Férié"),AND(F34="Congé spécial",D34="OFF"),AND(F34="Congé spécial",D34="Congé"),AND(F34="Congé spécial",D34="Congé sans solde"),AND(F34="Congé spécial",D34="Férié"),AND(F34="Férié",D34="OFF"),AND(F34="Férié",D34="Congé"),AND(F34="Férié",D34="Congé sans solde"),AND(F34="Férié",D34="Congé spécial")),0,IF(OR(F34="OFF",F34="Congé",F34="Congé spécial",F34="Congé sans solde",D34="OFF",D34="Congé",D34="Congé spécial",D34="Congé sans solde"),0.208333333333334,IF(AND(AG34="",F34-D34&lt;0),("24:00:00"-D34)+("00:00:00"+F34)-0.0416666666666667,IF(AND(OR(AG34="Allaitement",AG34="Sans déjeuner"),F34-D34&lt;0),("24:00:00"-D34)+("00:00:00"+F34),IF(AND(AG34="",F34-D34&gt;0.166666666666667),F34-D34-0.0416666666666667,IF(AND(OR(AG34="Allaitement",AG34="Sans déjeuner"),F34-D34&gt;0.166666666666667),F34-D34,F34-D34)))))))</f>
        <v>0.375</v>
      </c>
      <c r="P34" s="91" t="str">
        <f>IFERROR(VLOOKUP($B34,Annuaire_roster!$B:$G,MATCH(P$1,Annuaire_roster!$B$1:$G$1,0),0),"-")</f>
        <v>Google Leads</v>
      </c>
      <c r="Q34" s="213">
        <v>44718</v>
      </c>
      <c r="R34" s="142">
        <f t="shared" ref="R34:R65" si="22">IF(M34="Abs",O34,0)</f>
        <v>0</v>
      </c>
      <c r="S34" s="142">
        <f t="shared" ref="S34:S65" si="23">SUM(R34,L34,I34,J34,W34,H34)</f>
        <v>0</v>
      </c>
      <c r="T34" s="16" t="str">
        <f t="shared" ref="T34:T65" si="24">"Sem - "&amp;WEEKNUM(Q34,21)</f>
        <v>Sem - 23</v>
      </c>
      <c r="U34" s="16" t="str">
        <f t="shared" ref="U34:U65" si="25">PROPER(TEXT(Q34,"mmmm"))</f>
        <v>Juin</v>
      </c>
      <c r="V34" s="214" t="str">
        <f t="shared" ref="V34:V65" si="26">+TEXT(Q34,"aaa")</f>
        <v>2026</v>
      </c>
      <c r="W34" s="212"/>
      <c r="X34" s="215">
        <f t="shared" ref="X34:X65" si="27">IFERROR(IF(M34="Abs",0,IF((D34-C34+E34-F34)&lt;0.000694444444444444,0,(D34-C34+E34-F34))),0)</f>
        <v>0</v>
      </c>
      <c r="Y34" s="216" t="str">
        <f>IFERROR(VLOOKUP(B34,Annuaire_roster!B:E,4,0),"-")</f>
        <v>OUAQERROUCH Nour-El Houda</v>
      </c>
      <c r="Z34" s="216" t="str">
        <f>IFERROR(VLOOKUP(B34,Annuaire_roster!B:F,3,0),"-")</f>
        <v>Google Leads</v>
      </c>
      <c r="AA34" s="216" t="str">
        <f>IFERROR(VLOOKUP(B34,Annuaire_roster!B:I,6,0),"-")</f>
        <v>Forfaitaire</v>
      </c>
      <c r="AB34" s="142" t="str">
        <f t="shared" ref="AB34:AB65" si="28">IF(AND(D34="Congé",F34="Congé"),0.333333333333333,IF(OR(AND(D34="Congé",F34&lt;&gt;"Congé"),(AND(F34="Congé",D34&lt;&gt;"Congé"))),0.166666666666667,""))</f>
        <v/>
      </c>
      <c r="AC34" s="142" t="str">
        <f t="shared" ref="AC34:AC65" si="29">IF(AND(D34="Congé sans solde",F34="Congé sans solde"),0.333333333333333,IF(OR(AND(D34="Congé sans solde",F34&lt;&gt;"Congé sans solde"),(AND(F34="Congé sans solde",D34&lt;&gt;"Congé sans solde"))),0.166666666666667,""))</f>
        <v/>
      </c>
      <c r="AD34" s="142" t="str">
        <f t="shared" ref="AD34:AD65" si="30">IF(AND(D34="Congé spécial",F34="Congé spécial"),0.333333333333333,IF(OR(AND(D34="Congé spécial",F34&lt;&gt;"Congé décès"),(AND(F34="Congé spécial",D34&lt;&gt;"Congé spécial"))),0.166666666666667,""))</f>
        <v/>
      </c>
      <c r="AE34" s="217" t="str">
        <f t="shared" ref="AE34:AE65" si="31">IF(AND(D34="Férié",F34="Férié"),0.333333333333333,IF(OR(AND(D34="Férié",F34&lt;&gt;"Férié"),(AND(F34="Férié",D34&lt;&gt;"Férié"))),0.166666666666667,""))</f>
        <v/>
      </c>
      <c r="AF34" s="218"/>
      <c r="AG34" s="142"/>
    </row>
    <row r="35" spans="1:33" hidden="1" x14ac:dyDescent="0.2">
      <c r="A35" s="70">
        <f>VLOOKUP(B35,Annuaire_roster!B:F,5,0)</f>
        <v>1007</v>
      </c>
      <c r="B35" s="219" t="s">
        <v>89</v>
      </c>
      <c r="C35" s="61">
        <v>0.32013888888888886</v>
      </c>
      <c r="D35" s="61">
        <f t="array" ref="D35">IFERROR(INDEX(Planning2[],MATCH(1,(Planning2[Nom]=B35)*(Planning2[Date]=Q35),0),3),"-")</f>
        <v>0.29166666666666669</v>
      </c>
      <c r="E35" s="38">
        <v>0.70833333333333337</v>
      </c>
      <c r="F35" s="38">
        <f t="array" ref="F35">IFERROR(INDEX(Planning2[],MATCH(1,(Planning2[Nom]=B35)*(Planning2[Date]=Q35),0),4),"-")</f>
        <v>0.70833333333333337</v>
      </c>
      <c r="G35" s="88"/>
      <c r="H35" s="88"/>
      <c r="I35" s="209">
        <f t="shared" si="16"/>
        <v>2.8472222222222177E-2</v>
      </c>
      <c r="J35" s="88"/>
      <c r="K35" s="89">
        <f t="shared" si="17"/>
        <v>2.8472222222222177E-2</v>
      </c>
      <c r="L35" s="88">
        <f t="shared" si="18"/>
        <v>0</v>
      </c>
      <c r="M35" s="62">
        <f t="shared" si="19"/>
        <v>0</v>
      </c>
      <c r="N35" s="102">
        <f t="shared" si="20"/>
        <v>0.34652777777777782</v>
      </c>
      <c r="O35" s="90">
        <f t="shared" si="21"/>
        <v>0.375</v>
      </c>
      <c r="P35" s="91" t="str">
        <f>IFERROR(VLOOKUP($B35,Annuaire_roster!$B:$G,MATCH(P$1,Annuaire_roster!$B$1:$G$1,0),0),"-")</f>
        <v>Google Leads</v>
      </c>
      <c r="Q35" s="100">
        <v>44718</v>
      </c>
      <c r="R35" s="10">
        <f t="shared" si="22"/>
        <v>0</v>
      </c>
      <c r="S35" s="10">
        <f t="shared" si="23"/>
        <v>2.8472222222222177E-2</v>
      </c>
      <c r="T35" s="16" t="str">
        <f t="shared" si="24"/>
        <v>Sem - 23</v>
      </c>
      <c r="U35" s="16" t="str">
        <f t="shared" si="25"/>
        <v>Juin</v>
      </c>
      <c r="V35" s="11" t="str">
        <f t="shared" si="26"/>
        <v>2026</v>
      </c>
      <c r="W35" s="9"/>
      <c r="X35" s="5">
        <f t="shared" si="27"/>
        <v>0</v>
      </c>
      <c r="Y35" s="12" t="str">
        <f>IFERROR(VLOOKUP(B35,Annuaire_roster!B:E,4,0),"-")</f>
        <v>OUAQERROUCH Nour-El Houda</v>
      </c>
      <c r="Z35" s="12" t="str">
        <f>IFERROR(VLOOKUP(B35,Annuaire_roster!B:F,3,0),"-")</f>
        <v>Google Leads</v>
      </c>
      <c r="AA35" s="12" t="str">
        <f>IFERROR(VLOOKUP(B35,Annuaire_roster!B:I,6,0),"-")</f>
        <v>Forfaitaire</v>
      </c>
      <c r="AB35" s="142" t="str">
        <f t="shared" si="28"/>
        <v/>
      </c>
      <c r="AC35" s="142" t="str">
        <f t="shared" si="29"/>
        <v/>
      </c>
      <c r="AD35" s="142" t="str">
        <f t="shared" si="30"/>
        <v/>
      </c>
      <c r="AE35" s="143" t="str">
        <f t="shared" si="31"/>
        <v/>
      </c>
      <c r="AF35" s="63"/>
      <c r="AG35" s="10"/>
    </row>
    <row r="36" spans="1:33" hidden="1" x14ac:dyDescent="0.2">
      <c r="A36" s="211">
        <f>VLOOKUP(B36,Annuaire_roster!B:F,5,0)</f>
        <v>1145</v>
      </c>
      <c r="B36" s="166" t="s">
        <v>102</v>
      </c>
      <c r="C36" s="61">
        <v>0.28958333333333336</v>
      </c>
      <c r="D36" s="61">
        <f t="array" ref="D36">IFERROR(INDEX(Planning2[],MATCH(1,(Planning2[Nom]=B36)*(Planning2[Date]=Q36),0),3),"-")</f>
        <v>0.29166666666666669</v>
      </c>
      <c r="E36" s="38">
        <v>0.66666666666666663</v>
      </c>
      <c r="F36" s="38">
        <f t="array" ref="F36">IFERROR(INDEX(Planning2[],MATCH(1,(Planning2[Nom]=B36)*(Planning2[Date]=Q36),0),4),"-")</f>
        <v>0.66666666666666663</v>
      </c>
      <c r="G36" s="88"/>
      <c r="H36" s="88"/>
      <c r="I36" s="209" t="str">
        <f t="shared" si="16"/>
        <v/>
      </c>
      <c r="J36" s="88"/>
      <c r="K36" s="89">
        <f t="shared" si="17"/>
        <v>0</v>
      </c>
      <c r="L36" s="88">
        <f t="shared" si="18"/>
        <v>0</v>
      </c>
      <c r="M36" s="62">
        <f t="shared" si="19"/>
        <v>0</v>
      </c>
      <c r="N36" s="212">
        <f t="shared" si="20"/>
        <v>0.33333333333333326</v>
      </c>
      <c r="O36" s="90">
        <f t="shared" si="21"/>
        <v>0.33333333333333326</v>
      </c>
      <c r="P36" s="91" t="str">
        <f>IFERROR(VLOOKUP($B36,Annuaire_roster!$B:$G,MATCH(P$1,Annuaire_roster!$B$1:$G$1,0),0),"-")</f>
        <v>Google Leads</v>
      </c>
      <c r="Q36" s="213">
        <v>44718</v>
      </c>
      <c r="R36" s="142">
        <f t="shared" si="22"/>
        <v>0</v>
      </c>
      <c r="S36" s="142">
        <f t="shared" si="23"/>
        <v>0</v>
      </c>
      <c r="T36" s="16" t="str">
        <f t="shared" si="24"/>
        <v>Sem - 23</v>
      </c>
      <c r="U36" s="16" t="str">
        <f t="shared" si="25"/>
        <v>Juin</v>
      </c>
      <c r="V36" s="214" t="str">
        <f t="shared" si="26"/>
        <v>2026</v>
      </c>
      <c r="W36" s="212"/>
      <c r="X36" s="215">
        <f t="shared" si="27"/>
        <v>2.0833333333333259E-3</v>
      </c>
      <c r="Y36" s="216" t="str">
        <f>IFERROR(VLOOKUP(B36,Annuaire_roster!B:E,4,0),"-")</f>
        <v>CHOUIFI Mustapha</v>
      </c>
      <c r="Z36" s="216" t="str">
        <f>IFERROR(VLOOKUP(B36,Annuaire_roster!B:F,3,0),"-")</f>
        <v>Google Leads</v>
      </c>
      <c r="AA36" s="216" t="str">
        <f>IFERROR(VLOOKUP(B36,Annuaire_roster!B:I,6,0),"-")</f>
        <v>Forfaitaire</v>
      </c>
      <c r="AB36" s="142" t="str">
        <f t="shared" si="28"/>
        <v/>
      </c>
      <c r="AC36" s="142" t="str">
        <f t="shared" si="29"/>
        <v/>
      </c>
      <c r="AD36" s="142" t="str">
        <f t="shared" si="30"/>
        <v/>
      </c>
      <c r="AE36" s="217" t="str">
        <f t="shared" si="31"/>
        <v/>
      </c>
      <c r="AF36" s="63"/>
      <c r="AG36" s="142"/>
    </row>
    <row r="37" spans="1:33" hidden="1" x14ac:dyDescent="0.2">
      <c r="A37" s="211">
        <f>VLOOKUP(B37,Annuaire_roster!B:F,5,0)</f>
        <v>0</v>
      </c>
      <c r="B37" s="219" t="s">
        <v>196</v>
      </c>
      <c r="C37" s="61">
        <v>0.56874999999999998</v>
      </c>
      <c r="D37" s="61">
        <f t="array" ref="D37">IFERROR(INDEX(Planning2[],MATCH(1,(Planning2[Nom]=B37)*(Planning2[Date]=Q37),0),3),"-")</f>
        <v>0.29166666666666669</v>
      </c>
      <c r="E37" s="38">
        <v>0.70833333333333337</v>
      </c>
      <c r="F37" s="38">
        <f t="array" ref="F37">IFERROR(INDEX(Planning2[],MATCH(1,(Planning2[Nom]=B37)*(Planning2[Date]=Q37),0),4),"-")</f>
        <v>0.70833333333333337</v>
      </c>
      <c r="G37" s="88"/>
      <c r="H37" s="88"/>
      <c r="I37" s="209">
        <v>0.23541666666666666</v>
      </c>
      <c r="J37" s="88"/>
      <c r="K37" s="89">
        <f t="shared" si="17"/>
        <v>0.23541666666666666</v>
      </c>
      <c r="L37" s="88">
        <f t="shared" si="18"/>
        <v>0</v>
      </c>
      <c r="M37" s="62">
        <f t="shared" si="19"/>
        <v>0</v>
      </c>
      <c r="N37" s="212">
        <f t="shared" si="20"/>
        <v>0.13958333333333334</v>
      </c>
      <c r="O37" s="90">
        <f t="shared" si="21"/>
        <v>0.375</v>
      </c>
      <c r="P37" s="91" t="str">
        <f>IFERROR(VLOOKUP($B37,Annuaire_roster!$B:$G,MATCH(P$1,Annuaire_roster!$B$1:$G$1,0),0),"-")</f>
        <v>Google Leads</v>
      </c>
      <c r="Q37" s="213">
        <v>44718</v>
      </c>
      <c r="R37" s="142">
        <f t="shared" si="22"/>
        <v>0</v>
      </c>
      <c r="S37" s="142">
        <f t="shared" si="23"/>
        <v>0.23541666666666666</v>
      </c>
      <c r="T37" s="16" t="str">
        <f t="shared" si="24"/>
        <v>Sem - 23</v>
      </c>
      <c r="U37" s="16" t="str">
        <f t="shared" si="25"/>
        <v>Juin</v>
      </c>
      <c r="V37" s="214" t="str">
        <f t="shared" si="26"/>
        <v>2026</v>
      </c>
      <c r="W37" s="212"/>
      <c r="X37" s="215">
        <f t="shared" si="27"/>
        <v>0</v>
      </c>
      <c r="Y37" s="216">
        <f>IFERROR(VLOOKUP(B37,Annuaire_roster!B:E,4,0),"-")</f>
        <v>0</v>
      </c>
      <c r="Z37" s="216" t="str">
        <f>IFERROR(VLOOKUP(B37,Annuaire_roster!B:F,3,0),"-")</f>
        <v>Google Leads</v>
      </c>
      <c r="AA37" s="216">
        <f>IFERROR(VLOOKUP(B37,Annuaire_roster!B:I,6,0),"-")</f>
        <v>0</v>
      </c>
      <c r="AB37" s="142" t="str">
        <f t="shared" si="28"/>
        <v/>
      </c>
      <c r="AC37" s="142" t="str">
        <f t="shared" si="29"/>
        <v/>
      </c>
      <c r="AD37" s="142" t="str">
        <f t="shared" si="30"/>
        <v/>
      </c>
      <c r="AE37" s="217" t="str">
        <f t="shared" si="31"/>
        <v/>
      </c>
      <c r="AF37" s="218"/>
      <c r="AG37" s="142"/>
    </row>
    <row r="38" spans="1:33" hidden="1" x14ac:dyDescent="0.2">
      <c r="A38" s="70">
        <f>VLOOKUP(B38,Annuaire_roster!B:F,5,0)</f>
        <v>0</v>
      </c>
      <c r="B38" s="166" t="s">
        <v>198</v>
      </c>
      <c r="C38" s="61">
        <v>0.28958333333333336</v>
      </c>
      <c r="D38" s="61">
        <f t="array" ref="D38">IFERROR(INDEX(Planning2[],MATCH(1,(Planning2[Nom]=B38)*(Planning2[Date]=Q38),0),3),"-")</f>
        <v>0.29166666666666669</v>
      </c>
      <c r="E38" s="38">
        <v>0.66666666666666663</v>
      </c>
      <c r="F38" s="38">
        <f t="array" ref="F38">IFERROR(INDEX(Planning2[],MATCH(1,(Planning2[Nom]=B38)*(Planning2[Date]=Q38),0),4),"-")</f>
        <v>0.66666666666666663</v>
      </c>
      <c r="G38" s="88"/>
      <c r="H38" s="88"/>
      <c r="I38" s="209" t="str">
        <f t="shared" si="16"/>
        <v/>
      </c>
      <c r="J38" s="88"/>
      <c r="K38" s="89">
        <f t="shared" si="17"/>
        <v>0</v>
      </c>
      <c r="L38" s="88">
        <f t="shared" si="18"/>
        <v>0</v>
      </c>
      <c r="M38" s="62">
        <f t="shared" si="19"/>
        <v>0</v>
      </c>
      <c r="N38" s="102">
        <f t="shared" si="20"/>
        <v>0.33333333333333326</v>
      </c>
      <c r="O38" s="90">
        <f t="shared" si="21"/>
        <v>0.33333333333333326</v>
      </c>
      <c r="P38" s="91" t="str">
        <f>IFERROR(VLOOKUP($B38,Annuaire_roster!$B:$G,MATCH(P$1,Annuaire_roster!$B$1:$G$1,0),0),"-")</f>
        <v>Google Leads</v>
      </c>
      <c r="Q38" s="100">
        <v>44718</v>
      </c>
      <c r="R38" s="10">
        <f t="shared" si="22"/>
        <v>0</v>
      </c>
      <c r="S38" s="10">
        <f t="shared" si="23"/>
        <v>0</v>
      </c>
      <c r="T38" s="16" t="str">
        <f t="shared" si="24"/>
        <v>Sem - 23</v>
      </c>
      <c r="U38" s="16" t="str">
        <f t="shared" si="25"/>
        <v>Juin</v>
      </c>
      <c r="V38" s="11" t="str">
        <f t="shared" si="26"/>
        <v>2026</v>
      </c>
      <c r="W38" s="9"/>
      <c r="X38" s="5">
        <f t="shared" si="27"/>
        <v>2.0833333333333259E-3</v>
      </c>
      <c r="Y38" s="12">
        <f>IFERROR(VLOOKUP(B38,Annuaire_roster!B:E,4,0),"-")</f>
        <v>0</v>
      </c>
      <c r="Z38" s="12" t="str">
        <f>IFERROR(VLOOKUP(B38,Annuaire_roster!B:F,3,0),"-")</f>
        <v>Google Leads</v>
      </c>
      <c r="AA38" s="12">
        <f>IFERROR(VLOOKUP(B38,Annuaire_roster!B:I,6,0),"-")</f>
        <v>0</v>
      </c>
      <c r="AB38" s="142" t="str">
        <f t="shared" si="28"/>
        <v/>
      </c>
      <c r="AC38" s="142" t="str">
        <f t="shared" si="29"/>
        <v/>
      </c>
      <c r="AD38" s="142" t="str">
        <f t="shared" si="30"/>
        <v/>
      </c>
      <c r="AE38" s="143" t="str">
        <f t="shared" si="31"/>
        <v/>
      </c>
      <c r="AF38" s="63"/>
      <c r="AG38" s="10"/>
    </row>
    <row r="39" spans="1:33" hidden="1" x14ac:dyDescent="0.2">
      <c r="A39" s="70">
        <f>VLOOKUP(B39,Annuaire_roster!B:F,5,0)</f>
        <v>0</v>
      </c>
      <c r="B39" s="166" t="s">
        <v>210</v>
      </c>
      <c r="C39" s="61">
        <v>0.29166666666666669</v>
      </c>
      <c r="D39" s="61">
        <f t="array" ref="D39">IFERROR(INDEX(Planning2[],MATCH(1,(Planning2[Nom]=B39)*(Planning2[Date]=Q39),0),3),"-")</f>
        <v>0.29166666666666669</v>
      </c>
      <c r="E39" s="38">
        <v>0.70833333333333337</v>
      </c>
      <c r="F39" s="38">
        <f t="array" ref="F39">IFERROR(INDEX(Planning2[],MATCH(1,(Planning2[Nom]=B39)*(Planning2[Date]=Q39),0),4),"-")</f>
        <v>0.70833333333333337</v>
      </c>
      <c r="G39" s="88"/>
      <c r="H39" s="88"/>
      <c r="I39" s="209" t="str">
        <f t="shared" si="16"/>
        <v/>
      </c>
      <c r="J39" s="88"/>
      <c r="K39" s="89">
        <f t="shared" si="17"/>
        <v>0</v>
      </c>
      <c r="L39" s="88">
        <f t="shared" si="18"/>
        <v>0</v>
      </c>
      <c r="M39" s="62">
        <f t="shared" si="19"/>
        <v>0</v>
      </c>
      <c r="N39" s="102">
        <f t="shared" si="20"/>
        <v>0.375</v>
      </c>
      <c r="O39" s="90">
        <f t="shared" si="21"/>
        <v>0.375</v>
      </c>
      <c r="P39" s="91" t="str">
        <f>IFERROR(VLOOKUP($B39,Annuaire_roster!$B:$G,MATCH(P$1,Annuaire_roster!$B$1:$G$1,0),0),"-")</f>
        <v>Google Leads</v>
      </c>
      <c r="Q39" s="100">
        <v>44718</v>
      </c>
      <c r="R39" s="10">
        <f t="shared" si="22"/>
        <v>0</v>
      </c>
      <c r="S39" s="10">
        <f t="shared" si="23"/>
        <v>0</v>
      </c>
      <c r="T39" s="16" t="str">
        <f t="shared" si="24"/>
        <v>Sem - 23</v>
      </c>
      <c r="U39" s="16" t="str">
        <f t="shared" si="25"/>
        <v>Juin</v>
      </c>
      <c r="V39" s="11" t="str">
        <f t="shared" si="26"/>
        <v>2026</v>
      </c>
      <c r="W39" s="9"/>
      <c r="X39" s="5">
        <f t="shared" si="27"/>
        <v>0</v>
      </c>
      <c r="Y39" s="12">
        <f>IFERROR(VLOOKUP(B39,Annuaire_roster!B:E,4,0),"-")</f>
        <v>0</v>
      </c>
      <c r="Z39" s="12" t="str">
        <f>IFERROR(VLOOKUP(B39,Annuaire_roster!B:F,3,0),"-")</f>
        <v>Google Leads</v>
      </c>
      <c r="AA39" s="12">
        <f>IFERROR(VLOOKUP(B39,Annuaire_roster!B:I,6,0),"-")</f>
        <v>0</v>
      </c>
      <c r="AB39" s="142" t="str">
        <f t="shared" si="28"/>
        <v/>
      </c>
      <c r="AC39" s="142" t="str">
        <f t="shared" si="29"/>
        <v/>
      </c>
      <c r="AD39" s="142" t="str">
        <f t="shared" si="30"/>
        <v/>
      </c>
      <c r="AE39" s="143" t="str">
        <f t="shared" si="31"/>
        <v/>
      </c>
      <c r="AF39" s="63"/>
      <c r="AG39" s="10"/>
    </row>
    <row r="40" spans="1:33" hidden="1" x14ac:dyDescent="0.2">
      <c r="A40" s="70">
        <f>VLOOKUP(B40,Annuaire_roster!B:F,5,0)</f>
        <v>0</v>
      </c>
      <c r="B40" s="166" t="s">
        <v>212</v>
      </c>
      <c r="C40" s="61">
        <v>0.29166666666666669</v>
      </c>
      <c r="D40" s="61">
        <f t="array" ref="D40">IFERROR(INDEX(Planning2[],MATCH(1,(Planning2[Nom]=B40)*(Planning2[Date]=Q40),0),3),"-")</f>
        <v>0.29166666666666669</v>
      </c>
      <c r="E40" s="38">
        <v>0.70833333333333337</v>
      </c>
      <c r="F40" s="38">
        <f t="array" ref="F40">IFERROR(INDEX(Planning2[],MATCH(1,(Planning2[Nom]=B40)*(Planning2[Date]=Q40),0),4),"-")</f>
        <v>0.70833333333333337</v>
      </c>
      <c r="G40" s="88"/>
      <c r="H40" s="88"/>
      <c r="I40" s="209" t="str">
        <f t="shared" si="16"/>
        <v/>
      </c>
      <c r="J40" s="88"/>
      <c r="K40" s="89">
        <f t="shared" si="17"/>
        <v>0</v>
      </c>
      <c r="L40" s="88">
        <f t="shared" si="18"/>
        <v>0</v>
      </c>
      <c r="M40" s="62">
        <f t="shared" si="19"/>
        <v>0</v>
      </c>
      <c r="N40" s="102">
        <f t="shared" si="20"/>
        <v>0.375</v>
      </c>
      <c r="O40" s="90">
        <f t="shared" si="21"/>
        <v>0.375</v>
      </c>
      <c r="P40" s="91" t="str">
        <f>IFERROR(VLOOKUP($B40,Annuaire_roster!$B:$G,MATCH(P$1,Annuaire_roster!$B$1:$G$1,0),0),"-")</f>
        <v>Google Leads</v>
      </c>
      <c r="Q40" s="100">
        <v>44718</v>
      </c>
      <c r="R40" s="10">
        <f t="shared" si="22"/>
        <v>0</v>
      </c>
      <c r="S40" s="10">
        <f t="shared" si="23"/>
        <v>0</v>
      </c>
      <c r="T40" s="16" t="str">
        <f t="shared" si="24"/>
        <v>Sem - 23</v>
      </c>
      <c r="U40" s="16" t="str">
        <f t="shared" si="25"/>
        <v>Juin</v>
      </c>
      <c r="V40" s="11" t="str">
        <f t="shared" si="26"/>
        <v>2026</v>
      </c>
      <c r="W40" s="9"/>
      <c r="X40" s="5">
        <f t="shared" si="27"/>
        <v>0</v>
      </c>
      <c r="Y40" s="12">
        <f>IFERROR(VLOOKUP(B40,Annuaire_roster!B:E,4,0),"-")</f>
        <v>0</v>
      </c>
      <c r="Z40" s="12" t="str">
        <f>IFERROR(VLOOKUP(B40,Annuaire_roster!B:F,3,0),"-")</f>
        <v>Google Leads</v>
      </c>
      <c r="AA40" s="12">
        <f>IFERROR(VLOOKUP(B40,Annuaire_roster!B:I,6,0),"-")</f>
        <v>0</v>
      </c>
      <c r="AB40" s="142" t="str">
        <f t="shared" si="28"/>
        <v/>
      </c>
      <c r="AC40" s="142" t="str">
        <f t="shared" si="29"/>
        <v/>
      </c>
      <c r="AD40" s="142" t="str">
        <f t="shared" si="30"/>
        <v/>
      </c>
      <c r="AE40" s="143" t="str">
        <f t="shared" si="31"/>
        <v/>
      </c>
      <c r="AF40" s="63"/>
      <c r="AG40" s="10"/>
    </row>
    <row r="41" spans="1:33" hidden="1" x14ac:dyDescent="0.2">
      <c r="A41" s="70">
        <f>VLOOKUP(B41,Annuaire_roster!B:F,5,0)</f>
        <v>669</v>
      </c>
      <c r="B41" s="166" t="s">
        <v>45</v>
      </c>
      <c r="C41" s="61">
        <v>0.2902777777777778</v>
      </c>
      <c r="D41" s="61">
        <f t="array" ref="D41">IFERROR(INDEX(Planning2[],MATCH(1,(Planning2[Nom]=B41)*(Planning2[Date]=Q41),0),3),"-")</f>
        <v>0.29166666666666669</v>
      </c>
      <c r="E41" s="38">
        <v>0.70833333333333337</v>
      </c>
      <c r="F41" s="38">
        <f t="array" ref="F41">IFERROR(INDEX(Planning2[],MATCH(1,(Planning2[Nom]=B41)*(Planning2[Date]=Q41),0),4),"-")</f>
        <v>0.70833333333333337</v>
      </c>
      <c r="G41" s="88"/>
      <c r="H41" s="88"/>
      <c r="I41" s="209" t="str">
        <f t="shared" si="16"/>
        <v/>
      </c>
      <c r="J41" s="88"/>
      <c r="K41" s="89">
        <f t="shared" si="17"/>
        <v>0</v>
      </c>
      <c r="L41" s="88">
        <f t="shared" si="18"/>
        <v>0</v>
      </c>
      <c r="M41" s="62">
        <f t="shared" si="19"/>
        <v>0</v>
      </c>
      <c r="N41" s="102">
        <f t="shared" si="20"/>
        <v>0.375</v>
      </c>
      <c r="O41" s="90">
        <f t="shared" si="21"/>
        <v>0.375</v>
      </c>
      <c r="P41" s="91" t="str">
        <f>IFERROR(VLOOKUP($B41,Annuaire_roster!$B:$G,MATCH(P$1,Annuaire_roster!$B$1:$G$1,0),0),"-")</f>
        <v>Google Leads</v>
      </c>
      <c r="Q41" s="100">
        <v>44718</v>
      </c>
      <c r="R41" s="10">
        <f t="shared" si="22"/>
        <v>0</v>
      </c>
      <c r="S41" s="10">
        <f t="shared" si="23"/>
        <v>0</v>
      </c>
      <c r="T41" s="16" t="str">
        <f t="shared" si="24"/>
        <v>Sem - 23</v>
      </c>
      <c r="U41" s="16" t="str">
        <f t="shared" si="25"/>
        <v>Juin</v>
      </c>
      <c r="V41" s="11" t="str">
        <f t="shared" si="26"/>
        <v>2026</v>
      </c>
      <c r="W41" s="9"/>
      <c r="X41" s="5">
        <f t="shared" si="27"/>
        <v>1.388888888888884E-3</v>
      </c>
      <c r="Y41" s="12" t="str">
        <f>IFERROR(VLOOKUP(B41,Annuaire_roster!B:E,4,0),"-")</f>
        <v>CHOUIFI Mustapha</v>
      </c>
      <c r="Z41" s="12" t="str">
        <f>IFERROR(VLOOKUP(B41,Annuaire_roster!B:F,3,0),"-")</f>
        <v>Google Leads</v>
      </c>
      <c r="AA41" s="12" t="str">
        <f>IFERROR(VLOOKUP(B41,Annuaire_roster!B:I,6,0),"-")</f>
        <v>Forfaitaire</v>
      </c>
      <c r="AB41" s="142" t="str">
        <f t="shared" si="28"/>
        <v/>
      </c>
      <c r="AC41" s="142" t="str">
        <f t="shared" si="29"/>
        <v/>
      </c>
      <c r="AD41" s="142" t="str">
        <f t="shared" si="30"/>
        <v/>
      </c>
      <c r="AE41" s="143" t="str">
        <f t="shared" si="31"/>
        <v/>
      </c>
      <c r="AF41" s="63"/>
      <c r="AG41" s="10"/>
    </row>
    <row r="42" spans="1:33" hidden="1" x14ac:dyDescent="0.2">
      <c r="A42" s="70">
        <f>VLOOKUP(B42,Annuaire_roster!B:F,5,0)</f>
        <v>0</v>
      </c>
      <c r="B42" s="166" t="s">
        <v>216</v>
      </c>
      <c r="C42" s="61">
        <v>0.2902777777777778</v>
      </c>
      <c r="D42" s="61">
        <f t="array" ref="D42">IFERROR(INDEX(Planning2[],MATCH(1,(Planning2[Nom]=B42)*(Planning2[Date]=Q42),0),3),"-")</f>
        <v>0.29166666666666669</v>
      </c>
      <c r="E42" s="38">
        <v>0.70833333333333337</v>
      </c>
      <c r="F42" s="38">
        <f t="array" ref="F42">IFERROR(INDEX(Planning2[],MATCH(1,(Planning2[Nom]=B42)*(Planning2[Date]=Q42),0),4),"-")</f>
        <v>0.70833333333333337</v>
      </c>
      <c r="G42" s="88"/>
      <c r="H42" s="88"/>
      <c r="I42" s="209" t="str">
        <f t="shared" si="16"/>
        <v/>
      </c>
      <c r="J42" s="88"/>
      <c r="K42" s="89">
        <f t="shared" si="17"/>
        <v>0</v>
      </c>
      <c r="L42" s="88">
        <f t="shared" si="18"/>
        <v>0</v>
      </c>
      <c r="M42" s="62">
        <f t="shared" si="19"/>
        <v>0</v>
      </c>
      <c r="N42" s="102">
        <f t="shared" si="20"/>
        <v>0.375</v>
      </c>
      <c r="O42" s="90">
        <f t="shared" si="21"/>
        <v>0.375</v>
      </c>
      <c r="P42" s="91" t="str">
        <f>IFERROR(VLOOKUP($B42,Annuaire_roster!$B:$G,MATCH(P$1,Annuaire_roster!$B$1:$G$1,0),0),"-")</f>
        <v>Google Leads</v>
      </c>
      <c r="Q42" s="100">
        <v>44718</v>
      </c>
      <c r="R42" s="10">
        <f t="shared" si="22"/>
        <v>0</v>
      </c>
      <c r="S42" s="10">
        <f t="shared" si="23"/>
        <v>0</v>
      </c>
      <c r="T42" s="16" t="str">
        <f t="shared" si="24"/>
        <v>Sem - 23</v>
      </c>
      <c r="U42" s="16" t="str">
        <f t="shared" si="25"/>
        <v>Juin</v>
      </c>
      <c r="V42" s="11" t="str">
        <f t="shared" si="26"/>
        <v>2026</v>
      </c>
      <c r="W42" s="9"/>
      <c r="X42" s="5">
        <f t="shared" si="27"/>
        <v>1.388888888888884E-3</v>
      </c>
      <c r="Y42" s="12">
        <f>IFERROR(VLOOKUP(B42,Annuaire_roster!B:E,4,0),"-")</f>
        <v>0</v>
      </c>
      <c r="Z42" s="12" t="str">
        <f>IFERROR(VLOOKUP(B42,Annuaire_roster!B:F,3,0),"-")</f>
        <v>Google Leads</v>
      </c>
      <c r="AA42" s="12">
        <f>IFERROR(VLOOKUP(B42,Annuaire_roster!B:I,6,0),"-")</f>
        <v>0</v>
      </c>
      <c r="AB42" s="142" t="str">
        <f t="shared" si="28"/>
        <v/>
      </c>
      <c r="AC42" s="142" t="str">
        <f t="shared" si="29"/>
        <v/>
      </c>
      <c r="AD42" s="142" t="str">
        <f t="shared" si="30"/>
        <v/>
      </c>
      <c r="AE42" s="143" t="str">
        <f t="shared" si="31"/>
        <v/>
      </c>
      <c r="AF42" s="63"/>
      <c r="AG42" s="10"/>
    </row>
    <row r="43" spans="1:33" hidden="1" x14ac:dyDescent="0.2">
      <c r="A43" s="211">
        <f>VLOOKUP(B43,Annuaire_roster!B:F,5,0)</f>
        <v>0</v>
      </c>
      <c r="B43" s="166" t="s">
        <v>219</v>
      </c>
      <c r="C43" s="61">
        <v>0.29166666666666669</v>
      </c>
      <c r="D43" s="61">
        <f t="array" ref="D43">IFERROR(INDEX(Planning2[],MATCH(1,(Planning2[Nom]=B43)*(Planning2[Date]=Q43),0),3),"-")</f>
        <v>0.29166666666666669</v>
      </c>
      <c r="E43" s="38">
        <v>0.70833333333333337</v>
      </c>
      <c r="F43" s="38">
        <f t="array" ref="F43">IFERROR(INDEX(Planning2[],MATCH(1,(Planning2[Nom]=B43)*(Planning2[Date]=Q43),0),4),"-")</f>
        <v>0.70833333333333337</v>
      </c>
      <c r="G43" s="88"/>
      <c r="H43" s="88"/>
      <c r="I43" s="209" t="str">
        <f t="shared" si="16"/>
        <v/>
      </c>
      <c r="J43" s="88"/>
      <c r="K43" s="89">
        <f t="shared" si="17"/>
        <v>0</v>
      </c>
      <c r="L43" s="88">
        <f t="shared" si="18"/>
        <v>0</v>
      </c>
      <c r="M43" s="62">
        <f t="shared" si="19"/>
        <v>0</v>
      </c>
      <c r="N43" s="212">
        <f t="shared" si="20"/>
        <v>0.375</v>
      </c>
      <c r="O43" s="90">
        <f t="shared" si="21"/>
        <v>0.375</v>
      </c>
      <c r="P43" s="91" t="str">
        <f>IFERROR(VLOOKUP($B43,Annuaire_roster!$B:$G,MATCH(P$1,Annuaire_roster!$B$1:$G$1,0),0),"-")</f>
        <v>Google Leads</v>
      </c>
      <c r="Q43" s="213">
        <v>44718</v>
      </c>
      <c r="R43" s="142">
        <f t="shared" si="22"/>
        <v>0</v>
      </c>
      <c r="S43" s="142">
        <f t="shared" si="23"/>
        <v>0</v>
      </c>
      <c r="T43" s="16" t="str">
        <f t="shared" si="24"/>
        <v>Sem - 23</v>
      </c>
      <c r="U43" s="16" t="str">
        <f t="shared" si="25"/>
        <v>Juin</v>
      </c>
      <c r="V43" s="214" t="str">
        <f t="shared" si="26"/>
        <v>2026</v>
      </c>
      <c r="W43" s="212"/>
      <c r="X43" s="215">
        <f t="shared" si="27"/>
        <v>0</v>
      </c>
      <c r="Y43" s="216">
        <f>IFERROR(VLOOKUP(B43,Annuaire_roster!B:E,4,0),"-")</f>
        <v>0</v>
      </c>
      <c r="Z43" s="216" t="str">
        <f>IFERROR(VLOOKUP(B43,Annuaire_roster!B:F,3,0),"-")</f>
        <v>Google Leads</v>
      </c>
      <c r="AA43" s="216">
        <f>IFERROR(VLOOKUP(B43,Annuaire_roster!B:I,6,0),"-")</f>
        <v>0</v>
      </c>
      <c r="AB43" s="142" t="str">
        <f t="shared" si="28"/>
        <v/>
      </c>
      <c r="AC43" s="142" t="str">
        <f t="shared" si="29"/>
        <v/>
      </c>
      <c r="AD43" s="142" t="str">
        <f t="shared" si="30"/>
        <v/>
      </c>
      <c r="AE43" s="217" t="str">
        <f t="shared" si="31"/>
        <v/>
      </c>
      <c r="AF43" s="218"/>
      <c r="AG43" s="142"/>
    </row>
    <row r="44" spans="1:33" hidden="1" x14ac:dyDescent="0.2">
      <c r="A44" s="70">
        <f>VLOOKUP(B44,Annuaire_roster!B:F,5,0)</f>
        <v>0</v>
      </c>
      <c r="B44" s="166" t="s">
        <v>220</v>
      </c>
      <c r="C44" s="61">
        <v>0.29166666666666669</v>
      </c>
      <c r="D44" s="61">
        <f t="array" ref="D44">IFERROR(INDEX(Planning2[],MATCH(1,(Planning2[Nom]=B44)*(Planning2[Date]=Q44),0),3),"-")</f>
        <v>0.29166666666666669</v>
      </c>
      <c r="E44" s="38">
        <v>0.70833333333333337</v>
      </c>
      <c r="F44" s="38">
        <f t="array" ref="F44">IFERROR(INDEX(Planning2[],MATCH(1,(Planning2[Nom]=B44)*(Planning2[Date]=Q44),0),4),"-")</f>
        <v>0.70833333333333337</v>
      </c>
      <c r="G44" s="88"/>
      <c r="H44" s="88"/>
      <c r="I44" s="209" t="str">
        <f t="shared" si="16"/>
        <v/>
      </c>
      <c r="J44" s="88"/>
      <c r="K44" s="89">
        <f t="shared" si="17"/>
        <v>0</v>
      </c>
      <c r="L44" s="88">
        <f t="shared" si="18"/>
        <v>0</v>
      </c>
      <c r="M44" s="62">
        <f t="shared" si="19"/>
        <v>0</v>
      </c>
      <c r="N44" s="102">
        <f t="shared" si="20"/>
        <v>0.375</v>
      </c>
      <c r="O44" s="90">
        <f t="shared" si="21"/>
        <v>0.375</v>
      </c>
      <c r="P44" s="91" t="str">
        <f>IFERROR(VLOOKUP($B44,Annuaire_roster!$B:$G,MATCH(P$1,Annuaire_roster!$B$1:$G$1,0),0),"-")</f>
        <v>Google Leads</v>
      </c>
      <c r="Q44" s="100">
        <v>44718</v>
      </c>
      <c r="R44" s="10">
        <f t="shared" si="22"/>
        <v>0</v>
      </c>
      <c r="S44" s="10">
        <f t="shared" si="23"/>
        <v>0</v>
      </c>
      <c r="T44" s="16" t="str">
        <f t="shared" si="24"/>
        <v>Sem - 23</v>
      </c>
      <c r="U44" s="16" t="str">
        <f t="shared" si="25"/>
        <v>Juin</v>
      </c>
      <c r="V44" s="11" t="str">
        <f t="shared" si="26"/>
        <v>2026</v>
      </c>
      <c r="W44" s="9"/>
      <c r="X44" s="5">
        <f t="shared" si="27"/>
        <v>0</v>
      </c>
      <c r="Y44" s="12">
        <f>IFERROR(VLOOKUP(B44,Annuaire_roster!B:E,4,0),"-")</f>
        <v>0</v>
      </c>
      <c r="Z44" s="12" t="str">
        <f>IFERROR(VLOOKUP(B44,Annuaire_roster!B:F,3,0),"-")</f>
        <v>Google Leads</v>
      </c>
      <c r="AA44" s="12">
        <f>IFERROR(VLOOKUP(B44,Annuaire_roster!B:I,6,0),"-")</f>
        <v>0</v>
      </c>
      <c r="AB44" s="142" t="str">
        <f t="shared" si="28"/>
        <v/>
      </c>
      <c r="AC44" s="142" t="str">
        <f t="shared" si="29"/>
        <v/>
      </c>
      <c r="AD44" s="142" t="str">
        <f t="shared" si="30"/>
        <v/>
      </c>
      <c r="AE44" s="143" t="str">
        <f t="shared" si="31"/>
        <v/>
      </c>
      <c r="AF44" s="218"/>
      <c r="AG44" s="10"/>
    </row>
    <row r="45" spans="1:33" hidden="1" x14ac:dyDescent="0.2">
      <c r="A45" s="211">
        <f>VLOOKUP(B45,Annuaire_roster!B:F,5,0)</f>
        <v>0</v>
      </c>
      <c r="B45" s="219" t="s">
        <v>144</v>
      </c>
      <c r="C45" s="61">
        <v>0.34027777777777779</v>
      </c>
      <c r="D45" s="61">
        <f t="array" ref="D45">IFERROR(INDEX(Planning2[],MATCH(1,(Planning2[Nom]=B45)*(Planning2[Date]=Q45),0),3),"-")</f>
        <v>0.29166666666666669</v>
      </c>
      <c r="E45" s="38">
        <v>0.70833333333333337</v>
      </c>
      <c r="F45" s="38">
        <f t="array" ref="F45">IFERROR(INDEX(Planning2[],MATCH(1,(Planning2[Nom]=B45)*(Planning2[Date]=Q45),0),4),"-")</f>
        <v>0.70833333333333337</v>
      </c>
      <c r="G45" s="88"/>
      <c r="H45" s="88"/>
      <c r="I45" s="209">
        <f t="shared" si="16"/>
        <v>4.8611111111111105E-2</v>
      </c>
      <c r="J45" s="88"/>
      <c r="K45" s="89">
        <f t="shared" si="17"/>
        <v>4.8611111111111105E-2</v>
      </c>
      <c r="L45" s="88">
        <f t="shared" si="18"/>
        <v>0</v>
      </c>
      <c r="M45" s="62">
        <f t="shared" si="19"/>
        <v>0</v>
      </c>
      <c r="N45" s="212">
        <f t="shared" si="20"/>
        <v>0.3263888888888889</v>
      </c>
      <c r="O45" s="90">
        <f t="shared" si="21"/>
        <v>0.375</v>
      </c>
      <c r="P45" s="91" t="str">
        <f>IFERROR(VLOOKUP($B45,Annuaire_roster!$B:$G,MATCH(P$1,Annuaire_roster!$B$1:$G$1,0),0),"-")</f>
        <v>Google Leads</v>
      </c>
      <c r="Q45" s="213">
        <v>44718</v>
      </c>
      <c r="R45" s="142">
        <f t="shared" si="22"/>
        <v>0</v>
      </c>
      <c r="S45" s="142">
        <f t="shared" si="23"/>
        <v>4.8611111111111105E-2</v>
      </c>
      <c r="T45" s="16" t="str">
        <f t="shared" si="24"/>
        <v>Sem - 23</v>
      </c>
      <c r="U45" s="16" t="str">
        <f t="shared" si="25"/>
        <v>Juin</v>
      </c>
      <c r="V45" s="214" t="str">
        <f t="shared" si="26"/>
        <v>2026</v>
      </c>
      <c r="W45" s="212"/>
      <c r="X45" s="215">
        <f t="shared" si="27"/>
        <v>0</v>
      </c>
      <c r="Y45" s="216" t="str">
        <f>IFERROR(VLOOKUP(B45,Annuaire_roster!B:E,4,0),"-")</f>
        <v>CHOUIFI Mustapha</v>
      </c>
      <c r="Z45" s="216" t="str">
        <f>IFERROR(VLOOKUP(B45,Annuaire_roster!B:F,3,0),"-")</f>
        <v>Google Leads</v>
      </c>
      <c r="AA45" s="216" t="str">
        <f>IFERROR(VLOOKUP(B45,Annuaire_roster!B:I,6,0),"-")</f>
        <v>Forfaitaire</v>
      </c>
      <c r="AB45" s="142" t="str">
        <f t="shared" si="28"/>
        <v/>
      </c>
      <c r="AC45" s="142" t="str">
        <f t="shared" si="29"/>
        <v/>
      </c>
      <c r="AD45" s="142" t="str">
        <f t="shared" si="30"/>
        <v/>
      </c>
      <c r="AE45" s="217" t="str">
        <f t="shared" si="31"/>
        <v/>
      </c>
      <c r="AF45" s="218"/>
      <c r="AG45" s="142"/>
    </row>
    <row r="46" spans="1:33" hidden="1" x14ac:dyDescent="0.2">
      <c r="A46" s="70">
        <f>VLOOKUP(B46,Annuaire_roster!B:F,5,0)</f>
        <v>364</v>
      </c>
      <c r="B46" s="166" t="s">
        <v>213</v>
      </c>
      <c r="C46" s="61">
        <v>0.41388888888888886</v>
      </c>
      <c r="D46" s="61">
        <f t="array" ref="D46">IFERROR(INDEX(Planning2[],MATCH(1,(Planning2[Nom]=B46)*(Planning2[Date]=Q46),0),3),"-")</f>
        <v>0.41666666666666669</v>
      </c>
      <c r="E46" s="38">
        <v>0.83333333333333337</v>
      </c>
      <c r="F46" s="38">
        <f t="array" ref="F46">IFERROR(INDEX(Planning2[],MATCH(1,(Planning2[Nom]=B46)*(Planning2[Date]=Q46),0),4),"-")</f>
        <v>0.83333333333333337</v>
      </c>
      <c r="G46" s="88"/>
      <c r="H46" s="88"/>
      <c r="I46" s="209" t="str">
        <f t="shared" si="16"/>
        <v/>
      </c>
      <c r="J46" s="88"/>
      <c r="K46" s="89">
        <f t="shared" si="17"/>
        <v>0</v>
      </c>
      <c r="L46" s="88">
        <f t="shared" si="18"/>
        <v>0</v>
      </c>
      <c r="M46" s="62">
        <f t="shared" si="19"/>
        <v>0</v>
      </c>
      <c r="N46" s="102">
        <f t="shared" si="20"/>
        <v>0.375</v>
      </c>
      <c r="O46" s="90">
        <f t="shared" si="21"/>
        <v>0.375</v>
      </c>
      <c r="P46" s="91" t="str">
        <f>IFERROR(VLOOKUP($B46,Annuaire_roster!$B:$G,MATCH(P$1,Annuaire_roster!$B$1:$G$1,0),0),"-")</f>
        <v>Google Leads</v>
      </c>
      <c r="Q46" s="100">
        <v>44718</v>
      </c>
      <c r="R46" s="10">
        <f t="shared" si="22"/>
        <v>0</v>
      </c>
      <c r="S46" s="10">
        <f t="shared" si="23"/>
        <v>0</v>
      </c>
      <c r="T46" s="16" t="str">
        <f t="shared" si="24"/>
        <v>Sem - 23</v>
      </c>
      <c r="U46" s="16" t="str">
        <f t="shared" si="25"/>
        <v>Juin</v>
      </c>
      <c r="V46" s="11" t="str">
        <f t="shared" si="26"/>
        <v>2026</v>
      </c>
      <c r="W46" s="9"/>
      <c r="X46" s="5">
        <f t="shared" si="27"/>
        <v>2.7777777777778789E-3</v>
      </c>
      <c r="Y46" s="12" t="str">
        <f>IFERROR(VLOOKUP(B46,Annuaire_roster!B:E,4,0),"-")</f>
        <v>OUAQERROUCH Nour-El Houda</v>
      </c>
      <c r="Z46" s="12" t="str">
        <f>IFERROR(VLOOKUP(B46,Annuaire_roster!B:F,3,0),"-")</f>
        <v>Google Leads</v>
      </c>
      <c r="AA46" s="12" t="str">
        <f>IFERROR(VLOOKUP(B46,Annuaire_roster!B:I,6,0),"-")</f>
        <v>Forfaitaire</v>
      </c>
      <c r="AB46" s="142" t="str">
        <f t="shared" si="28"/>
        <v/>
      </c>
      <c r="AC46" s="142" t="str">
        <f t="shared" si="29"/>
        <v/>
      </c>
      <c r="AD46" s="142" t="str">
        <f t="shared" si="30"/>
        <v/>
      </c>
      <c r="AE46" s="143" t="str">
        <f t="shared" si="31"/>
        <v/>
      </c>
      <c r="AF46" s="63"/>
      <c r="AG46" s="10"/>
    </row>
    <row r="47" spans="1:33" hidden="1" x14ac:dyDescent="0.2">
      <c r="A47" s="70">
        <f>VLOOKUP(B47,Annuaire_roster!B:F,5,0)</f>
        <v>949</v>
      </c>
      <c r="B47" s="166" t="s">
        <v>85</v>
      </c>
      <c r="C47" s="61">
        <v>0.41597222222222224</v>
      </c>
      <c r="D47" s="61">
        <f t="array" ref="D47">IFERROR(INDEX(Planning2[],MATCH(1,(Planning2[Nom]=B47)*(Planning2[Date]=Q47),0),3),"-")</f>
        <v>0.41666666666666669</v>
      </c>
      <c r="E47" s="38">
        <v>0.83333333333333337</v>
      </c>
      <c r="F47" s="38">
        <f t="array" ref="F47">IFERROR(INDEX(Planning2[],MATCH(1,(Planning2[Nom]=B47)*(Planning2[Date]=Q47),0),4),"-")</f>
        <v>0.83333333333333337</v>
      </c>
      <c r="G47" s="88"/>
      <c r="H47" s="88"/>
      <c r="I47" s="209" t="str">
        <f t="shared" si="16"/>
        <v/>
      </c>
      <c r="J47" s="88"/>
      <c r="K47" s="89">
        <f t="shared" si="17"/>
        <v>0</v>
      </c>
      <c r="L47" s="88">
        <f t="shared" si="18"/>
        <v>0</v>
      </c>
      <c r="M47" s="62">
        <f t="shared" si="19"/>
        <v>0</v>
      </c>
      <c r="N47" s="102">
        <f t="shared" si="20"/>
        <v>0.375</v>
      </c>
      <c r="O47" s="90">
        <f t="shared" si="21"/>
        <v>0.375</v>
      </c>
      <c r="P47" s="91" t="str">
        <f>IFERROR(VLOOKUP($B47,Annuaire_roster!$B:$G,MATCH(P$1,Annuaire_roster!$B$1:$G$1,0),0),"-")</f>
        <v>Google Leads</v>
      </c>
      <c r="Q47" s="100">
        <v>44718</v>
      </c>
      <c r="R47" s="10">
        <f t="shared" si="22"/>
        <v>0</v>
      </c>
      <c r="S47" s="10">
        <f t="shared" si="23"/>
        <v>0</v>
      </c>
      <c r="T47" s="16" t="str">
        <f t="shared" si="24"/>
        <v>Sem - 23</v>
      </c>
      <c r="U47" s="16" t="str">
        <f t="shared" si="25"/>
        <v>Juin</v>
      </c>
      <c r="V47" s="11" t="str">
        <f t="shared" si="26"/>
        <v>2026</v>
      </c>
      <c r="W47" s="9"/>
      <c r="X47" s="5">
        <f t="shared" si="27"/>
        <v>0</v>
      </c>
      <c r="Y47" s="12" t="str">
        <f>IFERROR(VLOOKUP(B47,Annuaire_roster!B:E,4,0),"-")</f>
        <v>CHOUIFI Mustapha</v>
      </c>
      <c r="Z47" s="12" t="str">
        <f>IFERROR(VLOOKUP(B47,Annuaire_roster!B:F,3,0),"-")</f>
        <v>Google Leads</v>
      </c>
      <c r="AA47" s="12" t="str">
        <f>IFERROR(VLOOKUP(B47,Annuaire_roster!B:I,6,0),"-")</f>
        <v>Forfaitaire</v>
      </c>
      <c r="AB47" s="142" t="str">
        <f t="shared" si="28"/>
        <v/>
      </c>
      <c r="AC47" s="142" t="str">
        <f t="shared" si="29"/>
        <v/>
      </c>
      <c r="AD47" s="142" t="str">
        <f t="shared" si="30"/>
        <v/>
      </c>
      <c r="AE47" s="143" t="str">
        <f t="shared" si="31"/>
        <v/>
      </c>
      <c r="AF47" s="63"/>
      <c r="AG47" s="10"/>
    </row>
    <row r="48" spans="1:33" hidden="1" x14ac:dyDescent="0.2">
      <c r="A48" s="211">
        <f>VLOOKUP(B48,Annuaire_roster!B:F,5,0)</f>
        <v>1009</v>
      </c>
      <c r="B48" s="166" t="s">
        <v>91</v>
      </c>
      <c r="C48" s="61">
        <v>0.41458333333333336</v>
      </c>
      <c r="D48" s="61">
        <f t="array" ref="D48">IFERROR(INDEX(Planning2[],MATCH(1,(Planning2[Nom]=B48)*(Planning2[Date]=Q48),0),3),"-")</f>
        <v>0.41666666666666669</v>
      </c>
      <c r="E48" s="38">
        <v>0.83333333333333337</v>
      </c>
      <c r="F48" s="38">
        <f t="array" ref="F48">IFERROR(INDEX(Planning2[],MATCH(1,(Planning2[Nom]=B48)*(Planning2[Date]=Q48),0),4),"-")</f>
        <v>0.83333333333333337</v>
      </c>
      <c r="G48" s="88"/>
      <c r="H48" s="88"/>
      <c r="I48" s="209" t="str">
        <f t="shared" si="16"/>
        <v/>
      </c>
      <c r="J48" s="88"/>
      <c r="K48" s="89">
        <f t="shared" si="17"/>
        <v>0</v>
      </c>
      <c r="L48" s="88">
        <f t="shared" si="18"/>
        <v>0</v>
      </c>
      <c r="M48" s="62">
        <f t="shared" si="19"/>
        <v>0</v>
      </c>
      <c r="N48" s="212">
        <f t="shared" si="20"/>
        <v>0.375</v>
      </c>
      <c r="O48" s="90">
        <f t="shared" si="21"/>
        <v>0.375</v>
      </c>
      <c r="P48" s="91" t="str">
        <f>IFERROR(VLOOKUP($B48,Annuaire_roster!$B:$G,MATCH(P$1,Annuaire_roster!$B$1:$G$1,0),0),"-")</f>
        <v>Google Leads</v>
      </c>
      <c r="Q48" s="213">
        <v>44718</v>
      </c>
      <c r="R48" s="142">
        <f t="shared" si="22"/>
        <v>0</v>
      </c>
      <c r="S48" s="142">
        <f t="shared" si="23"/>
        <v>0</v>
      </c>
      <c r="T48" s="16" t="str">
        <f t="shared" si="24"/>
        <v>Sem - 23</v>
      </c>
      <c r="U48" s="16" t="str">
        <f t="shared" si="25"/>
        <v>Juin</v>
      </c>
      <c r="V48" s="214" t="str">
        <f t="shared" si="26"/>
        <v>2026</v>
      </c>
      <c r="W48" s="212"/>
      <c r="X48" s="215">
        <f t="shared" si="27"/>
        <v>2.0833333333333259E-3</v>
      </c>
      <c r="Y48" s="216" t="str">
        <f>IFERROR(VLOOKUP(B48,Annuaire_roster!B:E,4,0),"-")</f>
        <v>OUAQERROUCH Nour-El Houda</v>
      </c>
      <c r="Z48" s="216" t="str">
        <f>IFERROR(VLOOKUP(B48,Annuaire_roster!B:F,3,0),"-")</f>
        <v>Google Leads</v>
      </c>
      <c r="AA48" s="216" t="str">
        <f>IFERROR(VLOOKUP(B48,Annuaire_roster!B:I,6,0),"-")</f>
        <v>Forfaitaire</v>
      </c>
      <c r="AB48" s="142" t="str">
        <f t="shared" si="28"/>
        <v/>
      </c>
      <c r="AC48" s="142" t="str">
        <f t="shared" si="29"/>
        <v/>
      </c>
      <c r="AD48" s="142" t="str">
        <f t="shared" si="30"/>
        <v/>
      </c>
      <c r="AE48" s="217" t="str">
        <f t="shared" si="31"/>
        <v/>
      </c>
      <c r="AF48" s="63"/>
      <c r="AG48" s="142"/>
    </row>
    <row r="49" spans="1:33" hidden="1" x14ac:dyDescent="0.2">
      <c r="A49" s="70">
        <f>VLOOKUP(B49,Annuaire_roster!B:F,5,0)</f>
        <v>1131</v>
      </c>
      <c r="B49" s="166" t="s">
        <v>214</v>
      </c>
      <c r="C49" s="61">
        <v>0.41666666666666669</v>
      </c>
      <c r="D49" s="61">
        <f t="array" ref="D49">IFERROR(INDEX(Planning2[],MATCH(1,(Planning2[Nom]=B49)*(Planning2[Date]=Q49),0),3),"-")</f>
        <v>0.41666666666666669</v>
      </c>
      <c r="E49" s="38">
        <v>0.83333333333333337</v>
      </c>
      <c r="F49" s="38">
        <f t="array" ref="F49">IFERROR(INDEX(Planning2[],MATCH(1,(Planning2[Nom]=B49)*(Planning2[Date]=Q49),0),4),"-")</f>
        <v>0.83333333333333337</v>
      </c>
      <c r="G49" s="88"/>
      <c r="H49" s="88"/>
      <c r="I49" s="209" t="str">
        <f t="shared" si="16"/>
        <v/>
      </c>
      <c r="J49" s="88"/>
      <c r="K49" s="89">
        <f t="shared" si="17"/>
        <v>0</v>
      </c>
      <c r="L49" s="88">
        <f t="shared" si="18"/>
        <v>0</v>
      </c>
      <c r="M49" s="62">
        <f t="shared" si="19"/>
        <v>0</v>
      </c>
      <c r="N49" s="102">
        <f t="shared" si="20"/>
        <v>0.375</v>
      </c>
      <c r="O49" s="90">
        <f t="shared" si="21"/>
        <v>0.375</v>
      </c>
      <c r="P49" s="91" t="str">
        <f>IFERROR(VLOOKUP($B49,Annuaire_roster!$B:$G,MATCH(P$1,Annuaire_roster!$B$1:$G$1,0),0),"-")</f>
        <v>Google Leads</v>
      </c>
      <c r="Q49" s="100">
        <v>44718</v>
      </c>
      <c r="R49" s="10">
        <f t="shared" si="22"/>
        <v>0</v>
      </c>
      <c r="S49" s="10">
        <f t="shared" si="23"/>
        <v>0</v>
      </c>
      <c r="T49" s="16" t="str">
        <f t="shared" si="24"/>
        <v>Sem - 23</v>
      </c>
      <c r="U49" s="16" t="str">
        <f t="shared" si="25"/>
        <v>Juin</v>
      </c>
      <c r="V49" s="11" t="str">
        <f t="shared" si="26"/>
        <v>2026</v>
      </c>
      <c r="W49" s="9"/>
      <c r="X49" s="5">
        <f t="shared" si="27"/>
        <v>0</v>
      </c>
      <c r="Y49" s="12" t="str">
        <f>IFERROR(VLOOKUP(B49,Annuaire_roster!B:E,4,0),"-")</f>
        <v>CHOUIFI Mustapha</v>
      </c>
      <c r="Z49" s="12" t="str">
        <f>IFERROR(VLOOKUP(B49,Annuaire_roster!B:F,3,0),"-")</f>
        <v>Google Leads</v>
      </c>
      <c r="AA49" s="12" t="str">
        <f>IFERROR(VLOOKUP(B49,Annuaire_roster!B:I,6,0),"-")</f>
        <v>Forfaitaire</v>
      </c>
      <c r="AB49" s="142" t="str">
        <f t="shared" si="28"/>
        <v/>
      </c>
      <c r="AC49" s="142" t="str">
        <f t="shared" si="29"/>
        <v/>
      </c>
      <c r="AD49" s="142" t="str">
        <f t="shared" si="30"/>
        <v/>
      </c>
      <c r="AE49" s="143" t="str">
        <f t="shared" si="31"/>
        <v/>
      </c>
      <c r="AF49" s="63"/>
      <c r="AG49" s="10"/>
    </row>
    <row r="50" spans="1:33" hidden="1" x14ac:dyDescent="0.2">
      <c r="A50" s="70">
        <f>VLOOKUP(B50,Annuaire_roster!B:F,5,0)</f>
        <v>1170</v>
      </c>
      <c r="B50" s="166" t="s">
        <v>106</v>
      </c>
      <c r="C50" s="61">
        <v>0.41458333333333336</v>
      </c>
      <c r="D50" s="61">
        <f t="array" ref="D50">IFERROR(INDEX(Planning2[],MATCH(1,(Planning2[Nom]=B50)*(Planning2[Date]=Q50),0),3),"-")</f>
        <v>0.41666666666666669</v>
      </c>
      <c r="E50" s="38">
        <v>0.83333333333333337</v>
      </c>
      <c r="F50" s="38">
        <f t="array" ref="F50">IFERROR(INDEX(Planning2[],MATCH(1,(Planning2[Nom]=B50)*(Planning2[Date]=Q50),0),4),"-")</f>
        <v>0.83333333333333337</v>
      </c>
      <c r="G50" s="88"/>
      <c r="H50" s="88"/>
      <c r="I50" s="209" t="str">
        <f t="shared" si="16"/>
        <v/>
      </c>
      <c r="J50" s="88"/>
      <c r="K50" s="89">
        <f t="shared" si="17"/>
        <v>0</v>
      </c>
      <c r="L50" s="88">
        <f t="shared" si="18"/>
        <v>0</v>
      </c>
      <c r="M50" s="62">
        <f t="shared" si="19"/>
        <v>0</v>
      </c>
      <c r="N50" s="102">
        <f t="shared" si="20"/>
        <v>0.375</v>
      </c>
      <c r="O50" s="90">
        <f t="shared" si="21"/>
        <v>0.375</v>
      </c>
      <c r="P50" s="91" t="str">
        <f>IFERROR(VLOOKUP($B50,Annuaire_roster!$B:$G,MATCH(P$1,Annuaire_roster!$B$1:$G$1,0),0),"-")</f>
        <v>Google Leads</v>
      </c>
      <c r="Q50" s="100">
        <v>44718</v>
      </c>
      <c r="R50" s="10">
        <f t="shared" si="22"/>
        <v>0</v>
      </c>
      <c r="S50" s="10">
        <f t="shared" si="23"/>
        <v>0</v>
      </c>
      <c r="T50" s="16" t="str">
        <f t="shared" si="24"/>
        <v>Sem - 23</v>
      </c>
      <c r="U50" s="16" t="str">
        <f t="shared" si="25"/>
        <v>Juin</v>
      </c>
      <c r="V50" s="11" t="str">
        <f t="shared" si="26"/>
        <v>2026</v>
      </c>
      <c r="W50" s="9"/>
      <c r="X50" s="5">
        <f t="shared" si="27"/>
        <v>2.0833333333333259E-3</v>
      </c>
      <c r="Y50" s="12" t="str">
        <f>IFERROR(VLOOKUP(B50,Annuaire_roster!B:E,4,0),"-")</f>
        <v>CHOUIFI Mustapha</v>
      </c>
      <c r="Z50" s="12" t="str">
        <f>IFERROR(VLOOKUP(B50,Annuaire_roster!B:F,3,0),"-")</f>
        <v>Google Leads</v>
      </c>
      <c r="AA50" s="12" t="str">
        <f>IFERROR(VLOOKUP(B50,Annuaire_roster!B:I,6,0),"-")</f>
        <v>Forfaitaire</v>
      </c>
      <c r="AB50" s="142" t="str">
        <f t="shared" si="28"/>
        <v/>
      </c>
      <c r="AC50" s="142" t="str">
        <f t="shared" si="29"/>
        <v/>
      </c>
      <c r="AD50" s="142" t="str">
        <f t="shared" si="30"/>
        <v/>
      </c>
      <c r="AE50" s="143" t="str">
        <f t="shared" si="31"/>
        <v/>
      </c>
      <c r="AF50" s="63"/>
      <c r="AG50" s="10"/>
    </row>
    <row r="51" spans="1:33" hidden="1" x14ac:dyDescent="0.2">
      <c r="A51" s="70">
        <f>VLOOKUP(B51,Annuaire_roster!B:F,5,0)</f>
        <v>1154</v>
      </c>
      <c r="B51" s="166" t="s">
        <v>110</v>
      </c>
      <c r="C51" s="61">
        <v>0.41388888888888886</v>
      </c>
      <c r="D51" s="61">
        <f t="array" ref="D51">IFERROR(INDEX(Planning2[],MATCH(1,(Planning2[Nom]=B51)*(Planning2[Date]=Q51),0),3),"-")</f>
        <v>0.41666666666666669</v>
      </c>
      <c r="E51" s="38">
        <v>0.83333333333333337</v>
      </c>
      <c r="F51" s="38">
        <f t="array" ref="F51">IFERROR(INDEX(Planning2[],MATCH(1,(Planning2[Nom]=B51)*(Planning2[Date]=Q51),0),4),"-")</f>
        <v>0.83333333333333337</v>
      </c>
      <c r="G51" s="88"/>
      <c r="H51" s="88"/>
      <c r="I51" s="209" t="str">
        <f t="shared" si="16"/>
        <v/>
      </c>
      <c r="J51" s="88"/>
      <c r="K51" s="89">
        <f t="shared" si="17"/>
        <v>0</v>
      </c>
      <c r="L51" s="88">
        <f t="shared" si="18"/>
        <v>0</v>
      </c>
      <c r="M51" s="62">
        <f t="shared" si="19"/>
        <v>0</v>
      </c>
      <c r="N51" s="102">
        <f t="shared" si="20"/>
        <v>0.375</v>
      </c>
      <c r="O51" s="90">
        <f t="shared" si="21"/>
        <v>0.375</v>
      </c>
      <c r="P51" s="91" t="str">
        <f>IFERROR(VLOOKUP($B51,Annuaire_roster!$B:$G,MATCH(P$1,Annuaire_roster!$B$1:$G$1,0),0),"-")</f>
        <v>Google Leads</v>
      </c>
      <c r="Q51" s="100">
        <v>44718</v>
      </c>
      <c r="R51" s="10">
        <f t="shared" si="22"/>
        <v>0</v>
      </c>
      <c r="S51" s="10">
        <f t="shared" si="23"/>
        <v>0</v>
      </c>
      <c r="T51" s="16" t="str">
        <f t="shared" si="24"/>
        <v>Sem - 23</v>
      </c>
      <c r="U51" s="16" t="str">
        <f t="shared" si="25"/>
        <v>Juin</v>
      </c>
      <c r="V51" s="11" t="str">
        <f t="shared" si="26"/>
        <v>2026</v>
      </c>
      <c r="W51" s="9"/>
      <c r="X51" s="5">
        <f t="shared" si="27"/>
        <v>2.7777777777778789E-3</v>
      </c>
      <c r="Y51" s="12" t="str">
        <f>IFERROR(VLOOKUP(B51,Annuaire_roster!B:E,4,0),"-")</f>
        <v>CHOUIFI Mustapha</v>
      </c>
      <c r="Z51" s="12" t="str">
        <f>IFERROR(VLOOKUP(B51,Annuaire_roster!B:F,3,0),"-")</f>
        <v>Google Leads</v>
      </c>
      <c r="AA51" s="12" t="str">
        <f>IFERROR(VLOOKUP(B51,Annuaire_roster!B:I,6,0),"-")</f>
        <v>Forfaitaire</v>
      </c>
      <c r="AB51" s="142" t="str">
        <f t="shared" si="28"/>
        <v/>
      </c>
      <c r="AC51" s="142" t="str">
        <f t="shared" si="29"/>
        <v/>
      </c>
      <c r="AD51" s="142" t="str">
        <f t="shared" si="30"/>
        <v/>
      </c>
      <c r="AE51" s="143" t="str">
        <f t="shared" si="31"/>
        <v/>
      </c>
      <c r="AF51" s="218"/>
      <c r="AG51" s="10"/>
    </row>
    <row r="52" spans="1:33" hidden="1" x14ac:dyDescent="0.2">
      <c r="A52" s="211">
        <f>VLOOKUP(B52,Annuaire_roster!B:F,5,0)</f>
        <v>0</v>
      </c>
      <c r="B52" s="166" t="s">
        <v>224</v>
      </c>
      <c r="C52" s="61">
        <v>0.41666666666666669</v>
      </c>
      <c r="D52" s="61">
        <f t="array" ref="D52">IFERROR(INDEX(Planning2[],MATCH(1,(Planning2[Nom]=B52)*(Planning2[Date]=Q52),0),3),"-")</f>
        <v>0.41666666666666669</v>
      </c>
      <c r="E52" s="38">
        <v>0.83333333333333337</v>
      </c>
      <c r="F52" s="38">
        <f t="array" ref="F52">IFERROR(INDEX(Planning2[],MATCH(1,(Planning2[Nom]=B52)*(Planning2[Date]=Q52),0),4),"-")</f>
        <v>0.83333333333333337</v>
      </c>
      <c r="G52" s="88"/>
      <c r="H52" s="88"/>
      <c r="I52" s="209" t="str">
        <f t="shared" si="16"/>
        <v/>
      </c>
      <c r="J52" s="88"/>
      <c r="K52" s="89">
        <f t="shared" si="17"/>
        <v>0</v>
      </c>
      <c r="L52" s="88">
        <f t="shared" si="18"/>
        <v>0</v>
      </c>
      <c r="M52" s="62">
        <f t="shared" si="19"/>
        <v>0</v>
      </c>
      <c r="N52" s="212">
        <f t="shared" si="20"/>
        <v>0.375</v>
      </c>
      <c r="O52" s="90">
        <f t="shared" si="21"/>
        <v>0.375</v>
      </c>
      <c r="P52" s="91" t="str">
        <f>IFERROR(VLOOKUP($B52,Annuaire_roster!$B:$G,MATCH(P$1,Annuaire_roster!$B$1:$G$1,0),0),"-")</f>
        <v>Google Leads</v>
      </c>
      <c r="Q52" s="213">
        <v>44718</v>
      </c>
      <c r="R52" s="142">
        <f t="shared" si="22"/>
        <v>0</v>
      </c>
      <c r="S52" s="142">
        <f t="shared" si="23"/>
        <v>0</v>
      </c>
      <c r="T52" s="16" t="str">
        <f t="shared" si="24"/>
        <v>Sem - 23</v>
      </c>
      <c r="U52" s="16" t="str">
        <f t="shared" si="25"/>
        <v>Juin</v>
      </c>
      <c r="V52" s="214" t="str">
        <f t="shared" si="26"/>
        <v>2026</v>
      </c>
      <c r="W52" s="212"/>
      <c r="X52" s="215">
        <f t="shared" si="27"/>
        <v>0</v>
      </c>
      <c r="Y52" s="216">
        <f>IFERROR(VLOOKUP(B52,Annuaire_roster!B:E,4,0),"-")</f>
        <v>0</v>
      </c>
      <c r="Z52" s="216" t="str">
        <f>IFERROR(VLOOKUP(B52,Annuaire_roster!B:F,3,0),"-")</f>
        <v>Google Leads</v>
      </c>
      <c r="AA52" s="216">
        <f>IFERROR(VLOOKUP(B52,Annuaire_roster!B:I,6,0),"-")</f>
        <v>0</v>
      </c>
      <c r="AB52" s="142" t="str">
        <f t="shared" si="28"/>
        <v/>
      </c>
      <c r="AC52" s="142" t="str">
        <f t="shared" si="29"/>
        <v/>
      </c>
      <c r="AD52" s="142" t="str">
        <f t="shared" si="30"/>
        <v/>
      </c>
      <c r="AE52" s="217" t="str">
        <f t="shared" si="31"/>
        <v/>
      </c>
      <c r="AF52" s="218"/>
      <c r="AG52" s="142"/>
    </row>
    <row r="53" spans="1:33" hidden="1" x14ac:dyDescent="0.2">
      <c r="A53" s="211">
        <f>VLOOKUP(B53,Annuaire_roster!B:F,5,0)</f>
        <v>1274</v>
      </c>
      <c r="B53" s="166" t="s">
        <v>141</v>
      </c>
      <c r="C53" s="61">
        <v>0.41458333333333336</v>
      </c>
      <c r="D53" s="61">
        <f t="array" ref="D53">IFERROR(INDEX(Planning2[],MATCH(1,(Planning2[Nom]=B53)*(Planning2[Date]=Q53),0),3),"-")</f>
        <v>0.41666666666666669</v>
      </c>
      <c r="E53" s="38">
        <v>0.83333333333333337</v>
      </c>
      <c r="F53" s="38">
        <f t="array" ref="F53">IFERROR(INDEX(Planning2[],MATCH(1,(Planning2[Nom]=B53)*(Planning2[Date]=Q53),0),4),"-")</f>
        <v>0.83333333333333337</v>
      </c>
      <c r="G53" s="88"/>
      <c r="H53" s="88"/>
      <c r="I53" s="209" t="str">
        <f t="shared" si="16"/>
        <v/>
      </c>
      <c r="J53" s="88"/>
      <c r="K53" s="89">
        <f t="shared" si="17"/>
        <v>0</v>
      </c>
      <c r="L53" s="88">
        <f t="shared" si="18"/>
        <v>0</v>
      </c>
      <c r="M53" s="62">
        <f t="shared" si="19"/>
        <v>0</v>
      </c>
      <c r="N53" s="212">
        <f t="shared" si="20"/>
        <v>0.375</v>
      </c>
      <c r="O53" s="90">
        <f t="shared" si="21"/>
        <v>0.375</v>
      </c>
      <c r="P53" s="91" t="str">
        <f>IFERROR(VLOOKUP($B53,Annuaire_roster!$B:$G,MATCH(P$1,Annuaire_roster!$B$1:$G$1,0),0),"-")</f>
        <v>Google Leads</v>
      </c>
      <c r="Q53" s="213">
        <v>44718</v>
      </c>
      <c r="R53" s="142">
        <f t="shared" si="22"/>
        <v>0</v>
      </c>
      <c r="S53" s="142">
        <f t="shared" si="23"/>
        <v>0</v>
      </c>
      <c r="T53" s="16" t="str">
        <f t="shared" si="24"/>
        <v>Sem - 23</v>
      </c>
      <c r="U53" s="16" t="str">
        <f t="shared" si="25"/>
        <v>Juin</v>
      </c>
      <c r="V53" s="214" t="str">
        <f t="shared" si="26"/>
        <v>2026</v>
      </c>
      <c r="W53" s="212"/>
      <c r="X53" s="215">
        <f t="shared" si="27"/>
        <v>2.0833333333333259E-3</v>
      </c>
      <c r="Y53" s="216" t="str">
        <f>IFERROR(VLOOKUP(B53,Annuaire_roster!B:E,4,0),"-")</f>
        <v>OUAQERROUCH Nour-El Houda</v>
      </c>
      <c r="Z53" s="216" t="str">
        <f>IFERROR(VLOOKUP(B53,Annuaire_roster!B:F,3,0),"-")</f>
        <v>Google Leads</v>
      </c>
      <c r="AA53" s="216" t="str">
        <f>IFERROR(VLOOKUP(B53,Annuaire_roster!B:I,6,0),"-")</f>
        <v>Forfaitaire</v>
      </c>
      <c r="AB53" s="142" t="str">
        <f t="shared" si="28"/>
        <v/>
      </c>
      <c r="AC53" s="142" t="str">
        <f t="shared" si="29"/>
        <v/>
      </c>
      <c r="AD53" s="142" t="str">
        <f t="shared" si="30"/>
        <v/>
      </c>
      <c r="AE53" s="217" t="str">
        <f t="shared" si="31"/>
        <v/>
      </c>
      <c r="AF53" s="218"/>
      <c r="AG53" s="142"/>
    </row>
    <row r="54" spans="1:33" hidden="1" x14ac:dyDescent="0.2">
      <c r="A54" s="70">
        <f>VLOOKUP(B54,Annuaire_roster!B:F,5,0)</f>
        <v>1165</v>
      </c>
      <c r="B54" s="166" t="s">
        <v>120</v>
      </c>
      <c r="C54" s="61">
        <v>0.41666666666666669</v>
      </c>
      <c r="D54" s="61">
        <f t="array" ref="D54">IFERROR(INDEX(Planning2[],MATCH(1,(Planning2[Nom]=B54)*(Planning2[Date]=Q54),0),3),"-")</f>
        <v>0.41666666666666669</v>
      </c>
      <c r="E54" s="38">
        <v>0.83333333333333337</v>
      </c>
      <c r="F54" s="38">
        <f t="array" ref="F54">IFERROR(INDEX(Planning2[],MATCH(1,(Planning2[Nom]=B54)*(Planning2[Date]=Q54),0),4),"-")</f>
        <v>0.83333333333333337</v>
      </c>
      <c r="G54" s="88"/>
      <c r="H54" s="88"/>
      <c r="I54" s="209" t="str">
        <f t="shared" si="16"/>
        <v/>
      </c>
      <c r="J54" s="88"/>
      <c r="K54" s="89">
        <f t="shared" si="17"/>
        <v>0</v>
      </c>
      <c r="L54" s="88">
        <f t="shared" si="18"/>
        <v>0</v>
      </c>
      <c r="M54" s="62">
        <f t="shared" si="19"/>
        <v>0</v>
      </c>
      <c r="N54" s="102">
        <f t="shared" si="20"/>
        <v>0.375</v>
      </c>
      <c r="O54" s="90">
        <f t="shared" si="21"/>
        <v>0.375</v>
      </c>
      <c r="P54" s="91" t="str">
        <f>IFERROR(VLOOKUP($B54,Annuaire_roster!$B:$G,MATCH(P$1,Annuaire_roster!$B$1:$G$1,0),0),"-")</f>
        <v>Google Leads</v>
      </c>
      <c r="Q54" s="100">
        <v>44718</v>
      </c>
      <c r="R54" s="10">
        <f t="shared" si="22"/>
        <v>0</v>
      </c>
      <c r="S54" s="10">
        <f t="shared" si="23"/>
        <v>0</v>
      </c>
      <c r="T54" s="16" t="str">
        <f t="shared" si="24"/>
        <v>Sem - 23</v>
      </c>
      <c r="U54" s="16" t="str">
        <f t="shared" si="25"/>
        <v>Juin</v>
      </c>
      <c r="V54" s="11" t="str">
        <f t="shared" si="26"/>
        <v>2026</v>
      </c>
      <c r="W54" s="9"/>
      <c r="X54" s="5">
        <f t="shared" si="27"/>
        <v>0</v>
      </c>
      <c r="Y54" s="12" t="str">
        <f>IFERROR(VLOOKUP(B54,Annuaire_roster!B:E,4,0),"-")</f>
        <v>OUAQERROUCH Nour-El Houda</v>
      </c>
      <c r="Z54" s="12" t="str">
        <f>IFERROR(VLOOKUP(B54,Annuaire_roster!B:F,3,0),"-")</f>
        <v>Google Leads</v>
      </c>
      <c r="AA54" s="12" t="str">
        <f>IFERROR(VLOOKUP(B54,Annuaire_roster!B:I,6,0),"-")</f>
        <v>Forfaitaire</v>
      </c>
      <c r="AB54" s="142" t="str">
        <f t="shared" si="28"/>
        <v/>
      </c>
      <c r="AC54" s="142" t="str">
        <f t="shared" si="29"/>
        <v/>
      </c>
      <c r="AD54" s="142" t="str">
        <f t="shared" si="30"/>
        <v/>
      </c>
      <c r="AE54" s="143" t="str">
        <f t="shared" si="31"/>
        <v/>
      </c>
      <c r="AF54" s="218"/>
      <c r="AG54" s="10"/>
    </row>
    <row r="55" spans="1:33" hidden="1" x14ac:dyDescent="0.2">
      <c r="A55" s="70">
        <f>VLOOKUP(B55,Annuaire_roster!B:F,5,0)</f>
        <v>952</v>
      </c>
      <c r="B55" s="166" t="s">
        <v>87</v>
      </c>
      <c r="C55" s="61">
        <v>0.41388888888888886</v>
      </c>
      <c r="D55" s="61">
        <f t="array" ref="D55">IFERROR(INDEX(Planning2[],MATCH(1,(Planning2[Nom]=B55)*(Planning2[Date]=Q55),0),3),"-")</f>
        <v>0.41666666666666669</v>
      </c>
      <c r="E55" s="38">
        <v>0.83333333333333337</v>
      </c>
      <c r="F55" s="38">
        <f t="array" ref="F55">IFERROR(INDEX(Planning2[],MATCH(1,(Planning2[Nom]=B55)*(Planning2[Date]=Q55),0),4),"-")</f>
        <v>0.83333333333333337</v>
      </c>
      <c r="G55" s="88"/>
      <c r="H55" s="88"/>
      <c r="I55" s="209" t="str">
        <f t="shared" si="16"/>
        <v/>
      </c>
      <c r="J55" s="88"/>
      <c r="K55" s="89">
        <f t="shared" si="17"/>
        <v>0</v>
      </c>
      <c r="L55" s="88">
        <f t="shared" si="18"/>
        <v>0</v>
      </c>
      <c r="M55" s="62">
        <f t="shared" si="19"/>
        <v>0</v>
      </c>
      <c r="N55" s="102">
        <f t="shared" si="20"/>
        <v>0.375</v>
      </c>
      <c r="O55" s="90">
        <f t="shared" si="21"/>
        <v>0.375</v>
      </c>
      <c r="P55" s="91" t="str">
        <f>IFERROR(VLOOKUP($B55,Annuaire_roster!$B:$G,MATCH(P$1,Annuaire_roster!$B$1:$G$1,0),0),"-")</f>
        <v>Google Leads</v>
      </c>
      <c r="Q55" s="100">
        <v>44718</v>
      </c>
      <c r="R55" s="10">
        <f t="shared" si="22"/>
        <v>0</v>
      </c>
      <c r="S55" s="10">
        <f t="shared" si="23"/>
        <v>0</v>
      </c>
      <c r="T55" s="16" t="str">
        <f t="shared" si="24"/>
        <v>Sem - 23</v>
      </c>
      <c r="U55" s="16" t="str">
        <f t="shared" si="25"/>
        <v>Juin</v>
      </c>
      <c r="V55" s="11" t="str">
        <f t="shared" si="26"/>
        <v>2026</v>
      </c>
      <c r="W55" s="9"/>
      <c r="X55" s="5">
        <f t="shared" si="27"/>
        <v>2.7777777777778789E-3</v>
      </c>
      <c r="Y55" s="12" t="str">
        <f>IFERROR(VLOOKUP(B55,Annuaire_roster!B:E,4,0),"-")</f>
        <v>OUAQERROUCH Nour-El Houda</v>
      </c>
      <c r="Z55" s="12" t="str">
        <f>IFERROR(VLOOKUP(B55,Annuaire_roster!B:F,3,0),"-")</f>
        <v>Google Leads</v>
      </c>
      <c r="AA55" s="12" t="str">
        <f>IFERROR(VLOOKUP(B55,Annuaire_roster!B:I,6,0),"-")</f>
        <v>Forfaitaire</v>
      </c>
      <c r="AB55" s="142" t="str">
        <f t="shared" si="28"/>
        <v/>
      </c>
      <c r="AC55" s="142" t="str">
        <f t="shared" si="29"/>
        <v/>
      </c>
      <c r="AD55" s="142" t="str">
        <f t="shared" si="30"/>
        <v/>
      </c>
      <c r="AE55" s="143" t="str">
        <f t="shared" si="31"/>
        <v/>
      </c>
      <c r="AF55" s="63"/>
      <c r="AG55" s="10"/>
    </row>
    <row r="56" spans="1:33" hidden="1" x14ac:dyDescent="0.2">
      <c r="A56" s="211">
        <f>VLOOKUP(B56,Annuaire_roster!B:F,5,0)</f>
        <v>0</v>
      </c>
      <c r="B56" s="166" t="s">
        <v>209</v>
      </c>
      <c r="C56" s="61">
        <v>0.41458333333333336</v>
      </c>
      <c r="D56" s="61">
        <f t="array" ref="D56">IFERROR(INDEX(Planning2[],MATCH(1,(Planning2[Nom]=B56)*(Planning2[Date]=Q56),0),3),"-")</f>
        <v>0.41666666666666669</v>
      </c>
      <c r="E56" s="38">
        <v>0.83333333333333337</v>
      </c>
      <c r="F56" s="38">
        <f t="array" ref="F56">IFERROR(INDEX(Planning2[],MATCH(1,(Planning2[Nom]=B56)*(Planning2[Date]=Q56),0),4),"-")</f>
        <v>0.83333333333333337</v>
      </c>
      <c r="G56" s="88"/>
      <c r="H56" s="88"/>
      <c r="I56" s="209" t="str">
        <f t="shared" si="16"/>
        <v/>
      </c>
      <c r="J56" s="88"/>
      <c r="K56" s="89">
        <f t="shared" si="17"/>
        <v>0</v>
      </c>
      <c r="L56" s="88">
        <f t="shared" si="18"/>
        <v>0</v>
      </c>
      <c r="M56" s="62">
        <f t="shared" si="19"/>
        <v>0</v>
      </c>
      <c r="N56" s="212">
        <f t="shared" si="20"/>
        <v>0.375</v>
      </c>
      <c r="O56" s="90">
        <f t="shared" si="21"/>
        <v>0.375</v>
      </c>
      <c r="P56" s="91" t="str">
        <f>IFERROR(VLOOKUP($B56,Annuaire_roster!$B:$G,MATCH(P$1,Annuaire_roster!$B$1:$G$1,0),0),"-")</f>
        <v>Google Leads</v>
      </c>
      <c r="Q56" s="213">
        <v>44718</v>
      </c>
      <c r="R56" s="142">
        <f t="shared" si="22"/>
        <v>0</v>
      </c>
      <c r="S56" s="142">
        <f t="shared" si="23"/>
        <v>0</v>
      </c>
      <c r="T56" s="16" t="str">
        <f t="shared" si="24"/>
        <v>Sem - 23</v>
      </c>
      <c r="U56" s="16" t="str">
        <f t="shared" si="25"/>
        <v>Juin</v>
      </c>
      <c r="V56" s="214" t="str">
        <f t="shared" si="26"/>
        <v>2026</v>
      </c>
      <c r="W56" s="212"/>
      <c r="X56" s="215">
        <f t="shared" si="27"/>
        <v>2.0833333333333259E-3</v>
      </c>
      <c r="Y56" s="216">
        <f>IFERROR(VLOOKUP(B56,Annuaire_roster!B:E,4,0),"-")</f>
        <v>0</v>
      </c>
      <c r="Z56" s="216" t="str">
        <f>IFERROR(VLOOKUP(B56,Annuaire_roster!B:F,3,0),"-")</f>
        <v>Google Leads</v>
      </c>
      <c r="AA56" s="216">
        <f>IFERROR(VLOOKUP(B56,Annuaire_roster!B:I,6,0),"-")</f>
        <v>0</v>
      </c>
      <c r="AB56" s="142" t="str">
        <f t="shared" si="28"/>
        <v/>
      </c>
      <c r="AC56" s="142" t="str">
        <f t="shared" si="29"/>
        <v/>
      </c>
      <c r="AD56" s="142" t="str">
        <f t="shared" si="30"/>
        <v/>
      </c>
      <c r="AE56" s="217" t="str">
        <f t="shared" si="31"/>
        <v/>
      </c>
      <c r="AF56" s="218"/>
      <c r="AG56" s="142"/>
    </row>
    <row r="57" spans="1:33" hidden="1" x14ac:dyDescent="0.2">
      <c r="A57" s="211">
        <f>VLOOKUP(B57,Annuaire_roster!B:F,5,0)</f>
        <v>0</v>
      </c>
      <c r="B57" s="166" t="s">
        <v>217</v>
      </c>
      <c r="C57" s="61">
        <v>0.41458333333333336</v>
      </c>
      <c r="D57" s="61">
        <f t="array" ref="D57">IFERROR(INDEX(Planning2[],MATCH(1,(Planning2[Nom]=B57)*(Planning2[Date]=Q57),0),3),"-")</f>
        <v>0.41666666666666669</v>
      </c>
      <c r="E57" s="38">
        <v>0.83333333333333337</v>
      </c>
      <c r="F57" s="38">
        <f t="array" ref="F57">IFERROR(INDEX(Planning2[],MATCH(1,(Planning2[Nom]=B57)*(Planning2[Date]=Q57),0),4),"-")</f>
        <v>0.83333333333333337</v>
      </c>
      <c r="G57" s="88"/>
      <c r="H57" s="88"/>
      <c r="I57" s="209" t="str">
        <f t="shared" si="16"/>
        <v/>
      </c>
      <c r="J57" s="88"/>
      <c r="K57" s="89">
        <f t="shared" si="17"/>
        <v>0</v>
      </c>
      <c r="L57" s="88">
        <f t="shared" si="18"/>
        <v>0</v>
      </c>
      <c r="M57" s="62">
        <f t="shared" si="19"/>
        <v>0</v>
      </c>
      <c r="N57" s="212">
        <f t="shared" si="20"/>
        <v>0.375</v>
      </c>
      <c r="O57" s="90">
        <f t="shared" si="21"/>
        <v>0.375</v>
      </c>
      <c r="P57" s="91" t="str">
        <f>IFERROR(VLOOKUP($B57,Annuaire_roster!$B:$G,MATCH(P$1,Annuaire_roster!$B$1:$G$1,0),0),"-")</f>
        <v>Google Leads</v>
      </c>
      <c r="Q57" s="213">
        <v>44718</v>
      </c>
      <c r="R57" s="142">
        <f t="shared" si="22"/>
        <v>0</v>
      </c>
      <c r="S57" s="142">
        <f t="shared" si="23"/>
        <v>0</v>
      </c>
      <c r="T57" s="16" t="str">
        <f t="shared" si="24"/>
        <v>Sem - 23</v>
      </c>
      <c r="U57" s="16" t="str">
        <f t="shared" si="25"/>
        <v>Juin</v>
      </c>
      <c r="V57" s="214" t="str">
        <f t="shared" si="26"/>
        <v>2026</v>
      </c>
      <c r="W57" s="212"/>
      <c r="X57" s="215">
        <f t="shared" si="27"/>
        <v>2.0833333333333259E-3</v>
      </c>
      <c r="Y57" s="216">
        <f>IFERROR(VLOOKUP(B57,Annuaire_roster!B:E,4,0),"-")</f>
        <v>0</v>
      </c>
      <c r="Z57" s="216" t="str">
        <f>IFERROR(VLOOKUP(B57,Annuaire_roster!B:F,3,0),"-")</f>
        <v>Google Leads</v>
      </c>
      <c r="AA57" s="216">
        <f>IFERROR(VLOOKUP(B57,Annuaire_roster!B:I,6,0),"-")</f>
        <v>0</v>
      </c>
      <c r="AB57" s="142" t="str">
        <f t="shared" si="28"/>
        <v/>
      </c>
      <c r="AC57" s="142" t="str">
        <f t="shared" si="29"/>
        <v/>
      </c>
      <c r="AD57" s="142" t="str">
        <f t="shared" si="30"/>
        <v/>
      </c>
      <c r="AE57" s="217" t="str">
        <f t="shared" si="31"/>
        <v/>
      </c>
      <c r="AF57" s="218"/>
      <c r="AG57" s="142"/>
    </row>
    <row r="58" spans="1:33" hidden="1" x14ac:dyDescent="0.2">
      <c r="A58" s="70">
        <f>VLOOKUP(B58,Annuaire_roster!B:F,5,0)</f>
        <v>1132</v>
      </c>
      <c r="B58" s="166" t="s">
        <v>88</v>
      </c>
      <c r="C58" s="61">
        <v>0.29166666666666669</v>
      </c>
      <c r="D58" s="61">
        <v>0.29166666666666669</v>
      </c>
      <c r="E58" s="38">
        <v>0.70833333333333337</v>
      </c>
      <c r="F58" s="38">
        <f t="array" ref="F58">IFERROR(INDEX(Planning2[],MATCH(1,(Planning2[Nom]=B58)*(Planning2[Date]=Q58),0),4),"-")</f>
        <v>0.70833333333333337</v>
      </c>
      <c r="G58" s="88"/>
      <c r="H58" s="88"/>
      <c r="I58" s="209" t="str">
        <f t="shared" si="16"/>
        <v/>
      </c>
      <c r="J58" s="88"/>
      <c r="K58" s="89">
        <f t="shared" si="17"/>
        <v>0</v>
      </c>
      <c r="L58" s="88">
        <f t="shared" si="18"/>
        <v>0</v>
      </c>
      <c r="M58" s="62">
        <f t="shared" si="19"/>
        <v>0</v>
      </c>
      <c r="N58" s="102">
        <f t="shared" si="20"/>
        <v>0.375</v>
      </c>
      <c r="O58" s="90">
        <f t="shared" si="21"/>
        <v>0.375</v>
      </c>
      <c r="P58" s="91" t="str">
        <f>IFERROR(VLOOKUP($B58,Annuaire_roster!$B:$G,MATCH(P$1,Annuaire_roster!$B$1:$G$1,0),0),"-")</f>
        <v>Google Leads</v>
      </c>
      <c r="Q58" s="100">
        <v>44718</v>
      </c>
      <c r="R58" s="10">
        <f t="shared" si="22"/>
        <v>0</v>
      </c>
      <c r="S58" s="10">
        <f t="shared" si="23"/>
        <v>0</v>
      </c>
      <c r="T58" s="16" t="str">
        <f t="shared" si="24"/>
        <v>Sem - 23</v>
      </c>
      <c r="U58" s="16" t="str">
        <f t="shared" si="25"/>
        <v>Juin</v>
      </c>
      <c r="V58" s="11" t="str">
        <f t="shared" si="26"/>
        <v>2026</v>
      </c>
      <c r="W58" s="9"/>
      <c r="X58" s="5">
        <f t="shared" si="27"/>
        <v>0</v>
      </c>
      <c r="Y58" s="12" t="str">
        <f>IFERROR(VLOOKUP(B58,Annuaire_roster!B:E,4,0),"-")</f>
        <v>CHOUIFI Mustapha</v>
      </c>
      <c r="Z58" s="12" t="str">
        <f>IFERROR(VLOOKUP(B58,Annuaire_roster!B:F,3,0),"-")</f>
        <v>Google Leads</v>
      </c>
      <c r="AA58" s="12" t="str">
        <f>IFERROR(VLOOKUP(B58,Annuaire_roster!B:I,6,0),"-")</f>
        <v>Forfaitaire</v>
      </c>
      <c r="AB58" s="142" t="str">
        <f t="shared" si="28"/>
        <v/>
      </c>
      <c r="AC58" s="142" t="str">
        <f t="shared" si="29"/>
        <v/>
      </c>
      <c r="AD58" s="142" t="str">
        <f t="shared" si="30"/>
        <v/>
      </c>
      <c r="AE58" s="143" t="str">
        <f t="shared" si="31"/>
        <v/>
      </c>
      <c r="AF58" s="63"/>
      <c r="AG58" s="10"/>
    </row>
    <row r="59" spans="1:33" hidden="1" x14ac:dyDescent="0.2">
      <c r="A59" s="211">
        <f>VLOOKUP(B59,Annuaire_roster!B:F,5,0)</f>
        <v>1167</v>
      </c>
      <c r="B59" s="166" t="s">
        <v>126</v>
      </c>
      <c r="C59" s="61">
        <v>0.29166666666666669</v>
      </c>
      <c r="D59" s="61">
        <v>0.29166666666666669</v>
      </c>
      <c r="E59" s="38">
        <v>0.70833333333333337</v>
      </c>
      <c r="F59" s="38">
        <f t="array" ref="F59">IFERROR(INDEX(Planning2[],MATCH(1,(Planning2[Nom]=B59)*(Planning2[Date]=Q59),0),4),"-")</f>
        <v>0.70833333333333337</v>
      </c>
      <c r="G59" s="88"/>
      <c r="H59" s="88"/>
      <c r="I59" s="209" t="str">
        <f t="shared" si="16"/>
        <v/>
      </c>
      <c r="J59" s="88"/>
      <c r="K59" s="89">
        <f t="shared" si="17"/>
        <v>0</v>
      </c>
      <c r="L59" s="88">
        <f t="shared" si="18"/>
        <v>0</v>
      </c>
      <c r="M59" s="62">
        <f t="shared" si="19"/>
        <v>0</v>
      </c>
      <c r="N59" s="212">
        <f t="shared" si="20"/>
        <v>0.375</v>
      </c>
      <c r="O59" s="90">
        <f t="shared" si="21"/>
        <v>0.375</v>
      </c>
      <c r="P59" s="91" t="str">
        <f>IFERROR(VLOOKUP($B59,Annuaire_roster!$B:$G,MATCH(P$1,Annuaire_roster!$B$1:$G$1,0),0),"-")</f>
        <v>Google Leads</v>
      </c>
      <c r="Q59" s="213">
        <v>44718</v>
      </c>
      <c r="R59" s="142">
        <f t="shared" si="22"/>
        <v>0</v>
      </c>
      <c r="S59" s="142">
        <f t="shared" si="23"/>
        <v>0</v>
      </c>
      <c r="T59" s="16" t="str">
        <f t="shared" si="24"/>
        <v>Sem - 23</v>
      </c>
      <c r="U59" s="16" t="str">
        <f t="shared" si="25"/>
        <v>Juin</v>
      </c>
      <c r="V59" s="214" t="str">
        <f t="shared" si="26"/>
        <v>2026</v>
      </c>
      <c r="W59" s="212"/>
      <c r="X59" s="215">
        <f t="shared" si="27"/>
        <v>0</v>
      </c>
      <c r="Y59" s="216" t="str">
        <f>IFERROR(VLOOKUP(B59,Annuaire_roster!B:E,4,0),"-")</f>
        <v>OUAQERROUCH Nour-El Houda</v>
      </c>
      <c r="Z59" s="216" t="str">
        <f>IFERROR(VLOOKUP(B59,Annuaire_roster!B:F,3,0),"-")</f>
        <v>Google Leads</v>
      </c>
      <c r="AA59" s="216" t="str">
        <f>IFERROR(VLOOKUP(B59,Annuaire_roster!B:I,6,0),"-")</f>
        <v>Forfaitaire</v>
      </c>
      <c r="AB59" s="142" t="str">
        <f t="shared" si="28"/>
        <v/>
      </c>
      <c r="AC59" s="142" t="str">
        <f t="shared" si="29"/>
        <v/>
      </c>
      <c r="AD59" s="142" t="str">
        <f t="shared" si="30"/>
        <v/>
      </c>
      <c r="AE59" s="217" t="str">
        <f t="shared" si="31"/>
        <v/>
      </c>
      <c r="AF59" s="63"/>
      <c r="AG59" s="142"/>
    </row>
    <row r="60" spans="1:33" hidden="1" x14ac:dyDescent="0.2">
      <c r="A60" s="211">
        <f>VLOOKUP(B60,Annuaire_roster!B:F,5,0)</f>
        <v>397</v>
      </c>
      <c r="B60" s="166" t="s">
        <v>215</v>
      </c>
      <c r="C60" s="61"/>
      <c r="D60" s="61" t="str">
        <f t="array" ref="D60">IFERROR(INDEX(Planning2[],MATCH(1,(Planning2[Nom]=B60)*(Planning2[Date]=Q60),0),3),"-")</f>
        <v>Congé</v>
      </c>
      <c r="E60" s="38"/>
      <c r="F60" s="38" t="str">
        <f t="array" ref="F60">IFERROR(INDEX(Planning2[],MATCH(1,(Planning2[Nom]=B60)*(Planning2[Date]=Q60),0),4),"-")</f>
        <v>Congé</v>
      </c>
      <c r="G60" s="88"/>
      <c r="H60" s="88"/>
      <c r="I60" s="209" t="str">
        <f t="shared" si="16"/>
        <v/>
      </c>
      <c r="J60" s="88"/>
      <c r="K60" s="89">
        <f t="shared" si="17"/>
        <v>0</v>
      </c>
      <c r="L60" s="88">
        <f t="shared" si="18"/>
        <v>0</v>
      </c>
      <c r="M60" s="62">
        <f t="shared" si="19"/>
        <v>0</v>
      </c>
      <c r="N60" s="212" t="str">
        <f t="shared" si="20"/>
        <v/>
      </c>
      <c r="O60" s="90">
        <f t="shared" si="21"/>
        <v>0</v>
      </c>
      <c r="P60" s="91" t="str">
        <f>IFERROR(VLOOKUP($B60,Annuaire_roster!$B:$G,MATCH(P$1,Annuaire_roster!$B$1:$G$1,0),0),"-")</f>
        <v>Google Leads</v>
      </c>
      <c r="Q60" s="213">
        <v>44718</v>
      </c>
      <c r="R60" s="142">
        <f t="shared" si="22"/>
        <v>0</v>
      </c>
      <c r="S60" s="142">
        <f t="shared" si="23"/>
        <v>0</v>
      </c>
      <c r="T60" s="16" t="str">
        <f t="shared" si="24"/>
        <v>Sem - 23</v>
      </c>
      <c r="U60" s="16" t="str">
        <f t="shared" si="25"/>
        <v>Juin</v>
      </c>
      <c r="V60" s="214" t="str">
        <f t="shared" si="26"/>
        <v>2026</v>
      </c>
      <c r="W60" s="212"/>
      <c r="X60" s="215">
        <f t="shared" si="27"/>
        <v>0</v>
      </c>
      <c r="Y60" s="216" t="str">
        <f>IFERROR(VLOOKUP(B60,Annuaire_roster!B:E,4,0),"-")</f>
        <v>OUAQERROUCH Nour-El Houda</v>
      </c>
      <c r="Z60" s="216" t="str">
        <f>IFERROR(VLOOKUP(B60,Annuaire_roster!B:F,3,0),"-")</f>
        <v>Google Leads</v>
      </c>
      <c r="AA60" s="216" t="str">
        <f>IFERROR(VLOOKUP(B60,Annuaire_roster!B:I,6,0),"-")</f>
        <v>Forfaitaire</v>
      </c>
      <c r="AB60" s="142">
        <f t="shared" si="28"/>
        <v>0.33333333333333298</v>
      </c>
      <c r="AC60" s="142" t="str">
        <f t="shared" si="29"/>
        <v/>
      </c>
      <c r="AD60" s="142" t="str">
        <f t="shared" si="30"/>
        <v/>
      </c>
      <c r="AE60" s="217" t="str">
        <f t="shared" si="31"/>
        <v/>
      </c>
      <c r="AF60" s="218"/>
      <c r="AG60" s="142"/>
    </row>
    <row r="61" spans="1:33" hidden="1" x14ac:dyDescent="0.2">
      <c r="A61" s="70">
        <f>VLOOKUP(B61,Annuaire_roster!B:F,5,0)</f>
        <v>894</v>
      </c>
      <c r="B61" s="166" t="s">
        <v>80</v>
      </c>
      <c r="C61" s="61">
        <v>0.41666666666666669</v>
      </c>
      <c r="D61" s="61">
        <v>0.41666666666666669</v>
      </c>
      <c r="E61" s="38">
        <v>0.83333333333333337</v>
      </c>
      <c r="F61" s="38">
        <v>0.83333333333333337</v>
      </c>
      <c r="G61" s="88"/>
      <c r="H61" s="88"/>
      <c r="I61" s="209" t="str">
        <f t="shared" si="16"/>
        <v/>
      </c>
      <c r="J61" s="88"/>
      <c r="K61" s="89">
        <f t="shared" si="17"/>
        <v>0</v>
      </c>
      <c r="L61" s="88">
        <f t="shared" si="18"/>
        <v>0</v>
      </c>
      <c r="M61" s="62">
        <f t="shared" si="19"/>
        <v>0</v>
      </c>
      <c r="N61" s="102">
        <f t="shared" si="20"/>
        <v>0.375</v>
      </c>
      <c r="O61" s="90">
        <f t="shared" si="21"/>
        <v>0.375</v>
      </c>
      <c r="P61" s="91" t="str">
        <f>IFERROR(VLOOKUP($B61,Annuaire_roster!$B:$G,MATCH(P$1,Annuaire_roster!$B$1:$G$1,0),0),"-")</f>
        <v>Google Leads</v>
      </c>
      <c r="Q61" s="100">
        <v>44718</v>
      </c>
      <c r="R61" s="10">
        <f t="shared" si="22"/>
        <v>0</v>
      </c>
      <c r="S61" s="10">
        <f t="shared" si="23"/>
        <v>0</v>
      </c>
      <c r="T61" s="16" t="str">
        <f t="shared" si="24"/>
        <v>Sem - 23</v>
      </c>
      <c r="U61" s="16" t="str">
        <f t="shared" si="25"/>
        <v>Juin</v>
      </c>
      <c r="V61" s="11" t="str">
        <f t="shared" si="26"/>
        <v>2026</v>
      </c>
      <c r="W61" s="9"/>
      <c r="X61" s="5">
        <f t="shared" si="27"/>
        <v>0</v>
      </c>
      <c r="Y61" s="12" t="str">
        <f>IFERROR(VLOOKUP(B61,Annuaire_roster!B:E,4,0),"-")</f>
        <v>OUAQERROUCH Nour-El Houda</v>
      </c>
      <c r="Z61" s="12" t="str">
        <f>IFERROR(VLOOKUP(B61,Annuaire_roster!B:F,3,0),"-")</f>
        <v>Google Leads</v>
      </c>
      <c r="AA61" s="12" t="str">
        <f>IFERROR(VLOOKUP(B61,Annuaire_roster!B:I,6,0),"-")</f>
        <v>Forfaitaire</v>
      </c>
      <c r="AB61" s="142" t="str">
        <f t="shared" si="28"/>
        <v/>
      </c>
      <c r="AC61" s="142" t="str">
        <f t="shared" si="29"/>
        <v/>
      </c>
      <c r="AD61" s="142" t="str">
        <f t="shared" si="30"/>
        <v/>
      </c>
      <c r="AE61" s="143" t="str">
        <f t="shared" si="31"/>
        <v/>
      </c>
      <c r="AF61" s="218"/>
      <c r="AG61" s="10"/>
    </row>
    <row r="62" spans="1:33" hidden="1" x14ac:dyDescent="0.2">
      <c r="A62" s="211">
        <f>VLOOKUP(B62,Annuaire_roster!B:F,5,0)</f>
        <v>0</v>
      </c>
      <c r="B62" s="166" t="s">
        <v>197</v>
      </c>
      <c r="C62" s="61"/>
      <c r="D62" s="61" t="str">
        <f t="array" ref="D62">IFERROR(INDEX(Planning2[],MATCH(1,(Planning2[Nom]=B62)*(Planning2[Date]=Q62),0),3),"-")</f>
        <v>OFF</v>
      </c>
      <c r="E62" s="38"/>
      <c r="F62" s="38" t="str">
        <f t="array" ref="F62">IFERROR(INDEX(Planning2[],MATCH(1,(Planning2[Nom]=B62)*(Planning2[Date]=Q62),0),4),"-")</f>
        <v>OFF</v>
      </c>
      <c r="G62" s="88"/>
      <c r="H62" s="88"/>
      <c r="I62" s="209" t="str">
        <f t="shared" si="16"/>
        <v/>
      </c>
      <c r="J62" s="88"/>
      <c r="K62" s="89"/>
      <c r="L62" s="88">
        <f t="shared" si="18"/>
        <v>0</v>
      </c>
      <c r="M62" s="62">
        <f t="shared" si="19"/>
        <v>0</v>
      </c>
      <c r="N62" s="212" t="str">
        <f t="shared" si="20"/>
        <v/>
      </c>
      <c r="O62" s="90">
        <f t="shared" si="21"/>
        <v>0</v>
      </c>
      <c r="P62" s="91" t="str">
        <f>IFERROR(VLOOKUP($B62,Annuaire_roster!$B:$G,MATCH(P$1,Annuaire_roster!$B$1:$G$1,0),0),"-")</f>
        <v>Google Leads</v>
      </c>
      <c r="Q62" s="213">
        <v>44718</v>
      </c>
      <c r="R62" s="142">
        <f t="shared" si="22"/>
        <v>0</v>
      </c>
      <c r="S62" s="142">
        <f t="shared" si="23"/>
        <v>0</v>
      </c>
      <c r="T62" s="16" t="str">
        <f t="shared" si="24"/>
        <v>Sem - 23</v>
      </c>
      <c r="U62" s="16" t="str">
        <f t="shared" si="25"/>
        <v>Juin</v>
      </c>
      <c r="V62" s="214" t="str">
        <f t="shared" si="26"/>
        <v>2026</v>
      </c>
      <c r="W62" s="212"/>
      <c r="X62" s="215">
        <f t="shared" si="27"/>
        <v>0</v>
      </c>
      <c r="Y62" s="216">
        <f>IFERROR(VLOOKUP(B62,Annuaire_roster!B:E,4,0),"-")</f>
        <v>0</v>
      </c>
      <c r="Z62" s="216" t="str">
        <f>IFERROR(VLOOKUP(B62,Annuaire_roster!B:F,3,0),"-")</f>
        <v>Google Leads</v>
      </c>
      <c r="AA62" s="216">
        <f>IFERROR(VLOOKUP(B62,Annuaire_roster!B:I,6,0),"-")</f>
        <v>0</v>
      </c>
      <c r="AB62" s="142" t="str">
        <f t="shared" si="28"/>
        <v/>
      </c>
      <c r="AC62" s="142" t="str">
        <f t="shared" si="29"/>
        <v/>
      </c>
      <c r="AD62" s="142" t="str">
        <f t="shared" si="30"/>
        <v/>
      </c>
      <c r="AE62" s="217" t="str">
        <f t="shared" si="31"/>
        <v/>
      </c>
      <c r="AF62" s="63"/>
      <c r="AG62" s="142"/>
    </row>
    <row r="63" spans="1:33" hidden="1" x14ac:dyDescent="0.2">
      <c r="A63" s="211">
        <f>VLOOKUP(B63,Annuaire_roster!B:F,5,0)</f>
        <v>971</v>
      </c>
      <c r="B63" s="166" t="s">
        <v>83</v>
      </c>
      <c r="C63" s="61"/>
      <c r="D63" s="61" t="str">
        <f t="array" ref="D63">IFERROR(INDEX(Planning2[],MATCH(1,(Planning2[Nom]=B63)*(Planning2[Date]=Q63),0),3),"-")</f>
        <v>OFF</v>
      </c>
      <c r="E63" s="38"/>
      <c r="F63" s="38" t="str">
        <f t="array" ref="F63">IFERROR(INDEX(Planning2[],MATCH(1,(Planning2[Nom]=B63)*(Planning2[Date]=Q63),0),4),"-")</f>
        <v>OFF</v>
      </c>
      <c r="G63" s="88"/>
      <c r="H63" s="88"/>
      <c r="I63" s="209" t="str">
        <f t="shared" si="16"/>
        <v/>
      </c>
      <c r="J63" s="88"/>
      <c r="K63" s="89">
        <f t="shared" ref="K63:K97" si="32">IF(SUM(H63:J63)&lt;0.00068287037037037,0,SUM(H63:J63))</f>
        <v>0</v>
      </c>
      <c r="L63" s="88">
        <f t="shared" si="18"/>
        <v>0</v>
      </c>
      <c r="M63" s="62">
        <f t="shared" si="19"/>
        <v>0</v>
      </c>
      <c r="N63" s="212" t="str">
        <f t="shared" si="20"/>
        <v/>
      </c>
      <c r="O63" s="90">
        <f t="shared" si="21"/>
        <v>0</v>
      </c>
      <c r="P63" s="91" t="str">
        <f>IFERROR(VLOOKUP($B63,Annuaire_roster!$B:$G,MATCH(P$1,Annuaire_roster!$B$1:$G$1,0),0),"-")</f>
        <v>Google Leads</v>
      </c>
      <c r="Q63" s="213">
        <v>44718</v>
      </c>
      <c r="R63" s="142">
        <f t="shared" si="22"/>
        <v>0</v>
      </c>
      <c r="S63" s="142">
        <f t="shared" si="23"/>
        <v>0</v>
      </c>
      <c r="T63" s="16" t="str">
        <f t="shared" si="24"/>
        <v>Sem - 23</v>
      </c>
      <c r="U63" s="16" t="str">
        <f t="shared" si="25"/>
        <v>Juin</v>
      </c>
      <c r="V63" s="214" t="str">
        <f t="shared" si="26"/>
        <v>2026</v>
      </c>
      <c r="W63" s="212"/>
      <c r="X63" s="215">
        <f t="shared" si="27"/>
        <v>0</v>
      </c>
      <c r="Y63" s="216" t="str">
        <f>IFERROR(VLOOKUP(B63,Annuaire_roster!B:E,4,0),"-")</f>
        <v>CHOUIFI Mustapha</v>
      </c>
      <c r="Z63" s="216" t="str">
        <f>IFERROR(VLOOKUP(B63,Annuaire_roster!B:F,3,0),"-")</f>
        <v>Google Leads</v>
      </c>
      <c r="AA63" s="216" t="str">
        <f>IFERROR(VLOOKUP(B63,Annuaire_roster!B:I,6,0),"-")</f>
        <v>Forfaitaire</v>
      </c>
      <c r="AB63" s="142" t="str">
        <f t="shared" si="28"/>
        <v/>
      </c>
      <c r="AC63" s="142" t="str">
        <f t="shared" si="29"/>
        <v/>
      </c>
      <c r="AD63" s="142" t="str">
        <f t="shared" si="30"/>
        <v/>
      </c>
      <c r="AE63" s="217" t="str">
        <f t="shared" si="31"/>
        <v/>
      </c>
      <c r="AF63" s="218"/>
      <c r="AG63" s="142"/>
    </row>
    <row r="64" spans="1:33" hidden="1" x14ac:dyDescent="0.2">
      <c r="A64" s="70">
        <f>VLOOKUP(B64,Annuaire_roster!B:F,5,0)</f>
        <v>1008</v>
      </c>
      <c r="B64" s="166" t="s">
        <v>94</v>
      </c>
      <c r="C64" s="61"/>
      <c r="D64" s="61" t="str">
        <f t="array" ref="D64">IFERROR(INDEX(Planning2[],MATCH(1,(Planning2[Nom]=B64)*(Planning2[Date]=Q64),0),3),"-")</f>
        <v>OFF</v>
      </c>
      <c r="E64" s="38"/>
      <c r="F64" s="38" t="str">
        <f t="array" ref="F64">IFERROR(INDEX(Planning2[],MATCH(1,(Planning2[Nom]=B64)*(Planning2[Date]=Q64),0),4),"-")</f>
        <v>OFF</v>
      </c>
      <c r="G64" s="88"/>
      <c r="H64" s="88"/>
      <c r="I64" s="209" t="str">
        <f t="shared" si="16"/>
        <v/>
      </c>
      <c r="J64" s="88"/>
      <c r="K64" s="89">
        <f t="shared" si="32"/>
        <v>0</v>
      </c>
      <c r="L64" s="88">
        <f t="shared" si="18"/>
        <v>0</v>
      </c>
      <c r="M64" s="62">
        <f t="shared" si="19"/>
        <v>0</v>
      </c>
      <c r="N64" s="102" t="str">
        <f t="shared" si="20"/>
        <v/>
      </c>
      <c r="O64" s="90">
        <f t="shared" si="21"/>
        <v>0</v>
      </c>
      <c r="P64" s="91" t="str">
        <f>IFERROR(VLOOKUP($B64,Annuaire_roster!$B:$G,MATCH(P$1,Annuaire_roster!$B$1:$G$1,0),0),"-")</f>
        <v>Google Leads</v>
      </c>
      <c r="Q64" s="100">
        <v>44718</v>
      </c>
      <c r="R64" s="10">
        <f t="shared" si="22"/>
        <v>0</v>
      </c>
      <c r="S64" s="10">
        <f t="shared" si="23"/>
        <v>0</v>
      </c>
      <c r="T64" s="16" t="str">
        <f t="shared" si="24"/>
        <v>Sem - 23</v>
      </c>
      <c r="U64" s="16" t="str">
        <f t="shared" si="25"/>
        <v>Juin</v>
      </c>
      <c r="V64" s="11" t="str">
        <f t="shared" si="26"/>
        <v>2026</v>
      </c>
      <c r="W64" s="9"/>
      <c r="X64" s="5">
        <f t="shared" si="27"/>
        <v>0</v>
      </c>
      <c r="Y64" s="12" t="str">
        <f>IFERROR(VLOOKUP(B64,Annuaire_roster!B:E,4,0),"-")</f>
        <v>CHOUIFI Mustapha</v>
      </c>
      <c r="Z64" s="12" t="str">
        <f>IFERROR(VLOOKUP(B64,Annuaire_roster!B:F,3,0),"-")</f>
        <v>Google Leads</v>
      </c>
      <c r="AA64" s="12" t="str">
        <f>IFERROR(VLOOKUP(B64,Annuaire_roster!B:I,6,0),"-")</f>
        <v>Forfaitaire</v>
      </c>
      <c r="AB64" s="142" t="str">
        <f t="shared" si="28"/>
        <v/>
      </c>
      <c r="AC64" s="142" t="str">
        <f t="shared" si="29"/>
        <v/>
      </c>
      <c r="AD64" s="142" t="str">
        <f t="shared" si="30"/>
        <v/>
      </c>
      <c r="AE64" s="143" t="str">
        <f t="shared" si="31"/>
        <v/>
      </c>
      <c r="AF64" s="218"/>
      <c r="AG64" s="10"/>
    </row>
    <row r="65" spans="1:33" hidden="1" x14ac:dyDescent="0.2">
      <c r="A65" s="70">
        <f>VLOOKUP(B65,Annuaire_roster!B:F,5,0)</f>
        <v>0</v>
      </c>
      <c r="B65" s="166" t="s">
        <v>221</v>
      </c>
      <c r="C65" s="61"/>
      <c r="D65" s="61" t="str">
        <f t="array" ref="D65">IFERROR(INDEX(Planning2[],MATCH(1,(Planning2[Nom]=B65)*(Planning2[Date]=Q65),0),3),"-")</f>
        <v>OFF</v>
      </c>
      <c r="E65" s="38"/>
      <c r="F65" s="38" t="str">
        <f t="array" ref="F65">IFERROR(INDEX(Planning2[],MATCH(1,(Planning2[Nom]=B65)*(Planning2[Date]=Q65),0),4),"-")</f>
        <v>OFF</v>
      </c>
      <c r="G65" s="88"/>
      <c r="H65" s="88"/>
      <c r="I65" s="209" t="str">
        <f t="shared" si="16"/>
        <v/>
      </c>
      <c r="J65" s="88"/>
      <c r="K65" s="89">
        <f t="shared" si="32"/>
        <v>0</v>
      </c>
      <c r="L65" s="88">
        <f t="shared" si="18"/>
        <v>0</v>
      </c>
      <c r="M65" s="62">
        <f t="shared" si="19"/>
        <v>0</v>
      </c>
      <c r="N65" s="102" t="str">
        <f t="shared" si="20"/>
        <v/>
      </c>
      <c r="O65" s="90">
        <f t="shared" si="21"/>
        <v>0</v>
      </c>
      <c r="P65" s="91" t="str">
        <f>IFERROR(VLOOKUP($B65,Annuaire_roster!$B:$G,MATCH(P$1,Annuaire_roster!$B$1:$G$1,0),0),"-")</f>
        <v>Google Leads</v>
      </c>
      <c r="Q65" s="100">
        <v>44718</v>
      </c>
      <c r="R65" s="10">
        <f t="shared" si="22"/>
        <v>0</v>
      </c>
      <c r="S65" s="10">
        <f t="shared" si="23"/>
        <v>0</v>
      </c>
      <c r="T65" s="16" t="str">
        <f t="shared" si="24"/>
        <v>Sem - 23</v>
      </c>
      <c r="U65" s="16" t="str">
        <f t="shared" si="25"/>
        <v>Juin</v>
      </c>
      <c r="V65" s="11" t="str">
        <f t="shared" si="26"/>
        <v>2026</v>
      </c>
      <c r="W65" s="9"/>
      <c r="X65" s="5">
        <f t="shared" si="27"/>
        <v>0</v>
      </c>
      <c r="Y65" s="12">
        <f>IFERROR(VLOOKUP(B65,Annuaire_roster!B:E,4,0),"-")</f>
        <v>0</v>
      </c>
      <c r="Z65" s="12" t="str">
        <f>IFERROR(VLOOKUP(B65,Annuaire_roster!B:F,3,0),"-")</f>
        <v>Google Leads</v>
      </c>
      <c r="AA65" s="12">
        <f>IFERROR(VLOOKUP(B65,Annuaire_roster!B:I,6,0),"-")</f>
        <v>0</v>
      </c>
      <c r="AB65" s="142" t="str">
        <f t="shared" si="28"/>
        <v/>
      </c>
      <c r="AC65" s="142" t="str">
        <f t="shared" si="29"/>
        <v/>
      </c>
      <c r="AD65" s="142" t="str">
        <f t="shared" si="30"/>
        <v/>
      </c>
      <c r="AE65" s="143" t="str">
        <f t="shared" si="31"/>
        <v/>
      </c>
      <c r="AF65" s="63"/>
      <c r="AG65" s="10"/>
    </row>
    <row r="66" spans="1:33" hidden="1" x14ac:dyDescent="0.2">
      <c r="A66" s="70">
        <f>VLOOKUP(B66,Annuaire_roster!B:F,5,0)</f>
        <v>742</v>
      </c>
      <c r="B66" s="166" t="s">
        <v>76</v>
      </c>
      <c r="C66" s="61">
        <v>0.29166666666666663</v>
      </c>
      <c r="D66" s="61">
        <f t="array" ref="D66">IFERROR(INDEX(Planning2[],MATCH(1,(Planning2[Nom]=B66)*(Planning2[Date]=Q66),0),3),"-")</f>
        <v>0.29166666666666669</v>
      </c>
      <c r="E66" s="38">
        <v>0.70833333333333337</v>
      </c>
      <c r="F66" s="38">
        <f t="array" ref="F66">IFERROR(INDEX(Planning2[],MATCH(1,(Planning2[Nom]=B66)*(Planning2[Date]=Q66),0),4),"-")</f>
        <v>0.70833333333333337</v>
      </c>
      <c r="G66" s="88"/>
      <c r="H66" s="88"/>
      <c r="I66" s="209" t="str">
        <f t="shared" ref="I66:I97" si="33">IF(IF(OR(C66="",D66="Congé",D66="OFF",D66="Congé spécial"),"",IF(D66&gt;F66,D66-C66,IF(C66-D66&lt;0,0,C66-D66)))&lt;0.00068287037037037,"",IF(OR(D66="Congé",D66="OFF",C66="",D66="Congé spécial"),"",IF(D66&gt;F66,D66-C66,IF(C66-D66&lt;0,0,C66-D66))))</f>
        <v/>
      </c>
      <c r="J66" s="88"/>
      <c r="K66" s="89">
        <f t="shared" si="32"/>
        <v>0</v>
      </c>
      <c r="L66" s="88">
        <f t="shared" ref="L66:L97" si="34">IF(OR(F66="Congé",F66="OFF",M66="Abs",F66="Congé sans solde",F66="Férié",F66="Congé spécial",D66="Congé spécial"),0,IF(F66-E66&lt;0,0,IF(F66-E66&lt;=0.00068287037037037,0,F66-E66)))</f>
        <v>0</v>
      </c>
      <c r="M66" s="62">
        <f t="shared" ref="M66:M97" si="35">IF(AND(O66&lt;&gt;0,C66=""),"Abs",0)</f>
        <v>0</v>
      </c>
      <c r="N66" s="102">
        <f t="shared" ref="N66:N97" si="36">IFERROR(IF(OR(D66="OFF",D66="Congé",M66="Abs",D66="Congé sans solde",D66="Férié"),"",IF(O66-K66-L66&gt;O66,O66,IF(O66-K66-L66&lt;0,"",O66-K66-L66))),"")</f>
        <v>0.375</v>
      </c>
      <c r="O66" s="90">
        <f t="shared" ref="O66:O97" si="37">IF(AG66="2H Pause déjeuner",IF(F66-D66-0.0833333333333333&lt;0,F66-D66-0.0833333333333333+1,F66-D66-0.0833333333333333),IF(OR(AND(F66="OFF",D66="OFF"),AND(F66="Congé",D66="Congé"),AND(F66="Congé sans solde",D66="Congé sans solde"),AND(F66="Congé spécial",D66="Congé spécial"),AND(F66="Férié",D66="Férié"),AND(F66="OFF",D66="Congé"),AND(F66="OFF",D66="Congé sans solde"),AND(F66="OFF",D66="Congé spécial"),AND(F66="OFF",D66="Férié"),AND(F66="Congé",D66="OFF"),AND(F66="Congé",D66="Congé sans solde"),AND(F66="Congé",D66="Congé spécial"),AND(F66="Congé",D66="Férié"),AND(F66="Congé sans solde",D66="OFF"),AND(F66="Congé sans solde",D66="Congé"),AND(F66="Congé sans solde",D66="Congé spécial"),AND(F66="Congé sans solde",D66="Férié"),AND(F66="Congé spécial",D66="OFF"),AND(F66="Congé spécial",D66="Congé"),AND(F66="Congé spécial",D66="Congé sans solde"),AND(F66="Congé spécial",D66="Férié"),AND(F66="Férié",D66="OFF"),AND(F66="Férié",D66="Congé"),AND(F66="Férié",D66="Congé sans solde"),AND(F66="Férié",D66="Congé spécial")),0,IF(OR(F66="OFF",F66="Congé",F66="Congé spécial",F66="Congé sans solde",D66="OFF",D66="Congé",D66="Congé spécial",D66="Congé sans solde"),0.208333333333334,IF(AND(AG66="",F66-D66&lt;0),("24:00:00"-D66)+("00:00:00"+F66)-0.0416666666666667,IF(AND(OR(AG66="Allaitement",AG66="Sans déjeuner"),F66-D66&lt;0),("24:00:00"-D66)+("00:00:00"+F66),IF(AND(AG66="",F66-D66&gt;0.166666666666667),F66-D66-0.0416666666666667,IF(AND(OR(AG66="Allaitement",AG66="Sans déjeuner"),F66-D66&gt;0.166666666666667),F66-D66,F66-D66)))))))</f>
        <v>0.375</v>
      </c>
      <c r="P66" s="91" t="str">
        <f>IFERROR(VLOOKUP($B66,Annuaire_roster!$B:$G,MATCH(P$1,Annuaire_roster!$B$1:$G$1,0),0),"-")</f>
        <v>Google Leads</v>
      </c>
      <c r="Q66" s="100">
        <v>44719</v>
      </c>
      <c r="R66" s="10">
        <f t="shared" ref="R66:R97" si="38">IF(M66="Abs",O66,0)</f>
        <v>0</v>
      </c>
      <c r="S66" s="10">
        <f t="shared" ref="S66:S97" si="39">SUM(R66,L66,I66,J66,W66,H66)</f>
        <v>0</v>
      </c>
      <c r="T66" s="16" t="str">
        <f t="shared" ref="T66:T97" si="40">"Sem - "&amp;WEEKNUM(Q66,21)</f>
        <v>Sem - 24</v>
      </c>
      <c r="U66" s="16" t="str">
        <f t="shared" ref="U66:U97" si="41">PROPER(TEXT(Q66,"mmmm"))</f>
        <v>Juin</v>
      </c>
      <c r="V66" s="11" t="str">
        <f t="shared" ref="V66:V97" si="42">+TEXT(Q66,"aaa")</f>
        <v>2026</v>
      </c>
      <c r="W66" s="9"/>
      <c r="X66" s="5">
        <f t="shared" ref="X66:X97" si="43">IFERROR(IF(M66="Abs",0,IF((D66-C66+E66-F66)&lt;0.000694444444444444,0,(D66-C66+E66-F66))),0)</f>
        <v>0</v>
      </c>
      <c r="Y66" s="12" t="str">
        <f>IFERROR(VLOOKUP(B66,Annuaire_roster!B:E,4,0),"-")</f>
        <v>OUAQERROUCH Nour-El Houda</v>
      </c>
      <c r="Z66" s="12" t="str">
        <f>IFERROR(VLOOKUP(B66,Annuaire_roster!B:F,3,0),"-")</f>
        <v>Google Leads</v>
      </c>
      <c r="AA66" s="12" t="str">
        <f>IFERROR(VLOOKUP(B66,Annuaire_roster!B:I,6,0),"-")</f>
        <v>Forfaitaire</v>
      </c>
      <c r="AB66" s="142" t="str">
        <f t="shared" ref="AB66:AB97" si="44">IF(AND(D66="Congé",F66="Congé"),0.333333333333333,IF(OR(AND(D66="Congé",F66&lt;&gt;"Congé"),(AND(F66="Congé",D66&lt;&gt;"Congé"))),0.166666666666667,""))</f>
        <v/>
      </c>
      <c r="AC66" s="142" t="str">
        <f t="shared" ref="AC66:AC97" si="45">IF(AND(D66="Congé sans solde",F66="Congé sans solde"),0.333333333333333,IF(OR(AND(D66="Congé sans solde",F66&lt;&gt;"Congé sans solde"),(AND(F66="Congé sans solde",D66&lt;&gt;"Congé sans solde"))),0.166666666666667,""))</f>
        <v/>
      </c>
      <c r="AD66" s="142" t="str">
        <f t="shared" ref="AD66:AD97" si="46">IF(AND(D66="Congé spécial",F66="Congé spécial"),0.333333333333333,IF(OR(AND(D66="Congé spécial",F66&lt;&gt;"Congé décès"),(AND(F66="Congé spécial",D66&lt;&gt;"Congé spécial"))),0.166666666666667,""))</f>
        <v/>
      </c>
      <c r="AE66" s="143" t="str">
        <f t="shared" ref="AE66:AE97" si="47">IF(AND(D66="Férié",F66="Férié"),0.333333333333333,IF(OR(AND(D66="Férié",F66&lt;&gt;"Férié"),(AND(F66="Férié",D66&lt;&gt;"Férié"))),0.166666666666667,""))</f>
        <v/>
      </c>
      <c r="AF66" s="63"/>
      <c r="AG66" s="10"/>
    </row>
    <row r="67" spans="1:33" hidden="1" x14ac:dyDescent="0.2">
      <c r="A67" s="70">
        <f>VLOOKUP(B67,Annuaire_roster!B:F,5,0)</f>
        <v>1007</v>
      </c>
      <c r="B67" s="166" t="s">
        <v>89</v>
      </c>
      <c r="C67" s="61">
        <v>0.29097222222222219</v>
      </c>
      <c r="D67" s="61">
        <f t="array" ref="D67">IFERROR(INDEX(Planning2[],MATCH(1,(Planning2[Nom]=B67)*(Planning2[Date]=Q67),0),3),"-")</f>
        <v>0.29166666666666669</v>
      </c>
      <c r="E67" s="38">
        <v>0.70833333333333337</v>
      </c>
      <c r="F67" s="38">
        <f t="array" ref="F67">IFERROR(INDEX(Planning2[],MATCH(1,(Planning2[Nom]=B67)*(Planning2[Date]=Q67),0),4),"-")</f>
        <v>0.70833333333333337</v>
      </c>
      <c r="G67" s="88"/>
      <c r="H67" s="88"/>
      <c r="I67" s="209" t="str">
        <f t="shared" si="33"/>
        <v/>
      </c>
      <c r="J67" s="88"/>
      <c r="K67" s="89">
        <f t="shared" si="32"/>
        <v>0</v>
      </c>
      <c r="L67" s="88">
        <f t="shared" si="34"/>
        <v>0</v>
      </c>
      <c r="M67" s="62">
        <f t="shared" si="35"/>
        <v>0</v>
      </c>
      <c r="N67" s="102">
        <f t="shared" si="36"/>
        <v>0.375</v>
      </c>
      <c r="O67" s="90">
        <f t="shared" si="37"/>
        <v>0.375</v>
      </c>
      <c r="P67" s="91" t="str">
        <f>IFERROR(VLOOKUP($B67,Annuaire_roster!$B:$G,MATCH(P$1,Annuaire_roster!$B$1:$G$1,0),0),"-")</f>
        <v>Google Leads</v>
      </c>
      <c r="Q67" s="100">
        <v>44719</v>
      </c>
      <c r="R67" s="10">
        <f t="shared" si="38"/>
        <v>0</v>
      </c>
      <c r="S67" s="10">
        <f t="shared" si="39"/>
        <v>0</v>
      </c>
      <c r="T67" s="16" t="str">
        <f t="shared" si="40"/>
        <v>Sem - 24</v>
      </c>
      <c r="U67" s="16" t="str">
        <f t="shared" si="41"/>
        <v>Juin</v>
      </c>
      <c r="V67" s="11" t="str">
        <f t="shared" si="42"/>
        <v>2026</v>
      </c>
      <c r="W67" s="9"/>
      <c r="X67" s="5">
        <f t="shared" si="43"/>
        <v>0</v>
      </c>
      <c r="Y67" s="12" t="str">
        <f>IFERROR(VLOOKUP(B67,Annuaire_roster!B:E,4,0),"-")</f>
        <v>OUAQERROUCH Nour-El Houda</v>
      </c>
      <c r="Z67" s="12" t="str">
        <f>IFERROR(VLOOKUP(B67,Annuaire_roster!B:F,3,0),"-")</f>
        <v>Google Leads</v>
      </c>
      <c r="AA67" s="12" t="str">
        <f>IFERROR(VLOOKUP(B67,Annuaire_roster!B:I,6,0),"-")</f>
        <v>Forfaitaire</v>
      </c>
      <c r="AB67" s="142" t="str">
        <f t="shared" si="44"/>
        <v/>
      </c>
      <c r="AC67" s="142" t="str">
        <f t="shared" si="45"/>
        <v/>
      </c>
      <c r="AD67" s="142" t="str">
        <f t="shared" si="46"/>
        <v/>
      </c>
      <c r="AE67" s="143" t="str">
        <f t="shared" si="47"/>
        <v/>
      </c>
      <c r="AF67" s="218"/>
      <c r="AG67" s="10"/>
    </row>
    <row r="68" spans="1:33" hidden="1" x14ac:dyDescent="0.2">
      <c r="A68" s="70">
        <f>VLOOKUP(B68,Annuaire_roster!B:F,5,0)</f>
        <v>1132</v>
      </c>
      <c r="B68" s="166" t="s">
        <v>88</v>
      </c>
      <c r="C68" s="61">
        <v>0.29166666666666663</v>
      </c>
      <c r="D68" s="61">
        <f t="array" ref="D68">IFERROR(INDEX(Planning2[],MATCH(1,(Planning2[Nom]=B68)*(Planning2[Date]=Q68),0),3),"-")</f>
        <v>0.29166666666666669</v>
      </c>
      <c r="E68" s="38">
        <v>0.66666666666666663</v>
      </c>
      <c r="F68" s="38">
        <f t="array" ref="F68">IFERROR(INDEX(Planning2[],MATCH(1,(Planning2[Nom]=B68)*(Planning2[Date]=Q68),0),4),"-")</f>
        <v>0.66666666666666663</v>
      </c>
      <c r="G68" s="88"/>
      <c r="H68" s="88"/>
      <c r="I68" s="209" t="str">
        <f t="shared" si="33"/>
        <v/>
      </c>
      <c r="J68" s="88"/>
      <c r="K68" s="89">
        <f t="shared" si="32"/>
        <v>0</v>
      </c>
      <c r="L68" s="88">
        <f t="shared" si="34"/>
        <v>0</v>
      </c>
      <c r="M68" s="62">
        <f t="shared" si="35"/>
        <v>0</v>
      </c>
      <c r="N68" s="102">
        <f t="shared" si="36"/>
        <v>0.33333333333333326</v>
      </c>
      <c r="O68" s="90">
        <f t="shared" si="37"/>
        <v>0.33333333333333326</v>
      </c>
      <c r="P68" s="91" t="str">
        <f>IFERROR(VLOOKUP($B68,Annuaire_roster!$B:$G,MATCH(P$1,Annuaire_roster!$B$1:$G$1,0),0),"-")</f>
        <v>Google Leads</v>
      </c>
      <c r="Q68" s="100">
        <v>44719</v>
      </c>
      <c r="R68" s="10">
        <f t="shared" si="38"/>
        <v>0</v>
      </c>
      <c r="S68" s="10">
        <f t="shared" si="39"/>
        <v>0</v>
      </c>
      <c r="T68" s="16" t="str">
        <f t="shared" si="40"/>
        <v>Sem - 24</v>
      </c>
      <c r="U68" s="16" t="str">
        <f t="shared" si="41"/>
        <v>Juin</v>
      </c>
      <c r="V68" s="11" t="str">
        <f t="shared" si="42"/>
        <v>2026</v>
      </c>
      <c r="W68" s="9"/>
      <c r="X68" s="5">
        <f t="shared" si="43"/>
        <v>0</v>
      </c>
      <c r="Y68" s="12" t="str">
        <f>IFERROR(VLOOKUP(B68,Annuaire_roster!B:E,4,0),"-")</f>
        <v>CHOUIFI Mustapha</v>
      </c>
      <c r="Z68" s="12" t="str">
        <f>IFERROR(VLOOKUP(B68,Annuaire_roster!B:F,3,0),"-")</f>
        <v>Google Leads</v>
      </c>
      <c r="AA68" s="12" t="str">
        <f>IFERROR(VLOOKUP(B68,Annuaire_roster!B:I,6,0),"-")</f>
        <v>Forfaitaire</v>
      </c>
      <c r="AB68" s="142" t="str">
        <f t="shared" si="44"/>
        <v/>
      </c>
      <c r="AC68" s="142" t="str">
        <f t="shared" si="45"/>
        <v/>
      </c>
      <c r="AD68" s="142" t="str">
        <f t="shared" si="46"/>
        <v/>
      </c>
      <c r="AE68" s="143" t="str">
        <f t="shared" si="47"/>
        <v/>
      </c>
      <c r="AF68" s="63"/>
      <c r="AG68" s="10"/>
    </row>
    <row r="69" spans="1:33" hidden="1" x14ac:dyDescent="0.2">
      <c r="A69" s="70">
        <f>VLOOKUP(B69,Annuaire_roster!B:F,5,0)</f>
        <v>0</v>
      </c>
      <c r="B69" s="166" t="s">
        <v>198</v>
      </c>
      <c r="C69" s="61">
        <v>0.29166666666666669</v>
      </c>
      <c r="D69" s="61">
        <f t="array" ref="D69">IFERROR(INDEX(Planning2[],MATCH(1,(Planning2[Nom]=B69)*(Planning2[Date]=Q69),0),3),"-")</f>
        <v>0.29166666666666669</v>
      </c>
      <c r="E69" s="38">
        <v>0.70833333333333337</v>
      </c>
      <c r="F69" s="38">
        <f t="array" ref="F69">IFERROR(INDEX(Planning2[],MATCH(1,(Planning2[Nom]=B69)*(Planning2[Date]=Q69),0),4),"-")</f>
        <v>0.70833333333333337</v>
      </c>
      <c r="G69" s="88"/>
      <c r="H69" s="88"/>
      <c r="I69" s="209" t="str">
        <f t="shared" si="33"/>
        <v/>
      </c>
      <c r="J69" s="88"/>
      <c r="K69" s="89">
        <f t="shared" si="32"/>
        <v>0</v>
      </c>
      <c r="L69" s="88">
        <f t="shared" si="34"/>
        <v>0</v>
      </c>
      <c r="M69" s="62">
        <f t="shared" si="35"/>
        <v>0</v>
      </c>
      <c r="N69" s="102">
        <f t="shared" si="36"/>
        <v>0.375</v>
      </c>
      <c r="O69" s="90">
        <f t="shared" si="37"/>
        <v>0.375</v>
      </c>
      <c r="P69" s="91" t="str">
        <f>IFERROR(VLOOKUP($B69,Annuaire_roster!$B:$G,MATCH(P$1,Annuaire_roster!$B$1:$G$1,0),0),"-")</f>
        <v>Google Leads</v>
      </c>
      <c r="Q69" s="100">
        <v>44719</v>
      </c>
      <c r="R69" s="10">
        <f t="shared" si="38"/>
        <v>0</v>
      </c>
      <c r="S69" s="10">
        <f t="shared" si="39"/>
        <v>0</v>
      </c>
      <c r="T69" s="16" t="str">
        <f t="shared" si="40"/>
        <v>Sem - 24</v>
      </c>
      <c r="U69" s="16" t="str">
        <f t="shared" si="41"/>
        <v>Juin</v>
      </c>
      <c r="V69" s="11" t="str">
        <f t="shared" si="42"/>
        <v>2026</v>
      </c>
      <c r="W69" s="9"/>
      <c r="X69" s="5">
        <f t="shared" si="43"/>
        <v>0</v>
      </c>
      <c r="Y69" s="12">
        <f>IFERROR(VLOOKUP(B69,Annuaire_roster!B:E,4,0),"-")</f>
        <v>0</v>
      </c>
      <c r="Z69" s="12" t="str">
        <f>IFERROR(VLOOKUP(B69,Annuaire_roster!B:F,3,0),"-")</f>
        <v>Google Leads</v>
      </c>
      <c r="AA69" s="12">
        <f>IFERROR(VLOOKUP(B69,Annuaire_roster!B:I,6,0),"-")</f>
        <v>0</v>
      </c>
      <c r="AB69" s="142" t="str">
        <f t="shared" si="44"/>
        <v/>
      </c>
      <c r="AC69" s="142" t="str">
        <f t="shared" si="45"/>
        <v/>
      </c>
      <c r="AD69" s="142" t="str">
        <f t="shared" si="46"/>
        <v/>
      </c>
      <c r="AE69" s="143" t="str">
        <f t="shared" si="47"/>
        <v/>
      </c>
      <c r="AF69" s="63"/>
      <c r="AG69" s="10"/>
    </row>
    <row r="70" spans="1:33" s="210" customFormat="1" hidden="1" x14ac:dyDescent="0.2">
      <c r="A70" s="70">
        <f>VLOOKUP(B70,Annuaire_roster!B:F,5,0)</f>
        <v>0</v>
      </c>
      <c r="B70" s="166" t="s">
        <v>209</v>
      </c>
      <c r="C70" s="61">
        <v>0.29166666666666663</v>
      </c>
      <c r="D70" s="61">
        <f t="array" ref="D70">IFERROR(INDEX(Planning2[],MATCH(1,(Planning2[Nom]=B70)*(Planning2[Date]=Q70),0),3),"-")</f>
        <v>0.29166666666666669</v>
      </c>
      <c r="E70" s="38">
        <v>0.70833333333333337</v>
      </c>
      <c r="F70" s="38">
        <f t="array" ref="F70">IFERROR(INDEX(Planning2[],MATCH(1,(Planning2[Nom]=B70)*(Planning2[Date]=Q70),0),4),"-")</f>
        <v>0.70833333333333337</v>
      </c>
      <c r="G70" s="88"/>
      <c r="H70" s="88"/>
      <c r="I70" s="209" t="str">
        <f t="shared" si="33"/>
        <v/>
      </c>
      <c r="J70" s="88"/>
      <c r="K70" s="89">
        <f t="shared" si="32"/>
        <v>0</v>
      </c>
      <c r="L70" s="88">
        <f t="shared" si="34"/>
        <v>0</v>
      </c>
      <c r="M70" s="62">
        <f t="shared" si="35"/>
        <v>0</v>
      </c>
      <c r="N70" s="102">
        <f t="shared" si="36"/>
        <v>0.375</v>
      </c>
      <c r="O70" s="90">
        <f t="shared" si="37"/>
        <v>0.375</v>
      </c>
      <c r="P70" s="91" t="str">
        <f>IFERROR(VLOOKUP($B70,Annuaire_roster!$B:$G,MATCH(P$1,Annuaire_roster!$B$1:$G$1,0),0),"-")</f>
        <v>Google Leads</v>
      </c>
      <c r="Q70" s="100">
        <v>44719</v>
      </c>
      <c r="R70" s="10">
        <f t="shared" si="38"/>
        <v>0</v>
      </c>
      <c r="S70" s="10">
        <f t="shared" si="39"/>
        <v>0</v>
      </c>
      <c r="T70" s="16" t="str">
        <f t="shared" si="40"/>
        <v>Sem - 24</v>
      </c>
      <c r="U70" s="16" t="str">
        <f t="shared" si="41"/>
        <v>Juin</v>
      </c>
      <c r="V70" s="11" t="str">
        <f t="shared" si="42"/>
        <v>2026</v>
      </c>
      <c r="W70" s="9"/>
      <c r="X70" s="5">
        <f t="shared" si="43"/>
        <v>0</v>
      </c>
      <c r="Y70" s="12">
        <f>IFERROR(VLOOKUP(B70,Annuaire_roster!B:E,4,0),"-")</f>
        <v>0</v>
      </c>
      <c r="Z70" s="12" t="str">
        <f>IFERROR(VLOOKUP(B70,Annuaire_roster!B:F,3,0),"-")</f>
        <v>Google Leads</v>
      </c>
      <c r="AA70" s="12">
        <f>IFERROR(VLOOKUP(B70,Annuaire_roster!B:I,6,0),"-")</f>
        <v>0</v>
      </c>
      <c r="AB70" s="142" t="str">
        <f t="shared" si="44"/>
        <v/>
      </c>
      <c r="AC70" s="142" t="str">
        <f t="shared" si="45"/>
        <v/>
      </c>
      <c r="AD70" s="142" t="str">
        <f t="shared" si="46"/>
        <v/>
      </c>
      <c r="AE70" s="143" t="str">
        <f t="shared" si="47"/>
        <v/>
      </c>
      <c r="AF70" s="218"/>
      <c r="AG70" s="10"/>
    </row>
    <row r="71" spans="1:33" hidden="1" x14ac:dyDescent="0.2">
      <c r="A71" s="70">
        <f>VLOOKUP(B71,Annuaire_roster!B:F,5,0)</f>
        <v>0</v>
      </c>
      <c r="B71" s="166" t="s">
        <v>210</v>
      </c>
      <c r="C71" s="61">
        <v>0.2895833333333333</v>
      </c>
      <c r="D71" s="61">
        <f t="array" ref="D71">IFERROR(INDEX(Planning2[],MATCH(1,(Planning2[Nom]=B71)*(Planning2[Date]=Q71),0),3),"-")</f>
        <v>0.29166666666666669</v>
      </c>
      <c r="E71" s="38">
        <v>0.66666666666666663</v>
      </c>
      <c r="F71" s="38">
        <f t="array" ref="F71">IFERROR(INDEX(Planning2[],MATCH(1,(Planning2[Nom]=B71)*(Planning2[Date]=Q71),0),4),"-")</f>
        <v>0.66666666666666663</v>
      </c>
      <c r="G71" s="88"/>
      <c r="H71" s="88"/>
      <c r="I71" s="209" t="str">
        <f t="shared" si="33"/>
        <v/>
      </c>
      <c r="J71" s="88"/>
      <c r="K71" s="89">
        <f t="shared" si="32"/>
        <v>0</v>
      </c>
      <c r="L71" s="88">
        <f t="shared" si="34"/>
        <v>0</v>
      </c>
      <c r="M71" s="62">
        <f t="shared" si="35"/>
        <v>0</v>
      </c>
      <c r="N71" s="102">
        <f t="shared" si="36"/>
        <v>0.33333333333333326</v>
      </c>
      <c r="O71" s="90">
        <f t="shared" si="37"/>
        <v>0.33333333333333326</v>
      </c>
      <c r="P71" s="91" t="str">
        <f>IFERROR(VLOOKUP($B71,Annuaire_roster!$B:$G,MATCH(P$1,Annuaire_roster!$B$1:$G$1,0),0),"-")</f>
        <v>Google Leads</v>
      </c>
      <c r="Q71" s="100">
        <v>44719</v>
      </c>
      <c r="R71" s="10">
        <f t="shared" si="38"/>
        <v>0</v>
      </c>
      <c r="S71" s="10">
        <f t="shared" si="39"/>
        <v>0</v>
      </c>
      <c r="T71" s="16" t="str">
        <f t="shared" si="40"/>
        <v>Sem - 24</v>
      </c>
      <c r="U71" s="16" t="str">
        <f t="shared" si="41"/>
        <v>Juin</v>
      </c>
      <c r="V71" s="11" t="str">
        <f t="shared" si="42"/>
        <v>2026</v>
      </c>
      <c r="W71" s="9"/>
      <c r="X71" s="5">
        <f t="shared" si="43"/>
        <v>2.0833333333333259E-3</v>
      </c>
      <c r="Y71" s="12">
        <f>IFERROR(VLOOKUP(B71,Annuaire_roster!B:E,4,0),"-")</f>
        <v>0</v>
      </c>
      <c r="Z71" s="12" t="str">
        <f>IFERROR(VLOOKUP(B71,Annuaire_roster!B:F,3,0),"-")</f>
        <v>Google Leads</v>
      </c>
      <c r="AA71" s="12">
        <f>IFERROR(VLOOKUP(B71,Annuaire_roster!B:I,6,0),"-")</f>
        <v>0</v>
      </c>
      <c r="AB71" s="142" t="str">
        <f t="shared" si="44"/>
        <v/>
      </c>
      <c r="AC71" s="142" t="str">
        <f t="shared" si="45"/>
        <v/>
      </c>
      <c r="AD71" s="142" t="str">
        <f t="shared" si="46"/>
        <v/>
      </c>
      <c r="AE71" s="143" t="str">
        <f t="shared" si="47"/>
        <v/>
      </c>
      <c r="AF71" s="63"/>
      <c r="AG71" s="10"/>
    </row>
    <row r="72" spans="1:33" hidden="1" x14ac:dyDescent="0.2">
      <c r="A72" s="211">
        <f>VLOOKUP(B72,Annuaire_roster!B:F,5,0)</f>
        <v>0</v>
      </c>
      <c r="B72" s="166" t="s">
        <v>212</v>
      </c>
      <c r="C72" s="61">
        <v>0.27986111111111112</v>
      </c>
      <c r="D72" s="61">
        <f t="array" ref="D72">IFERROR(INDEX(Planning2[],MATCH(1,(Planning2[Nom]=B72)*(Planning2[Date]=Q72),0),3),"-")</f>
        <v>0.29166666666666669</v>
      </c>
      <c r="E72" s="38">
        <v>0.70833333333333337</v>
      </c>
      <c r="F72" s="38">
        <f t="array" ref="F72">IFERROR(INDEX(Planning2[],MATCH(1,(Planning2[Nom]=B72)*(Planning2[Date]=Q72),0),4),"-")</f>
        <v>0.70833333333333337</v>
      </c>
      <c r="G72" s="88"/>
      <c r="H72" s="88"/>
      <c r="I72" s="209" t="str">
        <f t="shared" si="33"/>
        <v/>
      </c>
      <c r="J72" s="88"/>
      <c r="K72" s="89">
        <f t="shared" si="32"/>
        <v>0</v>
      </c>
      <c r="L72" s="88">
        <f t="shared" si="34"/>
        <v>0</v>
      </c>
      <c r="M72" s="62">
        <f t="shared" si="35"/>
        <v>0</v>
      </c>
      <c r="N72" s="212">
        <f t="shared" si="36"/>
        <v>0.375</v>
      </c>
      <c r="O72" s="90">
        <f t="shared" si="37"/>
        <v>0.375</v>
      </c>
      <c r="P72" s="91" t="str">
        <f>IFERROR(VLOOKUP($B72,Annuaire_roster!$B:$G,MATCH(P$1,Annuaire_roster!$B$1:$G$1,0),0),"-")</f>
        <v>Google Leads</v>
      </c>
      <c r="Q72" s="213">
        <v>44719</v>
      </c>
      <c r="R72" s="142">
        <f t="shared" si="38"/>
        <v>0</v>
      </c>
      <c r="S72" s="142">
        <f t="shared" si="39"/>
        <v>0</v>
      </c>
      <c r="T72" s="16" t="str">
        <f t="shared" si="40"/>
        <v>Sem - 24</v>
      </c>
      <c r="U72" s="16" t="str">
        <f t="shared" si="41"/>
        <v>Juin</v>
      </c>
      <c r="V72" s="214" t="str">
        <f t="shared" si="42"/>
        <v>2026</v>
      </c>
      <c r="W72" s="212"/>
      <c r="X72" s="215">
        <f t="shared" si="43"/>
        <v>1.1805555555555514E-2</v>
      </c>
      <c r="Y72" s="216">
        <f>IFERROR(VLOOKUP(B72,Annuaire_roster!B:E,4,0),"-")</f>
        <v>0</v>
      </c>
      <c r="Z72" s="216" t="str">
        <f>IFERROR(VLOOKUP(B72,Annuaire_roster!B:F,3,0),"-")</f>
        <v>Google Leads</v>
      </c>
      <c r="AA72" s="216">
        <f>IFERROR(VLOOKUP(B72,Annuaire_roster!B:I,6,0),"-")</f>
        <v>0</v>
      </c>
      <c r="AB72" s="142" t="str">
        <f t="shared" si="44"/>
        <v/>
      </c>
      <c r="AC72" s="142" t="str">
        <f t="shared" si="45"/>
        <v/>
      </c>
      <c r="AD72" s="142" t="str">
        <f t="shared" si="46"/>
        <v/>
      </c>
      <c r="AE72" s="217" t="str">
        <f t="shared" si="47"/>
        <v/>
      </c>
      <c r="AF72" s="218"/>
      <c r="AG72" s="142"/>
    </row>
    <row r="73" spans="1:33" hidden="1" x14ac:dyDescent="0.2">
      <c r="A73" s="70">
        <f>VLOOKUP(B73,Annuaire_roster!B:F,5,0)</f>
        <v>1274</v>
      </c>
      <c r="B73" s="166" t="s">
        <v>141</v>
      </c>
      <c r="C73" s="61">
        <v>0.28888888888888886</v>
      </c>
      <c r="D73" s="61">
        <f t="array" ref="D73">IFERROR(INDEX(Planning2[],MATCH(1,(Planning2[Nom]=B73)*(Planning2[Date]=Q73),0),3),"-")</f>
        <v>0.29166666666666669</v>
      </c>
      <c r="E73" s="38">
        <v>0.70833333333333337</v>
      </c>
      <c r="F73" s="38">
        <f t="array" ref="F73">IFERROR(INDEX(Planning2[],MATCH(1,(Planning2[Nom]=B73)*(Planning2[Date]=Q73),0),4),"-")</f>
        <v>0.70833333333333337</v>
      </c>
      <c r="G73" s="88"/>
      <c r="H73" s="88"/>
      <c r="I73" s="209" t="str">
        <f t="shared" si="33"/>
        <v/>
      </c>
      <c r="J73" s="88"/>
      <c r="K73" s="89">
        <f t="shared" si="32"/>
        <v>0</v>
      </c>
      <c r="L73" s="88">
        <f t="shared" si="34"/>
        <v>0</v>
      </c>
      <c r="M73" s="62">
        <f t="shared" si="35"/>
        <v>0</v>
      </c>
      <c r="N73" s="102">
        <f t="shared" si="36"/>
        <v>0.375</v>
      </c>
      <c r="O73" s="90">
        <f t="shared" si="37"/>
        <v>0.375</v>
      </c>
      <c r="P73" s="91" t="str">
        <f>IFERROR(VLOOKUP($B73,Annuaire_roster!$B:$G,MATCH(P$1,Annuaire_roster!$B$1:$G$1,0),0),"-")</f>
        <v>Google Leads</v>
      </c>
      <c r="Q73" s="100">
        <v>44719</v>
      </c>
      <c r="R73" s="10">
        <f t="shared" si="38"/>
        <v>0</v>
      </c>
      <c r="S73" s="10">
        <f t="shared" si="39"/>
        <v>0</v>
      </c>
      <c r="T73" s="16" t="str">
        <f t="shared" si="40"/>
        <v>Sem - 24</v>
      </c>
      <c r="U73" s="16" t="str">
        <f t="shared" si="41"/>
        <v>Juin</v>
      </c>
      <c r="V73" s="11" t="str">
        <f t="shared" si="42"/>
        <v>2026</v>
      </c>
      <c r="W73" s="9"/>
      <c r="X73" s="5">
        <f t="shared" si="43"/>
        <v>2.7777777777778789E-3</v>
      </c>
      <c r="Y73" s="12" t="str">
        <f>IFERROR(VLOOKUP(B73,Annuaire_roster!B:E,4,0),"-")</f>
        <v>OUAQERROUCH Nour-El Houda</v>
      </c>
      <c r="Z73" s="12" t="str">
        <f>IFERROR(VLOOKUP(B73,Annuaire_roster!B:F,3,0),"-")</f>
        <v>Google Leads</v>
      </c>
      <c r="AA73" s="12" t="str">
        <f>IFERROR(VLOOKUP(B73,Annuaire_roster!B:I,6,0),"-")</f>
        <v>Forfaitaire</v>
      </c>
      <c r="AB73" s="142" t="str">
        <f t="shared" si="44"/>
        <v/>
      </c>
      <c r="AC73" s="142" t="str">
        <f t="shared" si="45"/>
        <v/>
      </c>
      <c r="AD73" s="142" t="str">
        <f t="shared" si="46"/>
        <v/>
      </c>
      <c r="AE73" s="143" t="str">
        <f t="shared" si="47"/>
        <v/>
      </c>
      <c r="AF73" s="63"/>
      <c r="AG73" s="10"/>
    </row>
    <row r="74" spans="1:33" hidden="1" x14ac:dyDescent="0.2">
      <c r="A74" s="70">
        <f>VLOOKUP(B74,Annuaire_roster!B:F,5,0)</f>
        <v>0</v>
      </c>
      <c r="B74" s="166" t="s">
        <v>197</v>
      </c>
      <c r="C74" s="61">
        <v>0.29097222222222219</v>
      </c>
      <c r="D74" s="61">
        <f t="array" ref="D74">IFERROR(INDEX(Planning2[],MATCH(1,(Planning2[Nom]=B74)*(Planning2[Date]=Q74),0),3),"-")</f>
        <v>0.29166666666666669</v>
      </c>
      <c r="E74" s="38">
        <v>0.70833333333333337</v>
      </c>
      <c r="F74" s="38">
        <f t="array" ref="F74">IFERROR(INDEX(Planning2[],MATCH(1,(Planning2[Nom]=B74)*(Planning2[Date]=Q74),0),4),"-")</f>
        <v>0.70833333333333337</v>
      </c>
      <c r="G74" s="88"/>
      <c r="H74" s="88"/>
      <c r="I74" s="209" t="str">
        <f t="shared" si="33"/>
        <v/>
      </c>
      <c r="J74" s="88"/>
      <c r="K74" s="89">
        <f t="shared" si="32"/>
        <v>0</v>
      </c>
      <c r="L74" s="88">
        <f t="shared" si="34"/>
        <v>0</v>
      </c>
      <c r="M74" s="62">
        <f t="shared" si="35"/>
        <v>0</v>
      </c>
      <c r="N74" s="102">
        <f t="shared" si="36"/>
        <v>0.375</v>
      </c>
      <c r="O74" s="90">
        <f t="shared" si="37"/>
        <v>0.375</v>
      </c>
      <c r="P74" s="91" t="str">
        <f>IFERROR(VLOOKUP($B74,Annuaire_roster!$B:$G,MATCH(P$1,Annuaire_roster!$B$1:$G$1,0),0),"-")</f>
        <v>Google Leads</v>
      </c>
      <c r="Q74" s="100">
        <v>44719</v>
      </c>
      <c r="R74" s="10">
        <f t="shared" si="38"/>
        <v>0</v>
      </c>
      <c r="S74" s="10">
        <f t="shared" si="39"/>
        <v>0</v>
      </c>
      <c r="T74" s="16" t="str">
        <f t="shared" si="40"/>
        <v>Sem - 24</v>
      </c>
      <c r="U74" s="16" t="str">
        <f t="shared" si="41"/>
        <v>Juin</v>
      </c>
      <c r="V74" s="11" t="str">
        <f t="shared" si="42"/>
        <v>2026</v>
      </c>
      <c r="W74" s="9"/>
      <c r="X74" s="5">
        <f t="shared" si="43"/>
        <v>0</v>
      </c>
      <c r="Y74" s="12">
        <f>IFERROR(VLOOKUP(B74,Annuaire_roster!B:E,4,0),"-")</f>
        <v>0</v>
      </c>
      <c r="Z74" s="12" t="str">
        <f>IFERROR(VLOOKUP(B74,Annuaire_roster!B:F,3,0),"-")</f>
        <v>Google Leads</v>
      </c>
      <c r="AA74" s="12">
        <f>IFERROR(VLOOKUP(B74,Annuaire_roster!B:I,6,0),"-")</f>
        <v>0</v>
      </c>
      <c r="AB74" s="142" t="str">
        <f t="shared" si="44"/>
        <v/>
      </c>
      <c r="AC74" s="142" t="str">
        <f t="shared" si="45"/>
        <v/>
      </c>
      <c r="AD74" s="142" t="str">
        <f t="shared" si="46"/>
        <v/>
      </c>
      <c r="AE74" s="143" t="str">
        <f t="shared" si="47"/>
        <v/>
      </c>
      <c r="AF74" s="63"/>
      <c r="AG74" s="10"/>
    </row>
    <row r="75" spans="1:33" hidden="1" x14ac:dyDescent="0.2">
      <c r="A75" s="70">
        <f>VLOOKUP(B75,Annuaire_roster!B:F,5,0)</f>
        <v>0</v>
      </c>
      <c r="B75" s="166" t="s">
        <v>216</v>
      </c>
      <c r="C75" s="61">
        <v>0.28819444444444442</v>
      </c>
      <c r="D75" s="61">
        <f t="array" ref="D75">IFERROR(INDEX(Planning2[],MATCH(1,(Planning2[Nom]=B75)*(Planning2[Date]=Q75),0),3),"-")</f>
        <v>0.29166666666666669</v>
      </c>
      <c r="E75" s="38">
        <v>0.70833333333333337</v>
      </c>
      <c r="F75" s="38">
        <f t="array" ref="F75">IFERROR(INDEX(Planning2[],MATCH(1,(Planning2[Nom]=B75)*(Planning2[Date]=Q75),0),4),"-")</f>
        <v>0.70833333333333337</v>
      </c>
      <c r="G75" s="88"/>
      <c r="H75" s="88"/>
      <c r="I75" s="209" t="str">
        <f t="shared" si="33"/>
        <v/>
      </c>
      <c r="J75" s="88"/>
      <c r="K75" s="89">
        <f t="shared" si="32"/>
        <v>0</v>
      </c>
      <c r="L75" s="88">
        <f t="shared" si="34"/>
        <v>0</v>
      </c>
      <c r="M75" s="62">
        <f t="shared" si="35"/>
        <v>0</v>
      </c>
      <c r="N75" s="102">
        <f t="shared" si="36"/>
        <v>0.375</v>
      </c>
      <c r="O75" s="90">
        <f t="shared" si="37"/>
        <v>0.375</v>
      </c>
      <c r="P75" s="91" t="str">
        <f>IFERROR(VLOOKUP($B75,Annuaire_roster!$B:$G,MATCH(P$1,Annuaire_roster!$B$1:$G$1,0),0),"-")</f>
        <v>Google Leads</v>
      </c>
      <c r="Q75" s="100">
        <v>44719</v>
      </c>
      <c r="R75" s="10">
        <f t="shared" si="38"/>
        <v>0</v>
      </c>
      <c r="S75" s="10">
        <f t="shared" si="39"/>
        <v>0</v>
      </c>
      <c r="T75" s="16" t="str">
        <f t="shared" si="40"/>
        <v>Sem - 24</v>
      </c>
      <c r="U75" s="16" t="str">
        <f t="shared" si="41"/>
        <v>Juin</v>
      </c>
      <c r="V75" s="11" t="str">
        <f t="shared" si="42"/>
        <v>2026</v>
      </c>
      <c r="W75" s="9"/>
      <c r="X75" s="5">
        <f t="shared" si="43"/>
        <v>3.4722222222222099E-3</v>
      </c>
      <c r="Y75" s="12">
        <f>IFERROR(VLOOKUP(B75,Annuaire_roster!B:E,4,0),"-")</f>
        <v>0</v>
      </c>
      <c r="Z75" s="12" t="str">
        <f>IFERROR(VLOOKUP(B75,Annuaire_roster!B:F,3,0),"-")</f>
        <v>Google Leads</v>
      </c>
      <c r="AA75" s="12">
        <f>IFERROR(VLOOKUP(B75,Annuaire_roster!B:I,6,0),"-")</f>
        <v>0</v>
      </c>
      <c r="AB75" s="142" t="str">
        <f t="shared" si="44"/>
        <v/>
      </c>
      <c r="AC75" s="142" t="str">
        <f t="shared" si="45"/>
        <v/>
      </c>
      <c r="AD75" s="142" t="str">
        <f t="shared" si="46"/>
        <v/>
      </c>
      <c r="AE75" s="143" t="str">
        <f t="shared" si="47"/>
        <v/>
      </c>
      <c r="AF75" s="63"/>
      <c r="AG75" s="10"/>
    </row>
    <row r="76" spans="1:33" hidden="1" x14ac:dyDescent="0.2">
      <c r="A76" s="70">
        <f>VLOOKUP(B76,Annuaire_roster!B:F,5,0)</f>
        <v>0</v>
      </c>
      <c r="B76" s="166" t="s">
        <v>219</v>
      </c>
      <c r="C76" s="61">
        <v>0.29166666666666663</v>
      </c>
      <c r="D76" s="61">
        <f t="array" ref="D76">IFERROR(INDEX(Planning2[],MATCH(1,(Planning2[Nom]=B76)*(Planning2[Date]=Q76),0),3),"-")</f>
        <v>0.29166666666666669</v>
      </c>
      <c r="E76" s="38">
        <v>0.70833333333333337</v>
      </c>
      <c r="F76" s="38">
        <f t="array" ref="F76">IFERROR(INDEX(Planning2[],MATCH(1,(Planning2[Nom]=B76)*(Planning2[Date]=Q76),0),4),"-")</f>
        <v>0.70833333333333337</v>
      </c>
      <c r="G76" s="88"/>
      <c r="H76" s="88"/>
      <c r="I76" s="209" t="str">
        <f t="shared" si="33"/>
        <v/>
      </c>
      <c r="J76" s="88"/>
      <c r="K76" s="89">
        <f t="shared" si="32"/>
        <v>0</v>
      </c>
      <c r="L76" s="88">
        <f t="shared" si="34"/>
        <v>0</v>
      </c>
      <c r="M76" s="62">
        <f t="shared" si="35"/>
        <v>0</v>
      </c>
      <c r="N76" s="102">
        <f t="shared" si="36"/>
        <v>0.375</v>
      </c>
      <c r="O76" s="90">
        <f t="shared" si="37"/>
        <v>0.375</v>
      </c>
      <c r="P76" s="91" t="str">
        <f>IFERROR(VLOOKUP($B76,Annuaire_roster!$B:$G,MATCH(P$1,Annuaire_roster!$B$1:$G$1,0),0),"-")</f>
        <v>Google Leads</v>
      </c>
      <c r="Q76" s="100">
        <v>44719</v>
      </c>
      <c r="R76" s="10">
        <f t="shared" si="38"/>
        <v>0</v>
      </c>
      <c r="S76" s="10">
        <f t="shared" si="39"/>
        <v>0</v>
      </c>
      <c r="T76" s="16" t="str">
        <f t="shared" si="40"/>
        <v>Sem - 24</v>
      </c>
      <c r="U76" s="16" t="str">
        <f t="shared" si="41"/>
        <v>Juin</v>
      </c>
      <c r="V76" s="11" t="str">
        <f t="shared" si="42"/>
        <v>2026</v>
      </c>
      <c r="W76" s="9"/>
      <c r="X76" s="5">
        <f t="shared" si="43"/>
        <v>0</v>
      </c>
      <c r="Y76" s="12">
        <f>IFERROR(VLOOKUP(B76,Annuaire_roster!B:E,4,0),"-")</f>
        <v>0</v>
      </c>
      <c r="Z76" s="12" t="str">
        <f>IFERROR(VLOOKUP(B76,Annuaire_roster!B:F,3,0),"-")</f>
        <v>Google Leads</v>
      </c>
      <c r="AA76" s="12">
        <f>IFERROR(VLOOKUP(B76,Annuaire_roster!B:I,6,0),"-")</f>
        <v>0</v>
      </c>
      <c r="AB76" s="142" t="str">
        <f t="shared" si="44"/>
        <v/>
      </c>
      <c r="AC76" s="142" t="str">
        <f t="shared" si="45"/>
        <v/>
      </c>
      <c r="AD76" s="142" t="str">
        <f t="shared" si="46"/>
        <v/>
      </c>
      <c r="AE76" s="143" t="str">
        <f t="shared" si="47"/>
        <v/>
      </c>
      <c r="AF76" s="63"/>
      <c r="AG76" s="10"/>
    </row>
    <row r="77" spans="1:33" ht="13.5" hidden="1" customHeight="1" x14ac:dyDescent="0.2">
      <c r="A77" s="70">
        <f>VLOOKUP(B77,Annuaire_roster!B:F,5,0)</f>
        <v>1170</v>
      </c>
      <c r="B77" s="166" t="s">
        <v>106</v>
      </c>
      <c r="C77" s="61">
        <v>0.33263888888888887</v>
      </c>
      <c r="D77" s="61">
        <f t="array" ref="D77">IFERROR(INDEX(Planning2[],MATCH(1,(Planning2[Nom]=B77)*(Planning2[Date]=Q77),0),3),"-")</f>
        <v>0.33333333333333331</v>
      </c>
      <c r="E77" s="38">
        <v>0.75</v>
      </c>
      <c r="F77" s="38">
        <f t="array" ref="F77">IFERROR(INDEX(Planning2[],MATCH(1,(Planning2[Nom]=B77)*(Planning2[Date]=Q77),0),4),"-")</f>
        <v>0.75</v>
      </c>
      <c r="G77" s="88"/>
      <c r="H77" s="88"/>
      <c r="I77" s="209" t="str">
        <f t="shared" si="33"/>
        <v/>
      </c>
      <c r="J77" s="88"/>
      <c r="K77" s="89">
        <f t="shared" si="32"/>
        <v>0</v>
      </c>
      <c r="L77" s="88">
        <f t="shared" si="34"/>
        <v>0</v>
      </c>
      <c r="M77" s="62">
        <f t="shared" si="35"/>
        <v>0</v>
      </c>
      <c r="N77" s="102">
        <f t="shared" si="36"/>
        <v>0.375</v>
      </c>
      <c r="O77" s="90">
        <f t="shared" si="37"/>
        <v>0.375</v>
      </c>
      <c r="P77" s="91" t="str">
        <f>IFERROR(VLOOKUP($B77,Annuaire_roster!$B:$G,MATCH(P$1,Annuaire_roster!$B$1:$G$1,0),0),"-")</f>
        <v>Google Leads</v>
      </c>
      <c r="Q77" s="100">
        <v>44719</v>
      </c>
      <c r="R77" s="10">
        <f t="shared" si="38"/>
        <v>0</v>
      </c>
      <c r="S77" s="10">
        <f t="shared" si="39"/>
        <v>0</v>
      </c>
      <c r="T77" s="16" t="str">
        <f t="shared" si="40"/>
        <v>Sem - 24</v>
      </c>
      <c r="U77" s="16" t="str">
        <f t="shared" si="41"/>
        <v>Juin</v>
      </c>
      <c r="V77" s="11" t="str">
        <f t="shared" si="42"/>
        <v>2026</v>
      </c>
      <c r="W77" s="9"/>
      <c r="X77" s="5">
        <f t="shared" si="43"/>
        <v>0</v>
      </c>
      <c r="Y77" s="12" t="str">
        <f>IFERROR(VLOOKUP(B77,Annuaire_roster!B:E,4,0),"-")</f>
        <v>CHOUIFI Mustapha</v>
      </c>
      <c r="Z77" s="12" t="str">
        <f>IFERROR(VLOOKUP(B77,Annuaire_roster!B:F,3,0),"-")</f>
        <v>Google Leads</v>
      </c>
      <c r="AA77" s="12" t="str">
        <f>IFERROR(VLOOKUP(B77,Annuaire_roster!B:I,6,0),"-")</f>
        <v>Forfaitaire</v>
      </c>
      <c r="AB77" s="142" t="str">
        <f t="shared" si="44"/>
        <v/>
      </c>
      <c r="AC77" s="142" t="str">
        <f t="shared" si="45"/>
        <v/>
      </c>
      <c r="AD77" s="142" t="str">
        <f t="shared" si="46"/>
        <v/>
      </c>
      <c r="AE77" s="143" t="str">
        <f t="shared" si="47"/>
        <v/>
      </c>
      <c r="AF77" s="63"/>
      <c r="AG77" s="10"/>
    </row>
    <row r="78" spans="1:33" s="210" customFormat="1" hidden="1" x14ac:dyDescent="0.2">
      <c r="A78" s="70">
        <f>VLOOKUP(B78,Annuaire_roster!B:F,5,0)</f>
        <v>952</v>
      </c>
      <c r="B78" s="166" t="s">
        <v>87</v>
      </c>
      <c r="C78" s="61">
        <v>0.41597222222222224</v>
      </c>
      <c r="D78" s="61">
        <f t="array" ref="D78">IFERROR(INDEX(Planning2[],MATCH(1,(Planning2[Nom]=B78)*(Planning2[Date]=Q78),0),3),"-")</f>
        <v>0.41666666666666669</v>
      </c>
      <c r="E78" s="38">
        <v>0.83333333333333337</v>
      </c>
      <c r="F78" s="38">
        <f t="array" ref="F78">IFERROR(INDEX(Planning2[],MATCH(1,(Planning2[Nom]=B78)*(Planning2[Date]=Q78),0),4),"-")</f>
        <v>0.83333333333333337</v>
      </c>
      <c r="G78" s="88"/>
      <c r="H78" s="88"/>
      <c r="I78" s="209" t="str">
        <f t="shared" si="33"/>
        <v/>
      </c>
      <c r="J78" s="88"/>
      <c r="K78" s="89">
        <f t="shared" si="32"/>
        <v>0</v>
      </c>
      <c r="L78" s="88">
        <f t="shared" si="34"/>
        <v>0</v>
      </c>
      <c r="M78" s="62">
        <f t="shared" si="35"/>
        <v>0</v>
      </c>
      <c r="N78" s="102">
        <f t="shared" si="36"/>
        <v>0.375</v>
      </c>
      <c r="O78" s="90">
        <f t="shared" si="37"/>
        <v>0.375</v>
      </c>
      <c r="P78" s="91" t="str">
        <f>IFERROR(VLOOKUP($B78,Annuaire_roster!$B:$G,MATCH(P$1,Annuaire_roster!$B$1:$G$1,0),0),"-")</f>
        <v>Google Leads</v>
      </c>
      <c r="Q78" s="100">
        <v>44719</v>
      </c>
      <c r="R78" s="10">
        <f t="shared" si="38"/>
        <v>0</v>
      </c>
      <c r="S78" s="10">
        <f t="shared" si="39"/>
        <v>0</v>
      </c>
      <c r="T78" s="16" t="str">
        <f t="shared" si="40"/>
        <v>Sem - 24</v>
      </c>
      <c r="U78" s="16" t="str">
        <f t="shared" si="41"/>
        <v>Juin</v>
      </c>
      <c r="V78" s="11" t="str">
        <f t="shared" si="42"/>
        <v>2026</v>
      </c>
      <c r="W78" s="9"/>
      <c r="X78" s="5">
        <f t="shared" si="43"/>
        <v>0</v>
      </c>
      <c r="Y78" s="12" t="str">
        <f>IFERROR(VLOOKUP(B78,Annuaire_roster!B:E,4,0),"-")</f>
        <v>OUAQERROUCH Nour-El Houda</v>
      </c>
      <c r="Z78" s="12" t="str">
        <f>IFERROR(VLOOKUP(B78,Annuaire_roster!B:F,3,0),"-")</f>
        <v>Google Leads</v>
      </c>
      <c r="AA78" s="12" t="str">
        <f>IFERROR(VLOOKUP(B78,Annuaire_roster!B:I,6,0),"-")</f>
        <v>Forfaitaire</v>
      </c>
      <c r="AB78" s="142" t="str">
        <f t="shared" si="44"/>
        <v/>
      </c>
      <c r="AC78" s="142" t="str">
        <f t="shared" si="45"/>
        <v/>
      </c>
      <c r="AD78" s="142" t="str">
        <f t="shared" si="46"/>
        <v/>
      </c>
      <c r="AE78" s="143" t="str">
        <f t="shared" si="47"/>
        <v/>
      </c>
      <c r="AF78" s="63"/>
      <c r="AG78" s="10"/>
    </row>
    <row r="79" spans="1:33" hidden="1" x14ac:dyDescent="0.2">
      <c r="A79" s="70">
        <f>VLOOKUP(B79,Annuaire_roster!B:F,5,0)</f>
        <v>1131</v>
      </c>
      <c r="B79" s="166" t="s">
        <v>214</v>
      </c>
      <c r="C79" s="61">
        <v>0.4152777777777778</v>
      </c>
      <c r="D79" s="61">
        <f t="array" ref="D79">IFERROR(INDEX(Planning2[],MATCH(1,(Planning2[Nom]=B79)*(Planning2[Date]=Q79),0),3),"-")</f>
        <v>0.41666666666666669</v>
      </c>
      <c r="E79" s="38">
        <v>0.83333333333333337</v>
      </c>
      <c r="F79" s="38">
        <f t="array" ref="F79">IFERROR(INDEX(Planning2[],MATCH(1,(Planning2[Nom]=B79)*(Planning2[Date]=Q79),0),4),"-")</f>
        <v>0.83333333333333337</v>
      </c>
      <c r="G79" s="88"/>
      <c r="H79" s="88"/>
      <c r="I79" s="209" t="str">
        <f t="shared" si="33"/>
        <v/>
      </c>
      <c r="J79" s="88"/>
      <c r="K79" s="89">
        <f t="shared" si="32"/>
        <v>0</v>
      </c>
      <c r="L79" s="88">
        <f t="shared" si="34"/>
        <v>0</v>
      </c>
      <c r="M79" s="62">
        <f t="shared" si="35"/>
        <v>0</v>
      </c>
      <c r="N79" s="102">
        <f t="shared" si="36"/>
        <v>0.375</v>
      </c>
      <c r="O79" s="90">
        <f t="shared" si="37"/>
        <v>0.375</v>
      </c>
      <c r="P79" s="91" t="str">
        <f>IFERROR(VLOOKUP($B79,Annuaire_roster!$B:$G,MATCH(P$1,Annuaire_roster!$B$1:$G$1,0),0),"-")</f>
        <v>Google Leads</v>
      </c>
      <c r="Q79" s="100">
        <v>44719</v>
      </c>
      <c r="R79" s="10">
        <f t="shared" si="38"/>
        <v>0</v>
      </c>
      <c r="S79" s="10">
        <f t="shared" si="39"/>
        <v>0</v>
      </c>
      <c r="T79" s="16" t="str">
        <f t="shared" si="40"/>
        <v>Sem - 24</v>
      </c>
      <c r="U79" s="16" t="str">
        <f t="shared" si="41"/>
        <v>Juin</v>
      </c>
      <c r="V79" s="11" t="str">
        <f t="shared" si="42"/>
        <v>2026</v>
      </c>
      <c r="W79" s="9"/>
      <c r="X79" s="5">
        <f t="shared" si="43"/>
        <v>1.388888888888884E-3</v>
      </c>
      <c r="Y79" s="12" t="str">
        <f>IFERROR(VLOOKUP(B79,Annuaire_roster!B:E,4,0),"-")</f>
        <v>CHOUIFI Mustapha</v>
      </c>
      <c r="Z79" s="12" t="str">
        <f>IFERROR(VLOOKUP(B79,Annuaire_roster!B:F,3,0),"-")</f>
        <v>Google Leads</v>
      </c>
      <c r="AA79" s="12" t="str">
        <f>IFERROR(VLOOKUP(B79,Annuaire_roster!B:I,6,0),"-")</f>
        <v>Forfaitaire</v>
      </c>
      <c r="AB79" s="142" t="str">
        <f t="shared" si="44"/>
        <v/>
      </c>
      <c r="AC79" s="142" t="str">
        <f t="shared" si="45"/>
        <v/>
      </c>
      <c r="AD79" s="142" t="str">
        <f t="shared" si="46"/>
        <v/>
      </c>
      <c r="AE79" s="143" t="str">
        <f t="shared" si="47"/>
        <v/>
      </c>
      <c r="AF79" s="63"/>
      <c r="AG79" s="10"/>
    </row>
    <row r="80" spans="1:33" hidden="1" x14ac:dyDescent="0.2">
      <c r="A80" s="70">
        <f>VLOOKUP(B80,Annuaire_roster!B:F,5,0)</f>
        <v>1145</v>
      </c>
      <c r="B80" s="166" t="s">
        <v>102</v>
      </c>
      <c r="C80" s="61">
        <v>0.41319444444444442</v>
      </c>
      <c r="D80" s="61">
        <f t="array" ref="D80">IFERROR(INDEX(Planning2[],MATCH(1,(Planning2[Nom]=B80)*(Planning2[Date]=Q80),0),3),"-")</f>
        <v>0.41666666666666669</v>
      </c>
      <c r="E80" s="38">
        <v>0.83333333333333337</v>
      </c>
      <c r="F80" s="38">
        <f t="array" ref="F80">IFERROR(INDEX(Planning2[],MATCH(1,(Planning2[Nom]=B80)*(Planning2[Date]=Q80),0),4),"-")</f>
        <v>0.83333333333333337</v>
      </c>
      <c r="G80" s="88"/>
      <c r="H80" s="88"/>
      <c r="I80" s="209" t="str">
        <f t="shared" si="33"/>
        <v/>
      </c>
      <c r="J80" s="88"/>
      <c r="K80" s="89">
        <f t="shared" si="32"/>
        <v>0</v>
      </c>
      <c r="L80" s="88">
        <f t="shared" si="34"/>
        <v>0</v>
      </c>
      <c r="M80" s="62">
        <f t="shared" si="35"/>
        <v>0</v>
      </c>
      <c r="N80" s="102">
        <f t="shared" si="36"/>
        <v>0.375</v>
      </c>
      <c r="O80" s="90">
        <f t="shared" si="37"/>
        <v>0.375</v>
      </c>
      <c r="P80" s="91" t="str">
        <f>IFERROR(VLOOKUP($B80,Annuaire_roster!$B:$G,MATCH(P$1,Annuaire_roster!$B$1:$G$1,0),0),"-")</f>
        <v>Google Leads</v>
      </c>
      <c r="Q80" s="100">
        <v>44719</v>
      </c>
      <c r="R80" s="10">
        <f t="shared" si="38"/>
        <v>0</v>
      </c>
      <c r="S80" s="10">
        <f t="shared" si="39"/>
        <v>0</v>
      </c>
      <c r="T80" s="16" t="str">
        <f t="shared" si="40"/>
        <v>Sem - 24</v>
      </c>
      <c r="U80" s="16" t="str">
        <f t="shared" si="41"/>
        <v>Juin</v>
      </c>
      <c r="V80" s="11" t="str">
        <f t="shared" si="42"/>
        <v>2026</v>
      </c>
      <c r="W80" s="9"/>
      <c r="X80" s="5">
        <f t="shared" si="43"/>
        <v>3.4722222222222099E-3</v>
      </c>
      <c r="Y80" s="12" t="str">
        <f>IFERROR(VLOOKUP(B80,Annuaire_roster!B:E,4,0),"-")</f>
        <v>CHOUIFI Mustapha</v>
      </c>
      <c r="Z80" s="12" t="str">
        <f>IFERROR(VLOOKUP(B80,Annuaire_roster!B:F,3,0),"-")</f>
        <v>Google Leads</v>
      </c>
      <c r="AA80" s="12" t="str">
        <f>IFERROR(VLOOKUP(B80,Annuaire_roster!B:I,6,0),"-")</f>
        <v>Forfaitaire</v>
      </c>
      <c r="AB80" s="142" t="str">
        <f t="shared" si="44"/>
        <v/>
      </c>
      <c r="AC80" s="142" t="str">
        <f t="shared" si="45"/>
        <v/>
      </c>
      <c r="AD80" s="142" t="str">
        <f t="shared" si="46"/>
        <v/>
      </c>
      <c r="AE80" s="143" t="str">
        <f t="shared" si="47"/>
        <v/>
      </c>
      <c r="AF80" s="63"/>
      <c r="AG80" s="10"/>
    </row>
    <row r="81" spans="1:33" hidden="1" x14ac:dyDescent="0.2">
      <c r="A81" s="70">
        <f>VLOOKUP(B81,Annuaire_roster!B:F,5,0)</f>
        <v>971</v>
      </c>
      <c r="B81" s="166" t="s">
        <v>83</v>
      </c>
      <c r="C81" s="61">
        <v>0.4152777777777778</v>
      </c>
      <c r="D81" s="61">
        <f t="array" ref="D81">IFERROR(INDEX(Planning2[],MATCH(1,(Planning2[Nom]=B81)*(Planning2[Date]=Q81),0),3),"-")</f>
        <v>0.41666666666666669</v>
      </c>
      <c r="E81" s="38">
        <v>0.83333333333333337</v>
      </c>
      <c r="F81" s="38">
        <f t="array" ref="F81">IFERROR(INDEX(Planning2[],MATCH(1,(Planning2[Nom]=B81)*(Planning2[Date]=Q81),0),4),"-")</f>
        <v>0.83333333333333337</v>
      </c>
      <c r="G81" s="88"/>
      <c r="H81" s="88"/>
      <c r="I81" s="209" t="str">
        <f t="shared" si="33"/>
        <v/>
      </c>
      <c r="J81" s="88"/>
      <c r="K81" s="89">
        <f t="shared" si="32"/>
        <v>0</v>
      </c>
      <c r="L81" s="88">
        <f t="shared" si="34"/>
        <v>0</v>
      </c>
      <c r="M81" s="62">
        <f t="shared" si="35"/>
        <v>0</v>
      </c>
      <c r="N81" s="102">
        <f t="shared" si="36"/>
        <v>0.375</v>
      </c>
      <c r="O81" s="90">
        <f t="shared" si="37"/>
        <v>0.375</v>
      </c>
      <c r="P81" s="91" t="str">
        <f>IFERROR(VLOOKUP($B81,Annuaire_roster!$B:$G,MATCH(P$1,Annuaire_roster!$B$1:$G$1,0),0),"-")</f>
        <v>Google Leads</v>
      </c>
      <c r="Q81" s="100">
        <v>44719</v>
      </c>
      <c r="R81" s="10">
        <f t="shared" si="38"/>
        <v>0</v>
      </c>
      <c r="S81" s="10">
        <f t="shared" si="39"/>
        <v>0</v>
      </c>
      <c r="T81" s="16" t="str">
        <f t="shared" si="40"/>
        <v>Sem - 24</v>
      </c>
      <c r="U81" s="16" t="str">
        <f t="shared" si="41"/>
        <v>Juin</v>
      </c>
      <c r="V81" s="11" t="str">
        <f t="shared" si="42"/>
        <v>2026</v>
      </c>
      <c r="W81" s="9"/>
      <c r="X81" s="5">
        <f t="shared" si="43"/>
        <v>1.388888888888884E-3</v>
      </c>
      <c r="Y81" s="12" t="str">
        <f>IFERROR(VLOOKUP(B81,Annuaire_roster!B:E,4,0),"-")</f>
        <v>CHOUIFI Mustapha</v>
      </c>
      <c r="Z81" s="12" t="str">
        <f>IFERROR(VLOOKUP(B81,Annuaire_roster!B:F,3,0),"-")</f>
        <v>Google Leads</v>
      </c>
      <c r="AA81" s="12" t="str">
        <f>IFERROR(VLOOKUP(B81,Annuaire_roster!B:I,6,0),"-")</f>
        <v>Forfaitaire</v>
      </c>
      <c r="AB81" s="142" t="str">
        <f t="shared" si="44"/>
        <v/>
      </c>
      <c r="AC81" s="142" t="str">
        <f t="shared" si="45"/>
        <v/>
      </c>
      <c r="AD81" s="142" t="str">
        <f t="shared" si="46"/>
        <v/>
      </c>
      <c r="AE81" s="143" t="str">
        <f t="shared" si="47"/>
        <v/>
      </c>
      <c r="AF81" s="63"/>
      <c r="AG81" s="10"/>
    </row>
    <row r="82" spans="1:33" hidden="1" x14ac:dyDescent="0.2">
      <c r="A82" s="70">
        <f>VLOOKUP(B82,Annuaire_roster!B:F,5,0)</f>
        <v>1008</v>
      </c>
      <c r="B82" s="166" t="s">
        <v>94</v>
      </c>
      <c r="C82" s="61">
        <v>0.40833333333333333</v>
      </c>
      <c r="D82" s="61">
        <f t="array" ref="D82">IFERROR(INDEX(Planning2[],MATCH(1,(Planning2[Nom]=B82)*(Planning2[Date]=Q82),0),3),"-")</f>
        <v>0.41666666666666669</v>
      </c>
      <c r="E82" s="38">
        <v>0.83333333333333337</v>
      </c>
      <c r="F82" s="38">
        <f t="array" ref="F82">IFERROR(INDEX(Planning2[],MATCH(1,(Planning2[Nom]=B82)*(Planning2[Date]=Q82),0),4),"-")</f>
        <v>0.83333333333333337</v>
      </c>
      <c r="G82" s="88"/>
      <c r="H82" s="88"/>
      <c r="I82" s="209" t="str">
        <f t="shared" si="33"/>
        <v/>
      </c>
      <c r="J82" s="88"/>
      <c r="K82" s="89">
        <f t="shared" si="32"/>
        <v>0</v>
      </c>
      <c r="L82" s="88">
        <f t="shared" si="34"/>
        <v>0</v>
      </c>
      <c r="M82" s="62">
        <f t="shared" si="35"/>
        <v>0</v>
      </c>
      <c r="N82" s="102">
        <f t="shared" si="36"/>
        <v>0.375</v>
      </c>
      <c r="O82" s="90">
        <f t="shared" si="37"/>
        <v>0.375</v>
      </c>
      <c r="P82" s="91" t="str">
        <f>IFERROR(VLOOKUP($B82,Annuaire_roster!$B:$G,MATCH(P$1,Annuaire_roster!$B$1:$G$1,0),0),"-")</f>
        <v>Google Leads</v>
      </c>
      <c r="Q82" s="100">
        <v>44719</v>
      </c>
      <c r="R82" s="10">
        <f t="shared" si="38"/>
        <v>0</v>
      </c>
      <c r="S82" s="10">
        <f t="shared" si="39"/>
        <v>0</v>
      </c>
      <c r="T82" s="16" t="str">
        <f t="shared" si="40"/>
        <v>Sem - 24</v>
      </c>
      <c r="U82" s="16" t="str">
        <f t="shared" si="41"/>
        <v>Juin</v>
      </c>
      <c r="V82" s="11" t="str">
        <f t="shared" si="42"/>
        <v>2026</v>
      </c>
      <c r="W82" s="9"/>
      <c r="X82" s="5">
        <f t="shared" si="43"/>
        <v>8.3333333333334147E-3</v>
      </c>
      <c r="Y82" s="12" t="str">
        <f>IFERROR(VLOOKUP(B82,Annuaire_roster!B:E,4,0),"-")</f>
        <v>CHOUIFI Mustapha</v>
      </c>
      <c r="Z82" s="12" t="str">
        <f>IFERROR(VLOOKUP(B82,Annuaire_roster!B:F,3,0),"-")</f>
        <v>Google Leads</v>
      </c>
      <c r="AA82" s="12" t="str">
        <f>IFERROR(VLOOKUP(B82,Annuaire_roster!B:I,6,0),"-")</f>
        <v>Forfaitaire</v>
      </c>
      <c r="AB82" s="142" t="str">
        <f t="shared" si="44"/>
        <v/>
      </c>
      <c r="AC82" s="142" t="str">
        <f t="shared" si="45"/>
        <v/>
      </c>
      <c r="AD82" s="142" t="str">
        <f t="shared" si="46"/>
        <v/>
      </c>
      <c r="AE82" s="143" t="str">
        <f t="shared" si="47"/>
        <v/>
      </c>
      <c r="AF82" s="218"/>
      <c r="AG82" s="10"/>
    </row>
    <row r="83" spans="1:33" hidden="1" x14ac:dyDescent="0.2">
      <c r="A83" s="211">
        <f>VLOOKUP(B83,Annuaire_roster!B:F,5,0)</f>
        <v>1167</v>
      </c>
      <c r="B83" s="166" t="s">
        <v>126</v>
      </c>
      <c r="C83" s="61">
        <v>0.41597222222222224</v>
      </c>
      <c r="D83" s="61">
        <f t="array" ref="D83">IFERROR(INDEX(Planning2[],MATCH(1,(Planning2[Nom]=B83)*(Planning2[Date]=Q83),0),3),"-")</f>
        <v>0.41666666666666669</v>
      </c>
      <c r="E83" s="38">
        <v>0.83333333333333337</v>
      </c>
      <c r="F83" s="38">
        <f t="array" ref="F83">IFERROR(INDEX(Planning2[],MATCH(1,(Planning2[Nom]=B83)*(Planning2[Date]=Q83),0),4),"-")</f>
        <v>0.83333333333333337</v>
      </c>
      <c r="G83" s="88"/>
      <c r="H83" s="88"/>
      <c r="I83" s="209" t="str">
        <f t="shared" si="33"/>
        <v/>
      </c>
      <c r="J83" s="88"/>
      <c r="K83" s="89">
        <f t="shared" si="32"/>
        <v>0</v>
      </c>
      <c r="L83" s="88">
        <f t="shared" si="34"/>
        <v>0</v>
      </c>
      <c r="M83" s="62">
        <f t="shared" si="35"/>
        <v>0</v>
      </c>
      <c r="N83" s="102">
        <f t="shared" si="36"/>
        <v>0.375</v>
      </c>
      <c r="O83" s="90">
        <f t="shared" si="37"/>
        <v>0.375</v>
      </c>
      <c r="P83" s="91" t="str">
        <f>IFERROR(VLOOKUP($B83,Annuaire_roster!$B:$G,MATCH(P$1,Annuaire_roster!$B$1:$G$1,0),0),"-")</f>
        <v>Google Leads</v>
      </c>
      <c r="Q83" s="213">
        <v>44719</v>
      </c>
      <c r="R83" s="142">
        <f t="shared" si="38"/>
        <v>0</v>
      </c>
      <c r="S83" s="142">
        <f t="shared" si="39"/>
        <v>0</v>
      </c>
      <c r="T83" s="16" t="str">
        <f t="shared" si="40"/>
        <v>Sem - 24</v>
      </c>
      <c r="U83" s="16" t="str">
        <f t="shared" si="41"/>
        <v>Juin</v>
      </c>
      <c r="V83" s="214" t="str">
        <f t="shared" si="42"/>
        <v>2026</v>
      </c>
      <c r="W83" s="212"/>
      <c r="X83" s="215">
        <f t="shared" si="43"/>
        <v>0</v>
      </c>
      <c r="Y83" s="216" t="str">
        <f>IFERROR(VLOOKUP(B83,Annuaire_roster!B:E,4,0),"-")</f>
        <v>OUAQERROUCH Nour-El Houda</v>
      </c>
      <c r="Z83" s="216" t="str">
        <f>IFERROR(VLOOKUP(B83,Annuaire_roster!B:F,3,0),"-")</f>
        <v>Google Leads</v>
      </c>
      <c r="AA83" s="216" t="str">
        <f>IFERROR(VLOOKUP(B83,Annuaire_roster!B:I,6,0),"-")</f>
        <v>Forfaitaire</v>
      </c>
      <c r="AB83" s="142" t="str">
        <f t="shared" si="44"/>
        <v/>
      </c>
      <c r="AC83" s="142" t="str">
        <f t="shared" si="45"/>
        <v/>
      </c>
      <c r="AD83" s="142" t="str">
        <f t="shared" si="46"/>
        <v/>
      </c>
      <c r="AE83" s="217" t="str">
        <f t="shared" si="47"/>
        <v/>
      </c>
      <c r="AF83" s="63"/>
      <c r="AG83" s="142"/>
    </row>
    <row r="84" spans="1:33" hidden="1" x14ac:dyDescent="0.2">
      <c r="A84" s="70">
        <f>VLOOKUP(B84,Annuaire_roster!B:F,5,0)</f>
        <v>0</v>
      </c>
      <c r="B84" s="166" t="s">
        <v>217</v>
      </c>
      <c r="C84" s="61">
        <v>0.41111111111111109</v>
      </c>
      <c r="D84" s="61">
        <f t="array" ref="D84">IFERROR(INDEX(Planning2[],MATCH(1,(Planning2[Nom]=B84)*(Planning2[Date]=Q84),0),3),"-")</f>
        <v>0.41666666666666669</v>
      </c>
      <c r="E84" s="38">
        <v>0.83333333333333337</v>
      </c>
      <c r="F84" s="38">
        <f t="array" ref="F84">IFERROR(INDEX(Planning2[],MATCH(1,(Planning2[Nom]=B84)*(Planning2[Date]=Q84),0),4),"-")</f>
        <v>0.83333333333333337</v>
      </c>
      <c r="G84" s="88"/>
      <c r="H84" s="88"/>
      <c r="I84" s="209" t="str">
        <f t="shared" si="33"/>
        <v/>
      </c>
      <c r="J84" s="88"/>
      <c r="K84" s="89">
        <f t="shared" si="32"/>
        <v>0</v>
      </c>
      <c r="L84" s="88">
        <f t="shared" si="34"/>
        <v>0</v>
      </c>
      <c r="M84" s="62">
        <f t="shared" si="35"/>
        <v>0</v>
      </c>
      <c r="N84" s="102">
        <f t="shared" si="36"/>
        <v>0.375</v>
      </c>
      <c r="O84" s="90">
        <f t="shared" si="37"/>
        <v>0.375</v>
      </c>
      <c r="P84" s="91" t="str">
        <f>IFERROR(VLOOKUP($B84,Annuaire_roster!$B:$G,MATCH(P$1,Annuaire_roster!$B$1:$G$1,0),0),"-")</f>
        <v>Google Leads</v>
      </c>
      <c r="Q84" s="100">
        <v>44719</v>
      </c>
      <c r="R84" s="10">
        <f t="shared" si="38"/>
        <v>0</v>
      </c>
      <c r="S84" s="10">
        <f t="shared" si="39"/>
        <v>0</v>
      </c>
      <c r="T84" s="16" t="str">
        <f t="shared" si="40"/>
        <v>Sem - 24</v>
      </c>
      <c r="U84" s="16" t="str">
        <f t="shared" si="41"/>
        <v>Juin</v>
      </c>
      <c r="V84" s="11" t="str">
        <f t="shared" si="42"/>
        <v>2026</v>
      </c>
      <c r="W84" s="9"/>
      <c r="X84" s="5">
        <f t="shared" si="43"/>
        <v>5.5555555555556468E-3</v>
      </c>
      <c r="Y84" s="12">
        <f>IFERROR(VLOOKUP(B84,Annuaire_roster!B:E,4,0),"-")</f>
        <v>0</v>
      </c>
      <c r="Z84" s="12" t="str">
        <f>IFERROR(VLOOKUP(B84,Annuaire_roster!B:F,3,0),"-")</f>
        <v>Google Leads</v>
      </c>
      <c r="AA84" s="12">
        <f>IFERROR(VLOOKUP(B84,Annuaire_roster!B:I,6,0),"-")</f>
        <v>0</v>
      </c>
      <c r="AB84" s="142" t="str">
        <f t="shared" si="44"/>
        <v/>
      </c>
      <c r="AC84" s="142" t="str">
        <f t="shared" si="45"/>
        <v/>
      </c>
      <c r="AD84" s="142" t="str">
        <f t="shared" si="46"/>
        <v/>
      </c>
      <c r="AE84" s="143" t="str">
        <f t="shared" si="47"/>
        <v/>
      </c>
      <c r="AF84" s="63"/>
      <c r="AG84" s="10"/>
    </row>
    <row r="85" spans="1:33" hidden="1" x14ac:dyDescent="0.2">
      <c r="A85" s="70">
        <f>VLOOKUP(B85,Annuaire_roster!B:F,5,0)</f>
        <v>0</v>
      </c>
      <c r="B85" s="166" t="s">
        <v>220</v>
      </c>
      <c r="C85" s="61">
        <v>0.41666666666666669</v>
      </c>
      <c r="D85" s="61">
        <f t="array" ref="D85">IFERROR(INDEX(Planning2[],MATCH(1,(Planning2[Nom]=B85)*(Planning2[Date]=Q85),0),3),"-")</f>
        <v>0.41666666666666669</v>
      </c>
      <c r="E85" s="38">
        <v>0.83333333333333337</v>
      </c>
      <c r="F85" s="38">
        <f t="array" ref="F85">IFERROR(INDEX(Planning2[],MATCH(1,(Planning2[Nom]=B85)*(Planning2[Date]=Q85),0),4),"-")</f>
        <v>0.83333333333333337</v>
      </c>
      <c r="G85" s="88"/>
      <c r="H85" s="88"/>
      <c r="I85" s="209" t="str">
        <f t="shared" si="33"/>
        <v/>
      </c>
      <c r="J85" s="88"/>
      <c r="K85" s="89">
        <f t="shared" si="32"/>
        <v>0</v>
      </c>
      <c r="L85" s="88">
        <f t="shared" si="34"/>
        <v>0</v>
      </c>
      <c r="M85" s="62">
        <f t="shared" si="35"/>
        <v>0</v>
      </c>
      <c r="N85" s="102">
        <f t="shared" si="36"/>
        <v>0.375</v>
      </c>
      <c r="O85" s="90">
        <f t="shared" si="37"/>
        <v>0.375</v>
      </c>
      <c r="P85" s="91" t="str">
        <f>IFERROR(VLOOKUP($B85,Annuaire_roster!$B:$G,MATCH(P$1,Annuaire_roster!$B$1:$G$1,0),0),"-")</f>
        <v>Google Leads</v>
      </c>
      <c r="Q85" s="100">
        <v>44719</v>
      </c>
      <c r="R85" s="10">
        <f t="shared" si="38"/>
        <v>0</v>
      </c>
      <c r="S85" s="10">
        <f t="shared" si="39"/>
        <v>0</v>
      </c>
      <c r="T85" s="16" t="str">
        <f t="shared" si="40"/>
        <v>Sem - 24</v>
      </c>
      <c r="U85" s="16" t="str">
        <f t="shared" si="41"/>
        <v>Juin</v>
      </c>
      <c r="V85" s="11" t="str">
        <f t="shared" si="42"/>
        <v>2026</v>
      </c>
      <c r="W85" s="9"/>
      <c r="X85" s="5">
        <f t="shared" si="43"/>
        <v>0</v>
      </c>
      <c r="Y85" s="12">
        <f>IFERROR(VLOOKUP(B85,Annuaire_roster!B:E,4,0),"-")</f>
        <v>0</v>
      </c>
      <c r="Z85" s="12" t="str">
        <f>IFERROR(VLOOKUP(B85,Annuaire_roster!B:F,3,0),"-")</f>
        <v>Google Leads</v>
      </c>
      <c r="AA85" s="12">
        <f>IFERROR(VLOOKUP(B85,Annuaire_roster!B:I,6,0),"-")</f>
        <v>0</v>
      </c>
      <c r="AB85" s="142" t="str">
        <f t="shared" si="44"/>
        <v/>
      </c>
      <c r="AC85" s="142" t="str">
        <f t="shared" si="45"/>
        <v/>
      </c>
      <c r="AD85" s="142" t="str">
        <f t="shared" si="46"/>
        <v/>
      </c>
      <c r="AE85" s="143" t="str">
        <f t="shared" si="47"/>
        <v/>
      </c>
      <c r="AF85" s="63"/>
      <c r="AG85" s="10"/>
    </row>
    <row r="86" spans="1:33" hidden="1" x14ac:dyDescent="0.2">
      <c r="A86" s="70">
        <f>VLOOKUP(B86,Annuaire_roster!B:F,5,0)</f>
        <v>0</v>
      </c>
      <c r="B86" s="166" t="s">
        <v>221</v>
      </c>
      <c r="C86" s="61">
        <v>0.41666666666666669</v>
      </c>
      <c r="D86" s="61">
        <f t="array" ref="D86">IFERROR(INDEX(Planning2[],MATCH(1,(Planning2[Nom]=B86)*(Planning2[Date]=Q86),0),3),"-")</f>
        <v>0.41666666666666669</v>
      </c>
      <c r="E86" s="38">
        <v>0.83333333333333337</v>
      </c>
      <c r="F86" s="38">
        <f t="array" ref="F86">IFERROR(INDEX(Planning2[],MATCH(1,(Planning2[Nom]=B86)*(Planning2[Date]=Q86),0),4),"-")</f>
        <v>0.83333333333333337</v>
      </c>
      <c r="G86" s="88"/>
      <c r="H86" s="88"/>
      <c r="I86" s="209" t="str">
        <f t="shared" si="33"/>
        <v/>
      </c>
      <c r="J86" s="88"/>
      <c r="K86" s="89">
        <f t="shared" si="32"/>
        <v>0</v>
      </c>
      <c r="L86" s="88">
        <f t="shared" si="34"/>
        <v>0</v>
      </c>
      <c r="M86" s="62">
        <f t="shared" si="35"/>
        <v>0</v>
      </c>
      <c r="N86" s="102">
        <f t="shared" si="36"/>
        <v>0.375</v>
      </c>
      <c r="O86" s="90">
        <f t="shared" si="37"/>
        <v>0.375</v>
      </c>
      <c r="P86" s="91" t="str">
        <f>IFERROR(VLOOKUP($B86,Annuaire_roster!$B:$G,MATCH(P$1,Annuaire_roster!$B$1:$G$1,0),0),"-")</f>
        <v>Google Leads</v>
      </c>
      <c r="Q86" s="100">
        <v>44719</v>
      </c>
      <c r="R86" s="10">
        <f t="shared" si="38"/>
        <v>0</v>
      </c>
      <c r="S86" s="10">
        <f t="shared" si="39"/>
        <v>0</v>
      </c>
      <c r="T86" s="16" t="str">
        <f t="shared" si="40"/>
        <v>Sem - 24</v>
      </c>
      <c r="U86" s="16" t="str">
        <f t="shared" si="41"/>
        <v>Juin</v>
      </c>
      <c r="V86" s="11" t="str">
        <f t="shared" si="42"/>
        <v>2026</v>
      </c>
      <c r="W86" s="9"/>
      <c r="X86" s="5">
        <f t="shared" si="43"/>
        <v>0</v>
      </c>
      <c r="Y86" s="12">
        <f>IFERROR(VLOOKUP(B86,Annuaire_roster!B:E,4,0),"-")</f>
        <v>0</v>
      </c>
      <c r="Z86" s="12" t="str">
        <f>IFERROR(VLOOKUP(B86,Annuaire_roster!B:F,3,0),"-")</f>
        <v>Google Leads</v>
      </c>
      <c r="AA86" s="12">
        <f>IFERROR(VLOOKUP(B86,Annuaire_roster!B:I,6,0),"-")</f>
        <v>0</v>
      </c>
      <c r="AB86" s="142" t="str">
        <f t="shared" si="44"/>
        <v/>
      </c>
      <c r="AC86" s="142" t="str">
        <f t="shared" si="45"/>
        <v/>
      </c>
      <c r="AD86" s="142" t="str">
        <f t="shared" si="46"/>
        <v/>
      </c>
      <c r="AE86" s="143" t="str">
        <f t="shared" si="47"/>
        <v/>
      </c>
      <c r="AF86" s="63"/>
      <c r="AG86" s="10"/>
    </row>
    <row r="87" spans="1:33" hidden="1" x14ac:dyDescent="0.2">
      <c r="A87" s="70">
        <f>VLOOKUP(B87,Annuaire_roster!B:F,5,0)</f>
        <v>949</v>
      </c>
      <c r="B87" s="166" t="s">
        <v>85</v>
      </c>
      <c r="C87" s="61">
        <v>0.4152777777777778</v>
      </c>
      <c r="D87" s="61">
        <f t="array" ref="D87">IFERROR(INDEX(Planning2[],MATCH(1,(Planning2[Nom]=B87)*(Planning2[Date]=Q87),0),3),"-")</f>
        <v>0.41666666666666669</v>
      </c>
      <c r="E87" s="38">
        <v>0.83333333333333337</v>
      </c>
      <c r="F87" s="38">
        <f t="array" ref="F87">IFERROR(INDEX(Planning2[],MATCH(1,(Planning2[Nom]=B87)*(Planning2[Date]=Q87),0),4),"-")</f>
        <v>0.83333333333333337</v>
      </c>
      <c r="G87" s="88"/>
      <c r="H87" s="88"/>
      <c r="I87" s="209" t="str">
        <f t="shared" si="33"/>
        <v/>
      </c>
      <c r="J87" s="88"/>
      <c r="K87" s="89">
        <f t="shared" si="32"/>
        <v>0</v>
      </c>
      <c r="L87" s="88">
        <f t="shared" si="34"/>
        <v>0</v>
      </c>
      <c r="M87" s="62">
        <f t="shared" si="35"/>
        <v>0</v>
      </c>
      <c r="N87" s="102">
        <f t="shared" si="36"/>
        <v>0.375</v>
      </c>
      <c r="O87" s="90">
        <f t="shared" si="37"/>
        <v>0.375</v>
      </c>
      <c r="P87" s="91" t="str">
        <f>IFERROR(VLOOKUP($B87,Annuaire_roster!$B:$G,MATCH(P$1,Annuaire_roster!$B$1:$G$1,0),0),"-")</f>
        <v>Google Leads</v>
      </c>
      <c r="Q87" s="100">
        <v>44719</v>
      </c>
      <c r="R87" s="10">
        <f t="shared" si="38"/>
        <v>0</v>
      </c>
      <c r="S87" s="10">
        <f t="shared" si="39"/>
        <v>0</v>
      </c>
      <c r="T87" s="16" t="str">
        <f t="shared" si="40"/>
        <v>Sem - 24</v>
      </c>
      <c r="U87" s="16" t="str">
        <f t="shared" si="41"/>
        <v>Juin</v>
      </c>
      <c r="V87" s="11" t="str">
        <f t="shared" si="42"/>
        <v>2026</v>
      </c>
      <c r="W87" s="9"/>
      <c r="X87" s="5">
        <f t="shared" si="43"/>
        <v>1.388888888888884E-3</v>
      </c>
      <c r="Y87" s="12" t="str">
        <f>IFERROR(VLOOKUP(B87,Annuaire_roster!B:E,4,0),"-")</f>
        <v>CHOUIFI Mustapha</v>
      </c>
      <c r="Z87" s="12" t="str">
        <f>IFERROR(VLOOKUP(B87,Annuaire_roster!B:F,3,0),"-")</f>
        <v>Google Leads</v>
      </c>
      <c r="AA87" s="12" t="str">
        <f>IFERROR(VLOOKUP(B87,Annuaire_roster!B:I,6,0),"-")</f>
        <v>Forfaitaire</v>
      </c>
      <c r="AB87" s="142" t="str">
        <f t="shared" si="44"/>
        <v/>
      </c>
      <c r="AC87" s="142" t="str">
        <f t="shared" si="45"/>
        <v/>
      </c>
      <c r="AD87" s="142" t="str">
        <f t="shared" si="46"/>
        <v/>
      </c>
      <c r="AE87" s="143" t="str">
        <f t="shared" si="47"/>
        <v/>
      </c>
      <c r="AF87" s="63"/>
      <c r="AG87" s="10"/>
    </row>
    <row r="88" spans="1:33" hidden="1" x14ac:dyDescent="0.2">
      <c r="A88" s="70">
        <f>VLOOKUP(B88,Annuaire_roster!B:F,5,0)</f>
        <v>1165</v>
      </c>
      <c r="B88" s="166" t="s">
        <v>120</v>
      </c>
      <c r="C88" s="61">
        <v>0.41666666666666669</v>
      </c>
      <c r="D88" s="61">
        <f t="array" ref="D88">IFERROR(INDEX(Planning2[],MATCH(1,(Planning2[Nom]=B88)*(Planning2[Date]=Q88),0),3),"-")</f>
        <v>0.41666666666666669</v>
      </c>
      <c r="E88" s="38">
        <v>0.83333333333333337</v>
      </c>
      <c r="F88" s="38">
        <f t="array" ref="F88">IFERROR(INDEX(Planning2[],MATCH(1,(Planning2[Nom]=B88)*(Planning2[Date]=Q88),0),4),"-")</f>
        <v>0.83333333333333337</v>
      </c>
      <c r="G88" s="88"/>
      <c r="H88" s="88"/>
      <c r="I88" s="209" t="str">
        <f t="shared" si="33"/>
        <v/>
      </c>
      <c r="J88" s="88"/>
      <c r="K88" s="89">
        <f t="shared" si="32"/>
        <v>0</v>
      </c>
      <c r="L88" s="88">
        <f t="shared" si="34"/>
        <v>0</v>
      </c>
      <c r="M88" s="62">
        <f t="shared" si="35"/>
        <v>0</v>
      </c>
      <c r="N88" s="102">
        <f t="shared" si="36"/>
        <v>0.375</v>
      </c>
      <c r="O88" s="90">
        <f t="shared" si="37"/>
        <v>0.375</v>
      </c>
      <c r="P88" s="91" t="str">
        <f>IFERROR(VLOOKUP($B88,Annuaire_roster!$B:$G,MATCH(P$1,Annuaire_roster!$B$1:$G$1,0),0),"-")</f>
        <v>Google Leads</v>
      </c>
      <c r="Q88" s="100">
        <v>44719</v>
      </c>
      <c r="R88" s="10">
        <f t="shared" si="38"/>
        <v>0</v>
      </c>
      <c r="S88" s="10">
        <f t="shared" si="39"/>
        <v>0</v>
      </c>
      <c r="T88" s="16" t="str">
        <f t="shared" si="40"/>
        <v>Sem - 24</v>
      </c>
      <c r="U88" s="16" t="str">
        <f t="shared" si="41"/>
        <v>Juin</v>
      </c>
      <c r="V88" s="11" t="str">
        <f t="shared" si="42"/>
        <v>2026</v>
      </c>
      <c r="W88" s="9"/>
      <c r="X88" s="5">
        <f t="shared" si="43"/>
        <v>0</v>
      </c>
      <c r="Y88" s="12" t="str">
        <f>IFERROR(VLOOKUP(B88,Annuaire_roster!B:E,4,0),"-")</f>
        <v>OUAQERROUCH Nour-El Houda</v>
      </c>
      <c r="Z88" s="12" t="str">
        <f>IFERROR(VLOOKUP(B88,Annuaire_roster!B:F,3,0),"-")</f>
        <v>Google Leads</v>
      </c>
      <c r="AA88" s="12" t="str">
        <f>IFERROR(VLOOKUP(B88,Annuaire_roster!B:I,6,0),"-")</f>
        <v>Forfaitaire</v>
      </c>
      <c r="AB88" s="142" t="str">
        <f t="shared" si="44"/>
        <v/>
      </c>
      <c r="AC88" s="142" t="str">
        <f t="shared" si="45"/>
        <v/>
      </c>
      <c r="AD88" s="142" t="str">
        <f t="shared" si="46"/>
        <v/>
      </c>
      <c r="AE88" s="143" t="str">
        <f t="shared" si="47"/>
        <v/>
      </c>
      <c r="AF88" s="63"/>
      <c r="AG88" s="10"/>
    </row>
    <row r="89" spans="1:33" hidden="1" x14ac:dyDescent="0.2">
      <c r="A89" s="70">
        <f>VLOOKUP(B89,Annuaire_roster!B:F,5,0)</f>
        <v>0</v>
      </c>
      <c r="B89" s="166" t="s">
        <v>224</v>
      </c>
      <c r="C89" s="61">
        <v>0.41666666666666669</v>
      </c>
      <c r="D89" s="61">
        <f t="array" ref="D89">IFERROR(INDEX(Planning2[],MATCH(1,(Planning2[Nom]=B89)*(Planning2[Date]=Q89),0),3),"-")</f>
        <v>0.41666666666666669</v>
      </c>
      <c r="E89" s="38">
        <v>0.83333333333333337</v>
      </c>
      <c r="F89" s="38">
        <f t="array" ref="F89">IFERROR(INDEX(Planning2[],MATCH(1,(Planning2[Nom]=B89)*(Planning2[Date]=Q89),0),4),"-")</f>
        <v>0.83333333333333337</v>
      </c>
      <c r="G89" s="88"/>
      <c r="H89" s="88"/>
      <c r="I89" s="209" t="str">
        <f t="shared" si="33"/>
        <v/>
      </c>
      <c r="J89" s="88"/>
      <c r="K89" s="89">
        <f t="shared" si="32"/>
        <v>0</v>
      </c>
      <c r="L89" s="88">
        <f t="shared" si="34"/>
        <v>0</v>
      </c>
      <c r="M89" s="62">
        <f t="shared" si="35"/>
        <v>0</v>
      </c>
      <c r="N89" s="102">
        <f t="shared" si="36"/>
        <v>0.375</v>
      </c>
      <c r="O89" s="90">
        <f t="shared" si="37"/>
        <v>0.375</v>
      </c>
      <c r="P89" s="91" t="str">
        <f>IFERROR(VLOOKUP($B89,Annuaire_roster!$B:$G,MATCH(P$1,Annuaire_roster!$B$1:$G$1,0),0),"-")</f>
        <v>Google Leads</v>
      </c>
      <c r="Q89" s="100">
        <v>44719</v>
      </c>
      <c r="R89" s="10">
        <f t="shared" si="38"/>
        <v>0</v>
      </c>
      <c r="S89" s="10">
        <f t="shared" si="39"/>
        <v>0</v>
      </c>
      <c r="T89" s="16" t="str">
        <f t="shared" si="40"/>
        <v>Sem - 24</v>
      </c>
      <c r="U89" s="16" t="str">
        <f t="shared" si="41"/>
        <v>Juin</v>
      </c>
      <c r="V89" s="11" t="str">
        <f t="shared" si="42"/>
        <v>2026</v>
      </c>
      <c r="W89" s="9"/>
      <c r="X89" s="5">
        <f t="shared" si="43"/>
        <v>0</v>
      </c>
      <c r="Y89" s="12">
        <f>IFERROR(VLOOKUP(B89,Annuaire_roster!B:E,4,0),"-")</f>
        <v>0</v>
      </c>
      <c r="Z89" s="12" t="str">
        <f>IFERROR(VLOOKUP(B89,Annuaire_roster!B:F,3,0),"-")</f>
        <v>Google Leads</v>
      </c>
      <c r="AA89" s="12">
        <f>IFERROR(VLOOKUP(B89,Annuaire_roster!B:I,6,0),"-")</f>
        <v>0</v>
      </c>
      <c r="AB89" s="142" t="str">
        <f t="shared" si="44"/>
        <v/>
      </c>
      <c r="AC89" s="142" t="str">
        <f t="shared" si="45"/>
        <v/>
      </c>
      <c r="AD89" s="142" t="str">
        <f t="shared" si="46"/>
        <v/>
      </c>
      <c r="AE89" s="143" t="str">
        <f t="shared" si="47"/>
        <v/>
      </c>
      <c r="AF89" s="63"/>
      <c r="AG89" s="10"/>
    </row>
    <row r="90" spans="1:33" hidden="1" x14ac:dyDescent="0.2">
      <c r="A90" s="211">
        <f>VLOOKUP(B90,Annuaire_roster!B:F,5,0)</f>
        <v>397</v>
      </c>
      <c r="B90" s="166" t="s">
        <v>215</v>
      </c>
      <c r="C90" s="61"/>
      <c r="D90" s="61" t="str">
        <f t="array" ref="D90">IFERROR(INDEX(Planning2[],MATCH(1,(Planning2[Nom]=B90)*(Planning2[Date]=Q90),0),3),"-")</f>
        <v>Congé</v>
      </c>
      <c r="E90" s="38"/>
      <c r="F90" s="38" t="str">
        <f t="array" ref="F90">IFERROR(INDEX(Planning2[],MATCH(1,(Planning2[Nom]=B90)*(Planning2[Date]=Q90),0),4),"-")</f>
        <v>Congé</v>
      </c>
      <c r="G90" s="88"/>
      <c r="H90" s="88"/>
      <c r="I90" s="209" t="str">
        <f t="shared" si="33"/>
        <v/>
      </c>
      <c r="J90" s="88"/>
      <c r="K90" s="89">
        <f t="shared" si="32"/>
        <v>0</v>
      </c>
      <c r="L90" s="88">
        <f t="shared" si="34"/>
        <v>0</v>
      </c>
      <c r="M90" s="62">
        <f t="shared" si="35"/>
        <v>0</v>
      </c>
      <c r="N90" s="212" t="str">
        <f t="shared" si="36"/>
        <v/>
      </c>
      <c r="O90" s="90">
        <f t="shared" si="37"/>
        <v>0</v>
      </c>
      <c r="P90" s="91" t="str">
        <f>IFERROR(VLOOKUP($B90,Annuaire_roster!$B:$G,MATCH(P$1,Annuaire_roster!$B$1:$G$1,0),0),"-")</f>
        <v>Google Leads</v>
      </c>
      <c r="Q90" s="213">
        <v>44719</v>
      </c>
      <c r="R90" s="142">
        <f t="shared" si="38"/>
        <v>0</v>
      </c>
      <c r="S90" s="142">
        <f t="shared" si="39"/>
        <v>0</v>
      </c>
      <c r="T90" s="16" t="str">
        <f t="shared" si="40"/>
        <v>Sem - 24</v>
      </c>
      <c r="U90" s="16" t="str">
        <f t="shared" si="41"/>
        <v>Juin</v>
      </c>
      <c r="V90" s="214" t="str">
        <f t="shared" si="42"/>
        <v>2026</v>
      </c>
      <c r="W90" s="212"/>
      <c r="X90" s="215">
        <f t="shared" si="43"/>
        <v>0</v>
      </c>
      <c r="Y90" s="216" t="str">
        <f>IFERROR(VLOOKUP(B90,Annuaire_roster!B:E,4,0),"-")</f>
        <v>OUAQERROUCH Nour-El Houda</v>
      </c>
      <c r="Z90" s="216" t="str">
        <f>IFERROR(VLOOKUP(B90,Annuaire_roster!B:F,3,0),"-")</f>
        <v>Google Leads</v>
      </c>
      <c r="AA90" s="216" t="str">
        <f>IFERROR(VLOOKUP(B90,Annuaire_roster!B:I,6,0),"-")</f>
        <v>Forfaitaire</v>
      </c>
      <c r="AB90" s="142">
        <f t="shared" si="44"/>
        <v>0.33333333333333298</v>
      </c>
      <c r="AC90" s="142" t="str">
        <f t="shared" si="45"/>
        <v/>
      </c>
      <c r="AD90" s="142" t="str">
        <f t="shared" si="46"/>
        <v/>
      </c>
      <c r="AE90" s="217" t="str">
        <f t="shared" si="47"/>
        <v/>
      </c>
      <c r="AF90" s="218"/>
      <c r="AG90" s="142"/>
    </row>
    <row r="91" spans="1:33" hidden="1" x14ac:dyDescent="0.2">
      <c r="A91" s="211">
        <f>VLOOKUP(B91,Annuaire_roster!B:F,5,0)</f>
        <v>894</v>
      </c>
      <c r="B91" s="166" t="s">
        <v>80</v>
      </c>
      <c r="C91" s="61">
        <v>0.41666666666666669</v>
      </c>
      <c r="D91" s="61">
        <v>0.41666666666666669</v>
      </c>
      <c r="E91" s="38">
        <v>0.83333333333333337</v>
      </c>
      <c r="F91" s="38">
        <v>0.83333333333333337</v>
      </c>
      <c r="G91" s="88"/>
      <c r="H91" s="88"/>
      <c r="I91" s="209" t="str">
        <f t="shared" si="33"/>
        <v/>
      </c>
      <c r="J91" s="88"/>
      <c r="K91" s="89">
        <f t="shared" si="32"/>
        <v>0</v>
      </c>
      <c r="L91" s="88">
        <f t="shared" si="34"/>
        <v>0</v>
      </c>
      <c r="M91" s="62">
        <f t="shared" si="35"/>
        <v>0</v>
      </c>
      <c r="N91" s="212">
        <f t="shared" si="36"/>
        <v>0.375</v>
      </c>
      <c r="O91" s="90">
        <f t="shared" si="37"/>
        <v>0.375</v>
      </c>
      <c r="P91" s="91" t="str">
        <f>IFERROR(VLOOKUP($B91,Annuaire_roster!$B:$G,MATCH(P$1,Annuaire_roster!$B$1:$G$1,0),0),"-")</f>
        <v>Google Leads</v>
      </c>
      <c r="Q91" s="213">
        <v>44719</v>
      </c>
      <c r="R91" s="142">
        <f t="shared" si="38"/>
        <v>0</v>
      </c>
      <c r="S91" s="142">
        <f t="shared" si="39"/>
        <v>0</v>
      </c>
      <c r="T91" s="16" t="str">
        <f t="shared" si="40"/>
        <v>Sem - 24</v>
      </c>
      <c r="U91" s="16" t="str">
        <f t="shared" si="41"/>
        <v>Juin</v>
      </c>
      <c r="V91" s="214" t="str">
        <f t="shared" si="42"/>
        <v>2026</v>
      </c>
      <c r="W91" s="212"/>
      <c r="X91" s="215">
        <f t="shared" si="43"/>
        <v>0</v>
      </c>
      <c r="Y91" s="216" t="str">
        <f>IFERROR(VLOOKUP(B91,Annuaire_roster!B:E,4,0),"-")</f>
        <v>OUAQERROUCH Nour-El Houda</v>
      </c>
      <c r="Z91" s="216" t="str">
        <f>IFERROR(VLOOKUP(B91,Annuaire_roster!B:F,3,0),"-")</f>
        <v>Google Leads</v>
      </c>
      <c r="AA91" s="216" t="str">
        <f>IFERROR(VLOOKUP(B91,Annuaire_roster!B:I,6,0),"-")</f>
        <v>Forfaitaire</v>
      </c>
      <c r="AB91" s="142" t="str">
        <f t="shared" si="44"/>
        <v/>
      </c>
      <c r="AC91" s="142" t="str">
        <f t="shared" si="45"/>
        <v/>
      </c>
      <c r="AD91" s="142" t="str">
        <f t="shared" si="46"/>
        <v/>
      </c>
      <c r="AE91" s="217" t="str">
        <f t="shared" si="47"/>
        <v/>
      </c>
      <c r="AF91" s="218"/>
      <c r="AG91" s="142"/>
    </row>
    <row r="92" spans="1:33" hidden="1" x14ac:dyDescent="0.2">
      <c r="A92" s="70">
        <f>VLOOKUP(B92,Annuaire_roster!B:F,5,0)</f>
        <v>364</v>
      </c>
      <c r="B92" s="166" t="s">
        <v>213</v>
      </c>
      <c r="C92" s="61"/>
      <c r="D92" s="61" t="str">
        <f t="array" ref="D92">IFERROR(INDEX(Planning2[],MATCH(1,(Planning2[Nom]=B92)*(Planning2[Date]=Q92),0),3),"-")</f>
        <v>OFF</v>
      </c>
      <c r="E92" s="38"/>
      <c r="F92" s="38" t="str">
        <f t="array" ref="F92">IFERROR(INDEX(Planning2[],MATCH(1,(Planning2[Nom]=B92)*(Planning2[Date]=Q92),0),4),"-")</f>
        <v>OFF</v>
      </c>
      <c r="G92" s="88"/>
      <c r="H92" s="88"/>
      <c r="I92" s="209" t="str">
        <f t="shared" si="33"/>
        <v/>
      </c>
      <c r="J92" s="88"/>
      <c r="K92" s="89">
        <f t="shared" si="32"/>
        <v>0</v>
      </c>
      <c r="L92" s="88">
        <f t="shared" si="34"/>
        <v>0</v>
      </c>
      <c r="M92" s="62">
        <f t="shared" si="35"/>
        <v>0</v>
      </c>
      <c r="N92" s="102" t="str">
        <f t="shared" si="36"/>
        <v/>
      </c>
      <c r="O92" s="90">
        <f t="shared" si="37"/>
        <v>0</v>
      </c>
      <c r="P92" s="91" t="str">
        <f>IFERROR(VLOOKUP($B92,Annuaire_roster!$B:$G,MATCH(P$1,Annuaire_roster!$B$1:$G$1,0),0),"-")</f>
        <v>Google Leads</v>
      </c>
      <c r="Q92" s="100">
        <v>44719</v>
      </c>
      <c r="R92" s="10">
        <f t="shared" si="38"/>
        <v>0</v>
      </c>
      <c r="S92" s="10">
        <f t="shared" si="39"/>
        <v>0</v>
      </c>
      <c r="T92" s="16" t="str">
        <f t="shared" si="40"/>
        <v>Sem - 24</v>
      </c>
      <c r="U92" s="16" t="str">
        <f t="shared" si="41"/>
        <v>Juin</v>
      </c>
      <c r="V92" s="11" t="str">
        <f t="shared" si="42"/>
        <v>2026</v>
      </c>
      <c r="W92" s="9"/>
      <c r="X92" s="5">
        <f t="shared" si="43"/>
        <v>0</v>
      </c>
      <c r="Y92" s="12" t="str">
        <f>IFERROR(VLOOKUP(B92,Annuaire_roster!B:E,4,0),"-")</f>
        <v>OUAQERROUCH Nour-El Houda</v>
      </c>
      <c r="Z92" s="12" t="str">
        <f>IFERROR(VLOOKUP(B92,Annuaire_roster!B:F,3,0),"-")</f>
        <v>Google Leads</v>
      </c>
      <c r="AA92" s="12" t="str">
        <f>IFERROR(VLOOKUP(B92,Annuaire_roster!B:I,6,0),"-")</f>
        <v>Forfaitaire</v>
      </c>
      <c r="AB92" s="142" t="str">
        <f t="shared" si="44"/>
        <v/>
      </c>
      <c r="AC92" s="142" t="str">
        <f t="shared" si="45"/>
        <v/>
      </c>
      <c r="AD92" s="142" t="str">
        <f t="shared" si="46"/>
        <v/>
      </c>
      <c r="AE92" s="143" t="str">
        <f t="shared" si="47"/>
        <v/>
      </c>
      <c r="AF92" s="63"/>
      <c r="AG92" s="10"/>
    </row>
    <row r="93" spans="1:33" hidden="1" x14ac:dyDescent="0.2">
      <c r="A93" s="70">
        <f>VLOOKUP(B93,Annuaire_roster!B:F,5,0)</f>
        <v>1009</v>
      </c>
      <c r="B93" s="166" t="s">
        <v>91</v>
      </c>
      <c r="C93" s="61"/>
      <c r="D93" s="61" t="str">
        <f t="array" ref="D93">IFERROR(INDEX(Planning2[],MATCH(1,(Planning2[Nom]=B93)*(Planning2[Date]=Q93),0),3),"-")</f>
        <v>OFF</v>
      </c>
      <c r="E93" s="38"/>
      <c r="F93" s="38" t="str">
        <f t="array" ref="F93">IFERROR(INDEX(Planning2[],MATCH(1,(Planning2[Nom]=B93)*(Planning2[Date]=Q93),0),4),"-")</f>
        <v>OFF</v>
      </c>
      <c r="G93" s="88"/>
      <c r="H93" s="88"/>
      <c r="I93" s="209" t="str">
        <f t="shared" si="33"/>
        <v/>
      </c>
      <c r="J93" s="88"/>
      <c r="K93" s="89">
        <f t="shared" si="32"/>
        <v>0</v>
      </c>
      <c r="L93" s="88">
        <f t="shared" si="34"/>
        <v>0</v>
      </c>
      <c r="M93" s="62">
        <f t="shared" si="35"/>
        <v>0</v>
      </c>
      <c r="N93" s="102" t="str">
        <f t="shared" si="36"/>
        <v/>
      </c>
      <c r="O93" s="90">
        <f t="shared" si="37"/>
        <v>0</v>
      </c>
      <c r="P93" s="91" t="str">
        <f>IFERROR(VLOOKUP($B93,Annuaire_roster!$B:$G,MATCH(P$1,Annuaire_roster!$B$1:$G$1,0),0),"-")</f>
        <v>Google Leads</v>
      </c>
      <c r="Q93" s="100">
        <v>44719</v>
      </c>
      <c r="R93" s="10">
        <f t="shared" si="38"/>
        <v>0</v>
      </c>
      <c r="S93" s="10">
        <f t="shared" si="39"/>
        <v>0</v>
      </c>
      <c r="T93" s="16" t="str">
        <f t="shared" si="40"/>
        <v>Sem - 24</v>
      </c>
      <c r="U93" s="16" t="str">
        <f t="shared" si="41"/>
        <v>Juin</v>
      </c>
      <c r="V93" s="11" t="str">
        <f t="shared" si="42"/>
        <v>2026</v>
      </c>
      <c r="W93" s="9"/>
      <c r="X93" s="5">
        <f t="shared" si="43"/>
        <v>0</v>
      </c>
      <c r="Y93" s="12" t="str">
        <f>IFERROR(VLOOKUP(B93,Annuaire_roster!B:E,4,0),"-")</f>
        <v>OUAQERROUCH Nour-El Houda</v>
      </c>
      <c r="Z93" s="12" t="str">
        <f>IFERROR(VLOOKUP(B93,Annuaire_roster!B:F,3,0),"-")</f>
        <v>Google Leads</v>
      </c>
      <c r="AA93" s="12" t="str">
        <f>IFERROR(VLOOKUP(B93,Annuaire_roster!B:I,6,0),"-")</f>
        <v>Forfaitaire</v>
      </c>
      <c r="AB93" s="142" t="str">
        <f t="shared" si="44"/>
        <v/>
      </c>
      <c r="AC93" s="142" t="str">
        <f t="shared" si="45"/>
        <v/>
      </c>
      <c r="AD93" s="142" t="str">
        <f t="shared" si="46"/>
        <v/>
      </c>
      <c r="AE93" s="143" t="str">
        <f t="shared" si="47"/>
        <v/>
      </c>
      <c r="AF93" s="63"/>
      <c r="AG93" s="10"/>
    </row>
    <row r="94" spans="1:33" hidden="1" x14ac:dyDescent="0.2">
      <c r="A94" s="211">
        <f>VLOOKUP(B94,Annuaire_roster!B:F,5,0)</f>
        <v>1154</v>
      </c>
      <c r="B94" s="166" t="s">
        <v>110</v>
      </c>
      <c r="C94" s="61"/>
      <c r="D94" s="61" t="str">
        <f t="array" ref="D94">IFERROR(INDEX(Planning2[],MATCH(1,(Planning2[Nom]=B94)*(Planning2[Date]=Q94),0),3),"-")</f>
        <v>OFF</v>
      </c>
      <c r="E94" s="38"/>
      <c r="F94" s="38" t="str">
        <f t="array" ref="F94">IFERROR(INDEX(Planning2[],MATCH(1,(Planning2[Nom]=B94)*(Planning2[Date]=Q94),0),4),"-")</f>
        <v>OFF</v>
      </c>
      <c r="G94" s="88"/>
      <c r="H94" s="88"/>
      <c r="I94" s="209" t="str">
        <f t="shared" si="33"/>
        <v/>
      </c>
      <c r="J94" s="88"/>
      <c r="K94" s="89">
        <f t="shared" si="32"/>
        <v>0</v>
      </c>
      <c r="L94" s="88">
        <f t="shared" si="34"/>
        <v>0</v>
      </c>
      <c r="M94" s="62">
        <f t="shared" si="35"/>
        <v>0</v>
      </c>
      <c r="N94" s="212" t="str">
        <f t="shared" si="36"/>
        <v/>
      </c>
      <c r="O94" s="90">
        <f t="shared" si="37"/>
        <v>0</v>
      </c>
      <c r="P94" s="91" t="str">
        <f>IFERROR(VLOOKUP($B94,Annuaire_roster!$B:$G,MATCH(P$1,Annuaire_roster!$B$1:$G$1,0),0),"-")</f>
        <v>Google Leads</v>
      </c>
      <c r="Q94" s="213">
        <v>44719</v>
      </c>
      <c r="R94" s="142">
        <f t="shared" si="38"/>
        <v>0</v>
      </c>
      <c r="S94" s="142">
        <f t="shared" si="39"/>
        <v>0</v>
      </c>
      <c r="T94" s="16" t="str">
        <f t="shared" si="40"/>
        <v>Sem - 24</v>
      </c>
      <c r="U94" s="16" t="str">
        <f t="shared" si="41"/>
        <v>Juin</v>
      </c>
      <c r="V94" s="214" t="str">
        <f t="shared" si="42"/>
        <v>2026</v>
      </c>
      <c r="W94" s="212"/>
      <c r="X94" s="215">
        <f t="shared" si="43"/>
        <v>0</v>
      </c>
      <c r="Y94" s="216" t="str">
        <f>IFERROR(VLOOKUP(B94,Annuaire_roster!B:E,4,0),"-")</f>
        <v>CHOUIFI Mustapha</v>
      </c>
      <c r="Z94" s="216" t="str">
        <f>IFERROR(VLOOKUP(B94,Annuaire_roster!B:F,3,0),"-")</f>
        <v>Google Leads</v>
      </c>
      <c r="AA94" s="216" t="str">
        <f>IFERROR(VLOOKUP(B94,Annuaire_roster!B:I,6,0),"-")</f>
        <v>Forfaitaire</v>
      </c>
      <c r="AB94" s="142" t="str">
        <f t="shared" si="44"/>
        <v/>
      </c>
      <c r="AC94" s="142" t="str">
        <f t="shared" si="45"/>
        <v/>
      </c>
      <c r="AD94" s="142" t="str">
        <f t="shared" si="46"/>
        <v/>
      </c>
      <c r="AE94" s="217" t="str">
        <f t="shared" si="47"/>
        <v/>
      </c>
      <c r="AF94" s="63"/>
      <c r="AG94" s="142"/>
    </row>
    <row r="95" spans="1:33" hidden="1" x14ac:dyDescent="0.2">
      <c r="A95" s="70">
        <f>VLOOKUP(B95,Annuaire_roster!B:F,5,0)</f>
        <v>0</v>
      </c>
      <c r="B95" s="166" t="s">
        <v>144</v>
      </c>
      <c r="C95" s="61"/>
      <c r="D95" s="61" t="str">
        <f t="array" ref="D95">IFERROR(INDEX(Planning2[],MATCH(1,(Planning2[Nom]=B95)*(Planning2[Date]=Q95),0),3),"-")</f>
        <v>OFF</v>
      </c>
      <c r="E95" s="38"/>
      <c r="F95" s="38" t="str">
        <f t="array" ref="F95">IFERROR(INDEX(Planning2[],MATCH(1,(Planning2[Nom]=B95)*(Planning2[Date]=Q95),0),4),"-")</f>
        <v>OFF</v>
      </c>
      <c r="G95" s="88"/>
      <c r="H95" s="88"/>
      <c r="I95" s="209" t="str">
        <f t="shared" si="33"/>
        <v/>
      </c>
      <c r="J95" s="88"/>
      <c r="K95" s="89">
        <f t="shared" si="32"/>
        <v>0</v>
      </c>
      <c r="L95" s="88">
        <f t="shared" si="34"/>
        <v>0</v>
      </c>
      <c r="M95" s="62">
        <f t="shared" si="35"/>
        <v>0</v>
      </c>
      <c r="N95" s="102" t="str">
        <f t="shared" si="36"/>
        <v/>
      </c>
      <c r="O95" s="90">
        <f t="shared" si="37"/>
        <v>0</v>
      </c>
      <c r="P95" s="91" t="str">
        <f>IFERROR(VLOOKUP($B95,Annuaire_roster!$B:$G,MATCH(P$1,Annuaire_roster!$B$1:$G$1,0),0),"-")</f>
        <v>Google Leads</v>
      </c>
      <c r="Q95" s="100">
        <v>44719</v>
      </c>
      <c r="R95" s="10">
        <f t="shared" si="38"/>
        <v>0</v>
      </c>
      <c r="S95" s="10">
        <f t="shared" si="39"/>
        <v>0</v>
      </c>
      <c r="T95" s="16" t="str">
        <f t="shared" si="40"/>
        <v>Sem - 24</v>
      </c>
      <c r="U95" s="16" t="str">
        <f t="shared" si="41"/>
        <v>Juin</v>
      </c>
      <c r="V95" s="11" t="str">
        <f t="shared" si="42"/>
        <v>2026</v>
      </c>
      <c r="W95" s="9"/>
      <c r="X95" s="5">
        <f t="shared" si="43"/>
        <v>0</v>
      </c>
      <c r="Y95" s="12" t="str">
        <f>IFERROR(VLOOKUP(B95,Annuaire_roster!B:E,4,0),"-")</f>
        <v>CHOUIFI Mustapha</v>
      </c>
      <c r="Z95" s="12" t="str">
        <f>IFERROR(VLOOKUP(B95,Annuaire_roster!B:F,3,0),"-")</f>
        <v>Google Leads</v>
      </c>
      <c r="AA95" s="12" t="str">
        <f>IFERROR(VLOOKUP(B95,Annuaire_roster!B:I,6,0),"-")</f>
        <v>Forfaitaire</v>
      </c>
      <c r="AB95" s="142" t="str">
        <f t="shared" si="44"/>
        <v/>
      </c>
      <c r="AC95" s="142" t="str">
        <f t="shared" si="45"/>
        <v/>
      </c>
      <c r="AD95" s="142" t="str">
        <f t="shared" si="46"/>
        <v/>
      </c>
      <c r="AE95" s="143" t="str">
        <f t="shared" si="47"/>
        <v/>
      </c>
      <c r="AF95" s="63"/>
      <c r="AG95" s="10"/>
    </row>
    <row r="96" spans="1:33" hidden="1" x14ac:dyDescent="0.2">
      <c r="A96" s="70">
        <f>VLOOKUP(B96,Annuaire_roster!B:F,5,0)</f>
        <v>0</v>
      </c>
      <c r="B96" s="166" t="s">
        <v>196</v>
      </c>
      <c r="C96" s="61"/>
      <c r="D96" s="61" t="str">
        <f t="array" ref="D96">IFERROR(INDEX(Planning2[],MATCH(1,(Planning2[Nom]=B96)*(Planning2[Date]=Q96),0),3),"-")</f>
        <v>OFF</v>
      </c>
      <c r="E96" s="38"/>
      <c r="F96" s="38" t="str">
        <f t="array" ref="F96">IFERROR(INDEX(Planning2[],MATCH(1,(Planning2[Nom]=B96)*(Planning2[Date]=Q96),0),4),"-")</f>
        <v>OFF</v>
      </c>
      <c r="G96" s="88"/>
      <c r="H96" s="88"/>
      <c r="I96" s="209" t="str">
        <f t="shared" si="33"/>
        <v/>
      </c>
      <c r="J96" s="88"/>
      <c r="K96" s="89">
        <f t="shared" si="32"/>
        <v>0</v>
      </c>
      <c r="L96" s="88">
        <f t="shared" si="34"/>
        <v>0</v>
      </c>
      <c r="M96" s="62">
        <f t="shared" si="35"/>
        <v>0</v>
      </c>
      <c r="N96" s="102" t="str">
        <f t="shared" si="36"/>
        <v/>
      </c>
      <c r="O96" s="90">
        <f t="shared" si="37"/>
        <v>0</v>
      </c>
      <c r="P96" s="91" t="str">
        <f>IFERROR(VLOOKUP($B96,Annuaire_roster!$B:$G,MATCH(P$1,Annuaire_roster!$B$1:$G$1,0),0),"-")</f>
        <v>Google Leads</v>
      </c>
      <c r="Q96" s="100">
        <v>44719</v>
      </c>
      <c r="R96" s="10">
        <f t="shared" si="38"/>
        <v>0</v>
      </c>
      <c r="S96" s="10">
        <f t="shared" si="39"/>
        <v>0</v>
      </c>
      <c r="T96" s="16" t="str">
        <f t="shared" si="40"/>
        <v>Sem - 24</v>
      </c>
      <c r="U96" s="16" t="str">
        <f t="shared" si="41"/>
        <v>Juin</v>
      </c>
      <c r="V96" s="11" t="str">
        <f t="shared" si="42"/>
        <v>2026</v>
      </c>
      <c r="W96" s="9"/>
      <c r="X96" s="5">
        <f t="shared" si="43"/>
        <v>0</v>
      </c>
      <c r="Y96" s="12">
        <f>IFERROR(VLOOKUP(B96,Annuaire_roster!B:E,4,0),"-")</f>
        <v>0</v>
      </c>
      <c r="Z96" s="12" t="str">
        <f>IFERROR(VLOOKUP(B96,Annuaire_roster!B:F,3,0),"-")</f>
        <v>Google Leads</v>
      </c>
      <c r="AA96" s="12">
        <f>IFERROR(VLOOKUP(B96,Annuaire_roster!B:I,6,0),"-")</f>
        <v>0</v>
      </c>
      <c r="AB96" s="142" t="str">
        <f t="shared" si="44"/>
        <v/>
      </c>
      <c r="AC96" s="142" t="str">
        <f t="shared" si="45"/>
        <v/>
      </c>
      <c r="AD96" s="142" t="str">
        <f t="shared" si="46"/>
        <v/>
      </c>
      <c r="AE96" s="143" t="str">
        <f t="shared" si="47"/>
        <v/>
      </c>
      <c r="AF96" s="63"/>
      <c r="AG96" s="10"/>
    </row>
    <row r="97" spans="1:33" hidden="1" x14ac:dyDescent="0.2">
      <c r="A97" s="70">
        <f>VLOOKUP(B97,Annuaire_roster!B:F,5,0)</f>
        <v>669</v>
      </c>
      <c r="B97" s="166" t="s">
        <v>45</v>
      </c>
      <c r="C97" s="61"/>
      <c r="D97" s="61" t="str">
        <f t="array" ref="D97">IFERROR(INDEX(Planning2[],MATCH(1,(Planning2[Nom]=B97)*(Planning2[Date]=Q97),0),3),"-")</f>
        <v>OFF</v>
      </c>
      <c r="E97" s="38"/>
      <c r="F97" s="38" t="str">
        <f t="array" ref="F97">IFERROR(INDEX(Planning2[],MATCH(1,(Planning2[Nom]=B97)*(Planning2[Date]=Q97),0),4),"-")</f>
        <v>OFF</v>
      </c>
      <c r="G97" s="88"/>
      <c r="H97" s="88"/>
      <c r="I97" s="209" t="str">
        <f t="shared" si="33"/>
        <v/>
      </c>
      <c r="J97" s="88"/>
      <c r="K97" s="89">
        <f t="shared" si="32"/>
        <v>0</v>
      </c>
      <c r="L97" s="88">
        <f t="shared" si="34"/>
        <v>0</v>
      </c>
      <c r="M97" s="62">
        <f t="shared" si="35"/>
        <v>0</v>
      </c>
      <c r="N97" s="102" t="str">
        <f t="shared" si="36"/>
        <v/>
      </c>
      <c r="O97" s="90">
        <f t="shared" si="37"/>
        <v>0</v>
      </c>
      <c r="P97" s="91" t="str">
        <f>IFERROR(VLOOKUP($B97,Annuaire_roster!$B:$G,MATCH(P$1,Annuaire_roster!$B$1:$G$1,0),0),"-")</f>
        <v>Google Leads</v>
      </c>
      <c r="Q97" s="100">
        <v>44719</v>
      </c>
      <c r="R97" s="10">
        <f t="shared" si="38"/>
        <v>0</v>
      </c>
      <c r="S97" s="10">
        <f t="shared" si="39"/>
        <v>0</v>
      </c>
      <c r="T97" s="16" t="str">
        <f t="shared" si="40"/>
        <v>Sem - 24</v>
      </c>
      <c r="U97" s="16" t="str">
        <f t="shared" si="41"/>
        <v>Juin</v>
      </c>
      <c r="V97" s="11" t="str">
        <f t="shared" si="42"/>
        <v>2026</v>
      </c>
      <c r="W97" s="9"/>
      <c r="X97" s="5">
        <f t="shared" si="43"/>
        <v>0</v>
      </c>
      <c r="Y97" s="12" t="str">
        <f>IFERROR(VLOOKUP(B97,Annuaire_roster!B:E,4,0),"-")</f>
        <v>CHOUIFI Mustapha</v>
      </c>
      <c r="Z97" s="12" t="str">
        <f>IFERROR(VLOOKUP(B97,Annuaire_roster!B:F,3,0),"-")</f>
        <v>Google Leads</v>
      </c>
      <c r="AA97" s="12" t="str">
        <f>IFERROR(VLOOKUP(B97,Annuaire_roster!B:I,6,0),"-")</f>
        <v>Forfaitaire</v>
      </c>
      <c r="AB97" s="142" t="str">
        <f t="shared" si="44"/>
        <v/>
      </c>
      <c r="AC97" s="142" t="str">
        <f t="shared" si="45"/>
        <v/>
      </c>
      <c r="AD97" s="142" t="str">
        <f t="shared" si="46"/>
        <v/>
      </c>
      <c r="AE97" s="143" t="str">
        <f t="shared" si="47"/>
        <v/>
      </c>
      <c r="AF97" s="63"/>
      <c r="AG97" s="10"/>
    </row>
    <row r="98" spans="1:33" hidden="1" x14ac:dyDescent="0.2">
      <c r="A98" s="70">
        <f>VLOOKUP(B98,Annuaire_roster!B:F,5,0)</f>
        <v>1007</v>
      </c>
      <c r="B98" s="166" t="s">
        <v>89</v>
      </c>
      <c r="C98" s="61">
        <v>0.29166666666666669</v>
      </c>
      <c r="D98" s="61">
        <f t="array" ref="D98">IFERROR(INDEX(Planning2[],MATCH(1,(Planning2[Nom]=B98)*(Planning2[Date]=Q98),0),3),"-")</f>
        <v>0.29166666666666669</v>
      </c>
      <c r="E98" s="38">
        <v>0.70833333333333337</v>
      </c>
      <c r="F98" s="38">
        <f t="array" ref="F98">IFERROR(INDEX(Planning2[],MATCH(1,(Planning2[Nom]=B98)*(Planning2[Date]=Q98),0),4),"-")</f>
        <v>0.70833333333333337</v>
      </c>
      <c r="G98" s="88"/>
      <c r="H98" s="88"/>
      <c r="I98" s="209" t="str">
        <f t="shared" ref="I98:I129" si="48">IF(IF(OR(C98="",D98="Congé",D98="OFF",D98="Congé spécial"),"",IF(D98&gt;F98,D98-C98,IF(C98-D98&lt;0,0,C98-D98)))&lt;0.00068287037037037,"",IF(OR(D98="Congé",D98="OFF",C98="",D98="Congé spécial"),"",IF(D98&gt;F98,D98-C98,IF(C98-D98&lt;0,0,C98-D98))))</f>
        <v/>
      </c>
      <c r="J98" s="88"/>
      <c r="K98" s="89">
        <f t="shared" ref="K98:K129" si="49">IF(SUM(H98:J98)&lt;0.00068287037037037,0,SUM(H98:J98))</f>
        <v>0</v>
      </c>
      <c r="L98" s="88">
        <f t="shared" ref="L98:L129" si="50">IF(OR(F98="Congé",F98="OFF",M98="Abs",F98="Congé sans solde",F98="Férié",F98="Congé spécial",D98="Congé spécial"),0,IF(F98-E98&lt;0,0,IF(F98-E98&lt;=0.00068287037037037,0,F98-E98)))</f>
        <v>0</v>
      </c>
      <c r="M98" s="62">
        <f t="shared" ref="M98:M129" si="51">IF(AND(O98&lt;&gt;0,C98=""),"Abs",0)</f>
        <v>0</v>
      </c>
      <c r="N98" s="102">
        <f t="shared" ref="N98:N129" si="52">IFERROR(IF(OR(D98="OFF",D98="Congé",M98="Abs",D98="Congé sans solde",D98="Férié"),"",IF(O98-K98-L98&gt;O98,O98,IF(O98-K98-L98&lt;0,"",O98-K98-L98))),"")</f>
        <v>0.375</v>
      </c>
      <c r="O98" s="90">
        <f t="shared" ref="O98:O129" si="53">IF(AG98="2H Pause déjeuner",IF(F98-D98-0.0833333333333333&lt;0,F98-D98-0.0833333333333333+1,F98-D98-0.0833333333333333),IF(OR(AND(F98="OFF",D98="OFF"),AND(F98="Congé",D98="Congé"),AND(F98="Congé sans solde",D98="Congé sans solde"),AND(F98="Congé spécial",D98="Congé spécial"),AND(F98="Férié",D98="Férié"),AND(F98="OFF",D98="Congé"),AND(F98="OFF",D98="Congé sans solde"),AND(F98="OFF",D98="Congé spécial"),AND(F98="OFF",D98="Férié"),AND(F98="Congé",D98="OFF"),AND(F98="Congé",D98="Congé sans solde"),AND(F98="Congé",D98="Congé spécial"),AND(F98="Congé",D98="Férié"),AND(F98="Congé sans solde",D98="OFF"),AND(F98="Congé sans solde",D98="Congé"),AND(F98="Congé sans solde",D98="Congé spécial"),AND(F98="Congé sans solde",D98="Férié"),AND(F98="Congé spécial",D98="OFF"),AND(F98="Congé spécial",D98="Congé"),AND(F98="Congé spécial",D98="Congé sans solde"),AND(F98="Congé spécial",D98="Férié"),AND(F98="Férié",D98="OFF"),AND(F98="Férié",D98="Congé"),AND(F98="Férié",D98="Congé sans solde"),AND(F98="Férié",D98="Congé spécial")),0,IF(OR(F98="OFF",F98="Congé",F98="Congé spécial",F98="Congé sans solde",D98="OFF",D98="Congé",D98="Congé spécial",D98="Congé sans solde"),0.208333333333334,IF(AND(AG98="",F98-D98&lt;0),("24:00:00"-D98)+("00:00:00"+F98)-0.0416666666666667,IF(AND(OR(AG98="Allaitement",AG98="Sans déjeuner"),F98-D98&lt;0),("24:00:00"-D98)+("00:00:00"+F98),IF(AND(AG98="",F98-D98&gt;0.166666666666667),F98-D98-0.0416666666666667,IF(AND(OR(AG98="Allaitement",AG98="Sans déjeuner"),F98-D98&gt;0.166666666666667),F98-D98,F98-D98)))))))</f>
        <v>0.375</v>
      </c>
      <c r="P98" s="91" t="str">
        <f>IFERROR(VLOOKUP($B98,Annuaire_roster!$B:$G,MATCH(P$1,Annuaire_roster!$B$1:$G$1,0),0),"-")</f>
        <v>Google Leads</v>
      </c>
      <c r="Q98" s="100">
        <v>44720</v>
      </c>
      <c r="R98" s="10">
        <f t="shared" ref="R98:R129" si="54">IF(M98="Abs",O98,0)</f>
        <v>0</v>
      </c>
      <c r="S98" s="10">
        <f t="shared" ref="S98:S129" si="55">SUM(R98,L98,I98,J98,W98,H98)</f>
        <v>0</v>
      </c>
      <c r="T98" s="16" t="str">
        <f t="shared" ref="T98:T129" si="56">"Sem - "&amp;WEEKNUM(Q98,21)</f>
        <v>Sem - 24</v>
      </c>
      <c r="U98" s="16" t="str">
        <f t="shared" ref="U98:U129" si="57">PROPER(TEXT(Q98,"mmmm"))</f>
        <v>Juin</v>
      </c>
      <c r="V98" s="11" t="str">
        <f t="shared" ref="V98:V129" si="58">+TEXT(Q98,"aaa")</f>
        <v>2026</v>
      </c>
      <c r="W98" s="9"/>
      <c r="X98" s="5">
        <f t="shared" ref="X98:X129" si="59">IFERROR(IF(M98="Abs",0,IF((D98-C98+E98-F98)&lt;0.000694444444444444,0,(D98-C98+E98-F98))),0)</f>
        <v>0</v>
      </c>
      <c r="Y98" s="12" t="str">
        <f>IFERROR(VLOOKUP(B98,Annuaire_roster!B:E,4,0),"-")</f>
        <v>OUAQERROUCH Nour-El Houda</v>
      </c>
      <c r="Z98" s="12" t="str">
        <f>IFERROR(VLOOKUP(B98,Annuaire_roster!B:F,3,0),"-")</f>
        <v>Google Leads</v>
      </c>
      <c r="AA98" s="12" t="str">
        <f>IFERROR(VLOOKUP(B98,Annuaire_roster!B:I,6,0),"-")</f>
        <v>Forfaitaire</v>
      </c>
      <c r="AB98" s="142" t="str">
        <f t="shared" ref="AB98:AB129" si="60">IF(AND(D98="Congé",F98="Congé"),0.333333333333333,IF(OR(AND(D98="Congé",F98&lt;&gt;"Congé"),(AND(F98="Congé",D98&lt;&gt;"Congé"))),0.166666666666667,""))</f>
        <v/>
      </c>
      <c r="AC98" s="142" t="str">
        <f t="shared" ref="AC98:AC129" si="61">IF(AND(D98="Congé sans solde",F98="Congé sans solde"),0.333333333333333,IF(OR(AND(D98="Congé sans solde",F98&lt;&gt;"Congé sans solde"),(AND(F98="Congé sans solde",D98&lt;&gt;"Congé sans solde"))),0.166666666666667,""))</f>
        <v/>
      </c>
      <c r="AD98" s="142" t="str">
        <f t="shared" ref="AD98:AD129" si="62">IF(AND(D98="Congé spécial",F98="Congé spécial"),0.333333333333333,IF(OR(AND(D98="Congé spécial",F98&lt;&gt;"Congé décès"),(AND(F98="Congé spécial",D98&lt;&gt;"Congé spécial"))),0.166666666666667,""))</f>
        <v/>
      </c>
      <c r="AE98" s="143" t="str">
        <f t="shared" ref="AE98:AE129" si="63">IF(AND(D98="Férié",F98="Férié"),0.333333333333333,IF(OR(AND(D98="Férié",F98&lt;&gt;"Férié"),(AND(F98="Férié",D98&lt;&gt;"Férié"))),0.166666666666667,""))</f>
        <v/>
      </c>
      <c r="AF98" s="63"/>
      <c r="AG98" s="10"/>
    </row>
    <row r="99" spans="1:33" hidden="1" x14ac:dyDescent="0.2">
      <c r="A99" s="70">
        <f>VLOOKUP(B99,Annuaire_roster!B:F,5,0)</f>
        <v>1145</v>
      </c>
      <c r="B99" s="166" t="s">
        <v>102</v>
      </c>
      <c r="C99" s="61">
        <v>0.28888888888888886</v>
      </c>
      <c r="D99" s="61">
        <f t="array" ref="D99">IFERROR(INDEX(Planning2[],MATCH(1,(Planning2[Nom]=B99)*(Planning2[Date]=Q99),0),3),"-")</f>
        <v>0.29166666666666669</v>
      </c>
      <c r="E99" s="38">
        <v>0.70833333333333337</v>
      </c>
      <c r="F99" s="38">
        <f t="array" ref="F99">IFERROR(INDEX(Planning2[],MATCH(1,(Planning2[Nom]=B99)*(Planning2[Date]=Q99),0),4),"-")</f>
        <v>0.70833333333333337</v>
      </c>
      <c r="G99" s="88"/>
      <c r="H99" s="88"/>
      <c r="I99" s="209" t="str">
        <f t="shared" si="48"/>
        <v/>
      </c>
      <c r="J99" s="88"/>
      <c r="K99" s="89">
        <f t="shared" si="49"/>
        <v>0</v>
      </c>
      <c r="L99" s="88">
        <f t="shared" si="50"/>
        <v>0</v>
      </c>
      <c r="M99" s="62">
        <f t="shared" si="51"/>
        <v>0</v>
      </c>
      <c r="N99" s="102">
        <f t="shared" si="52"/>
        <v>0.375</v>
      </c>
      <c r="O99" s="90">
        <f t="shared" si="53"/>
        <v>0.375</v>
      </c>
      <c r="P99" s="91" t="str">
        <f>IFERROR(VLOOKUP($B99,Annuaire_roster!$B:$G,MATCH(P$1,Annuaire_roster!$B$1:$G$1,0),0),"-")</f>
        <v>Google Leads</v>
      </c>
      <c r="Q99" s="100">
        <v>44720</v>
      </c>
      <c r="R99" s="10">
        <f t="shared" si="54"/>
        <v>0</v>
      </c>
      <c r="S99" s="10">
        <f t="shared" si="55"/>
        <v>0</v>
      </c>
      <c r="T99" s="16" t="str">
        <f t="shared" si="56"/>
        <v>Sem - 24</v>
      </c>
      <c r="U99" s="16" t="str">
        <f t="shared" si="57"/>
        <v>Juin</v>
      </c>
      <c r="V99" s="11" t="str">
        <f t="shared" si="58"/>
        <v>2026</v>
      </c>
      <c r="W99" s="9"/>
      <c r="X99" s="5">
        <f t="shared" si="59"/>
        <v>2.7777777777778789E-3</v>
      </c>
      <c r="Y99" s="12" t="str">
        <f>IFERROR(VLOOKUP(B99,Annuaire_roster!B:E,4,0),"-")</f>
        <v>CHOUIFI Mustapha</v>
      </c>
      <c r="Z99" s="12" t="str">
        <f>IFERROR(VLOOKUP(B99,Annuaire_roster!B:F,3,0),"-")</f>
        <v>Google Leads</v>
      </c>
      <c r="AA99" s="12" t="str">
        <f>IFERROR(VLOOKUP(B99,Annuaire_roster!B:I,6,0),"-")</f>
        <v>Forfaitaire</v>
      </c>
      <c r="AB99" s="142" t="str">
        <f t="shared" si="60"/>
        <v/>
      </c>
      <c r="AC99" s="142" t="str">
        <f t="shared" si="61"/>
        <v/>
      </c>
      <c r="AD99" s="142" t="str">
        <f t="shared" si="62"/>
        <v/>
      </c>
      <c r="AE99" s="143" t="str">
        <f t="shared" si="63"/>
        <v/>
      </c>
      <c r="AF99" s="63"/>
      <c r="AG99" s="10"/>
    </row>
    <row r="100" spans="1:33" hidden="1" x14ac:dyDescent="0.2">
      <c r="A100" s="70">
        <f>VLOOKUP(B100,Annuaire_roster!B:F,5,0)</f>
        <v>0</v>
      </c>
      <c r="B100" s="166" t="s">
        <v>144</v>
      </c>
      <c r="C100" s="61">
        <v>0.29166666666666669</v>
      </c>
      <c r="D100" s="61">
        <f t="array" ref="D100">IFERROR(INDEX(Planning2[],MATCH(1,(Planning2[Nom]=B100)*(Planning2[Date]=Q100),0),3),"-")</f>
        <v>0.29166666666666669</v>
      </c>
      <c r="E100" s="38">
        <v>0.70833333333333337</v>
      </c>
      <c r="F100" s="38">
        <f t="array" ref="F100">IFERROR(INDEX(Planning2[],MATCH(1,(Planning2[Nom]=B100)*(Planning2[Date]=Q100),0),4),"-")</f>
        <v>0.70833333333333337</v>
      </c>
      <c r="G100" s="88"/>
      <c r="H100" s="88"/>
      <c r="I100" s="209" t="str">
        <f t="shared" si="48"/>
        <v/>
      </c>
      <c r="J100" s="88"/>
      <c r="K100" s="89">
        <f t="shared" si="49"/>
        <v>0</v>
      </c>
      <c r="L100" s="88">
        <f t="shared" si="50"/>
        <v>0</v>
      </c>
      <c r="M100" s="62">
        <f t="shared" si="51"/>
        <v>0</v>
      </c>
      <c r="N100" s="102">
        <f t="shared" si="52"/>
        <v>0.375</v>
      </c>
      <c r="O100" s="90">
        <f t="shared" si="53"/>
        <v>0.375</v>
      </c>
      <c r="P100" s="91" t="str">
        <f>IFERROR(VLOOKUP($B100,Annuaire_roster!$B:$G,MATCH(P$1,Annuaire_roster!$B$1:$G$1,0),0),"-")</f>
        <v>Google Leads</v>
      </c>
      <c r="Q100" s="100">
        <v>44720</v>
      </c>
      <c r="R100" s="10">
        <f t="shared" si="54"/>
        <v>0</v>
      </c>
      <c r="S100" s="10">
        <f t="shared" si="55"/>
        <v>0</v>
      </c>
      <c r="T100" s="16" t="str">
        <f t="shared" si="56"/>
        <v>Sem - 24</v>
      </c>
      <c r="U100" s="16" t="str">
        <f t="shared" si="57"/>
        <v>Juin</v>
      </c>
      <c r="V100" s="11" t="str">
        <f t="shared" si="58"/>
        <v>2026</v>
      </c>
      <c r="W100" s="9"/>
      <c r="X100" s="5">
        <f t="shared" si="59"/>
        <v>0</v>
      </c>
      <c r="Y100" s="12" t="str">
        <f>IFERROR(VLOOKUP(B100,Annuaire_roster!B:E,4,0),"-")</f>
        <v>CHOUIFI Mustapha</v>
      </c>
      <c r="Z100" s="12" t="str">
        <f>IFERROR(VLOOKUP(B100,Annuaire_roster!B:F,3,0),"-")</f>
        <v>Google Leads</v>
      </c>
      <c r="AA100" s="12" t="str">
        <f>IFERROR(VLOOKUP(B100,Annuaire_roster!B:I,6,0),"-")</f>
        <v>Forfaitaire</v>
      </c>
      <c r="AB100" s="142" t="str">
        <f t="shared" si="60"/>
        <v/>
      </c>
      <c r="AC100" s="142" t="str">
        <f t="shared" si="61"/>
        <v/>
      </c>
      <c r="AD100" s="142" t="str">
        <f t="shared" si="62"/>
        <v/>
      </c>
      <c r="AE100" s="143" t="str">
        <f t="shared" si="63"/>
        <v/>
      </c>
      <c r="AF100" s="63"/>
      <c r="AG100" s="10"/>
    </row>
    <row r="101" spans="1:33" hidden="1" x14ac:dyDescent="0.2">
      <c r="A101" s="70">
        <f>VLOOKUP(B101,Annuaire_roster!B:F,5,0)</f>
        <v>0</v>
      </c>
      <c r="B101" s="166" t="s">
        <v>196</v>
      </c>
      <c r="C101" s="61">
        <v>0.29166666666666669</v>
      </c>
      <c r="D101" s="61">
        <f t="array" ref="D101">IFERROR(INDEX(Planning2[],MATCH(1,(Planning2[Nom]=B101)*(Planning2[Date]=Q101),0),3),"-")</f>
        <v>0.29166666666666669</v>
      </c>
      <c r="E101" s="38">
        <v>0.70833333333333337</v>
      </c>
      <c r="F101" s="38">
        <f t="array" ref="F101">IFERROR(INDEX(Planning2[],MATCH(1,(Planning2[Nom]=B101)*(Planning2[Date]=Q101),0),4),"-")</f>
        <v>0.70833333333333337</v>
      </c>
      <c r="G101" s="88"/>
      <c r="H101" s="88"/>
      <c r="I101" s="209" t="str">
        <f t="shared" si="48"/>
        <v/>
      </c>
      <c r="J101" s="88"/>
      <c r="K101" s="89">
        <f t="shared" si="49"/>
        <v>0</v>
      </c>
      <c r="L101" s="88">
        <f t="shared" si="50"/>
        <v>0</v>
      </c>
      <c r="M101" s="62">
        <f t="shared" si="51"/>
        <v>0</v>
      </c>
      <c r="N101" s="102">
        <f t="shared" si="52"/>
        <v>0.375</v>
      </c>
      <c r="O101" s="90">
        <f t="shared" si="53"/>
        <v>0.375</v>
      </c>
      <c r="P101" s="91" t="str">
        <f>IFERROR(VLOOKUP($B101,Annuaire_roster!$B:$G,MATCH(P$1,Annuaire_roster!$B$1:$G$1,0),0),"-")</f>
        <v>Google Leads</v>
      </c>
      <c r="Q101" s="100">
        <v>44720</v>
      </c>
      <c r="R101" s="10">
        <f t="shared" si="54"/>
        <v>0</v>
      </c>
      <c r="S101" s="10">
        <f t="shared" si="55"/>
        <v>0</v>
      </c>
      <c r="T101" s="16" t="str">
        <f t="shared" si="56"/>
        <v>Sem - 24</v>
      </c>
      <c r="U101" s="16" t="str">
        <f t="shared" si="57"/>
        <v>Juin</v>
      </c>
      <c r="V101" s="11" t="str">
        <f t="shared" si="58"/>
        <v>2026</v>
      </c>
      <c r="W101" s="9"/>
      <c r="X101" s="5">
        <f t="shared" si="59"/>
        <v>0</v>
      </c>
      <c r="Y101" s="12">
        <f>IFERROR(VLOOKUP(B101,Annuaire_roster!B:E,4,0),"-")</f>
        <v>0</v>
      </c>
      <c r="Z101" s="12" t="str">
        <f>IFERROR(VLOOKUP(B101,Annuaire_roster!B:F,3,0),"-")</f>
        <v>Google Leads</v>
      </c>
      <c r="AA101" s="12">
        <f>IFERROR(VLOOKUP(B101,Annuaire_roster!B:I,6,0),"-")</f>
        <v>0</v>
      </c>
      <c r="AB101" s="142" t="str">
        <f t="shared" si="60"/>
        <v/>
      </c>
      <c r="AC101" s="142" t="str">
        <f t="shared" si="61"/>
        <v/>
      </c>
      <c r="AD101" s="142" t="str">
        <f t="shared" si="62"/>
        <v/>
      </c>
      <c r="AE101" s="143" t="str">
        <f t="shared" si="63"/>
        <v/>
      </c>
      <c r="AF101" s="63"/>
      <c r="AG101" s="142"/>
    </row>
    <row r="102" spans="1:33" hidden="1" x14ac:dyDescent="0.2">
      <c r="A102" s="70">
        <f>VLOOKUP(B102,Annuaire_roster!B:F,5,0)</f>
        <v>0</v>
      </c>
      <c r="B102" s="166" t="s">
        <v>198</v>
      </c>
      <c r="C102" s="61">
        <v>0.2902777777777778</v>
      </c>
      <c r="D102" s="61">
        <f t="array" ref="D102">IFERROR(INDEX(Planning2[],MATCH(1,(Planning2[Nom]=B102)*(Planning2[Date]=Q102),0),3),"-")</f>
        <v>0.29166666666666669</v>
      </c>
      <c r="E102" s="38">
        <v>0.70833333333333337</v>
      </c>
      <c r="F102" s="38">
        <f t="array" ref="F102">IFERROR(INDEX(Planning2[],MATCH(1,(Planning2[Nom]=B102)*(Planning2[Date]=Q102),0),4),"-")</f>
        <v>0.70833333333333337</v>
      </c>
      <c r="G102" s="88"/>
      <c r="H102" s="88"/>
      <c r="I102" s="209" t="str">
        <f t="shared" si="48"/>
        <v/>
      </c>
      <c r="J102" s="88"/>
      <c r="K102" s="89">
        <f t="shared" si="49"/>
        <v>0</v>
      </c>
      <c r="L102" s="88">
        <f t="shared" si="50"/>
        <v>0</v>
      </c>
      <c r="M102" s="62">
        <f t="shared" si="51"/>
        <v>0</v>
      </c>
      <c r="N102" s="102">
        <f t="shared" si="52"/>
        <v>0.375</v>
      </c>
      <c r="O102" s="90">
        <f t="shared" si="53"/>
        <v>0.375</v>
      </c>
      <c r="P102" s="91" t="str">
        <f>IFERROR(VLOOKUP($B102,Annuaire_roster!$B:$G,MATCH(P$1,Annuaire_roster!$B$1:$G$1,0),0),"-")</f>
        <v>Google Leads</v>
      </c>
      <c r="Q102" s="100">
        <v>44720</v>
      </c>
      <c r="R102" s="10">
        <f t="shared" si="54"/>
        <v>0</v>
      </c>
      <c r="S102" s="10">
        <f t="shared" si="55"/>
        <v>0</v>
      </c>
      <c r="T102" s="16" t="str">
        <f t="shared" si="56"/>
        <v>Sem - 24</v>
      </c>
      <c r="U102" s="16" t="str">
        <f t="shared" si="57"/>
        <v>Juin</v>
      </c>
      <c r="V102" s="11" t="str">
        <f t="shared" si="58"/>
        <v>2026</v>
      </c>
      <c r="W102" s="9"/>
      <c r="X102" s="5">
        <f t="shared" si="59"/>
        <v>1.388888888888884E-3</v>
      </c>
      <c r="Y102" s="12">
        <f>IFERROR(VLOOKUP(B102,Annuaire_roster!B:E,4,0),"-")</f>
        <v>0</v>
      </c>
      <c r="Z102" s="12" t="str">
        <f>IFERROR(VLOOKUP(B102,Annuaire_roster!B:F,3,0),"-")</f>
        <v>Google Leads</v>
      </c>
      <c r="AA102" s="12">
        <f>IFERROR(VLOOKUP(B102,Annuaire_roster!B:I,6,0),"-")</f>
        <v>0</v>
      </c>
      <c r="AB102" s="142" t="str">
        <f t="shared" si="60"/>
        <v/>
      </c>
      <c r="AC102" s="142" t="str">
        <f t="shared" si="61"/>
        <v/>
      </c>
      <c r="AD102" s="142" t="str">
        <f t="shared" si="62"/>
        <v/>
      </c>
      <c r="AE102" s="143" t="str">
        <f t="shared" si="63"/>
        <v/>
      </c>
      <c r="AF102" s="63"/>
      <c r="AG102" s="10"/>
    </row>
    <row r="103" spans="1:33" hidden="1" x14ac:dyDescent="0.2">
      <c r="A103" s="70">
        <f>VLOOKUP(B103,Annuaire_roster!B:F,5,0)</f>
        <v>0</v>
      </c>
      <c r="B103" s="166" t="s">
        <v>209</v>
      </c>
      <c r="C103" s="61">
        <v>0.28958333333333336</v>
      </c>
      <c r="D103" s="61">
        <f t="array" ref="D103">IFERROR(INDEX(Planning2[],MATCH(1,(Planning2[Nom]=B103)*(Planning2[Date]=Q103),0),3),"-")</f>
        <v>0.29166666666666669</v>
      </c>
      <c r="E103" s="38">
        <v>0.70833333333333337</v>
      </c>
      <c r="F103" s="38">
        <f t="array" ref="F103">IFERROR(INDEX(Planning2[],MATCH(1,(Planning2[Nom]=B103)*(Planning2[Date]=Q103),0),4),"-")</f>
        <v>0.70833333333333337</v>
      </c>
      <c r="G103" s="88"/>
      <c r="H103" s="88"/>
      <c r="I103" s="209" t="str">
        <f t="shared" si="48"/>
        <v/>
      </c>
      <c r="J103" s="88"/>
      <c r="K103" s="89">
        <f t="shared" si="49"/>
        <v>0</v>
      </c>
      <c r="L103" s="88">
        <f t="shared" si="50"/>
        <v>0</v>
      </c>
      <c r="M103" s="62">
        <f t="shared" si="51"/>
        <v>0</v>
      </c>
      <c r="N103" s="102">
        <f t="shared" si="52"/>
        <v>0.375</v>
      </c>
      <c r="O103" s="90">
        <f t="shared" si="53"/>
        <v>0.375</v>
      </c>
      <c r="P103" s="91" t="str">
        <f>IFERROR(VLOOKUP($B103,Annuaire_roster!$B:$G,MATCH(P$1,Annuaire_roster!$B$1:$G$1,0),0),"-")</f>
        <v>Google Leads</v>
      </c>
      <c r="Q103" s="100">
        <v>44720</v>
      </c>
      <c r="R103" s="10">
        <f t="shared" si="54"/>
        <v>0</v>
      </c>
      <c r="S103" s="10">
        <f t="shared" si="55"/>
        <v>0</v>
      </c>
      <c r="T103" s="16" t="str">
        <f t="shared" si="56"/>
        <v>Sem - 24</v>
      </c>
      <c r="U103" s="16" t="str">
        <f t="shared" si="57"/>
        <v>Juin</v>
      </c>
      <c r="V103" s="11" t="str">
        <f t="shared" si="58"/>
        <v>2026</v>
      </c>
      <c r="W103" s="9"/>
      <c r="X103" s="5">
        <f t="shared" si="59"/>
        <v>2.0833333333333259E-3</v>
      </c>
      <c r="Y103" s="12">
        <f>IFERROR(VLOOKUP(B103,Annuaire_roster!B:E,4,0),"-")</f>
        <v>0</v>
      </c>
      <c r="Z103" s="12" t="str">
        <f>IFERROR(VLOOKUP(B103,Annuaire_roster!B:F,3,0),"-")</f>
        <v>Google Leads</v>
      </c>
      <c r="AA103" s="12">
        <f>IFERROR(VLOOKUP(B103,Annuaire_roster!B:I,6,0),"-")</f>
        <v>0</v>
      </c>
      <c r="AB103" s="142" t="str">
        <f t="shared" si="60"/>
        <v/>
      </c>
      <c r="AC103" s="142" t="str">
        <f t="shared" si="61"/>
        <v/>
      </c>
      <c r="AD103" s="142" t="str">
        <f t="shared" si="62"/>
        <v/>
      </c>
      <c r="AE103" s="143" t="str">
        <f t="shared" si="63"/>
        <v/>
      </c>
      <c r="AF103" s="63"/>
      <c r="AG103" s="10"/>
    </row>
    <row r="104" spans="1:33" hidden="1" x14ac:dyDescent="0.2">
      <c r="A104" s="70">
        <f>VLOOKUP(B104,Annuaire_roster!B:F,5,0)</f>
        <v>0</v>
      </c>
      <c r="B104" s="166" t="s">
        <v>210</v>
      </c>
      <c r="C104" s="61">
        <v>0.29097222222222224</v>
      </c>
      <c r="D104" s="61">
        <f t="array" ref="D104">IFERROR(INDEX(Planning2[],MATCH(1,(Planning2[Nom]=B104)*(Planning2[Date]=Q104),0),3),"-")</f>
        <v>0.29166666666666669</v>
      </c>
      <c r="E104" s="38">
        <v>0.70833333333333337</v>
      </c>
      <c r="F104" s="38">
        <f t="array" ref="F104">IFERROR(INDEX(Planning2[],MATCH(1,(Planning2[Nom]=B104)*(Planning2[Date]=Q104),0),4),"-")</f>
        <v>0.70833333333333337</v>
      </c>
      <c r="G104" s="88"/>
      <c r="H104" s="88"/>
      <c r="I104" s="209" t="str">
        <f t="shared" si="48"/>
        <v/>
      </c>
      <c r="J104" s="88"/>
      <c r="K104" s="89">
        <f t="shared" si="49"/>
        <v>0</v>
      </c>
      <c r="L104" s="88">
        <f t="shared" si="50"/>
        <v>0</v>
      </c>
      <c r="M104" s="62">
        <f t="shared" si="51"/>
        <v>0</v>
      </c>
      <c r="N104" s="102">
        <f t="shared" si="52"/>
        <v>0.375</v>
      </c>
      <c r="O104" s="90">
        <f t="shared" si="53"/>
        <v>0.375</v>
      </c>
      <c r="P104" s="91" t="str">
        <f>IFERROR(VLOOKUP($B104,Annuaire_roster!$B:$G,MATCH(P$1,Annuaire_roster!$B$1:$G$1,0),0),"-")</f>
        <v>Google Leads</v>
      </c>
      <c r="Q104" s="100">
        <v>44720</v>
      </c>
      <c r="R104" s="10">
        <f t="shared" si="54"/>
        <v>0</v>
      </c>
      <c r="S104" s="10">
        <f t="shared" si="55"/>
        <v>0</v>
      </c>
      <c r="T104" s="16" t="str">
        <f t="shared" si="56"/>
        <v>Sem - 24</v>
      </c>
      <c r="U104" s="16" t="str">
        <f t="shared" si="57"/>
        <v>Juin</v>
      </c>
      <c r="V104" s="11" t="str">
        <f t="shared" si="58"/>
        <v>2026</v>
      </c>
      <c r="W104" s="9"/>
      <c r="X104" s="5">
        <f t="shared" si="59"/>
        <v>0</v>
      </c>
      <c r="Y104" s="12">
        <f>IFERROR(VLOOKUP(B104,Annuaire_roster!B:E,4,0),"-")</f>
        <v>0</v>
      </c>
      <c r="Z104" s="12" t="str">
        <f>IFERROR(VLOOKUP(B104,Annuaire_roster!B:F,3,0),"-")</f>
        <v>Google Leads</v>
      </c>
      <c r="AA104" s="12">
        <f>IFERROR(VLOOKUP(B104,Annuaire_roster!B:I,6,0),"-")</f>
        <v>0</v>
      </c>
      <c r="AB104" s="142" t="str">
        <f t="shared" si="60"/>
        <v/>
      </c>
      <c r="AC104" s="142" t="str">
        <f t="shared" si="61"/>
        <v/>
      </c>
      <c r="AD104" s="142" t="str">
        <f t="shared" si="62"/>
        <v/>
      </c>
      <c r="AE104" s="143" t="str">
        <f t="shared" si="63"/>
        <v/>
      </c>
      <c r="AF104" s="63"/>
      <c r="AG104" s="10"/>
    </row>
    <row r="105" spans="1:33" hidden="1" x14ac:dyDescent="0.2">
      <c r="A105" s="70">
        <f>VLOOKUP(B105,Annuaire_roster!B:F,5,0)</f>
        <v>1008</v>
      </c>
      <c r="B105" s="166" t="s">
        <v>94</v>
      </c>
      <c r="C105" s="61">
        <v>0.2902777777777778</v>
      </c>
      <c r="D105" s="61">
        <f t="array" ref="D105">IFERROR(INDEX(Planning2[],MATCH(1,(Planning2[Nom]=B105)*(Planning2[Date]=Q105),0),3),"-")</f>
        <v>0.29166666666666669</v>
      </c>
      <c r="E105" s="38">
        <v>0.70833333333333337</v>
      </c>
      <c r="F105" s="38">
        <f t="array" ref="F105">IFERROR(INDEX(Planning2[],MATCH(1,(Planning2[Nom]=B105)*(Planning2[Date]=Q105),0),4),"-")</f>
        <v>0.70833333333333337</v>
      </c>
      <c r="G105" s="88"/>
      <c r="H105" s="88"/>
      <c r="I105" s="209" t="str">
        <f t="shared" si="48"/>
        <v/>
      </c>
      <c r="J105" s="88"/>
      <c r="K105" s="89">
        <f t="shared" si="49"/>
        <v>0</v>
      </c>
      <c r="L105" s="88">
        <f t="shared" si="50"/>
        <v>0</v>
      </c>
      <c r="M105" s="62">
        <f t="shared" si="51"/>
        <v>0</v>
      </c>
      <c r="N105" s="102">
        <f t="shared" si="52"/>
        <v>0.375</v>
      </c>
      <c r="O105" s="90">
        <f t="shared" si="53"/>
        <v>0.375</v>
      </c>
      <c r="P105" s="91" t="str">
        <f>IFERROR(VLOOKUP($B105,Annuaire_roster!$B:$G,MATCH(P$1,Annuaire_roster!$B$1:$G$1,0),0),"-")</f>
        <v>Google Leads</v>
      </c>
      <c r="Q105" s="100">
        <v>44720</v>
      </c>
      <c r="R105" s="10">
        <f t="shared" si="54"/>
        <v>0</v>
      </c>
      <c r="S105" s="10">
        <f t="shared" si="55"/>
        <v>0</v>
      </c>
      <c r="T105" s="16" t="str">
        <f t="shared" si="56"/>
        <v>Sem - 24</v>
      </c>
      <c r="U105" s="16" t="str">
        <f t="shared" si="57"/>
        <v>Juin</v>
      </c>
      <c r="V105" s="11" t="str">
        <f t="shared" si="58"/>
        <v>2026</v>
      </c>
      <c r="W105" s="9"/>
      <c r="X105" s="5">
        <f t="shared" si="59"/>
        <v>1.388888888888884E-3</v>
      </c>
      <c r="Y105" s="12" t="str">
        <f>IFERROR(VLOOKUP(B105,Annuaire_roster!B:E,4,0),"-")</f>
        <v>CHOUIFI Mustapha</v>
      </c>
      <c r="Z105" s="12" t="str">
        <f>IFERROR(VLOOKUP(B105,Annuaire_roster!B:F,3,0),"-")</f>
        <v>Google Leads</v>
      </c>
      <c r="AA105" s="12" t="str">
        <f>IFERROR(VLOOKUP(B105,Annuaire_roster!B:I,6,0),"-")</f>
        <v>Forfaitaire</v>
      </c>
      <c r="AB105" s="142" t="str">
        <f t="shared" si="60"/>
        <v/>
      </c>
      <c r="AC105" s="142" t="str">
        <f t="shared" si="61"/>
        <v/>
      </c>
      <c r="AD105" s="142" t="str">
        <f t="shared" si="62"/>
        <v/>
      </c>
      <c r="AE105" s="143" t="str">
        <f t="shared" si="63"/>
        <v/>
      </c>
      <c r="AF105" s="63"/>
      <c r="AG105" s="10"/>
    </row>
    <row r="106" spans="1:33" hidden="1" x14ac:dyDescent="0.2">
      <c r="A106" s="70">
        <f>VLOOKUP(B106,Annuaire_roster!B:F,5,0)</f>
        <v>0</v>
      </c>
      <c r="B106" s="166" t="s">
        <v>216</v>
      </c>
      <c r="C106" s="61">
        <v>0.29097222222222224</v>
      </c>
      <c r="D106" s="61">
        <f t="array" ref="D106">IFERROR(INDEX(Planning2[],MATCH(1,(Planning2[Nom]=B106)*(Planning2[Date]=Q106),0),3),"-")</f>
        <v>0.29166666666666669</v>
      </c>
      <c r="E106" s="38">
        <v>0.70833333333333337</v>
      </c>
      <c r="F106" s="38">
        <f t="array" ref="F106">IFERROR(INDEX(Planning2[],MATCH(1,(Planning2[Nom]=B106)*(Planning2[Date]=Q106),0),4),"-")</f>
        <v>0.70833333333333337</v>
      </c>
      <c r="G106" s="88"/>
      <c r="H106" s="88"/>
      <c r="I106" s="209" t="str">
        <f t="shared" si="48"/>
        <v/>
      </c>
      <c r="J106" s="88"/>
      <c r="K106" s="89">
        <f t="shared" si="49"/>
        <v>0</v>
      </c>
      <c r="L106" s="88">
        <f t="shared" si="50"/>
        <v>0</v>
      </c>
      <c r="M106" s="62">
        <f t="shared" si="51"/>
        <v>0</v>
      </c>
      <c r="N106" s="102">
        <f t="shared" si="52"/>
        <v>0.375</v>
      </c>
      <c r="O106" s="90">
        <f t="shared" si="53"/>
        <v>0.375</v>
      </c>
      <c r="P106" s="91" t="str">
        <f>IFERROR(VLOOKUP($B106,Annuaire_roster!$B:$G,MATCH(P$1,Annuaire_roster!$B$1:$G$1,0),0),"-")</f>
        <v>Google Leads</v>
      </c>
      <c r="Q106" s="100">
        <v>44720</v>
      </c>
      <c r="R106" s="10">
        <f t="shared" si="54"/>
        <v>0</v>
      </c>
      <c r="S106" s="10">
        <f t="shared" si="55"/>
        <v>0</v>
      </c>
      <c r="T106" s="16" t="str">
        <f t="shared" si="56"/>
        <v>Sem - 24</v>
      </c>
      <c r="U106" s="16" t="str">
        <f t="shared" si="57"/>
        <v>Juin</v>
      </c>
      <c r="V106" s="11" t="str">
        <f t="shared" si="58"/>
        <v>2026</v>
      </c>
      <c r="W106" s="9"/>
      <c r="X106" s="5">
        <f t="shared" si="59"/>
        <v>0</v>
      </c>
      <c r="Y106" s="12">
        <f>IFERROR(VLOOKUP(B106,Annuaire_roster!B:E,4,0),"-")</f>
        <v>0</v>
      </c>
      <c r="Z106" s="12" t="str">
        <f>IFERROR(VLOOKUP(B106,Annuaire_roster!B:F,3,0),"-")</f>
        <v>Google Leads</v>
      </c>
      <c r="AA106" s="12">
        <f>IFERROR(VLOOKUP(B106,Annuaire_roster!B:I,6,0),"-")</f>
        <v>0</v>
      </c>
      <c r="AB106" s="142" t="str">
        <f t="shared" si="60"/>
        <v/>
      </c>
      <c r="AC106" s="142" t="str">
        <f t="shared" si="61"/>
        <v/>
      </c>
      <c r="AD106" s="142" t="str">
        <f t="shared" si="62"/>
        <v/>
      </c>
      <c r="AE106" s="143" t="str">
        <f t="shared" si="63"/>
        <v/>
      </c>
      <c r="AF106" s="63"/>
      <c r="AG106" s="142"/>
    </row>
    <row r="107" spans="1:33" hidden="1" x14ac:dyDescent="0.2">
      <c r="A107" s="70">
        <f>VLOOKUP(B107,Annuaire_roster!B:F,5,0)</f>
        <v>669</v>
      </c>
      <c r="B107" s="166" t="s">
        <v>45</v>
      </c>
      <c r="C107" s="61">
        <v>0.2902777777777778</v>
      </c>
      <c r="D107" s="61">
        <f t="array" ref="D107">IFERROR(INDEX(Planning2[],MATCH(1,(Planning2[Nom]=B107)*(Planning2[Date]=Q107),0),3),"-")</f>
        <v>0.29166666666666669</v>
      </c>
      <c r="E107" s="38">
        <v>0.70833333333333337</v>
      </c>
      <c r="F107" s="38">
        <f t="array" ref="F107">IFERROR(INDEX(Planning2[],MATCH(1,(Planning2[Nom]=B107)*(Planning2[Date]=Q107),0),4),"-")</f>
        <v>0.70833333333333337</v>
      </c>
      <c r="G107" s="88"/>
      <c r="H107" s="88"/>
      <c r="I107" s="209" t="str">
        <f t="shared" si="48"/>
        <v/>
      </c>
      <c r="J107" s="88"/>
      <c r="K107" s="89">
        <f t="shared" si="49"/>
        <v>0</v>
      </c>
      <c r="L107" s="88">
        <f t="shared" si="50"/>
        <v>0</v>
      </c>
      <c r="M107" s="62">
        <f t="shared" si="51"/>
        <v>0</v>
      </c>
      <c r="N107" s="102">
        <f t="shared" si="52"/>
        <v>0.375</v>
      </c>
      <c r="O107" s="90">
        <f t="shared" si="53"/>
        <v>0.375</v>
      </c>
      <c r="P107" s="91" t="str">
        <f>IFERROR(VLOOKUP($B107,Annuaire_roster!$B:$G,MATCH(P$1,Annuaire_roster!$B$1:$G$1,0),0),"-")</f>
        <v>Google Leads</v>
      </c>
      <c r="Q107" s="100">
        <v>44720</v>
      </c>
      <c r="R107" s="10">
        <f t="shared" si="54"/>
        <v>0</v>
      </c>
      <c r="S107" s="10">
        <f t="shared" si="55"/>
        <v>0</v>
      </c>
      <c r="T107" s="16" t="str">
        <f t="shared" si="56"/>
        <v>Sem - 24</v>
      </c>
      <c r="U107" s="16" t="str">
        <f t="shared" si="57"/>
        <v>Juin</v>
      </c>
      <c r="V107" s="11" t="str">
        <f t="shared" si="58"/>
        <v>2026</v>
      </c>
      <c r="W107" s="9"/>
      <c r="X107" s="5">
        <f t="shared" si="59"/>
        <v>1.388888888888884E-3</v>
      </c>
      <c r="Y107" s="12" t="str">
        <f>IFERROR(VLOOKUP(B107,Annuaire_roster!B:E,4,0),"-")</f>
        <v>CHOUIFI Mustapha</v>
      </c>
      <c r="Z107" s="12" t="str">
        <f>IFERROR(VLOOKUP(B107,Annuaire_roster!B:F,3,0),"-")</f>
        <v>Google Leads</v>
      </c>
      <c r="AA107" s="12" t="str">
        <f>IFERROR(VLOOKUP(B107,Annuaire_roster!B:I,6,0),"-")</f>
        <v>Forfaitaire</v>
      </c>
      <c r="AB107" s="142" t="str">
        <f t="shared" si="60"/>
        <v/>
      </c>
      <c r="AC107" s="142" t="str">
        <f t="shared" si="61"/>
        <v/>
      </c>
      <c r="AD107" s="142" t="str">
        <f t="shared" si="62"/>
        <v/>
      </c>
      <c r="AE107" s="143" t="str">
        <f t="shared" si="63"/>
        <v/>
      </c>
      <c r="AF107" s="63"/>
      <c r="AG107" s="10"/>
    </row>
    <row r="108" spans="1:33" hidden="1" x14ac:dyDescent="0.2">
      <c r="A108" s="70">
        <f>VLOOKUP(B108,Annuaire_roster!B:F,5,0)</f>
        <v>742</v>
      </c>
      <c r="B108" s="166" t="s">
        <v>76</v>
      </c>
      <c r="C108" s="61">
        <v>0.29166666666666669</v>
      </c>
      <c r="D108" s="61">
        <f t="array" ref="D108">IFERROR(INDEX(Planning2[],MATCH(1,(Planning2[Nom]=B108)*(Planning2[Date]=Q108),0),3),"-")</f>
        <v>0.29166666666666669</v>
      </c>
      <c r="E108" s="38">
        <v>0.70833333333333337</v>
      </c>
      <c r="F108" s="38">
        <f t="array" ref="F108">IFERROR(INDEX(Planning2[],MATCH(1,(Planning2[Nom]=B108)*(Planning2[Date]=Q108),0),4),"-")</f>
        <v>0.70833333333333337</v>
      </c>
      <c r="G108" s="88"/>
      <c r="H108" s="88"/>
      <c r="I108" s="209" t="str">
        <f t="shared" si="48"/>
        <v/>
      </c>
      <c r="J108" s="88"/>
      <c r="K108" s="89">
        <f t="shared" si="49"/>
        <v>0</v>
      </c>
      <c r="L108" s="88">
        <f t="shared" si="50"/>
        <v>0</v>
      </c>
      <c r="M108" s="62">
        <f t="shared" si="51"/>
        <v>0</v>
      </c>
      <c r="N108" s="102">
        <f t="shared" si="52"/>
        <v>0.375</v>
      </c>
      <c r="O108" s="90">
        <f t="shared" si="53"/>
        <v>0.375</v>
      </c>
      <c r="P108" s="91" t="str">
        <f>IFERROR(VLOOKUP($B108,Annuaire_roster!$B:$G,MATCH(P$1,Annuaire_roster!$B$1:$G$1,0),0),"-")</f>
        <v>Google Leads</v>
      </c>
      <c r="Q108" s="100">
        <v>44720</v>
      </c>
      <c r="R108" s="10">
        <f t="shared" si="54"/>
        <v>0</v>
      </c>
      <c r="S108" s="10">
        <f t="shared" si="55"/>
        <v>0</v>
      </c>
      <c r="T108" s="16" t="str">
        <f t="shared" si="56"/>
        <v>Sem - 24</v>
      </c>
      <c r="U108" s="16" t="str">
        <f t="shared" si="57"/>
        <v>Juin</v>
      </c>
      <c r="V108" s="11" t="str">
        <f t="shared" si="58"/>
        <v>2026</v>
      </c>
      <c r="W108" s="9"/>
      <c r="X108" s="5">
        <f t="shared" si="59"/>
        <v>0</v>
      </c>
      <c r="Y108" s="12" t="str">
        <f>IFERROR(VLOOKUP(B108,Annuaire_roster!B:E,4,0),"-")</f>
        <v>OUAQERROUCH Nour-El Houda</v>
      </c>
      <c r="Z108" s="12" t="str">
        <f>IFERROR(VLOOKUP(B108,Annuaire_roster!B:F,3,0),"-")</f>
        <v>Google Leads</v>
      </c>
      <c r="AA108" s="12" t="str">
        <f>IFERROR(VLOOKUP(B108,Annuaire_roster!B:I,6,0),"-")</f>
        <v>Forfaitaire</v>
      </c>
      <c r="AB108" s="142" t="str">
        <f t="shared" si="60"/>
        <v/>
      </c>
      <c r="AC108" s="142" t="str">
        <f t="shared" si="61"/>
        <v/>
      </c>
      <c r="AD108" s="142" t="str">
        <f t="shared" si="62"/>
        <v/>
      </c>
      <c r="AE108" s="143" t="str">
        <f t="shared" si="63"/>
        <v/>
      </c>
      <c r="AF108" s="63"/>
      <c r="AG108" s="10"/>
    </row>
    <row r="109" spans="1:33" hidden="1" x14ac:dyDescent="0.2">
      <c r="A109" s="70">
        <f>VLOOKUP(B109,Annuaire_roster!B:F,5,0)</f>
        <v>0</v>
      </c>
      <c r="B109" s="166" t="s">
        <v>197</v>
      </c>
      <c r="C109" s="61">
        <v>0.29166666666666669</v>
      </c>
      <c r="D109" s="61">
        <f t="array" ref="D109">IFERROR(INDEX(Planning2[],MATCH(1,(Planning2[Nom]=B109)*(Planning2[Date]=Q109),0),3),"-")</f>
        <v>0.29166666666666669</v>
      </c>
      <c r="E109" s="38">
        <v>0.70833333333333337</v>
      </c>
      <c r="F109" s="38">
        <f t="array" ref="F109">IFERROR(INDEX(Planning2[],MATCH(1,(Planning2[Nom]=B109)*(Planning2[Date]=Q109),0),4),"-")</f>
        <v>0.70833333333333337</v>
      </c>
      <c r="G109" s="88"/>
      <c r="H109" s="88"/>
      <c r="I109" s="209" t="str">
        <f t="shared" si="48"/>
        <v/>
      </c>
      <c r="J109" s="88"/>
      <c r="K109" s="89">
        <f t="shared" si="49"/>
        <v>0</v>
      </c>
      <c r="L109" s="88">
        <f t="shared" si="50"/>
        <v>0</v>
      </c>
      <c r="M109" s="62">
        <f t="shared" si="51"/>
        <v>0</v>
      </c>
      <c r="N109" s="102">
        <f t="shared" si="52"/>
        <v>0.375</v>
      </c>
      <c r="O109" s="90">
        <f t="shared" si="53"/>
        <v>0.375</v>
      </c>
      <c r="P109" s="91" t="str">
        <f>IFERROR(VLOOKUP($B109,Annuaire_roster!$B:$G,MATCH(P$1,Annuaire_roster!$B$1:$G$1,0),0),"-")</f>
        <v>Google Leads</v>
      </c>
      <c r="Q109" s="100">
        <v>44720</v>
      </c>
      <c r="R109" s="10">
        <f t="shared" si="54"/>
        <v>0</v>
      </c>
      <c r="S109" s="10">
        <f t="shared" si="55"/>
        <v>0</v>
      </c>
      <c r="T109" s="16" t="str">
        <f t="shared" si="56"/>
        <v>Sem - 24</v>
      </c>
      <c r="U109" s="16" t="str">
        <f t="shared" si="57"/>
        <v>Juin</v>
      </c>
      <c r="V109" s="11" t="str">
        <f t="shared" si="58"/>
        <v>2026</v>
      </c>
      <c r="W109" s="9"/>
      <c r="X109" s="5">
        <f t="shared" si="59"/>
        <v>0</v>
      </c>
      <c r="Y109" s="12">
        <f>IFERROR(VLOOKUP(B109,Annuaire_roster!B:E,4,0),"-")</f>
        <v>0</v>
      </c>
      <c r="Z109" s="12" t="str">
        <f>IFERROR(VLOOKUP(B109,Annuaire_roster!B:F,3,0),"-")</f>
        <v>Google Leads</v>
      </c>
      <c r="AA109" s="12">
        <f>IFERROR(VLOOKUP(B109,Annuaire_roster!B:I,6,0),"-")</f>
        <v>0</v>
      </c>
      <c r="AB109" s="142" t="str">
        <f t="shared" si="60"/>
        <v/>
      </c>
      <c r="AC109" s="142" t="str">
        <f t="shared" si="61"/>
        <v/>
      </c>
      <c r="AD109" s="142" t="str">
        <f t="shared" si="62"/>
        <v/>
      </c>
      <c r="AE109" s="143" t="str">
        <f t="shared" si="63"/>
        <v/>
      </c>
      <c r="AF109" s="63"/>
      <c r="AG109" s="10"/>
    </row>
    <row r="110" spans="1:33" hidden="1" x14ac:dyDescent="0.2">
      <c r="A110" s="70">
        <f>VLOOKUP(B110,Annuaire_roster!B:F,5,0)</f>
        <v>1170</v>
      </c>
      <c r="B110" s="166" t="s">
        <v>106</v>
      </c>
      <c r="C110" s="61">
        <v>0.33333333333333331</v>
      </c>
      <c r="D110" s="61">
        <f t="array" ref="D110">IFERROR(INDEX(Planning2[],MATCH(1,(Planning2[Nom]=B110)*(Planning2[Date]=Q110),0),3),"-")</f>
        <v>0.33333333333333331</v>
      </c>
      <c r="E110" s="38">
        <v>0.75</v>
      </c>
      <c r="F110" s="38">
        <f t="array" ref="F110">IFERROR(INDEX(Planning2[],MATCH(1,(Planning2[Nom]=B110)*(Planning2[Date]=Q110),0),4),"-")</f>
        <v>0.75</v>
      </c>
      <c r="G110" s="88"/>
      <c r="H110" s="88"/>
      <c r="I110" s="209" t="str">
        <f t="shared" si="48"/>
        <v/>
      </c>
      <c r="J110" s="88"/>
      <c r="K110" s="89">
        <f t="shared" si="49"/>
        <v>0</v>
      </c>
      <c r="L110" s="88">
        <f t="shared" si="50"/>
        <v>0</v>
      </c>
      <c r="M110" s="62">
        <f t="shared" si="51"/>
        <v>0</v>
      </c>
      <c r="N110" s="102">
        <f t="shared" si="52"/>
        <v>0.375</v>
      </c>
      <c r="O110" s="90">
        <f t="shared" si="53"/>
        <v>0.375</v>
      </c>
      <c r="P110" s="91" t="str">
        <f>IFERROR(VLOOKUP($B110,Annuaire_roster!$B:$G,MATCH(P$1,Annuaire_roster!$B$1:$G$1,0),0),"-")</f>
        <v>Google Leads</v>
      </c>
      <c r="Q110" s="100">
        <v>44720</v>
      </c>
      <c r="R110" s="10">
        <f t="shared" si="54"/>
        <v>0</v>
      </c>
      <c r="S110" s="10">
        <f t="shared" si="55"/>
        <v>0</v>
      </c>
      <c r="T110" s="16" t="str">
        <f t="shared" si="56"/>
        <v>Sem - 24</v>
      </c>
      <c r="U110" s="16" t="str">
        <f t="shared" si="57"/>
        <v>Juin</v>
      </c>
      <c r="V110" s="11" t="str">
        <f t="shared" si="58"/>
        <v>2026</v>
      </c>
      <c r="W110" s="9"/>
      <c r="X110" s="5">
        <f t="shared" si="59"/>
        <v>0</v>
      </c>
      <c r="Y110" s="12" t="str">
        <f>IFERROR(VLOOKUP(B110,Annuaire_roster!B:E,4,0),"-")</f>
        <v>CHOUIFI Mustapha</v>
      </c>
      <c r="Z110" s="12" t="str">
        <f>IFERROR(VLOOKUP(B110,Annuaire_roster!B:F,3,0),"-")</f>
        <v>Google Leads</v>
      </c>
      <c r="AA110" s="12" t="str">
        <f>IFERROR(VLOOKUP(B110,Annuaire_roster!B:I,6,0),"-")</f>
        <v>Forfaitaire</v>
      </c>
      <c r="AB110" s="142" t="str">
        <f t="shared" si="60"/>
        <v/>
      </c>
      <c r="AC110" s="142" t="str">
        <f t="shared" si="61"/>
        <v/>
      </c>
      <c r="AD110" s="142" t="str">
        <f t="shared" si="62"/>
        <v/>
      </c>
      <c r="AE110" s="143" t="str">
        <f t="shared" si="63"/>
        <v/>
      </c>
      <c r="AF110" s="63"/>
      <c r="AG110" s="10"/>
    </row>
    <row r="111" spans="1:33" hidden="1" x14ac:dyDescent="0.2">
      <c r="A111" s="70">
        <f>VLOOKUP(B111,Annuaire_roster!B:F,5,0)</f>
        <v>952</v>
      </c>
      <c r="B111" s="166" t="s">
        <v>87</v>
      </c>
      <c r="C111" s="61">
        <v>0.41666666666666669</v>
      </c>
      <c r="D111" s="61">
        <f t="array" ref="D111">IFERROR(INDEX(Planning2[],MATCH(1,(Planning2[Nom]=B111)*(Planning2[Date]=Q111),0),3),"-")</f>
        <v>0.41666666666666669</v>
      </c>
      <c r="E111" s="38">
        <v>0.83333333333333337</v>
      </c>
      <c r="F111" s="38">
        <f t="array" ref="F111">IFERROR(INDEX(Planning2[],MATCH(1,(Planning2[Nom]=B111)*(Planning2[Date]=Q111),0),4),"-")</f>
        <v>0.83333333333333337</v>
      </c>
      <c r="G111" s="88"/>
      <c r="H111" s="88"/>
      <c r="I111" s="209" t="str">
        <f t="shared" si="48"/>
        <v/>
      </c>
      <c r="J111" s="88"/>
      <c r="K111" s="89">
        <f t="shared" si="49"/>
        <v>0</v>
      </c>
      <c r="L111" s="88">
        <f t="shared" si="50"/>
        <v>0</v>
      </c>
      <c r="M111" s="62">
        <f t="shared" si="51"/>
        <v>0</v>
      </c>
      <c r="N111" s="102">
        <f t="shared" si="52"/>
        <v>0.375</v>
      </c>
      <c r="O111" s="90">
        <f t="shared" si="53"/>
        <v>0.375</v>
      </c>
      <c r="P111" s="91" t="str">
        <f>IFERROR(VLOOKUP($B111,Annuaire_roster!$B:$G,MATCH(P$1,Annuaire_roster!$B$1:$G$1,0),0),"-")</f>
        <v>Google Leads</v>
      </c>
      <c r="Q111" s="100">
        <v>44720</v>
      </c>
      <c r="R111" s="10">
        <f t="shared" si="54"/>
        <v>0</v>
      </c>
      <c r="S111" s="10">
        <f t="shared" si="55"/>
        <v>0</v>
      </c>
      <c r="T111" s="16" t="str">
        <f t="shared" si="56"/>
        <v>Sem - 24</v>
      </c>
      <c r="U111" s="16" t="str">
        <f t="shared" si="57"/>
        <v>Juin</v>
      </c>
      <c r="V111" s="11" t="str">
        <f t="shared" si="58"/>
        <v>2026</v>
      </c>
      <c r="W111" s="9"/>
      <c r="X111" s="5">
        <f t="shared" si="59"/>
        <v>0</v>
      </c>
      <c r="Y111" s="12" t="str">
        <f>IFERROR(VLOOKUP(B111,Annuaire_roster!B:E,4,0),"-")</f>
        <v>OUAQERROUCH Nour-El Houda</v>
      </c>
      <c r="Z111" s="12" t="str">
        <f>IFERROR(VLOOKUP(B111,Annuaire_roster!B:F,3,0),"-")</f>
        <v>Google Leads</v>
      </c>
      <c r="AA111" s="12" t="str">
        <f>IFERROR(VLOOKUP(B111,Annuaire_roster!B:I,6,0),"-")</f>
        <v>Forfaitaire</v>
      </c>
      <c r="AB111" s="142" t="str">
        <f t="shared" si="60"/>
        <v/>
      </c>
      <c r="AC111" s="142" t="str">
        <f t="shared" si="61"/>
        <v/>
      </c>
      <c r="AD111" s="142" t="str">
        <f t="shared" si="62"/>
        <v/>
      </c>
      <c r="AE111" s="143" t="str">
        <f t="shared" si="63"/>
        <v/>
      </c>
      <c r="AF111" s="63"/>
      <c r="AG111" s="10"/>
    </row>
    <row r="112" spans="1:33" hidden="1" x14ac:dyDescent="0.2">
      <c r="A112" s="70">
        <f>VLOOKUP(B112,Annuaire_roster!B:F,5,0)</f>
        <v>1131</v>
      </c>
      <c r="B112" s="166" t="s">
        <v>214</v>
      </c>
      <c r="C112" s="61">
        <v>0.41458333333333336</v>
      </c>
      <c r="D112" s="61">
        <f t="array" ref="D112">IFERROR(INDEX(Planning2[],MATCH(1,(Planning2[Nom]=B112)*(Planning2[Date]=Q112),0),3),"-")</f>
        <v>0.41666666666666669</v>
      </c>
      <c r="E112" s="38">
        <v>0.83333333333333337</v>
      </c>
      <c r="F112" s="38">
        <f t="array" ref="F112">IFERROR(INDEX(Planning2[],MATCH(1,(Planning2[Nom]=B112)*(Planning2[Date]=Q112),0),4),"-")</f>
        <v>0.83333333333333337</v>
      </c>
      <c r="G112" s="88"/>
      <c r="H112" s="88"/>
      <c r="I112" s="209" t="str">
        <f t="shared" si="48"/>
        <v/>
      </c>
      <c r="J112" s="88"/>
      <c r="K112" s="89">
        <f t="shared" si="49"/>
        <v>0</v>
      </c>
      <c r="L112" s="88">
        <f t="shared" si="50"/>
        <v>0</v>
      </c>
      <c r="M112" s="62">
        <f t="shared" si="51"/>
        <v>0</v>
      </c>
      <c r="N112" s="102">
        <f t="shared" si="52"/>
        <v>0.375</v>
      </c>
      <c r="O112" s="90">
        <f t="shared" si="53"/>
        <v>0.375</v>
      </c>
      <c r="P112" s="91" t="str">
        <f>IFERROR(VLOOKUP($B112,Annuaire_roster!$B:$G,MATCH(P$1,Annuaire_roster!$B$1:$G$1,0),0),"-")</f>
        <v>Google Leads</v>
      </c>
      <c r="Q112" s="100">
        <v>44720</v>
      </c>
      <c r="R112" s="10">
        <f t="shared" si="54"/>
        <v>0</v>
      </c>
      <c r="S112" s="10">
        <f t="shared" si="55"/>
        <v>0</v>
      </c>
      <c r="T112" s="16" t="str">
        <f t="shared" si="56"/>
        <v>Sem - 24</v>
      </c>
      <c r="U112" s="16" t="str">
        <f t="shared" si="57"/>
        <v>Juin</v>
      </c>
      <c r="V112" s="11" t="str">
        <f t="shared" si="58"/>
        <v>2026</v>
      </c>
      <c r="W112" s="9"/>
      <c r="X112" s="5">
        <f t="shared" si="59"/>
        <v>2.0833333333333259E-3</v>
      </c>
      <c r="Y112" s="12" t="str">
        <f>IFERROR(VLOOKUP(B112,Annuaire_roster!B:E,4,0),"-")</f>
        <v>CHOUIFI Mustapha</v>
      </c>
      <c r="Z112" s="12" t="str">
        <f>IFERROR(VLOOKUP(B112,Annuaire_roster!B:F,3,0),"-")</f>
        <v>Google Leads</v>
      </c>
      <c r="AA112" s="12" t="str">
        <f>IFERROR(VLOOKUP(B112,Annuaire_roster!B:I,6,0),"-")</f>
        <v>Forfaitaire</v>
      </c>
      <c r="AB112" s="142" t="str">
        <f t="shared" si="60"/>
        <v/>
      </c>
      <c r="AC112" s="142" t="str">
        <f t="shared" si="61"/>
        <v/>
      </c>
      <c r="AD112" s="142" t="str">
        <f t="shared" si="62"/>
        <v/>
      </c>
      <c r="AE112" s="143" t="str">
        <f t="shared" si="63"/>
        <v/>
      </c>
      <c r="AF112" s="63"/>
      <c r="AG112" s="10"/>
    </row>
    <row r="113" spans="1:33" hidden="1" x14ac:dyDescent="0.2">
      <c r="A113" s="70">
        <f>VLOOKUP(B113,Annuaire_roster!B:F,5,0)</f>
        <v>0</v>
      </c>
      <c r="B113" s="166" t="s">
        <v>224</v>
      </c>
      <c r="C113" s="61">
        <v>0.41666666666666669</v>
      </c>
      <c r="D113" s="61">
        <f t="array" ref="D113">IFERROR(INDEX(Planning2[],MATCH(1,(Planning2[Nom]=B113)*(Planning2[Date]=Q113),0),3),"-")</f>
        <v>0.41666666666666669</v>
      </c>
      <c r="E113" s="38">
        <v>0.83333333333333337</v>
      </c>
      <c r="F113" s="38">
        <f t="array" ref="F113">IFERROR(INDEX(Planning2[],MATCH(1,(Planning2[Nom]=B113)*(Planning2[Date]=Q113),0),4),"-")</f>
        <v>0.83333333333333337</v>
      </c>
      <c r="G113" s="88"/>
      <c r="H113" s="88"/>
      <c r="I113" s="209" t="str">
        <f t="shared" si="48"/>
        <v/>
      </c>
      <c r="J113" s="88"/>
      <c r="K113" s="89">
        <f t="shared" si="49"/>
        <v>0</v>
      </c>
      <c r="L113" s="88">
        <f t="shared" si="50"/>
        <v>0</v>
      </c>
      <c r="M113" s="62">
        <f t="shared" si="51"/>
        <v>0</v>
      </c>
      <c r="N113" s="102">
        <f t="shared" si="52"/>
        <v>0.375</v>
      </c>
      <c r="O113" s="90">
        <f t="shared" si="53"/>
        <v>0.375</v>
      </c>
      <c r="P113" s="91" t="str">
        <f>IFERROR(VLOOKUP($B113,Annuaire_roster!$B:$G,MATCH(P$1,Annuaire_roster!$B$1:$G$1,0),0),"-")</f>
        <v>Google Leads</v>
      </c>
      <c r="Q113" s="100">
        <v>44720</v>
      </c>
      <c r="R113" s="10">
        <f t="shared" si="54"/>
        <v>0</v>
      </c>
      <c r="S113" s="10">
        <f t="shared" si="55"/>
        <v>0</v>
      </c>
      <c r="T113" s="16" t="str">
        <f t="shared" si="56"/>
        <v>Sem - 24</v>
      </c>
      <c r="U113" s="16" t="str">
        <f t="shared" si="57"/>
        <v>Juin</v>
      </c>
      <c r="V113" s="11" t="str">
        <f t="shared" si="58"/>
        <v>2026</v>
      </c>
      <c r="W113" s="9"/>
      <c r="X113" s="5">
        <f t="shared" si="59"/>
        <v>0</v>
      </c>
      <c r="Y113" s="12">
        <f>IFERROR(VLOOKUP(B113,Annuaire_roster!B:E,4,0),"-")</f>
        <v>0</v>
      </c>
      <c r="Z113" s="12" t="str">
        <f>IFERROR(VLOOKUP(B113,Annuaire_roster!B:F,3,0),"-")</f>
        <v>Google Leads</v>
      </c>
      <c r="AA113" s="12">
        <f>IFERROR(VLOOKUP(B113,Annuaire_roster!B:I,6,0),"-")</f>
        <v>0</v>
      </c>
      <c r="AB113" s="142" t="str">
        <f t="shared" si="60"/>
        <v/>
      </c>
      <c r="AC113" s="142" t="str">
        <f t="shared" si="61"/>
        <v/>
      </c>
      <c r="AD113" s="142" t="str">
        <f t="shared" si="62"/>
        <v/>
      </c>
      <c r="AE113" s="143" t="str">
        <f t="shared" si="63"/>
        <v/>
      </c>
      <c r="AF113" s="63"/>
      <c r="AG113" s="10"/>
    </row>
    <row r="114" spans="1:33" hidden="1" x14ac:dyDescent="0.2">
      <c r="A114" s="70">
        <f>VLOOKUP(B114,Annuaire_roster!B:F,5,0)</f>
        <v>971</v>
      </c>
      <c r="B114" s="166" t="s">
        <v>83</v>
      </c>
      <c r="C114" s="61">
        <v>0.41458333333333336</v>
      </c>
      <c r="D114" s="61">
        <f t="array" ref="D114">IFERROR(INDEX(Planning2[],MATCH(1,(Planning2[Nom]=B114)*(Planning2[Date]=Q114),0),3),"-")</f>
        <v>0.41666666666666669</v>
      </c>
      <c r="E114" s="38">
        <v>0.83333333333333337</v>
      </c>
      <c r="F114" s="38">
        <f t="array" ref="F114">IFERROR(INDEX(Planning2[],MATCH(1,(Planning2[Nom]=B114)*(Planning2[Date]=Q114),0),4),"-")</f>
        <v>0.83333333333333337</v>
      </c>
      <c r="G114" s="88"/>
      <c r="H114" s="88"/>
      <c r="I114" s="209" t="str">
        <f t="shared" si="48"/>
        <v/>
      </c>
      <c r="J114" s="88"/>
      <c r="K114" s="89">
        <f t="shared" si="49"/>
        <v>0</v>
      </c>
      <c r="L114" s="88">
        <f t="shared" si="50"/>
        <v>0</v>
      </c>
      <c r="M114" s="62">
        <f t="shared" si="51"/>
        <v>0</v>
      </c>
      <c r="N114" s="102">
        <f t="shared" si="52"/>
        <v>0.375</v>
      </c>
      <c r="O114" s="90">
        <f t="shared" si="53"/>
        <v>0.375</v>
      </c>
      <c r="P114" s="91" t="str">
        <f>IFERROR(VLOOKUP($B114,Annuaire_roster!$B:$G,MATCH(P$1,Annuaire_roster!$B$1:$G$1,0),0),"-")</f>
        <v>Google Leads</v>
      </c>
      <c r="Q114" s="100">
        <v>44720</v>
      </c>
      <c r="R114" s="10">
        <f t="shared" si="54"/>
        <v>0</v>
      </c>
      <c r="S114" s="10">
        <f t="shared" si="55"/>
        <v>0</v>
      </c>
      <c r="T114" s="16" t="str">
        <f t="shared" si="56"/>
        <v>Sem - 24</v>
      </c>
      <c r="U114" s="16" t="str">
        <f t="shared" si="57"/>
        <v>Juin</v>
      </c>
      <c r="V114" s="11" t="str">
        <f t="shared" si="58"/>
        <v>2026</v>
      </c>
      <c r="W114" s="9"/>
      <c r="X114" s="5">
        <f t="shared" si="59"/>
        <v>2.0833333333333259E-3</v>
      </c>
      <c r="Y114" s="12" t="str">
        <f>IFERROR(VLOOKUP(B114,Annuaire_roster!B:E,4,0),"-")</f>
        <v>CHOUIFI Mustapha</v>
      </c>
      <c r="Z114" s="12" t="str">
        <f>IFERROR(VLOOKUP(B114,Annuaire_roster!B:F,3,0),"-")</f>
        <v>Google Leads</v>
      </c>
      <c r="AA114" s="12" t="str">
        <f>IFERROR(VLOOKUP(B114,Annuaire_roster!B:I,6,0),"-")</f>
        <v>Forfaitaire</v>
      </c>
      <c r="AB114" s="142" t="str">
        <f t="shared" si="60"/>
        <v/>
      </c>
      <c r="AC114" s="142" t="str">
        <f t="shared" si="61"/>
        <v/>
      </c>
      <c r="AD114" s="142" t="str">
        <f t="shared" si="62"/>
        <v/>
      </c>
      <c r="AE114" s="143" t="str">
        <f t="shared" si="63"/>
        <v/>
      </c>
      <c r="AF114" s="63"/>
      <c r="AG114" s="10"/>
    </row>
    <row r="115" spans="1:33" hidden="1" x14ac:dyDescent="0.2">
      <c r="A115" s="70">
        <f>VLOOKUP(B115,Annuaire_roster!B:F,5,0)</f>
        <v>1167</v>
      </c>
      <c r="B115" s="166" t="s">
        <v>126</v>
      </c>
      <c r="C115" s="61">
        <v>0.41666666666666669</v>
      </c>
      <c r="D115" s="61">
        <f t="array" ref="D115">IFERROR(INDEX(Planning2[],MATCH(1,(Planning2[Nom]=B115)*(Planning2[Date]=Q115),0),3),"-")</f>
        <v>0.41666666666666669</v>
      </c>
      <c r="E115" s="38">
        <v>0.83333333333333337</v>
      </c>
      <c r="F115" s="38">
        <f t="array" ref="F115">IFERROR(INDEX(Planning2[],MATCH(1,(Planning2[Nom]=B115)*(Planning2[Date]=Q115),0),4),"-")</f>
        <v>0.83333333333333337</v>
      </c>
      <c r="G115" s="88"/>
      <c r="H115" s="88"/>
      <c r="I115" s="209" t="str">
        <f t="shared" si="48"/>
        <v/>
      </c>
      <c r="J115" s="88"/>
      <c r="K115" s="89">
        <f t="shared" si="49"/>
        <v>0</v>
      </c>
      <c r="L115" s="88">
        <f t="shared" si="50"/>
        <v>0</v>
      </c>
      <c r="M115" s="62">
        <f t="shared" si="51"/>
        <v>0</v>
      </c>
      <c r="N115" s="102">
        <f t="shared" si="52"/>
        <v>0.375</v>
      </c>
      <c r="O115" s="90">
        <f t="shared" si="53"/>
        <v>0.375</v>
      </c>
      <c r="P115" s="91" t="str">
        <f>IFERROR(VLOOKUP($B115,Annuaire_roster!$B:$G,MATCH(P$1,Annuaire_roster!$B$1:$G$1,0),0),"-")</f>
        <v>Google Leads</v>
      </c>
      <c r="Q115" s="100">
        <v>44720</v>
      </c>
      <c r="R115" s="10">
        <f t="shared" si="54"/>
        <v>0</v>
      </c>
      <c r="S115" s="10">
        <f t="shared" si="55"/>
        <v>0</v>
      </c>
      <c r="T115" s="16" t="str">
        <f t="shared" si="56"/>
        <v>Sem - 24</v>
      </c>
      <c r="U115" s="16" t="str">
        <f t="shared" si="57"/>
        <v>Juin</v>
      </c>
      <c r="V115" s="11" t="str">
        <f t="shared" si="58"/>
        <v>2026</v>
      </c>
      <c r="W115" s="9"/>
      <c r="X115" s="5">
        <f t="shared" si="59"/>
        <v>0</v>
      </c>
      <c r="Y115" s="12" t="str">
        <f>IFERROR(VLOOKUP(B115,Annuaire_roster!B:E,4,0),"-")</f>
        <v>OUAQERROUCH Nour-El Houda</v>
      </c>
      <c r="Z115" s="12" t="str">
        <f>IFERROR(VLOOKUP(B115,Annuaire_roster!B:F,3,0),"-")</f>
        <v>Google Leads</v>
      </c>
      <c r="AA115" s="12" t="str">
        <f>IFERROR(VLOOKUP(B115,Annuaire_roster!B:I,6,0),"-")</f>
        <v>Forfaitaire</v>
      </c>
      <c r="AB115" s="142" t="str">
        <f t="shared" si="60"/>
        <v/>
      </c>
      <c r="AC115" s="142" t="str">
        <f t="shared" si="61"/>
        <v/>
      </c>
      <c r="AD115" s="142" t="str">
        <f t="shared" si="62"/>
        <v/>
      </c>
      <c r="AE115" s="143" t="str">
        <f t="shared" si="63"/>
        <v/>
      </c>
      <c r="AF115" s="63"/>
      <c r="AG115" s="10"/>
    </row>
    <row r="116" spans="1:33" hidden="1" x14ac:dyDescent="0.2">
      <c r="A116" s="70">
        <f>VLOOKUP(B116,Annuaire_roster!B:F,5,0)</f>
        <v>0</v>
      </c>
      <c r="B116" s="166" t="s">
        <v>217</v>
      </c>
      <c r="C116" s="61">
        <v>0.41597222222222224</v>
      </c>
      <c r="D116" s="61">
        <f t="array" ref="D116">IFERROR(INDEX(Planning2[],MATCH(1,(Planning2[Nom]=B116)*(Planning2[Date]=Q116),0),3),"-")</f>
        <v>0.41666666666666669</v>
      </c>
      <c r="E116" s="38">
        <v>0.83333333333333337</v>
      </c>
      <c r="F116" s="38">
        <f t="array" ref="F116">IFERROR(INDEX(Planning2[],MATCH(1,(Planning2[Nom]=B116)*(Planning2[Date]=Q116),0),4),"-")</f>
        <v>0.83333333333333337</v>
      </c>
      <c r="G116" s="88"/>
      <c r="H116" s="88"/>
      <c r="I116" s="209" t="str">
        <f t="shared" si="48"/>
        <v/>
      </c>
      <c r="J116" s="88"/>
      <c r="K116" s="89">
        <f t="shared" si="49"/>
        <v>0</v>
      </c>
      <c r="L116" s="88">
        <f t="shared" si="50"/>
        <v>0</v>
      </c>
      <c r="M116" s="62">
        <f t="shared" si="51"/>
        <v>0</v>
      </c>
      <c r="N116" s="102">
        <f t="shared" si="52"/>
        <v>0.375</v>
      </c>
      <c r="O116" s="90">
        <f t="shared" si="53"/>
        <v>0.375</v>
      </c>
      <c r="P116" s="91" t="str">
        <f>IFERROR(VLOOKUP($B116,Annuaire_roster!$B:$G,MATCH(P$1,Annuaire_roster!$B$1:$G$1,0),0),"-")</f>
        <v>Google Leads</v>
      </c>
      <c r="Q116" s="100">
        <v>44720</v>
      </c>
      <c r="R116" s="10">
        <f t="shared" si="54"/>
        <v>0</v>
      </c>
      <c r="S116" s="10">
        <f t="shared" si="55"/>
        <v>0</v>
      </c>
      <c r="T116" s="16" t="str">
        <f t="shared" si="56"/>
        <v>Sem - 24</v>
      </c>
      <c r="U116" s="16" t="str">
        <f t="shared" si="57"/>
        <v>Juin</v>
      </c>
      <c r="V116" s="11" t="str">
        <f t="shared" si="58"/>
        <v>2026</v>
      </c>
      <c r="W116" s="9"/>
      <c r="X116" s="5">
        <f t="shared" si="59"/>
        <v>0</v>
      </c>
      <c r="Y116" s="12">
        <f>IFERROR(VLOOKUP(B116,Annuaire_roster!B:E,4,0),"-")</f>
        <v>0</v>
      </c>
      <c r="Z116" s="12" t="str">
        <f>IFERROR(VLOOKUP(B116,Annuaire_roster!B:F,3,0),"-")</f>
        <v>Google Leads</v>
      </c>
      <c r="AA116" s="12">
        <f>IFERROR(VLOOKUP(B116,Annuaire_roster!B:I,6,0),"-")</f>
        <v>0</v>
      </c>
      <c r="AB116" s="142" t="str">
        <f t="shared" si="60"/>
        <v/>
      </c>
      <c r="AC116" s="142" t="str">
        <f t="shared" si="61"/>
        <v/>
      </c>
      <c r="AD116" s="142" t="str">
        <f t="shared" si="62"/>
        <v/>
      </c>
      <c r="AE116" s="143" t="str">
        <f t="shared" si="63"/>
        <v/>
      </c>
      <c r="AF116" s="63"/>
      <c r="AG116" s="10"/>
    </row>
    <row r="117" spans="1:33" hidden="1" x14ac:dyDescent="0.2">
      <c r="A117" s="70">
        <f>VLOOKUP(B117,Annuaire_roster!B:F,5,0)</f>
        <v>0</v>
      </c>
      <c r="B117" s="166" t="s">
        <v>219</v>
      </c>
      <c r="C117" s="61">
        <v>0.41597222222222224</v>
      </c>
      <c r="D117" s="61">
        <f t="array" ref="D117">IFERROR(INDEX(Planning2[],MATCH(1,(Planning2[Nom]=B117)*(Planning2[Date]=Q117),0),3),"-")</f>
        <v>0.41666666666666669</v>
      </c>
      <c r="E117" s="38">
        <v>0.83333333333333337</v>
      </c>
      <c r="F117" s="38">
        <f t="array" ref="F117">IFERROR(INDEX(Planning2[],MATCH(1,(Planning2[Nom]=B117)*(Planning2[Date]=Q117),0),4),"-")</f>
        <v>0.83333333333333337</v>
      </c>
      <c r="G117" s="88"/>
      <c r="H117" s="88"/>
      <c r="I117" s="209" t="str">
        <f t="shared" si="48"/>
        <v/>
      </c>
      <c r="J117" s="88"/>
      <c r="K117" s="89">
        <f t="shared" si="49"/>
        <v>0</v>
      </c>
      <c r="L117" s="88">
        <f t="shared" si="50"/>
        <v>0</v>
      </c>
      <c r="M117" s="62">
        <f t="shared" si="51"/>
        <v>0</v>
      </c>
      <c r="N117" s="102">
        <f t="shared" si="52"/>
        <v>0.375</v>
      </c>
      <c r="O117" s="90">
        <f t="shared" si="53"/>
        <v>0.375</v>
      </c>
      <c r="P117" s="91" t="str">
        <f>IFERROR(VLOOKUP($B117,Annuaire_roster!$B:$G,MATCH(P$1,Annuaire_roster!$B$1:$G$1,0),0),"-")</f>
        <v>Google Leads</v>
      </c>
      <c r="Q117" s="100">
        <v>44720</v>
      </c>
      <c r="R117" s="10">
        <f t="shared" si="54"/>
        <v>0</v>
      </c>
      <c r="S117" s="10">
        <f t="shared" si="55"/>
        <v>0</v>
      </c>
      <c r="T117" s="16" t="str">
        <f t="shared" si="56"/>
        <v>Sem - 24</v>
      </c>
      <c r="U117" s="16" t="str">
        <f t="shared" si="57"/>
        <v>Juin</v>
      </c>
      <c r="V117" s="11" t="str">
        <f t="shared" si="58"/>
        <v>2026</v>
      </c>
      <c r="W117" s="9"/>
      <c r="X117" s="5">
        <f t="shared" si="59"/>
        <v>0</v>
      </c>
      <c r="Y117" s="12">
        <f>IFERROR(VLOOKUP(B117,Annuaire_roster!B:E,4,0),"-")</f>
        <v>0</v>
      </c>
      <c r="Z117" s="12" t="str">
        <f>IFERROR(VLOOKUP(B117,Annuaire_roster!B:F,3,0),"-")</f>
        <v>Google Leads</v>
      </c>
      <c r="AA117" s="12">
        <f>IFERROR(VLOOKUP(B117,Annuaire_roster!B:I,6,0),"-")</f>
        <v>0</v>
      </c>
      <c r="AB117" s="142" t="str">
        <f t="shared" si="60"/>
        <v/>
      </c>
      <c r="AC117" s="142" t="str">
        <f t="shared" si="61"/>
        <v/>
      </c>
      <c r="AD117" s="142" t="str">
        <f t="shared" si="62"/>
        <v/>
      </c>
      <c r="AE117" s="143" t="str">
        <f t="shared" si="63"/>
        <v/>
      </c>
      <c r="AF117" s="63"/>
      <c r="AG117" s="10"/>
    </row>
    <row r="118" spans="1:33" hidden="1" x14ac:dyDescent="0.2">
      <c r="A118" s="70">
        <f>VLOOKUP(B118,Annuaire_roster!B:F,5,0)</f>
        <v>0</v>
      </c>
      <c r="B118" s="166" t="s">
        <v>221</v>
      </c>
      <c r="C118" s="61">
        <v>0.43263888888888891</v>
      </c>
      <c r="D118" s="61">
        <f t="array" ref="D118">IFERROR(INDEX(Planning2[],MATCH(1,(Planning2[Nom]=B118)*(Planning2[Date]=Q118),0),3),"-")</f>
        <v>0.41666666666666669</v>
      </c>
      <c r="E118" s="38">
        <v>0.83333333333333337</v>
      </c>
      <c r="F118" s="38">
        <f t="array" ref="F118">IFERROR(INDEX(Planning2[],MATCH(1,(Planning2[Nom]=B118)*(Planning2[Date]=Q118),0),4),"-")</f>
        <v>0.83333333333333337</v>
      </c>
      <c r="G118" s="88"/>
      <c r="H118" s="88"/>
      <c r="I118" s="209">
        <f t="shared" si="48"/>
        <v>1.5972222222222221E-2</v>
      </c>
      <c r="J118" s="88"/>
      <c r="K118" s="89">
        <f t="shared" si="49"/>
        <v>1.5972222222222221E-2</v>
      </c>
      <c r="L118" s="88">
        <f t="shared" si="50"/>
        <v>0</v>
      </c>
      <c r="M118" s="62">
        <f t="shared" si="51"/>
        <v>0</v>
      </c>
      <c r="N118" s="102">
        <f t="shared" si="52"/>
        <v>0.35902777777777778</v>
      </c>
      <c r="O118" s="90">
        <f t="shared" si="53"/>
        <v>0.375</v>
      </c>
      <c r="P118" s="91" t="str">
        <f>IFERROR(VLOOKUP($B118,Annuaire_roster!$B:$G,MATCH(P$1,Annuaire_roster!$B$1:$G$1,0),0),"-")</f>
        <v>Google Leads</v>
      </c>
      <c r="Q118" s="100">
        <v>44720</v>
      </c>
      <c r="R118" s="10">
        <f t="shared" si="54"/>
        <v>0</v>
      </c>
      <c r="S118" s="10">
        <f t="shared" si="55"/>
        <v>1.5972222222222221E-2</v>
      </c>
      <c r="T118" s="16" t="str">
        <f t="shared" si="56"/>
        <v>Sem - 24</v>
      </c>
      <c r="U118" s="16" t="str">
        <f t="shared" si="57"/>
        <v>Juin</v>
      </c>
      <c r="V118" s="11" t="str">
        <f t="shared" si="58"/>
        <v>2026</v>
      </c>
      <c r="W118" s="9"/>
      <c r="X118" s="5">
        <f t="shared" si="59"/>
        <v>0</v>
      </c>
      <c r="Y118" s="12">
        <f>IFERROR(VLOOKUP(B118,Annuaire_roster!B:E,4,0),"-")</f>
        <v>0</v>
      </c>
      <c r="Z118" s="12" t="str">
        <f>IFERROR(VLOOKUP(B118,Annuaire_roster!B:F,3,0),"-")</f>
        <v>Google Leads</v>
      </c>
      <c r="AA118" s="12">
        <f>IFERROR(VLOOKUP(B118,Annuaire_roster!B:I,6,0),"-")</f>
        <v>0</v>
      </c>
      <c r="AB118" s="142" t="str">
        <f t="shared" si="60"/>
        <v/>
      </c>
      <c r="AC118" s="142" t="str">
        <f t="shared" si="61"/>
        <v/>
      </c>
      <c r="AD118" s="142" t="str">
        <f t="shared" si="62"/>
        <v/>
      </c>
      <c r="AE118" s="143" t="str">
        <f t="shared" si="63"/>
        <v/>
      </c>
      <c r="AF118" s="63"/>
      <c r="AG118" s="10"/>
    </row>
    <row r="119" spans="1:33" hidden="1" x14ac:dyDescent="0.2">
      <c r="A119" s="70">
        <f>VLOOKUP(B119,Annuaire_roster!B:F,5,0)</f>
        <v>1165</v>
      </c>
      <c r="B119" s="166" t="s">
        <v>120</v>
      </c>
      <c r="C119" s="61">
        <v>0.41666666666666669</v>
      </c>
      <c r="D119" s="61">
        <f t="array" ref="D119">IFERROR(INDEX(Planning2[],MATCH(1,(Planning2[Nom]=B119)*(Planning2[Date]=Q119),0),3),"-")</f>
        <v>0.41666666666666669</v>
      </c>
      <c r="E119" s="38">
        <v>0.83333333333333337</v>
      </c>
      <c r="F119" s="38">
        <f t="array" ref="F119">IFERROR(INDEX(Planning2[],MATCH(1,(Planning2[Nom]=B119)*(Planning2[Date]=Q119),0),4),"-")</f>
        <v>0.83333333333333337</v>
      </c>
      <c r="G119" s="88"/>
      <c r="H119" s="88"/>
      <c r="I119" s="209" t="str">
        <f t="shared" si="48"/>
        <v/>
      </c>
      <c r="J119" s="88"/>
      <c r="K119" s="89">
        <f t="shared" si="49"/>
        <v>0</v>
      </c>
      <c r="L119" s="88">
        <f t="shared" si="50"/>
        <v>0</v>
      </c>
      <c r="M119" s="62">
        <f t="shared" si="51"/>
        <v>0</v>
      </c>
      <c r="N119" s="102">
        <f t="shared" si="52"/>
        <v>0.375</v>
      </c>
      <c r="O119" s="90">
        <f t="shared" si="53"/>
        <v>0.375</v>
      </c>
      <c r="P119" s="91" t="str">
        <f>IFERROR(VLOOKUP($B119,Annuaire_roster!$B:$G,MATCH(P$1,Annuaire_roster!$B$1:$G$1,0),0),"-")</f>
        <v>Google Leads</v>
      </c>
      <c r="Q119" s="100">
        <v>44720</v>
      </c>
      <c r="R119" s="10">
        <f t="shared" si="54"/>
        <v>0</v>
      </c>
      <c r="S119" s="10">
        <f t="shared" si="55"/>
        <v>0</v>
      </c>
      <c r="T119" s="16" t="str">
        <f t="shared" si="56"/>
        <v>Sem - 24</v>
      </c>
      <c r="U119" s="16" t="str">
        <f t="shared" si="57"/>
        <v>Juin</v>
      </c>
      <c r="V119" s="11" t="str">
        <f t="shared" si="58"/>
        <v>2026</v>
      </c>
      <c r="W119" s="9"/>
      <c r="X119" s="5">
        <f t="shared" si="59"/>
        <v>0</v>
      </c>
      <c r="Y119" s="12" t="str">
        <f>IFERROR(VLOOKUP(B119,Annuaire_roster!B:E,4,0),"-")</f>
        <v>OUAQERROUCH Nour-El Houda</v>
      </c>
      <c r="Z119" s="12" t="str">
        <f>IFERROR(VLOOKUP(B119,Annuaire_roster!B:F,3,0),"-")</f>
        <v>Google Leads</v>
      </c>
      <c r="AA119" s="12" t="str">
        <f>IFERROR(VLOOKUP(B119,Annuaire_roster!B:I,6,0),"-")</f>
        <v>Forfaitaire</v>
      </c>
      <c r="AB119" s="142" t="str">
        <f t="shared" si="60"/>
        <v/>
      </c>
      <c r="AC119" s="142" t="str">
        <f t="shared" si="61"/>
        <v/>
      </c>
      <c r="AD119" s="142" t="str">
        <f t="shared" si="62"/>
        <v/>
      </c>
      <c r="AE119" s="143" t="str">
        <f t="shared" si="63"/>
        <v/>
      </c>
      <c r="AF119" s="63"/>
      <c r="AG119" s="10"/>
    </row>
    <row r="120" spans="1:33" hidden="1" x14ac:dyDescent="0.2">
      <c r="A120" s="70">
        <f>VLOOKUP(B120,Annuaire_roster!B:F,5,0)</f>
        <v>397</v>
      </c>
      <c r="B120" s="166" t="s">
        <v>215</v>
      </c>
      <c r="C120" s="61"/>
      <c r="D120" s="61" t="str">
        <f t="array" ref="D120">IFERROR(INDEX(Planning2[],MATCH(1,(Planning2[Nom]=B120)*(Planning2[Date]=Q120),0),3),"-")</f>
        <v>Congé</v>
      </c>
      <c r="E120" s="38"/>
      <c r="F120" s="38" t="str">
        <f t="array" ref="F120">IFERROR(INDEX(Planning2[],MATCH(1,(Planning2[Nom]=B120)*(Planning2[Date]=Q120),0),4),"-")</f>
        <v>Congé</v>
      </c>
      <c r="G120" s="88"/>
      <c r="H120" s="88"/>
      <c r="I120" s="209" t="str">
        <f t="shared" si="48"/>
        <v/>
      </c>
      <c r="J120" s="88"/>
      <c r="K120" s="89">
        <f t="shared" si="49"/>
        <v>0</v>
      </c>
      <c r="L120" s="88">
        <f t="shared" si="50"/>
        <v>0</v>
      </c>
      <c r="M120" s="62">
        <f t="shared" si="51"/>
        <v>0</v>
      </c>
      <c r="N120" s="102" t="str">
        <f t="shared" si="52"/>
        <v/>
      </c>
      <c r="O120" s="90">
        <f t="shared" si="53"/>
        <v>0</v>
      </c>
      <c r="P120" s="91" t="str">
        <f>IFERROR(VLOOKUP($B120,Annuaire_roster!$B:$G,MATCH(P$1,Annuaire_roster!$B$1:$G$1,0),0),"-")</f>
        <v>Google Leads</v>
      </c>
      <c r="Q120" s="100">
        <v>44720</v>
      </c>
      <c r="R120" s="10">
        <f t="shared" si="54"/>
        <v>0</v>
      </c>
      <c r="S120" s="10">
        <f t="shared" si="55"/>
        <v>0</v>
      </c>
      <c r="T120" s="16" t="str">
        <f t="shared" si="56"/>
        <v>Sem - 24</v>
      </c>
      <c r="U120" s="16" t="str">
        <f t="shared" si="57"/>
        <v>Juin</v>
      </c>
      <c r="V120" s="11" t="str">
        <f t="shared" si="58"/>
        <v>2026</v>
      </c>
      <c r="W120" s="9"/>
      <c r="X120" s="5">
        <f t="shared" si="59"/>
        <v>0</v>
      </c>
      <c r="Y120" s="12" t="str">
        <f>IFERROR(VLOOKUP(B120,Annuaire_roster!B:E,4,0),"-")</f>
        <v>OUAQERROUCH Nour-El Houda</v>
      </c>
      <c r="Z120" s="12" t="str">
        <f>IFERROR(VLOOKUP(B120,Annuaire_roster!B:F,3,0),"-")</f>
        <v>Google Leads</v>
      </c>
      <c r="AA120" s="12" t="str">
        <f>IFERROR(VLOOKUP(B120,Annuaire_roster!B:I,6,0),"-")</f>
        <v>Forfaitaire</v>
      </c>
      <c r="AB120" s="142">
        <f t="shared" si="60"/>
        <v>0.33333333333333298</v>
      </c>
      <c r="AC120" s="142" t="str">
        <f t="shared" si="61"/>
        <v/>
      </c>
      <c r="AD120" s="142" t="str">
        <f t="shared" si="62"/>
        <v/>
      </c>
      <c r="AE120" s="143" t="str">
        <f t="shared" si="63"/>
        <v/>
      </c>
      <c r="AF120" s="63"/>
      <c r="AG120" s="10"/>
    </row>
    <row r="121" spans="1:33" hidden="1" x14ac:dyDescent="0.2">
      <c r="A121" s="70">
        <f>VLOOKUP(B121,Annuaire_roster!B:F,5,0)</f>
        <v>894</v>
      </c>
      <c r="B121" s="166" t="s">
        <v>80</v>
      </c>
      <c r="C121" s="61"/>
      <c r="D121" s="61" t="str">
        <f t="array" ref="D121">IFERROR(INDEX(Planning2[],MATCH(1,(Planning2[Nom]=B121)*(Planning2[Date]=Q121),0),3),"-")</f>
        <v>OFF</v>
      </c>
      <c r="E121" s="38"/>
      <c r="F121" s="38" t="str">
        <f t="array" ref="F121">IFERROR(INDEX(Planning2[],MATCH(1,(Planning2[Nom]=B121)*(Planning2[Date]=Q121),0),4),"-")</f>
        <v>OFF</v>
      </c>
      <c r="G121" s="88"/>
      <c r="H121" s="88"/>
      <c r="I121" s="209" t="str">
        <f t="shared" si="48"/>
        <v/>
      </c>
      <c r="J121" s="88"/>
      <c r="K121" s="89">
        <f t="shared" si="49"/>
        <v>0</v>
      </c>
      <c r="L121" s="88">
        <f t="shared" si="50"/>
        <v>0</v>
      </c>
      <c r="M121" s="62">
        <f t="shared" si="51"/>
        <v>0</v>
      </c>
      <c r="N121" s="102" t="str">
        <f t="shared" si="52"/>
        <v/>
      </c>
      <c r="O121" s="90">
        <f t="shared" si="53"/>
        <v>0</v>
      </c>
      <c r="P121" s="91" t="str">
        <f>IFERROR(VLOOKUP($B121,Annuaire_roster!$B:$G,MATCH(P$1,Annuaire_roster!$B$1:$G$1,0),0),"-")</f>
        <v>Google Leads</v>
      </c>
      <c r="Q121" s="100">
        <v>44720</v>
      </c>
      <c r="R121" s="10">
        <f t="shared" si="54"/>
        <v>0</v>
      </c>
      <c r="S121" s="10">
        <f t="shared" si="55"/>
        <v>0</v>
      </c>
      <c r="T121" s="16" t="str">
        <f t="shared" si="56"/>
        <v>Sem - 24</v>
      </c>
      <c r="U121" s="16" t="str">
        <f t="shared" si="57"/>
        <v>Juin</v>
      </c>
      <c r="V121" s="11" t="str">
        <f t="shared" si="58"/>
        <v>2026</v>
      </c>
      <c r="W121" s="9"/>
      <c r="X121" s="5">
        <f t="shared" si="59"/>
        <v>0</v>
      </c>
      <c r="Y121" s="12" t="str">
        <f>IFERROR(VLOOKUP(B121,Annuaire_roster!B:E,4,0),"-")</f>
        <v>OUAQERROUCH Nour-El Houda</v>
      </c>
      <c r="Z121" s="12" t="str">
        <f>IFERROR(VLOOKUP(B121,Annuaire_roster!B:F,3,0),"-")</f>
        <v>Google Leads</v>
      </c>
      <c r="AA121" s="12" t="str">
        <f>IFERROR(VLOOKUP(B121,Annuaire_roster!B:I,6,0),"-")</f>
        <v>Forfaitaire</v>
      </c>
      <c r="AB121" s="142" t="str">
        <f t="shared" si="60"/>
        <v/>
      </c>
      <c r="AC121" s="142" t="str">
        <f t="shared" si="61"/>
        <v/>
      </c>
      <c r="AD121" s="142" t="str">
        <f t="shared" si="62"/>
        <v/>
      </c>
      <c r="AE121" s="143" t="str">
        <f t="shared" si="63"/>
        <v/>
      </c>
      <c r="AF121" s="63"/>
      <c r="AG121" s="10"/>
    </row>
    <row r="122" spans="1:33" hidden="1" x14ac:dyDescent="0.2">
      <c r="A122" s="70">
        <f>VLOOKUP(B122,Annuaire_roster!B:F,5,0)</f>
        <v>949</v>
      </c>
      <c r="B122" s="166" t="s">
        <v>85</v>
      </c>
      <c r="C122" s="61"/>
      <c r="D122" s="61" t="str">
        <f t="array" ref="D122">IFERROR(INDEX(Planning2[],MATCH(1,(Planning2[Nom]=B122)*(Planning2[Date]=Q122),0),3),"-")</f>
        <v>OFF</v>
      </c>
      <c r="E122" s="38"/>
      <c r="F122" s="38" t="str">
        <f t="array" ref="F122">IFERROR(INDEX(Planning2[],MATCH(1,(Planning2[Nom]=B122)*(Planning2[Date]=Q122),0),4),"-")</f>
        <v>OFF</v>
      </c>
      <c r="G122" s="88"/>
      <c r="H122" s="88"/>
      <c r="I122" s="209" t="str">
        <f t="shared" si="48"/>
        <v/>
      </c>
      <c r="J122" s="88"/>
      <c r="K122" s="89">
        <f t="shared" si="49"/>
        <v>0</v>
      </c>
      <c r="L122" s="88">
        <f t="shared" si="50"/>
        <v>0</v>
      </c>
      <c r="M122" s="62">
        <f t="shared" si="51"/>
        <v>0</v>
      </c>
      <c r="N122" s="102" t="str">
        <f t="shared" si="52"/>
        <v/>
      </c>
      <c r="O122" s="90">
        <f t="shared" si="53"/>
        <v>0</v>
      </c>
      <c r="P122" s="91" t="str">
        <f>IFERROR(VLOOKUP($B122,Annuaire_roster!$B:$G,MATCH(P$1,Annuaire_roster!$B$1:$G$1,0),0),"-")</f>
        <v>Google Leads</v>
      </c>
      <c r="Q122" s="100">
        <v>44720</v>
      </c>
      <c r="R122" s="10">
        <f t="shared" si="54"/>
        <v>0</v>
      </c>
      <c r="S122" s="10">
        <f t="shared" si="55"/>
        <v>0</v>
      </c>
      <c r="T122" s="16" t="str">
        <f t="shared" si="56"/>
        <v>Sem - 24</v>
      </c>
      <c r="U122" s="16" t="str">
        <f t="shared" si="57"/>
        <v>Juin</v>
      </c>
      <c r="V122" s="11" t="str">
        <f t="shared" si="58"/>
        <v>2026</v>
      </c>
      <c r="W122" s="9"/>
      <c r="X122" s="5">
        <f t="shared" si="59"/>
        <v>0</v>
      </c>
      <c r="Y122" s="12" t="str">
        <f>IFERROR(VLOOKUP(B122,Annuaire_roster!B:E,4,0),"-")</f>
        <v>CHOUIFI Mustapha</v>
      </c>
      <c r="Z122" s="12" t="str">
        <f>IFERROR(VLOOKUP(B122,Annuaire_roster!B:F,3,0),"-")</f>
        <v>Google Leads</v>
      </c>
      <c r="AA122" s="12" t="str">
        <f>IFERROR(VLOOKUP(B122,Annuaire_roster!B:I,6,0),"-")</f>
        <v>Forfaitaire</v>
      </c>
      <c r="AB122" s="142" t="str">
        <f t="shared" si="60"/>
        <v/>
      </c>
      <c r="AC122" s="142" t="str">
        <f t="shared" si="61"/>
        <v/>
      </c>
      <c r="AD122" s="142" t="str">
        <f t="shared" si="62"/>
        <v/>
      </c>
      <c r="AE122" s="143" t="str">
        <f t="shared" si="63"/>
        <v/>
      </c>
      <c r="AF122" s="63"/>
      <c r="AG122" s="10"/>
    </row>
    <row r="123" spans="1:33" hidden="1" x14ac:dyDescent="0.2">
      <c r="A123" s="70">
        <f>VLOOKUP(B123,Annuaire_roster!B:F,5,0)</f>
        <v>0</v>
      </c>
      <c r="B123" s="166" t="s">
        <v>212</v>
      </c>
      <c r="C123" s="61"/>
      <c r="D123" s="61" t="str">
        <f t="array" ref="D123">IFERROR(INDEX(Planning2[],MATCH(1,(Planning2[Nom]=B123)*(Planning2[Date]=Q123),0),3),"-")</f>
        <v>OFF</v>
      </c>
      <c r="E123" s="38"/>
      <c r="F123" s="38" t="str">
        <f t="array" ref="F123">IFERROR(INDEX(Planning2[],MATCH(1,(Planning2[Nom]=B123)*(Planning2[Date]=Q123),0),4),"-")</f>
        <v>OFF</v>
      </c>
      <c r="G123" s="88"/>
      <c r="H123" s="88"/>
      <c r="I123" s="209" t="str">
        <f t="shared" si="48"/>
        <v/>
      </c>
      <c r="J123" s="88"/>
      <c r="K123" s="89">
        <f t="shared" si="49"/>
        <v>0</v>
      </c>
      <c r="L123" s="88">
        <f t="shared" si="50"/>
        <v>0</v>
      </c>
      <c r="M123" s="62">
        <f t="shared" si="51"/>
        <v>0</v>
      </c>
      <c r="N123" s="102" t="str">
        <f t="shared" si="52"/>
        <v/>
      </c>
      <c r="O123" s="90">
        <f t="shared" si="53"/>
        <v>0</v>
      </c>
      <c r="P123" s="91" t="str">
        <f>IFERROR(VLOOKUP($B123,Annuaire_roster!$B:$G,MATCH(P$1,Annuaire_roster!$B$1:$G$1,0),0),"-")</f>
        <v>Google Leads</v>
      </c>
      <c r="Q123" s="100">
        <v>44720</v>
      </c>
      <c r="R123" s="10">
        <f t="shared" si="54"/>
        <v>0</v>
      </c>
      <c r="S123" s="10">
        <f t="shared" si="55"/>
        <v>0</v>
      </c>
      <c r="T123" s="16" t="str">
        <f t="shared" si="56"/>
        <v>Sem - 24</v>
      </c>
      <c r="U123" s="16" t="str">
        <f t="shared" si="57"/>
        <v>Juin</v>
      </c>
      <c r="V123" s="11" t="str">
        <f t="shared" si="58"/>
        <v>2026</v>
      </c>
      <c r="W123" s="9"/>
      <c r="X123" s="5">
        <f t="shared" si="59"/>
        <v>0</v>
      </c>
      <c r="Y123" s="12">
        <f>IFERROR(VLOOKUP(B123,Annuaire_roster!B:E,4,0),"-")</f>
        <v>0</v>
      </c>
      <c r="Z123" s="12" t="str">
        <f>IFERROR(VLOOKUP(B123,Annuaire_roster!B:F,3,0),"-")</f>
        <v>Google Leads</v>
      </c>
      <c r="AA123" s="12">
        <f>IFERROR(VLOOKUP(B123,Annuaire_roster!B:I,6,0),"-")</f>
        <v>0</v>
      </c>
      <c r="AB123" s="142" t="str">
        <f t="shared" si="60"/>
        <v/>
      </c>
      <c r="AC123" s="142" t="str">
        <f t="shared" si="61"/>
        <v/>
      </c>
      <c r="AD123" s="142" t="str">
        <f t="shared" si="62"/>
        <v/>
      </c>
      <c r="AE123" s="143" t="str">
        <f t="shared" si="63"/>
        <v/>
      </c>
      <c r="AF123" s="63"/>
      <c r="AG123" s="10"/>
    </row>
    <row r="124" spans="1:33" hidden="1" x14ac:dyDescent="0.2">
      <c r="A124" s="70">
        <f>VLOOKUP(B124,Annuaire_roster!B:F,5,0)</f>
        <v>1274</v>
      </c>
      <c r="B124" s="166" t="s">
        <v>141</v>
      </c>
      <c r="C124" s="61"/>
      <c r="D124" s="61" t="str">
        <f t="array" ref="D124">IFERROR(INDEX(Planning2[],MATCH(1,(Planning2[Nom]=B124)*(Planning2[Date]=Q124),0),3),"-")</f>
        <v>OFF</v>
      </c>
      <c r="E124" s="38"/>
      <c r="F124" s="38" t="str">
        <f t="array" ref="F124">IFERROR(INDEX(Planning2[],MATCH(1,(Planning2[Nom]=B124)*(Planning2[Date]=Q124),0),4),"-")</f>
        <v>OFF</v>
      </c>
      <c r="G124" s="88"/>
      <c r="H124" s="88"/>
      <c r="I124" s="209" t="str">
        <f t="shared" si="48"/>
        <v/>
      </c>
      <c r="J124" s="88"/>
      <c r="K124" s="89">
        <f t="shared" si="49"/>
        <v>0</v>
      </c>
      <c r="L124" s="88">
        <f t="shared" si="50"/>
        <v>0</v>
      </c>
      <c r="M124" s="62">
        <f t="shared" si="51"/>
        <v>0</v>
      </c>
      <c r="N124" s="102" t="str">
        <f t="shared" si="52"/>
        <v/>
      </c>
      <c r="O124" s="90">
        <f t="shared" si="53"/>
        <v>0</v>
      </c>
      <c r="P124" s="91" t="str">
        <f>IFERROR(VLOOKUP($B124,Annuaire_roster!$B:$G,MATCH(P$1,Annuaire_roster!$B$1:$G$1,0),0),"-")</f>
        <v>Google Leads</v>
      </c>
      <c r="Q124" s="100">
        <v>44720</v>
      </c>
      <c r="R124" s="10">
        <f t="shared" si="54"/>
        <v>0</v>
      </c>
      <c r="S124" s="10">
        <f t="shared" si="55"/>
        <v>0</v>
      </c>
      <c r="T124" s="16" t="str">
        <f t="shared" si="56"/>
        <v>Sem - 24</v>
      </c>
      <c r="U124" s="16" t="str">
        <f t="shared" si="57"/>
        <v>Juin</v>
      </c>
      <c r="V124" s="11" t="str">
        <f t="shared" si="58"/>
        <v>2026</v>
      </c>
      <c r="W124" s="9"/>
      <c r="X124" s="5">
        <f t="shared" si="59"/>
        <v>0</v>
      </c>
      <c r="Y124" s="12" t="str">
        <f>IFERROR(VLOOKUP(B124,Annuaire_roster!B:E,4,0),"-")</f>
        <v>OUAQERROUCH Nour-El Houda</v>
      </c>
      <c r="Z124" s="12" t="str">
        <f>IFERROR(VLOOKUP(B124,Annuaire_roster!B:F,3,0),"-")</f>
        <v>Google Leads</v>
      </c>
      <c r="AA124" s="12" t="str">
        <f>IFERROR(VLOOKUP(B124,Annuaire_roster!B:I,6,0),"-")</f>
        <v>Forfaitaire</v>
      </c>
      <c r="AB124" s="142" t="str">
        <f t="shared" si="60"/>
        <v/>
      </c>
      <c r="AC124" s="142" t="str">
        <f t="shared" si="61"/>
        <v/>
      </c>
      <c r="AD124" s="142" t="str">
        <f t="shared" si="62"/>
        <v/>
      </c>
      <c r="AE124" s="143" t="str">
        <f t="shared" si="63"/>
        <v/>
      </c>
      <c r="AF124" s="63"/>
      <c r="AG124" s="10"/>
    </row>
    <row r="125" spans="1:33" hidden="1" x14ac:dyDescent="0.2">
      <c r="A125" s="70">
        <f>VLOOKUP(B125,Annuaire_roster!B:F,5,0)</f>
        <v>0</v>
      </c>
      <c r="B125" s="166" t="s">
        <v>220</v>
      </c>
      <c r="C125" s="61"/>
      <c r="D125" s="61" t="str">
        <f t="array" ref="D125">IFERROR(INDEX(Planning2[],MATCH(1,(Planning2[Nom]=B125)*(Planning2[Date]=Q125),0),3),"-")</f>
        <v>OFF</v>
      </c>
      <c r="E125" s="38"/>
      <c r="F125" s="38" t="str">
        <f t="array" ref="F125">IFERROR(INDEX(Planning2[],MATCH(1,(Planning2[Nom]=B125)*(Planning2[Date]=Q125),0),4),"-")</f>
        <v>OFF</v>
      </c>
      <c r="G125" s="88"/>
      <c r="H125" s="88"/>
      <c r="I125" s="209" t="str">
        <f t="shared" si="48"/>
        <v/>
      </c>
      <c r="J125" s="88"/>
      <c r="K125" s="89">
        <f t="shared" si="49"/>
        <v>0</v>
      </c>
      <c r="L125" s="88">
        <f t="shared" si="50"/>
        <v>0</v>
      </c>
      <c r="M125" s="62">
        <f t="shared" si="51"/>
        <v>0</v>
      </c>
      <c r="N125" s="102" t="str">
        <f t="shared" si="52"/>
        <v/>
      </c>
      <c r="O125" s="90">
        <f t="shared" si="53"/>
        <v>0</v>
      </c>
      <c r="P125" s="91" t="str">
        <f>IFERROR(VLOOKUP($B125,Annuaire_roster!$B:$G,MATCH(P$1,Annuaire_roster!$B$1:$G$1,0),0),"-")</f>
        <v>Google Leads</v>
      </c>
      <c r="Q125" s="100">
        <v>44720</v>
      </c>
      <c r="R125" s="10">
        <f t="shared" si="54"/>
        <v>0</v>
      </c>
      <c r="S125" s="10">
        <f t="shared" si="55"/>
        <v>0</v>
      </c>
      <c r="T125" s="16" t="str">
        <f t="shared" si="56"/>
        <v>Sem - 24</v>
      </c>
      <c r="U125" s="16" t="str">
        <f t="shared" si="57"/>
        <v>Juin</v>
      </c>
      <c r="V125" s="11" t="str">
        <f t="shared" si="58"/>
        <v>2026</v>
      </c>
      <c r="W125" s="9"/>
      <c r="X125" s="5">
        <f t="shared" si="59"/>
        <v>0</v>
      </c>
      <c r="Y125" s="12">
        <f>IFERROR(VLOOKUP(B125,Annuaire_roster!B:E,4,0),"-")</f>
        <v>0</v>
      </c>
      <c r="Z125" s="12" t="str">
        <f>IFERROR(VLOOKUP(B125,Annuaire_roster!B:F,3,0),"-")</f>
        <v>Google Leads</v>
      </c>
      <c r="AA125" s="12">
        <f>IFERROR(VLOOKUP(B125,Annuaire_roster!B:I,6,0),"-")</f>
        <v>0</v>
      </c>
      <c r="AB125" s="142" t="str">
        <f t="shared" si="60"/>
        <v/>
      </c>
      <c r="AC125" s="142" t="str">
        <f t="shared" si="61"/>
        <v/>
      </c>
      <c r="AD125" s="142" t="str">
        <f t="shared" si="62"/>
        <v/>
      </c>
      <c r="AE125" s="143" t="str">
        <f t="shared" si="63"/>
        <v/>
      </c>
      <c r="AF125" s="63"/>
      <c r="AG125" s="10"/>
    </row>
    <row r="126" spans="1:33" hidden="1" x14ac:dyDescent="0.2">
      <c r="A126" s="70">
        <f>VLOOKUP(B126,Annuaire_roster!B:F,5,0)</f>
        <v>1132</v>
      </c>
      <c r="B126" s="166" t="s">
        <v>88</v>
      </c>
      <c r="C126" s="61"/>
      <c r="D126" s="61" t="str">
        <f t="array" ref="D126">IFERROR(INDEX(Planning2[],MATCH(1,(Planning2[Nom]=B126)*(Planning2[Date]=Q126),0),3),"-")</f>
        <v>OFF</v>
      </c>
      <c r="E126" s="38"/>
      <c r="F126" s="38" t="str">
        <f t="array" ref="F126">IFERROR(INDEX(Planning2[],MATCH(1,(Planning2[Nom]=B126)*(Planning2[Date]=Q126),0),4),"-")</f>
        <v>OFF</v>
      </c>
      <c r="G126" s="88"/>
      <c r="H126" s="88"/>
      <c r="I126" s="209" t="str">
        <f t="shared" si="48"/>
        <v/>
      </c>
      <c r="J126" s="88"/>
      <c r="K126" s="89">
        <f t="shared" si="49"/>
        <v>0</v>
      </c>
      <c r="L126" s="88">
        <f t="shared" si="50"/>
        <v>0</v>
      </c>
      <c r="M126" s="62">
        <f t="shared" si="51"/>
        <v>0</v>
      </c>
      <c r="N126" s="102" t="str">
        <f t="shared" si="52"/>
        <v/>
      </c>
      <c r="O126" s="90">
        <f t="shared" si="53"/>
        <v>0</v>
      </c>
      <c r="P126" s="91" t="str">
        <f>IFERROR(VLOOKUP($B126,Annuaire_roster!$B:$G,MATCH(P$1,Annuaire_roster!$B$1:$G$1,0),0),"-")</f>
        <v>Google Leads</v>
      </c>
      <c r="Q126" s="100">
        <v>44720</v>
      </c>
      <c r="R126" s="10">
        <f t="shared" si="54"/>
        <v>0</v>
      </c>
      <c r="S126" s="10">
        <f t="shared" si="55"/>
        <v>0</v>
      </c>
      <c r="T126" s="16" t="str">
        <f t="shared" si="56"/>
        <v>Sem - 24</v>
      </c>
      <c r="U126" s="16" t="str">
        <f t="shared" si="57"/>
        <v>Juin</v>
      </c>
      <c r="V126" s="11" t="str">
        <f t="shared" si="58"/>
        <v>2026</v>
      </c>
      <c r="W126" s="9"/>
      <c r="X126" s="5">
        <f t="shared" si="59"/>
        <v>0</v>
      </c>
      <c r="Y126" s="12" t="str">
        <f>IFERROR(VLOOKUP(B126,Annuaire_roster!B:E,4,0),"-")</f>
        <v>CHOUIFI Mustapha</v>
      </c>
      <c r="Z126" s="12" t="str">
        <f>IFERROR(VLOOKUP(B126,Annuaire_roster!B:F,3,0),"-")</f>
        <v>Google Leads</v>
      </c>
      <c r="AA126" s="12" t="str">
        <f>IFERROR(VLOOKUP(B126,Annuaire_roster!B:I,6,0),"-")</f>
        <v>Forfaitaire</v>
      </c>
      <c r="AB126" s="142" t="str">
        <f t="shared" si="60"/>
        <v/>
      </c>
      <c r="AC126" s="142" t="str">
        <f t="shared" si="61"/>
        <v/>
      </c>
      <c r="AD126" s="142" t="str">
        <f t="shared" si="62"/>
        <v/>
      </c>
      <c r="AE126" s="143" t="str">
        <f t="shared" si="63"/>
        <v/>
      </c>
      <c r="AF126" s="63"/>
      <c r="AG126" s="10"/>
    </row>
    <row r="127" spans="1:33" hidden="1" x14ac:dyDescent="0.2">
      <c r="A127" s="70">
        <f>VLOOKUP(B127,Annuaire_roster!B:F,5,0)</f>
        <v>364</v>
      </c>
      <c r="B127" s="166" t="s">
        <v>213</v>
      </c>
      <c r="C127" s="61"/>
      <c r="D127" s="61" t="str">
        <f t="array" ref="D127">IFERROR(INDEX(Planning2[],MATCH(1,(Planning2[Nom]=B127)*(Planning2[Date]=Q127),0),3),"-")</f>
        <v>OFF</v>
      </c>
      <c r="E127" s="38"/>
      <c r="F127" s="38" t="str">
        <f t="array" ref="F127">IFERROR(INDEX(Planning2[],MATCH(1,(Planning2[Nom]=B127)*(Planning2[Date]=Q127),0),4),"-")</f>
        <v>OFF</v>
      </c>
      <c r="G127" s="88"/>
      <c r="H127" s="88"/>
      <c r="I127" s="209" t="str">
        <f t="shared" si="48"/>
        <v/>
      </c>
      <c r="J127" s="88"/>
      <c r="K127" s="89">
        <f t="shared" si="49"/>
        <v>0</v>
      </c>
      <c r="L127" s="88">
        <f t="shared" si="50"/>
        <v>0</v>
      </c>
      <c r="M127" s="62">
        <f t="shared" si="51"/>
        <v>0</v>
      </c>
      <c r="N127" s="102" t="str">
        <f t="shared" si="52"/>
        <v/>
      </c>
      <c r="O127" s="90">
        <f t="shared" si="53"/>
        <v>0</v>
      </c>
      <c r="P127" s="91" t="str">
        <f>IFERROR(VLOOKUP($B127,Annuaire_roster!$B:$G,MATCH(P$1,Annuaire_roster!$B$1:$G$1,0),0),"-")</f>
        <v>Google Leads</v>
      </c>
      <c r="Q127" s="100">
        <v>44720</v>
      </c>
      <c r="R127" s="10">
        <f t="shared" si="54"/>
        <v>0</v>
      </c>
      <c r="S127" s="10">
        <f t="shared" si="55"/>
        <v>0</v>
      </c>
      <c r="T127" s="16" t="str">
        <f t="shared" si="56"/>
        <v>Sem - 24</v>
      </c>
      <c r="U127" s="16" t="str">
        <f t="shared" si="57"/>
        <v>Juin</v>
      </c>
      <c r="V127" s="11" t="str">
        <f t="shared" si="58"/>
        <v>2026</v>
      </c>
      <c r="W127" s="9"/>
      <c r="X127" s="5">
        <f t="shared" si="59"/>
        <v>0</v>
      </c>
      <c r="Y127" s="12" t="str">
        <f>IFERROR(VLOOKUP(B127,Annuaire_roster!B:E,4,0),"-")</f>
        <v>OUAQERROUCH Nour-El Houda</v>
      </c>
      <c r="Z127" s="12" t="str">
        <f>IFERROR(VLOOKUP(B127,Annuaire_roster!B:F,3,0),"-")</f>
        <v>Google Leads</v>
      </c>
      <c r="AA127" s="12" t="str">
        <f>IFERROR(VLOOKUP(B127,Annuaire_roster!B:I,6,0),"-")</f>
        <v>Forfaitaire</v>
      </c>
      <c r="AB127" s="142" t="str">
        <f t="shared" si="60"/>
        <v/>
      </c>
      <c r="AC127" s="142" t="str">
        <f t="shared" si="61"/>
        <v/>
      </c>
      <c r="AD127" s="142" t="str">
        <f t="shared" si="62"/>
        <v/>
      </c>
      <c r="AE127" s="143" t="str">
        <f t="shared" si="63"/>
        <v/>
      </c>
      <c r="AF127" s="63"/>
      <c r="AG127" s="10"/>
    </row>
    <row r="128" spans="1:33" hidden="1" x14ac:dyDescent="0.2">
      <c r="A128" s="70">
        <f>VLOOKUP(B128,Annuaire_roster!B:F,5,0)</f>
        <v>1009</v>
      </c>
      <c r="B128" s="166" t="s">
        <v>91</v>
      </c>
      <c r="C128" s="61"/>
      <c r="D128" s="61" t="str">
        <f t="array" ref="D128">IFERROR(INDEX(Planning2[],MATCH(1,(Planning2[Nom]=B128)*(Planning2[Date]=Q128),0),3),"-")</f>
        <v>OFF</v>
      </c>
      <c r="E128" s="38"/>
      <c r="F128" s="38" t="str">
        <f t="array" ref="F128">IFERROR(INDEX(Planning2[],MATCH(1,(Planning2[Nom]=B128)*(Planning2[Date]=Q128),0),4),"-")</f>
        <v>OFF</v>
      </c>
      <c r="G128" s="88"/>
      <c r="H128" s="88"/>
      <c r="I128" s="209" t="str">
        <f t="shared" si="48"/>
        <v/>
      </c>
      <c r="J128" s="88"/>
      <c r="K128" s="89">
        <f t="shared" si="49"/>
        <v>0</v>
      </c>
      <c r="L128" s="88">
        <f t="shared" si="50"/>
        <v>0</v>
      </c>
      <c r="M128" s="62">
        <f t="shared" si="51"/>
        <v>0</v>
      </c>
      <c r="N128" s="102" t="str">
        <f t="shared" si="52"/>
        <v/>
      </c>
      <c r="O128" s="90">
        <f t="shared" si="53"/>
        <v>0</v>
      </c>
      <c r="P128" s="91" t="str">
        <f>IFERROR(VLOOKUP($B128,Annuaire_roster!$B:$G,MATCH(P$1,Annuaire_roster!$B$1:$G$1,0),0),"-")</f>
        <v>Google Leads</v>
      </c>
      <c r="Q128" s="100">
        <v>44720</v>
      </c>
      <c r="R128" s="10">
        <f t="shared" si="54"/>
        <v>0</v>
      </c>
      <c r="S128" s="10">
        <f t="shared" si="55"/>
        <v>0</v>
      </c>
      <c r="T128" s="16" t="str">
        <f t="shared" si="56"/>
        <v>Sem - 24</v>
      </c>
      <c r="U128" s="16" t="str">
        <f t="shared" si="57"/>
        <v>Juin</v>
      </c>
      <c r="V128" s="11" t="str">
        <f t="shared" si="58"/>
        <v>2026</v>
      </c>
      <c r="W128" s="9"/>
      <c r="X128" s="5">
        <f t="shared" si="59"/>
        <v>0</v>
      </c>
      <c r="Y128" s="12" t="str">
        <f>IFERROR(VLOOKUP(B128,Annuaire_roster!B:E,4,0),"-")</f>
        <v>OUAQERROUCH Nour-El Houda</v>
      </c>
      <c r="Z128" s="12" t="str">
        <f>IFERROR(VLOOKUP(B128,Annuaire_roster!B:F,3,0),"-")</f>
        <v>Google Leads</v>
      </c>
      <c r="AA128" s="12" t="str">
        <f>IFERROR(VLOOKUP(B128,Annuaire_roster!B:I,6,0),"-")</f>
        <v>Forfaitaire</v>
      </c>
      <c r="AB128" s="142" t="str">
        <f t="shared" si="60"/>
        <v/>
      </c>
      <c r="AC128" s="142" t="str">
        <f t="shared" si="61"/>
        <v/>
      </c>
      <c r="AD128" s="142" t="str">
        <f t="shared" si="62"/>
        <v/>
      </c>
      <c r="AE128" s="143" t="str">
        <f t="shared" si="63"/>
        <v/>
      </c>
      <c r="AF128" s="63"/>
      <c r="AG128" s="10"/>
    </row>
    <row r="129" spans="1:33" hidden="1" x14ac:dyDescent="0.2">
      <c r="A129" s="70">
        <f>VLOOKUP(B129,Annuaire_roster!B:F,5,0)</f>
        <v>1154</v>
      </c>
      <c r="B129" s="166" t="s">
        <v>110</v>
      </c>
      <c r="C129" s="61"/>
      <c r="D129" s="61" t="str">
        <f t="array" ref="D129">IFERROR(INDEX(Planning2[],MATCH(1,(Planning2[Nom]=B129)*(Planning2[Date]=Q129),0),3),"-")</f>
        <v>OFF</v>
      </c>
      <c r="E129" s="38"/>
      <c r="F129" s="38" t="str">
        <f t="array" ref="F129">IFERROR(INDEX(Planning2[],MATCH(1,(Planning2[Nom]=B129)*(Planning2[Date]=Q129),0),4),"-")</f>
        <v>OFF</v>
      </c>
      <c r="G129" s="88"/>
      <c r="H129" s="88"/>
      <c r="I129" s="209" t="str">
        <f t="shared" si="48"/>
        <v/>
      </c>
      <c r="J129" s="88"/>
      <c r="K129" s="89">
        <f t="shared" si="49"/>
        <v>0</v>
      </c>
      <c r="L129" s="88">
        <f t="shared" si="50"/>
        <v>0</v>
      </c>
      <c r="M129" s="62">
        <f t="shared" si="51"/>
        <v>0</v>
      </c>
      <c r="N129" s="102" t="str">
        <f t="shared" si="52"/>
        <v/>
      </c>
      <c r="O129" s="90">
        <f t="shared" si="53"/>
        <v>0</v>
      </c>
      <c r="P129" s="91" t="str">
        <f>IFERROR(VLOOKUP($B129,Annuaire_roster!$B:$G,MATCH(P$1,Annuaire_roster!$B$1:$G$1,0),0),"-")</f>
        <v>Google Leads</v>
      </c>
      <c r="Q129" s="100">
        <v>44720</v>
      </c>
      <c r="R129" s="10">
        <f t="shared" si="54"/>
        <v>0</v>
      </c>
      <c r="S129" s="10">
        <f t="shared" si="55"/>
        <v>0</v>
      </c>
      <c r="T129" s="16" t="str">
        <f t="shared" si="56"/>
        <v>Sem - 24</v>
      </c>
      <c r="U129" s="16" t="str">
        <f t="shared" si="57"/>
        <v>Juin</v>
      </c>
      <c r="V129" s="11" t="str">
        <f t="shared" si="58"/>
        <v>2026</v>
      </c>
      <c r="W129" s="9"/>
      <c r="X129" s="5">
        <f t="shared" si="59"/>
        <v>0</v>
      </c>
      <c r="Y129" s="12" t="str">
        <f>IFERROR(VLOOKUP(B129,Annuaire_roster!B:E,4,0),"-")</f>
        <v>CHOUIFI Mustapha</v>
      </c>
      <c r="Z129" s="12" t="str">
        <f>IFERROR(VLOOKUP(B129,Annuaire_roster!B:F,3,0),"-")</f>
        <v>Google Leads</v>
      </c>
      <c r="AA129" s="12" t="str">
        <f>IFERROR(VLOOKUP(B129,Annuaire_roster!B:I,6,0),"-")</f>
        <v>Forfaitaire</v>
      </c>
      <c r="AB129" s="142" t="str">
        <f t="shared" si="60"/>
        <v/>
      </c>
      <c r="AC129" s="142" t="str">
        <f t="shared" si="61"/>
        <v/>
      </c>
      <c r="AD129" s="142" t="str">
        <f t="shared" si="62"/>
        <v/>
      </c>
      <c r="AE129" s="143" t="str">
        <f t="shared" si="63"/>
        <v/>
      </c>
      <c r="AF129" s="63"/>
      <c r="AG129" s="10"/>
    </row>
    <row r="130" spans="1:33" hidden="1" x14ac:dyDescent="0.2">
      <c r="A130" s="70">
        <f>VLOOKUP(B130,Annuaire_roster!B:F,5,0)</f>
        <v>364</v>
      </c>
      <c r="B130" s="166" t="s">
        <v>213</v>
      </c>
      <c r="C130" s="61"/>
      <c r="D130" s="61">
        <f t="array" ref="D130">IFERROR(INDEX(Planning2[],MATCH(1,(Planning2[Nom]=B130)*(Planning2[Date]=Q130),0),3),"-")</f>
        <v>0.29166666666666669</v>
      </c>
      <c r="E130" s="38"/>
      <c r="F130" s="38">
        <f t="array" ref="F130">IFERROR(INDEX(Planning2[],MATCH(1,(Planning2[Nom]=B130)*(Planning2[Date]=Q130),0),4),"-")</f>
        <v>0.70833333333333337</v>
      </c>
      <c r="G130" s="88"/>
      <c r="H130" s="88"/>
      <c r="I130" s="209" t="str">
        <f t="shared" ref="I130:I161" si="64">IF(IF(OR(C130="",D130="Congé",D130="OFF",D130="Congé spécial"),"",IF(D130&gt;F130,D130-C130,IF(C130-D130&lt;0,0,C130-D130)))&lt;0.00068287037037037,"",IF(OR(D130="Congé",D130="OFF",C130="",D130="Congé spécial"),"",IF(D130&gt;F130,D130-C130,IF(C130-D130&lt;0,0,C130-D130))))</f>
        <v/>
      </c>
      <c r="J130" s="88"/>
      <c r="K130" s="89">
        <f t="shared" ref="K130:K161" si="65">IF(SUM(H130:J130)&lt;0.00068287037037037,0,SUM(H130:J130))</f>
        <v>0</v>
      </c>
      <c r="L130" s="88">
        <f t="shared" ref="L130:L193" si="66">IF(OR(F130="Congé",F130="OFF",M130="Abs",F130="Congé sans solde",F130="Férié",F130="Congé spécial",D130="Congé spécial"),0,IF(F130-E130&lt;0,0,IF(F130-E130&lt;=0.00068287037037037,0,F130-E130)))</f>
        <v>0</v>
      </c>
      <c r="M130" s="62" t="str">
        <f t="shared" ref="M130:M161" si="67">IF(AND(O130&lt;&gt;0,C130=""),"Abs",0)</f>
        <v>Abs</v>
      </c>
      <c r="N130" s="102" t="str">
        <f t="shared" ref="N130:N161" si="68">IFERROR(IF(OR(D130="OFF",D130="Congé",M130="Abs",D130="Congé sans solde",D130="Férié"),"",IF(O130-K130-L130&gt;O130,O130,IF(O130-K130-L130&lt;0,"",O130-K130-L130))),"")</f>
        <v/>
      </c>
      <c r="O130" s="90">
        <f t="shared" ref="O130:O161" si="69">IF(AG130="2H Pause déjeuner",IF(F130-D130-0.0833333333333333&lt;0,F130-D130-0.0833333333333333+1,F130-D130-0.0833333333333333),IF(OR(AND(F130="OFF",D130="OFF"),AND(F130="Congé",D130="Congé"),AND(F130="Congé sans solde",D130="Congé sans solde"),AND(F130="Congé spécial",D130="Congé spécial"),AND(F130="Férié",D130="Férié"),AND(F130="OFF",D130="Congé"),AND(F130="OFF",D130="Congé sans solde"),AND(F130="OFF",D130="Congé spécial"),AND(F130="OFF",D130="Férié"),AND(F130="Congé",D130="OFF"),AND(F130="Congé",D130="Congé sans solde"),AND(F130="Congé",D130="Congé spécial"),AND(F130="Congé",D130="Férié"),AND(F130="Congé sans solde",D130="OFF"),AND(F130="Congé sans solde",D130="Congé"),AND(F130="Congé sans solde",D130="Congé spécial"),AND(F130="Congé sans solde",D130="Férié"),AND(F130="Congé spécial",D130="OFF"),AND(F130="Congé spécial",D130="Congé"),AND(F130="Congé spécial",D130="Congé sans solde"),AND(F130="Congé spécial",D130="Férié"),AND(F130="Férié",D130="OFF"),AND(F130="Férié",D130="Congé"),AND(F130="Férié",D130="Congé sans solde"),AND(F130="Férié",D130="Congé spécial")),0,IF(OR(F130="OFF",F130="Congé",F130="Congé spécial",F130="Congé sans solde",D130="OFF",D130="Congé",D130="Congé spécial",D130="Congé sans solde"),0.208333333333334,IF(AND(AG130="",F130-D130&lt;0),("24:00:00"-D130)+("00:00:00"+F130)-0.0416666666666667,IF(AND(OR(AG130="Allaitement",AG130="Sans déjeuner"),F130-D130&lt;0),("24:00:00"-D130)+("00:00:00"+F130),IF(AND(AG130="",F130-D130&gt;0.166666666666667),F130-D130-0.0416666666666667,IF(AND(OR(AG130="Allaitement",AG130="Sans déjeuner"),F130-D130&gt;0.166666666666667),F130-D130,F130-D130)))))))</f>
        <v>0.375</v>
      </c>
      <c r="P130" s="91" t="str">
        <f>IFERROR(VLOOKUP($B130,Annuaire_roster!$B:$G,MATCH(P$1,Annuaire_roster!$B$1:$G$1,0),0),"-")</f>
        <v>Google Leads</v>
      </c>
      <c r="Q130" s="100">
        <v>44721</v>
      </c>
      <c r="R130" s="10">
        <f t="shared" ref="R130:R161" si="70">IF(M130="Abs",O130,0)</f>
        <v>0.375</v>
      </c>
      <c r="S130" s="10">
        <f t="shared" ref="S130:S161" si="71">SUM(R130,L130,I130,J130,W130,H130)</f>
        <v>0.375</v>
      </c>
      <c r="T130" s="16" t="str">
        <f t="shared" ref="T130:T161" si="72">"Sem - "&amp;WEEKNUM(Q130,21)</f>
        <v>Sem - 24</v>
      </c>
      <c r="U130" s="16" t="str">
        <f t="shared" ref="U130:U161" si="73">PROPER(TEXT(Q130,"mmmm"))</f>
        <v>Juin</v>
      </c>
      <c r="V130" s="11" t="str">
        <f t="shared" ref="V130:V161" si="74">+TEXT(Q130,"aaa")</f>
        <v>2026</v>
      </c>
      <c r="W130" s="9"/>
      <c r="X130" s="5">
        <f t="shared" ref="X130:X161" si="75">IFERROR(IF(M130="Abs",0,IF((D130-C130+E130-F130)&lt;0.000694444444444444,0,(D130-C130+E130-F130))),0)</f>
        <v>0</v>
      </c>
      <c r="Y130" s="12" t="str">
        <f>IFERROR(VLOOKUP(B130,Annuaire_roster!B:E,4,0),"-")</f>
        <v>OUAQERROUCH Nour-El Houda</v>
      </c>
      <c r="Z130" s="12" t="str">
        <f>IFERROR(VLOOKUP(B130,Annuaire_roster!B:F,3,0),"-")</f>
        <v>Google Leads</v>
      </c>
      <c r="AA130" s="12" t="str">
        <f>IFERROR(VLOOKUP(B130,Annuaire_roster!B:I,6,0),"-")</f>
        <v>Forfaitaire</v>
      </c>
      <c r="AB130" s="142" t="str">
        <f t="shared" ref="AB130:AB161" si="76">IF(AND(D130="Congé",F130="Congé"),0.333333333333333,IF(OR(AND(D130="Congé",F130&lt;&gt;"Congé"),(AND(F130="Congé",D130&lt;&gt;"Congé"))),0.166666666666667,""))</f>
        <v/>
      </c>
      <c r="AC130" s="142" t="str">
        <f t="shared" ref="AC130:AC161" si="77">IF(AND(D130="Congé sans solde",F130="Congé sans solde"),0.333333333333333,IF(OR(AND(D130="Congé sans solde",F130&lt;&gt;"Congé sans solde"),(AND(F130="Congé sans solde",D130&lt;&gt;"Congé sans solde"))),0.166666666666667,""))</f>
        <v/>
      </c>
      <c r="AD130" s="142" t="str">
        <f t="shared" ref="AD130:AD161" si="78">IF(AND(D130="Congé spécial",F130="Congé spécial"),0.333333333333333,IF(OR(AND(D130="Congé spécial",F130&lt;&gt;"Congé décès"),(AND(F130="Congé spécial",D130&lt;&gt;"Congé spécial"))),0.166666666666667,""))</f>
        <v/>
      </c>
      <c r="AE130" s="143" t="str">
        <f t="shared" ref="AE130:AE161" si="79">IF(AND(D130="Férié",F130="Férié"),0.333333333333333,IF(OR(AND(D130="Férié",F130&lt;&gt;"Férié"),(AND(F130="Férié",D130&lt;&gt;"Férié"))),0.166666666666667,""))</f>
        <v/>
      </c>
      <c r="AF130" s="63"/>
      <c r="AG130" s="10"/>
    </row>
    <row r="131" spans="1:33" hidden="1" x14ac:dyDescent="0.2">
      <c r="A131" s="70">
        <f>VLOOKUP(B131,Annuaire_roster!B:F,5,0)</f>
        <v>669</v>
      </c>
      <c r="B131" s="166" t="s">
        <v>45</v>
      </c>
      <c r="C131" s="61"/>
      <c r="D131" s="61">
        <f t="array" ref="D131">IFERROR(INDEX(Planning2[],MATCH(1,(Planning2[Nom]=B131)*(Planning2[Date]=Q131),0),3),"-")</f>
        <v>0.29166666666666669</v>
      </c>
      <c r="E131" s="38"/>
      <c r="F131" s="38">
        <f t="array" ref="F131">IFERROR(INDEX(Planning2[],MATCH(1,(Planning2[Nom]=B131)*(Planning2[Date]=Q131),0),4),"-")</f>
        <v>0.70833333333333337</v>
      </c>
      <c r="G131" s="88"/>
      <c r="H131" s="88"/>
      <c r="I131" s="209" t="str">
        <f t="shared" si="64"/>
        <v/>
      </c>
      <c r="J131" s="88"/>
      <c r="K131" s="89">
        <f t="shared" si="65"/>
        <v>0</v>
      </c>
      <c r="L131" s="88">
        <f t="shared" si="66"/>
        <v>0</v>
      </c>
      <c r="M131" s="62" t="str">
        <f t="shared" si="67"/>
        <v>Abs</v>
      </c>
      <c r="N131" s="102" t="str">
        <f t="shared" si="68"/>
        <v/>
      </c>
      <c r="O131" s="90">
        <f t="shared" si="69"/>
        <v>0.375</v>
      </c>
      <c r="P131" s="91" t="str">
        <f>IFERROR(VLOOKUP($B131,Annuaire_roster!$B:$G,MATCH(P$1,Annuaire_roster!$B$1:$G$1,0),0),"-")</f>
        <v>Google Leads</v>
      </c>
      <c r="Q131" s="100">
        <v>44721</v>
      </c>
      <c r="R131" s="10">
        <f t="shared" si="70"/>
        <v>0.375</v>
      </c>
      <c r="S131" s="10">
        <f t="shared" si="71"/>
        <v>0.375</v>
      </c>
      <c r="T131" s="16" t="str">
        <f t="shared" si="72"/>
        <v>Sem - 24</v>
      </c>
      <c r="U131" s="16" t="str">
        <f t="shared" si="73"/>
        <v>Juin</v>
      </c>
      <c r="V131" s="11" t="str">
        <f t="shared" si="74"/>
        <v>2026</v>
      </c>
      <c r="W131" s="9"/>
      <c r="X131" s="5">
        <f t="shared" si="75"/>
        <v>0</v>
      </c>
      <c r="Y131" s="12" t="str">
        <f>IFERROR(VLOOKUP(B131,Annuaire_roster!B:E,4,0),"-")</f>
        <v>CHOUIFI Mustapha</v>
      </c>
      <c r="Z131" s="12" t="str">
        <f>IFERROR(VLOOKUP(B131,Annuaire_roster!B:F,3,0),"-")</f>
        <v>Google Leads</v>
      </c>
      <c r="AA131" s="12" t="str">
        <f>IFERROR(VLOOKUP(B131,Annuaire_roster!B:I,6,0),"-")</f>
        <v>Forfaitaire</v>
      </c>
      <c r="AB131" s="142" t="str">
        <f t="shared" si="76"/>
        <v/>
      </c>
      <c r="AC131" s="142" t="str">
        <f t="shared" si="77"/>
        <v/>
      </c>
      <c r="AD131" s="142" t="str">
        <f t="shared" si="78"/>
        <v/>
      </c>
      <c r="AE131" s="143" t="str">
        <f t="shared" si="79"/>
        <v/>
      </c>
      <c r="AF131" s="63"/>
      <c r="AG131" s="10"/>
    </row>
    <row r="132" spans="1:33" hidden="1" x14ac:dyDescent="0.2">
      <c r="A132" s="70">
        <f>VLOOKUP(B132,Annuaire_roster!B:F,5,0)</f>
        <v>952</v>
      </c>
      <c r="B132" s="166" t="s">
        <v>87</v>
      </c>
      <c r="C132" s="61"/>
      <c r="D132" s="61">
        <f t="array" ref="D132">IFERROR(INDEX(Planning2[],MATCH(1,(Planning2[Nom]=B132)*(Planning2[Date]=Q132),0),3),"-")</f>
        <v>0.45833333333333331</v>
      </c>
      <c r="E132" s="38"/>
      <c r="F132" s="38">
        <f t="array" ref="F132">IFERROR(INDEX(Planning2[],MATCH(1,(Planning2[Nom]=B132)*(Planning2[Date]=Q132),0),4),"-")</f>
        <v>0.83333333333333337</v>
      </c>
      <c r="G132" s="88"/>
      <c r="H132" s="88"/>
      <c r="I132" s="209" t="str">
        <f t="shared" si="64"/>
        <v/>
      </c>
      <c r="J132" s="88"/>
      <c r="K132" s="89">
        <f t="shared" si="65"/>
        <v>0</v>
      </c>
      <c r="L132" s="88">
        <f t="shared" si="66"/>
        <v>0</v>
      </c>
      <c r="M132" s="62" t="str">
        <f t="shared" si="67"/>
        <v>Abs</v>
      </c>
      <c r="N132" s="102" t="str">
        <f t="shared" si="68"/>
        <v/>
      </c>
      <c r="O132" s="90">
        <f t="shared" si="69"/>
        <v>0.33333333333333337</v>
      </c>
      <c r="P132" s="91" t="str">
        <f>IFERROR(VLOOKUP($B132,Annuaire_roster!$B:$G,MATCH(P$1,Annuaire_roster!$B$1:$G$1,0),0),"-")</f>
        <v>Google Leads</v>
      </c>
      <c r="Q132" s="100">
        <v>44721</v>
      </c>
      <c r="R132" s="10">
        <f t="shared" si="70"/>
        <v>0.33333333333333337</v>
      </c>
      <c r="S132" s="10">
        <f t="shared" si="71"/>
        <v>0.33333333333333337</v>
      </c>
      <c r="T132" s="16" t="str">
        <f t="shared" si="72"/>
        <v>Sem - 24</v>
      </c>
      <c r="U132" s="16" t="str">
        <f t="shared" si="73"/>
        <v>Juin</v>
      </c>
      <c r="V132" s="11" t="str">
        <f t="shared" si="74"/>
        <v>2026</v>
      </c>
      <c r="W132" s="9"/>
      <c r="X132" s="5">
        <f t="shared" si="75"/>
        <v>0</v>
      </c>
      <c r="Y132" s="12" t="str">
        <f>IFERROR(VLOOKUP(B132,Annuaire_roster!B:E,4,0),"-")</f>
        <v>OUAQERROUCH Nour-El Houda</v>
      </c>
      <c r="Z132" s="12" t="str">
        <f>IFERROR(VLOOKUP(B132,Annuaire_roster!B:F,3,0),"-")</f>
        <v>Google Leads</v>
      </c>
      <c r="AA132" s="12" t="str">
        <f>IFERROR(VLOOKUP(B132,Annuaire_roster!B:I,6,0),"-")</f>
        <v>Forfaitaire</v>
      </c>
      <c r="AB132" s="142" t="str">
        <f t="shared" si="76"/>
        <v/>
      </c>
      <c r="AC132" s="142" t="str">
        <f t="shared" si="77"/>
        <v/>
      </c>
      <c r="AD132" s="142" t="str">
        <f t="shared" si="78"/>
        <v/>
      </c>
      <c r="AE132" s="143" t="str">
        <f t="shared" si="79"/>
        <v/>
      </c>
      <c r="AF132" s="63"/>
      <c r="AG132" s="10"/>
    </row>
    <row r="133" spans="1:33" hidden="1" x14ac:dyDescent="0.2">
      <c r="A133" s="70">
        <f>VLOOKUP(B133,Annuaire_roster!B:F,5,0)</f>
        <v>949</v>
      </c>
      <c r="B133" s="166" t="s">
        <v>85</v>
      </c>
      <c r="C133" s="61"/>
      <c r="D133" s="61">
        <f t="array" ref="D133">IFERROR(INDEX(Planning2[],MATCH(1,(Planning2[Nom]=B133)*(Planning2[Date]=Q133),0),3),"-")</f>
        <v>0.29166666666666669</v>
      </c>
      <c r="E133" s="38"/>
      <c r="F133" s="38">
        <f t="array" ref="F133">IFERROR(INDEX(Planning2[],MATCH(1,(Planning2[Nom]=B133)*(Planning2[Date]=Q133),0),4),"-")</f>
        <v>0.70833333333333337</v>
      </c>
      <c r="G133" s="88"/>
      <c r="H133" s="88"/>
      <c r="I133" s="209" t="str">
        <f t="shared" si="64"/>
        <v/>
      </c>
      <c r="J133" s="88"/>
      <c r="K133" s="89">
        <f t="shared" si="65"/>
        <v>0</v>
      </c>
      <c r="L133" s="88">
        <f t="shared" si="66"/>
        <v>0</v>
      </c>
      <c r="M133" s="62" t="str">
        <f t="shared" si="67"/>
        <v>Abs</v>
      </c>
      <c r="N133" s="102" t="str">
        <f t="shared" si="68"/>
        <v/>
      </c>
      <c r="O133" s="90">
        <f t="shared" si="69"/>
        <v>0.375</v>
      </c>
      <c r="P133" s="91" t="str">
        <f>IFERROR(VLOOKUP($B133,Annuaire_roster!$B:$G,MATCH(P$1,Annuaire_roster!$B$1:$G$1,0),0),"-")</f>
        <v>Google Leads</v>
      </c>
      <c r="Q133" s="100">
        <v>44721</v>
      </c>
      <c r="R133" s="10">
        <f t="shared" si="70"/>
        <v>0.375</v>
      </c>
      <c r="S133" s="10">
        <f t="shared" si="71"/>
        <v>0.375</v>
      </c>
      <c r="T133" s="16" t="str">
        <f t="shared" si="72"/>
        <v>Sem - 24</v>
      </c>
      <c r="U133" s="16" t="str">
        <f t="shared" si="73"/>
        <v>Juin</v>
      </c>
      <c r="V133" s="11" t="str">
        <f t="shared" si="74"/>
        <v>2026</v>
      </c>
      <c r="W133" s="9"/>
      <c r="X133" s="5">
        <f t="shared" si="75"/>
        <v>0</v>
      </c>
      <c r="Y133" s="12" t="str">
        <f>IFERROR(VLOOKUP(B133,Annuaire_roster!B:E,4,0),"-")</f>
        <v>CHOUIFI Mustapha</v>
      </c>
      <c r="Z133" s="12" t="str">
        <f>IFERROR(VLOOKUP(B133,Annuaire_roster!B:F,3,0),"-")</f>
        <v>Google Leads</v>
      </c>
      <c r="AA133" s="12" t="str">
        <f>IFERROR(VLOOKUP(B133,Annuaire_roster!B:I,6,0),"-")</f>
        <v>Forfaitaire</v>
      </c>
      <c r="AB133" s="142" t="str">
        <f t="shared" si="76"/>
        <v/>
      </c>
      <c r="AC133" s="142" t="str">
        <f t="shared" si="77"/>
        <v/>
      </c>
      <c r="AD133" s="142" t="str">
        <f t="shared" si="78"/>
        <v/>
      </c>
      <c r="AE133" s="143" t="str">
        <f t="shared" si="79"/>
        <v/>
      </c>
      <c r="AF133" s="63"/>
      <c r="AG133" s="10"/>
    </row>
    <row r="134" spans="1:33" hidden="1" x14ac:dyDescent="0.2">
      <c r="A134" s="70">
        <f>VLOOKUP(B134,Annuaire_roster!B:F,5,0)</f>
        <v>1007</v>
      </c>
      <c r="B134" s="166" t="s">
        <v>89</v>
      </c>
      <c r="C134" s="61"/>
      <c r="D134" s="61">
        <f t="array" ref="D134">IFERROR(INDEX(Planning2[],MATCH(1,(Planning2[Nom]=B134)*(Planning2[Date]=Q134),0),3),"-")</f>
        <v>0.29166666666666669</v>
      </c>
      <c r="E134" s="38"/>
      <c r="F134" s="38">
        <f t="array" ref="F134">IFERROR(INDEX(Planning2[],MATCH(1,(Planning2[Nom]=B134)*(Planning2[Date]=Q134),0),4),"-")</f>
        <v>0.70833333333333337</v>
      </c>
      <c r="G134" s="88"/>
      <c r="H134" s="88"/>
      <c r="I134" s="209" t="str">
        <f t="shared" si="64"/>
        <v/>
      </c>
      <c r="J134" s="88"/>
      <c r="K134" s="89">
        <f t="shared" si="65"/>
        <v>0</v>
      </c>
      <c r="L134" s="88">
        <f t="shared" si="66"/>
        <v>0</v>
      </c>
      <c r="M134" s="62" t="str">
        <f t="shared" si="67"/>
        <v>Abs</v>
      </c>
      <c r="N134" s="102" t="str">
        <f t="shared" si="68"/>
        <v/>
      </c>
      <c r="O134" s="90">
        <f t="shared" si="69"/>
        <v>0.375</v>
      </c>
      <c r="P134" s="91" t="str">
        <f>IFERROR(VLOOKUP($B134,Annuaire_roster!$B:$G,MATCH(P$1,Annuaire_roster!$B$1:$G$1,0),0),"-")</f>
        <v>Google Leads</v>
      </c>
      <c r="Q134" s="100">
        <v>44721</v>
      </c>
      <c r="R134" s="10">
        <f t="shared" si="70"/>
        <v>0.375</v>
      </c>
      <c r="S134" s="10">
        <f t="shared" si="71"/>
        <v>0.375</v>
      </c>
      <c r="T134" s="16" t="str">
        <f t="shared" si="72"/>
        <v>Sem - 24</v>
      </c>
      <c r="U134" s="16" t="str">
        <f t="shared" si="73"/>
        <v>Juin</v>
      </c>
      <c r="V134" s="11" t="str">
        <f t="shared" si="74"/>
        <v>2026</v>
      </c>
      <c r="W134" s="9"/>
      <c r="X134" s="5">
        <f t="shared" si="75"/>
        <v>0</v>
      </c>
      <c r="Y134" s="12" t="str">
        <f>IFERROR(VLOOKUP(B134,Annuaire_roster!B:E,4,0),"-")</f>
        <v>OUAQERROUCH Nour-El Houda</v>
      </c>
      <c r="Z134" s="12" t="str">
        <f>IFERROR(VLOOKUP(B134,Annuaire_roster!B:F,3,0),"-")</f>
        <v>Google Leads</v>
      </c>
      <c r="AA134" s="12" t="str">
        <f>IFERROR(VLOOKUP(B134,Annuaire_roster!B:I,6,0),"-")</f>
        <v>Forfaitaire</v>
      </c>
      <c r="AB134" s="142" t="str">
        <f t="shared" si="76"/>
        <v/>
      </c>
      <c r="AC134" s="142" t="str">
        <f t="shared" si="77"/>
        <v/>
      </c>
      <c r="AD134" s="142" t="str">
        <f t="shared" si="78"/>
        <v/>
      </c>
      <c r="AE134" s="143" t="str">
        <f t="shared" si="79"/>
        <v/>
      </c>
      <c r="AF134" s="63"/>
      <c r="AG134" s="10"/>
    </row>
    <row r="135" spans="1:33" hidden="1" x14ac:dyDescent="0.2">
      <c r="A135" s="70">
        <f>VLOOKUP(B135,Annuaire_roster!B:F,5,0)</f>
        <v>1131</v>
      </c>
      <c r="B135" s="166" t="s">
        <v>214</v>
      </c>
      <c r="C135" s="61"/>
      <c r="D135" s="61">
        <f t="array" ref="D135">IFERROR(INDEX(Planning2[],MATCH(1,(Planning2[Nom]=B135)*(Planning2[Date]=Q135),0),3),"-")</f>
        <v>0.45833333333333331</v>
      </c>
      <c r="E135" s="38"/>
      <c r="F135" s="38">
        <f t="array" ref="F135">IFERROR(INDEX(Planning2[],MATCH(1,(Planning2[Nom]=B135)*(Planning2[Date]=Q135),0),4),"-")</f>
        <v>0.83333333333333337</v>
      </c>
      <c r="G135" s="88"/>
      <c r="H135" s="88"/>
      <c r="I135" s="209" t="str">
        <f t="shared" si="64"/>
        <v/>
      </c>
      <c r="J135" s="88"/>
      <c r="K135" s="89">
        <f t="shared" si="65"/>
        <v>0</v>
      </c>
      <c r="L135" s="88">
        <f t="shared" si="66"/>
        <v>0</v>
      </c>
      <c r="M135" s="62" t="str">
        <f t="shared" si="67"/>
        <v>Abs</v>
      </c>
      <c r="N135" s="102" t="str">
        <f t="shared" si="68"/>
        <v/>
      </c>
      <c r="O135" s="90">
        <f t="shared" si="69"/>
        <v>0.33333333333333337</v>
      </c>
      <c r="P135" s="91" t="str">
        <f>IFERROR(VLOOKUP($B135,Annuaire_roster!$B:$G,MATCH(P$1,Annuaire_roster!$B$1:$G$1,0),0),"-")</f>
        <v>Google Leads</v>
      </c>
      <c r="Q135" s="100">
        <v>44721</v>
      </c>
      <c r="R135" s="10">
        <f t="shared" si="70"/>
        <v>0.33333333333333337</v>
      </c>
      <c r="S135" s="10">
        <f t="shared" si="71"/>
        <v>0.33333333333333337</v>
      </c>
      <c r="T135" s="16" t="str">
        <f t="shared" si="72"/>
        <v>Sem - 24</v>
      </c>
      <c r="U135" s="16" t="str">
        <f t="shared" si="73"/>
        <v>Juin</v>
      </c>
      <c r="V135" s="11" t="str">
        <f t="shared" si="74"/>
        <v>2026</v>
      </c>
      <c r="W135" s="9"/>
      <c r="X135" s="5">
        <f t="shared" si="75"/>
        <v>0</v>
      </c>
      <c r="Y135" s="12" t="str">
        <f>IFERROR(VLOOKUP(B135,Annuaire_roster!B:E,4,0),"-")</f>
        <v>CHOUIFI Mustapha</v>
      </c>
      <c r="Z135" s="12" t="str">
        <f>IFERROR(VLOOKUP(B135,Annuaire_roster!B:F,3,0),"-")</f>
        <v>Google Leads</v>
      </c>
      <c r="AA135" s="12" t="str">
        <f>IFERROR(VLOOKUP(B135,Annuaire_roster!B:I,6,0),"-")</f>
        <v>Forfaitaire</v>
      </c>
      <c r="AB135" s="142" t="str">
        <f t="shared" si="76"/>
        <v/>
      </c>
      <c r="AC135" s="142" t="str">
        <f t="shared" si="77"/>
        <v/>
      </c>
      <c r="AD135" s="142" t="str">
        <f t="shared" si="78"/>
        <v/>
      </c>
      <c r="AE135" s="143" t="str">
        <f t="shared" si="79"/>
        <v/>
      </c>
      <c r="AF135" s="63"/>
      <c r="AG135" s="10"/>
    </row>
    <row r="136" spans="1:33" hidden="1" x14ac:dyDescent="0.2">
      <c r="A136" s="70">
        <f>VLOOKUP(B136,Annuaire_roster!B:F,5,0)</f>
        <v>1145</v>
      </c>
      <c r="B136" s="166" t="s">
        <v>102</v>
      </c>
      <c r="C136" s="61"/>
      <c r="D136" s="61" t="str">
        <f t="array" ref="D136">IFERROR(INDEX(Planning2[],MATCH(1,(Planning2[Nom]=B136)*(Planning2[Date]=Q136),0),3),"-")</f>
        <v>OFF</v>
      </c>
      <c r="E136" s="38"/>
      <c r="F136" s="38" t="str">
        <f t="array" ref="F136">IFERROR(INDEX(Planning2[],MATCH(1,(Planning2[Nom]=B136)*(Planning2[Date]=Q136),0),4),"-")</f>
        <v>OFF</v>
      </c>
      <c r="G136" s="88"/>
      <c r="H136" s="88"/>
      <c r="I136" s="209" t="str">
        <f t="shared" si="64"/>
        <v/>
      </c>
      <c r="J136" s="88"/>
      <c r="K136" s="89">
        <f t="shared" si="65"/>
        <v>0</v>
      </c>
      <c r="L136" s="88">
        <f t="shared" si="66"/>
        <v>0</v>
      </c>
      <c r="M136" s="62">
        <f t="shared" si="67"/>
        <v>0</v>
      </c>
      <c r="N136" s="102" t="str">
        <f t="shared" si="68"/>
        <v/>
      </c>
      <c r="O136" s="90">
        <f t="shared" si="69"/>
        <v>0</v>
      </c>
      <c r="P136" s="91" t="str">
        <f>IFERROR(VLOOKUP($B136,Annuaire_roster!$B:$G,MATCH(P$1,Annuaire_roster!$B$1:$G$1,0),0),"-")</f>
        <v>Google Leads</v>
      </c>
      <c r="Q136" s="100">
        <v>44721</v>
      </c>
      <c r="R136" s="10">
        <f t="shared" si="70"/>
        <v>0</v>
      </c>
      <c r="S136" s="10">
        <f t="shared" si="71"/>
        <v>0</v>
      </c>
      <c r="T136" s="16" t="str">
        <f t="shared" si="72"/>
        <v>Sem - 24</v>
      </c>
      <c r="U136" s="16" t="str">
        <f t="shared" si="73"/>
        <v>Juin</v>
      </c>
      <c r="V136" s="11" t="str">
        <f t="shared" si="74"/>
        <v>2026</v>
      </c>
      <c r="W136" s="9"/>
      <c r="X136" s="5">
        <f t="shared" si="75"/>
        <v>0</v>
      </c>
      <c r="Y136" s="12" t="str">
        <f>IFERROR(VLOOKUP(B136,Annuaire_roster!B:E,4,0),"-")</f>
        <v>CHOUIFI Mustapha</v>
      </c>
      <c r="Z136" s="12" t="str">
        <f>IFERROR(VLOOKUP(B136,Annuaire_roster!B:F,3,0),"-")</f>
        <v>Google Leads</v>
      </c>
      <c r="AA136" s="12" t="str">
        <f>IFERROR(VLOOKUP(B136,Annuaire_roster!B:I,6,0),"-")</f>
        <v>Forfaitaire</v>
      </c>
      <c r="AB136" s="142" t="str">
        <f t="shared" si="76"/>
        <v/>
      </c>
      <c r="AC136" s="142" t="str">
        <f t="shared" si="77"/>
        <v/>
      </c>
      <c r="AD136" s="142" t="str">
        <f t="shared" si="78"/>
        <v/>
      </c>
      <c r="AE136" s="143" t="str">
        <f t="shared" si="79"/>
        <v/>
      </c>
      <c r="AF136" s="63"/>
      <c r="AG136" s="10"/>
    </row>
    <row r="137" spans="1:33" hidden="1" x14ac:dyDescent="0.2">
      <c r="A137" s="70">
        <f>VLOOKUP(B137,Annuaire_roster!B:F,5,0)</f>
        <v>1170</v>
      </c>
      <c r="B137" s="166" t="s">
        <v>106</v>
      </c>
      <c r="C137" s="61"/>
      <c r="D137" s="61">
        <f t="array" ref="D137">IFERROR(INDEX(Planning2[],MATCH(1,(Planning2[Nom]=B137)*(Planning2[Date]=Q137),0),3),"-")</f>
        <v>0.33333333333333331</v>
      </c>
      <c r="E137" s="38"/>
      <c r="F137" s="38">
        <f t="array" ref="F137">IFERROR(INDEX(Planning2[],MATCH(1,(Planning2[Nom]=B137)*(Planning2[Date]=Q137),0),4),"-")</f>
        <v>0.70833333333333337</v>
      </c>
      <c r="G137" s="88"/>
      <c r="H137" s="88"/>
      <c r="I137" s="209" t="str">
        <f t="shared" si="64"/>
        <v/>
      </c>
      <c r="J137" s="88"/>
      <c r="K137" s="89">
        <f t="shared" si="65"/>
        <v>0</v>
      </c>
      <c r="L137" s="88">
        <f t="shared" si="66"/>
        <v>0</v>
      </c>
      <c r="M137" s="62" t="str">
        <f t="shared" si="67"/>
        <v>Abs</v>
      </c>
      <c r="N137" s="102" t="str">
        <f t="shared" si="68"/>
        <v/>
      </c>
      <c r="O137" s="90">
        <f t="shared" si="69"/>
        <v>0.33333333333333337</v>
      </c>
      <c r="P137" s="91" t="str">
        <f>IFERROR(VLOOKUP($B137,Annuaire_roster!$B:$G,MATCH(P$1,Annuaire_roster!$B$1:$G$1,0),0),"-")</f>
        <v>Google Leads</v>
      </c>
      <c r="Q137" s="100">
        <v>44721</v>
      </c>
      <c r="R137" s="10">
        <f t="shared" si="70"/>
        <v>0.33333333333333337</v>
      </c>
      <c r="S137" s="10">
        <f t="shared" si="71"/>
        <v>0.33333333333333337</v>
      </c>
      <c r="T137" s="16" t="str">
        <f t="shared" si="72"/>
        <v>Sem - 24</v>
      </c>
      <c r="U137" s="16" t="str">
        <f t="shared" si="73"/>
        <v>Juin</v>
      </c>
      <c r="V137" s="11" t="str">
        <f t="shared" si="74"/>
        <v>2026</v>
      </c>
      <c r="W137" s="9"/>
      <c r="X137" s="5">
        <f t="shared" si="75"/>
        <v>0</v>
      </c>
      <c r="Y137" s="12" t="str">
        <f>IFERROR(VLOOKUP(B137,Annuaire_roster!B:E,4,0),"-")</f>
        <v>CHOUIFI Mustapha</v>
      </c>
      <c r="Z137" s="12" t="str">
        <f>IFERROR(VLOOKUP(B137,Annuaire_roster!B:F,3,0),"-")</f>
        <v>Google Leads</v>
      </c>
      <c r="AA137" s="12" t="str">
        <f>IFERROR(VLOOKUP(B137,Annuaire_roster!B:I,6,0),"-")</f>
        <v>Forfaitaire</v>
      </c>
      <c r="AB137" s="142" t="str">
        <f t="shared" si="76"/>
        <v/>
      </c>
      <c r="AC137" s="142" t="str">
        <f t="shared" si="77"/>
        <v/>
      </c>
      <c r="AD137" s="142" t="str">
        <f t="shared" si="78"/>
        <v/>
      </c>
      <c r="AE137" s="143" t="str">
        <f t="shared" si="79"/>
        <v/>
      </c>
      <c r="AF137" s="63"/>
      <c r="AG137" s="10"/>
    </row>
    <row r="138" spans="1:33" hidden="1" x14ac:dyDescent="0.2">
      <c r="A138" s="70">
        <f>VLOOKUP(B138,Annuaire_roster!B:F,5,0)</f>
        <v>1154</v>
      </c>
      <c r="B138" s="166" t="s">
        <v>110</v>
      </c>
      <c r="C138" s="61"/>
      <c r="D138" s="61">
        <f t="array" ref="D138">IFERROR(INDEX(Planning2[],MATCH(1,(Planning2[Nom]=B138)*(Planning2[Date]=Q138),0),3),"-")</f>
        <v>0.29166666666666669</v>
      </c>
      <c r="E138" s="38"/>
      <c r="F138" s="38">
        <f t="array" ref="F138">IFERROR(INDEX(Planning2[],MATCH(1,(Planning2[Nom]=B138)*(Planning2[Date]=Q138),0),4),"-")</f>
        <v>0.70833333333333337</v>
      </c>
      <c r="G138" s="88"/>
      <c r="H138" s="88"/>
      <c r="I138" s="209" t="str">
        <f t="shared" si="64"/>
        <v/>
      </c>
      <c r="J138" s="88"/>
      <c r="K138" s="89">
        <f t="shared" si="65"/>
        <v>0</v>
      </c>
      <c r="L138" s="88">
        <f t="shared" si="66"/>
        <v>0</v>
      </c>
      <c r="M138" s="62" t="str">
        <f t="shared" si="67"/>
        <v>Abs</v>
      </c>
      <c r="N138" s="102" t="str">
        <f t="shared" si="68"/>
        <v/>
      </c>
      <c r="O138" s="90">
        <f t="shared" si="69"/>
        <v>0.375</v>
      </c>
      <c r="P138" s="91" t="str">
        <f>IFERROR(VLOOKUP($B138,Annuaire_roster!$B:$G,MATCH(P$1,Annuaire_roster!$B$1:$G$1,0),0),"-")</f>
        <v>Google Leads</v>
      </c>
      <c r="Q138" s="100">
        <v>44721</v>
      </c>
      <c r="R138" s="10">
        <f t="shared" si="70"/>
        <v>0.375</v>
      </c>
      <c r="S138" s="10">
        <f t="shared" si="71"/>
        <v>0.375</v>
      </c>
      <c r="T138" s="16" t="str">
        <f t="shared" si="72"/>
        <v>Sem - 24</v>
      </c>
      <c r="U138" s="16" t="str">
        <f t="shared" si="73"/>
        <v>Juin</v>
      </c>
      <c r="V138" s="11" t="str">
        <f t="shared" si="74"/>
        <v>2026</v>
      </c>
      <c r="W138" s="9"/>
      <c r="X138" s="5">
        <f t="shared" si="75"/>
        <v>0</v>
      </c>
      <c r="Y138" s="12" t="str">
        <f>IFERROR(VLOOKUP(B138,Annuaire_roster!B:E,4,0),"-")</f>
        <v>CHOUIFI Mustapha</v>
      </c>
      <c r="Z138" s="12" t="str">
        <f>IFERROR(VLOOKUP(B138,Annuaire_roster!B:F,3,0),"-")</f>
        <v>Google Leads</v>
      </c>
      <c r="AA138" s="12" t="str">
        <f>IFERROR(VLOOKUP(B138,Annuaire_roster!B:I,6,0),"-")</f>
        <v>Forfaitaire</v>
      </c>
      <c r="AB138" s="142" t="str">
        <f t="shared" si="76"/>
        <v/>
      </c>
      <c r="AC138" s="142" t="str">
        <f t="shared" si="77"/>
        <v/>
      </c>
      <c r="AD138" s="142" t="str">
        <f t="shared" si="78"/>
        <v/>
      </c>
      <c r="AE138" s="143" t="str">
        <f t="shared" si="79"/>
        <v/>
      </c>
      <c r="AF138" s="63"/>
      <c r="AG138" s="10"/>
    </row>
    <row r="139" spans="1:33" hidden="1" x14ac:dyDescent="0.2">
      <c r="A139" s="70">
        <f>VLOOKUP(B139,Annuaire_roster!B:F,5,0)</f>
        <v>0</v>
      </c>
      <c r="B139" s="166" t="s">
        <v>144</v>
      </c>
      <c r="C139" s="61"/>
      <c r="D139" s="61">
        <f t="array" ref="D139">IFERROR(INDEX(Planning2[],MATCH(1,(Planning2[Nom]=B139)*(Planning2[Date]=Q139),0),3),"-")</f>
        <v>0.29166666666666669</v>
      </c>
      <c r="E139" s="38"/>
      <c r="F139" s="38">
        <f t="array" ref="F139">IFERROR(INDEX(Planning2[],MATCH(1,(Planning2[Nom]=B139)*(Planning2[Date]=Q139),0),4),"-")</f>
        <v>0.70833333333333337</v>
      </c>
      <c r="G139" s="88"/>
      <c r="H139" s="88"/>
      <c r="I139" s="209" t="str">
        <f t="shared" si="64"/>
        <v/>
      </c>
      <c r="J139" s="88"/>
      <c r="K139" s="89">
        <f t="shared" si="65"/>
        <v>0</v>
      </c>
      <c r="L139" s="88">
        <f t="shared" si="66"/>
        <v>0</v>
      </c>
      <c r="M139" s="62" t="str">
        <f t="shared" si="67"/>
        <v>Abs</v>
      </c>
      <c r="N139" s="102" t="str">
        <f t="shared" si="68"/>
        <v/>
      </c>
      <c r="O139" s="90">
        <f t="shared" si="69"/>
        <v>0.375</v>
      </c>
      <c r="P139" s="91" t="str">
        <f>IFERROR(VLOOKUP($B139,Annuaire_roster!$B:$G,MATCH(P$1,Annuaire_roster!$B$1:$G$1,0),0),"-")</f>
        <v>Google Leads</v>
      </c>
      <c r="Q139" s="100">
        <v>44721</v>
      </c>
      <c r="R139" s="10">
        <f t="shared" si="70"/>
        <v>0.375</v>
      </c>
      <c r="S139" s="10">
        <f t="shared" si="71"/>
        <v>0.375</v>
      </c>
      <c r="T139" s="16" t="str">
        <f t="shared" si="72"/>
        <v>Sem - 24</v>
      </c>
      <c r="U139" s="16" t="str">
        <f t="shared" si="73"/>
        <v>Juin</v>
      </c>
      <c r="V139" s="11" t="str">
        <f t="shared" si="74"/>
        <v>2026</v>
      </c>
      <c r="W139" s="9"/>
      <c r="X139" s="5">
        <f t="shared" si="75"/>
        <v>0</v>
      </c>
      <c r="Y139" s="12" t="str">
        <f>IFERROR(VLOOKUP(B139,Annuaire_roster!B:E,4,0),"-")</f>
        <v>CHOUIFI Mustapha</v>
      </c>
      <c r="Z139" s="12" t="str">
        <f>IFERROR(VLOOKUP(B139,Annuaire_roster!B:F,3,0),"-")</f>
        <v>Google Leads</v>
      </c>
      <c r="AA139" s="12" t="str">
        <f>IFERROR(VLOOKUP(B139,Annuaire_roster!B:I,6,0),"-")</f>
        <v>Forfaitaire</v>
      </c>
      <c r="AB139" s="142" t="str">
        <f t="shared" si="76"/>
        <v/>
      </c>
      <c r="AC139" s="142" t="str">
        <f t="shared" si="77"/>
        <v/>
      </c>
      <c r="AD139" s="142" t="str">
        <f t="shared" si="78"/>
        <v/>
      </c>
      <c r="AE139" s="143" t="str">
        <f t="shared" si="79"/>
        <v/>
      </c>
      <c r="AF139" s="63"/>
      <c r="AG139" s="10"/>
    </row>
    <row r="140" spans="1:33" hidden="1" x14ac:dyDescent="0.2">
      <c r="A140" s="70">
        <f>VLOOKUP(B140,Annuaire_roster!B:F,5,0)</f>
        <v>0</v>
      </c>
      <c r="B140" s="166" t="s">
        <v>196</v>
      </c>
      <c r="C140" s="61"/>
      <c r="D140" s="61">
        <f t="array" ref="D140">IFERROR(INDEX(Planning2[],MATCH(1,(Planning2[Nom]=B140)*(Planning2[Date]=Q140),0),3),"-")</f>
        <v>0.29166666666666669</v>
      </c>
      <c r="E140" s="38"/>
      <c r="F140" s="38">
        <f t="array" ref="F140">IFERROR(INDEX(Planning2[],MATCH(1,(Planning2[Nom]=B140)*(Planning2[Date]=Q140),0),4),"-")</f>
        <v>0.70833333333333337</v>
      </c>
      <c r="G140" s="88"/>
      <c r="H140" s="88"/>
      <c r="I140" s="209" t="str">
        <f t="shared" si="64"/>
        <v/>
      </c>
      <c r="J140" s="88"/>
      <c r="K140" s="89">
        <f t="shared" si="65"/>
        <v>0</v>
      </c>
      <c r="L140" s="88">
        <f t="shared" si="66"/>
        <v>0</v>
      </c>
      <c r="M140" s="62" t="str">
        <f t="shared" si="67"/>
        <v>Abs</v>
      </c>
      <c r="N140" s="102" t="str">
        <f t="shared" si="68"/>
        <v/>
      </c>
      <c r="O140" s="90">
        <f t="shared" si="69"/>
        <v>0.375</v>
      </c>
      <c r="P140" s="91" t="str">
        <f>IFERROR(VLOOKUP($B140,Annuaire_roster!$B:$G,MATCH(P$1,Annuaire_roster!$B$1:$G$1,0),0),"-")</f>
        <v>Google Leads</v>
      </c>
      <c r="Q140" s="100">
        <v>44721</v>
      </c>
      <c r="R140" s="10">
        <f t="shared" si="70"/>
        <v>0.375</v>
      </c>
      <c r="S140" s="10">
        <f t="shared" si="71"/>
        <v>0.375</v>
      </c>
      <c r="T140" s="16" t="str">
        <f t="shared" si="72"/>
        <v>Sem - 24</v>
      </c>
      <c r="U140" s="16" t="str">
        <f t="shared" si="73"/>
        <v>Juin</v>
      </c>
      <c r="V140" s="11" t="str">
        <f t="shared" si="74"/>
        <v>2026</v>
      </c>
      <c r="W140" s="9"/>
      <c r="X140" s="5">
        <f t="shared" si="75"/>
        <v>0</v>
      </c>
      <c r="Y140" s="12">
        <f>IFERROR(VLOOKUP(B140,Annuaire_roster!B:E,4,0),"-")</f>
        <v>0</v>
      </c>
      <c r="Z140" s="12" t="str">
        <f>IFERROR(VLOOKUP(B140,Annuaire_roster!B:F,3,0),"-")</f>
        <v>Google Leads</v>
      </c>
      <c r="AA140" s="12">
        <f>IFERROR(VLOOKUP(B140,Annuaire_roster!B:I,6,0),"-")</f>
        <v>0</v>
      </c>
      <c r="AB140" s="142" t="str">
        <f t="shared" si="76"/>
        <v/>
      </c>
      <c r="AC140" s="142" t="str">
        <f t="shared" si="77"/>
        <v/>
      </c>
      <c r="AD140" s="142" t="str">
        <f t="shared" si="78"/>
        <v/>
      </c>
      <c r="AE140" s="143" t="str">
        <f t="shared" si="79"/>
        <v/>
      </c>
      <c r="AF140" s="63"/>
      <c r="AG140" s="10"/>
    </row>
    <row r="141" spans="1:33" hidden="1" x14ac:dyDescent="0.2">
      <c r="A141" s="70">
        <f>VLOOKUP(B141,Annuaire_roster!B:F,5,0)</f>
        <v>0</v>
      </c>
      <c r="B141" s="166" t="s">
        <v>209</v>
      </c>
      <c r="C141" s="61"/>
      <c r="D141" s="61">
        <f t="array" ref="D141">IFERROR(INDEX(Planning2[],MATCH(1,(Planning2[Nom]=B141)*(Planning2[Date]=Q141),0),3),"-")</f>
        <v>0.29166666666666669</v>
      </c>
      <c r="E141" s="38"/>
      <c r="F141" s="38">
        <f t="array" ref="F141">IFERROR(INDEX(Planning2[],MATCH(1,(Planning2[Nom]=B141)*(Planning2[Date]=Q141),0),4),"-")</f>
        <v>0.66666666666666663</v>
      </c>
      <c r="G141" s="88"/>
      <c r="H141" s="88"/>
      <c r="I141" s="209" t="str">
        <f t="shared" si="64"/>
        <v/>
      </c>
      <c r="J141" s="88"/>
      <c r="K141" s="89">
        <f t="shared" si="65"/>
        <v>0</v>
      </c>
      <c r="L141" s="88">
        <f t="shared" si="66"/>
        <v>0</v>
      </c>
      <c r="M141" s="62" t="str">
        <f t="shared" si="67"/>
        <v>Abs</v>
      </c>
      <c r="N141" s="102" t="str">
        <f t="shared" si="68"/>
        <v/>
      </c>
      <c r="O141" s="90">
        <f t="shared" si="69"/>
        <v>0.33333333333333326</v>
      </c>
      <c r="P141" s="91" t="str">
        <f>IFERROR(VLOOKUP($B141,Annuaire_roster!$B:$G,MATCH(P$1,Annuaire_roster!$B$1:$G$1,0),0),"-")</f>
        <v>Google Leads</v>
      </c>
      <c r="Q141" s="100">
        <v>44721</v>
      </c>
      <c r="R141" s="10">
        <f t="shared" si="70"/>
        <v>0.33333333333333326</v>
      </c>
      <c r="S141" s="10">
        <f t="shared" si="71"/>
        <v>0.33333333333333326</v>
      </c>
      <c r="T141" s="16" t="str">
        <f t="shared" si="72"/>
        <v>Sem - 24</v>
      </c>
      <c r="U141" s="16" t="str">
        <f t="shared" si="73"/>
        <v>Juin</v>
      </c>
      <c r="V141" s="11" t="str">
        <f t="shared" si="74"/>
        <v>2026</v>
      </c>
      <c r="W141" s="9"/>
      <c r="X141" s="5">
        <f t="shared" si="75"/>
        <v>0</v>
      </c>
      <c r="Y141" s="12">
        <f>IFERROR(VLOOKUP(B141,Annuaire_roster!B:E,4,0),"-")</f>
        <v>0</v>
      </c>
      <c r="Z141" s="12" t="str">
        <f>IFERROR(VLOOKUP(B141,Annuaire_roster!B:F,3,0),"-")</f>
        <v>Google Leads</v>
      </c>
      <c r="AA141" s="12">
        <f>IFERROR(VLOOKUP(B141,Annuaire_roster!B:I,6,0),"-")</f>
        <v>0</v>
      </c>
      <c r="AB141" s="142" t="str">
        <f t="shared" si="76"/>
        <v/>
      </c>
      <c r="AC141" s="142" t="str">
        <f t="shared" si="77"/>
        <v/>
      </c>
      <c r="AD141" s="142" t="str">
        <f t="shared" si="78"/>
        <v/>
      </c>
      <c r="AE141" s="143" t="str">
        <f t="shared" si="79"/>
        <v/>
      </c>
      <c r="AF141" s="63"/>
      <c r="AG141" s="10"/>
    </row>
    <row r="142" spans="1:33" hidden="1" x14ac:dyDescent="0.2">
      <c r="A142" s="70">
        <f>VLOOKUP(B142,Annuaire_roster!B:F,5,0)</f>
        <v>0</v>
      </c>
      <c r="B142" s="166" t="s">
        <v>212</v>
      </c>
      <c r="C142" s="61"/>
      <c r="D142" s="61" t="str">
        <f t="array" ref="D142">IFERROR(INDEX(Planning2[],MATCH(1,(Planning2[Nom]=B142)*(Planning2[Date]=Q142),0),3),"-")</f>
        <v>OFF</v>
      </c>
      <c r="E142" s="38"/>
      <c r="F142" s="38" t="str">
        <f t="array" ref="F142">IFERROR(INDEX(Planning2[],MATCH(1,(Planning2[Nom]=B142)*(Planning2[Date]=Q142),0),4),"-")</f>
        <v>OFF</v>
      </c>
      <c r="G142" s="88"/>
      <c r="H142" s="88"/>
      <c r="I142" s="209" t="str">
        <f t="shared" si="64"/>
        <v/>
      </c>
      <c r="J142" s="88"/>
      <c r="K142" s="89">
        <f t="shared" si="65"/>
        <v>0</v>
      </c>
      <c r="L142" s="88">
        <f t="shared" si="66"/>
        <v>0</v>
      </c>
      <c r="M142" s="62">
        <f t="shared" si="67"/>
        <v>0</v>
      </c>
      <c r="N142" s="102" t="str">
        <f t="shared" si="68"/>
        <v/>
      </c>
      <c r="O142" s="90">
        <f t="shared" si="69"/>
        <v>0</v>
      </c>
      <c r="P142" s="91" t="str">
        <f>IFERROR(VLOOKUP($B142,Annuaire_roster!$B:$G,MATCH(P$1,Annuaire_roster!$B$1:$G$1,0),0),"-")</f>
        <v>Google Leads</v>
      </c>
      <c r="Q142" s="100">
        <v>44721</v>
      </c>
      <c r="R142" s="10">
        <f t="shared" si="70"/>
        <v>0</v>
      </c>
      <c r="S142" s="10">
        <f t="shared" si="71"/>
        <v>0</v>
      </c>
      <c r="T142" s="16" t="str">
        <f t="shared" si="72"/>
        <v>Sem - 24</v>
      </c>
      <c r="U142" s="16" t="str">
        <f t="shared" si="73"/>
        <v>Juin</v>
      </c>
      <c r="V142" s="11" t="str">
        <f t="shared" si="74"/>
        <v>2026</v>
      </c>
      <c r="W142" s="9"/>
      <c r="X142" s="5">
        <f t="shared" si="75"/>
        <v>0</v>
      </c>
      <c r="Y142" s="12">
        <f>IFERROR(VLOOKUP(B142,Annuaire_roster!B:E,4,0),"-")</f>
        <v>0</v>
      </c>
      <c r="Z142" s="12" t="str">
        <f>IFERROR(VLOOKUP(B142,Annuaire_roster!B:F,3,0),"-")</f>
        <v>Google Leads</v>
      </c>
      <c r="AA142" s="12">
        <f>IFERROR(VLOOKUP(B142,Annuaire_roster!B:I,6,0),"-")</f>
        <v>0</v>
      </c>
      <c r="AB142" s="142" t="str">
        <f t="shared" si="76"/>
        <v/>
      </c>
      <c r="AC142" s="142" t="str">
        <f t="shared" si="77"/>
        <v/>
      </c>
      <c r="AD142" s="142" t="str">
        <f t="shared" si="78"/>
        <v/>
      </c>
      <c r="AE142" s="143" t="str">
        <f t="shared" si="79"/>
        <v/>
      </c>
      <c r="AF142" s="63"/>
      <c r="AG142" s="10"/>
    </row>
    <row r="143" spans="1:33" hidden="1" x14ac:dyDescent="0.2">
      <c r="A143" s="70">
        <f>VLOOKUP(B143,Annuaire_roster!B:F,5,0)</f>
        <v>0</v>
      </c>
      <c r="B143" s="166" t="s">
        <v>224</v>
      </c>
      <c r="C143" s="61"/>
      <c r="D143" s="61">
        <f t="array" ref="D143">IFERROR(INDEX(Planning2[],MATCH(1,(Planning2[Nom]=B143)*(Planning2[Date]=Q143),0),3),"-")</f>
        <v>0.45833333333333331</v>
      </c>
      <c r="E143" s="38"/>
      <c r="F143" s="38">
        <f t="array" ref="F143">IFERROR(INDEX(Planning2[],MATCH(1,(Planning2[Nom]=B143)*(Planning2[Date]=Q143),0),4),"-")</f>
        <v>0.83333333333333337</v>
      </c>
      <c r="G143" s="88"/>
      <c r="H143" s="88"/>
      <c r="I143" s="209" t="str">
        <f t="shared" si="64"/>
        <v/>
      </c>
      <c r="J143" s="88"/>
      <c r="K143" s="89">
        <f t="shared" si="65"/>
        <v>0</v>
      </c>
      <c r="L143" s="88">
        <f t="shared" si="66"/>
        <v>0</v>
      </c>
      <c r="M143" s="62" t="str">
        <f t="shared" si="67"/>
        <v>Abs</v>
      </c>
      <c r="N143" s="102" t="str">
        <f t="shared" si="68"/>
        <v/>
      </c>
      <c r="O143" s="90">
        <f t="shared" si="69"/>
        <v>0.33333333333333337</v>
      </c>
      <c r="P143" s="91" t="str">
        <f>IFERROR(VLOOKUP($B143,Annuaire_roster!$B:$G,MATCH(P$1,Annuaire_roster!$B$1:$G$1,0),0),"-")</f>
        <v>Google Leads</v>
      </c>
      <c r="Q143" s="100">
        <v>44721</v>
      </c>
      <c r="R143" s="10">
        <f t="shared" si="70"/>
        <v>0.33333333333333337</v>
      </c>
      <c r="S143" s="10">
        <f t="shared" si="71"/>
        <v>0.33333333333333337</v>
      </c>
      <c r="T143" s="16" t="str">
        <f t="shared" si="72"/>
        <v>Sem - 24</v>
      </c>
      <c r="U143" s="16" t="str">
        <f t="shared" si="73"/>
        <v>Juin</v>
      </c>
      <c r="V143" s="11" t="str">
        <f t="shared" si="74"/>
        <v>2026</v>
      </c>
      <c r="W143" s="9"/>
      <c r="X143" s="5">
        <f t="shared" si="75"/>
        <v>0</v>
      </c>
      <c r="Y143" s="12">
        <f>IFERROR(VLOOKUP(B143,Annuaire_roster!B:E,4,0),"-")</f>
        <v>0</v>
      </c>
      <c r="Z143" s="12" t="str">
        <f>IFERROR(VLOOKUP(B143,Annuaire_roster!B:F,3,0),"-")</f>
        <v>Google Leads</v>
      </c>
      <c r="AA143" s="12">
        <f>IFERROR(VLOOKUP(B143,Annuaire_roster!B:I,6,0),"-")</f>
        <v>0</v>
      </c>
      <c r="AB143" s="142" t="str">
        <f t="shared" si="76"/>
        <v/>
      </c>
      <c r="AC143" s="142" t="str">
        <f t="shared" si="77"/>
        <v/>
      </c>
      <c r="AD143" s="142" t="str">
        <f t="shared" si="78"/>
        <v/>
      </c>
      <c r="AE143" s="143" t="str">
        <f t="shared" si="79"/>
        <v/>
      </c>
      <c r="AF143" s="63"/>
      <c r="AG143" s="10"/>
    </row>
    <row r="144" spans="1:33" hidden="1" x14ac:dyDescent="0.2">
      <c r="A144" s="70">
        <f>VLOOKUP(B144,Annuaire_roster!B:F,5,0)</f>
        <v>894</v>
      </c>
      <c r="B144" s="166" t="s">
        <v>80</v>
      </c>
      <c r="C144" s="61"/>
      <c r="D144" s="61">
        <f t="array" ref="D144">IFERROR(INDEX(Planning2[],MATCH(1,(Planning2[Nom]=B144)*(Planning2[Date]=Q144),0),3),"-")</f>
        <v>0.41666666666666669</v>
      </c>
      <c r="E144" s="38"/>
      <c r="F144" s="38">
        <f t="array" ref="F144">IFERROR(INDEX(Planning2[],MATCH(1,(Planning2[Nom]=B144)*(Planning2[Date]=Q144),0),4),"-")</f>
        <v>0.83333333333333337</v>
      </c>
      <c r="G144" s="88"/>
      <c r="H144" s="88"/>
      <c r="I144" s="209" t="str">
        <f t="shared" si="64"/>
        <v/>
      </c>
      <c r="J144" s="88"/>
      <c r="K144" s="89">
        <f t="shared" si="65"/>
        <v>0</v>
      </c>
      <c r="L144" s="88">
        <f t="shared" si="66"/>
        <v>0</v>
      </c>
      <c r="M144" s="62" t="str">
        <f t="shared" si="67"/>
        <v>Abs</v>
      </c>
      <c r="N144" s="102" t="str">
        <f t="shared" si="68"/>
        <v/>
      </c>
      <c r="O144" s="90">
        <f t="shared" si="69"/>
        <v>0.375</v>
      </c>
      <c r="P144" s="91" t="str">
        <f>IFERROR(VLOOKUP($B144,Annuaire_roster!$B:$G,MATCH(P$1,Annuaire_roster!$B$1:$G$1,0),0),"-")</f>
        <v>Google Leads</v>
      </c>
      <c r="Q144" s="100">
        <v>44721</v>
      </c>
      <c r="R144" s="10">
        <f t="shared" si="70"/>
        <v>0.375</v>
      </c>
      <c r="S144" s="10">
        <f t="shared" si="71"/>
        <v>0.375</v>
      </c>
      <c r="T144" s="16" t="str">
        <f t="shared" si="72"/>
        <v>Sem - 24</v>
      </c>
      <c r="U144" s="16" t="str">
        <f t="shared" si="73"/>
        <v>Juin</v>
      </c>
      <c r="V144" s="11" t="str">
        <f t="shared" si="74"/>
        <v>2026</v>
      </c>
      <c r="W144" s="9"/>
      <c r="X144" s="5">
        <f t="shared" si="75"/>
        <v>0</v>
      </c>
      <c r="Y144" s="12" t="str">
        <f>IFERROR(VLOOKUP(B144,Annuaire_roster!B:E,4,0),"-")</f>
        <v>OUAQERROUCH Nour-El Houda</v>
      </c>
      <c r="Z144" s="12" t="str">
        <f>IFERROR(VLOOKUP(B144,Annuaire_roster!B:F,3,0),"-")</f>
        <v>Google Leads</v>
      </c>
      <c r="AA144" s="12" t="str">
        <f>IFERROR(VLOOKUP(B144,Annuaire_roster!B:I,6,0),"-")</f>
        <v>Forfaitaire</v>
      </c>
      <c r="AB144" s="142" t="str">
        <f t="shared" si="76"/>
        <v/>
      </c>
      <c r="AC144" s="142" t="str">
        <f t="shared" si="77"/>
        <v/>
      </c>
      <c r="AD144" s="142" t="str">
        <f t="shared" si="78"/>
        <v/>
      </c>
      <c r="AE144" s="143" t="str">
        <f t="shared" si="79"/>
        <v/>
      </c>
      <c r="AF144" s="63"/>
      <c r="AG144" s="10"/>
    </row>
    <row r="145" spans="1:33" hidden="1" x14ac:dyDescent="0.2">
      <c r="A145" s="70">
        <f>VLOOKUP(B145,Annuaire_roster!B:F,5,0)</f>
        <v>971</v>
      </c>
      <c r="B145" s="166" t="s">
        <v>83</v>
      </c>
      <c r="C145" s="61"/>
      <c r="D145" s="61">
        <f t="array" ref="D145">IFERROR(INDEX(Planning2[],MATCH(1,(Planning2[Nom]=B145)*(Planning2[Date]=Q145),0),3),"-")</f>
        <v>0.45833333333333331</v>
      </c>
      <c r="E145" s="38"/>
      <c r="F145" s="38">
        <f t="array" ref="F145">IFERROR(INDEX(Planning2[],MATCH(1,(Planning2[Nom]=B145)*(Planning2[Date]=Q145),0),4),"-")</f>
        <v>0.83333333333333337</v>
      </c>
      <c r="G145" s="88"/>
      <c r="H145" s="88"/>
      <c r="I145" s="209" t="str">
        <f t="shared" si="64"/>
        <v/>
      </c>
      <c r="J145" s="88"/>
      <c r="K145" s="89">
        <f t="shared" si="65"/>
        <v>0</v>
      </c>
      <c r="L145" s="88">
        <f t="shared" si="66"/>
        <v>0</v>
      </c>
      <c r="M145" s="62" t="str">
        <f t="shared" si="67"/>
        <v>Abs</v>
      </c>
      <c r="N145" s="102" t="str">
        <f t="shared" si="68"/>
        <v/>
      </c>
      <c r="O145" s="90">
        <f t="shared" si="69"/>
        <v>0.33333333333333337</v>
      </c>
      <c r="P145" s="91" t="str">
        <f>IFERROR(VLOOKUP($B145,Annuaire_roster!$B:$G,MATCH(P$1,Annuaire_roster!$B$1:$G$1,0),0),"-")</f>
        <v>Google Leads</v>
      </c>
      <c r="Q145" s="100">
        <v>44721</v>
      </c>
      <c r="R145" s="10">
        <f t="shared" si="70"/>
        <v>0.33333333333333337</v>
      </c>
      <c r="S145" s="10">
        <f t="shared" si="71"/>
        <v>0.33333333333333337</v>
      </c>
      <c r="T145" s="16" t="str">
        <f t="shared" si="72"/>
        <v>Sem - 24</v>
      </c>
      <c r="U145" s="16" t="str">
        <f t="shared" si="73"/>
        <v>Juin</v>
      </c>
      <c r="V145" s="11" t="str">
        <f t="shared" si="74"/>
        <v>2026</v>
      </c>
      <c r="W145" s="9"/>
      <c r="X145" s="5">
        <f t="shared" si="75"/>
        <v>0</v>
      </c>
      <c r="Y145" s="12" t="str">
        <f>IFERROR(VLOOKUP(B145,Annuaire_roster!B:E,4,0),"-")</f>
        <v>CHOUIFI Mustapha</v>
      </c>
      <c r="Z145" s="12" t="str">
        <f>IFERROR(VLOOKUP(B145,Annuaire_roster!B:F,3,0),"-")</f>
        <v>Google Leads</v>
      </c>
      <c r="AA145" s="12" t="str">
        <f>IFERROR(VLOOKUP(B145,Annuaire_roster!B:I,6,0),"-")</f>
        <v>Forfaitaire</v>
      </c>
      <c r="AB145" s="142" t="str">
        <f t="shared" si="76"/>
        <v/>
      </c>
      <c r="AC145" s="142" t="str">
        <f t="shared" si="77"/>
        <v/>
      </c>
      <c r="AD145" s="142" t="str">
        <f t="shared" si="78"/>
        <v/>
      </c>
      <c r="AE145" s="143" t="str">
        <f t="shared" si="79"/>
        <v/>
      </c>
      <c r="AF145" s="63"/>
      <c r="AG145" s="10"/>
    </row>
    <row r="146" spans="1:33" hidden="1" x14ac:dyDescent="0.2">
      <c r="A146" s="70">
        <f>VLOOKUP(B146,Annuaire_roster!B:F,5,0)</f>
        <v>1008</v>
      </c>
      <c r="B146" s="166" t="s">
        <v>94</v>
      </c>
      <c r="C146" s="61"/>
      <c r="D146" s="61">
        <f t="array" ref="D146">IFERROR(INDEX(Planning2[],MATCH(1,(Planning2[Nom]=B146)*(Planning2[Date]=Q146),0),3),"-")</f>
        <v>0.29166666666666669</v>
      </c>
      <c r="E146" s="38"/>
      <c r="F146" s="38">
        <f t="array" ref="F146">IFERROR(INDEX(Planning2[],MATCH(1,(Planning2[Nom]=B146)*(Planning2[Date]=Q146),0),4),"-")</f>
        <v>0.70833333333333337</v>
      </c>
      <c r="G146" s="88"/>
      <c r="H146" s="88"/>
      <c r="I146" s="209" t="str">
        <f t="shared" si="64"/>
        <v/>
      </c>
      <c r="J146" s="88"/>
      <c r="K146" s="89">
        <f t="shared" si="65"/>
        <v>0</v>
      </c>
      <c r="L146" s="88">
        <f t="shared" si="66"/>
        <v>0</v>
      </c>
      <c r="M146" s="62" t="str">
        <f t="shared" si="67"/>
        <v>Abs</v>
      </c>
      <c r="N146" s="102" t="str">
        <f t="shared" si="68"/>
        <v/>
      </c>
      <c r="O146" s="90">
        <f t="shared" si="69"/>
        <v>0.375</v>
      </c>
      <c r="P146" s="91" t="str">
        <f>IFERROR(VLOOKUP($B146,Annuaire_roster!$B:$G,MATCH(P$1,Annuaire_roster!$B$1:$G$1,0),0),"-")</f>
        <v>Google Leads</v>
      </c>
      <c r="Q146" s="100">
        <v>44721</v>
      </c>
      <c r="R146" s="10">
        <f t="shared" si="70"/>
        <v>0.375</v>
      </c>
      <c r="S146" s="10">
        <f t="shared" si="71"/>
        <v>0.375</v>
      </c>
      <c r="T146" s="16" t="str">
        <f t="shared" si="72"/>
        <v>Sem - 24</v>
      </c>
      <c r="U146" s="16" t="str">
        <f t="shared" si="73"/>
        <v>Juin</v>
      </c>
      <c r="V146" s="11" t="str">
        <f t="shared" si="74"/>
        <v>2026</v>
      </c>
      <c r="W146" s="9"/>
      <c r="X146" s="5">
        <f t="shared" si="75"/>
        <v>0</v>
      </c>
      <c r="Y146" s="12" t="str">
        <f>IFERROR(VLOOKUP(B146,Annuaire_roster!B:E,4,0),"-")</f>
        <v>CHOUIFI Mustapha</v>
      </c>
      <c r="Z146" s="12" t="str">
        <f>IFERROR(VLOOKUP(B146,Annuaire_roster!B:F,3,0),"-")</f>
        <v>Google Leads</v>
      </c>
      <c r="AA146" s="12" t="str">
        <f>IFERROR(VLOOKUP(B146,Annuaire_roster!B:I,6,0),"-")</f>
        <v>Forfaitaire</v>
      </c>
      <c r="AB146" s="142" t="str">
        <f t="shared" si="76"/>
        <v/>
      </c>
      <c r="AC146" s="142" t="str">
        <f t="shared" si="77"/>
        <v/>
      </c>
      <c r="AD146" s="142" t="str">
        <f t="shared" si="78"/>
        <v/>
      </c>
      <c r="AE146" s="143" t="str">
        <f t="shared" si="79"/>
        <v/>
      </c>
      <c r="AF146" s="63"/>
      <c r="AG146" s="10"/>
    </row>
    <row r="147" spans="1:33" hidden="1" x14ac:dyDescent="0.2">
      <c r="A147" s="70">
        <f>VLOOKUP(B147,Annuaire_roster!B:F,5,0)</f>
        <v>1167</v>
      </c>
      <c r="B147" s="166" t="s">
        <v>126</v>
      </c>
      <c r="C147" s="61"/>
      <c r="D147" s="61" t="str">
        <f t="array" ref="D147">IFERROR(INDEX(Planning2[],MATCH(1,(Planning2[Nom]=B147)*(Planning2[Date]=Q147),0),3),"-")</f>
        <v>OFF</v>
      </c>
      <c r="E147" s="38"/>
      <c r="F147" s="38" t="str">
        <f t="array" ref="F147">IFERROR(INDEX(Planning2[],MATCH(1,(Planning2[Nom]=B147)*(Planning2[Date]=Q147),0),4),"-")</f>
        <v>OFF</v>
      </c>
      <c r="G147" s="88"/>
      <c r="H147" s="88"/>
      <c r="I147" s="209" t="str">
        <f t="shared" si="64"/>
        <v/>
      </c>
      <c r="J147" s="88"/>
      <c r="K147" s="89">
        <f t="shared" si="65"/>
        <v>0</v>
      </c>
      <c r="L147" s="88">
        <f t="shared" si="66"/>
        <v>0</v>
      </c>
      <c r="M147" s="62">
        <f t="shared" si="67"/>
        <v>0</v>
      </c>
      <c r="N147" s="102" t="str">
        <f t="shared" si="68"/>
        <v/>
      </c>
      <c r="O147" s="90">
        <f t="shared" si="69"/>
        <v>0</v>
      </c>
      <c r="P147" s="91" t="str">
        <f>IFERROR(VLOOKUP($B147,Annuaire_roster!$B:$G,MATCH(P$1,Annuaire_roster!$B$1:$G$1,0),0),"-")</f>
        <v>Google Leads</v>
      </c>
      <c r="Q147" s="100">
        <v>44721</v>
      </c>
      <c r="R147" s="10">
        <f t="shared" si="70"/>
        <v>0</v>
      </c>
      <c r="S147" s="10">
        <f t="shared" si="71"/>
        <v>0</v>
      </c>
      <c r="T147" s="16" t="str">
        <f t="shared" si="72"/>
        <v>Sem - 24</v>
      </c>
      <c r="U147" s="16" t="str">
        <f t="shared" si="73"/>
        <v>Juin</v>
      </c>
      <c r="V147" s="11" t="str">
        <f t="shared" si="74"/>
        <v>2026</v>
      </c>
      <c r="W147" s="9"/>
      <c r="X147" s="5">
        <f t="shared" si="75"/>
        <v>0</v>
      </c>
      <c r="Y147" s="12" t="str">
        <f>IFERROR(VLOOKUP(B147,Annuaire_roster!B:E,4,0),"-")</f>
        <v>OUAQERROUCH Nour-El Houda</v>
      </c>
      <c r="Z147" s="12" t="str">
        <f>IFERROR(VLOOKUP(B147,Annuaire_roster!B:F,3,0),"-")</f>
        <v>Google Leads</v>
      </c>
      <c r="AA147" s="12" t="str">
        <f>IFERROR(VLOOKUP(B147,Annuaire_roster!B:I,6,0),"-")</f>
        <v>Forfaitaire</v>
      </c>
      <c r="AB147" s="142" t="str">
        <f t="shared" si="76"/>
        <v/>
      </c>
      <c r="AC147" s="142" t="str">
        <f t="shared" si="77"/>
        <v/>
      </c>
      <c r="AD147" s="142" t="str">
        <f t="shared" si="78"/>
        <v/>
      </c>
      <c r="AE147" s="143" t="str">
        <f t="shared" si="79"/>
        <v/>
      </c>
      <c r="AF147" s="63"/>
      <c r="AG147" s="10"/>
    </row>
    <row r="148" spans="1:33" hidden="1" x14ac:dyDescent="0.2">
      <c r="A148" s="70">
        <f>VLOOKUP(B148,Annuaire_roster!B:F,5,0)</f>
        <v>1274</v>
      </c>
      <c r="B148" s="166" t="s">
        <v>141</v>
      </c>
      <c r="C148" s="61"/>
      <c r="D148" s="61">
        <f t="array" ref="D148">IFERROR(INDEX(Planning2[],MATCH(1,(Planning2[Nom]=B148)*(Planning2[Date]=Q148),0),3),"-")</f>
        <v>0.29166666666666669</v>
      </c>
      <c r="E148" s="38"/>
      <c r="F148" s="38">
        <f t="array" ref="F148">IFERROR(INDEX(Planning2[],MATCH(1,(Planning2[Nom]=B148)*(Planning2[Date]=Q148),0),4),"-")</f>
        <v>0.70833333333333337</v>
      </c>
      <c r="G148" s="88"/>
      <c r="H148" s="88"/>
      <c r="I148" s="209" t="str">
        <f t="shared" si="64"/>
        <v/>
      </c>
      <c r="J148" s="88"/>
      <c r="K148" s="89">
        <f t="shared" si="65"/>
        <v>0</v>
      </c>
      <c r="L148" s="88">
        <f t="shared" si="66"/>
        <v>0</v>
      </c>
      <c r="M148" s="62" t="str">
        <f t="shared" si="67"/>
        <v>Abs</v>
      </c>
      <c r="N148" s="102" t="str">
        <f t="shared" si="68"/>
        <v/>
      </c>
      <c r="O148" s="90">
        <f t="shared" si="69"/>
        <v>0.375</v>
      </c>
      <c r="P148" s="91" t="str">
        <f>IFERROR(VLOOKUP($B148,Annuaire_roster!$B:$G,MATCH(P$1,Annuaire_roster!$B$1:$G$1,0),0),"-")</f>
        <v>Google Leads</v>
      </c>
      <c r="Q148" s="100">
        <v>44721</v>
      </c>
      <c r="R148" s="10">
        <f t="shared" si="70"/>
        <v>0.375</v>
      </c>
      <c r="S148" s="10">
        <f t="shared" si="71"/>
        <v>0.375</v>
      </c>
      <c r="T148" s="16" t="str">
        <f t="shared" si="72"/>
        <v>Sem - 24</v>
      </c>
      <c r="U148" s="16" t="str">
        <f t="shared" si="73"/>
        <v>Juin</v>
      </c>
      <c r="V148" s="11" t="str">
        <f t="shared" si="74"/>
        <v>2026</v>
      </c>
      <c r="W148" s="9"/>
      <c r="X148" s="5">
        <f t="shared" si="75"/>
        <v>0</v>
      </c>
      <c r="Y148" s="12" t="str">
        <f>IFERROR(VLOOKUP(B148,Annuaire_roster!B:E,4,0),"-")</f>
        <v>OUAQERROUCH Nour-El Houda</v>
      </c>
      <c r="Z148" s="12" t="str">
        <f>IFERROR(VLOOKUP(B148,Annuaire_roster!B:F,3,0),"-")</f>
        <v>Google Leads</v>
      </c>
      <c r="AA148" s="12" t="str">
        <f>IFERROR(VLOOKUP(B148,Annuaire_roster!B:I,6,0),"-")</f>
        <v>Forfaitaire</v>
      </c>
      <c r="AB148" s="142" t="str">
        <f t="shared" si="76"/>
        <v/>
      </c>
      <c r="AC148" s="142" t="str">
        <f t="shared" si="77"/>
        <v/>
      </c>
      <c r="AD148" s="142" t="str">
        <f t="shared" si="78"/>
        <v/>
      </c>
      <c r="AE148" s="143" t="str">
        <f t="shared" si="79"/>
        <v/>
      </c>
      <c r="AF148" s="63"/>
      <c r="AG148" s="10"/>
    </row>
    <row r="149" spans="1:33" hidden="1" x14ac:dyDescent="0.2">
      <c r="A149" s="70">
        <f>VLOOKUP(B149,Annuaire_roster!B:F,5,0)</f>
        <v>1165</v>
      </c>
      <c r="B149" s="166" t="s">
        <v>120</v>
      </c>
      <c r="C149" s="61"/>
      <c r="D149" s="61">
        <f t="array" ref="D149">IFERROR(INDEX(Planning2[],MATCH(1,(Planning2[Nom]=B149)*(Planning2[Date]=Q149),0),3),"-")</f>
        <v>0.45833333333333331</v>
      </c>
      <c r="E149" s="38"/>
      <c r="F149" s="38">
        <f t="array" ref="F149">IFERROR(INDEX(Planning2[],MATCH(1,(Planning2[Nom]=B149)*(Planning2[Date]=Q149),0),4),"-")</f>
        <v>0.83333333333333337</v>
      </c>
      <c r="G149" s="88"/>
      <c r="H149" s="88"/>
      <c r="I149" s="209" t="str">
        <f t="shared" si="64"/>
        <v/>
      </c>
      <c r="J149" s="88"/>
      <c r="K149" s="89">
        <f t="shared" si="65"/>
        <v>0</v>
      </c>
      <c r="L149" s="88">
        <f t="shared" si="66"/>
        <v>0</v>
      </c>
      <c r="M149" s="62" t="str">
        <f t="shared" si="67"/>
        <v>Abs</v>
      </c>
      <c r="N149" s="102" t="str">
        <f t="shared" si="68"/>
        <v/>
      </c>
      <c r="O149" s="90">
        <f t="shared" si="69"/>
        <v>0.33333333333333337</v>
      </c>
      <c r="P149" s="91" t="str">
        <f>IFERROR(VLOOKUP($B149,Annuaire_roster!$B:$G,MATCH(P$1,Annuaire_roster!$B$1:$G$1,0),0),"-")</f>
        <v>Google Leads</v>
      </c>
      <c r="Q149" s="100">
        <v>44721</v>
      </c>
      <c r="R149" s="10">
        <f t="shared" si="70"/>
        <v>0.33333333333333337</v>
      </c>
      <c r="S149" s="10">
        <f t="shared" si="71"/>
        <v>0.33333333333333337</v>
      </c>
      <c r="T149" s="16" t="str">
        <f t="shared" si="72"/>
        <v>Sem - 24</v>
      </c>
      <c r="U149" s="16" t="str">
        <f t="shared" si="73"/>
        <v>Juin</v>
      </c>
      <c r="V149" s="11" t="str">
        <f t="shared" si="74"/>
        <v>2026</v>
      </c>
      <c r="W149" s="9"/>
      <c r="X149" s="5">
        <f t="shared" si="75"/>
        <v>0</v>
      </c>
      <c r="Y149" s="12" t="str">
        <f>IFERROR(VLOOKUP(B149,Annuaire_roster!B:E,4,0),"-")</f>
        <v>OUAQERROUCH Nour-El Houda</v>
      </c>
      <c r="Z149" s="12" t="str">
        <f>IFERROR(VLOOKUP(B149,Annuaire_roster!B:F,3,0),"-")</f>
        <v>Google Leads</v>
      </c>
      <c r="AA149" s="12" t="str">
        <f>IFERROR(VLOOKUP(B149,Annuaire_roster!B:I,6,0),"-")</f>
        <v>Forfaitaire</v>
      </c>
      <c r="AB149" s="142" t="str">
        <f t="shared" si="76"/>
        <v/>
      </c>
      <c r="AC149" s="142" t="str">
        <f t="shared" si="77"/>
        <v/>
      </c>
      <c r="AD149" s="142" t="str">
        <f t="shared" si="78"/>
        <v/>
      </c>
      <c r="AE149" s="143" t="str">
        <f t="shared" si="79"/>
        <v/>
      </c>
      <c r="AF149" s="63"/>
      <c r="AG149" s="10"/>
    </row>
    <row r="150" spans="1:33" hidden="1" x14ac:dyDescent="0.2">
      <c r="A150" s="70">
        <f>VLOOKUP(B150,Annuaire_roster!B:F,5,0)</f>
        <v>0</v>
      </c>
      <c r="B150" s="166" t="s">
        <v>197</v>
      </c>
      <c r="C150" s="61"/>
      <c r="D150" s="61">
        <f t="array" ref="D150">IFERROR(INDEX(Planning2[],MATCH(1,(Planning2[Nom]=B150)*(Planning2[Date]=Q150),0),3),"-")</f>
        <v>0.45833333333333331</v>
      </c>
      <c r="E150" s="38"/>
      <c r="F150" s="38">
        <f t="array" ref="F150">IFERROR(INDEX(Planning2[],MATCH(1,(Planning2[Nom]=B150)*(Planning2[Date]=Q150),0),4),"-")</f>
        <v>0.83333333333333337</v>
      </c>
      <c r="G150" s="88"/>
      <c r="H150" s="88"/>
      <c r="I150" s="209" t="str">
        <f t="shared" si="64"/>
        <v/>
      </c>
      <c r="J150" s="88"/>
      <c r="K150" s="89">
        <f t="shared" si="65"/>
        <v>0</v>
      </c>
      <c r="L150" s="88">
        <f t="shared" si="66"/>
        <v>0</v>
      </c>
      <c r="M150" s="62" t="str">
        <f t="shared" si="67"/>
        <v>Abs</v>
      </c>
      <c r="N150" s="102" t="str">
        <f t="shared" si="68"/>
        <v/>
      </c>
      <c r="O150" s="90">
        <f t="shared" si="69"/>
        <v>0.33333333333333337</v>
      </c>
      <c r="P150" s="91" t="str">
        <f>IFERROR(VLOOKUP($B150,Annuaire_roster!$B:$G,MATCH(P$1,Annuaire_roster!$B$1:$G$1,0),0),"-")</f>
        <v>Google Leads</v>
      </c>
      <c r="Q150" s="100">
        <v>44721</v>
      </c>
      <c r="R150" s="10">
        <f t="shared" si="70"/>
        <v>0.33333333333333337</v>
      </c>
      <c r="S150" s="10">
        <f t="shared" si="71"/>
        <v>0.33333333333333337</v>
      </c>
      <c r="T150" s="16" t="str">
        <f t="shared" si="72"/>
        <v>Sem - 24</v>
      </c>
      <c r="U150" s="16" t="str">
        <f t="shared" si="73"/>
        <v>Juin</v>
      </c>
      <c r="V150" s="11" t="str">
        <f t="shared" si="74"/>
        <v>2026</v>
      </c>
      <c r="W150" s="9"/>
      <c r="X150" s="5">
        <f t="shared" si="75"/>
        <v>0</v>
      </c>
      <c r="Y150" s="12">
        <f>IFERROR(VLOOKUP(B150,Annuaire_roster!B:E,4,0),"-")</f>
        <v>0</v>
      </c>
      <c r="Z150" s="12" t="str">
        <f>IFERROR(VLOOKUP(B150,Annuaire_roster!B:F,3,0),"-")</f>
        <v>Google Leads</v>
      </c>
      <c r="AA150" s="12">
        <f>IFERROR(VLOOKUP(B150,Annuaire_roster!B:I,6,0),"-")</f>
        <v>0</v>
      </c>
      <c r="AB150" s="142" t="str">
        <f t="shared" si="76"/>
        <v/>
      </c>
      <c r="AC150" s="142" t="str">
        <f t="shared" si="77"/>
        <v/>
      </c>
      <c r="AD150" s="142" t="str">
        <f t="shared" si="78"/>
        <v/>
      </c>
      <c r="AE150" s="143" t="str">
        <f t="shared" si="79"/>
        <v/>
      </c>
      <c r="AF150" s="63"/>
      <c r="AG150" s="10"/>
    </row>
    <row r="151" spans="1:33" hidden="1" x14ac:dyDescent="0.2">
      <c r="A151" s="70">
        <f>VLOOKUP(B151,Annuaire_roster!B:F,5,0)</f>
        <v>0</v>
      </c>
      <c r="B151" s="166" t="s">
        <v>216</v>
      </c>
      <c r="C151" s="61"/>
      <c r="D151" s="61">
        <f t="array" ref="D151">IFERROR(INDEX(Planning2[],MATCH(1,(Planning2[Nom]=B151)*(Planning2[Date]=Q151),0),3),"-")</f>
        <v>0.45833333333333331</v>
      </c>
      <c r="E151" s="38"/>
      <c r="F151" s="38">
        <f t="array" ref="F151">IFERROR(INDEX(Planning2[],MATCH(1,(Planning2[Nom]=B151)*(Planning2[Date]=Q151),0),4),"-")</f>
        <v>0.83333333333333337</v>
      </c>
      <c r="G151" s="88"/>
      <c r="H151" s="88"/>
      <c r="I151" s="209" t="str">
        <f t="shared" si="64"/>
        <v/>
      </c>
      <c r="J151" s="88"/>
      <c r="K151" s="89">
        <f t="shared" si="65"/>
        <v>0</v>
      </c>
      <c r="L151" s="88">
        <f t="shared" si="66"/>
        <v>0</v>
      </c>
      <c r="M151" s="62" t="str">
        <f t="shared" si="67"/>
        <v>Abs</v>
      </c>
      <c r="N151" s="102" t="str">
        <f t="shared" si="68"/>
        <v/>
      </c>
      <c r="O151" s="90">
        <f t="shared" si="69"/>
        <v>0.33333333333333337</v>
      </c>
      <c r="P151" s="91" t="str">
        <f>IFERROR(VLOOKUP($B151,Annuaire_roster!$B:$G,MATCH(P$1,Annuaire_roster!$B$1:$G$1,0),0),"-")</f>
        <v>Google Leads</v>
      </c>
      <c r="Q151" s="100">
        <v>44721</v>
      </c>
      <c r="R151" s="10">
        <f t="shared" si="70"/>
        <v>0.33333333333333337</v>
      </c>
      <c r="S151" s="10">
        <f t="shared" si="71"/>
        <v>0.33333333333333337</v>
      </c>
      <c r="T151" s="16" t="str">
        <f t="shared" si="72"/>
        <v>Sem - 24</v>
      </c>
      <c r="U151" s="16" t="str">
        <f t="shared" si="73"/>
        <v>Juin</v>
      </c>
      <c r="V151" s="11" t="str">
        <f t="shared" si="74"/>
        <v>2026</v>
      </c>
      <c r="W151" s="9"/>
      <c r="X151" s="5">
        <f t="shared" si="75"/>
        <v>0</v>
      </c>
      <c r="Y151" s="12">
        <f>IFERROR(VLOOKUP(B151,Annuaire_roster!B:E,4,0),"-")</f>
        <v>0</v>
      </c>
      <c r="Z151" s="12" t="str">
        <f>IFERROR(VLOOKUP(B151,Annuaire_roster!B:F,3,0),"-")</f>
        <v>Google Leads</v>
      </c>
      <c r="AA151" s="12">
        <f>IFERROR(VLOOKUP(B151,Annuaire_roster!B:I,6,0),"-")</f>
        <v>0</v>
      </c>
      <c r="AB151" s="142" t="str">
        <f t="shared" si="76"/>
        <v/>
      </c>
      <c r="AC151" s="142" t="str">
        <f t="shared" si="77"/>
        <v/>
      </c>
      <c r="AD151" s="142" t="str">
        <f t="shared" si="78"/>
        <v/>
      </c>
      <c r="AE151" s="143" t="str">
        <f t="shared" si="79"/>
        <v/>
      </c>
      <c r="AF151" s="63"/>
      <c r="AG151" s="10"/>
    </row>
    <row r="152" spans="1:33" hidden="1" x14ac:dyDescent="0.2">
      <c r="A152" s="70">
        <f>VLOOKUP(B152,Annuaire_roster!B:F,5,0)</f>
        <v>0</v>
      </c>
      <c r="B152" s="166" t="s">
        <v>217</v>
      </c>
      <c r="C152" s="61"/>
      <c r="D152" s="61" t="str">
        <f t="array" ref="D152">IFERROR(INDEX(Planning2[],MATCH(1,(Planning2[Nom]=B152)*(Planning2[Date]=Q152),0),3),"-")</f>
        <v>OFF</v>
      </c>
      <c r="E152" s="38"/>
      <c r="F152" s="38" t="str">
        <f t="array" ref="F152">IFERROR(INDEX(Planning2[],MATCH(1,(Planning2[Nom]=B152)*(Planning2[Date]=Q152),0),4),"-")</f>
        <v>OFF</v>
      </c>
      <c r="G152" s="88"/>
      <c r="H152" s="88"/>
      <c r="I152" s="209" t="str">
        <f t="shared" si="64"/>
        <v/>
      </c>
      <c r="J152" s="88"/>
      <c r="K152" s="89">
        <f t="shared" si="65"/>
        <v>0</v>
      </c>
      <c r="L152" s="88">
        <f t="shared" si="66"/>
        <v>0</v>
      </c>
      <c r="M152" s="62">
        <f t="shared" si="67"/>
        <v>0</v>
      </c>
      <c r="N152" s="102" t="str">
        <f t="shared" si="68"/>
        <v/>
      </c>
      <c r="O152" s="90">
        <f t="shared" si="69"/>
        <v>0</v>
      </c>
      <c r="P152" s="91" t="str">
        <f>IFERROR(VLOOKUP($B152,Annuaire_roster!$B:$G,MATCH(P$1,Annuaire_roster!$B$1:$G$1,0),0),"-")</f>
        <v>Google Leads</v>
      </c>
      <c r="Q152" s="100">
        <v>44721</v>
      </c>
      <c r="R152" s="10">
        <f t="shared" si="70"/>
        <v>0</v>
      </c>
      <c r="S152" s="10">
        <f t="shared" si="71"/>
        <v>0</v>
      </c>
      <c r="T152" s="16" t="str">
        <f t="shared" si="72"/>
        <v>Sem - 24</v>
      </c>
      <c r="U152" s="16" t="str">
        <f t="shared" si="73"/>
        <v>Juin</v>
      </c>
      <c r="V152" s="11" t="str">
        <f t="shared" si="74"/>
        <v>2026</v>
      </c>
      <c r="W152" s="9"/>
      <c r="X152" s="5">
        <f t="shared" si="75"/>
        <v>0</v>
      </c>
      <c r="Y152" s="12">
        <f>IFERROR(VLOOKUP(B152,Annuaire_roster!B:E,4,0),"-")</f>
        <v>0</v>
      </c>
      <c r="Z152" s="12" t="str">
        <f>IFERROR(VLOOKUP(B152,Annuaire_roster!B:F,3,0),"-")</f>
        <v>Google Leads</v>
      </c>
      <c r="AA152" s="12">
        <f>IFERROR(VLOOKUP(B152,Annuaire_roster!B:I,6,0),"-")</f>
        <v>0</v>
      </c>
      <c r="AB152" s="142" t="str">
        <f t="shared" si="76"/>
        <v/>
      </c>
      <c r="AC152" s="142" t="str">
        <f t="shared" si="77"/>
        <v/>
      </c>
      <c r="AD152" s="142" t="str">
        <f t="shared" si="78"/>
        <v/>
      </c>
      <c r="AE152" s="143" t="str">
        <f t="shared" si="79"/>
        <v/>
      </c>
      <c r="AF152" s="63"/>
      <c r="AG152" s="10"/>
    </row>
    <row r="153" spans="1:33" hidden="1" x14ac:dyDescent="0.2">
      <c r="A153" s="70">
        <f>VLOOKUP(B153,Annuaire_roster!B:F,5,0)</f>
        <v>0</v>
      </c>
      <c r="B153" s="166" t="s">
        <v>219</v>
      </c>
      <c r="C153" s="61"/>
      <c r="D153" s="61">
        <f t="array" ref="D153">IFERROR(INDEX(Planning2[],MATCH(1,(Planning2[Nom]=B153)*(Planning2[Date]=Q153),0),3),"-")</f>
        <v>0.45833333333333331</v>
      </c>
      <c r="E153" s="38"/>
      <c r="F153" s="38">
        <f t="array" ref="F153">IFERROR(INDEX(Planning2[],MATCH(1,(Planning2[Nom]=B153)*(Planning2[Date]=Q153),0),4),"-")</f>
        <v>0.83333333333333337</v>
      </c>
      <c r="G153" s="88"/>
      <c r="H153" s="88"/>
      <c r="I153" s="209" t="str">
        <f t="shared" si="64"/>
        <v/>
      </c>
      <c r="J153" s="88"/>
      <c r="K153" s="89">
        <f t="shared" si="65"/>
        <v>0</v>
      </c>
      <c r="L153" s="88">
        <f t="shared" si="66"/>
        <v>0</v>
      </c>
      <c r="M153" s="62" t="str">
        <f t="shared" si="67"/>
        <v>Abs</v>
      </c>
      <c r="N153" s="102" t="str">
        <f t="shared" si="68"/>
        <v/>
      </c>
      <c r="O153" s="90">
        <f t="shared" si="69"/>
        <v>0.33333333333333337</v>
      </c>
      <c r="P153" s="91" t="str">
        <f>IFERROR(VLOOKUP($B153,Annuaire_roster!$B:$G,MATCH(P$1,Annuaire_roster!$B$1:$G$1,0),0),"-")</f>
        <v>Google Leads</v>
      </c>
      <c r="Q153" s="100">
        <v>44721</v>
      </c>
      <c r="R153" s="10">
        <f t="shared" si="70"/>
        <v>0.33333333333333337</v>
      </c>
      <c r="S153" s="10">
        <f t="shared" si="71"/>
        <v>0.33333333333333337</v>
      </c>
      <c r="T153" s="16" t="str">
        <f t="shared" si="72"/>
        <v>Sem - 24</v>
      </c>
      <c r="U153" s="16" t="str">
        <f t="shared" si="73"/>
        <v>Juin</v>
      </c>
      <c r="V153" s="11" t="str">
        <f t="shared" si="74"/>
        <v>2026</v>
      </c>
      <c r="W153" s="9"/>
      <c r="X153" s="5">
        <f t="shared" si="75"/>
        <v>0</v>
      </c>
      <c r="Y153" s="12">
        <f>IFERROR(VLOOKUP(B153,Annuaire_roster!B:E,4,0),"-")</f>
        <v>0</v>
      </c>
      <c r="Z153" s="12" t="str">
        <f>IFERROR(VLOOKUP(B153,Annuaire_roster!B:F,3,0),"-")</f>
        <v>Google Leads</v>
      </c>
      <c r="AA153" s="12">
        <f>IFERROR(VLOOKUP(B153,Annuaire_roster!B:I,6,0),"-")</f>
        <v>0</v>
      </c>
      <c r="AB153" s="142" t="str">
        <f t="shared" si="76"/>
        <v/>
      </c>
      <c r="AC153" s="142" t="str">
        <f t="shared" si="77"/>
        <v/>
      </c>
      <c r="AD153" s="142" t="str">
        <f t="shared" si="78"/>
        <v/>
      </c>
      <c r="AE153" s="143" t="str">
        <f t="shared" si="79"/>
        <v/>
      </c>
      <c r="AF153" s="63"/>
      <c r="AG153" s="10"/>
    </row>
    <row r="154" spans="1:33" hidden="1" x14ac:dyDescent="0.2">
      <c r="A154" s="70">
        <f>VLOOKUP(B154,Annuaire_roster!B:F,5,0)</f>
        <v>0</v>
      </c>
      <c r="B154" s="166" t="s">
        <v>221</v>
      </c>
      <c r="C154" s="61"/>
      <c r="D154" s="61">
        <f t="array" ref="D154">IFERROR(INDEX(Planning2[],MATCH(1,(Planning2[Nom]=B154)*(Planning2[Date]=Q154),0),3),"-")</f>
        <v>0.45833333333333331</v>
      </c>
      <c r="E154" s="38"/>
      <c r="F154" s="38">
        <f t="array" ref="F154">IFERROR(INDEX(Planning2[],MATCH(1,(Planning2[Nom]=B154)*(Planning2[Date]=Q154),0),4),"-")</f>
        <v>0.83333333333333337</v>
      </c>
      <c r="G154" s="88"/>
      <c r="H154" s="88"/>
      <c r="I154" s="209" t="str">
        <f t="shared" si="64"/>
        <v/>
      </c>
      <c r="J154" s="88"/>
      <c r="K154" s="89">
        <f t="shared" si="65"/>
        <v>0</v>
      </c>
      <c r="L154" s="88">
        <f t="shared" si="66"/>
        <v>0</v>
      </c>
      <c r="M154" s="62" t="str">
        <f t="shared" si="67"/>
        <v>Abs</v>
      </c>
      <c r="N154" s="102" t="str">
        <f t="shared" si="68"/>
        <v/>
      </c>
      <c r="O154" s="90">
        <f t="shared" si="69"/>
        <v>0.33333333333333337</v>
      </c>
      <c r="P154" s="91" t="str">
        <f>IFERROR(VLOOKUP($B154,Annuaire_roster!$B:$G,MATCH(P$1,Annuaire_roster!$B$1:$G$1,0),0),"-")</f>
        <v>Google Leads</v>
      </c>
      <c r="Q154" s="100">
        <v>44721</v>
      </c>
      <c r="R154" s="10">
        <f t="shared" si="70"/>
        <v>0.33333333333333337</v>
      </c>
      <c r="S154" s="10">
        <f t="shared" si="71"/>
        <v>0.33333333333333337</v>
      </c>
      <c r="T154" s="16" t="str">
        <f t="shared" si="72"/>
        <v>Sem - 24</v>
      </c>
      <c r="U154" s="16" t="str">
        <f t="shared" si="73"/>
        <v>Juin</v>
      </c>
      <c r="V154" s="11" t="str">
        <f t="shared" si="74"/>
        <v>2026</v>
      </c>
      <c r="W154" s="9"/>
      <c r="X154" s="5">
        <f t="shared" si="75"/>
        <v>0</v>
      </c>
      <c r="Y154" s="12">
        <f>IFERROR(VLOOKUP(B154,Annuaire_roster!B:E,4,0),"-")</f>
        <v>0</v>
      </c>
      <c r="Z154" s="12" t="str">
        <f>IFERROR(VLOOKUP(B154,Annuaire_roster!B:F,3,0),"-")</f>
        <v>Google Leads</v>
      </c>
      <c r="AA154" s="12">
        <f>IFERROR(VLOOKUP(B154,Annuaire_roster!B:I,6,0),"-")</f>
        <v>0</v>
      </c>
      <c r="AB154" s="142" t="str">
        <f t="shared" si="76"/>
        <v/>
      </c>
      <c r="AC154" s="142" t="str">
        <f t="shared" si="77"/>
        <v/>
      </c>
      <c r="AD154" s="142" t="str">
        <f t="shared" si="78"/>
        <v/>
      </c>
      <c r="AE154" s="143" t="str">
        <f t="shared" si="79"/>
        <v/>
      </c>
      <c r="AF154" s="63"/>
      <c r="AG154" s="10"/>
    </row>
    <row r="155" spans="1:33" hidden="1" x14ac:dyDescent="0.2">
      <c r="A155" s="70">
        <f>VLOOKUP(B155,Annuaire_roster!B:F,5,0)</f>
        <v>397</v>
      </c>
      <c r="B155" s="166" t="s">
        <v>215</v>
      </c>
      <c r="C155" s="61"/>
      <c r="D155" s="61" t="str">
        <f t="array" ref="D155">IFERROR(INDEX(Planning2[],MATCH(1,(Planning2[Nom]=B155)*(Planning2[Date]=Q155),0),3),"-")</f>
        <v>Congé</v>
      </c>
      <c r="E155" s="38"/>
      <c r="F155" s="38" t="str">
        <f t="array" ref="F155">IFERROR(INDEX(Planning2[],MATCH(1,(Planning2[Nom]=B155)*(Planning2[Date]=Q155),0),4),"-")</f>
        <v>Congé</v>
      </c>
      <c r="G155" s="88"/>
      <c r="H155" s="88"/>
      <c r="I155" s="209" t="str">
        <f t="shared" si="64"/>
        <v/>
      </c>
      <c r="J155" s="88"/>
      <c r="K155" s="89">
        <f t="shared" si="65"/>
        <v>0</v>
      </c>
      <c r="L155" s="88">
        <f t="shared" si="66"/>
        <v>0</v>
      </c>
      <c r="M155" s="62">
        <f t="shared" si="67"/>
        <v>0</v>
      </c>
      <c r="N155" s="102" t="str">
        <f t="shared" si="68"/>
        <v/>
      </c>
      <c r="O155" s="90">
        <f t="shared" si="69"/>
        <v>0</v>
      </c>
      <c r="P155" s="91" t="str">
        <f>IFERROR(VLOOKUP($B155,Annuaire_roster!$B:$G,MATCH(P$1,Annuaire_roster!$B$1:$G$1,0),0),"-")</f>
        <v>Google Leads</v>
      </c>
      <c r="Q155" s="100">
        <v>44721</v>
      </c>
      <c r="R155" s="10">
        <f t="shared" si="70"/>
        <v>0</v>
      </c>
      <c r="S155" s="10">
        <f t="shared" si="71"/>
        <v>0</v>
      </c>
      <c r="T155" s="16" t="str">
        <f t="shared" si="72"/>
        <v>Sem - 24</v>
      </c>
      <c r="U155" s="16" t="str">
        <f t="shared" si="73"/>
        <v>Juin</v>
      </c>
      <c r="V155" s="11" t="str">
        <f t="shared" si="74"/>
        <v>2026</v>
      </c>
      <c r="W155" s="9"/>
      <c r="X155" s="5">
        <f t="shared" si="75"/>
        <v>0</v>
      </c>
      <c r="Y155" s="12" t="str">
        <f>IFERROR(VLOOKUP(B155,Annuaire_roster!B:E,4,0),"-")</f>
        <v>OUAQERROUCH Nour-El Houda</v>
      </c>
      <c r="Z155" s="12" t="str">
        <f>IFERROR(VLOOKUP(B155,Annuaire_roster!B:F,3,0),"-")</f>
        <v>Google Leads</v>
      </c>
      <c r="AA155" s="12" t="str">
        <f>IFERROR(VLOOKUP(B155,Annuaire_roster!B:I,6,0),"-")</f>
        <v>Forfaitaire</v>
      </c>
      <c r="AB155" s="142">
        <f t="shared" si="76"/>
        <v>0.33333333333333298</v>
      </c>
      <c r="AC155" s="142" t="str">
        <f t="shared" si="77"/>
        <v/>
      </c>
      <c r="AD155" s="142" t="str">
        <f t="shared" si="78"/>
        <v/>
      </c>
      <c r="AE155" s="143" t="str">
        <f t="shared" si="79"/>
        <v/>
      </c>
      <c r="AF155" s="63"/>
      <c r="AG155" s="10"/>
    </row>
    <row r="156" spans="1:33" hidden="1" x14ac:dyDescent="0.2">
      <c r="A156" s="70">
        <f>VLOOKUP(B156,Annuaire_roster!B:F,5,0)</f>
        <v>1132</v>
      </c>
      <c r="B156" s="166" t="s">
        <v>88</v>
      </c>
      <c r="C156" s="61"/>
      <c r="D156" s="61" t="str">
        <f t="array" ref="D156">IFERROR(INDEX(Planning2[],MATCH(1,(Planning2[Nom]=B156)*(Planning2[Date]=Q156),0),3),"-")</f>
        <v>OFF</v>
      </c>
      <c r="E156" s="38"/>
      <c r="F156" s="38" t="str">
        <f t="array" ref="F156">IFERROR(INDEX(Planning2[],MATCH(1,(Planning2[Nom]=B156)*(Planning2[Date]=Q156),0),4),"-")</f>
        <v>OFF</v>
      </c>
      <c r="G156" s="88"/>
      <c r="H156" s="88"/>
      <c r="I156" s="209" t="str">
        <f t="shared" si="64"/>
        <v/>
      </c>
      <c r="J156" s="88"/>
      <c r="K156" s="89">
        <f t="shared" si="65"/>
        <v>0</v>
      </c>
      <c r="L156" s="88">
        <f t="shared" si="66"/>
        <v>0</v>
      </c>
      <c r="M156" s="62">
        <f t="shared" si="67"/>
        <v>0</v>
      </c>
      <c r="N156" s="102" t="str">
        <f t="shared" si="68"/>
        <v/>
      </c>
      <c r="O156" s="90">
        <f t="shared" si="69"/>
        <v>0</v>
      </c>
      <c r="P156" s="91" t="str">
        <f>IFERROR(VLOOKUP($B156,Annuaire_roster!$B:$G,MATCH(P$1,Annuaire_roster!$B$1:$G$1,0),0),"-")</f>
        <v>Google Leads</v>
      </c>
      <c r="Q156" s="100">
        <v>44721</v>
      </c>
      <c r="R156" s="10">
        <f t="shared" si="70"/>
        <v>0</v>
      </c>
      <c r="S156" s="10">
        <f t="shared" si="71"/>
        <v>0</v>
      </c>
      <c r="T156" s="16" t="str">
        <f t="shared" si="72"/>
        <v>Sem - 24</v>
      </c>
      <c r="U156" s="16" t="str">
        <f t="shared" si="73"/>
        <v>Juin</v>
      </c>
      <c r="V156" s="11" t="str">
        <f t="shared" si="74"/>
        <v>2026</v>
      </c>
      <c r="W156" s="9"/>
      <c r="X156" s="5">
        <f t="shared" si="75"/>
        <v>0</v>
      </c>
      <c r="Y156" s="12" t="str">
        <f>IFERROR(VLOOKUP(B156,Annuaire_roster!B:E,4,0),"-")</f>
        <v>CHOUIFI Mustapha</v>
      </c>
      <c r="Z156" s="12" t="str">
        <f>IFERROR(VLOOKUP(B156,Annuaire_roster!B:F,3,0),"-")</f>
        <v>Google Leads</v>
      </c>
      <c r="AA156" s="12" t="str">
        <f>IFERROR(VLOOKUP(B156,Annuaire_roster!B:I,6,0),"-")</f>
        <v>Forfaitaire</v>
      </c>
      <c r="AB156" s="142" t="str">
        <f t="shared" si="76"/>
        <v/>
      </c>
      <c r="AC156" s="142" t="str">
        <f t="shared" si="77"/>
        <v/>
      </c>
      <c r="AD156" s="142" t="str">
        <f t="shared" si="78"/>
        <v/>
      </c>
      <c r="AE156" s="143" t="str">
        <f t="shared" si="79"/>
        <v/>
      </c>
      <c r="AF156" s="63"/>
      <c r="AG156" s="10"/>
    </row>
    <row r="157" spans="1:33" hidden="1" x14ac:dyDescent="0.2">
      <c r="A157" s="70">
        <f>VLOOKUP(B157,Annuaire_roster!B:F,5,0)</f>
        <v>742</v>
      </c>
      <c r="B157" s="166" t="s">
        <v>76</v>
      </c>
      <c r="C157" s="61"/>
      <c r="D157" s="61">
        <f t="array" ref="D157">IFERROR(INDEX(Planning2[],MATCH(1,(Planning2[Nom]=B157)*(Planning2[Date]=Q157),0),3),"-")</f>
        <v>0.29166666666666669</v>
      </c>
      <c r="E157" s="38"/>
      <c r="F157" s="38">
        <f t="array" ref="F157">IFERROR(INDEX(Planning2[],MATCH(1,(Planning2[Nom]=B157)*(Planning2[Date]=Q157),0),4),"-")</f>
        <v>0.70833333333333337</v>
      </c>
      <c r="G157" s="88"/>
      <c r="H157" s="88"/>
      <c r="I157" s="209" t="str">
        <f t="shared" si="64"/>
        <v/>
      </c>
      <c r="J157" s="88"/>
      <c r="K157" s="89">
        <f t="shared" si="65"/>
        <v>0</v>
      </c>
      <c r="L157" s="88">
        <f t="shared" si="66"/>
        <v>0</v>
      </c>
      <c r="M157" s="62" t="str">
        <f t="shared" si="67"/>
        <v>Abs</v>
      </c>
      <c r="N157" s="102" t="str">
        <f t="shared" si="68"/>
        <v/>
      </c>
      <c r="O157" s="90">
        <f t="shared" si="69"/>
        <v>0.375</v>
      </c>
      <c r="P157" s="91" t="str">
        <f>IFERROR(VLOOKUP($B157,Annuaire_roster!$B:$G,MATCH(P$1,Annuaire_roster!$B$1:$G$1,0),0),"-")</f>
        <v>Google Leads</v>
      </c>
      <c r="Q157" s="100">
        <v>44721</v>
      </c>
      <c r="R157" s="10">
        <f t="shared" si="70"/>
        <v>0.375</v>
      </c>
      <c r="S157" s="10">
        <f t="shared" si="71"/>
        <v>0.375</v>
      </c>
      <c r="T157" s="16" t="str">
        <f t="shared" si="72"/>
        <v>Sem - 24</v>
      </c>
      <c r="U157" s="16" t="str">
        <f t="shared" si="73"/>
        <v>Juin</v>
      </c>
      <c r="V157" s="11" t="str">
        <f t="shared" si="74"/>
        <v>2026</v>
      </c>
      <c r="W157" s="9"/>
      <c r="X157" s="5">
        <f t="shared" si="75"/>
        <v>0</v>
      </c>
      <c r="Y157" s="12" t="str">
        <f>IFERROR(VLOOKUP(B157,Annuaire_roster!B:E,4,0),"-")</f>
        <v>OUAQERROUCH Nour-El Houda</v>
      </c>
      <c r="Z157" s="12" t="str">
        <f>IFERROR(VLOOKUP(B157,Annuaire_roster!B:F,3,0),"-")</f>
        <v>Google Leads</v>
      </c>
      <c r="AA157" s="12" t="str">
        <f>IFERROR(VLOOKUP(B157,Annuaire_roster!B:I,6,0),"-")</f>
        <v>Forfaitaire</v>
      </c>
      <c r="AB157" s="142" t="str">
        <f t="shared" si="76"/>
        <v/>
      </c>
      <c r="AC157" s="142" t="str">
        <f t="shared" si="77"/>
        <v/>
      </c>
      <c r="AD157" s="142" t="str">
        <f t="shared" si="78"/>
        <v/>
      </c>
      <c r="AE157" s="143" t="str">
        <f t="shared" si="79"/>
        <v/>
      </c>
      <c r="AF157" s="63"/>
      <c r="AG157" s="10"/>
    </row>
    <row r="158" spans="1:33" hidden="1" x14ac:dyDescent="0.2">
      <c r="A158" s="70">
        <f>VLOOKUP(B158,Annuaire_roster!B:F,5,0)</f>
        <v>1009</v>
      </c>
      <c r="B158" s="166" t="s">
        <v>91</v>
      </c>
      <c r="C158" s="61"/>
      <c r="D158" s="61">
        <f t="array" ref="D158">IFERROR(INDEX(Planning2[],MATCH(1,(Planning2[Nom]=B158)*(Planning2[Date]=Q158),0),3),"-")</f>
        <v>0.29166666666666669</v>
      </c>
      <c r="E158" s="38"/>
      <c r="F158" s="38">
        <f t="array" ref="F158">IFERROR(INDEX(Planning2[],MATCH(1,(Planning2[Nom]=B158)*(Planning2[Date]=Q158),0),4),"-")</f>
        <v>0.70833333333333337</v>
      </c>
      <c r="G158" s="88"/>
      <c r="H158" s="88"/>
      <c r="I158" s="209" t="str">
        <f t="shared" si="64"/>
        <v/>
      </c>
      <c r="J158" s="88"/>
      <c r="K158" s="89">
        <f t="shared" si="65"/>
        <v>0</v>
      </c>
      <c r="L158" s="88">
        <f t="shared" si="66"/>
        <v>0</v>
      </c>
      <c r="M158" s="62" t="str">
        <f t="shared" si="67"/>
        <v>Abs</v>
      </c>
      <c r="N158" s="102" t="str">
        <f t="shared" si="68"/>
        <v/>
      </c>
      <c r="O158" s="90">
        <f t="shared" si="69"/>
        <v>0.375</v>
      </c>
      <c r="P158" s="91" t="str">
        <f>IFERROR(VLOOKUP($B158,Annuaire_roster!$B:$G,MATCH(P$1,Annuaire_roster!$B$1:$G$1,0),0),"-")</f>
        <v>Google Leads</v>
      </c>
      <c r="Q158" s="100">
        <v>44721</v>
      </c>
      <c r="R158" s="10">
        <f t="shared" si="70"/>
        <v>0.375</v>
      </c>
      <c r="S158" s="10">
        <f t="shared" si="71"/>
        <v>0.375</v>
      </c>
      <c r="T158" s="16" t="str">
        <f t="shared" si="72"/>
        <v>Sem - 24</v>
      </c>
      <c r="U158" s="16" t="str">
        <f t="shared" si="73"/>
        <v>Juin</v>
      </c>
      <c r="V158" s="11" t="str">
        <f t="shared" si="74"/>
        <v>2026</v>
      </c>
      <c r="W158" s="9"/>
      <c r="X158" s="5">
        <f t="shared" si="75"/>
        <v>0</v>
      </c>
      <c r="Y158" s="12" t="str">
        <f>IFERROR(VLOOKUP(B158,Annuaire_roster!B:E,4,0),"-")</f>
        <v>OUAQERROUCH Nour-El Houda</v>
      </c>
      <c r="Z158" s="12" t="str">
        <f>IFERROR(VLOOKUP(B158,Annuaire_roster!B:F,3,0),"-")</f>
        <v>Google Leads</v>
      </c>
      <c r="AA158" s="12" t="str">
        <f>IFERROR(VLOOKUP(B158,Annuaire_roster!B:I,6,0),"-")</f>
        <v>Forfaitaire</v>
      </c>
      <c r="AB158" s="142" t="str">
        <f t="shared" si="76"/>
        <v/>
      </c>
      <c r="AC158" s="142" t="str">
        <f t="shared" si="77"/>
        <v/>
      </c>
      <c r="AD158" s="142" t="str">
        <f t="shared" si="78"/>
        <v/>
      </c>
      <c r="AE158" s="143" t="str">
        <f t="shared" si="79"/>
        <v/>
      </c>
      <c r="AF158" s="63"/>
      <c r="AG158" s="10"/>
    </row>
    <row r="159" spans="1:33" hidden="1" x14ac:dyDescent="0.2">
      <c r="A159" s="70">
        <f>VLOOKUP(B159,Annuaire_roster!B:F,5,0)</f>
        <v>0</v>
      </c>
      <c r="B159" s="166" t="s">
        <v>198</v>
      </c>
      <c r="C159" s="61"/>
      <c r="D159" s="61">
        <f t="array" ref="D159">IFERROR(INDEX(Planning2[],MATCH(1,(Planning2[Nom]=B159)*(Planning2[Date]=Q159),0),3),"-")</f>
        <v>0.29166666666666669</v>
      </c>
      <c r="E159" s="38"/>
      <c r="F159" s="38">
        <f t="array" ref="F159">IFERROR(INDEX(Planning2[],MATCH(1,(Planning2[Nom]=B159)*(Planning2[Date]=Q159),0),4),"-")</f>
        <v>0.70833333333333337</v>
      </c>
      <c r="G159" s="88"/>
      <c r="H159" s="88"/>
      <c r="I159" s="209" t="str">
        <f t="shared" si="64"/>
        <v/>
      </c>
      <c r="J159" s="88"/>
      <c r="K159" s="89">
        <f t="shared" si="65"/>
        <v>0</v>
      </c>
      <c r="L159" s="88">
        <f t="shared" si="66"/>
        <v>0</v>
      </c>
      <c r="M159" s="62" t="str">
        <f t="shared" si="67"/>
        <v>Abs</v>
      </c>
      <c r="N159" s="102" t="str">
        <f t="shared" si="68"/>
        <v/>
      </c>
      <c r="O159" s="90">
        <f t="shared" si="69"/>
        <v>0.375</v>
      </c>
      <c r="P159" s="91" t="str">
        <f>IFERROR(VLOOKUP($B159,Annuaire_roster!$B:$G,MATCH(P$1,Annuaire_roster!$B$1:$G$1,0),0),"-")</f>
        <v>Google Leads</v>
      </c>
      <c r="Q159" s="100">
        <v>44721</v>
      </c>
      <c r="R159" s="10">
        <f t="shared" si="70"/>
        <v>0.375</v>
      </c>
      <c r="S159" s="10">
        <f t="shared" si="71"/>
        <v>0.375</v>
      </c>
      <c r="T159" s="16" t="str">
        <f t="shared" si="72"/>
        <v>Sem - 24</v>
      </c>
      <c r="U159" s="16" t="str">
        <f t="shared" si="73"/>
        <v>Juin</v>
      </c>
      <c r="V159" s="11" t="str">
        <f t="shared" si="74"/>
        <v>2026</v>
      </c>
      <c r="W159" s="9"/>
      <c r="X159" s="5">
        <f t="shared" si="75"/>
        <v>0</v>
      </c>
      <c r="Y159" s="12">
        <f>IFERROR(VLOOKUP(B159,Annuaire_roster!B:E,4,0),"-")</f>
        <v>0</v>
      </c>
      <c r="Z159" s="12" t="str">
        <f>IFERROR(VLOOKUP(B159,Annuaire_roster!B:F,3,0),"-")</f>
        <v>Google Leads</v>
      </c>
      <c r="AA159" s="12">
        <f>IFERROR(VLOOKUP(B159,Annuaire_roster!B:I,6,0),"-")</f>
        <v>0</v>
      </c>
      <c r="AB159" s="142" t="str">
        <f t="shared" si="76"/>
        <v/>
      </c>
      <c r="AC159" s="142" t="str">
        <f t="shared" si="77"/>
        <v/>
      </c>
      <c r="AD159" s="142" t="str">
        <f t="shared" si="78"/>
        <v/>
      </c>
      <c r="AE159" s="143" t="str">
        <f t="shared" si="79"/>
        <v/>
      </c>
      <c r="AF159" s="63"/>
      <c r="AG159" s="10"/>
    </row>
    <row r="160" spans="1:33" hidden="1" x14ac:dyDescent="0.2">
      <c r="A160" s="70">
        <f>VLOOKUP(B160,Annuaire_roster!B:F,5,0)</f>
        <v>0</v>
      </c>
      <c r="B160" s="166" t="s">
        <v>210</v>
      </c>
      <c r="C160" s="61"/>
      <c r="D160" s="61">
        <f t="array" ref="D160">IFERROR(INDEX(Planning2[],MATCH(1,(Planning2[Nom]=B160)*(Planning2[Date]=Q160),0),3),"-")</f>
        <v>0.29166666666666669</v>
      </c>
      <c r="E160" s="38"/>
      <c r="F160" s="38">
        <f t="array" ref="F160">IFERROR(INDEX(Planning2[],MATCH(1,(Planning2[Nom]=B160)*(Planning2[Date]=Q160),0),4),"-")</f>
        <v>0.70833333333333337</v>
      </c>
      <c r="G160" s="88"/>
      <c r="H160" s="88"/>
      <c r="I160" s="209" t="str">
        <f t="shared" si="64"/>
        <v/>
      </c>
      <c r="J160" s="88"/>
      <c r="K160" s="89">
        <f t="shared" si="65"/>
        <v>0</v>
      </c>
      <c r="L160" s="88">
        <f t="shared" si="66"/>
        <v>0</v>
      </c>
      <c r="M160" s="62" t="str">
        <f t="shared" si="67"/>
        <v>Abs</v>
      </c>
      <c r="N160" s="102" t="str">
        <f t="shared" si="68"/>
        <v/>
      </c>
      <c r="O160" s="90">
        <f t="shared" si="69"/>
        <v>0.375</v>
      </c>
      <c r="P160" s="91" t="str">
        <f>IFERROR(VLOOKUP($B160,Annuaire_roster!$B:$G,MATCH(P$1,Annuaire_roster!$B$1:$G$1,0),0),"-")</f>
        <v>Google Leads</v>
      </c>
      <c r="Q160" s="100">
        <v>44721</v>
      </c>
      <c r="R160" s="10">
        <f t="shared" si="70"/>
        <v>0.375</v>
      </c>
      <c r="S160" s="10">
        <f t="shared" si="71"/>
        <v>0.375</v>
      </c>
      <c r="T160" s="16" t="str">
        <f t="shared" si="72"/>
        <v>Sem - 24</v>
      </c>
      <c r="U160" s="16" t="str">
        <f t="shared" si="73"/>
        <v>Juin</v>
      </c>
      <c r="V160" s="11" t="str">
        <f t="shared" si="74"/>
        <v>2026</v>
      </c>
      <c r="W160" s="9"/>
      <c r="X160" s="5">
        <f t="shared" si="75"/>
        <v>0</v>
      </c>
      <c r="Y160" s="12">
        <f>IFERROR(VLOOKUP(B160,Annuaire_roster!B:E,4,0),"-")</f>
        <v>0</v>
      </c>
      <c r="Z160" s="12" t="str">
        <f>IFERROR(VLOOKUP(B160,Annuaire_roster!B:F,3,0),"-")</f>
        <v>Google Leads</v>
      </c>
      <c r="AA160" s="12">
        <f>IFERROR(VLOOKUP(B160,Annuaire_roster!B:I,6,0),"-")</f>
        <v>0</v>
      </c>
      <c r="AB160" s="142" t="str">
        <f t="shared" si="76"/>
        <v/>
      </c>
      <c r="AC160" s="142" t="str">
        <f t="shared" si="77"/>
        <v/>
      </c>
      <c r="AD160" s="142" t="str">
        <f t="shared" si="78"/>
        <v/>
      </c>
      <c r="AE160" s="143" t="str">
        <f t="shared" si="79"/>
        <v/>
      </c>
      <c r="AF160" s="63"/>
      <c r="AG160" s="10"/>
    </row>
    <row r="161" spans="1:33" hidden="1" x14ac:dyDescent="0.2">
      <c r="A161" s="70">
        <f>VLOOKUP(B161,Annuaire_roster!B:F,5,0)</f>
        <v>0</v>
      </c>
      <c r="B161" s="166" t="s">
        <v>220</v>
      </c>
      <c r="C161" s="61"/>
      <c r="D161" s="61" t="str">
        <f t="array" ref="D161">IFERROR(INDEX(Planning2[],MATCH(1,(Planning2[Nom]=B161)*(Planning2[Date]=Q161),0),3),"-")</f>
        <v>OFF</v>
      </c>
      <c r="E161" s="38"/>
      <c r="F161" s="38" t="str">
        <f t="array" ref="F161">IFERROR(INDEX(Planning2[],MATCH(1,(Planning2[Nom]=B161)*(Planning2[Date]=Q161),0),4),"-")</f>
        <v>OFF</v>
      </c>
      <c r="G161" s="88"/>
      <c r="H161" s="88"/>
      <c r="I161" s="209" t="str">
        <f t="shared" si="64"/>
        <v/>
      </c>
      <c r="J161" s="88"/>
      <c r="K161" s="89">
        <f t="shared" si="65"/>
        <v>0</v>
      </c>
      <c r="L161" s="88">
        <f t="shared" si="66"/>
        <v>0</v>
      </c>
      <c r="M161" s="62">
        <f t="shared" si="67"/>
        <v>0</v>
      </c>
      <c r="N161" s="102" t="str">
        <f t="shared" si="68"/>
        <v/>
      </c>
      <c r="O161" s="90">
        <f t="shared" si="69"/>
        <v>0</v>
      </c>
      <c r="P161" s="91" t="str">
        <f>IFERROR(VLOOKUP($B161,Annuaire_roster!$B:$G,MATCH(P$1,Annuaire_roster!$B$1:$G$1,0),0),"-")</f>
        <v>Google Leads</v>
      </c>
      <c r="Q161" s="100">
        <v>44721</v>
      </c>
      <c r="R161" s="10">
        <f t="shared" si="70"/>
        <v>0</v>
      </c>
      <c r="S161" s="10">
        <f t="shared" si="71"/>
        <v>0</v>
      </c>
      <c r="T161" s="16" t="str">
        <f t="shared" si="72"/>
        <v>Sem - 24</v>
      </c>
      <c r="U161" s="16" t="str">
        <f t="shared" si="73"/>
        <v>Juin</v>
      </c>
      <c r="V161" s="11" t="str">
        <f t="shared" si="74"/>
        <v>2026</v>
      </c>
      <c r="W161" s="9"/>
      <c r="X161" s="5">
        <f t="shared" si="75"/>
        <v>0</v>
      </c>
      <c r="Y161" s="12">
        <f>IFERROR(VLOOKUP(B161,Annuaire_roster!B:E,4,0),"-")</f>
        <v>0</v>
      </c>
      <c r="Z161" s="12" t="str">
        <f>IFERROR(VLOOKUP(B161,Annuaire_roster!B:F,3,0),"-")</f>
        <v>Google Leads</v>
      </c>
      <c r="AA161" s="12">
        <f>IFERROR(VLOOKUP(B161,Annuaire_roster!B:I,6,0),"-")</f>
        <v>0</v>
      </c>
      <c r="AB161" s="142" t="str">
        <f t="shared" si="76"/>
        <v/>
      </c>
      <c r="AC161" s="142" t="str">
        <f t="shared" si="77"/>
        <v/>
      </c>
      <c r="AD161" s="142" t="str">
        <f t="shared" si="78"/>
        <v/>
      </c>
      <c r="AE161" s="143" t="str">
        <f t="shared" si="79"/>
        <v/>
      </c>
      <c r="AF161" s="63"/>
      <c r="AG161" s="10"/>
    </row>
    <row r="162" spans="1:33" x14ac:dyDescent="0.2">
      <c r="A162" s="70">
        <f>VLOOKUP(B162,Annuaire_roster!B:F,5,0)</f>
        <v>364</v>
      </c>
      <c r="B162" s="166" t="s">
        <v>213</v>
      </c>
      <c r="C162" s="61"/>
      <c r="D162" s="61">
        <f t="array" ref="D162">IFERROR(INDEX(Planning2[],MATCH(1,(Planning2[Nom]=B162)*(Planning2[Date]=Q162),0),3),"-")</f>
        <v>0.29166666666666669</v>
      </c>
      <c r="E162" s="38"/>
      <c r="F162" s="38">
        <f t="array" ref="F162">IFERROR(INDEX(Planning2[],MATCH(1,(Planning2[Nom]=B162)*(Planning2[Date]=Q162),0),4),"-")</f>
        <v>0.66666666666666663</v>
      </c>
      <c r="G162" s="88"/>
      <c r="H162" s="88"/>
      <c r="I162" s="209" t="str">
        <f>IF(IF(OR(C162="",D162="Congé",D162="OFF",D162="Congé spécial"),"",IF(D162&gt;F162,D162-C162,IF(C162-D162&lt;0,0,C162-D162)))&lt;0.00068287037037037,"",IF(OR(D162="Congé",D162="OFF",C162="",D162="Congé spécial"),"",IF(D162&gt;F162,D162-C162,IF(C162-D162&lt;0,0,C162-D162))))</f>
        <v/>
      </c>
      <c r="J162" s="88"/>
      <c r="K162" s="89">
        <f>IF(SUM(H162:J162)&lt;0.00068287037037037,0,SUM(H162:J162))</f>
        <v>0</v>
      </c>
      <c r="L162" s="88">
        <f>IF(OR(F162="Congé",F162="OFF",M162="Abs",F162="Congé sans solde",F162="Férié",F162="Congé spécial",D162="Congé spécial"),0,IF(F162-E162&lt;0,0,IF(F162-E162&lt;=0.00068287037037037,0,F162-E162)))</f>
        <v>0</v>
      </c>
      <c r="M162" s="62" t="str">
        <f>IF(AND(O162&lt;&gt;0,C162=""),"Abs",0)</f>
        <v>Abs</v>
      </c>
      <c r="N162" s="102" t="str">
        <f>IFERROR(IF(OR(D162="OFF",D162="Congé",M162="Abs",D162="Congé sans solde",D162="Férié"),"",IF(O162-K162-L162&gt;O162,O162,IF(O162-K162-L162&lt;0,"",O162-K162-L162))),"")</f>
        <v/>
      </c>
      <c r="O162" s="90">
        <f>IF(AG162="2H Pause déjeuner",IF(F162-D162-0.0833333333333333&lt;0,F162-D162-0.0833333333333333+1,F162-D162-0.0833333333333333),IF(OR(AND(F162="OFF",D162="OFF"),AND(F162="Congé",D162="Congé"),AND(F162="Congé sans solde",D162="Congé sans solde"),AND(F162="Congé spécial",D162="Congé spécial"),AND(F162="Férié",D162="Férié"),AND(F162="OFF",D162="Congé"),AND(F162="OFF",D162="Congé sans solde"),AND(F162="OFF",D162="Congé spécial"),AND(F162="OFF",D162="Férié"),AND(F162="Congé",D162="OFF"),AND(F162="Congé",D162="Congé sans solde"),AND(F162="Congé",D162="Congé spécial"),AND(F162="Congé",D162="Férié"),AND(F162="Congé sans solde",D162="OFF"),AND(F162="Congé sans solde",D162="Congé"),AND(F162="Congé sans solde",D162="Congé spécial"),AND(F162="Congé sans solde",D162="Férié"),AND(F162="Congé spécial",D162="OFF"),AND(F162="Congé spécial",D162="Congé"),AND(F162="Congé spécial",D162="Congé sans solde"),AND(F162="Congé spécial",D162="Férié"),AND(F162="Férié",D162="OFF"),AND(F162="Férié",D162="Congé"),AND(F162="Férié",D162="Congé sans solde"),AND(F162="Férié",D162="Congé spécial")),0,IF(OR(F162="OFF",F162="Congé",F162="Congé spécial",F162="Congé sans solde",D162="OFF",D162="Congé",D162="Congé spécial",D162="Congé sans solde"),0.208333333333334,IF(AND(AG162="",F162-D162&lt;0),("24:00:00"-D162)+("00:00:00"+F162)-0.0416666666666667,IF(AND(OR(AG162="Allaitement",AG162="Sans déjeuner"),F162-D162&lt;0),("24:00:00"-D162)+("00:00:00"+F162),IF(AND(AG162="",F162-D162&gt;0.166666666666667),F162-D162-0.0416666666666667,IF(AND(OR(AG162="Allaitement",AG162="Sans déjeuner"),F162-D162&gt;0.166666666666667),F162-D162,F162-D162)))))))</f>
        <v>0.33333333333333326</v>
      </c>
      <c r="P162" s="91" t="str">
        <f>IFERROR(VLOOKUP($B162,Annuaire_roster!$B:$G,MATCH(P$1,Annuaire_roster!$B$1:$G$1,0),0),"-")</f>
        <v>Google Leads</v>
      </c>
      <c r="Q162" s="100">
        <v>44722</v>
      </c>
      <c r="R162" s="10">
        <f>IF(M162="Abs",O162,0)</f>
        <v>0.33333333333333326</v>
      </c>
      <c r="S162" s="10">
        <f>SUM(R162,L162,I162,J162,W162,H162)</f>
        <v>0.33333333333333326</v>
      </c>
      <c r="T162" s="16" t="str">
        <f>"Sem - "&amp;WEEKNUM(Q162,21)</f>
        <v>Sem - 24</v>
      </c>
      <c r="U162" s="16" t="str">
        <f>PROPER(TEXT(Q162,"mmmm"))</f>
        <v>Juin</v>
      </c>
      <c r="V162" s="11" t="str">
        <f>+TEXT(Q162,"aaa")</f>
        <v>2026</v>
      </c>
      <c r="W162" s="9"/>
      <c r="X162" s="5">
        <f>IFERROR(IF(M162="Abs",0,IF((D162-C162+E162-F162)&lt;0.000694444444444444,0,(D162-C162+E162-F162))),0)</f>
        <v>0</v>
      </c>
      <c r="Y162" s="12" t="str">
        <f>IFERROR(VLOOKUP(B162,Annuaire_roster!B:E,4,0),"-")</f>
        <v>OUAQERROUCH Nour-El Houda</v>
      </c>
      <c r="Z162" s="12" t="str">
        <f>IFERROR(VLOOKUP(B162,Annuaire_roster!B:F,3,0),"-")</f>
        <v>Google Leads</v>
      </c>
      <c r="AA162" s="12" t="str">
        <f>IFERROR(VLOOKUP(B162,Annuaire_roster!B:I,6,0),"-")</f>
        <v>Forfaitaire</v>
      </c>
      <c r="AB162" s="142" t="str">
        <f>IF(AND(D162="Congé",F162="Congé"),0.333333333333333,IF(OR(AND(D162="Congé",F162&lt;&gt;"Congé"),(AND(F162="Congé",D162&lt;&gt;"Congé"))),0.166666666666667,""))</f>
        <v/>
      </c>
      <c r="AC162" s="142" t="str">
        <f>IF(AND(D162="Congé sans solde",F162="Congé sans solde"),0.333333333333333,IF(OR(AND(D162="Congé sans solde",F162&lt;&gt;"Congé sans solde"),(AND(F162="Congé sans solde",D162&lt;&gt;"Congé sans solde"))),0.166666666666667,""))</f>
        <v/>
      </c>
      <c r="AD162" s="142" t="str">
        <f>IF(AND(D162="Congé spécial",F162="Congé spécial"),0.333333333333333,IF(OR(AND(D162="Congé spécial",F162&lt;&gt;"Congé décès"),(AND(F162="Congé spécial",D162&lt;&gt;"Congé spécial"))),0.166666666666667,""))</f>
        <v/>
      </c>
      <c r="AE162" s="143" t="str">
        <f>IF(AND(D162="Férié",F162="Férié"),0.333333333333333,IF(OR(AND(D162="Férié",F162&lt;&gt;"Férié"),(AND(F162="Férié",D162&lt;&gt;"Férié"))),0.166666666666667,""))</f>
        <v/>
      </c>
      <c r="AF162" s="63"/>
      <c r="AG162" s="10"/>
    </row>
    <row r="163" spans="1:33" x14ac:dyDescent="0.2">
      <c r="A163" s="70">
        <f>VLOOKUP(B163,Annuaire_roster!B:F,5,0)</f>
        <v>669</v>
      </c>
      <c r="B163" s="166" t="s">
        <v>45</v>
      </c>
      <c r="C163" s="61"/>
      <c r="D163" s="61">
        <f t="array" ref="D163">IFERROR(INDEX(Planning2[],MATCH(1,(Planning2[Nom]=B163)*(Planning2[Date]=Q163),0),3),"-")</f>
        <v>0.29166666666666669</v>
      </c>
      <c r="E163" s="38"/>
      <c r="F163" s="38">
        <f t="array" ref="F163">IFERROR(INDEX(Planning2[],MATCH(1,(Planning2[Nom]=B163)*(Planning2[Date]=Q163),0),4),"-")</f>
        <v>0.66666666666666663</v>
      </c>
      <c r="G163" s="88"/>
      <c r="H163" s="88"/>
      <c r="I163" s="209" t="str">
        <f>IF(IF(OR(C163="",D163="Congé",D163="OFF",D163="Congé spécial"),"",IF(D163&gt;F163,D163-C163,IF(C163-D163&lt;0,0,C163-D163)))&lt;0.00068287037037037,"",IF(OR(D163="Congé",D163="OFF",C163="",D163="Congé spécial"),"",IF(D163&gt;F163,D163-C163,IF(C163-D163&lt;0,0,C163-D163))))</f>
        <v/>
      </c>
      <c r="J163" s="88"/>
      <c r="K163" s="89">
        <f>IF(SUM(H163:J163)&lt;0.00068287037037037,0,SUM(H163:J163))</f>
        <v>0</v>
      </c>
      <c r="L163" s="88">
        <f>IF(OR(F163="Congé",F163="OFF",M163="Abs",F163="Congé sans solde",F163="Férié",F163="Congé spécial",D163="Congé spécial"),0,IF(F163-E163&lt;0,0,IF(F163-E163&lt;=0.00068287037037037,0,F163-E163)))</f>
        <v>0</v>
      </c>
      <c r="M163" s="62" t="str">
        <f>IF(AND(O163&lt;&gt;0,C163=""),"Abs",0)</f>
        <v>Abs</v>
      </c>
      <c r="N163" s="102" t="str">
        <f>IFERROR(IF(OR(D163="OFF",D163="Congé",M163="Abs",D163="Congé sans solde",D163="Férié"),"",IF(O163-K163-L163&gt;O163,O163,IF(O163-K163-L163&lt;0,"",O163-K163-L163))),"")</f>
        <v/>
      </c>
      <c r="O163" s="90">
        <f>IF(AG163="2H Pause déjeuner",IF(F163-D163-0.0833333333333333&lt;0,F163-D163-0.0833333333333333+1,F163-D163-0.0833333333333333),IF(OR(AND(F163="OFF",D163="OFF"),AND(F163="Congé",D163="Congé"),AND(F163="Congé sans solde",D163="Congé sans solde"),AND(F163="Congé spécial",D163="Congé spécial"),AND(F163="Férié",D163="Férié"),AND(F163="OFF",D163="Congé"),AND(F163="OFF",D163="Congé sans solde"),AND(F163="OFF",D163="Congé spécial"),AND(F163="OFF",D163="Férié"),AND(F163="Congé",D163="OFF"),AND(F163="Congé",D163="Congé sans solde"),AND(F163="Congé",D163="Congé spécial"),AND(F163="Congé",D163="Férié"),AND(F163="Congé sans solde",D163="OFF"),AND(F163="Congé sans solde",D163="Congé"),AND(F163="Congé sans solde",D163="Congé spécial"),AND(F163="Congé sans solde",D163="Férié"),AND(F163="Congé spécial",D163="OFF"),AND(F163="Congé spécial",D163="Congé"),AND(F163="Congé spécial",D163="Congé sans solde"),AND(F163="Congé spécial",D163="Férié"),AND(F163="Férié",D163="OFF"),AND(F163="Férié",D163="Congé"),AND(F163="Férié",D163="Congé sans solde"),AND(F163="Férié",D163="Congé spécial")),0,IF(OR(F163="OFF",F163="Congé",F163="Congé spécial",F163="Congé sans solde",D163="OFF",D163="Congé",D163="Congé spécial",D163="Congé sans solde"),0.208333333333334,IF(AND(AG163="",F163-D163&lt;0),("24:00:00"-D163)+("00:00:00"+F163)-0.0416666666666667,IF(AND(OR(AG163="Allaitement",AG163="Sans déjeuner"),F163-D163&lt;0),("24:00:00"-D163)+("00:00:00"+F163),IF(AND(AG163="",F163-D163&gt;0.166666666666667),F163-D163-0.0416666666666667,IF(AND(OR(AG163="Allaitement",AG163="Sans déjeuner"),F163-D163&gt;0.166666666666667),F163-D163,F163-D163)))))))</f>
        <v>0.33333333333333326</v>
      </c>
      <c r="P163" s="91" t="str">
        <f>IFERROR(VLOOKUP($B163,Annuaire_roster!$B:$G,MATCH(P$1,Annuaire_roster!$B$1:$G$1,0),0),"-")</f>
        <v>Google Leads</v>
      </c>
      <c r="Q163" s="100">
        <v>44722</v>
      </c>
      <c r="R163" s="10">
        <f>IF(M163="Abs",O163,0)</f>
        <v>0.33333333333333326</v>
      </c>
      <c r="S163" s="10">
        <f>SUM(R163,L163,I163,J163,W163,H163)</f>
        <v>0.33333333333333326</v>
      </c>
      <c r="T163" s="16" t="str">
        <f>"Sem - "&amp;WEEKNUM(Q163,21)</f>
        <v>Sem - 24</v>
      </c>
      <c r="U163" s="16" t="str">
        <f>PROPER(TEXT(Q163,"mmmm"))</f>
        <v>Juin</v>
      </c>
      <c r="V163" s="11" t="str">
        <f>+TEXT(Q163,"aaa")</f>
        <v>2026</v>
      </c>
      <c r="W163" s="9"/>
      <c r="X163" s="5">
        <f>IFERROR(IF(M163="Abs",0,IF((D163-C163+E163-F163)&lt;0.000694444444444444,0,(D163-C163+E163-F163))),0)</f>
        <v>0</v>
      </c>
      <c r="Y163" s="12" t="str">
        <f>IFERROR(VLOOKUP(B163,Annuaire_roster!B:E,4,0),"-")</f>
        <v>CHOUIFI Mustapha</v>
      </c>
      <c r="Z163" s="12" t="str">
        <f>IFERROR(VLOOKUP(B163,Annuaire_roster!B:F,3,0),"-")</f>
        <v>Google Leads</v>
      </c>
      <c r="AA163" s="12" t="str">
        <f>IFERROR(VLOOKUP(B163,Annuaire_roster!B:I,6,0),"-")</f>
        <v>Forfaitaire</v>
      </c>
      <c r="AB163" s="142" t="str">
        <f>IF(AND(D163="Congé",F163="Congé"),0.333333333333333,IF(OR(AND(D163="Congé",F163&lt;&gt;"Congé"),(AND(F163="Congé",D163&lt;&gt;"Congé"))),0.166666666666667,""))</f>
        <v/>
      </c>
      <c r="AC163" s="142" t="str">
        <f>IF(AND(D163="Congé sans solde",F163="Congé sans solde"),0.333333333333333,IF(OR(AND(D163="Congé sans solde",F163&lt;&gt;"Congé sans solde"),(AND(F163="Congé sans solde",D163&lt;&gt;"Congé sans solde"))),0.166666666666667,""))</f>
        <v/>
      </c>
      <c r="AD163" s="142" t="str">
        <f>IF(AND(D163="Congé spécial",F163="Congé spécial"),0.333333333333333,IF(OR(AND(D163="Congé spécial",F163&lt;&gt;"Congé décès"),(AND(F163="Congé spécial",D163&lt;&gt;"Congé spécial"))),0.166666666666667,""))</f>
        <v/>
      </c>
      <c r="AE163" s="143" t="str">
        <f>IF(AND(D163="Férié",F163="Férié"),0.333333333333333,IF(OR(AND(D163="Férié",F163&lt;&gt;"Férié"),(AND(F163="Férié",D163&lt;&gt;"Férié"))),0.166666666666667,""))</f>
        <v/>
      </c>
      <c r="AF163" s="63"/>
      <c r="AG163" s="10"/>
    </row>
    <row r="164" spans="1:33" x14ac:dyDescent="0.2">
      <c r="A164" s="70">
        <f>VLOOKUP(B164,Annuaire_roster!B:F,5,0)</f>
        <v>949</v>
      </c>
      <c r="B164" s="166" t="s">
        <v>85</v>
      </c>
      <c r="C164" s="61"/>
      <c r="D164" s="61">
        <f t="array" ref="D164">IFERROR(INDEX(Planning2[],MATCH(1,(Planning2[Nom]=B164)*(Planning2[Date]=Q164),0),3),"-")</f>
        <v>0.29166666666666669</v>
      </c>
      <c r="E164" s="38"/>
      <c r="F164" s="38">
        <f t="array" ref="F164">IFERROR(INDEX(Planning2[],MATCH(1,(Planning2[Nom]=B164)*(Planning2[Date]=Q164),0),4),"-")</f>
        <v>0.66666666666666663</v>
      </c>
      <c r="G164" s="88"/>
      <c r="H164" s="88"/>
      <c r="I164" s="209" t="str">
        <f>IF(IF(OR(C164="",D164="Congé",D164="OFF",D164="Congé spécial"),"",IF(D164&gt;F164,D164-C164,IF(C164-D164&lt;0,0,C164-D164)))&lt;0.00068287037037037,"",IF(OR(D164="Congé",D164="OFF",C164="",D164="Congé spécial"),"",IF(D164&gt;F164,D164-C164,IF(C164-D164&lt;0,0,C164-D164))))</f>
        <v/>
      </c>
      <c r="J164" s="88"/>
      <c r="K164" s="89">
        <f>IF(SUM(H164:J164)&lt;0.00068287037037037,0,SUM(H164:J164))</f>
        <v>0</v>
      </c>
      <c r="L164" s="88">
        <f>IF(OR(F164="Congé",F164="OFF",M164="Abs",F164="Congé sans solde",F164="Férié",F164="Congé spécial",D164="Congé spécial"),0,IF(F164-E164&lt;0,0,IF(F164-E164&lt;=0.00068287037037037,0,F164-E164)))</f>
        <v>0</v>
      </c>
      <c r="M164" s="62" t="str">
        <f>IF(AND(O164&lt;&gt;0,C164=""),"Abs",0)</f>
        <v>Abs</v>
      </c>
      <c r="N164" s="102" t="str">
        <f>IFERROR(IF(OR(D164="OFF",D164="Congé",M164="Abs",D164="Congé sans solde",D164="Férié"),"",IF(O164-K164-L164&gt;O164,O164,IF(O164-K164-L164&lt;0,"",O164-K164-L164))),"")</f>
        <v/>
      </c>
      <c r="O164" s="90">
        <f>IF(AG164="2H Pause déjeuner",IF(F164-D164-0.0833333333333333&lt;0,F164-D164-0.0833333333333333+1,F164-D164-0.0833333333333333),IF(OR(AND(F164="OFF",D164="OFF"),AND(F164="Congé",D164="Congé"),AND(F164="Congé sans solde",D164="Congé sans solde"),AND(F164="Congé spécial",D164="Congé spécial"),AND(F164="Férié",D164="Férié"),AND(F164="OFF",D164="Congé"),AND(F164="OFF",D164="Congé sans solde"),AND(F164="OFF",D164="Congé spécial"),AND(F164="OFF",D164="Férié"),AND(F164="Congé",D164="OFF"),AND(F164="Congé",D164="Congé sans solde"),AND(F164="Congé",D164="Congé spécial"),AND(F164="Congé",D164="Férié"),AND(F164="Congé sans solde",D164="OFF"),AND(F164="Congé sans solde",D164="Congé"),AND(F164="Congé sans solde",D164="Congé spécial"),AND(F164="Congé sans solde",D164="Férié"),AND(F164="Congé spécial",D164="OFF"),AND(F164="Congé spécial",D164="Congé"),AND(F164="Congé spécial",D164="Congé sans solde"),AND(F164="Congé spécial",D164="Férié"),AND(F164="Férié",D164="OFF"),AND(F164="Férié",D164="Congé"),AND(F164="Férié",D164="Congé sans solde"),AND(F164="Férié",D164="Congé spécial")),0,IF(OR(F164="OFF",F164="Congé",F164="Congé spécial",F164="Congé sans solde",D164="OFF",D164="Congé",D164="Congé spécial",D164="Congé sans solde"),0.208333333333334,IF(AND(AG164="",F164-D164&lt;0),("24:00:00"-D164)+("00:00:00"+F164)-0.0416666666666667,IF(AND(OR(AG164="Allaitement",AG164="Sans déjeuner"),F164-D164&lt;0),("24:00:00"-D164)+("00:00:00"+F164),IF(AND(AG164="",F164-D164&gt;0.166666666666667),F164-D164-0.0416666666666667,IF(AND(OR(AG164="Allaitement",AG164="Sans déjeuner"),F164-D164&gt;0.166666666666667),F164-D164,F164-D164)))))))</f>
        <v>0.33333333333333326</v>
      </c>
      <c r="P164" s="91" t="str">
        <f>IFERROR(VLOOKUP($B164,Annuaire_roster!$B:$G,MATCH(P$1,Annuaire_roster!$B$1:$G$1,0),0),"-")</f>
        <v>Google Leads</v>
      </c>
      <c r="Q164" s="100">
        <v>44722</v>
      </c>
      <c r="R164" s="10">
        <f>IF(M164="Abs",O164,0)</f>
        <v>0.33333333333333326</v>
      </c>
      <c r="S164" s="10">
        <f>SUM(R164,L164,I164,J164,W164,H164)</f>
        <v>0.33333333333333326</v>
      </c>
      <c r="T164" s="16" t="str">
        <f>"Sem - "&amp;WEEKNUM(Q164,21)</f>
        <v>Sem - 24</v>
      </c>
      <c r="U164" s="16" t="str">
        <f>PROPER(TEXT(Q164,"mmmm"))</f>
        <v>Juin</v>
      </c>
      <c r="V164" s="11" t="str">
        <f>+TEXT(Q164,"aaa")</f>
        <v>2026</v>
      </c>
      <c r="W164" s="9"/>
      <c r="X164" s="5">
        <f>IFERROR(IF(M164="Abs",0,IF((D164-C164+E164-F164)&lt;0.000694444444444444,0,(D164-C164+E164-F164))),0)</f>
        <v>0</v>
      </c>
      <c r="Y164" s="12" t="str">
        <f>IFERROR(VLOOKUP(B164,Annuaire_roster!B:E,4,0),"-")</f>
        <v>CHOUIFI Mustapha</v>
      </c>
      <c r="Z164" s="12" t="str">
        <f>IFERROR(VLOOKUP(B164,Annuaire_roster!B:F,3,0),"-")</f>
        <v>Google Leads</v>
      </c>
      <c r="AA164" s="12" t="str">
        <f>IFERROR(VLOOKUP(B164,Annuaire_roster!B:I,6,0),"-")</f>
        <v>Forfaitaire</v>
      </c>
      <c r="AB164" s="142" t="str">
        <f>IF(AND(D164="Congé",F164="Congé"),0.333333333333333,IF(OR(AND(D164="Congé",F164&lt;&gt;"Congé"),(AND(F164="Congé",D164&lt;&gt;"Congé"))),0.166666666666667,""))</f>
        <v/>
      </c>
      <c r="AC164" s="142" t="str">
        <f>IF(AND(D164="Congé sans solde",F164="Congé sans solde"),0.333333333333333,IF(OR(AND(D164="Congé sans solde",F164&lt;&gt;"Congé sans solde"),(AND(F164="Congé sans solde",D164&lt;&gt;"Congé sans solde"))),0.166666666666667,""))</f>
        <v/>
      </c>
      <c r="AD164" s="142" t="str">
        <f>IF(AND(D164="Congé spécial",F164="Congé spécial"),0.333333333333333,IF(OR(AND(D164="Congé spécial",F164&lt;&gt;"Congé décès"),(AND(F164="Congé spécial",D164&lt;&gt;"Congé spécial"))),0.166666666666667,""))</f>
        <v/>
      </c>
      <c r="AE164" s="143" t="str">
        <f>IF(AND(D164="Férié",F164="Férié"),0.333333333333333,IF(OR(AND(D164="Férié",F164&lt;&gt;"Férié"),(AND(F164="Férié",D164&lt;&gt;"Férié"))),0.166666666666667,""))</f>
        <v/>
      </c>
      <c r="AF164" s="63"/>
      <c r="AG164" s="10"/>
    </row>
    <row r="165" spans="1:33" x14ac:dyDescent="0.2">
      <c r="A165" s="70">
        <f>VLOOKUP(B165,Annuaire_roster!B:F,5,0)</f>
        <v>1009</v>
      </c>
      <c r="B165" s="166" t="s">
        <v>91</v>
      </c>
      <c r="C165" s="61"/>
      <c r="D165" s="61">
        <f t="array" ref="D165">IFERROR(INDEX(Planning2[],MATCH(1,(Planning2[Nom]=B165)*(Planning2[Date]=Q165),0),3),"-")</f>
        <v>0.29166666666666669</v>
      </c>
      <c r="E165" s="38"/>
      <c r="F165" s="38">
        <f t="array" ref="F165">IFERROR(INDEX(Planning2[],MATCH(1,(Planning2[Nom]=B165)*(Planning2[Date]=Q165),0),4),"-")</f>
        <v>0.66666666666666663</v>
      </c>
      <c r="G165" s="88"/>
      <c r="H165" s="88"/>
      <c r="I165" s="209" t="str">
        <f>IF(IF(OR(C165="",D165="Congé",D165="OFF",D165="Congé spécial"),"",IF(D165&gt;F165,D165-C165,IF(C165-D165&lt;0,0,C165-D165)))&lt;0.00068287037037037,"",IF(OR(D165="Congé",D165="OFF",C165="",D165="Congé spécial"),"",IF(D165&gt;F165,D165-C165,IF(C165-D165&lt;0,0,C165-D165))))</f>
        <v/>
      </c>
      <c r="J165" s="88"/>
      <c r="K165" s="89">
        <f>IF(SUM(H165:J165)&lt;0.00068287037037037,0,SUM(H165:J165))</f>
        <v>0</v>
      </c>
      <c r="L165" s="88">
        <f>IF(OR(F165="Congé",F165="OFF",M165="Abs",F165="Congé sans solde",F165="Férié",F165="Congé spécial",D165="Congé spécial"),0,IF(F165-E165&lt;0,0,IF(F165-E165&lt;=0.00068287037037037,0,F165-E165)))</f>
        <v>0</v>
      </c>
      <c r="M165" s="62" t="str">
        <f>IF(AND(O165&lt;&gt;0,C165=""),"Abs",0)</f>
        <v>Abs</v>
      </c>
      <c r="N165" s="102" t="str">
        <f>IFERROR(IF(OR(D165="OFF",D165="Congé",M165="Abs",D165="Congé sans solde",D165="Férié"),"",IF(O165-K165-L165&gt;O165,O165,IF(O165-K165-L165&lt;0,"",O165-K165-L165))),"")</f>
        <v/>
      </c>
      <c r="O165" s="90">
        <f>IF(AG165="2H Pause déjeuner",IF(F165-D165-0.0833333333333333&lt;0,F165-D165-0.0833333333333333+1,F165-D165-0.0833333333333333),IF(OR(AND(F165="OFF",D165="OFF"),AND(F165="Congé",D165="Congé"),AND(F165="Congé sans solde",D165="Congé sans solde"),AND(F165="Congé spécial",D165="Congé spécial"),AND(F165="Férié",D165="Férié"),AND(F165="OFF",D165="Congé"),AND(F165="OFF",D165="Congé sans solde"),AND(F165="OFF",D165="Congé spécial"),AND(F165="OFF",D165="Férié"),AND(F165="Congé",D165="OFF"),AND(F165="Congé",D165="Congé sans solde"),AND(F165="Congé",D165="Congé spécial"),AND(F165="Congé",D165="Férié"),AND(F165="Congé sans solde",D165="OFF"),AND(F165="Congé sans solde",D165="Congé"),AND(F165="Congé sans solde",D165="Congé spécial"),AND(F165="Congé sans solde",D165="Férié"),AND(F165="Congé spécial",D165="OFF"),AND(F165="Congé spécial",D165="Congé"),AND(F165="Congé spécial",D165="Congé sans solde"),AND(F165="Congé spécial",D165="Férié"),AND(F165="Férié",D165="OFF"),AND(F165="Férié",D165="Congé"),AND(F165="Férié",D165="Congé sans solde"),AND(F165="Férié",D165="Congé spécial")),0,IF(OR(F165="OFF",F165="Congé",F165="Congé spécial",F165="Congé sans solde",D165="OFF",D165="Congé",D165="Congé spécial",D165="Congé sans solde"),0.208333333333334,IF(AND(AG165="",F165-D165&lt;0),("24:00:00"-D165)+("00:00:00"+F165)-0.0416666666666667,IF(AND(OR(AG165="Allaitement",AG165="Sans déjeuner"),F165-D165&lt;0),("24:00:00"-D165)+("00:00:00"+F165),IF(AND(AG165="",F165-D165&gt;0.166666666666667),F165-D165-0.0416666666666667,IF(AND(OR(AG165="Allaitement",AG165="Sans déjeuner"),F165-D165&gt;0.166666666666667),F165-D165,F165-D165)))))))</f>
        <v>0.33333333333333326</v>
      </c>
      <c r="P165" s="91" t="str">
        <f>IFERROR(VLOOKUP($B165,Annuaire_roster!$B:$G,MATCH(P$1,Annuaire_roster!$B$1:$G$1,0),0),"-")</f>
        <v>Google Leads</v>
      </c>
      <c r="Q165" s="100">
        <v>44722</v>
      </c>
      <c r="R165" s="10">
        <f>IF(M165="Abs",O165,0)</f>
        <v>0.33333333333333326</v>
      </c>
      <c r="S165" s="10">
        <f>SUM(R165,L165,I165,J165,W165,H165)</f>
        <v>0.33333333333333326</v>
      </c>
      <c r="T165" s="16" t="str">
        <f>"Sem - "&amp;WEEKNUM(Q165,21)</f>
        <v>Sem - 24</v>
      </c>
      <c r="U165" s="16" t="str">
        <f>PROPER(TEXT(Q165,"mmmm"))</f>
        <v>Juin</v>
      </c>
      <c r="V165" s="11" t="str">
        <f>+TEXT(Q165,"aaa")</f>
        <v>2026</v>
      </c>
      <c r="W165" s="9"/>
      <c r="X165" s="5">
        <f>IFERROR(IF(M165="Abs",0,IF((D165-C165+E165-F165)&lt;0.000694444444444444,0,(D165-C165+E165-F165))),0)</f>
        <v>0</v>
      </c>
      <c r="Y165" s="12" t="str">
        <f>IFERROR(VLOOKUP(B165,Annuaire_roster!B:E,4,0),"-")</f>
        <v>OUAQERROUCH Nour-El Houda</v>
      </c>
      <c r="Z165" s="12" t="str">
        <f>IFERROR(VLOOKUP(B165,Annuaire_roster!B:F,3,0),"-")</f>
        <v>Google Leads</v>
      </c>
      <c r="AA165" s="12" t="str">
        <f>IFERROR(VLOOKUP(B165,Annuaire_roster!B:I,6,0),"-")</f>
        <v>Forfaitaire</v>
      </c>
      <c r="AB165" s="142" t="str">
        <f>IF(AND(D165="Congé",F165="Congé"),0.333333333333333,IF(OR(AND(D165="Congé",F165&lt;&gt;"Congé"),(AND(F165="Congé",D165&lt;&gt;"Congé"))),0.166666666666667,""))</f>
        <v/>
      </c>
      <c r="AC165" s="142" t="str">
        <f>IF(AND(D165="Congé sans solde",F165="Congé sans solde"),0.333333333333333,IF(OR(AND(D165="Congé sans solde",F165&lt;&gt;"Congé sans solde"),(AND(F165="Congé sans solde",D165&lt;&gt;"Congé sans solde"))),0.166666666666667,""))</f>
        <v/>
      </c>
      <c r="AD165" s="142" t="str">
        <f>IF(AND(D165="Congé spécial",F165="Congé spécial"),0.333333333333333,IF(OR(AND(D165="Congé spécial",F165&lt;&gt;"Congé décès"),(AND(F165="Congé spécial",D165&lt;&gt;"Congé spécial"))),0.166666666666667,""))</f>
        <v/>
      </c>
      <c r="AE165" s="143" t="str">
        <f>IF(AND(D165="Férié",F165="Férié"),0.333333333333333,IF(OR(AND(D165="Férié",F165&lt;&gt;"Férié"),(AND(F165="Férié",D165&lt;&gt;"Férié"))),0.166666666666667,""))</f>
        <v/>
      </c>
      <c r="AF165" s="63"/>
      <c r="AG165" s="10"/>
    </row>
    <row r="166" spans="1:33" x14ac:dyDescent="0.2">
      <c r="A166" s="70">
        <f>VLOOKUP(B166,Annuaire_roster!B:F,5,0)</f>
        <v>0</v>
      </c>
      <c r="B166" s="166" t="s">
        <v>212</v>
      </c>
      <c r="C166" s="61"/>
      <c r="D166" s="61">
        <f t="array" ref="D166">IFERROR(INDEX(Planning2[],MATCH(1,(Planning2[Nom]=B166)*(Planning2[Date]=Q166),0),3),"-")</f>
        <v>0.29166666666666669</v>
      </c>
      <c r="E166" s="38"/>
      <c r="F166" s="38">
        <f t="array" ref="F166">IFERROR(INDEX(Planning2[],MATCH(1,(Planning2[Nom]=B166)*(Planning2[Date]=Q166),0),4),"-")</f>
        <v>0.66666666666666663</v>
      </c>
      <c r="G166" s="88"/>
      <c r="H166" s="88"/>
      <c r="I166" s="209" t="str">
        <f>IF(IF(OR(C166="",D166="Congé",D166="OFF",D166="Congé spécial"),"",IF(D166&gt;F166,D166-C166,IF(C166-D166&lt;0,0,C166-D166)))&lt;0.00068287037037037,"",IF(OR(D166="Congé",D166="OFF",C166="",D166="Congé spécial"),"",IF(D166&gt;F166,D166-C166,IF(C166-D166&lt;0,0,C166-D166))))</f>
        <v/>
      </c>
      <c r="J166" s="88"/>
      <c r="K166" s="89">
        <f>IF(SUM(H166:J166)&lt;0.00068287037037037,0,SUM(H166:J166))</f>
        <v>0</v>
      </c>
      <c r="L166" s="88">
        <f>IF(OR(F166="Congé",F166="OFF",M166="Abs",F166="Congé sans solde",F166="Férié",F166="Congé spécial",D166="Congé spécial"),0,IF(F166-E166&lt;0,0,IF(F166-E166&lt;=0.00068287037037037,0,F166-E166)))</f>
        <v>0</v>
      </c>
      <c r="M166" s="62" t="str">
        <f>IF(AND(O166&lt;&gt;0,C166=""),"Abs",0)</f>
        <v>Abs</v>
      </c>
      <c r="N166" s="102" t="str">
        <f>IFERROR(IF(OR(D166="OFF",D166="Congé",M166="Abs",D166="Congé sans solde",D166="Férié"),"",IF(O166-K166-L166&gt;O166,O166,IF(O166-K166-L166&lt;0,"",O166-K166-L166))),"")</f>
        <v/>
      </c>
      <c r="O166" s="90">
        <f>IF(AG166="2H Pause déjeuner",IF(F166-D166-0.0833333333333333&lt;0,F166-D166-0.0833333333333333+1,F166-D166-0.0833333333333333),IF(OR(AND(F166="OFF",D166="OFF"),AND(F166="Congé",D166="Congé"),AND(F166="Congé sans solde",D166="Congé sans solde"),AND(F166="Congé spécial",D166="Congé spécial"),AND(F166="Férié",D166="Férié"),AND(F166="OFF",D166="Congé"),AND(F166="OFF",D166="Congé sans solde"),AND(F166="OFF",D166="Congé spécial"),AND(F166="OFF",D166="Férié"),AND(F166="Congé",D166="OFF"),AND(F166="Congé",D166="Congé sans solde"),AND(F166="Congé",D166="Congé spécial"),AND(F166="Congé",D166="Férié"),AND(F166="Congé sans solde",D166="OFF"),AND(F166="Congé sans solde",D166="Congé"),AND(F166="Congé sans solde",D166="Congé spécial"),AND(F166="Congé sans solde",D166="Férié"),AND(F166="Congé spécial",D166="OFF"),AND(F166="Congé spécial",D166="Congé"),AND(F166="Congé spécial",D166="Congé sans solde"),AND(F166="Congé spécial",D166="Férié"),AND(F166="Férié",D166="OFF"),AND(F166="Férié",D166="Congé"),AND(F166="Férié",D166="Congé sans solde"),AND(F166="Férié",D166="Congé spécial")),0,IF(OR(F166="OFF",F166="Congé",F166="Congé spécial",F166="Congé sans solde",D166="OFF",D166="Congé",D166="Congé spécial",D166="Congé sans solde"),0.208333333333334,IF(AND(AG166="",F166-D166&lt;0),("24:00:00"-D166)+("00:00:00"+F166)-0.0416666666666667,IF(AND(OR(AG166="Allaitement",AG166="Sans déjeuner"),F166-D166&lt;0),("24:00:00"-D166)+("00:00:00"+F166),IF(AND(AG166="",F166-D166&gt;0.166666666666667),F166-D166-0.0416666666666667,IF(AND(OR(AG166="Allaitement",AG166="Sans déjeuner"),F166-D166&gt;0.166666666666667),F166-D166,F166-D166)))))))</f>
        <v>0.33333333333333326</v>
      </c>
      <c r="P166" s="91" t="str">
        <f>IFERROR(VLOOKUP($B166,Annuaire_roster!$B:$G,MATCH(P$1,Annuaire_roster!$B$1:$G$1,0),0),"-")</f>
        <v>Google Leads</v>
      </c>
      <c r="Q166" s="100">
        <v>44722</v>
      </c>
      <c r="R166" s="10">
        <f>IF(M166="Abs",O166,0)</f>
        <v>0.33333333333333326</v>
      </c>
      <c r="S166" s="10">
        <f>SUM(R166,L166,I166,J166,W166,H166)</f>
        <v>0.33333333333333326</v>
      </c>
      <c r="T166" s="16" t="str">
        <f>"Sem - "&amp;WEEKNUM(Q166,21)</f>
        <v>Sem - 24</v>
      </c>
      <c r="U166" s="16" t="str">
        <f>PROPER(TEXT(Q166,"mmmm"))</f>
        <v>Juin</v>
      </c>
      <c r="V166" s="11" t="str">
        <f>+TEXT(Q166,"aaa")</f>
        <v>2026</v>
      </c>
      <c r="W166" s="9"/>
      <c r="X166" s="5">
        <f>IFERROR(IF(M166="Abs",0,IF((D166-C166+E166-F166)&lt;0.000694444444444444,0,(D166-C166+E166-F166))),0)</f>
        <v>0</v>
      </c>
      <c r="Y166" s="12">
        <f>IFERROR(VLOOKUP(B166,Annuaire_roster!B:E,4,0),"-")</f>
        <v>0</v>
      </c>
      <c r="Z166" s="12" t="str">
        <f>IFERROR(VLOOKUP(B166,Annuaire_roster!B:F,3,0),"-")</f>
        <v>Google Leads</v>
      </c>
      <c r="AA166" s="12">
        <f>IFERROR(VLOOKUP(B166,Annuaire_roster!B:I,6,0),"-")</f>
        <v>0</v>
      </c>
      <c r="AB166" s="142" t="str">
        <f>IF(AND(D166="Congé",F166="Congé"),0.333333333333333,IF(OR(AND(D166="Congé",F166&lt;&gt;"Congé"),(AND(F166="Congé",D166&lt;&gt;"Congé"))),0.166666666666667,""))</f>
        <v/>
      </c>
      <c r="AC166" s="142" t="str">
        <f>IF(AND(D166="Congé sans solde",F166="Congé sans solde"),0.333333333333333,IF(OR(AND(D166="Congé sans solde",F166&lt;&gt;"Congé sans solde"),(AND(F166="Congé sans solde",D166&lt;&gt;"Congé sans solde"))),0.166666666666667,""))</f>
        <v/>
      </c>
      <c r="AD166" s="142" t="str">
        <f>IF(AND(D166="Congé spécial",F166="Congé spécial"),0.333333333333333,IF(OR(AND(D166="Congé spécial",F166&lt;&gt;"Congé décès"),(AND(F166="Congé spécial",D166&lt;&gt;"Congé spécial"))),0.166666666666667,""))</f>
        <v/>
      </c>
      <c r="AE166" s="143" t="str">
        <f>IF(AND(D166="Férié",F166="Férié"),0.333333333333333,IF(OR(AND(D166="Férié",F166&lt;&gt;"Férié"),(AND(F166="Férié",D166&lt;&gt;"Férié"))),0.166666666666667,""))</f>
        <v/>
      </c>
      <c r="AF166" s="63"/>
      <c r="AG166" s="10"/>
    </row>
    <row r="167" spans="1:33" x14ac:dyDescent="0.2">
      <c r="A167" s="70">
        <f>VLOOKUP(B167,Annuaire_roster!B:F,5,0)</f>
        <v>0</v>
      </c>
      <c r="B167" s="166" t="s">
        <v>144</v>
      </c>
      <c r="C167" s="61"/>
      <c r="D167" s="61">
        <f t="array" ref="D167">IFERROR(INDEX(Planning2[],MATCH(1,(Planning2[Nom]=B167)*(Planning2[Date]=Q167),0),3),"-")</f>
        <v>0.29166666666666669</v>
      </c>
      <c r="E167" s="38"/>
      <c r="F167" s="38">
        <f t="array" ref="F167">IFERROR(INDEX(Planning2[],MATCH(1,(Planning2[Nom]=B167)*(Planning2[Date]=Q167),0),4),"-")</f>
        <v>0.66666666666666663</v>
      </c>
      <c r="G167" s="88"/>
      <c r="H167" s="88"/>
      <c r="I167" s="209" t="str">
        <f>IF(IF(OR(C167="",D167="Congé",D167="OFF",D167="Congé spécial"),"",IF(D167&gt;F167,D167-C167,IF(C167-D167&lt;0,0,C167-D167)))&lt;0.00068287037037037,"",IF(OR(D167="Congé",D167="OFF",C167="",D167="Congé spécial"),"",IF(D167&gt;F167,D167-C167,IF(C167-D167&lt;0,0,C167-D167))))</f>
        <v/>
      </c>
      <c r="J167" s="88"/>
      <c r="K167" s="89">
        <f>IF(SUM(H167:J167)&lt;0.00068287037037037,0,SUM(H167:J167))</f>
        <v>0</v>
      </c>
      <c r="L167" s="88">
        <f>IF(OR(F167="Congé",F167="OFF",M167="Abs",F167="Congé sans solde",F167="Férié",F167="Congé spécial",D167="Congé spécial"),0,IF(F167-E167&lt;0,0,IF(F167-E167&lt;=0.00068287037037037,0,F167-E167)))</f>
        <v>0</v>
      </c>
      <c r="M167" s="62" t="str">
        <f>IF(AND(O167&lt;&gt;0,C167=""),"Abs",0)</f>
        <v>Abs</v>
      </c>
      <c r="N167" s="102" t="str">
        <f>IFERROR(IF(OR(D167="OFF",D167="Congé",M167="Abs",D167="Congé sans solde",D167="Férié"),"",IF(O167-K167-L167&gt;O167,O167,IF(O167-K167-L167&lt;0,"",O167-K167-L167))),"")</f>
        <v/>
      </c>
      <c r="O167" s="90">
        <f>IF(AG167="2H Pause déjeuner",IF(F167-D167-0.0833333333333333&lt;0,F167-D167-0.0833333333333333+1,F167-D167-0.0833333333333333),IF(OR(AND(F167="OFF",D167="OFF"),AND(F167="Congé",D167="Congé"),AND(F167="Congé sans solde",D167="Congé sans solde"),AND(F167="Congé spécial",D167="Congé spécial"),AND(F167="Férié",D167="Férié"),AND(F167="OFF",D167="Congé"),AND(F167="OFF",D167="Congé sans solde"),AND(F167="OFF",D167="Congé spécial"),AND(F167="OFF",D167="Férié"),AND(F167="Congé",D167="OFF"),AND(F167="Congé",D167="Congé sans solde"),AND(F167="Congé",D167="Congé spécial"),AND(F167="Congé",D167="Férié"),AND(F167="Congé sans solde",D167="OFF"),AND(F167="Congé sans solde",D167="Congé"),AND(F167="Congé sans solde",D167="Congé spécial"),AND(F167="Congé sans solde",D167="Férié"),AND(F167="Congé spécial",D167="OFF"),AND(F167="Congé spécial",D167="Congé"),AND(F167="Congé spécial",D167="Congé sans solde"),AND(F167="Congé spécial",D167="Férié"),AND(F167="Férié",D167="OFF"),AND(F167="Férié",D167="Congé"),AND(F167="Férié",D167="Congé sans solde"),AND(F167="Férié",D167="Congé spécial")),0,IF(OR(F167="OFF",F167="Congé",F167="Congé spécial",F167="Congé sans solde",D167="OFF",D167="Congé",D167="Congé spécial",D167="Congé sans solde"),0.208333333333334,IF(AND(AG167="",F167-D167&lt;0),("24:00:00"-D167)+("00:00:00"+F167)-0.0416666666666667,IF(AND(OR(AG167="Allaitement",AG167="Sans déjeuner"),F167-D167&lt;0),("24:00:00"-D167)+("00:00:00"+F167),IF(AND(AG167="",F167-D167&gt;0.166666666666667),F167-D167-0.0416666666666667,IF(AND(OR(AG167="Allaitement",AG167="Sans déjeuner"),F167-D167&gt;0.166666666666667),F167-D167,F167-D167)))))))</f>
        <v>0.33333333333333326</v>
      </c>
      <c r="P167" s="91" t="str">
        <f>IFERROR(VLOOKUP($B167,Annuaire_roster!$B:$G,MATCH(P$1,Annuaire_roster!$B$1:$G$1,0),0),"-")</f>
        <v>Google Leads</v>
      </c>
      <c r="Q167" s="100">
        <v>44722</v>
      </c>
      <c r="R167" s="10">
        <f>IF(M167="Abs",O167,0)</f>
        <v>0.33333333333333326</v>
      </c>
      <c r="S167" s="10">
        <f>SUM(R167,L167,I167,J167,W167,H167)</f>
        <v>0.33333333333333326</v>
      </c>
      <c r="T167" s="16" t="str">
        <f>"Sem - "&amp;WEEKNUM(Q167,21)</f>
        <v>Sem - 24</v>
      </c>
      <c r="U167" s="16" t="str">
        <f>PROPER(TEXT(Q167,"mmmm"))</f>
        <v>Juin</v>
      </c>
      <c r="V167" s="11" t="str">
        <f>+TEXT(Q167,"aaa")</f>
        <v>2026</v>
      </c>
      <c r="W167" s="9"/>
      <c r="X167" s="5">
        <f>IFERROR(IF(M167="Abs",0,IF((D167-C167+E167-F167)&lt;0.000694444444444444,0,(D167-C167+E167-F167))),0)</f>
        <v>0</v>
      </c>
      <c r="Y167" s="12" t="str">
        <f>IFERROR(VLOOKUP(B167,Annuaire_roster!B:E,4,0),"-")</f>
        <v>CHOUIFI Mustapha</v>
      </c>
      <c r="Z167" s="12" t="str">
        <f>IFERROR(VLOOKUP(B167,Annuaire_roster!B:F,3,0),"-")</f>
        <v>Google Leads</v>
      </c>
      <c r="AA167" s="12" t="str">
        <f>IFERROR(VLOOKUP(B167,Annuaire_roster!B:I,6,0),"-")</f>
        <v>Forfaitaire</v>
      </c>
      <c r="AB167" s="142" t="str">
        <f>IF(AND(D167="Congé",F167="Congé"),0.333333333333333,IF(OR(AND(D167="Congé",F167&lt;&gt;"Congé"),(AND(F167="Congé",D167&lt;&gt;"Congé"))),0.166666666666667,""))</f>
        <v/>
      </c>
      <c r="AC167" s="142" t="str">
        <f>IF(AND(D167="Congé sans solde",F167="Congé sans solde"),0.333333333333333,IF(OR(AND(D167="Congé sans solde",F167&lt;&gt;"Congé sans solde"),(AND(F167="Congé sans solde",D167&lt;&gt;"Congé sans solde"))),0.166666666666667,""))</f>
        <v/>
      </c>
      <c r="AD167" s="142" t="str">
        <f>IF(AND(D167="Congé spécial",F167="Congé spécial"),0.333333333333333,IF(OR(AND(D167="Congé spécial",F167&lt;&gt;"Congé décès"),(AND(F167="Congé spécial",D167&lt;&gt;"Congé spécial"))),0.166666666666667,""))</f>
        <v/>
      </c>
      <c r="AE167" s="143" t="str">
        <f>IF(AND(D167="Férié",F167="Férié"),0.333333333333333,IF(OR(AND(D167="Férié",F167&lt;&gt;"Férié"),(AND(F167="Férié",D167&lt;&gt;"Férié"))),0.166666666666667,""))</f>
        <v/>
      </c>
      <c r="AF167" s="63"/>
      <c r="AG167" s="10"/>
    </row>
    <row r="168" spans="1:33" x14ac:dyDescent="0.2">
      <c r="A168" s="70">
        <f>VLOOKUP(B168,Annuaire_roster!B:F,5,0)</f>
        <v>1007</v>
      </c>
      <c r="B168" s="166" t="s">
        <v>89</v>
      </c>
      <c r="C168" s="61"/>
      <c r="D168" s="61">
        <f t="array" ref="D168">IFERROR(INDEX(Planning2[],MATCH(1,(Planning2[Nom]=B168)*(Planning2[Date]=Q168),0),3),"-")</f>
        <v>0.29166666666666669</v>
      </c>
      <c r="E168" s="38"/>
      <c r="F168" s="38">
        <f t="array" ref="F168">IFERROR(INDEX(Planning2[],MATCH(1,(Planning2[Nom]=B168)*(Planning2[Date]=Q168),0),4),"-")</f>
        <v>0.66666666666666663</v>
      </c>
      <c r="G168" s="88"/>
      <c r="H168" s="88"/>
      <c r="I168" s="209" t="str">
        <f>IF(IF(OR(C168="",D168="Congé",D168="OFF",D168="Congé spécial"),"",IF(D168&gt;F168,D168-C168,IF(C168-D168&lt;0,0,C168-D168)))&lt;0.00068287037037037,"",IF(OR(D168="Congé",D168="OFF",C168="",D168="Congé spécial"),"",IF(D168&gt;F168,D168-C168,IF(C168-D168&lt;0,0,C168-D168))))</f>
        <v/>
      </c>
      <c r="J168" s="88"/>
      <c r="K168" s="89">
        <f>IF(SUM(H168:J168)&lt;0.00068287037037037,0,SUM(H168:J168))</f>
        <v>0</v>
      </c>
      <c r="L168" s="88">
        <f>IF(OR(F168="Congé",F168="OFF",M168="Abs",F168="Congé sans solde",F168="Férié",F168="Congé spécial",D168="Congé spécial"),0,IF(F168-E168&lt;0,0,IF(F168-E168&lt;=0.00068287037037037,0,F168-E168)))</f>
        <v>0</v>
      </c>
      <c r="M168" s="62" t="str">
        <f>IF(AND(O168&lt;&gt;0,C168=""),"Abs",0)</f>
        <v>Abs</v>
      </c>
      <c r="N168" s="102" t="str">
        <f>IFERROR(IF(OR(D168="OFF",D168="Congé",M168="Abs",D168="Congé sans solde",D168="Férié"),"",IF(O168-K168-L168&gt;O168,O168,IF(O168-K168-L168&lt;0,"",O168-K168-L168))),"")</f>
        <v/>
      </c>
      <c r="O168" s="90">
        <f>IF(AG168="2H Pause déjeuner",IF(F168-D168-0.0833333333333333&lt;0,F168-D168-0.0833333333333333+1,F168-D168-0.0833333333333333),IF(OR(AND(F168="OFF",D168="OFF"),AND(F168="Congé",D168="Congé"),AND(F168="Congé sans solde",D168="Congé sans solde"),AND(F168="Congé spécial",D168="Congé spécial"),AND(F168="Férié",D168="Férié"),AND(F168="OFF",D168="Congé"),AND(F168="OFF",D168="Congé sans solde"),AND(F168="OFF",D168="Congé spécial"),AND(F168="OFF",D168="Férié"),AND(F168="Congé",D168="OFF"),AND(F168="Congé",D168="Congé sans solde"),AND(F168="Congé",D168="Congé spécial"),AND(F168="Congé",D168="Férié"),AND(F168="Congé sans solde",D168="OFF"),AND(F168="Congé sans solde",D168="Congé"),AND(F168="Congé sans solde",D168="Congé spécial"),AND(F168="Congé sans solde",D168="Férié"),AND(F168="Congé spécial",D168="OFF"),AND(F168="Congé spécial",D168="Congé"),AND(F168="Congé spécial",D168="Congé sans solde"),AND(F168="Congé spécial",D168="Férié"),AND(F168="Férié",D168="OFF"),AND(F168="Férié",D168="Congé"),AND(F168="Férié",D168="Congé sans solde"),AND(F168="Férié",D168="Congé spécial")),0,IF(OR(F168="OFF",F168="Congé",F168="Congé spécial",F168="Congé sans solde",D168="OFF",D168="Congé",D168="Congé spécial",D168="Congé sans solde"),0.208333333333334,IF(AND(AG168="",F168-D168&lt;0),("24:00:00"-D168)+("00:00:00"+F168)-0.0416666666666667,IF(AND(OR(AG168="Allaitement",AG168="Sans déjeuner"),F168-D168&lt;0),("24:00:00"-D168)+("00:00:00"+F168),IF(AND(AG168="",F168-D168&gt;0.166666666666667),F168-D168-0.0416666666666667,IF(AND(OR(AG168="Allaitement",AG168="Sans déjeuner"),F168-D168&gt;0.166666666666667),F168-D168,F168-D168)))))))</f>
        <v>0.33333333333333326</v>
      </c>
      <c r="P168" s="91" t="str">
        <f>IFERROR(VLOOKUP($B168,Annuaire_roster!$B:$G,MATCH(P$1,Annuaire_roster!$B$1:$G$1,0),0),"-")</f>
        <v>Google Leads</v>
      </c>
      <c r="Q168" s="100">
        <v>44722</v>
      </c>
      <c r="R168" s="10">
        <f>IF(M168="Abs",O168,0)</f>
        <v>0.33333333333333326</v>
      </c>
      <c r="S168" s="10">
        <f>SUM(R168,L168,I168,J168,W168,H168)</f>
        <v>0.33333333333333326</v>
      </c>
      <c r="T168" s="16" t="str">
        <f>"Sem - "&amp;WEEKNUM(Q168,21)</f>
        <v>Sem - 24</v>
      </c>
      <c r="U168" s="16" t="str">
        <f>PROPER(TEXT(Q168,"mmmm"))</f>
        <v>Juin</v>
      </c>
      <c r="V168" s="11" t="str">
        <f>+TEXT(Q168,"aaa")</f>
        <v>2026</v>
      </c>
      <c r="W168" s="9"/>
      <c r="X168" s="5">
        <f>IFERROR(IF(M168="Abs",0,IF((D168-C168+E168-F168)&lt;0.000694444444444444,0,(D168-C168+E168-F168))),0)</f>
        <v>0</v>
      </c>
      <c r="Y168" s="12" t="str">
        <f>IFERROR(VLOOKUP(B168,Annuaire_roster!B:E,4,0),"-")</f>
        <v>OUAQERROUCH Nour-El Houda</v>
      </c>
      <c r="Z168" s="12" t="str">
        <f>IFERROR(VLOOKUP(B168,Annuaire_roster!B:F,3,0),"-")</f>
        <v>Google Leads</v>
      </c>
      <c r="AA168" s="12" t="str">
        <f>IFERROR(VLOOKUP(B168,Annuaire_roster!B:I,6,0),"-")</f>
        <v>Forfaitaire</v>
      </c>
      <c r="AB168" s="142" t="str">
        <f>IF(AND(D168="Congé",F168="Congé"),0.333333333333333,IF(OR(AND(D168="Congé",F168&lt;&gt;"Congé"),(AND(F168="Congé",D168&lt;&gt;"Congé"))),0.166666666666667,""))</f>
        <v/>
      </c>
      <c r="AC168" s="142" t="str">
        <f>IF(AND(D168="Congé sans solde",F168="Congé sans solde"),0.333333333333333,IF(OR(AND(D168="Congé sans solde",F168&lt;&gt;"Congé sans solde"),(AND(F168="Congé sans solde",D168&lt;&gt;"Congé sans solde"))),0.166666666666667,""))</f>
        <v/>
      </c>
      <c r="AD168" s="142" t="str">
        <f>IF(AND(D168="Congé spécial",F168="Congé spécial"),0.333333333333333,IF(OR(AND(D168="Congé spécial",F168&lt;&gt;"Congé décès"),(AND(F168="Congé spécial",D168&lt;&gt;"Congé spécial"))),0.166666666666667,""))</f>
        <v/>
      </c>
      <c r="AE168" s="143" t="str">
        <f>IF(AND(D168="Férié",F168="Férié"),0.333333333333333,IF(OR(AND(D168="Férié",F168&lt;&gt;"Férié"),(AND(F168="Férié",D168&lt;&gt;"Férié"))),0.166666666666667,""))</f>
        <v/>
      </c>
      <c r="AF168" s="63"/>
      <c r="AG168" s="10"/>
    </row>
    <row r="169" spans="1:33" x14ac:dyDescent="0.2">
      <c r="A169" s="70">
        <f>VLOOKUP(B169,Annuaire_roster!B:F,5,0)</f>
        <v>1008</v>
      </c>
      <c r="B169" s="166" t="s">
        <v>94</v>
      </c>
      <c r="C169" s="61"/>
      <c r="D169" s="61">
        <f t="array" ref="D169">IFERROR(INDEX(Planning2[],MATCH(1,(Planning2[Nom]=B169)*(Planning2[Date]=Q169),0),3),"-")</f>
        <v>0.29166666666666669</v>
      </c>
      <c r="E169" s="38"/>
      <c r="F169" s="38">
        <f t="array" ref="F169">IFERROR(INDEX(Planning2[],MATCH(1,(Planning2[Nom]=B169)*(Planning2[Date]=Q169),0),4),"-")</f>
        <v>0.66666666666666663</v>
      </c>
      <c r="G169" s="88"/>
      <c r="H169" s="88"/>
      <c r="I169" s="209" t="str">
        <f>IF(IF(OR(C169="",D169="Congé",D169="OFF",D169="Congé spécial"),"",IF(D169&gt;F169,D169-C169,IF(C169-D169&lt;0,0,C169-D169)))&lt;0.00068287037037037,"",IF(OR(D169="Congé",D169="OFF",C169="",D169="Congé spécial"),"",IF(D169&gt;F169,D169-C169,IF(C169-D169&lt;0,0,C169-D169))))</f>
        <v/>
      </c>
      <c r="J169" s="88"/>
      <c r="K169" s="89">
        <f>IF(SUM(H169:J169)&lt;0.00068287037037037,0,SUM(H169:J169))</f>
        <v>0</v>
      </c>
      <c r="L169" s="88">
        <f>IF(OR(F169="Congé",F169="OFF",M169="Abs",F169="Congé sans solde",F169="Férié",F169="Congé spécial",D169="Congé spécial"),0,IF(F169-E169&lt;0,0,IF(F169-E169&lt;=0.00068287037037037,0,F169-E169)))</f>
        <v>0</v>
      </c>
      <c r="M169" s="62" t="str">
        <f>IF(AND(O169&lt;&gt;0,C169=""),"Abs",0)</f>
        <v>Abs</v>
      </c>
      <c r="N169" s="102" t="str">
        <f>IFERROR(IF(OR(D169="OFF",D169="Congé",M169="Abs",D169="Congé sans solde",D169="Férié"),"",IF(O169-K169-L169&gt;O169,O169,IF(O169-K169-L169&lt;0,"",O169-K169-L169))),"")</f>
        <v/>
      </c>
      <c r="O169" s="90">
        <f>IF(AG169="2H Pause déjeuner",IF(F169-D169-0.0833333333333333&lt;0,F169-D169-0.0833333333333333+1,F169-D169-0.0833333333333333),IF(OR(AND(F169="OFF",D169="OFF"),AND(F169="Congé",D169="Congé"),AND(F169="Congé sans solde",D169="Congé sans solde"),AND(F169="Congé spécial",D169="Congé spécial"),AND(F169="Férié",D169="Férié"),AND(F169="OFF",D169="Congé"),AND(F169="OFF",D169="Congé sans solde"),AND(F169="OFF",D169="Congé spécial"),AND(F169="OFF",D169="Férié"),AND(F169="Congé",D169="OFF"),AND(F169="Congé",D169="Congé sans solde"),AND(F169="Congé",D169="Congé spécial"),AND(F169="Congé",D169="Férié"),AND(F169="Congé sans solde",D169="OFF"),AND(F169="Congé sans solde",D169="Congé"),AND(F169="Congé sans solde",D169="Congé spécial"),AND(F169="Congé sans solde",D169="Férié"),AND(F169="Congé spécial",D169="OFF"),AND(F169="Congé spécial",D169="Congé"),AND(F169="Congé spécial",D169="Congé sans solde"),AND(F169="Congé spécial",D169="Férié"),AND(F169="Férié",D169="OFF"),AND(F169="Férié",D169="Congé"),AND(F169="Férié",D169="Congé sans solde"),AND(F169="Férié",D169="Congé spécial")),0,IF(OR(F169="OFF",F169="Congé",F169="Congé spécial",F169="Congé sans solde",D169="OFF",D169="Congé",D169="Congé spécial",D169="Congé sans solde"),0.208333333333334,IF(AND(AG169="",F169-D169&lt;0),("24:00:00"-D169)+("00:00:00"+F169)-0.0416666666666667,IF(AND(OR(AG169="Allaitement",AG169="Sans déjeuner"),F169-D169&lt;0),("24:00:00"-D169)+("00:00:00"+F169),IF(AND(AG169="",F169-D169&gt;0.166666666666667),F169-D169-0.0416666666666667,IF(AND(OR(AG169="Allaitement",AG169="Sans déjeuner"),F169-D169&gt;0.166666666666667),F169-D169,F169-D169)))))))</f>
        <v>0.33333333333333326</v>
      </c>
      <c r="P169" s="91" t="str">
        <f>IFERROR(VLOOKUP($B169,Annuaire_roster!$B:$G,MATCH(P$1,Annuaire_roster!$B$1:$G$1,0),0),"-")</f>
        <v>Google Leads</v>
      </c>
      <c r="Q169" s="100">
        <v>44722</v>
      </c>
      <c r="R169" s="10">
        <f>IF(M169="Abs",O169,0)</f>
        <v>0.33333333333333326</v>
      </c>
      <c r="S169" s="10">
        <f>SUM(R169,L169,I169,J169,W169,H169)</f>
        <v>0.33333333333333326</v>
      </c>
      <c r="T169" s="16" t="str">
        <f>"Sem - "&amp;WEEKNUM(Q169,21)</f>
        <v>Sem - 24</v>
      </c>
      <c r="U169" s="16" t="str">
        <f>PROPER(TEXT(Q169,"mmmm"))</f>
        <v>Juin</v>
      </c>
      <c r="V169" s="11" t="str">
        <f>+TEXT(Q169,"aaa")</f>
        <v>2026</v>
      </c>
      <c r="W169" s="9"/>
      <c r="X169" s="5">
        <f>IFERROR(IF(M169="Abs",0,IF((D169-C169+E169-F169)&lt;0.000694444444444444,0,(D169-C169+E169-F169))),0)</f>
        <v>0</v>
      </c>
      <c r="Y169" s="12" t="str">
        <f>IFERROR(VLOOKUP(B169,Annuaire_roster!B:E,4,0),"-")</f>
        <v>CHOUIFI Mustapha</v>
      </c>
      <c r="Z169" s="12" t="str">
        <f>IFERROR(VLOOKUP(B169,Annuaire_roster!B:F,3,0),"-")</f>
        <v>Google Leads</v>
      </c>
      <c r="AA169" s="12" t="str">
        <f>IFERROR(VLOOKUP(B169,Annuaire_roster!B:I,6,0),"-")</f>
        <v>Forfaitaire</v>
      </c>
      <c r="AB169" s="142" t="str">
        <f>IF(AND(D169="Congé",F169="Congé"),0.333333333333333,IF(OR(AND(D169="Congé",F169&lt;&gt;"Congé"),(AND(F169="Congé",D169&lt;&gt;"Congé"))),0.166666666666667,""))</f>
        <v/>
      </c>
      <c r="AC169" s="142" t="str">
        <f>IF(AND(D169="Congé sans solde",F169="Congé sans solde"),0.333333333333333,IF(OR(AND(D169="Congé sans solde",F169&lt;&gt;"Congé sans solde"),(AND(F169="Congé sans solde",D169&lt;&gt;"Congé sans solde"))),0.166666666666667,""))</f>
        <v/>
      </c>
      <c r="AD169" s="142" t="str">
        <f>IF(AND(D169="Congé spécial",F169="Congé spécial"),0.333333333333333,IF(OR(AND(D169="Congé spécial",F169&lt;&gt;"Congé décès"),(AND(F169="Congé spécial",D169&lt;&gt;"Congé spécial"))),0.166666666666667,""))</f>
        <v/>
      </c>
      <c r="AE169" s="143" t="str">
        <f>IF(AND(D169="Férié",F169="Férié"),0.333333333333333,IF(OR(AND(D169="Férié",F169&lt;&gt;"Férié"),(AND(F169="Férié",D169&lt;&gt;"Férié"))),0.166666666666667,""))</f>
        <v/>
      </c>
      <c r="AF169" s="63"/>
      <c r="AG169" s="10"/>
    </row>
    <row r="170" spans="1:33" x14ac:dyDescent="0.2">
      <c r="A170" s="70">
        <f>VLOOKUP(B170,Annuaire_roster!B:F,5,0)</f>
        <v>1274</v>
      </c>
      <c r="B170" s="166" t="s">
        <v>141</v>
      </c>
      <c r="C170" s="61"/>
      <c r="D170" s="61">
        <f t="array" ref="D170">IFERROR(INDEX(Planning2[],MATCH(1,(Planning2[Nom]=B170)*(Planning2[Date]=Q170),0),3),"-")</f>
        <v>0.29166666666666669</v>
      </c>
      <c r="E170" s="38"/>
      <c r="F170" s="38">
        <f t="array" ref="F170">IFERROR(INDEX(Planning2[],MATCH(1,(Planning2[Nom]=B170)*(Planning2[Date]=Q170),0),4),"-")</f>
        <v>0.66666666666666663</v>
      </c>
      <c r="G170" s="88"/>
      <c r="H170" s="88"/>
      <c r="I170" s="209" t="str">
        <f>IF(IF(OR(C170="",D170="Congé",D170="OFF",D170="Congé spécial"),"",IF(D170&gt;F170,D170-C170,IF(C170-D170&lt;0,0,C170-D170)))&lt;0.00068287037037037,"",IF(OR(D170="Congé",D170="OFF",C170="",D170="Congé spécial"),"",IF(D170&gt;F170,D170-C170,IF(C170-D170&lt;0,0,C170-D170))))</f>
        <v/>
      </c>
      <c r="J170" s="88"/>
      <c r="K170" s="89">
        <f>IF(SUM(H170:J170)&lt;0.00068287037037037,0,SUM(H170:J170))</f>
        <v>0</v>
      </c>
      <c r="L170" s="88">
        <f>IF(OR(F170="Congé",F170="OFF",M170="Abs",F170="Congé sans solde",F170="Férié",F170="Congé spécial",D170="Congé spécial"),0,IF(F170-E170&lt;0,0,IF(F170-E170&lt;=0.00068287037037037,0,F170-E170)))</f>
        <v>0</v>
      </c>
      <c r="M170" s="62" t="str">
        <f>IF(AND(O170&lt;&gt;0,C170=""),"Abs",0)</f>
        <v>Abs</v>
      </c>
      <c r="N170" s="102" t="str">
        <f>IFERROR(IF(OR(D170="OFF",D170="Congé",M170="Abs",D170="Congé sans solde",D170="Férié"),"",IF(O170-K170-L170&gt;O170,O170,IF(O170-K170-L170&lt;0,"",O170-K170-L170))),"")</f>
        <v/>
      </c>
      <c r="O170" s="90">
        <f>IF(AG170="2H Pause déjeuner",IF(F170-D170-0.0833333333333333&lt;0,F170-D170-0.0833333333333333+1,F170-D170-0.0833333333333333),IF(OR(AND(F170="OFF",D170="OFF"),AND(F170="Congé",D170="Congé"),AND(F170="Congé sans solde",D170="Congé sans solde"),AND(F170="Congé spécial",D170="Congé spécial"),AND(F170="Férié",D170="Férié"),AND(F170="OFF",D170="Congé"),AND(F170="OFF",D170="Congé sans solde"),AND(F170="OFF",D170="Congé spécial"),AND(F170="OFF",D170="Férié"),AND(F170="Congé",D170="OFF"),AND(F170="Congé",D170="Congé sans solde"),AND(F170="Congé",D170="Congé spécial"),AND(F170="Congé",D170="Férié"),AND(F170="Congé sans solde",D170="OFF"),AND(F170="Congé sans solde",D170="Congé"),AND(F170="Congé sans solde",D170="Congé spécial"),AND(F170="Congé sans solde",D170="Férié"),AND(F170="Congé spécial",D170="OFF"),AND(F170="Congé spécial",D170="Congé"),AND(F170="Congé spécial",D170="Congé sans solde"),AND(F170="Congé spécial",D170="Férié"),AND(F170="Férié",D170="OFF"),AND(F170="Férié",D170="Congé"),AND(F170="Férié",D170="Congé sans solde"),AND(F170="Férié",D170="Congé spécial")),0,IF(OR(F170="OFF",F170="Congé",F170="Congé spécial",F170="Congé sans solde",D170="OFF",D170="Congé",D170="Congé spécial",D170="Congé sans solde"),0.208333333333334,IF(AND(AG170="",F170-D170&lt;0),("24:00:00"-D170)+("00:00:00"+F170)-0.0416666666666667,IF(AND(OR(AG170="Allaitement",AG170="Sans déjeuner"),F170-D170&lt;0),("24:00:00"-D170)+("00:00:00"+F170),IF(AND(AG170="",F170-D170&gt;0.166666666666667),F170-D170-0.0416666666666667,IF(AND(OR(AG170="Allaitement",AG170="Sans déjeuner"),F170-D170&gt;0.166666666666667),F170-D170,F170-D170)))))))</f>
        <v>0.33333333333333326</v>
      </c>
      <c r="P170" s="91" t="str">
        <f>IFERROR(VLOOKUP($B170,Annuaire_roster!$B:$G,MATCH(P$1,Annuaire_roster!$B$1:$G$1,0),0),"-")</f>
        <v>Google Leads</v>
      </c>
      <c r="Q170" s="100">
        <v>44722</v>
      </c>
      <c r="R170" s="10">
        <f>IF(M170="Abs",O170,0)</f>
        <v>0.33333333333333326</v>
      </c>
      <c r="S170" s="10">
        <f>SUM(R170,L170,I170,J170,W170,H170)</f>
        <v>0.33333333333333326</v>
      </c>
      <c r="T170" s="16" t="str">
        <f>"Sem - "&amp;WEEKNUM(Q170,21)</f>
        <v>Sem - 24</v>
      </c>
      <c r="U170" s="16" t="str">
        <f>PROPER(TEXT(Q170,"mmmm"))</f>
        <v>Juin</v>
      </c>
      <c r="V170" s="11" t="str">
        <f>+TEXT(Q170,"aaa")</f>
        <v>2026</v>
      </c>
      <c r="W170" s="9"/>
      <c r="X170" s="5">
        <f>IFERROR(IF(M170="Abs",0,IF((D170-C170+E170-F170)&lt;0.000694444444444444,0,(D170-C170+E170-F170))),0)</f>
        <v>0</v>
      </c>
      <c r="Y170" s="12" t="str">
        <f>IFERROR(VLOOKUP(B170,Annuaire_roster!B:E,4,0),"-")</f>
        <v>OUAQERROUCH Nour-El Houda</v>
      </c>
      <c r="Z170" s="12" t="str">
        <f>IFERROR(VLOOKUP(B170,Annuaire_roster!B:F,3,0),"-")</f>
        <v>Google Leads</v>
      </c>
      <c r="AA170" s="12" t="str">
        <f>IFERROR(VLOOKUP(B170,Annuaire_roster!B:I,6,0),"-")</f>
        <v>Forfaitaire</v>
      </c>
      <c r="AB170" s="142" t="str">
        <f>IF(AND(D170="Congé",F170="Congé"),0.333333333333333,IF(OR(AND(D170="Congé",F170&lt;&gt;"Congé"),(AND(F170="Congé",D170&lt;&gt;"Congé"))),0.166666666666667,""))</f>
        <v/>
      </c>
      <c r="AC170" s="142" t="str">
        <f>IF(AND(D170="Congé sans solde",F170="Congé sans solde"),0.333333333333333,IF(OR(AND(D170="Congé sans solde",F170&lt;&gt;"Congé sans solde"),(AND(F170="Congé sans solde",D170&lt;&gt;"Congé sans solde"))),0.166666666666667,""))</f>
        <v/>
      </c>
      <c r="AD170" s="142" t="str">
        <f>IF(AND(D170="Congé spécial",F170="Congé spécial"),0.333333333333333,IF(OR(AND(D170="Congé spécial",F170&lt;&gt;"Congé décès"),(AND(F170="Congé spécial",D170&lt;&gt;"Congé spécial"))),0.166666666666667,""))</f>
        <v/>
      </c>
      <c r="AE170" s="143" t="str">
        <f>IF(AND(D170="Férié",F170="Férié"),0.333333333333333,IF(OR(AND(D170="Férié",F170&lt;&gt;"Férié"),(AND(F170="Férié",D170&lt;&gt;"Férié"))),0.166666666666667,""))</f>
        <v/>
      </c>
      <c r="AF170" s="63"/>
      <c r="AG170" s="10"/>
    </row>
    <row r="171" spans="1:33" x14ac:dyDescent="0.2">
      <c r="A171" s="70">
        <f>VLOOKUP(B171,Annuaire_roster!B:F,5,0)</f>
        <v>0</v>
      </c>
      <c r="B171" s="166" t="s">
        <v>196</v>
      </c>
      <c r="C171" s="61"/>
      <c r="D171" s="61">
        <f t="array" ref="D171">IFERROR(INDEX(Planning2[],MATCH(1,(Planning2[Nom]=B171)*(Planning2[Date]=Q171),0),3),"-")</f>
        <v>0.29166666666666669</v>
      </c>
      <c r="E171" s="38"/>
      <c r="F171" s="38">
        <f t="array" ref="F171">IFERROR(INDEX(Planning2[],MATCH(1,(Planning2[Nom]=B171)*(Planning2[Date]=Q171),0),4),"-")</f>
        <v>0.66666666666666663</v>
      </c>
      <c r="G171" s="88"/>
      <c r="H171" s="88"/>
      <c r="I171" s="209" t="str">
        <f>IF(IF(OR(C171="",D171="Congé",D171="OFF",D171="Congé spécial"),"",IF(D171&gt;F171,D171-C171,IF(C171-D171&lt;0,0,C171-D171)))&lt;0.00068287037037037,"",IF(OR(D171="Congé",D171="OFF",C171="",D171="Congé spécial"),"",IF(D171&gt;F171,D171-C171,IF(C171-D171&lt;0,0,C171-D171))))</f>
        <v/>
      </c>
      <c r="J171" s="88"/>
      <c r="K171" s="89">
        <f>IF(SUM(H171:J171)&lt;0.00068287037037037,0,SUM(H171:J171))</f>
        <v>0</v>
      </c>
      <c r="L171" s="88">
        <f>IF(OR(F171="Congé",F171="OFF",M171="Abs",F171="Congé sans solde",F171="Férié",F171="Congé spécial",D171="Congé spécial"),0,IF(F171-E171&lt;0,0,IF(F171-E171&lt;=0.00068287037037037,0,F171-E171)))</f>
        <v>0</v>
      </c>
      <c r="M171" s="62" t="str">
        <f>IF(AND(O171&lt;&gt;0,C171=""),"Abs",0)</f>
        <v>Abs</v>
      </c>
      <c r="N171" s="102" t="str">
        <f>IFERROR(IF(OR(D171="OFF",D171="Congé",M171="Abs",D171="Congé sans solde",D171="Férié"),"",IF(O171-K171-L171&gt;O171,O171,IF(O171-K171-L171&lt;0,"",O171-K171-L171))),"")</f>
        <v/>
      </c>
      <c r="O171" s="90">
        <f>IF(AG171="2H Pause déjeuner",IF(F171-D171-0.0833333333333333&lt;0,F171-D171-0.0833333333333333+1,F171-D171-0.0833333333333333),IF(OR(AND(F171="OFF",D171="OFF"),AND(F171="Congé",D171="Congé"),AND(F171="Congé sans solde",D171="Congé sans solde"),AND(F171="Congé spécial",D171="Congé spécial"),AND(F171="Férié",D171="Férié"),AND(F171="OFF",D171="Congé"),AND(F171="OFF",D171="Congé sans solde"),AND(F171="OFF",D171="Congé spécial"),AND(F171="OFF",D171="Férié"),AND(F171="Congé",D171="OFF"),AND(F171="Congé",D171="Congé sans solde"),AND(F171="Congé",D171="Congé spécial"),AND(F171="Congé",D171="Férié"),AND(F171="Congé sans solde",D171="OFF"),AND(F171="Congé sans solde",D171="Congé"),AND(F171="Congé sans solde",D171="Congé spécial"),AND(F171="Congé sans solde",D171="Férié"),AND(F171="Congé spécial",D171="OFF"),AND(F171="Congé spécial",D171="Congé"),AND(F171="Congé spécial",D171="Congé sans solde"),AND(F171="Congé spécial",D171="Férié"),AND(F171="Férié",D171="OFF"),AND(F171="Férié",D171="Congé"),AND(F171="Férié",D171="Congé sans solde"),AND(F171="Férié",D171="Congé spécial")),0,IF(OR(F171="OFF",F171="Congé",F171="Congé spécial",F171="Congé sans solde",D171="OFF",D171="Congé",D171="Congé spécial",D171="Congé sans solde"),0.208333333333334,IF(AND(AG171="",F171-D171&lt;0),("24:00:00"-D171)+("00:00:00"+F171)-0.0416666666666667,IF(AND(OR(AG171="Allaitement",AG171="Sans déjeuner"),F171-D171&lt;0),("24:00:00"-D171)+("00:00:00"+F171),IF(AND(AG171="",F171-D171&gt;0.166666666666667),F171-D171-0.0416666666666667,IF(AND(OR(AG171="Allaitement",AG171="Sans déjeuner"),F171-D171&gt;0.166666666666667),F171-D171,F171-D171)))))))</f>
        <v>0.33333333333333326</v>
      </c>
      <c r="P171" s="91" t="str">
        <f>IFERROR(VLOOKUP($B171,Annuaire_roster!$B:$G,MATCH(P$1,Annuaire_roster!$B$1:$G$1,0),0),"-")</f>
        <v>Google Leads</v>
      </c>
      <c r="Q171" s="100">
        <v>44722</v>
      </c>
      <c r="R171" s="10">
        <f>IF(M171="Abs",O171,0)</f>
        <v>0.33333333333333326</v>
      </c>
      <c r="S171" s="10">
        <f>SUM(R171,L171,I171,J171,W171,H171)</f>
        <v>0.33333333333333326</v>
      </c>
      <c r="T171" s="16" t="str">
        <f>"Sem - "&amp;WEEKNUM(Q171,21)</f>
        <v>Sem - 24</v>
      </c>
      <c r="U171" s="16" t="str">
        <f>PROPER(TEXT(Q171,"mmmm"))</f>
        <v>Juin</v>
      </c>
      <c r="V171" s="11" t="str">
        <f>+TEXT(Q171,"aaa")</f>
        <v>2026</v>
      </c>
      <c r="W171" s="9"/>
      <c r="X171" s="5">
        <f>IFERROR(IF(M171="Abs",0,IF((D171-C171+E171-F171)&lt;0.000694444444444444,0,(D171-C171+E171-F171))),0)</f>
        <v>0</v>
      </c>
      <c r="Y171" s="12">
        <f>IFERROR(VLOOKUP(B171,Annuaire_roster!B:E,4,0),"-")</f>
        <v>0</v>
      </c>
      <c r="Z171" s="12" t="str">
        <f>IFERROR(VLOOKUP(B171,Annuaire_roster!B:F,3,0),"-")</f>
        <v>Google Leads</v>
      </c>
      <c r="AA171" s="12">
        <f>IFERROR(VLOOKUP(B171,Annuaire_roster!B:I,6,0),"-")</f>
        <v>0</v>
      </c>
      <c r="AB171" s="142" t="str">
        <f>IF(AND(D171="Congé",F171="Congé"),0.333333333333333,IF(OR(AND(D171="Congé",F171&lt;&gt;"Congé"),(AND(F171="Congé",D171&lt;&gt;"Congé"))),0.166666666666667,""))</f>
        <v/>
      </c>
      <c r="AC171" s="142" t="str">
        <f>IF(AND(D171="Congé sans solde",F171="Congé sans solde"),0.333333333333333,IF(OR(AND(D171="Congé sans solde",F171&lt;&gt;"Congé sans solde"),(AND(F171="Congé sans solde",D171&lt;&gt;"Congé sans solde"))),0.166666666666667,""))</f>
        <v/>
      </c>
      <c r="AD171" s="142" t="str">
        <f>IF(AND(D171="Congé spécial",F171="Congé spécial"),0.333333333333333,IF(OR(AND(D171="Congé spécial",F171&lt;&gt;"Congé décès"),(AND(F171="Congé spécial",D171&lt;&gt;"Congé spécial"))),0.166666666666667,""))</f>
        <v/>
      </c>
      <c r="AE171" s="143" t="str">
        <f>IF(AND(D171="Férié",F171="Férié"),0.333333333333333,IF(OR(AND(D171="Férié",F171&lt;&gt;"Férié"),(AND(F171="Férié",D171&lt;&gt;"Férié"))),0.166666666666667,""))</f>
        <v/>
      </c>
      <c r="AF171" s="63"/>
      <c r="AG171" s="10"/>
    </row>
    <row r="172" spans="1:33" x14ac:dyDescent="0.2">
      <c r="A172" s="70">
        <f>VLOOKUP(B172,Annuaire_roster!B:F,5,0)</f>
        <v>1170</v>
      </c>
      <c r="B172" s="166" t="s">
        <v>106</v>
      </c>
      <c r="C172" s="61"/>
      <c r="D172" s="61">
        <f t="array" ref="D172">IFERROR(INDEX(Planning2[],MATCH(1,(Planning2[Nom]=B172)*(Planning2[Date]=Q172),0),3),"-")</f>
        <v>0.33333333333333331</v>
      </c>
      <c r="E172" s="38"/>
      <c r="F172" s="38">
        <f t="array" ref="F172">IFERROR(INDEX(Planning2[],MATCH(1,(Planning2[Nom]=B172)*(Planning2[Date]=Q172),0),4),"-")</f>
        <v>0.75</v>
      </c>
      <c r="G172" s="88"/>
      <c r="H172" s="88"/>
      <c r="I172" s="209" t="str">
        <f>IF(IF(OR(C172="",D172="Congé",D172="OFF",D172="Congé spécial"),"",IF(D172&gt;F172,D172-C172,IF(C172-D172&lt;0,0,C172-D172)))&lt;0.00068287037037037,"",IF(OR(D172="Congé",D172="OFF",C172="",D172="Congé spécial"),"",IF(D172&gt;F172,D172-C172,IF(C172-D172&lt;0,0,C172-D172))))</f>
        <v/>
      </c>
      <c r="J172" s="88"/>
      <c r="K172" s="89">
        <f>IF(SUM(H172:J172)&lt;0.00068287037037037,0,SUM(H172:J172))</f>
        <v>0</v>
      </c>
      <c r="L172" s="88">
        <f>IF(OR(F172="Congé",F172="OFF",M172="Abs",F172="Congé sans solde",F172="Férié",F172="Congé spécial",D172="Congé spécial"),0,IF(F172-E172&lt;0,0,IF(F172-E172&lt;=0.00068287037037037,0,F172-E172)))</f>
        <v>0</v>
      </c>
      <c r="M172" s="62" t="str">
        <f>IF(AND(O172&lt;&gt;0,C172=""),"Abs",0)</f>
        <v>Abs</v>
      </c>
      <c r="N172" s="102" t="str">
        <f>IFERROR(IF(OR(D172="OFF",D172="Congé",M172="Abs",D172="Congé sans solde",D172="Férié"),"",IF(O172-K172-L172&gt;O172,O172,IF(O172-K172-L172&lt;0,"",O172-K172-L172))),"")</f>
        <v/>
      </c>
      <c r="O172" s="90">
        <f>IF(AG172="2H Pause déjeuner",IF(F172-D172-0.0833333333333333&lt;0,F172-D172-0.0833333333333333+1,F172-D172-0.0833333333333333),IF(OR(AND(F172="OFF",D172="OFF"),AND(F172="Congé",D172="Congé"),AND(F172="Congé sans solde",D172="Congé sans solde"),AND(F172="Congé spécial",D172="Congé spécial"),AND(F172="Férié",D172="Férié"),AND(F172="OFF",D172="Congé"),AND(F172="OFF",D172="Congé sans solde"),AND(F172="OFF",D172="Congé spécial"),AND(F172="OFF",D172="Férié"),AND(F172="Congé",D172="OFF"),AND(F172="Congé",D172="Congé sans solde"),AND(F172="Congé",D172="Congé spécial"),AND(F172="Congé",D172="Férié"),AND(F172="Congé sans solde",D172="OFF"),AND(F172="Congé sans solde",D172="Congé"),AND(F172="Congé sans solde",D172="Congé spécial"),AND(F172="Congé sans solde",D172="Férié"),AND(F172="Congé spécial",D172="OFF"),AND(F172="Congé spécial",D172="Congé"),AND(F172="Congé spécial",D172="Congé sans solde"),AND(F172="Congé spécial",D172="Férié"),AND(F172="Férié",D172="OFF"),AND(F172="Férié",D172="Congé"),AND(F172="Férié",D172="Congé sans solde"),AND(F172="Férié",D172="Congé spécial")),0,IF(OR(F172="OFF",F172="Congé",F172="Congé spécial",F172="Congé sans solde",D172="OFF",D172="Congé",D172="Congé spécial",D172="Congé sans solde"),0.208333333333334,IF(AND(AG172="",F172-D172&lt;0),("24:00:00"-D172)+("00:00:00"+F172)-0.0416666666666667,IF(AND(OR(AG172="Allaitement",AG172="Sans déjeuner"),F172-D172&lt;0),("24:00:00"-D172)+("00:00:00"+F172),IF(AND(AG172="",F172-D172&gt;0.166666666666667),F172-D172-0.0416666666666667,IF(AND(OR(AG172="Allaitement",AG172="Sans déjeuner"),F172-D172&gt;0.166666666666667),F172-D172,F172-D172)))))))</f>
        <v>0.375</v>
      </c>
      <c r="P172" s="91" t="str">
        <f>IFERROR(VLOOKUP($B172,Annuaire_roster!$B:$G,MATCH(P$1,Annuaire_roster!$B$1:$G$1,0),0),"-")</f>
        <v>Google Leads</v>
      </c>
      <c r="Q172" s="100">
        <v>44722</v>
      </c>
      <c r="R172" s="10">
        <f>IF(M172="Abs",O172,0)</f>
        <v>0.375</v>
      </c>
      <c r="S172" s="10">
        <f>SUM(R172,L172,I172,J172,W172,H172)</f>
        <v>0.375</v>
      </c>
      <c r="T172" s="16" t="str">
        <f>"Sem - "&amp;WEEKNUM(Q172,21)</f>
        <v>Sem - 24</v>
      </c>
      <c r="U172" s="16" t="str">
        <f>PROPER(TEXT(Q172,"mmmm"))</f>
        <v>Juin</v>
      </c>
      <c r="V172" s="11" t="str">
        <f>+TEXT(Q172,"aaa")</f>
        <v>2026</v>
      </c>
      <c r="W172" s="9"/>
      <c r="X172" s="5">
        <f>IFERROR(IF(M172="Abs",0,IF((D172-C172+E172-F172)&lt;0.000694444444444444,0,(D172-C172+E172-F172))),0)</f>
        <v>0</v>
      </c>
      <c r="Y172" s="12" t="str">
        <f>IFERROR(VLOOKUP(B172,Annuaire_roster!B:E,4,0),"-")</f>
        <v>CHOUIFI Mustapha</v>
      </c>
      <c r="Z172" s="12" t="str">
        <f>IFERROR(VLOOKUP(B172,Annuaire_roster!B:F,3,0),"-")</f>
        <v>Google Leads</v>
      </c>
      <c r="AA172" s="12" t="str">
        <f>IFERROR(VLOOKUP(B172,Annuaire_roster!B:I,6,0),"-")</f>
        <v>Forfaitaire</v>
      </c>
      <c r="AB172" s="142" t="str">
        <f>IF(AND(D172="Congé",F172="Congé"),0.333333333333333,IF(OR(AND(D172="Congé",F172&lt;&gt;"Congé"),(AND(F172="Congé",D172&lt;&gt;"Congé"))),0.166666666666667,""))</f>
        <v/>
      </c>
      <c r="AC172" s="142" t="str">
        <f>IF(AND(D172="Congé sans solde",F172="Congé sans solde"),0.333333333333333,IF(OR(AND(D172="Congé sans solde",F172&lt;&gt;"Congé sans solde"),(AND(F172="Congé sans solde",D172&lt;&gt;"Congé sans solde"))),0.166666666666667,""))</f>
        <v/>
      </c>
      <c r="AD172" s="142" t="str">
        <f>IF(AND(D172="Congé spécial",F172="Congé spécial"),0.333333333333333,IF(OR(AND(D172="Congé spécial",F172&lt;&gt;"Congé décès"),(AND(F172="Congé spécial",D172&lt;&gt;"Congé spécial"))),0.166666666666667,""))</f>
        <v/>
      </c>
      <c r="AE172" s="143" t="str">
        <f>IF(AND(D172="Férié",F172="Férié"),0.333333333333333,IF(OR(AND(D172="Férié",F172&lt;&gt;"Férié"),(AND(F172="Férié",D172&lt;&gt;"Férié"))),0.166666666666667,""))</f>
        <v/>
      </c>
      <c r="AF172" s="63"/>
      <c r="AG172" s="10"/>
    </row>
    <row r="173" spans="1:33" x14ac:dyDescent="0.2">
      <c r="A173" s="70">
        <f>VLOOKUP(B173,Annuaire_roster!B:F,5,0)</f>
        <v>952</v>
      </c>
      <c r="B173" s="166" t="s">
        <v>87</v>
      </c>
      <c r="C173" s="61"/>
      <c r="D173" s="61">
        <f t="array" ref="D173">IFERROR(INDEX(Planning2[],MATCH(1,(Planning2[Nom]=B173)*(Planning2[Date]=Q173),0),3),"-")</f>
        <v>0.41666666666666669</v>
      </c>
      <c r="E173" s="38"/>
      <c r="F173" s="38">
        <f t="array" ref="F173">IFERROR(INDEX(Planning2[],MATCH(1,(Planning2[Nom]=B173)*(Planning2[Date]=Q173),0),4),"-")</f>
        <v>0.83333333333333337</v>
      </c>
      <c r="G173" s="88"/>
      <c r="H173" s="88"/>
      <c r="I173" s="209" t="str">
        <f>IF(IF(OR(C173="",D173="Congé",D173="OFF",D173="Congé spécial"),"",IF(D173&gt;F173,D173-C173,IF(C173-D173&lt;0,0,C173-D173)))&lt;0.00068287037037037,"",IF(OR(D173="Congé",D173="OFF",C173="",D173="Congé spécial"),"",IF(D173&gt;F173,D173-C173,IF(C173-D173&lt;0,0,C173-D173))))</f>
        <v/>
      </c>
      <c r="J173" s="88"/>
      <c r="K173" s="89">
        <f>IF(SUM(H173:J173)&lt;0.00068287037037037,0,SUM(H173:J173))</f>
        <v>0</v>
      </c>
      <c r="L173" s="88">
        <f>IF(OR(F173="Congé",F173="OFF",M173="Abs",F173="Congé sans solde",F173="Férié",F173="Congé spécial",D173="Congé spécial"),0,IF(F173-E173&lt;0,0,IF(F173-E173&lt;=0.00068287037037037,0,F173-E173)))</f>
        <v>0</v>
      </c>
      <c r="M173" s="62" t="str">
        <f>IF(AND(O173&lt;&gt;0,C173=""),"Abs",0)</f>
        <v>Abs</v>
      </c>
      <c r="N173" s="102" t="str">
        <f>IFERROR(IF(OR(D173="OFF",D173="Congé",M173="Abs",D173="Congé sans solde",D173="Férié"),"",IF(O173-K173-L173&gt;O173,O173,IF(O173-K173-L173&lt;0,"",O173-K173-L173))),"")</f>
        <v/>
      </c>
      <c r="O173" s="90">
        <f>IF(AG173="2H Pause déjeuner",IF(F173-D173-0.0833333333333333&lt;0,F173-D173-0.0833333333333333+1,F173-D173-0.0833333333333333),IF(OR(AND(F173="OFF",D173="OFF"),AND(F173="Congé",D173="Congé"),AND(F173="Congé sans solde",D173="Congé sans solde"),AND(F173="Congé spécial",D173="Congé spécial"),AND(F173="Férié",D173="Férié"),AND(F173="OFF",D173="Congé"),AND(F173="OFF",D173="Congé sans solde"),AND(F173="OFF",D173="Congé spécial"),AND(F173="OFF",D173="Férié"),AND(F173="Congé",D173="OFF"),AND(F173="Congé",D173="Congé sans solde"),AND(F173="Congé",D173="Congé spécial"),AND(F173="Congé",D173="Férié"),AND(F173="Congé sans solde",D173="OFF"),AND(F173="Congé sans solde",D173="Congé"),AND(F173="Congé sans solde",D173="Congé spécial"),AND(F173="Congé sans solde",D173="Férié"),AND(F173="Congé spécial",D173="OFF"),AND(F173="Congé spécial",D173="Congé"),AND(F173="Congé spécial",D173="Congé sans solde"),AND(F173="Congé spécial",D173="Férié"),AND(F173="Férié",D173="OFF"),AND(F173="Férié",D173="Congé"),AND(F173="Férié",D173="Congé sans solde"),AND(F173="Férié",D173="Congé spécial")),0,IF(OR(F173="OFF",F173="Congé",F173="Congé spécial",F173="Congé sans solde",D173="OFF",D173="Congé",D173="Congé spécial",D173="Congé sans solde"),0.208333333333334,IF(AND(AG173="",F173-D173&lt;0),("24:00:00"-D173)+("00:00:00"+F173)-0.0416666666666667,IF(AND(OR(AG173="Allaitement",AG173="Sans déjeuner"),F173-D173&lt;0),("24:00:00"-D173)+("00:00:00"+F173),IF(AND(AG173="",F173-D173&gt;0.166666666666667),F173-D173-0.0416666666666667,IF(AND(OR(AG173="Allaitement",AG173="Sans déjeuner"),F173-D173&gt;0.166666666666667),F173-D173,F173-D173)))))))</f>
        <v>0.375</v>
      </c>
      <c r="P173" s="91" t="str">
        <f>IFERROR(VLOOKUP($B173,Annuaire_roster!$B:$G,MATCH(P$1,Annuaire_roster!$B$1:$G$1,0),0),"-")</f>
        <v>Google Leads</v>
      </c>
      <c r="Q173" s="100">
        <v>44722</v>
      </c>
      <c r="R173" s="10">
        <f>IF(M173="Abs",O173,0)</f>
        <v>0.375</v>
      </c>
      <c r="S173" s="10">
        <f>SUM(R173,L173,I173,J173,W173,H173)</f>
        <v>0.375</v>
      </c>
      <c r="T173" s="16" t="str">
        <f>"Sem - "&amp;WEEKNUM(Q173,21)</f>
        <v>Sem - 24</v>
      </c>
      <c r="U173" s="16" t="str">
        <f>PROPER(TEXT(Q173,"mmmm"))</f>
        <v>Juin</v>
      </c>
      <c r="V173" s="11" t="str">
        <f>+TEXT(Q173,"aaa")</f>
        <v>2026</v>
      </c>
      <c r="W173" s="9"/>
      <c r="X173" s="5">
        <f>IFERROR(IF(M173="Abs",0,IF((D173-C173+E173-F173)&lt;0.000694444444444444,0,(D173-C173+E173-F173))),0)</f>
        <v>0</v>
      </c>
      <c r="Y173" s="12" t="str">
        <f>IFERROR(VLOOKUP(B173,Annuaire_roster!B:E,4,0),"-")</f>
        <v>OUAQERROUCH Nour-El Houda</v>
      </c>
      <c r="Z173" s="12" t="str">
        <f>IFERROR(VLOOKUP(B173,Annuaire_roster!B:F,3,0),"-")</f>
        <v>Google Leads</v>
      </c>
      <c r="AA173" s="12" t="str">
        <f>IFERROR(VLOOKUP(B173,Annuaire_roster!B:I,6,0),"-")</f>
        <v>Forfaitaire</v>
      </c>
      <c r="AB173" s="142" t="str">
        <f>IF(AND(D173="Congé",F173="Congé"),0.333333333333333,IF(OR(AND(D173="Congé",F173&lt;&gt;"Congé"),(AND(F173="Congé",D173&lt;&gt;"Congé"))),0.166666666666667,""))</f>
        <v/>
      </c>
      <c r="AC173" s="142" t="str">
        <f>IF(AND(D173="Congé sans solde",F173="Congé sans solde"),0.333333333333333,IF(OR(AND(D173="Congé sans solde",F173&lt;&gt;"Congé sans solde"),(AND(F173="Congé sans solde",D173&lt;&gt;"Congé sans solde"))),0.166666666666667,""))</f>
        <v/>
      </c>
      <c r="AD173" s="142" t="str">
        <f>IF(AND(D173="Congé spécial",F173="Congé spécial"),0.333333333333333,IF(OR(AND(D173="Congé spécial",F173&lt;&gt;"Congé décès"),(AND(F173="Congé spécial",D173&lt;&gt;"Congé spécial"))),0.166666666666667,""))</f>
        <v/>
      </c>
      <c r="AE173" s="143" t="str">
        <f>IF(AND(D173="Férié",F173="Férié"),0.333333333333333,IF(OR(AND(D173="Férié",F173&lt;&gt;"Férié"),(AND(F173="Férié",D173&lt;&gt;"Férié"))),0.166666666666667,""))</f>
        <v/>
      </c>
      <c r="AF173" s="63"/>
      <c r="AG173" s="10"/>
    </row>
    <row r="174" spans="1:33" x14ac:dyDescent="0.2">
      <c r="A174" s="70">
        <f>VLOOKUP(B174,Annuaire_roster!B:F,5,0)</f>
        <v>894</v>
      </c>
      <c r="B174" s="166" t="s">
        <v>80</v>
      </c>
      <c r="C174" s="61"/>
      <c r="D174" s="61">
        <f t="array" ref="D174">IFERROR(INDEX(Planning2[],MATCH(1,(Planning2[Nom]=B174)*(Planning2[Date]=Q174),0),3),"-")</f>
        <v>0.41666666666666669</v>
      </c>
      <c r="E174" s="38"/>
      <c r="F174" s="38">
        <f t="array" ref="F174">IFERROR(INDEX(Planning2[],MATCH(1,(Planning2[Nom]=B174)*(Planning2[Date]=Q174),0),4),"-")</f>
        <v>0.83333333333333337</v>
      </c>
      <c r="G174" s="88"/>
      <c r="H174" s="88"/>
      <c r="I174" s="209" t="str">
        <f>IF(IF(OR(C174="",D174="Congé",D174="OFF",D174="Congé spécial"),"",IF(D174&gt;F174,D174-C174,IF(C174-D174&lt;0,0,C174-D174)))&lt;0.00068287037037037,"",IF(OR(D174="Congé",D174="OFF",C174="",D174="Congé spécial"),"",IF(D174&gt;F174,D174-C174,IF(C174-D174&lt;0,0,C174-D174))))</f>
        <v/>
      </c>
      <c r="J174" s="88"/>
      <c r="K174" s="89">
        <f>IF(SUM(H174:J174)&lt;0.00068287037037037,0,SUM(H174:J174))</f>
        <v>0</v>
      </c>
      <c r="L174" s="88">
        <f>IF(OR(F174="Congé",F174="OFF",M174="Abs",F174="Congé sans solde",F174="Férié",F174="Congé spécial",D174="Congé spécial"),0,IF(F174-E174&lt;0,0,IF(F174-E174&lt;=0.00068287037037037,0,F174-E174)))</f>
        <v>0</v>
      </c>
      <c r="M174" s="62" t="str">
        <f>IF(AND(O174&lt;&gt;0,C174=""),"Abs",0)</f>
        <v>Abs</v>
      </c>
      <c r="N174" s="102" t="str">
        <f>IFERROR(IF(OR(D174="OFF",D174="Congé",M174="Abs",D174="Congé sans solde",D174="Férié"),"",IF(O174-K174-L174&gt;O174,O174,IF(O174-K174-L174&lt;0,"",O174-K174-L174))),"")</f>
        <v/>
      </c>
      <c r="O174" s="90">
        <f>IF(AG174="2H Pause déjeuner",IF(F174-D174-0.0833333333333333&lt;0,F174-D174-0.0833333333333333+1,F174-D174-0.0833333333333333),IF(OR(AND(F174="OFF",D174="OFF"),AND(F174="Congé",D174="Congé"),AND(F174="Congé sans solde",D174="Congé sans solde"),AND(F174="Congé spécial",D174="Congé spécial"),AND(F174="Férié",D174="Férié"),AND(F174="OFF",D174="Congé"),AND(F174="OFF",D174="Congé sans solde"),AND(F174="OFF",D174="Congé spécial"),AND(F174="OFF",D174="Férié"),AND(F174="Congé",D174="OFF"),AND(F174="Congé",D174="Congé sans solde"),AND(F174="Congé",D174="Congé spécial"),AND(F174="Congé",D174="Férié"),AND(F174="Congé sans solde",D174="OFF"),AND(F174="Congé sans solde",D174="Congé"),AND(F174="Congé sans solde",D174="Congé spécial"),AND(F174="Congé sans solde",D174="Férié"),AND(F174="Congé spécial",D174="OFF"),AND(F174="Congé spécial",D174="Congé"),AND(F174="Congé spécial",D174="Congé sans solde"),AND(F174="Congé spécial",D174="Férié"),AND(F174="Férié",D174="OFF"),AND(F174="Férié",D174="Congé"),AND(F174="Férié",D174="Congé sans solde"),AND(F174="Férié",D174="Congé spécial")),0,IF(OR(F174="OFF",F174="Congé",F174="Congé spécial",F174="Congé sans solde",D174="OFF",D174="Congé",D174="Congé spécial",D174="Congé sans solde"),0.208333333333334,IF(AND(AG174="",F174-D174&lt;0),("24:00:00"-D174)+("00:00:00"+F174)-0.0416666666666667,IF(AND(OR(AG174="Allaitement",AG174="Sans déjeuner"),F174-D174&lt;0),("24:00:00"-D174)+("00:00:00"+F174),IF(AND(AG174="",F174-D174&gt;0.166666666666667),F174-D174-0.0416666666666667,IF(AND(OR(AG174="Allaitement",AG174="Sans déjeuner"),F174-D174&gt;0.166666666666667),F174-D174,F174-D174)))))))</f>
        <v>0.375</v>
      </c>
      <c r="P174" s="91" t="str">
        <f>IFERROR(VLOOKUP($B174,Annuaire_roster!$B:$G,MATCH(P$1,Annuaire_roster!$B$1:$G$1,0),0),"-")</f>
        <v>Google Leads</v>
      </c>
      <c r="Q174" s="100">
        <v>44722</v>
      </c>
      <c r="R174" s="10">
        <f>IF(M174="Abs",O174,0)</f>
        <v>0.375</v>
      </c>
      <c r="S174" s="10">
        <f>SUM(R174,L174,I174,J174,W174,H174)</f>
        <v>0.375</v>
      </c>
      <c r="T174" s="16" t="str">
        <f>"Sem - "&amp;WEEKNUM(Q174,21)</f>
        <v>Sem - 24</v>
      </c>
      <c r="U174" s="16" t="str">
        <f>PROPER(TEXT(Q174,"mmmm"))</f>
        <v>Juin</v>
      </c>
      <c r="V174" s="11" t="str">
        <f>+TEXT(Q174,"aaa")</f>
        <v>2026</v>
      </c>
      <c r="W174" s="9"/>
      <c r="X174" s="5">
        <f>IFERROR(IF(M174="Abs",0,IF((D174-C174+E174-F174)&lt;0.000694444444444444,0,(D174-C174+E174-F174))),0)</f>
        <v>0</v>
      </c>
      <c r="Y174" s="12" t="str">
        <f>IFERROR(VLOOKUP(B174,Annuaire_roster!B:E,4,0),"-")</f>
        <v>OUAQERROUCH Nour-El Houda</v>
      </c>
      <c r="Z174" s="12" t="str">
        <f>IFERROR(VLOOKUP(B174,Annuaire_roster!B:F,3,0),"-")</f>
        <v>Google Leads</v>
      </c>
      <c r="AA174" s="12" t="str">
        <f>IFERROR(VLOOKUP(B174,Annuaire_roster!B:I,6,0),"-")</f>
        <v>Forfaitaire</v>
      </c>
      <c r="AB174" s="142" t="str">
        <f>IF(AND(D174="Congé",F174="Congé"),0.333333333333333,IF(OR(AND(D174="Congé",F174&lt;&gt;"Congé"),(AND(F174="Congé",D174&lt;&gt;"Congé"))),0.166666666666667,""))</f>
        <v/>
      </c>
      <c r="AC174" s="142" t="str">
        <f>IF(AND(D174="Congé sans solde",F174="Congé sans solde"),0.333333333333333,IF(OR(AND(D174="Congé sans solde",F174&lt;&gt;"Congé sans solde"),(AND(F174="Congé sans solde",D174&lt;&gt;"Congé sans solde"))),0.166666666666667,""))</f>
        <v/>
      </c>
      <c r="AD174" s="142" t="str">
        <f>IF(AND(D174="Congé spécial",F174="Congé spécial"),0.333333333333333,IF(OR(AND(D174="Congé spécial",F174&lt;&gt;"Congé décès"),(AND(F174="Congé spécial",D174&lt;&gt;"Congé spécial"))),0.166666666666667,""))</f>
        <v/>
      </c>
      <c r="AE174" s="143" t="str">
        <f>IF(AND(D174="Férié",F174="Férié"),0.333333333333333,IF(OR(AND(D174="Férié",F174&lt;&gt;"Férié"),(AND(F174="Férié",D174&lt;&gt;"Férié"))),0.166666666666667,""))</f>
        <v/>
      </c>
      <c r="AF174" s="63"/>
      <c r="AG174" s="10"/>
    </row>
    <row r="175" spans="1:33" x14ac:dyDescent="0.2">
      <c r="A175" s="70">
        <f>VLOOKUP(B175,Annuaire_roster!B:F,5,0)</f>
        <v>0</v>
      </c>
      <c r="B175" s="166" t="s">
        <v>197</v>
      </c>
      <c r="C175" s="61"/>
      <c r="D175" s="61">
        <f t="array" ref="D175">IFERROR(INDEX(Planning2[],MATCH(1,(Planning2[Nom]=B175)*(Planning2[Date]=Q175),0),3),"-")</f>
        <v>0.41666666666666669</v>
      </c>
      <c r="E175" s="38"/>
      <c r="F175" s="38">
        <f t="array" ref="F175">IFERROR(INDEX(Planning2[],MATCH(1,(Planning2[Nom]=B175)*(Planning2[Date]=Q175),0),4),"-")</f>
        <v>0.83333333333333337</v>
      </c>
      <c r="G175" s="88"/>
      <c r="H175" s="88"/>
      <c r="I175" s="209" t="str">
        <f>IF(IF(OR(C175="",D175="Congé",D175="OFF",D175="Congé spécial"),"",IF(D175&gt;F175,D175-C175,IF(C175-D175&lt;0,0,C175-D175)))&lt;0.00068287037037037,"",IF(OR(D175="Congé",D175="OFF",C175="",D175="Congé spécial"),"",IF(D175&gt;F175,D175-C175,IF(C175-D175&lt;0,0,C175-D175))))</f>
        <v/>
      </c>
      <c r="J175" s="88"/>
      <c r="K175" s="89">
        <f>IF(SUM(H175:J175)&lt;0.00068287037037037,0,SUM(H175:J175))</f>
        <v>0</v>
      </c>
      <c r="L175" s="88">
        <f>IF(OR(F175="Congé",F175="OFF",M175="Abs",F175="Congé sans solde",F175="Férié",F175="Congé spécial",D175="Congé spécial"),0,IF(F175-E175&lt;0,0,IF(F175-E175&lt;=0.00068287037037037,0,F175-E175)))</f>
        <v>0</v>
      </c>
      <c r="M175" s="62" t="str">
        <f>IF(AND(O175&lt;&gt;0,C175=""),"Abs",0)</f>
        <v>Abs</v>
      </c>
      <c r="N175" s="102" t="str">
        <f>IFERROR(IF(OR(D175="OFF",D175="Congé",M175="Abs",D175="Congé sans solde",D175="Férié"),"",IF(O175-K175-L175&gt;O175,O175,IF(O175-K175-L175&lt;0,"",O175-K175-L175))),"")</f>
        <v/>
      </c>
      <c r="O175" s="90">
        <f>IF(AG175="2H Pause déjeuner",IF(F175-D175-0.0833333333333333&lt;0,F175-D175-0.0833333333333333+1,F175-D175-0.0833333333333333),IF(OR(AND(F175="OFF",D175="OFF"),AND(F175="Congé",D175="Congé"),AND(F175="Congé sans solde",D175="Congé sans solde"),AND(F175="Congé spécial",D175="Congé spécial"),AND(F175="Férié",D175="Férié"),AND(F175="OFF",D175="Congé"),AND(F175="OFF",D175="Congé sans solde"),AND(F175="OFF",D175="Congé spécial"),AND(F175="OFF",D175="Férié"),AND(F175="Congé",D175="OFF"),AND(F175="Congé",D175="Congé sans solde"),AND(F175="Congé",D175="Congé spécial"),AND(F175="Congé",D175="Férié"),AND(F175="Congé sans solde",D175="OFF"),AND(F175="Congé sans solde",D175="Congé"),AND(F175="Congé sans solde",D175="Congé spécial"),AND(F175="Congé sans solde",D175="Férié"),AND(F175="Congé spécial",D175="OFF"),AND(F175="Congé spécial",D175="Congé"),AND(F175="Congé spécial",D175="Congé sans solde"),AND(F175="Congé spécial",D175="Férié"),AND(F175="Férié",D175="OFF"),AND(F175="Férié",D175="Congé"),AND(F175="Férié",D175="Congé sans solde"),AND(F175="Férié",D175="Congé spécial")),0,IF(OR(F175="OFF",F175="Congé",F175="Congé spécial",F175="Congé sans solde",D175="OFF",D175="Congé",D175="Congé spécial",D175="Congé sans solde"),0.208333333333334,IF(AND(AG175="",F175-D175&lt;0),("24:00:00"-D175)+("00:00:00"+F175)-0.0416666666666667,IF(AND(OR(AG175="Allaitement",AG175="Sans déjeuner"),F175-D175&lt;0),("24:00:00"-D175)+("00:00:00"+F175),IF(AND(AG175="",F175-D175&gt;0.166666666666667),F175-D175-0.0416666666666667,IF(AND(OR(AG175="Allaitement",AG175="Sans déjeuner"),F175-D175&gt;0.166666666666667),F175-D175,F175-D175)))))))</f>
        <v>0.375</v>
      </c>
      <c r="P175" s="91" t="str">
        <f>IFERROR(VLOOKUP($B175,Annuaire_roster!$B:$G,MATCH(P$1,Annuaire_roster!$B$1:$G$1,0),0),"-")</f>
        <v>Google Leads</v>
      </c>
      <c r="Q175" s="100">
        <v>44722</v>
      </c>
      <c r="R175" s="10">
        <f>IF(M175="Abs",O175,0)</f>
        <v>0.375</v>
      </c>
      <c r="S175" s="10">
        <f>SUM(R175,L175,I175,J175,W175,H175)</f>
        <v>0.375</v>
      </c>
      <c r="T175" s="16" t="str">
        <f>"Sem - "&amp;WEEKNUM(Q175,21)</f>
        <v>Sem - 24</v>
      </c>
      <c r="U175" s="16" t="str">
        <f>PROPER(TEXT(Q175,"mmmm"))</f>
        <v>Juin</v>
      </c>
      <c r="V175" s="11" t="str">
        <f>+TEXT(Q175,"aaa")</f>
        <v>2026</v>
      </c>
      <c r="W175" s="9"/>
      <c r="X175" s="5">
        <f>IFERROR(IF(M175="Abs",0,IF((D175-C175+E175-F175)&lt;0.000694444444444444,0,(D175-C175+E175-F175))),0)</f>
        <v>0</v>
      </c>
      <c r="Y175" s="12">
        <f>IFERROR(VLOOKUP(B175,Annuaire_roster!B:E,4,0),"-")</f>
        <v>0</v>
      </c>
      <c r="Z175" s="12" t="str">
        <f>IFERROR(VLOOKUP(B175,Annuaire_roster!B:F,3,0),"-")</f>
        <v>Google Leads</v>
      </c>
      <c r="AA175" s="12">
        <f>IFERROR(VLOOKUP(B175,Annuaire_roster!B:I,6,0),"-")</f>
        <v>0</v>
      </c>
      <c r="AB175" s="142" t="str">
        <f>IF(AND(D175="Congé",F175="Congé"),0.333333333333333,IF(OR(AND(D175="Congé",F175&lt;&gt;"Congé"),(AND(F175="Congé",D175&lt;&gt;"Congé"))),0.166666666666667,""))</f>
        <v/>
      </c>
      <c r="AC175" s="142" t="str">
        <f>IF(AND(D175="Congé sans solde",F175="Congé sans solde"),0.333333333333333,IF(OR(AND(D175="Congé sans solde",F175&lt;&gt;"Congé sans solde"),(AND(F175="Congé sans solde",D175&lt;&gt;"Congé sans solde"))),0.166666666666667,""))</f>
        <v/>
      </c>
      <c r="AD175" s="142" t="str">
        <f>IF(AND(D175="Congé spécial",F175="Congé spécial"),0.333333333333333,IF(OR(AND(D175="Congé spécial",F175&lt;&gt;"Congé décès"),(AND(F175="Congé spécial",D175&lt;&gt;"Congé spécial"))),0.166666666666667,""))</f>
        <v/>
      </c>
      <c r="AE175" s="143" t="str">
        <f>IF(AND(D175="Férié",F175="Férié"),0.333333333333333,IF(OR(AND(D175="Férié",F175&lt;&gt;"Férié"),(AND(F175="Férié",D175&lt;&gt;"Férié"))),0.166666666666667,""))</f>
        <v/>
      </c>
      <c r="AF175" s="63"/>
      <c r="AG175" s="10"/>
    </row>
    <row r="176" spans="1:33" x14ac:dyDescent="0.2">
      <c r="A176" s="70">
        <f>VLOOKUP(B176,Annuaire_roster!B:F,5,0)</f>
        <v>971</v>
      </c>
      <c r="B176" s="166" t="s">
        <v>83</v>
      </c>
      <c r="C176" s="61"/>
      <c r="D176" s="61">
        <f t="array" ref="D176">IFERROR(INDEX(Planning2[],MATCH(1,(Planning2[Nom]=B176)*(Planning2[Date]=Q176),0),3),"-")</f>
        <v>0.41666666666666669</v>
      </c>
      <c r="E176" s="38"/>
      <c r="F176" s="38">
        <f t="array" ref="F176">IFERROR(INDEX(Planning2[],MATCH(1,(Planning2[Nom]=B176)*(Planning2[Date]=Q176),0),4),"-")</f>
        <v>0.83333333333333337</v>
      </c>
      <c r="G176" s="88"/>
      <c r="H176" s="88"/>
      <c r="I176" s="209" t="str">
        <f>IF(IF(OR(C176="",D176="Congé",D176="OFF",D176="Congé spécial"),"",IF(D176&gt;F176,D176-C176,IF(C176-D176&lt;0,0,C176-D176)))&lt;0.00068287037037037,"",IF(OR(D176="Congé",D176="OFF",C176="",D176="Congé spécial"),"",IF(D176&gt;F176,D176-C176,IF(C176-D176&lt;0,0,C176-D176))))</f>
        <v/>
      </c>
      <c r="J176" s="88"/>
      <c r="K176" s="89">
        <f>IF(SUM(H176:J176)&lt;0.00068287037037037,0,SUM(H176:J176))</f>
        <v>0</v>
      </c>
      <c r="L176" s="88">
        <f>IF(OR(F176="Congé",F176="OFF",M176="Abs",F176="Congé sans solde",F176="Férié",F176="Congé spécial",D176="Congé spécial"),0,IF(F176-E176&lt;0,0,IF(F176-E176&lt;=0.00068287037037037,0,F176-E176)))</f>
        <v>0</v>
      </c>
      <c r="M176" s="62" t="str">
        <f>IF(AND(O176&lt;&gt;0,C176=""),"Abs",0)</f>
        <v>Abs</v>
      </c>
      <c r="N176" s="102" t="str">
        <f>IFERROR(IF(OR(D176="OFF",D176="Congé",M176="Abs",D176="Congé sans solde",D176="Férié"),"",IF(O176-K176-L176&gt;O176,O176,IF(O176-K176-L176&lt;0,"",O176-K176-L176))),"")</f>
        <v/>
      </c>
      <c r="O176" s="90">
        <f>IF(AG176="2H Pause déjeuner",IF(F176-D176-0.0833333333333333&lt;0,F176-D176-0.0833333333333333+1,F176-D176-0.0833333333333333),IF(OR(AND(F176="OFF",D176="OFF"),AND(F176="Congé",D176="Congé"),AND(F176="Congé sans solde",D176="Congé sans solde"),AND(F176="Congé spécial",D176="Congé spécial"),AND(F176="Férié",D176="Férié"),AND(F176="OFF",D176="Congé"),AND(F176="OFF",D176="Congé sans solde"),AND(F176="OFF",D176="Congé spécial"),AND(F176="OFF",D176="Férié"),AND(F176="Congé",D176="OFF"),AND(F176="Congé",D176="Congé sans solde"),AND(F176="Congé",D176="Congé spécial"),AND(F176="Congé",D176="Férié"),AND(F176="Congé sans solde",D176="OFF"),AND(F176="Congé sans solde",D176="Congé"),AND(F176="Congé sans solde",D176="Congé spécial"),AND(F176="Congé sans solde",D176="Férié"),AND(F176="Congé spécial",D176="OFF"),AND(F176="Congé spécial",D176="Congé"),AND(F176="Congé spécial",D176="Congé sans solde"),AND(F176="Congé spécial",D176="Férié"),AND(F176="Férié",D176="OFF"),AND(F176="Férié",D176="Congé"),AND(F176="Férié",D176="Congé sans solde"),AND(F176="Férié",D176="Congé spécial")),0,IF(OR(F176="OFF",F176="Congé",F176="Congé spécial",F176="Congé sans solde",D176="OFF",D176="Congé",D176="Congé spécial",D176="Congé sans solde"),0.208333333333334,IF(AND(AG176="",F176-D176&lt;0),("24:00:00"-D176)+("00:00:00"+F176)-0.0416666666666667,IF(AND(OR(AG176="Allaitement",AG176="Sans déjeuner"),F176-D176&lt;0),("24:00:00"-D176)+("00:00:00"+F176),IF(AND(AG176="",F176-D176&gt;0.166666666666667),F176-D176-0.0416666666666667,IF(AND(OR(AG176="Allaitement",AG176="Sans déjeuner"),F176-D176&gt;0.166666666666667),F176-D176,F176-D176)))))))</f>
        <v>0.375</v>
      </c>
      <c r="P176" s="91" t="str">
        <f>IFERROR(VLOOKUP($B176,Annuaire_roster!$B:$G,MATCH(P$1,Annuaire_roster!$B$1:$G$1,0),0),"-")</f>
        <v>Google Leads</v>
      </c>
      <c r="Q176" s="100">
        <v>44722</v>
      </c>
      <c r="R176" s="10">
        <f>IF(M176="Abs",O176,0)</f>
        <v>0.375</v>
      </c>
      <c r="S176" s="10">
        <f>SUM(R176,L176,I176,J176,W176,H176)</f>
        <v>0.375</v>
      </c>
      <c r="T176" s="16" t="str">
        <f>"Sem - "&amp;WEEKNUM(Q176,21)</f>
        <v>Sem - 24</v>
      </c>
      <c r="U176" s="16" t="str">
        <f>PROPER(TEXT(Q176,"mmmm"))</f>
        <v>Juin</v>
      </c>
      <c r="V176" s="11" t="str">
        <f>+TEXT(Q176,"aaa")</f>
        <v>2026</v>
      </c>
      <c r="W176" s="9"/>
      <c r="X176" s="5">
        <f>IFERROR(IF(M176="Abs",0,IF((D176-C176+E176-F176)&lt;0.000694444444444444,0,(D176-C176+E176-F176))),0)</f>
        <v>0</v>
      </c>
      <c r="Y176" s="12" t="str">
        <f>IFERROR(VLOOKUP(B176,Annuaire_roster!B:E,4,0),"-")</f>
        <v>CHOUIFI Mustapha</v>
      </c>
      <c r="Z176" s="12" t="str">
        <f>IFERROR(VLOOKUP(B176,Annuaire_roster!B:F,3,0),"-")</f>
        <v>Google Leads</v>
      </c>
      <c r="AA176" s="12" t="str">
        <f>IFERROR(VLOOKUP(B176,Annuaire_roster!B:I,6,0),"-")</f>
        <v>Forfaitaire</v>
      </c>
      <c r="AB176" s="142" t="str">
        <f>IF(AND(D176="Congé",F176="Congé"),0.333333333333333,IF(OR(AND(D176="Congé",F176&lt;&gt;"Congé"),(AND(F176="Congé",D176&lt;&gt;"Congé"))),0.166666666666667,""))</f>
        <v/>
      </c>
      <c r="AC176" s="142" t="str">
        <f>IF(AND(D176="Congé sans solde",F176="Congé sans solde"),0.333333333333333,IF(OR(AND(D176="Congé sans solde",F176&lt;&gt;"Congé sans solde"),(AND(F176="Congé sans solde",D176&lt;&gt;"Congé sans solde"))),0.166666666666667,""))</f>
        <v/>
      </c>
      <c r="AD176" s="142" t="str">
        <f>IF(AND(D176="Congé spécial",F176="Congé spécial"),0.333333333333333,IF(OR(AND(D176="Congé spécial",F176&lt;&gt;"Congé décès"),(AND(F176="Congé spécial",D176&lt;&gt;"Congé spécial"))),0.166666666666667,""))</f>
        <v/>
      </c>
      <c r="AE176" s="143" t="str">
        <f>IF(AND(D176="Férié",F176="Férié"),0.333333333333333,IF(OR(AND(D176="Férié",F176&lt;&gt;"Férié"),(AND(F176="Férié",D176&lt;&gt;"Férié"))),0.166666666666667,""))</f>
        <v/>
      </c>
      <c r="AF176" s="63"/>
      <c r="AG176" s="10"/>
    </row>
    <row r="177" spans="1:33" x14ac:dyDescent="0.2">
      <c r="A177" s="70">
        <f>VLOOKUP(B177,Annuaire_roster!B:F,5,0)</f>
        <v>1145</v>
      </c>
      <c r="B177" s="166" t="s">
        <v>102</v>
      </c>
      <c r="C177" s="61"/>
      <c r="D177" s="61">
        <f t="array" ref="D177">IFERROR(INDEX(Planning2[],MATCH(1,(Planning2[Nom]=B177)*(Planning2[Date]=Q177),0),3),"-")</f>
        <v>0.41666666666666669</v>
      </c>
      <c r="E177" s="38"/>
      <c r="F177" s="38">
        <f t="array" ref="F177">IFERROR(INDEX(Planning2[],MATCH(1,(Planning2[Nom]=B177)*(Planning2[Date]=Q177),0),4),"-")</f>
        <v>0.83333333333333337</v>
      </c>
      <c r="G177" s="88"/>
      <c r="H177" s="88"/>
      <c r="I177" s="209" t="str">
        <f>IF(IF(OR(C177="",D177="Congé",D177="OFF",D177="Congé spécial"),"",IF(D177&gt;F177,D177-C177,IF(C177-D177&lt;0,0,C177-D177)))&lt;0.00068287037037037,"",IF(OR(D177="Congé",D177="OFF",C177="",D177="Congé spécial"),"",IF(D177&gt;F177,D177-C177,IF(C177-D177&lt;0,0,C177-D177))))</f>
        <v/>
      </c>
      <c r="J177" s="88"/>
      <c r="K177" s="89">
        <f>IF(SUM(H177:J177)&lt;0.00068287037037037,0,SUM(H177:J177))</f>
        <v>0</v>
      </c>
      <c r="L177" s="88">
        <f>IF(OR(F177="Congé",F177="OFF",M177="Abs",F177="Congé sans solde",F177="Férié",F177="Congé spécial",D177="Congé spécial"),0,IF(F177-E177&lt;0,0,IF(F177-E177&lt;=0.00068287037037037,0,F177-E177)))</f>
        <v>0</v>
      </c>
      <c r="M177" s="62" t="str">
        <f>IF(AND(O177&lt;&gt;0,C177=""),"Abs",0)</f>
        <v>Abs</v>
      </c>
      <c r="N177" s="102" t="str">
        <f>IFERROR(IF(OR(D177="OFF",D177="Congé",M177="Abs",D177="Congé sans solde",D177="Férié"),"",IF(O177-K177-L177&gt;O177,O177,IF(O177-K177-L177&lt;0,"",O177-K177-L177))),"")</f>
        <v/>
      </c>
      <c r="O177" s="90">
        <f>IF(AG177="2H Pause déjeuner",IF(F177-D177-0.0833333333333333&lt;0,F177-D177-0.0833333333333333+1,F177-D177-0.0833333333333333),IF(OR(AND(F177="OFF",D177="OFF"),AND(F177="Congé",D177="Congé"),AND(F177="Congé sans solde",D177="Congé sans solde"),AND(F177="Congé spécial",D177="Congé spécial"),AND(F177="Férié",D177="Férié"),AND(F177="OFF",D177="Congé"),AND(F177="OFF",D177="Congé sans solde"),AND(F177="OFF",D177="Congé spécial"),AND(F177="OFF",D177="Férié"),AND(F177="Congé",D177="OFF"),AND(F177="Congé",D177="Congé sans solde"),AND(F177="Congé",D177="Congé spécial"),AND(F177="Congé",D177="Férié"),AND(F177="Congé sans solde",D177="OFF"),AND(F177="Congé sans solde",D177="Congé"),AND(F177="Congé sans solde",D177="Congé spécial"),AND(F177="Congé sans solde",D177="Férié"),AND(F177="Congé spécial",D177="OFF"),AND(F177="Congé spécial",D177="Congé"),AND(F177="Congé spécial",D177="Congé sans solde"),AND(F177="Congé spécial",D177="Férié"),AND(F177="Férié",D177="OFF"),AND(F177="Férié",D177="Congé"),AND(F177="Férié",D177="Congé sans solde"),AND(F177="Férié",D177="Congé spécial")),0,IF(OR(F177="OFF",F177="Congé",F177="Congé spécial",F177="Congé sans solde",D177="OFF",D177="Congé",D177="Congé spécial",D177="Congé sans solde"),0.208333333333334,IF(AND(AG177="",F177-D177&lt;0),("24:00:00"-D177)+("00:00:00"+F177)-0.0416666666666667,IF(AND(OR(AG177="Allaitement",AG177="Sans déjeuner"),F177-D177&lt;0),("24:00:00"-D177)+("00:00:00"+F177),IF(AND(AG177="",F177-D177&gt;0.166666666666667),F177-D177-0.0416666666666667,IF(AND(OR(AG177="Allaitement",AG177="Sans déjeuner"),F177-D177&gt;0.166666666666667),F177-D177,F177-D177)))))))</f>
        <v>0.375</v>
      </c>
      <c r="P177" s="91" t="str">
        <f>IFERROR(VLOOKUP($B177,Annuaire_roster!$B:$G,MATCH(P$1,Annuaire_roster!$B$1:$G$1,0),0),"-")</f>
        <v>Google Leads</v>
      </c>
      <c r="Q177" s="100">
        <v>44722</v>
      </c>
      <c r="R177" s="10">
        <f>IF(M177="Abs",O177,0)</f>
        <v>0.375</v>
      </c>
      <c r="S177" s="10">
        <f>SUM(R177,L177,I177,J177,W177,H177)</f>
        <v>0.375</v>
      </c>
      <c r="T177" s="16" t="str">
        <f>"Sem - "&amp;WEEKNUM(Q177,21)</f>
        <v>Sem - 24</v>
      </c>
      <c r="U177" s="16" t="str">
        <f>PROPER(TEXT(Q177,"mmmm"))</f>
        <v>Juin</v>
      </c>
      <c r="V177" s="11" t="str">
        <f>+TEXT(Q177,"aaa")</f>
        <v>2026</v>
      </c>
      <c r="W177" s="9"/>
      <c r="X177" s="5">
        <f>IFERROR(IF(M177="Abs",0,IF((D177-C177+E177-F177)&lt;0.000694444444444444,0,(D177-C177+E177-F177))),0)</f>
        <v>0</v>
      </c>
      <c r="Y177" s="12" t="str">
        <f>IFERROR(VLOOKUP(B177,Annuaire_roster!B:E,4,0),"-")</f>
        <v>CHOUIFI Mustapha</v>
      </c>
      <c r="Z177" s="12" t="str">
        <f>IFERROR(VLOOKUP(B177,Annuaire_roster!B:F,3,0),"-")</f>
        <v>Google Leads</v>
      </c>
      <c r="AA177" s="12" t="str">
        <f>IFERROR(VLOOKUP(B177,Annuaire_roster!B:I,6,0),"-")</f>
        <v>Forfaitaire</v>
      </c>
      <c r="AB177" s="142" t="str">
        <f>IF(AND(D177="Congé",F177="Congé"),0.333333333333333,IF(OR(AND(D177="Congé",F177&lt;&gt;"Congé"),(AND(F177="Congé",D177&lt;&gt;"Congé"))),0.166666666666667,""))</f>
        <v/>
      </c>
      <c r="AC177" s="142" t="str">
        <f>IF(AND(D177="Congé sans solde",F177="Congé sans solde"),0.333333333333333,IF(OR(AND(D177="Congé sans solde",F177&lt;&gt;"Congé sans solde"),(AND(F177="Congé sans solde",D177&lt;&gt;"Congé sans solde"))),0.166666666666667,""))</f>
        <v/>
      </c>
      <c r="AD177" s="142" t="str">
        <f>IF(AND(D177="Congé spécial",F177="Congé spécial"),0.333333333333333,IF(OR(AND(D177="Congé spécial",F177&lt;&gt;"Congé décès"),(AND(F177="Congé spécial",D177&lt;&gt;"Congé spécial"))),0.166666666666667,""))</f>
        <v/>
      </c>
      <c r="AE177" s="143" t="str">
        <f>IF(AND(D177="Férié",F177="Férié"),0.333333333333333,IF(OR(AND(D177="Férié",F177&lt;&gt;"Férié"),(AND(F177="Férié",D177&lt;&gt;"Férié"))),0.166666666666667,""))</f>
        <v/>
      </c>
      <c r="AF177" s="63"/>
      <c r="AG177" s="10"/>
    </row>
    <row r="178" spans="1:33" x14ac:dyDescent="0.2">
      <c r="A178" s="70">
        <f>VLOOKUP(B178,Annuaire_roster!B:F,5,0)</f>
        <v>1132</v>
      </c>
      <c r="B178" s="166" t="s">
        <v>88</v>
      </c>
      <c r="C178" s="61"/>
      <c r="D178" s="61">
        <f t="array" ref="D178">IFERROR(INDEX(Planning2[],MATCH(1,(Planning2[Nom]=B178)*(Planning2[Date]=Q178),0),3),"-")</f>
        <v>0.41666666666666669</v>
      </c>
      <c r="E178" s="38"/>
      <c r="F178" s="38">
        <f t="array" ref="F178">IFERROR(INDEX(Planning2[],MATCH(1,(Planning2[Nom]=B178)*(Planning2[Date]=Q178),0),4),"-")</f>
        <v>0.83333333333333337</v>
      </c>
      <c r="G178" s="88"/>
      <c r="H178" s="88"/>
      <c r="I178" s="209" t="str">
        <f>IF(IF(OR(C178="",D178="Congé",D178="OFF",D178="Congé spécial"),"",IF(D178&gt;F178,D178-C178,IF(C178-D178&lt;0,0,C178-D178)))&lt;0.00068287037037037,"",IF(OR(D178="Congé",D178="OFF",C178="",D178="Congé spécial"),"",IF(D178&gt;F178,D178-C178,IF(C178-D178&lt;0,0,C178-D178))))</f>
        <v/>
      </c>
      <c r="J178" s="88"/>
      <c r="K178" s="89">
        <f>IF(SUM(H178:J178)&lt;0.00068287037037037,0,SUM(H178:J178))</f>
        <v>0</v>
      </c>
      <c r="L178" s="88">
        <f>IF(OR(F178="Congé",F178="OFF",M178="Abs",F178="Congé sans solde",F178="Férié",F178="Congé spécial",D178="Congé spécial"),0,IF(F178-E178&lt;0,0,IF(F178-E178&lt;=0.00068287037037037,0,F178-E178)))</f>
        <v>0</v>
      </c>
      <c r="M178" s="62" t="str">
        <f>IF(AND(O178&lt;&gt;0,C178=""),"Abs",0)</f>
        <v>Abs</v>
      </c>
      <c r="N178" s="102" t="str">
        <f>IFERROR(IF(OR(D178="OFF",D178="Congé",M178="Abs",D178="Congé sans solde",D178="Férié"),"",IF(O178-K178-L178&gt;O178,O178,IF(O178-K178-L178&lt;0,"",O178-K178-L178))),"")</f>
        <v/>
      </c>
      <c r="O178" s="90">
        <f>IF(AG178="2H Pause déjeuner",IF(F178-D178-0.0833333333333333&lt;0,F178-D178-0.0833333333333333+1,F178-D178-0.0833333333333333),IF(OR(AND(F178="OFF",D178="OFF"),AND(F178="Congé",D178="Congé"),AND(F178="Congé sans solde",D178="Congé sans solde"),AND(F178="Congé spécial",D178="Congé spécial"),AND(F178="Férié",D178="Férié"),AND(F178="OFF",D178="Congé"),AND(F178="OFF",D178="Congé sans solde"),AND(F178="OFF",D178="Congé spécial"),AND(F178="OFF",D178="Férié"),AND(F178="Congé",D178="OFF"),AND(F178="Congé",D178="Congé sans solde"),AND(F178="Congé",D178="Congé spécial"),AND(F178="Congé",D178="Férié"),AND(F178="Congé sans solde",D178="OFF"),AND(F178="Congé sans solde",D178="Congé"),AND(F178="Congé sans solde",D178="Congé spécial"),AND(F178="Congé sans solde",D178="Férié"),AND(F178="Congé spécial",D178="OFF"),AND(F178="Congé spécial",D178="Congé"),AND(F178="Congé spécial",D178="Congé sans solde"),AND(F178="Congé spécial",D178="Férié"),AND(F178="Férié",D178="OFF"),AND(F178="Férié",D178="Congé"),AND(F178="Férié",D178="Congé sans solde"),AND(F178="Férié",D178="Congé spécial")),0,IF(OR(F178="OFF",F178="Congé",F178="Congé spécial",F178="Congé sans solde",D178="OFF",D178="Congé",D178="Congé spécial",D178="Congé sans solde"),0.208333333333334,IF(AND(AG178="",F178-D178&lt;0),("24:00:00"-D178)+("00:00:00"+F178)-0.0416666666666667,IF(AND(OR(AG178="Allaitement",AG178="Sans déjeuner"),F178-D178&lt;0),("24:00:00"-D178)+("00:00:00"+F178),IF(AND(AG178="",F178-D178&gt;0.166666666666667),F178-D178-0.0416666666666667,IF(AND(OR(AG178="Allaitement",AG178="Sans déjeuner"),F178-D178&gt;0.166666666666667),F178-D178,F178-D178)))))))</f>
        <v>0.375</v>
      </c>
      <c r="P178" s="91" t="str">
        <f>IFERROR(VLOOKUP($B178,Annuaire_roster!$B:$G,MATCH(P$1,Annuaire_roster!$B$1:$G$1,0),0),"-")</f>
        <v>Google Leads</v>
      </c>
      <c r="Q178" s="100">
        <v>44722</v>
      </c>
      <c r="R178" s="10">
        <f>IF(M178="Abs",O178,0)</f>
        <v>0.375</v>
      </c>
      <c r="S178" s="10">
        <f>SUM(R178,L178,I178,J178,W178,H178)</f>
        <v>0.375</v>
      </c>
      <c r="T178" s="16" t="str">
        <f>"Sem - "&amp;WEEKNUM(Q178,21)</f>
        <v>Sem - 24</v>
      </c>
      <c r="U178" s="16" t="str">
        <f>PROPER(TEXT(Q178,"mmmm"))</f>
        <v>Juin</v>
      </c>
      <c r="V178" s="11" t="str">
        <f>+TEXT(Q178,"aaa")</f>
        <v>2026</v>
      </c>
      <c r="W178" s="9"/>
      <c r="X178" s="5">
        <f>IFERROR(IF(M178="Abs",0,IF((D178-C178+E178-F178)&lt;0.000694444444444444,0,(D178-C178+E178-F178))),0)</f>
        <v>0</v>
      </c>
      <c r="Y178" s="12" t="str">
        <f>IFERROR(VLOOKUP(B178,Annuaire_roster!B:E,4,0),"-")</f>
        <v>CHOUIFI Mustapha</v>
      </c>
      <c r="Z178" s="12" t="str">
        <f>IFERROR(VLOOKUP(B178,Annuaire_roster!B:F,3,0),"-")</f>
        <v>Google Leads</v>
      </c>
      <c r="AA178" s="12" t="str">
        <f>IFERROR(VLOOKUP(B178,Annuaire_roster!B:I,6,0),"-")</f>
        <v>Forfaitaire</v>
      </c>
      <c r="AB178" s="142" t="str">
        <f>IF(AND(D178="Congé",F178="Congé"),0.333333333333333,IF(OR(AND(D178="Congé",F178&lt;&gt;"Congé"),(AND(F178="Congé",D178&lt;&gt;"Congé"))),0.166666666666667,""))</f>
        <v/>
      </c>
      <c r="AC178" s="142" t="str">
        <f>IF(AND(D178="Congé sans solde",F178="Congé sans solde"),0.333333333333333,IF(OR(AND(D178="Congé sans solde",F178&lt;&gt;"Congé sans solde"),(AND(F178="Congé sans solde",D178&lt;&gt;"Congé sans solde"))),0.166666666666667,""))</f>
        <v/>
      </c>
      <c r="AD178" s="142" t="str">
        <f>IF(AND(D178="Congé spécial",F178="Congé spécial"),0.333333333333333,IF(OR(AND(D178="Congé spécial",F178&lt;&gt;"Congé décès"),(AND(F178="Congé spécial",D178&lt;&gt;"Congé spécial"))),0.166666666666667,""))</f>
        <v/>
      </c>
      <c r="AE178" s="143" t="str">
        <f>IF(AND(D178="Férié",F178="Férié"),0.333333333333333,IF(OR(AND(D178="Férié",F178&lt;&gt;"Férié"),(AND(F178="Férié",D178&lt;&gt;"Férié"))),0.166666666666667,""))</f>
        <v/>
      </c>
      <c r="AF178" s="63"/>
      <c r="AG178" s="10"/>
    </row>
    <row r="179" spans="1:33" x14ac:dyDescent="0.2">
      <c r="A179" s="70">
        <f>VLOOKUP(B179,Annuaire_roster!B:F,5,0)</f>
        <v>0</v>
      </c>
      <c r="B179" s="166" t="s">
        <v>220</v>
      </c>
      <c r="C179" s="61"/>
      <c r="D179" s="61">
        <f t="array" ref="D179">IFERROR(INDEX(Planning2[],MATCH(1,(Planning2[Nom]=B179)*(Planning2[Date]=Q179),0),3),"-")</f>
        <v>0.41666666666666669</v>
      </c>
      <c r="E179" s="38"/>
      <c r="F179" s="38">
        <f t="array" ref="F179">IFERROR(INDEX(Planning2[],MATCH(1,(Planning2[Nom]=B179)*(Planning2[Date]=Q179),0),4),"-")</f>
        <v>0.83333333333333337</v>
      </c>
      <c r="G179" s="88"/>
      <c r="H179" s="88"/>
      <c r="I179" s="209" t="str">
        <f>IF(IF(OR(C179="",D179="Congé",D179="OFF",D179="Congé spécial"),"",IF(D179&gt;F179,D179-C179,IF(C179-D179&lt;0,0,C179-D179)))&lt;0.00068287037037037,"",IF(OR(D179="Congé",D179="OFF",C179="",D179="Congé spécial"),"",IF(D179&gt;F179,D179-C179,IF(C179-D179&lt;0,0,C179-D179))))</f>
        <v/>
      </c>
      <c r="J179" s="88"/>
      <c r="K179" s="89">
        <f>IF(SUM(H179:J179)&lt;0.00068287037037037,0,SUM(H179:J179))</f>
        <v>0</v>
      </c>
      <c r="L179" s="88">
        <f>IF(OR(F179="Congé",F179="OFF",M179="Abs",F179="Congé sans solde",F179="Férié",F179="Congé spécial",D179="Congé spécial"),0,IF(F179-E179&lt;0,0,IF(F179-E179&lt;=0.00068287037037037,0,F179-E179)))</f>
        <v>0</v>
      </c>
      <c r="M179" s="62" t="str">
        <f>IF(AND(O179&lt;&gt;0,C179=""),"Abs",0)</f>
        <v>Abs</v>
      </c>
      <c r="N179" s="102" t="str">
        <f>IFERROR(IF(OR(D179="OFF",D179="Congé",M179="Abs",D179="Congé sans solde",D179="Férié"),"",IF(O179-K179-L179&gt;O179,O179,IF(O179-K179-L179&lt;0,"",O179-K179-L179))),"")</f>
        <v/>
      </c>
      <c r="O179" s="90">
        <f>IF(AG179="2H Pause déjeuner",IF(F179-D179-0.0833333333333333&lt;0,F179-D179-0.0833333333333333+1,F179-D179-0.0833333333333333),IF(OR(AND(F179="OFF",D179="OFF"),AND(F179="Congé",D179="Congé"),AND(F179="Congé sans solde",D179="Congé sans solde"),AND(F179="Congé spécial",D179="Congé spécial"),AND(F179="Férié",D179="Férié"),AND(F179="OFF",D179="Congé"),AND(F179="OFF",D179="Congé sans solde"),AND(F179="OFF",D179="Congé spécial"),AND(F179="OFF",D179="Férié"),AND(F179="Congé",D179="OFF"),AND(F179="Congé",D179="Congé sans solde"),AND(F179="Congé",D179="Congé spécial"),AND(F179="Congé",D179="Férié"),AND(F179="Congé sans solde",D179="OFF"),AND(F179="Congé sans solde",D179="Congé"),AND(F179="Congé sans solde",D179="Congé spécial"),AND(F179="Congé sans solde",D179="Férié"),AND(F179="Congé spécial",D179="OFF"),AND(F179="Congé spécial",D179="Congé"),AND(F179="Congé spécial",D179="Congé sans solde"),AND(F179="Congé spécial",D179="Férié"),AND(F179="Férié",D179="OFF"),AND(F179="Férié",D179="Congé"),AND(F179="Férié",D179="Congé sans solde"),AND(F179="Férié",D179="Congé spécial")),0,IF(OR(F179="OFF",F179="Congé",F179="Congé spécial",F179="Congé sans solde",D179="OFF",D179="Congé",D179="Congé spécial",D179="Congé sans solde"),0.208333333333334,IF(AND(AG179="",F179-D179&lt;0),("24:00:00"-D179)+("00:00:00"+F179)-0.0416666666666667,IF(AND(OR(AG179="Allaitement",AG179="Sans déjeuner"),F179-D179&lt;0),("24:00:00"-D179)+("00:00:00"+F179),IF(AND(AG179="",F179-D179&gt;0.166666666666667),F179-D179-0.0416666666666667,IF(AND(OR(AG179="Allaitement",AG179="Sans déjeuner"),F179-D179&gt;0.166666666666667),F179-D179,F179-D179)))))))</f>
        <v>0.375</v>
      </c>
      <c r="P179" s="91" t="str">
        <f>IFERROR(VLOOKUP($B179,Annuaire_roster!$B:$G,MATCH(P$1,Annuaire_roster!$B$1:$G$1,0),0),"-")</f>
        <v>Google Leads</v>
      </c>
      <c r="Q179" s="100">
        <v>44722</v>
      </c>
      <c r="R179" s="10">
        <f>IF(M179="Abs",O179,0)</f>
        <v>0.375</v>
      </c>
      <c r="S179" s="10">
        <f>SUM(R179,L179,I179,J179,W179,H179)</f>
        <v>0.375</v>
      </c>
      <c r="T179" s="16" t="str">
        <f>"Sem - "&amp;WEEKNUM(Q179,21)</f>
        <v>Sem - 24</v>
      </c>
      <c r="U179" s="16" t="str">
        <f>PROPER(TEXT(Q179,"mmmm"))</f>
        <v>Juin</v>
      </c>
      <c r="V179" s="11" t="str">
        <f>+TEXT(Q179,"aaa")</f>
        <v>2026</v>
      </c>
      <c r="W179" s="9"/>
      <c r="X179" s="5">
        <f>IFERROR(IF(M179="Abs",0,IF((D179-C179+E179-F179)&lt;0.000694444444444444,0,(D179-C179+E179-F179))),0)</f>
        <v>0</v>
      </c>
      <c r="Y179" s="12">
        <f>IFERROR(VLOOKUP(B179,Annuaire_roster!B:E,4,0),"-")</f>
        <v>0</v>
      </c>
      <c r="Z179" s="12" t="str">
        <f>IFERROR(VLOOKUP(B179,Annuaire_roster!B:F,3,0),"-")</f>
        <v>Google Leads</v>
      </c>
      <c r="AA179" s="12">
        <f>IFERROR(VLOOKUP(B179,Annuaire_roster!B:I,6,0),"-")</f>
        <v>0</v>
      </c>
      <c r="AB179" s="142" t="str">
        <f>IF(AND(D179="Congé",F179="Congé"),0.333333333333333,IF(OR(AND(D179="Congé",F179&lt;&gt;"Congé"),(AND(F179="Congé",D179&lt;&gt;"Congé"))),0.166666666666667,""))</f>
        <v/>
      </c>
      <c r="AC179" s="142" t="str">
        <f>IF(AND(D179="Congé sans solde",F179="Congé sans solde"),0.333333333333333,IF(OR(AND(D179="Congé sans solde",F179&lt;&gt;"Congé sans solde"),(AND(F179="Congé sans solde",D179&lt;&gt;"Congé sans solde"))),0.166666666666667,""))</f>
        <v/>
      </c>
      <c r="AD179" s="142" t="str">
        <f>IF(AND(D179="Congé spécial",F179="Congé spécial"),0.333333333333333,IF(OR(AND(D179="Congé spécial",F179&lt;&gt;"Congé décès"),(AND(F179="Congé spécial",D179&lt;&gt;"Congé spécial"))),0.166666666666667,""))</f>
        <v/>
      </c>
      <c r="AE179" s="143" t="str">
        <f>IF(AND(D179="Férié",F179="Férié"),0.333333333333333,IF(OR(AND(D179="Férié",F179&lt;&gt;"Férié"),(AND(F179="Férié",D179&lt;&gt;"Férié"))),0.166666666666667,""))</f>
        <v/>
      </c>
      <c r="AF179" s="63"/>
      <c r="AG179" s="10"/>
    </row>
    <row r="180" spans="1:33" x14ac:dyDescent="0.2">
      <c r="A180" s="70">
        <f>VLOOKUP(B180,Annuaire_roster!B:F,5,0)</f>
        <v>0</v>
      </c>
      <c r="B180" s="166" t="s">
        <v>221</v>
      </c>
      <c r="C180" s="61"/>
      <c r="D180" s="61">
        <f t="array" ref="D180">IFERROR(INDEX(Planning2[],MATCH(1,(Planning2[Nom]=B180)*(Planning2[Date]=Q180),0),3),"-")</f>
        <v>0.41666666666666669</v>
      </c>
      <c r="E180" s="38"/>
      <c r="F180" s="38">
        <f t="array" ref="F180">IFERROR(INDEX(Planning2[],MATCH(1,(Planning2[Nom]=B180)*(Planning2[Date]=Q180),0),4),"-")</f>
        <v>0.83333333333333337</v>
      </c>
      <c r="G180" s="88"/>
      <c r="H180" s="88"/>
      <c r="I180" s="209" t="str">
        <f>IF(IF(OR(C180="",D180="Congé",D180="OFF",D180="Congé spécial"),"",IF(D180&gt;F180,D180-C180,IF(C180-D180&lt;0,0,C180-D180)))&lt;0.00068287037037037,"",IF(OR(D180="Congé",D180="OFF",C180="",D180="Congé spécial"),"",IF(D180&gt;F180,D180-C180,IF(C180-D180&lt;0,0,C180-D180))))</f>
        <v/>
      </c>
      <c r="J180" s="88"/>
      <c r="K180" s="89">
        <f>IF(SUM(H180:J180)&lt;0.00068287037037037,0,SUM(H180:J180))</f>
        <v>0</v>
      </c>
      <c r="L180" s="88">
        <f>IF(OR(F180="Congé",F180="OFF",M180="Abs",F180="Congé sans solde",F180="Férié",F180="Congé spécial",D180="Congé spécial"),0,IF(F180-E180&lt;0,0,IF(F180-E180&lt;=0.00068287037037037,0,F180-E180)))</f>
        <v>0</v>
      </c>
      <c r="M180" s="62" t="str">
        <f>IF(AND(O180&lt;&gt;0,C180=""),"Abs",0)</f>
        <v>Abs</v>
      </c>
      <c r="N180" s="102" t="str">
        <f>IFERROR(IF(OR(D180="OFF",D180="Congé",M180="Abs",D180="Congé sans solde",D180="Férié"),"",IF(O180-K180-L180&gt;O180,O180,IF(O180-K180-L180&lt;0,"",O180-K180-L180))),"")</f>
        <v/>
      </c>
      <c r="O180" s="90">
        <f>IF(AG180="2H Pause déjeuner",IF(F180-D180-0.0833333333333333&lt;0,F180-D180-0.0833333333333333+1,F180-D180-0.0833333333333333),IF(OR(AND(F180="OFF",D180="OFF"),AND(F180="Congé",D180="Congé"),AND(F180="Congé sans solde",D180="Congé sans solde"),AND(F180="Congé spécial",D180="Congé spécial"),AND(F180="Férié",D180="Férié"),AND(F180="OFF",D180="Congé"),AND(F180="OFF",D180="Congé sans solde"),AND(F180="OFF",D180="Congé spécial"),AND(F180="OFF",D180="Férié"),AND(F180="Congé",D180="OFF"),AND(F180="Congé",D180="Congé sans solde"),AND(F180="Congé",D180="Congé spécial"),AND(F180="Congé",D180="Férié"),AND(F180="Congé sans solde",D180="OFF"),AND(F180="Congé sans solde",D180="Congé"),AND(F180="Congé sans solde",D180="Congé spécial"),AND(F180="Congé sans solde",D180="Férié"),AND(F180="Congé spécial",D180="OFF"),AND(F180="Congé spécial",D180="Congé"),AND(F180="Congé spécial",D180="Congé sans solde"),AND(F180="Congé spécial",D180="Férié"),AND(F180="Férié",D180="OFF"),AND(F180="Férié",D180="Congé"),AND(F180="Férié",D180="Congé sans solde"),AND(F180="Férié",D180="Congé spécial")),0,IF(OR(F180="OFF",F180="Congé",F180="Congé spécial",F180="Congé sans solde",D180="OFF",D180="Congé",D180="Congé spécial",D180="Congé sans solde"),0.208333333333334,IF(AND(AG180="",F180-D180&lt;0),("24:00:00"-D180)+("00:00:00"+F180)-0.0416666666666667,IF(AND(OR(AG180="Allaitement",AG180="Sans déjeuner"),F180-D180&lt;0),("24:00:00"-D180)+("00:00:00"+F180),IF(AND(AG180="",F180-D180&gt;0.166666666666667),F180-D180-0.0416666666666667,IF(AND(OR(AG180="Allaitement",AG180="Sans déjeuner"),F180-D180&gt;0.166666666666667),F180-D180,F180-D180)))))))</f>
        <v>0.375</v>
      </c>
      <c r="P180" s="91" t="str">
        <f>IFERROR(VLOOKUP($B180,Annuaire_roster!$B:$G,MATCH(P$1,Annuaire_roster!$B$1:$G$1,0),0),"-")</f>
        <v>Google Leads</v>
      </c>
      <c r="Q180" s="100">
        <v>44722</v>
      </c>
      <c r="R180" s="10">
        <f>IF(M180="Abs",O180,0)</f>
        <v>0.375</v>
      </c>
      <c r="S180" s="10">
        <f>SUM(R180,L180,I180,J180,W180,H180)</f>
        <v>0.375</v>
      </c>
      <c r="T180" s="16" t="str">
        <f>"Sem - "&amp;WEEKNUM(Q180,21)</f>
        <v>Sem - 24</v>
      </c>
      <c r="U180" s="16" t="str">
        <f>PROPER(TEXT(Q180,"mmmm"))</f>
        <v>Juin</v>
      </c>
      <c r="V180" s="11" t="str">
        <f>+TEXT(Q180,"aaa")</f>
        <v>2026</v>
      </c>
      <c r="W180" s="9"/>
      <c r="X180" s="5">
        <f>IFERROR(IF(M180="Abs",0,IF((D180-C180+E180-F180)&lt;0.000694444444444444,0,(D180-C180+E180-F180))),0)</f>
        <v>0</v>
      </c>
      <c r="Y180" s="12">
        <f>IFERROR(VLOOKUP(B180,Annuaire_roster!B:E,4,0),"-")</f>
        <v>0</v>
      </c>
      <c r="Z180" s="12" t="str">
        <f>IFERROR(VLOOKUP(B180,Annuaire_roster!B:F,3,0),"-")</f>
        <v>Google Leads</v>
      </c>
      <c r="AA180" s="12">
        <f>IFERROR(VLOOKUP(B180,Annuaire_roster!B:I,6,0),"-")</f>
        <v>0</v>
      </c>
      <c r="AB180" s="142" t="str">
        <f>IF(AND(D180="Congé",F180="Congé"),0.333333333333333,IF(OR(AND(D180="Congé",F180&lt;&gt;"Congé"),(AND(F180="Congé",D180&lt;&gt;"Congé"))),0.166666666666667,""))</f>
        <v/>
      </c>
      <c r="AC180" s="142" t="str">
        <f>IF(AND(D180="Congé sans solde",F180="Congé sans solde"),0.333333333333333,IF(OR(AND(D180="Congé sans solde",F180&lt;&gt;"Congé sans solde"),(AND(F180="Congé sans solde",D180&lt;&gt;"Congé sans solde"))),0.166666666666667,""))</f>
        <v/>
      </c>
      <c r="AD180" s="142" t="str">
        <f>IF(AND(D180="Congé spécial",F180="Congé spécial"),0.333333333333333,IF(OR(AND(D180="Congé spécial",F180&lt;&gt;"Congé décès"),(AND(F180="Congé spécial",D180&lt;&gt;"Congé spécial"))),0.166666666666667,""))</f>
        <v/>
      </c>
      <c r="AE180" s="143" t="str">
        <f>IF(AND(D180="Férié",F180="Férié"),0.333333333333333,IF(OR(AND(D180="Férié",F180&lt;&gt;"Férié"),(AND(F180="Férié",D180&lt;&gt;"Férié"))),0.166666666666667,""))</f>
        <v/>
      </c>
      <c r="AF180" s="63"/>
      <c r="AG180" s="10"/>
    </row>
    <row r="181" spans="1:33" x14ac:dyDescent="0.2">
      <c r="A181" s="70">
        <f>VLOOKUP(B181,Annuaire_roster!B:F,5,0)</f>
        <v>0</v>
      </c>
      <c r="B181" s="166" t="s">
        <v>217</v>
      </c>
      <c r="C181" s="61"/>
      <c r="D181" s="61">
        <f t="array" ref="D181">IFERROR(INDEX(Planning2[],MATCH(1,(Planning2[Nom]=B181)*(Planning2[Date]=Q181),0),3),"-")</f>
        <v>0.45833333333333331</v>
      </c>
      <c r="E181" s="38"/>
      <c r="F181" s="38">
        <f t="array" ref="F181">IFERROR(INDEX(Planning2[],MATCH(1,(Planning2[Nom]=B181)*(Planning2[Date]=Q181),0),4),"-")</f>
        <v>0.83333333333333337</v>
      </c>
      <c r="G181" s="88"/>
      <c r="H181" s="88"/>
      <c r="I181" s="209" t="str">
        <f>IF(IF(OR(C181="",D181="Congé",D181="OFF",D181="Congé spécial"),"",IF(D181&gt;F181,D181-C181,IF(C181-D181&lt;0,0,C181-D181)))&lt;0.00068287037037037,"",IF(OR(D181="Congé",D181="OFF",C181="",D181="Congé spécial"),"",IF(D181&gt;F181,D181-C181,IF(C181-D181&lt;0,0,C181-D181))))</f>
        <v/>
      </c>
      <c r="J181" s="88"/>
      <c r="K181" s="89">
        <f>IF(SUM(H181:J181)&lt;0.00068287037037037,0,SUM(H181:J181))</f>
        <v>0</v>
      </c>
      <c r="L181" s="88">
        <f>IF(OR(F181="Congé",F181="OFF",M181="Abs",F181="Congé sans solde",F181="Férié",F181="Congé spécial",D181="Congé spécial"),0,IF(F181-E181&lt;0,0,IF(F181-E181&lt;=0.00068287037037037,0,F181-E181)))</f>
        <v>0</v>
      </c>
      <c r="M181" s="62" t="str">
        <f>IF(AND(O181&lt;&gt;0,C181=""),"Abs",0)</f>
        <v>Abs</v>
      </c>
      <c r="N181" s="102" t="str">
        <f>IFERROR(IF(OR(D181="OFF",D181="Congé",M181="Abs",D181="Congé sans solde",D181="Férié"),"",IF(O181-K181-L181&gt;O181,O181,IF(O181-K181-L181&lt;0,"",O181-K181-L181))),"")</f>
        <v/>
      </c>
      <c r="O181" s="90">
        <f>IF(AG181="2H Pause déjeuner",IF(F181-D181-0.0833333333333333&lt;0,F181-D181-0.0833333333333333+1,F181-D181-0.0833333333333333),IF(OR(AND(F181="OFF",D181="OFF"),AND(F181="Congé",D181="Congé"),AND(F181="Congé sans solde",D181="Congé sans solde"),AND(F181="Congé spécial",D181="Congé spécial"),AND(F181="Férié",D181="Férié"),AND(F181="OFF",D181="Congé"),AND(F181="OFF",D181="Congé sans solde"),AND(F181="OFF",D181="Congé spécial"),AND(F181="OFF",D181="Férié"),AND(F181="Congé",D181="OFF"),AND(F181="Congé",D181="Congé sans solde"),AND(F181="Congé",D181="Congé spécial"),AND(F181="Congé",D181="Férié"),AND(F181="Congé sans solde",D181="OFF"),AND(F181="Congé sans solde",D181="Congé"),AND(F181="Congé sans solde",D181="Congé spécial"),AND(F181="Congé sans solde",D181="Férié"),AND(F181="Congé spécial",D181="OFF"),AND(F181="Congé spécial",D181="Congé"),AND(F181="Congé spécial",D181="Congé sans solde"),AND(F181="Congé spécial",D181="Férié"),AND(F181="Férié",D181="OFF"),AND(F181="Férié",D181="Congé"),AND(F181="Férié",D181="Congé sans solde"),AND(F181="Férié",D181="Congé spécial")),0,IF(OR(F181="OFF",F181="Congé",F181="Congé spécial",F181="Congé sans solde",D181="OFF",D181="Congé",D181="Congé spécial",D181="Congé sans solde"),0.208333333333334,IF(AND(AG181="",F181-D181&lt;0),("24:00:00"-D181)+("00:00:00"+F181)-0.0416666666666667,IF(AND(OR(AG181="Allaitement",AG181="Sans déjeuner"),F181-D181&lt;0),("24:00:00"-D181)+("00:00:00"+F181),IF(AND(AG181="",F181-D181&gt;0.166666666666667),F181-D181-0.0416666666666667,IF(AND(OR(AG181="Allaitement",AG181="Sans déjeuner"),F181-D181&gt;0.166666666666667),F181-D181,F181-D181)))))))</f>
        <v>0.33333333333333337</v>
      </c>
      <c r="P181" s="91" t="str">
        <f>IFERROR(VLOOKUP($B181,Annuaire_roster!$B:$G,MATCH(P$1,Annuaire_roster!$B$1:$G$1,0),0),"-")</f>
        <v>Google Leads</v>
      </c>
      <c r="Q181" s="100">
        <v>44722</v>
      </c>
      <c r="R181" s="10">
        <f>IF(M181="Abs",O181,0)</f>
        <v>0.33333333333333337</v>
      </c>
      <c r="S181" s="10">
        <f>SUM(R181,L181,I181,J181,W181,H181)</f>
        <v>0.33333333333333337</v>
      </c>
      <c r="T181" s="16" t="str">
        <f>"Sem - "&amp;WEEKNUM(Q181,21)</f>
        <v>Sem - 24</v>
      </c>
      <c r="U181" s="16" t="str">
        <f>PROPER(TEXT(Q181,"mmmm"))</f>
        <v>Juin</v>
      </c>
      <c r="V181" s="11" t="str">
        <f>+TEXT(Q181,"aaa")</f>
        <v>2026</v>
      </c>
      <c r="W181" s="9"/>
      <c r="X181" s="5">
        <f>IFERROR(IF(M181="Abs",0,IF((D181-C181+E181-F181)&lt;0.000694444444444444,0,(D181-C181+E181-F181))),0)</f>
        <v>0</v>
      </c>
      <c r="Y181" s="12">
        <f>IFERROR(VLOOKUP(B181,Annuaire_roster!B:E,4,0),"-")</f>
        <v>0</v>
      </c>
      <c r="Z181" s="12" t="str">
        <f>IFERROR(VLOOKUP(B181,Annuaire_roster!B:F,3,0),"-")</f>
        <v>Google Leads</v>
      </c>
      <c r="AA181" s="12">
        <f>IFERROR(VLOOKUP(B181,Annuaire_roster!B:I,6,0),"-")</f>
        <v>0</v>
      </c>
      <c r="AB181" s="142" t="str">
        <f>IF(AND(D181="Congé",F181="Congé"),0.333333333333333,IF(OR(AND(D181="Congé",F181&lt;&gt;"Congé"),(AND(F181="Congé",D181&lt;&gt;"Congé"))),0.166666666666667,""))</f>
        <v/>
      </c>
      <c r="AC181" s="142" t="str">
        <f>IF(AND(D181="Congé sans solde",F181="Congé sans solde"),0.333333333333333,IF(OR(AND(D181="Congé sans solde",F181&lt;&gt;"Congé sans solde"),(AND(F181="Congé sans solde",D181&lt;&gt;"Congé sans solde"))),0.166666666666667,""))</f>
        <v/>
      </c>
      <c r="AD181" s="142" t="str">
        <f>IF(AND(D181="Congé spécial",F181="Congé spécial"),0.333333333333333,IF(OR(AND(D181="Congé spécial",F181&lt;&gt;"Congé décès"),(AND(F181="Congé spécial",D181&lt;&gt;"Congé spécial"))),0.166666666666667,""))</f>
        <v/>
      </c>
      <c r="AE181" s="143" t="str">
        <f>IF(AND(D181="Férié",F181="Férié"),0.333333333333333,IF(OR(AND(D181="Férié",F181&lt;&gt;"Férié"),(AND(F181="Férié",D181&lt;&gt;"Férié"))),0.166666666666667,""))</f>
        <v/>
      </c>
      <c r="AF181" s="63"/>
      <c r="AG181" s="10"/>
    </row>
    <row r="182" spans="1:33" x14ac:dyDescent="0.2">
      <c r="A182" s="70">
        <f>VLOOKUP(B182,Annuaire_roster!B:F,5,0)</f>
        <v>1154</v>
      </c>
      <c r="B182" s="166" t="s">
        <v>110</v>
      </c>
      <c r="C182" s="61"/>
      <c r="D182" s="61" t="str">
        <f t="array" ref="D182">IFERROR(INDEX(Planning2[],MATCH(1,(Planning2[Nom]=B182)*(Planning2[Date]=Q182),0),3),"-")</f>
        <v>Congé</v>
      </c>
      <c r="E182" s="38"/>
      <c r="F182" s="38" t="str">
        <f t="array" ref="F182">IFERROR(INDEX(Planning2[],MATCH(1,(Planning2[Nom]=B182)*(Planning2[Date]=Q182),0),4),"-")</f>
        <v>Congé</v>
      </c>
      <c r="G182" s="88"/>
      <c r="H182" s="88"/>
      <c r="I182" s="209" t="str">
        <f>IF(IF(OR(C182="",D182="Congé",D182="OFF",D182="Congé spécial"),"",IF(D182&gt;F182,D182-C182,IF(C182-D182&lt;0,0,C182-D182)))&lt;0.00068287037037037,"",IF(OR(D182="Congé",D182="OFF",C182="",D182="Congé spécial"),"",IF(D182&gt;F182,D182-C182,IF(C182-D182&lt;0,0,C182-D182))))</f>
        <v/>
      </c>
      <c r="J182" s="88"/>
      <c r="K182" s="89">
        <f>IF(SUM(H182:J182)&lt;0.00068287037037037,0,SUM(H182:J182))</f>
        <v>0</v>
      </c>
      <c r="L182" s="88">
        <f>IF(OR(F182="Congé",F182="OFF",M182="Abs",F182="Congé sans solde",F182="Férié",F182="Congé spécial",D182="Congé spécial"),0,IF(F182-E182&lt;0,0,IF(F182-E182&lt;=0.00068287037037037,0,F182-E182)))</f>
        <v>0</v>
      </c>
      <c r="M182" s="62">
        <f>IF(AND(O182&lt;&gt;0,C182=""),"Abs",0)</f>
        <v>0</v>
      </c>
      <c r="N182" s="102" t="str">
        <f>IFERROR(IF(OR(D182="OFF",D182="Congé",M182="Abs",D182="Congé sans solde",D182="Férié"),"",IF(O182-K182-L182&gt;O182,O182,IF(O182-K182-L182&lt;0,"",O182-K182-L182))),"")</f>
        <v/>
      </c>
      <c r="O182" s="90">
        <f>IF(AG182="2H Pause déjeuner",IF(F182-D182-0.0833333333333333&lt;0,F182-D182-0.0833333333333333+1,F182-D182-0.0833333333333333),IF(OR(AND(F182="OFF",D182="OFF"),AND(F182="Congé",D182="Congé"),AND(F182="Congé sans solde",D182="Congé sans solde"),AND(F182="Congé spécial",D182="Congé spécial"),AND(F182="Férié",D182="Férié"),AND(F182="OFF",D182="Congé"),AND(F182="OFF",D182="Congé sans solde"),AND(F182="OFF",D182="Congé spécial"),AND(F182="OFF",D182="Férié"),AND(F182="Congé",D182="OFF"),AND(F182="Congé",D182="Congé sans solde"),AND(F182="Congé",D182="Congé spécial"),AND(F182="Congé",D182="Férié"),AND(F182="Congé sans solde",D182="OFF"),AND(F182="Congé sans solde",D182="Congé"),AND(F182="Congé sans solde",D182="Congé spécial"),AND(F182="Congé sans solde",D182="Férié"),AND(F182="Congé spécial",D182="OFF"),AND(F182="Congé spécial",D182="Congé"),AND(F182="Congé spécial",D182="Congé sans solde"),AND(F182="Congé spécial",D182="Férié"),AND(F182="Férié",D182="OFF"),AND(F182="Férié",D182="Congé"),AND(F182="Férié",D182="Congé sans solde"),AND(F182="Férié",D182="Congé spécial")),0,IF(OR(F182="OFF",F182="Congé",F182="Congé spécial",F182="Congé sans solde",D182="OFF",D182="Congé",D182="Congé spécial",D182="Congé sans solde"),0.208333333333334,IF(AND(AG182="",F182-D182&lt;0),("24:00:00"-D182)+("00:00:00"+F182)-0.0416666666666667,IF(AND(OR(AG182="Allaitement",AG182="Sans déjeuner"),F182-D182&lt;0),("24:00:00"-D182)+("00:00:00"+F182),IF(AND(AG182="",F182-D182&gt;0.166666666666667),F182-D182-0.0416666666666667,IF(AND(OR(AG182="Allaitement",AG182="Sans déjeuner"),F182-D182&gt;0.166666666666667),F182-D182,F182-D182)))))))</f>
        <v>0</v>
      </c>
      <c r="P182" s="91" t="str">
        <f>IFERROR(VLOOKUP($B182,Annuaire_roster!$B:$G,MATCH(P$1,Annuaire_roster!$B$1:$G$1,0),0),"-")</f>
        <v>Google Leads</v>
      </c>
      <c r="Q182" s="100">
        <v>44722</v>
      </c>
      <c r="R182" s="10">
        <f>IF(M182="Abs",O182,0)</f>
        <v>0</v>
      </c>
      <c r="S182" s="10">
        <f>SUM(R182,L182,I182,J182,W182,H182)</f>
        <v>0</v>
      </c>
      <c r="T182" s="16" t="str">
        <f>"Sem - "&amp;WEEKNUM(Q182,21)</f>
        <v>Sem - 24</v>
      </c>
      <c r="U182" s="16" t="str">
        <f>PROPER(TEXT(Q182,"mmmm"))</f>
        <v>Juin</v>
      </c>
      <c r="V182" s="11" t="str">
        <f>+TEXT(Q182,"aaa")</f>
        <v>2026</v>
      </c>
      <c r="W182" s="9"/>
      <c r="X182" s="5">
        <f>IFERROR(IF(M182="Abs",0,IF((D182-C182+E182-F182)&lt;0.000694444444444444,0,(D182-C182+E182-F182))),0)</f>
        <v>0</v>
      </c>
      <c r="Y182" s="12" t="str">
        <f>IFERROR(VLOOKUP(B182,Annuaire_roster!B:E,4,0),"-")</f>
        <v>CHOUIFI Mustapha</v>
      </c>
      <c r="Z182" s="12" t="str">
        <f>IFERROR(VLOOKUP(B182,Annuaire_roster!B:F,3,0),"-")</f>
        <v>Google Leads</v>
      </c>
      <c r="AA182" s="12" t="str">
        <f>IFERROR(VLOOKUP(B182,Annuaire_roster!B:I,6,0),"-")</f>
        <v>Forfaitaire</v>
      </c>
      <c r="AB182" s="142">
        <f>IF(AND(D182="Congé",F182="Congé"),0.333333333333333,IF(OR(AND(D182="Congé",F182&lt;&gt;"Congé"),(AND(F182="Congé",D182&lt;&gt;"Congé"))),0.166666666666667,""))</f>
        <v>0.33333333333333298</v>
      </c>
      <c r="AC182" s="142" t="str">
        <f>IF(AND(D182="Congé sans solde",F182="Congé sans solde"),0.333333333333333,IF(OR(AND(D182="Congé sans solde",F182&lt;&gt;"Congé sans solde"),(AND(F182="Congé sans solde",D182&lt;&gt;"Congé sans solde"))),0.166666666666667,""))</f>
        <v/>
      </c>
      <c r="AD182" s="142" t="str">
        <f>IF(AND(D182="Congé spécial",F182="Congé spécial"),0.333333333333333,IF(OR(AND(D182="Congé spécial",F182&lt;&gt;"Congé décès"),(AND(F182="Congé spécial",D182&lt;&gt;"Congé spécial"))),0.166666666666667,""))</f>
        <v/>
      </c>
      <c r="AE182" s="143" t="str">
        <f>IF(AND(D182="Férié",F182="Férié"),0.333333333333333,IF(OR(AND(D182="Férié",F182&lt;&gt;"Férié"),(AND(F182="Férié",D182&lt;&gt;"Férié"))),0.166666666666667,""))</f>
        <v/>
      </c>
      <c r="AF182" s="63"/>
      <c r="AG182" s="10"/>
    </row>
    <row r="183" spans="1:33" x14ac:dyDescent="0.2">
      <c r="A183" s="70">
        <f>VLOOKUP(B183,Annuaire_roster!B:F,5,0)</f>
        <v>742</v>
      </c>
      <c r="B183" s="166" t="s">
        <v>76</v>
      </c>
      <c r="C183" s="61"/>
      <c r="D183" s="61" t="str">
        <f t="array" ref="D183">IFERROR(INDEX(Planning2[],MATCH(1,(Planning2[Nom]=B183)*(Planning2[Date]=Q183),0),3),"-")</f>
        <v>OFF</v>
      </c>
      <c r="E183" s="38"/>
      <c r="F183" s="38" t="str">
        <f t="array" ref="F183">IFERROR(INDEX(Planning2[],MATCH(1,(Planning2[Nom]=B183)*(Planning2[Date]=Q183),0),4),"-")</f>
        <v>OFF</v>
      </c>
      <c r="G183" s="88"/>
      <c r="H183" s="88"/>
      <c r="I183" s="209" t="str">
        <f>IF(IF(OR(C183="",D183="Congé",D183="OFF",D183="Congé spécial"),"",IF(D183&gt;F183,D183-C183,IF(C183-D183&lt;0,0,C183-D183)))&lt;0.00068287037037037,"",IF(OR(D183="Congé",D183="OFF",C183="",D183="Congé spécial"),"",IF(D183&gt;F183,D183-C183,IF(C183-D183&lt;0,0,C183-D183))))</f>
        <v/>
      </c>
      <c r="J183" s="88"/>
      <c r="K183" s="89">
        <f>IF(SUM(H183:J183)&lt;0.00068287037037037,0,SUM(H183:J183))</f>
        <v>0</v>
      </c>
      <c r="L183" s="88">
        <f>IF(OR(F183="Congé",F183="OFF",M183="Abs",F183="Congé sans solde",F183="Férié",F183="Congé spécial",D183="Congé spécial"),0,IF(F183-E183&lt;0,0,IF(F183-E183&lt;=0.00068287037037037,0,F183-E183)))</f>
        <v>0</v>
      </c>
      <c r="M183" s="62">
        <f>IF(AND(O183&lt;&gt;0,C183=""),"Abs",0)</f>
        <v>0</v>
      </c>
      <c r="N183" s="102" t="str">
        <f>IFERROR(IF(OR(D183="OFF",D183="Congé",M183="Abs",D183="Congé sans solde",D183="Férié"),"",IF(O183-K183-L183&gt;O183,O183,IF(O183-K183-L183&lt;0,"",O183-K183-L183))),"")</f>
        <v/>
      </c>
      <c r="O183" s="90">
        <f>IF(AG183="2H Pause déjeuner",IF(F183-D183-0.0833333333333333&lt;0,F183-D183-0.0833333333333333+1,F183-D183-0.0833333333333333),IF(OR(AND(F183="OFF",D183="OFF"),AND(F183="Congé",D183="Congé"),AND(F183="Congé sans solde",D183="Congé sans solde"),AND(F183="Congé spécial",D183="Congé spécial"),AND(F183="Férié",D183="Férié"),AND(F183="OFF",D183="Congé"),AND(F183="OFF",D183="Congé sans solde"),AND(F183="OFF",D183="Congé spécial"),AND(F183="OFF",D183="Férié"),AND(F183="Congé",D183="OFF"),AND(F183="Congé",D183="Congé sans solde"),AND(F183="Congé",D183="Congé spécial"),AND(F183="Congé",D183="Férié"),AND(F183="Congé sans solde",D183="OFF"),AND(F183="Congé sans solde",D183="Congé"),AND(F183="Congé sans solde",D183="Congé spécial"),AND(F183="Congé sans solde",D183="Férié"),AND(F183="Congé spécial",D183="OFF"),AND(F183="Congé spécial",D183="Congé"),AND(F183="Congé spécial",D183="Congé sans solde"),AND(F183="Congé spécial",D183="Férié"),AND(F183="Férié",D183="OFF"),AND(F183="Férié",D183="Congé"),AND(F183="Férié",D183="Congé sans solde"),AND(F183="Férié",D183="Congé spécial")),0,IF(OR(F183="OFF",F183="Congé",F183="Congé spécial",F183="Congé sans solde",D183="OFF",D183="Congé",D183="Congé spécial",D183="Congé sans solde"),0.208333333333334,IF(AND(AG183="",F183-D183&lt;0),("24:00:00"-D183)+("00:00:00"+F183)-0.0416666666666667,IF(AND(OR(AG183="Allaitement",AG183="Sans déjeuner"),F183-D183&lt;0),("24:00:00"-D183)+("00:00:00"+F183),IF(AND(AG183="",F183-D183&gt;0.166666666666667),F183-D183-0.0416666666666667,IF(AND(OR(AG183="Allaitement",AG183="Sans déjeuner"),F183-D183&gt;0.166666666666667),F183-D183,F183-D183)))))))</f>
        <v>0</v>
      </c>
      <c r="P183" s="91" t="str">
        <f>IFERROR(VLOOKUP($B183,Annuaire_roster!$B:$G,MATCH(P$1,Annuaire_roster!$B$1:$G$1,0),0),"-")</f>
        <v>Google Leads</v>
      </c>
      <c r="Q183" s="100">
        <v>44722</v>
      </c>
      <c r="R183" s="10">
        <f>IF(M183="Abs",O183,0)</f>
        <v>0</v>
      </c>
      <c r="S183" s="10">
        <f>SUM(R183,L183,I183,J183,W183,H183)</f>
        <v>0</v>
      </c>
      <c r="T183" s="16" t="str">
        <f>"Sem - "&amp;WEEKNUM(Q183,21)</f>
        <v>Sem - 24</v>
      </c>
      <c r="U183" s="16" t="str">
        <f>PROPER(TEXT(Q183,"mmmm"))</f>
        <v>Juin</v>
      </c>
      <c r="V183" s="11" t="str">
        <f>+TEXT(Q183,"aaa")</f>
        <v>2026</v>
      </c>
      <c r="W183" s="9"/>
      <c r="X183" s="5">
        <f>IFERROR(IF(M183="Abs",0,IF((D183-C183+E183-F183)&lt;0.000694444444444444,0,(D183-C183+E183-F183))),0)</f>
        <v>0</v>
      </c>
      <c r="Y183" s="12" t="str">
        <f>IFERROR(VLOOKUP(B183,Annuaire_roster!B:E,4,0),"-")</f>
        <v>OUAQERROUCH Nour-El Houda</v>
      </c>
      <c r="Z183" s="12" t="str">
        <f>IFERROR(VLOOKUP(B183,Annuaire_roster!B:F,3,0),"-")</f>
        <v>Google Leads</v>
      </c>
      <c r="AA183" s="12" t="str">
        <f>IFERROR(VLOOKUP(B183,Annuaire_roster!B:I,6,0),"-")</f>
        <v>Forfaitaire</v>
      </c>
      <c r="AB183" s="142" t="str">
        <f>IF(AND(D183="Congé",F183="Congé"),0.333333333333333,IF(OR(AND(D183="Congé",F183&lt;&gt;"Congé"),(AND(F183="Congé",D183&lt;&gt;"Congé"))),0.166666666666667,""))</f>
        <v/>
      </c>
      <c r="AC183" s="142" t="str">
        <f>IF(AND(D183="Congé sans solde",F183="Congé sans solde"),0.333333333333333,IF(OR(AND(D183="Congé sans solde",F183&lt;&gt;"Congé sans solde"),(AND(F183="Congé sans solde",D183&lt;&gt;"Congé sans solde"))),0.166666666666667,""))</f>
        <v/>
      </c>
      <c r="AD183" s="142" t="str">
        <f>IF(AND(D183="Congé spécial",F183="Congé spécial"),0.333333333333333,IF(OR(AND(D183="Congé spécial",F183&lt;&gt;"Congé décès"),(AND(F183="Congé spécial",D183&lt;&gt;"Congé spécial"))),0.166666666666667,""))</f>
        <v/>
      </c>
      <c r="AE183" s="143" t="str">
        <f>IF(AND(D183="Férié",F183="Férié"),0.333333333333333,IF(OR(AND(D183="Férié",F183&lt;&gt;"Férié"),(AND(F183="Férié",D183&lt;&gt;"Férié"))),0.166666666666667,""))</f>
        <v/>
      </c>
      <c r="AF183" s="63"/>
      <c r="AG183" s="10"/>
    </row>
    <row r="184" spans="1:33" x14ac:dyDescent="0.2">
      <c r="A184" s="70">
        <f>VLOOKUP(B184,Annuaire_roster!B:F,5,0)</f>
        <v>1131</v>
      </c>
      <c r="B184" s="166" t="s">
        <v>214</v>
      </c>
      <c r="C184" s="61"/>
      <c r="D184" s="61" t="str">
        <f t="array" ref="D184">IFERROR(INDEX(Planning2[],MATCH(1,(Planning2[Nom]=B184)*(Planning2[Date]=Q184),0),3),"-")</f>
        <v>OFF</v>
      </c>
      <c r="E184" s="38"/>
      <c r="F184" s="38" t="str">
        <f t="array" ref="F184">IFERROR(INDEX(Planning2[],MATCH(1,(Planning2[Nom]=B184)*(Planning2[Date]=Q184),0),4),"-")</f>
        <v>OFF</v>
      </c>
      <c r="G184" s="88"/>
      <c r="H184" s="88"/>
      <c r="I184" s="209" t="str">
        <f>IF(IF(OR(C184="",D184="Congé",D184="OFF",D184="Congé spécial"),"",IF(D184&gt;F184,D184-C184,IF(C184-D184&lt;0,0,C184-D184)))&lt;0.00068287037037037,"",IF(OR(D184="Congé",D184="OFF",C184="",D184="Congé spécial"),"",IF(D184&gt;F184,D184-C184,IF(C184-D184&lt;0,0,C184-D184))))</f>
        <v/>
      </c>
      <c r="J184" s="88"/>
      <c r="K184" s="89">
        <f>IF(SUM(H184:J184)&lt;0.00068287037037037,0,SUM(H184:J184))</f>
        <v>0</v>
      </c>
      <c r="L184" s="88">
        <f>IF(OR(F184="Congé",F184="OFF",M184="Abs",F184="Congé sans solde",F184="Férié",F184="Congé spécial",D184="Congé spécial"),0,IF(F184-E184&lt;0,0,IF(F184-E184&lt;=0.00068287037037037,0,F184-E184)))</f>
        <v>0</v>
      </c>
      <c r="M184" s="62">
        <f>IF(AND(O184&lt;&gt;0,C184=""),"Abs",0)</f>
        <v>0</v>
      </c>
      <c r="N184" s="102" t="str">
        <f>IFERROR(IF(OR(D184="OFF",D184="Congé",M184="Abs",D184="Congé sans solde",D184="Férié"),"",IF(O184-K184-L184&gt;O184,O184,IF(O184-K184-L184&lt;0,"",O184-K184-L184))),"")</f>
        <v/>
      </c>
      <c r="O184" s="90">
        <f>IF(AG184="2H Pause déjeuner",IF(F184-D184-0.0833333333333333&lt;0,F184-D184-0.0833333333333333+1,F184-D184-0.0833333333333333),IF(OR(AND(F184="OFF",D184="OFF"),AND(F184="Congé",D184="Congé"),AND(F184="Congé sans solde",D184="Congé sans solde"),AND(F184="Congé spécial",D184="Congé spécial"),AND(F184="Férié",D184="Férié"),AND(F184="OFF",D184="Congé"),AND(F184="OFF",D184="Congé sans solde"),AND(F184="OFF",D184="Congé spécial"),AND(F184="OFF",D184="Férié"),AND(F184="Congé",D184="OFF"),AND(F184="Congé",D184="Congé sans solde"),AND(F184="Congé",D184="Congé spécial"),AND(F184="Congé",D184="Férié"),AND(F184="Congé sans solde",D184="OFF"),AND(F184="Congé sans solde",D184="Congé"),AND(F184="Congé sans solde",D184="Congé spécial"),AND(F184="Congé sans solde",D184="Férié"),AND(F184="Congé spécial",D184="OFF"),AND(F184="Congé spécial",D184="Congé"),AND(F184="Congé spécial",D184="Congé sans solde"),AND(F184="Congé spécial",D184="Férié"),AND(F184="Férié",D184="OFF"),AND(F184="Férié",D184="Congé"),AND(F184="Férié",D184="Congé sans solde"),AND(F184="Férié",D184="Congé spécial")),0,IF(OR(F184="OFF",F184="Congé",F184="Congé spécial",F184="Congé sans solde",D184="OFF",D184="Congé",D184="Congé spécial",D184="Congé sans solde"),0.208333333333334,IF(AND(AG184="",F184-D184&lt;0),("24:00:00"-D184)+("00:00:00"+F184)-0.0416666666666667,IF(AND(OR(AG184="Allaitement",AG184="Sans déjeuner"),F184-D184&lt;0),("24:00:00"-D184)+("00:00:00"+F184),IF(AND(AG184="",F184-D184&gt;0.166666666666667),F184-D184-0.0416666666666667,IF(AND(OR(AG184="Allaitement",AG184="Sans déjeuner"),F184-D184&gt;0.166666666666667),F184-D184,F184-D184)))))))</f>
        <v>0</v>
      </c>
      <c r="P184" s="91" t="str">
        <f>IFERROR(VLOOKUP($B184,Annuaire_roster!$B:$G,MATCH(P$1,Annuaire_roster!$B$1:$G$1,0),0),"-")</f>
        <v>Google Leads</v>
      </c>
      <c r="Q184" s="100">
        <v>44722</v>
      </c>
      <c r="R184" s="10">
        <f>IF(M184="Abs",O184,0)</f>
        <v>0</v>
      </c>
      <c r="S184" s="10">
        <f>SUM(R184,L184,I184,J184,W184,H184)</f>
        <v>0</v>
      </c>
      <c r="T184" s="16" t="str">
        <f>"Sem - "&amp;WEEKNUM(Q184,21)</f>
        <v>Sem - 24</v>
      </c>
      <c r="U184" s="16" t="str">
        <f>PROPER(TEXT(Q184,"mmmm"))</f>
        <v>Juin</v>
      </c>
      <c r="V184" s="11" t="str">
        <f>+TEXT(Q184,"aaa")</f>
        <v>2026</v>
      </c>
      <c r="W184" s="9"/>
      <c r="X184" s="5">
        <f>IFERROR(IF(M184="Abs",0,IF((D184-C184+E184-F184)&lt;0.000694444444444444,0,(D184-C184+E184-F184))),0)</f>
        <v>0</v>
      </c>
      <c r="Y184" s="12" t="str">
        <f>IFERROR(VLOOKUP(B184,Annuaire_roster!B:E,4,0),"-")</f>
        <v>CHOUIFI Mustapha</v>
      </c>
      <c r="Z184" s="12" t="str">
        <f>IFERROR(VLOOKUP(B184,Annuaire_roster!B:F,3,0),"-")</f>
        <v>Google Leads</v>
      </c>
      <c r="AA184" s="12" t="str">
        <f>IFERROR(VLOOKUP(B184,Annuaire_roster!B:I,6,0),"-")</f>
        <v>Forfaitaire</v>
      </c>
      <c r="AB184" s="142" t="str">
        <f>IF(AND(D184="Congé",F184="Congé"),0.333333333333333,IF(OR(AND(D184="Congé",F184&lt;&gt;"Congé"),(AND(F184="Congé",D184&lt;&gt;"Congé"))),0.166666666666667,""))</f>
        <v/>
      </c>
      <c r="AC184" s="142" t="str">
        <f>IF(AND(D184="Congé sans solde",F184="Congé sans solde"),0.333333333333333,IF(OR(AND(D184="Congé sans solde",F184&lt;&gt;"Congé sans solde"),(AND(F184="Congé sans solde",D184&lt;&gt;"Congé sans solde"))),0.166666666666667,""))</f>
        <v/>
      </c>
      <c r="AD184" s="142" t="str">
        <f>IF(AND(D184="Congé spécial",F184="Congé spécial"),0.333333333333333,IF(OR(AND(D184="Congé spécial",F184&lt;&gt;"Congé décès"),(AND(F184="Congé spécial",D184&lt;&gt;"Congé spécial"))),0.166666666666667,""))</f>
        <v/>
      </c>
      <c r="AE184" s="143" t="str">
        <f>IF(AND(D184="Férié",F184="Férié"),0.333333333333333,IF(OR(AND(D184="Férié",F184&lt;&gt;"Férié"),(AND(F184="Férié",D184&lt;&gt;"Férié"))),0.166666666666667,""))</f>
        <v/>
      </c>
      <c r="AF184" s="63"/>
      <c r="AG184" s="10"/>
    </row>
    <row r="185" spans="1:33" x14ac:dyDescent="0.2">
      <c r="A185" s="70">
        <f>VLOOKUP(B185,Annuaire_roster!B:F,5,0)</f>
        <v>0</v>
      </c>
      <c r="B185" s="166" t="s">
        <v>198</v>
      </c>
      <c r="C185" s="61"/>
      <c r="D185" s="61" t="str">
        <f t="array" ref="D185">IFERROR(INDEX(Planning2[],MATCH(1,(Planning2[Nom]=B185)*(Planning2[Date]=Q185),0),3),"-")</f>
        <v>OFF</v>
      </c>
      <c r="E185" s="38"/>
      <c r="F185" s="38" t="str">
        <f t="array" ref="F185">IFERROR(INDEX(Planning2[],MATCH(1,(Planning2[Nom]=B185)*(Planning2[Date]=Q185),0),4),"-")</f>
        <v>OFF</v>
      </c>
      <c r="G185" s="88"/>
      <c r="H185" s="88"/>
      <c r="I185" s="209" t="str">
        <f>IF(IF(OR(C185="",D185="Congé",D185="OFF",D185="Congé spécial"),"",IF(D185&gt;F185,D185-C185,IF(C185-D185&lt;0,0,C185-D185)))&lt;0.00068287037037037,"",IF(OR(D185="Congé",D185="OFF",C185="",D185="Congé spécial"),"",IF(D185&gt;F185,D185-C185,IF(C185-D185&lt;0,0,C185-D185))))</f>
        <v/>
      </c>
      <c r="J185" s="88"/>
      <c r="K185" s="89">
        <f>IF(SUM(H185:J185)&lt;0.00068287037037037,0,SUM(H185:J185))</f>
        <v>0</v>
      </c>
      <c r="L185" s="88">
        <f>IF(OR(F185="Congé",F185="OFF",M185="Abs",F185="Congé sans solde",F185="Férié",F185="Congé spécial",D185="Congé spécial"),0,IF(F185-E185&lt;0,0,IF(F185-E185&lt;=0.00068287037037037,0,F185-E185)))</f>
        <v>0</v>
      </c>
      <c r="M185" s="62">
        <f>IF(AND(O185&lt;&gt;0,C185=""),"Abs",0)</f>
        <v>0</v>
      </c>
      <c r="N185" s="102" t="str">
        <f>IFERROR(IF(OR(D185="OFF",D185="Congé",M185="Abs",D185="Congé sans solde",D185="Férié"),"",IF(O185-K185-L185&gt;O185,O185,IF(O185-K185-L185&lt;0,"",O185-K185-L185))),"")</f>
        <v/>
      </c>
      <c r="O185" s="90">
        <f>IF(AG185="2H Pause déjeuner",IF(F185-D185-0.0833333333333333&lt;0,F185-D185-0.0833333333333333+1,F185-D185-0.0833333333333333),IF(OR(AND(F185="OFF",D185="OFF"),AND(F185="Congé",D185="Congé"),AND(F185="Congé sans solde",D185="Congé sans solde"),AND(F185="Congé spécial",D185="Congé spécial"),AND(F185="Férié",D185="Férié"),AND(F185="OFF",D185="Congé"),AND(F185="OFF",D185="Congé sans solde"),AND(F185="OFF",D185="Congé spécial"),AND(F185="OFF",D185="Férié"),AND(F185="Congé",D185="OFF"),AND(F185="Congé",D185="Congé sans solde"),AND(F185="Congé",D185="Congé spécial"),AND(F185="Congé",D185="Férié"),AND(F185="Congé sans solde",D185="OFF"),AND(F185="Congé sans solde",D185="Congé"),AND(F185="Congé sans solde",D185="Congé spécial"),AND(F185="Congé sans solde",D185="Férié"),AND(F185="Congé spécial",D185="OFF"),AND(F185="Congé spécial",D185="Congé"),AND(F185="Congé spécial",D185="Congé sans solde"),AND(F185="Congé spécial",D185="Férié"),AND(F185="Férié",D185="OFF"),AND(F185="Férié",D185="Congé"),AND(F185="Férié",D185="Congé sans solde"),AND(F185="Férié",D185="Congé spécial")),0,IF(OR(F185="OFF",F185="Congé",F185="Congé spécial",F185="Congé sans solde",D185="OFF",D185="Congé",D185="Congé spécial",D185="Congé sans solde"),0.208333333333334,IF(AND(AG185="",F185-D185&lt;0),("24:00:00"-D185)+("00:00:00"+F185)-0.0416666666666667,IF(AND(OR(AG185="Allaitement",AG185="Sans déjeuner"),F185-D185&lt;0),("24:00:00"-D185)+("00:00:00"+F185),IF(AND(AG185="",F185-D185&gt;0.166666666666667),F185-D185-0.0416666666666667,IF(AND(OR(AG185="Allaitement",AG185="Sans déjeuner"),F185-D185&gt;0.166666666666667),F185-D185,F185-D185)))))))</f>
        <v>0</v>
      </c>
      <c r="P185" s="91" t="str">
        <f>IFERROR(VLOOKUP($B185,Annuaire_roster!$B:$G,MATCH(P$1,Annuaire_roster!$B$1:$G$1,0),0),"-")</f>
        <v>Google Leads</v>
      </c>
      <c r="Q185" s="100">
        <v>44722</v>
      </c>
      <c r="R185" s="10">
        <f>IF(M185="Abs",O185,0)</f>
        <v>0</v>
      </c>
      <c r="S185" s="10">
        <f>SUM(R185,L185,I185,J185,W185,H185)</f>
        <v>0</v>
      </c>
      <c r="T185" s="16" t="str">
        <f>"Sem - "&amp;WEEKNUM(Q185,21)</f>
        <v>Sem - 24</v>
      </c>
      <c r="U185" s="16" t="str">
        <f>PROPER(TEXT(Q185,"mmmm"))</f>
        <v>Juin</v>
      </c>
      <c r="V185" s="11" t="str">
        <f>+TEXT(Q185,"aaa")</f>
        <v>2026</v>
      </c>
      <c r="W185" s="9"/>
      <c r="X185" s="5">
        <f>IFERROR(IF(M185="Abs",0,IF((D185-C185+E185-F185)&lt;0.000694444444444444,0,(D185-C185+E185-F185))),0)</f>
        <v>0</v>
      </c>
      <c r="Y185" s="12">
        <f>IFERROR(VLOOKUP(B185,Annuaire_roster!B:E,4,0),"-")</f>
        <v>0</v>
      </c>
      <c r="Z185" s="12" t="str">
        <f>IFERROR(VLOOKUP(B185,Annuaire_roster!B:F,3,0),"-")</f>
        <v>Google Leads</v>
      </c>
      <c r="AA185" s="12">
        <f>IFERROR(VLOOKUP(B185,Annuaire_roster!B:I,6,0),"-")</f>
        <v>0</v>
      </c>
      <c r="AB185" s="142" t="str">
        <f>IF(AND(D185="Congé",F185="Congé"),0.333333333333333,IF(OR(AND(D185="Congé",F185&lt;&gt;"Congé"),(AND(F185="Congé",D185&lt;&gt;"Congé"))),0.166666666666667,""))</f>
        <v/>
      </c>
      <c r="AC185" s="142" t="str">
        <f>IF(AND(D185="Congé sans solde",F185="Congé sans solde"),0.333333333333333,IF(OR(AND(D185="Congé sans solde",F185&lt;&gt;"Congé sans solde"),(AND(F185="Congé sans solde",D185&lt;&gt;"Congé sans solde"))),0.166666666666667,""))</f>
        <v/>
      </c>
      <c r="AD185" s="142" t="str">
        <f>IF(AND(D185="Congé spécial",F185="Congé spécial"),0.333333333333333,IF(OR(AND(D185="Congé spécial",F185&lt;&gt;"Congé décès"),(AND(F185="Congé spécial",D185&lt;&gt;"Congé spécial"))),0.166666666666667,""))</f>
        <v/>
      </c>
      <c r="AE185" s="143" t="str">
        <f>IF(AND(D185="Férié",F185="Férié"),0.333333333333333,IF(OR(AND(D185="Férié",F185&lt;&gt;"Férié"),(AND(F185="Férié",D185&lt;&gt;"Férié"))),0.166666666666667,""))</f>
        <v/>
      </c>
      <c r="AF185" s="63"/>
      <c r="AG185" s="10"/>
    </row>
    <row r="186" spans="1:33" x14ac:dyDescent="0.2">
      <c r="A186" s="70">
        <f>VLOOKUP(B186,Annuaire_roster!B:F,5,0)</f>
        <v>0</v>
      </c>
      <c r="B186" s="166" t="s">
        <v>210</v>
      </c>
      <c r="C186" s="61"/>
      <c r="D186" s="61" t="str">
        <f t="array" ref="D186">IFERROR(INDEX(Planning2[],MATCH(1,(Planning2[Nom]=B186)*(Planning2[Date]=Q186),0),3),"-")</f>
        <v>OFF</v>
      </c>
      <c r="E186" s="38"/>
      <c r="F186" s="38" t="str">
        <f t="array" ref="F186">IFERROR(INDEX(Planning2[],MATCH(1,(Planning2[Nom]=B186)*(Planning2[Date]=Q186),0),4),"-")</f>
        <v>OFF</v>
      </c>
      <c r="G186" s="88"/>
      <c r="H186" s="88"/>
      <c r="I186" s="209" t="str">
        <f>IF(IF(OR(C186="",D186="Congé",D186="OFF",D186="Congé spécial"),"",IF(D186&gt;F186,D186-C186,IF(C186-D186&lt;0,0,C186-D186)))&lt;0.00068287037037037,"",IF(OR(D186="Congé",D186="OFF",C186="",D186="Congé spécial"),"",IF(D186&gt;F186,D186-C186,IF(C186-D186&lt;0,0,C186-D186))))</f>
        <v/>
      </c>
      <c r="J186" s="88"/>
      <c r="K186" s="89">
        <f>IF(SUM(H186:J186)&lt;0.00068287037037037,0,SUM(H186:J186))</f>
        <v>0</v>
      </c>
      <c r="L186" s="88">
        <f>IF(OR(F186="Congé",F186="OFF",M186="Abs",F186="Congé sans solde",F186="Férié",F186="Congé spécial",D186="Congé spécial"),0,IF(F186-E186&lt;0,0,IF(F186-E186&lt;=0.00068287037037037,0,F186-E186)))</f>
        <v>0</v>
      </c>
      <c r="M186" s="62">
        <f>IF(AND(O186&lt;&gt;0,C186=""),"Abs",0)</f>
        <v>0</v>
      </c>
      <c r="N186" s="102" t="str">
        <f>IFERROR(IF(OR(D186="OFF",D186="Congé",M186="Abs",D186="Congé sans solde",D186="Férié"),"",IF(O186-K186-L186&gt;O186,O186,IF(O186-K186-L186&lt;0,"",O186-K186-L186))),"")</f>
        <v/>
      </c>
      <c r="O186" s="90">
        <f>IF(AG186="2H Pause déjeuner",IF(F186-D186-0.0833333333333333&lt;0,F186-D186-0.0833333333333333+1,F186-D186-0.0833333333333333),IF(OR(AND(F186="OFF",D186="OFF"),AND(F186="Congé",D186="Congé"),AND(F186="Congé sans solde",D186="Congé sans solde"),AND(F186="Congé spécial",D186="Congé spécial"),AND(F186="Férié",D186="Férié"),AND(F186="OFF",D186="Congé"),AND(F186="OFF",D186="Congé sans solde"),AND(F186="OFF",D186="Congé spécial"),AND(F186="OFF",D186="Férié"),AND(F186="Congé",D186="OFF"),AND(F186="Congé",D186="Congé sans solde"),AND(F186="Congé",D186="Congé spécial"),AND(F186="Congé",D186="Férié"),AND(F186="Congé sans solde",D186="OFF"),AND(F186="Congé sans solde",D186="Congé"),AND(F186="Congé sans solde",D186="Congé spécial"),AND(F186="Congé sans solde",D186="Férié"),AND(F186="Congé spécial",D186="OFF"),AND(F186="Congé spécial",D186="Congé"),AND(F186="Congé spécial",D186="Congé sans solde"),AND(F186="Congé spécial",D186="Férié"),AND(F186="Férié",D186="OFF"),AND(F186="Férié",D186="Congé"),AND(F186="Férié",D186="Congé sans solde"),AND(F186="Férié",D186="Congé spécial")),0,IF(OR(F186="OFF",F186="Congé",F186="Congé spécial",F186="Congé sans solde",D186="OFF",D186="Congé",D186="Congé spécial",D186="Congé sans solde"),0.208333333333334,IF(AND(AG186="",F186-D186&lt;0),("24:00:00"-D186)+("00:00:00"+F186)-0.0416666666666667,IF(AND(OR(AG186="Allaitement",AG186="Sans déjeuner"),F186-D186&lt;0),("24:00:00"-D186)+("00:00:00"+F186),IF(AND(AG186="",F186-D186&gt;0.166666666666667),F186-D186-0.0416666666666667,IF(AND(OR(AG186="Allaitement",AG186="Sans déjeuner"),F186-D186&gt;0.166666666666667),F186-D186,F186-D186)))))))</f>
        <v>0</v>
      </c>
      <c r="P186" s="91" t="str">
        <f>IFERROR(VLOOKUP($B186,Annuaire_roster!$B:$G,MATCH(P$1,Annuaire_roster!$B$1:$G$1,0),0),"-")</f>
        <v>Google Leads</v>
      </c>
      <c r="Q186" s="100">
        <v>44722</v>
      </c>
      <c r="R186" s="10">
        <f>IF(M186="Abs",O186,0)</f>
        <v>0</v>
      </c>
      <c r="S186" s="10">
        <f>SUM(R186,L186,I186,J186,W186,H186)</f>
        <v>0</v>
      </c>
      <c r="T186" s="16" t="str">
        <f>"Sem - "&amp;WEEKNUM(Q186,21)</f>
        <v>Sem - 24</v>
      </c>
      <c r="U186" s="16" t="str">
        <f>PROPER(TEXT(Q186,"mmmm"))</f>
        <v>Juin</v>
      </c>
      <c r="V186" s="11" t="str">
        <f>+TEXT(Q186,"aaa")</f>
        <v>2026</v>
      </c>
      <c r="W186" s="9"/>
      <c r="X186" s="5">
        <f>IFERROR(IF(M186="Abs",0,IF((D186-C186+E186-F186)&lt;0.000694444444444444,0,(D186-C186+E186-F186))),0)</f>
        <v>0</v>
      </c>
      <c r="Y186" s="12">
        <f>IFERROR(VLOOKUP(B186,Annuaire_roster!B:E,4,0),"-")</f>
        <v>0</v>
      </c>
      <c r="Z186" s="12" t="str">
        <f>IFERROR(VLOOKUP(B186,Annuaire_roster!B:F,3,0),"-")</f>
        <v>Google Leads</v>
      </c>
      <c r="AA186" s="12">
        <f>IFERROR(VLOOKUP(B186,Annuaire_roster!B:I,6,0),"-")</f>
        <v>0</v>
      </c>
      <c r="AB186" s="142" t="str">
        <f>IF(AND(D186="Congé",F186="Congé"),0.333333333333333,IF(OR(AND(D186="Congé",F186&lt;&gt;"Congé"),(AND(F186="Congé",D186&lt;&gt;"Congé"))),0.166666666666667,""))</f>
        <v/>
      </c>
      <c r="AC186" s="142" t="str">
        <f>IF(AND(D186="Congé sans solde",F186="Congé sans solde"),0.333333333333333,IF(OR(AND(D186="Congé sans solde",F186&lt;&gt;"Congé sans solde"),(AND(F186="Congé sans solde",D186&lt;&gt;"Congé sans solde"))),0.166666666666667,""))</f>
        <v/>
      </c>
      <c r="AD186" s="142" t="str">
        <f>IF(AND(D186="Congé spécial",F186="Congé spécial"),0.333333333333333,IF(OR(AND(D186="Congé spécial",F186&lt;&gt;"Congé décès"),(AND(F186="Congé spécial",D186&lt;&gt;"Congé spécial"))),0.166666666666667,""))</f>
        <v/>
      </c>
      <c r="AE186" s="143" t="str">
        <f>IF(AND(D186="Férié",F186="Férié"),0.333333333333333,IF(OR(AND(D186="Férié",F186&lt;&gt;"Férié"),(AND(F186="Férié",D186&lt;&gt;"Férié"))),0.166666666666667,""))</f>
        <v/>
      </c>
      <c r="AF186" s="63"/>
      <c r="AG186" s="10"/>
    </row>
    <row r="187" spans="1:33" x14ac:dyDescent="0.2">
      <c r="A187" s="70">
        <f>VLOOKUP(B187,Annuaire_roster!B:F,5,0)</f>
        <v>0</v>
      </c>
      <c r="B187" s="166" t="s">
        <v>224</v>
      </c>
      <c r="C187" s="61"/>
      <c r="D187" s="61" t="str">
        <f t="array" ref="D187">IFERROR(INDEX(Planning2[],MATCH(1,(Planning2[Nom]=B187)*(Planning2[Date]=Q187),0),3),"-")</f>
        <v>OFF</v>
      </c>
      <c r="E187" s="38"/>
      <c r="F187" s="38" t="str">
        <f t="array" ref="F187">IFERROR(INDEX(Planning2[],MATCH(1,(Planning2[Nom]=B187)*(Planning2[Date]=Q187),0),4),"-")</f>
        <v>OFF</v>
      </c>
      <c r="G187" s="88"/>
      <c r="H187" s="88"/>
      <c r="I187" s="209" t="str">
        <f>IF(IF(OR(C187="",D187="Congé",D187="OFF",D187="Congé spécial"),"",IF(D187&gt;F187,D187-C187,IF(C187-D187&lt;0,0,C187-D187)))&lt;0.00068287037037037,"",IF(OR(D187="Congé",D187="OFF",C187="",D187="Congé spécial"),"",IF(D187&gt;F187,D187-C187,IF(C187-D187&lt;0,0,C187-D187))))</f>
        <v/>
      </c>
      <c r="J187" s="88"/>
      <c r="K187" s="89">
        <f>IF(SUM(H187:J187)&lt;0.00068287037037037,0,SUM(H187:J187))</f>
        <v>0</v>
      </c>
      <c r="L187" s="88">
        <f>IF(OR(F187="Congé",F187="OFF",M187="Abs",F187="Congé sans solde",F187="Férié",F187="Congé spécial",D187="Congé spécial"),0,IF(F187-E187&lt;0,0,IF(F187-E187&lt;=0.00068287037037037,0,F187-E187)))</f>
        <v>0</v>
      </c>
      <c r="M187" s="62">
        <f>IF(AND(O187&lt;&gt;0,C187=""),"Abs",0)</f>
        <v>0</v>
      </c>
      <c r="N187" s="102" t="str">
        <f>IFERROR(IF(OR(D187="OFF",D187="Congé",M187="Abs",D187="Congé sans solde",D187="Férié"),"",IF(O187-K187-L187&gt;O187,O187,IF(O187-K187-L187&lt;0,"",O187-K187-L187))),"")</f>
        <v/>
      </c>
      <c r="O187" s="90">
        <f>IF(AG187="2H Pause déjeuner",IF(F187-D187-0.0833333333333333&lt;0,F187-D187-0.0833333333333333+1,F187-D187-0.0833333333333333),IF(OR(AND(F187="OFF",D187="OFF"),AND(F187="Congé",D187="Congé"),AND(F187="Congé sans solde",D187="Congé sans solde"),AND(F187="Congé spécial",D187="Congé spécial"),AND(F187="Férié",D187="Férié"),AND(F187="OFF",D187="Congé"),AND(F187="OFF",D187="Congé sans solde"),AND(F187="OFF",D187="Congé spécial"),AND(F187="OFF",D187="Férié"),AND(F187="Congé",D187="OFF"),AND(F187="Congé",D187="Congé sans solde"),AND(F187="Congé",D187="Congé spécial"),AND(F187="Congé",D187="Férié"),AND(F187="Congé sans solde",D187="OFF"),AND(F187="Congé sans solde",D187="Congé"),AND(F187="Congé sans solde",D187="Congé spécial"),AND(F187="Congé sans solde",D187="Férié"),AND(F187="Congé spécial",D187="OFF"),AND(F187="Congé spécial",D187="Congé"),AND(F187="Congé spécial",D187="Congé sans solde"),AND(F187="Congé spécial",D187="Férié"),AND(F187="Férié",D187="OFF"),AND(F187="Férié",D187="Congé"),AND(F187="Férié",D187="Congé sans solde"),AND(F187="Férié",D187="Congé spécial")),0,IF(OR(F187="OFF",F187="Congé",F187="Congé spécial",F187="Congé sans solde",D187="OFF",D187="Congé",D187="Congé spécial",D187="Congé sans solde"),0.208333333333334,IF(AND(AG187="",F187-D187&lt;0),("24:00:00"-D187)+("00:00:00"+F187)-0.0416666666666667,IF(AND(OR(AG187="Allaitement",AG187="Sans déjeuner"),F187-D187&lt;0),("24:00:00"-D187)+("00:00:00"+F187),IF(AND(AG187="",F187-D187&gt;0.166666666666667),F187-D187-0.0416666666666667,IF(AND(OR(AG187="Allaitement",AG187="Sans déjeuner"),F187-D187&gt;0.166666666666667),F187-D187,F187-D187)))))))</f>
        <v>0</v>
      </c>
      <c r="P187" s="91" t="str">
        <f>IFERROR(VLOOKUP($B187,Annuaire_roster!$B:$G,MATCH(P$1,Annuaire_roster!$B$1:$G$1,0),0),"-")</f>
        <v>Google Leads</v>
      </c>
      <c r="Q187" s="100">
        <v>44722</v>
      </c>
      <c r="R187" s="10">
        <f>IF(M187="Abs",O187,0)</f>
        <v>0</v>
      </c>
      <c r="S187" s="10">
        <f>SUM(R187,L187,I187,J187,W187,H187)</f>
        <v>0</v>
      </c>
      <c r="T187" s="16" t="str">
        <f>"Sem - "&amp;WEEKNUM(Q187,21)</f>
        <v>Sem - 24</v>
      </c>
      <c r="U187" s="16" t="str">
        <f>PROPER(TEXT(Q187,"mmmm"))</f>
        <v>Juin</v>
      </c>
      <c r="V187" s="11" t="str">
        <f>+TEXT(Q187,"aaa")</f>
        <v>2026</v>
      </c>
      <c r="W187" s="9"/>
      <c r="X187" s="5">
        <f>IFERROR(IF(M187="Abs",0,IF((D187-C187+E187-F187)&lt;0.000694444444444444,0,(D187-C187+E187-F187))),0)</f>
        <v>0</v>
      </c>
      <c r="Y187" s="12">
        <f>IFERROR(VLOOKUP(B187,Annuaire_roster!B:E,4,0),"-")</f>
        <v>0</v>
      </c>
      <c r="Z187" s="12" t="str">
        <f>IFERROR(VLOOKUP(B187,Annuaire_roster!B:F,3,0),"-")</f>
        <v>Google Leads</v>
      </c>
      <c r="AA187" s="12">
        <f>IFERROR(VLOOKUP(B187,Annuaire_roster!B:I,6,0),"-")</f>
        <v>0</v>
      </c>
      <c r="AB187" s="142" t="str">
        <f>IF(AND(D187="Congé",F187="Congé"),0.333333333333333,IF(OR(AND(D187="Congé",F187&lt;&gt;"Congé"),(AND(F187="Congé",D187&lt;&gt;"Congé"))),0.166666666666667,""))</f>
        <v/>
      </c>
      <c r="AC187" s="142" t="str">
        <f>IF(AND(D187="Congé sans solde",F187="Congé sans solde"),0.333333333333333,IF(OR(AND(D187="Congé sans solde",F187&lt;&gt;"Congé sans solde"),(AND(F187="Congé sans solde",D187&lt;&gt;"Congé sans solde"))),0.166666666666667,""))</f>
        <v/>
      </c>
      <c r="AD187" s="142" t="str">
        <f>IF(AND(D187="Congé spécial",F187="Congé spécial"),0.333333333333333,IF(OR(AND(D187="Congé spécial",F187&lt;&gt;"Congé décès"),(AND(F187="Congé spécial",D187&lt;&gt;"Congé spécial"))),0.166666666666667,""))</f>
        <v/>
      </c>
      <c r="AE187" s="143" t="str">
        <f>IF(AND(D187="Férié",F187="Férié"),0.333333333333333,IF(OR(AND(D187="Férié",F187&lt;&gt;"Férié"),(AND(F187="Férié",D187&lt;&gt;"Férié"))),0.166666666666667,""))</f>
        <v/>
      </c>
      <c r="AF187" s="63"/>
      <c r="AG187" s="10"/>
    </row>
    <row r="188" spans="1:33" x14ac:dyDescent="0.2">
      <c r="A188" s="70">
        <f>VLOOKUP(B188,Annuaire_roster!B:F,5,0)</f>
        <v>1167</v>
      </c>
      <c r="B188" s="166" t="s">
        <v>126</v>
      </c>
      <c r="C188" s="61"/>
      <c r="D188" s="61" t="str">
        <f t="array" ref="D188">IFERROR(INDEX(Planning2[],MATCH(1,(Planning2[Nom]=B188)*(Planning2[Date]=Q188),0),3),"-")</f>
        <v>OFF</v>
      </c>
      <c r="E188" s="38"/>
      <c r="F188" s="38" t="str">
        <f t="array" ref="F188">IFERROR(INDEX(Planning2[],MATCH(1,(Planning2[Nom]=B188)*(Planning2[Date]=Q188),0),4),"-")</f>
        <v>OFF</v>
      </c>
      <c r="G188" s="88"/>
      <c r="H188" s="88"/>
      <c r="I188" s="209" t="str">
        <f>IF(IF(OR(C188="",D188="Congé",D188="OFF",D188="Congé spécial"),"",IF(D188&gt;F188,D188-C188,IF(C188-D188&lt;0,0,C188-D188)))&lt;0.00068287037037037,"",IF(OR(D188="Congé",D188="OFF",C188="",D188="Congé spécial"),"",IF(D188&gt;F188,D188-C188,IF(C188-D188&lt;0,0,C188-D188))))</f>
        <v/>
      </c>
      <c r="J188" s="88"/>
      <c r="K188" s="89">
        <f>IF(SUM(H188:J188)&lt;0.00068287037037037,0,SUM(H188:J188))</f>
        <v>0</v>
      </c>
      <c r="L188" s="88">
        <f>IF(OR(F188="Congé",F188="OFF",M188="Abs",F188="Congé sans solde",F188="Férié",F188="Congé spécial",D188="Congé spécial"),0,IF(F188-E188&lt;0,0,IF(F188-E188&lt;=0.00068287037037037,0,F188-E188)))</f>
        <v>0</v>
      </c>
      <c r="M188" s="62">
        <f>IF(AND(O188&lt;&gt;0,C188=""),"Abs",0)</f>
        <v>0</v>
      </c>
      <c r="N188" s="102" t="str">
        <f>IFERROR(IF(OR(D188="OFF",D188="Congé",M188="Abs",D188="Congé sans solde",D188="Férié"),"",IF(O188-K188-L188&gt;O188,O188,IF(O188-K188-L188&lt;0,"",O188-K188-L188))),"")</f>
        <v/>
      </c>
      <c r="O188" s="90">
        <f>IF(AG188="2H Pause déjeuner",IF(F188-D188-0.0833333333333333&lt;0,F188-D188-0.0833333333333333+1,F188-D188-0.0833333333333333),IF(OR(AND(F188="OFF",D188="OFF"),AND(F188="Congé",D188="Congé"),AND(F188="Congé sans solde",D188="Congé sans solde"),AND(F188="Congé spécial",D188="Congé spécial"),AND(F188="Férié",D188="Férié"),AND(F188="OFF",D188="Congé"),AND(F188="OFF",D188="Congé sans solde"),AND(F188="OFF",D188="Congé spécial"),AND(F188="OFF",D188="Férié"),AND(F188="Congé",D188="OFF"),AND(F188="Congé",D188="Congé sans solde"),AND(F188="Congé",D188="Congé spécial"),AND(F188="Congé",D188="Férié"),AND(F188="Congé sans solde",D188="OFF"),AND(F188="Congé sans solde",D188="Congé"),AND(F188="Congé sans solde",D188="Congé spécial"),AND(F188="Congé sans solde",D188="Férié"),AND(F188="Congé spécial",D188="OFF"),AND(F188="Congé spécial",D188="Congé"),AND(F188="Congé spécial",D188="Congé sans solde"),AND(F188="Congé spécial",D188="Férié"),AND(F188="Férié",D188="OFF"),AND(F188="Férié",D188="Congé"),AND(F188="Férié",D188="Congé sans solde"),AND(F188="Férié",D188="Congé spécial")),0,IF(OR(F188="OFF",F188="Congé",F188="Congé spécial",F188="Congé sans solde",D188="OFF",D188="Congé",D188="Congé spécial",D188="Congé sans solde"),0.208333333333334,IF(AND(AG188="",F188-D188&lt;0),("24:00:00"-D188)+("00:00:00"+F188)-0.0416666666666667,IF(AND(OR(AG188="Allaitement",AG188="Sans déjeuner"),F188-D188&lt;0),("24:00:00"-D188)+("00:00:00"+F188),IF(AND(AG188="",F188-D188&gt;0.166666666666667),F188-D188-0.0416666666666667,IF(AND(OR(AG188="Allaitement",AG188="Sans déjeuner"),F188-D188&gt;0.166666666666667),F188-D188,F188-D188)))))))</f>
        <v>0</v>
      </c>
      <c r="P188" s="91" t="str">
        <f>IFERROR(VLOOKUP($B188,Annuaire_roster!$B:$G,MATCH(P$1,Annuaire_roster!$B$1:$G$1,0),0),"-")</f>
        <v>Google Leads</v>
      </c>
      <c r="Q188" s="100">
        <v>44722</v>
      </c>
      <c r="R188" s="10">
        <f>IF(M188="Abs",O188,0)</f>
        <v>0</v>
      </c>
      <c r="S188" s="10">
        <f>SUM(R188,L188,I188,J188,W188,H188)</f>
        <v>0</v>
      </c>
      <c r="T188" s="16" t="str">
        <f>"Sem - "&amp;WEEKNUM(Q188,21)</f>
        <v>Sem - 24</v>
      </c>
      <c r="U188" s="16" t="str">
        <f>PROPER(TEXT(Q188,"mmmm"))</f>
        <v>Juin</v>
      </c>
      <c r="V188" s="11" t="str">
        <f>+TEXT(Q188,"aaa")</f>
        <v>2026</v>
      </c>
      <c r="W188" s="9"/>
      <c r="X188" s="5">
        <f>IFERROR(IF(M188="Abs",0,IF((D188-C188+E188-F188)&lt;0.000694444444444444,0,(D188-C188+E188-F188))),0)</f>
        <v>0</v>
      </c>
      <c r="Y188" s="12" t="str">
        <f>IFERROR(VLOOKUP(B188,Annuaire_roster!B:E,4,0),"-")</f>
        <v>OUAQERROUCH Nour-El Houda</v>
      </c>
      <c r="Z188" s="12" t="str">
        <f>IFERROR(VLOOKUP(B188,Annuaire_roster!B:F,3,0),"-")</f>
        <v>Google Leads</v>
      </c>
      <c r="AA188" s="12" t="str">
        <f>IFERROR(VLOOKUP(B188,Annuaire_roster!B:I,6,0),"-")</f>
        <v>Forfaitaire</v>
      </c>
      <c r="AB188" s="142" t="str">
        <f>IF(AND(D188="Congé",F188="Congé"),0.333333333333333,IF(OR(AND(D188="Congé",F188&lt;&gt;"Congé"),(AND(F188="Congé",D188&lt;&gt;"Congé"))),0.166666666666667,""))</f>
        <v/>
      </c>
      <c r="AC188" s="142" t="str">
        <f>IF(AND(D188="Congé sans solde",F188="Congé sans solde"),0.333333333333333,IF(OR(AND(D188="Congé sans solde",F188&lt;&gt;"Congé sans solde"),(AND(F188="Congé sans solde",D188&lt;&gt;"Congé sans solde"))),0.166666666666667,""))</f>
        <v/>
      </c>
      <c r="AD188" s="142" t="str">
        <f>IF(AND(D188="Congé spécial",F188="Congé spécial"),0.333333333333333,IF(OR(AND(D188="Congé spécial",F188&lt;&gt;"Congé décès"),(AND(F188="Congé spécial",D188&lt;&gt;"Congé spécial"))),0.166666666666667,""))</f>
        <v/>
      </c>
      <c r="AE188" s="143" t="str">
        <f>IF(AND(D188="Férié",F188="Férié"),0.333333333333333,IF(OR(AND(D188="Férié",F188&lt;&gt;"Férié"),(AND(F188="Férié",D188&lt;&gt;"Férié"))),0.166666666666667,""))</f>
        <v/>
      </c>
      <c r="AF188" s="63"/>
      <c r="AG188" s="10"/>
    </row>
    <row r="189" spans="1:33" x14ac:dyDescent="0.2">
      <c r="A189" s="70">
        <f>VLOOKUP(B189,Annuaire_roster!B:F,5,0)</f>
        <v>1165</v>
      </c>
      <c r="B189" s="166" t="s">
        <v>120</v>
      </c>
      <c r="C189" s="61"/>
      <c r="D189" s="61" t="str">
        <f t="array" ref="D189">IFERROR(INDEX(Planning2[],MATCH(1,(Planning2[Nom]=B189)*(Planning2[Date]=Q189),0),3),"-")</f>
        <v>OFF</v>
      </c>
      <c r="E189" s="38"/>
      <c r="F189" s="38" t="str">
        <f t="array" ref="F189">IFERROR(INDEX(Planning2[],MATCH(1,(Planning2[Nom]=B189)*(Planning2[Date]=Q189),0),4),"-")</f>
        <v>OFF</v>
      </c>
      <c r="G189" s="88"/>
      <c r="H189" s="88"/>
      <c r="I189" s="209" t="str">
        <f>IF(IF(OR(C189="",D189="Congé",D189="OFF",D189="Congé spécial"),"",IF(D189&gt;F189,D189-C189,IF(C189-D189&lt;0,0,C189-D189)))&lt;0.00068287037037037,"",IF(OR(D189="Congé",D189="OFF",C189="",D189="Congé spécial"),"",IF(D189&gt;F189,D189-C189,IF(C189-D189&lt;0,0,C189-D189))))</f>
        <v/>
      </c>
      <c r="J189" s="88"/>
      <c r="K189" s="89">
        <f>IF(SUM(H189:J189)&lt;0.00068287037037037,0,SUM(H189:J189))</f>
        <v>0</v>
      </c>
      <c r="L189" s="88">
        <f>IF(OR(F189="Congé",F189="OFF",M189="Abs",F189="Congé sans solde",F189="Férié",F189="Congé spécial",D189="Congé spécial"),0,IF(F189-E189&lt;0,0,IF(F189-E189&lt;=0.00068287037037037,0,F189-E189)))</f>
        <v>0</v>
      </c>
      <c r="M189" s="62">
        <f>IF(AND(O189&lt;&gt;0,C189=""),"Abs",0)</f>
        <v>0</v>
      </c>
      <c r="N189" s="102" t="str">
        <f>IFERROR(IF(OR(D189="OFF",D189="Congé",M189="Abs",D189="Congé sans solde",D189="Férié"),"",IF(O189-K189-L189&gt;O189,O189,IF(O189-K189-L189&lt;0,"",O189-K189-L189))),"")</f>
        <v/>
      </c>
      <c r="O189" s="90">
        <f>IF(AG189="2H Pause déjeuner",IF(F189-D189-0.0833333333333333&lt;0,F189-D189-0.0833333333333333+1,F189-D189-0.0833333333333333),IF(OR(AND(F189="OFF",D189="OFF"),AND(F189="Congé",D189="Congé"),AND(F189="Congé sans solde",D189="Congé sans solde"),AND(F189="Congé spécial",D189="Congé spécial"),AND(F189="Férié",D189="Férié"),AND(F189="OFF",D189="Congé"),AND(F189="OFF",D189="Congé sans solde"),AND(F189="OFF",D189="Congé spécial"),AND(F189="OFF",D189="Férié"),AND(F189="Congé",D189="OFF"),AND(F189="Congé",D189="Congé sans solde"),AND(F189="Congé",D189="Congé spécial"),AND(F189="Congé",D189="Férié"),AND(F189="Congé sans solde",D189="OFF"),AND(F189="Congé sans solde",D189="Congé"),AND(F189="Congé sans solde",D189="Congé spécial"),AND(F189="Congé sans solde",D189="Férié"),AND(F189="Congé spécial",D189="OFF"),AND(F189="Congé spécial",D189="Congé"),AND(F189="Congé spécial",D189="Congé sans solde"),AND(F189="Congé spécial",D189="Férié"),AND(F189="Férié",D189="OFF"),AND(F189="Férié",D189="Congé"),AND(F189="Férié",D189="Congé sans solde"),AND(F189="Férié",D189="Congé spécial")),0,IF(OR(F189="OFF",F189="Congé",F189="Congé spécial",F189="Congé sans solde",D189="OFF",D189="Congé",D189="Congé spécial",D189="Congé sans solde"),0.208333333333334,IF(AND(AG189="",F189-D189&lt;0),("24:00:00"-D189)+("00:00:00"+F189)-0.0416666666666667,IF(AND(OR(AG189="Allaitement",AG189="Sans déjeuner"),F189-D189&lt;0),("24:00:00"-D189)+("00:00:00"+F189),IF(AND(AG189="",F189-D189&gt;0.166666666666667),F189-D189-0.0416666666666667,IF(AND(OR(AG189="Allaitement",AG189="Sans déjeuner"),F189-D189&gt;0.166666666666667),F189-D189,F189-D189)))))))</f>
        <v>0</v>
      </c>
      <c r="P189" s="91" t="str">
        <f>IFERROR(VLOOKUP($B189,Annuaire_roster!$B:$G,MATCH(P$1,Annuaire_roster!$B$1:$G$1,0),0),"-")</f>
        <v>Google Leads</v>
      </c>
      <c r="Q189" s="100">
        <v>44722</v>
      </c>
      <c r="R189" s="10">
        <f>IF(M189="Abs",O189,0)</f>
        <v>0</v>
      </c>
      <c r="S189" s="10">
        <f>SUM(R189,L189,I189,J189,W189,H189)</f>
        <v>0</v>
      </c>
      <c r="T189" s="16" t="str">
        <f>"Sem - "&amp;WEEKNUM(Q189,21)</f>
        <v>Sem - 24</v>
      </c>
      <c r="U189" s="16" t="str">
        <f>PROPER(TEXT(Q189,"mmmm"))</f>
        <v>Juin</v>
      </c>
      <c r="V189" s="11" t="str">
        <f>+TEXT(Q189,"aaa")</f>
        <v>2026</v>
      </c>
      <c r="W189" s="9"/>
      <c r="X189" s="5">
        <f>IFERROR(IF(M189="Abs",0,IF((D189-C189+E189-F189)&lt;0.000694444444444444,0,(D189-C189+E189-F189))),0)</f>
        <v>0</v>
      </c>
      <c r="Y189" s="12" t="str">
        <f>IFERROR(VLOOKUP(B189,Annuaire_roster!B:E,4,0),"-")</f>
        <v>OUAQERROUCH Nour-El Houda</v>
      </c>
      <c r="Z189" s="12" t="str">
        <f>IFERROR(VLOOKUP(B189,Annuaire_roster!B:F,3,0),"-")</f>
        <v>Google Leads</v>
      </c>
      <c r="AA189" s="12" t="str">
        <f>IFERROR(VLOOKUP(B189,Annuaire_roster!B:I,6,0),"-")</f>
        <v>Forfaitaire</v>
      </c>
      <c r="AB189" s="142" t="str">
        <f>IF(AND(D189="Congé",F189="Congé"),0.333333333333333,IF(OR(AND(D189="Congé",F189&lt;&gt;"Congé"),(AND(F189="Congé",D189&lt;&gt;"Congé"))),0.166666666666667,""))</f>
        <v/>
      </c>
      <c r="AC189" s="142" t="str">
        <f>IF(AND(D189="Congé sans solde",F189="Congé sans solde"),0.333333333333333,IF(OR(AND(D189="Congé sans solde",F189&lt;&gt;"Congé sans solde"),(AND(F189="Congé sans solde",D189&lt;&gt;"Congé sans solde"))),0.166666666666667,""))</f>
        <v/>
      </c>
      <c r="AD189" s="142" t="str">
        <f>IF(AND(D189="Congé spécial",F189="Congé spécial"),0.333333333333333,IF(OR(AND(D189="Congé spécial",F189&lt;&gt;"Congé décès"),(AND(F189="Congé spécial",D189&lt;&gt;"Congé spécial"))),0.166666666666667,""))</f>
        <v/>
      </c>
      <c r="AE189" s="143" t="str">
        <f>IF(AND(D189="Férié",F189="Férié"),0.333333333333333,IF(OR(AND(D189="Férié",F189&lt;&gt;"Férié"),(AND(F189="Férié",D189&lt;&gt;"Férié"))),0.166666666666667,""))</f>
        <v/>
      </c>
      <c r="AF189" s="63"/>
      <c r="AG189" s="10"/>
    </row>
    <row r="190" spans="1:33" x14ac:dyDescent="0.2">
      <c r="A190" s="70">
        <f>VLOOKUP(B190,Annuaire_roster!B:F,5,0)</f>
        <v>0</v>
      </c>
      <c r="B190" s="166" t="s">
        <v>216</v>
      </c>
      <c r="C190" s="61"/>
      <c r="D190" s="61" t="str">
        <f t="array" ref="D190">IFERROR(INDEX(Planning2[],MATCH(1,(Planning2[Nom]=B190)*(Planning2[Date]=Q190),0),3),"-")</f>
        <v>OFF</v>
      </c>
      <c r="E190" s="38"/>
      <c r="F190" s="38" t="str">
        <f t="array" ref="F190">IFERROR(INDEX(Planning2[],MATCH(1,(Planning2[Nom]=B190)*(Planning2[Date]=Q190),0),4),"-")</f>
        <v>OFF</v>
      </c>
      <c r="G190" s="88"/>
      <c r="H190" s="88"/>
      <c r="I190" s="209" t="str">
        <f>IF(IF(OR(C190="",D190="Congé",D190="OFF",D190="Congé spécial"),"",IF(D190&gt;F190,D190-C190,IF(C190-D190&lt;0,0,C190-D190)))&lt;0.00068287037037037,"",IF(OR(D190="Congé",D190="OFF",C190="",D190="Congé spécial"),"",IF(D190&gt;F190,D190-C190,IF(C190-D190&lt;0,0,C190-D190))))</f>
        <v/>
      </c>
      <c r="J190" s="88"/>
      <c r="K190" s="89">
        <f>IF(SUM(H190:J190)&lt;0.00068287037037037,0,SUM(H190:J190))</f>
        <v>0</v>
      </c>
      <c r="L190" s="88">
        <f>IF(OR(F190="Congé",F190="OFF",M190="Abs",F190="Congé sans solde",F190="Férié",F190="Congé spécial",D190="Congé spécial"),0,IF(F190-E190&lt;0,0,IF(F190-E190&lt;=0.00068287037037037,0,F190-E190)))</f>
        <v>0</v>
      </c>
      <c r="M190" s="62">
        <f>IF(AND(O190&lt;&gt;0,C190=""),"Abs",0)</f>
        <v>0</v>
      </c>
      <c r="N190" s="102" t="str">
        <f>IFERROR(IF(OR(D190="OFF",D190="Congé",M190="Abs",D190="Congé sans solde",D190="Férié"),"",IF(O190-K190-L190&gt;O190,O190,IF(O190-K190-L190&lt;0,"",O190-K190-L190))),"")</f>
        <v/>
      </c>
      <c r="O190" s="90">
        <f>IF(AG190="2H Pause déjeuner",IF(F190-D190-0.0833333333333333&lt;0,F190-D190-0.0833333333333333+1,F190-D190-0.0833333333333333),IF(OR(AND(F190="OFF",D190="OFF"),AND(F190="Congé",D190="Congé"),AND(F190="Congé sans solde",D190="Congé sans solde"),AND(F190="Congé spécial",D190="Congé spécial"),AND(F190="Férié",D190="Férié"),AND(F190="OFF",D190="Congé"),AND(F190="OFF",D190="Congé sans solde"),AND(F190="OFF",D190="Congé spécial"),AND(F190="OFF",D190="Férié"),AND(F190="Congé",D190="OFF"),AND(F190="Congé",D190="Congé sans solde"),AND(F190="Congé",D190="Congé spécial"),AND(F190="Congé",D190="Férié"),AND(F190="Congé sans solde",D190="OFF"),AND(F190="Congé sans solde",D190="Congé"),AND(F190="Congé sans solde",D190="Congé spécial"),AND(F190="Congé sans solde",D190="Férié"),AND(F190="Congé spécial",D190="OFF"),AND(F190="Congé spécial",D190="Congé"),AND(F190="Congé spécial",D190="Congé sans solde"),AND(F190="Congé spécial",D190="Férié"),AND(F190="Férié",D190="OFF"),AND(F190="Férié",D190="Congé"),AND(F190="Férié",D190="Congé sans solde"),AND(F190="Férié",D190="Congé spécial")),0,IF(OR(F190="OFF",F190="Congé",F190="Congé spécial",F190="Congé sans solde",D190="OFF",D190="Congé",D190="Congé spécial",D190="Congé sans solde"),0.208333333333334,IF(AND(AG190="",F190-D190&lt;0),("24:00:00"-D190)+("00:00:00"+F190)-0.0416666666666667,IF(AND(OR(AG190="Allaitement",AG190="Sans déjeuner"),F190-D190&lt;0),("24:00:00"-D190)+("00:00:00"+F190),IF(AND(AG190="",F190-D190&gt;0.166666666666667),F190-D190-0.0416666666666667,IF(AND(OR(AG190="Allaitement",AG190="Sans déjeuner"),F190-D190&gt;0.166666666666667),F190-D190,F190-D190)))))))</f>
        <v>0</v>
      </c>
      <c r="P190" s="91" t="str">
        <f>IFERROR(VLOOKUP($B190,Annuaire_roster!$B:$G,MATCH(P$1,Annuaire_roster!$B$1:$G$1,0),0),"-")</f>
        <v>Google Leads</v>
      </c>
      <c r="Q190" s="100">
        <v>44722</v>
      </c>
      <c r="R190" s="10">
        <f>IF(M190="Abs",O190,0)</f>
        <v>0</v>
      </c>
      <c r="S190" s="10">
        <f>SUM(R190,L190,I190,J190,W190,H190)</f>
        <v>0</v>
      </c>
      <c r="T190" s="16" t="str">
        <f>"Sem - "&amp;WEEKNUM(Q190,21)</f>
        <v>Sem - 24</v>
      </c>
      <c r="U190" s="16" t="str">
        <f>PROPER(TEXT(Q190,"mmmm"))</f>
        <v>Juin</v>
      </c>
      <c r="V190" s="11" t="str">
        <f>+TEXT(Q190,"aaa")</f>
        <v>2026</v>
      </c>
      <c r="W190" s="9"/>
      <c r="X190" s="5">
        <f>IFERROR(IF(M190="Abs",0,IF((D190-C190+E190-F190)&lt;0.000694444444444444,0,(D190-C190+E190-F190))),0)</f>
        <v>0</v>
      </c>
      <c r="Y190" s="12">
        <f>IFERROR(VLOOKUP(B190,Annuaire_roster!B:E,4,0),"-")</f>
        <v>0</v>
      </c>
      <c r="Z190" s="12" t="str">
        <f>IFERROR(VLOOKUP(B190,Annuaire_roster!B:F,3,0),"-")</f>
        <v>Google Leads</v>
      </c>
      <c r="AA190" s="12">
        <f>IFERROR(VLOOKUP(B190,Annuaire_roster!B:I,6,0),"-")</f>
        <v>0</v>
      </c>
      <c r="AB190" s="142" t="str">
        <f>IF(AND(D190="Congé",F190="Congé"),0.333333333333333,IF(OR(AND(D190="Congé",F190&lt;&gt;"Congé"),(AND(F190="Congé",D190&lt;&gt;"Congé"))),0.166666666666667,""))</f>
        <v/>
      </c>
      <c r="AC190" s="142" t="str">
        <f>IF(AND(D190="Congé sans solde",F190="Congé sans solde"),0.333333333333333,IF(OR(AND(D190="Congé sans solde",F190&lt;&gt;"Congé sans solde"),(AND(F190="Congé sans solde",D190&lt;&gt;"Congé sans solde"))),0.166666666666667,""))</f>
        <v/>
      </c>
      <c r="AD190" s="142" t="str">
        <f>IF(AND(D190="Congé spécial",F190="Congé spécial"),0.333333333333333,IF(OR(AND(D190="Congé spécial",F190&lt;&gt;"Congé décès"),(AND(F190="Congé spécial",D190&lt;&gt;"Congé spécial"))),0.166666666666667,""))</f>
        <v/>
      </c>
      <c r="AE190" s="143" t="str">
        <f>IF(AND(D190="Férié",F190="Férié"),0.333333333333333,IF(OR(AND(D190="Férié",F190&lt;&gt;"Férié"),(AND(F190="Férié",D190&lt;&gt;"Férié"))),0.166666666666667,""))</f>
        <v/>
      </c>
      <c r="AF190" s="63"/>
      <c r="AG190" s="10"/>
    </row>
    <row r="191" spans="1:33" x14ac:dyDescent="0.2">
      <c r="A191" s="70">
        <f>VLOOKUP(B191,Annuaire_roster!B:F,5,0)</f>
        <v>0</v>
      </c>
      <c r="B191" s="166" t="s">
        <v>219</v>
      </c>
      <c r="C191" s="61"/>
      <c r="D191" s="61" t="str">
        <f t="array" ref="D191">IFERROR(INDEX(Planning2[],MATCH(1,(Planning2[Nom]=B191)*(Planning2[Date]=Q191),0),3),"-")</f>
        <v>OFF</v>
      </c>
      <c r="E191" s="38"/>
      <c r="F191" s="38" t="str">
        <f t="array" ref="F191">IFERROR(INDEX(Planning2[],MATCH(1,(Planning2[Nom]=B191)*(Planning2[Date]=Q191),0),4),"-")</f>
        <v>OFF</v>
      </c>
      <c r="G191" s="88"/>
      <c r="H191" s="88"/>
      <c r="I191" s="209" t="str">
        <f>IF(IF(OR(C191="",D191="Congé",D191="OFF",D191="Congé spécial"),"",IF(D191&gt;F191,D191-C191,IF(C191-D191&lt;0,0,C191-D191)))&lt;0.00068287037037037,"",IF(OR(D191="Congé",D191="OFF",C191="",D191="Congé spécial"),"",IF(D191&gt;F191,D191-C191,IF(C191-D191&lt;0,0,C191-D191))))</f>
        <v/>
      </c>
      <c r="J191" s="88"/>
      <c r="K191" s="89">
        <f>IF(SUM(H191:J191)&lt;0.00068287037037037,0,SUM(H191:J191))</f>
        <v>0</v>
      </c>
      <c r="L191" s="88">
        <f>IF(OR(F191="Congé",F191="OFF",M191="Abs",F191="Congé sans solde",F191="Férié",F191="Congé spécial",D191="Congé spécial"),0,IF(F191-E191&lt;0,0,IF(F191-E191&lt;=0.00068287037037037,0,F191-E191)))</f>
        <v>0</v>
      </c>
      <c r="M191" s="62">
        <f>IF(AND(O191&lt;&gt;0,C191=""),"Abs",0)</f>
        <v>0</v>
      </c>
      <c r="N191" s="102" t="str">
        <f>IFERROR(IF(OR(D191="OFF",D191="Congé",M191="Abs",D191="Congé sans solde",D191="Férié"),"",IF(O191-K191-L191&gt;O191,O191,IF(O191-K191-L191&lt;0,"",O191-K191-L191))),"")</f>
        <v/>
      </c>
      <c r="O191" s="90">
        <f>IF(AG191="2H Pause déjeuner",IF(F191-D191-0.0833333333333333&lt;0,F191-D191-0.0833333333333333+1,F191-D191-0.0833333333333333),IF(OR(AND(F191="OFF",D191="OFF"),AND(F191="Congé",D191="Congé"),AND(F191="Congé sans solde",D191="Congé sans solde"),AND(F191="Congé spécial",D191="Congé spécial"),AND(F191="Férié",D191="Férié"),AND(F191="OFF",D191="Congé"),AND(F191="OFF",D191="Congé sans solde"),AND(F191="OFF",D191="Congé spécial"),AND(F191="OFF",D191="Férié"),AND(F191="Congé",D191="OFF"),AND(F191="Congé",D191="Congé sans solde"),AND(F191="Congé",D191="Congé spécial"),AND(F191="Congé",D191="Férié"),AND(F191="Congé sans solde",D191="OFF"),AND(F191="Congé sans solde",D191="Congé"),AND(F191="Congé sans solde",D191="Congé spécial"),AND(F191="Congé sans solde",D191="Férié"),AND(F191="Congé spécial",D191="OFF"),AND(F191="Congé spécial",D191="Congé"),AND(F191="Congé spécial",D191="Congé sans solde"),AND(F191="Congé spécial",D191="Férié"),AND(F191="Férié",D191="OFF"),AND(F191="Férié",D191="Congé"),AND(F191="Férié",D191="Congé sans solde"),AND(F191="Férié",D191="Congé spécial")),0,IF(OR(F191="OFF",F191="Congé",F191="Congé spécial",F191="Congé sans solde",D191="OFF",D191="Congé",D191="Congé spécial",D191="Congé sans solde"),0.208333333333334,IF(AND(AG191="",F191-D191&lt;0),("24:00:00"-D191)+("00:00:00"+F191)-0.0416666666666667,IF(AND(OR(AG191="Allaitement",AG191="Sans déjeuner"),F191-D191&lt;0),("24:00:00"-D191)+("00:00:00"+F191),IF(AND(AG191="",F191-D191&gt;0.166666666666667),F191-D191-0.0416666666666667,IF(AND(OR(AG191="Allaitement",AG191="Sans déjeuner"),F191-D191&gt;0.166666666666667),F191-D191,F191-D191)))))))</f>
        <v>0</v>
      </c>
      <c r="P191" s="91" t="str">
        <f>IFERROR(VLOOKUP($B191,Annuaire_roster!$B:$G,MATCH(P$1,Annuaire_roster!$B$1:$G$1,0),0),"-")</f>
        <v>Google Leads</v>
      </c>
      <c r="Q191" s="100">
        <v>44722</v>
      </c>
      <c r="R191" s="10">
        <f>IF(M191="Abs",O191,0)</f>
        <v>0</v>
      </c>
      <c r="S191" s="10">
        <f>SUM(R191,L191,I191,J191,W191,H191)</f>
        <v>0</v>
      </c>
      <c r="T191" s="16" t="str">
        <f>"Sem - "&amp;WEEKNUM(Q191,21)</f>
        <v>Sem - 24</v>
      </c>
      <c r="U191" s="16" t="str">
        <f>PROPER(TEXT(Q191,"mmmm"))</f>
        <v>Juin</v>
      </c>
      <c r="V191" s="11" t="str">
        <f>+TEXT(Q191,"aaa")</f>
        <v>2026</v>
      </c>
      <c r="W191" s="9"/>
      <c r="X191" s="5">
        <f>IFERROR(IF(M191="Abs",0,IF((D191-C191+E191-F191)&lt;0.000694444444444444,0,(D191-C191+E191-F191))),0)</f>
        <v>0</v>
      </c>
      <c r="Y191" s="12">
        <f>IFERROR(VLOOKUP(B191,Annuaire_roster!B:E,4,0),"-")</f>
        <v>0</v>
      </c>
      <c r="Z191" s="12" t="str">
        <f>IFERROR(VLOOKUP(B191,Annuaire_roster!B:F,3,0),"-")</f>
        <v>Google Leads</v>
      </c>
      <c r="AA191" s="12">
        <f>IFERROR(VLOOKUP(B191,Annuaire_roster!B:I,6,0),"-")</f>
        <v>0</v>
      </c>
      <c r="AB191" s="142" t="str">
        <f>IF(AND(D191="Congé",F191="Congé"),0.333333333333333,IF(OR(AND(D191="Congé",F191&lt;&gt;"Congé"),(AND(F191="Congé",D191&lt;&gt;"Congé"))),0.166666666666667,""))</f>
        <v/>
      </c>
      <c r="AC191" s="142" t="str">
        <f>IF(AND(D191="Congé sans solde",F191="Congé sans solde"),0.333333333333333,IF(OR(AND(D191="Congé sans solde",F191&lt;&gt;"Congé sans solde"),(AND(F191="Congé sans solde",D191&lt;&gt;"Congé sans solde"))),0.166666666666667,""))</f>
        <v/>
      </c>
      <c r="AD191" s="142" t="str">
        <f>IF(AND(D191="Congé spécial",F191="Congé spécial"),0.333333333333333,IF(OR(AND(D191="Congé spécial",F191&lt;&gt;"Congé décès"),(AND(F191="Congé spécial",D191&lt;&gt;"Congé spécial"))),0.166666666666667,""))</f>
        <v/>
      </c>
      <c r="AE191" s="143" t="str">
        <f>IF(AND(D191="Férié",F191="Férié"),0.333333333333333,IF(OR(AND(D191="Férié",F191&lt;&gt;"Férié"),(AND(F191="Férié",D191&lt;&gt;"Férié"))),0.166666666666667,""))</f>
        <v/>
      </c>
      <c r="AF191" s="63"/>
      <c r="AG191" s="10"/>
    </row>
    <row r="192" spans="1:33" x14ac:dyDescent="0.2">
      <c r="A192" s="70">
        <f>VLOOKUP(B192,Annuaire_roster!B:F,5,0)</f>
        <v>397</v>
      </c>
      <c r="B192" s="166" t="s">
        <v>215</v>
      </c>
      <c r="C192" s="61"/>
      <c r="D192" s="61" t="str">
        <f t="array" ref="D192">IFERROR(INDEX(Planning2[],MATCH(1,(Planning2[Nom]=B192)*(Planning2[Date]=Q192),0),3),"-")</f>
        <v>OFF</v>
      </c>
      <c r="E192" s="38"/>
      <c r="F192" s="38" t="str">
        <f t="array" ref="F192">IFERROR(INDEX(Planning2[],MATCH(1,(Planning2[Nom]=B192)*(Planning2[Date]=Q192),0),4),"-")</f>
        <v>OFF</v>
      </c>
      <c r="G192" s="88"/>
      <c r="H192" s="88"/>
      <c r="I192" s="209" t="str">
        <f>IF(IF(OR(C192="",D192="Congé",D192="OFF",D192="Congé spécial"),"",IF(D192&gt;F192,D192-C192,IF(C192-D192&lt;0,0,C192-D192)))&lt;0.00068287037037037,"",IF(OR(D192="Congé",D192="OFF",C192="",D192="Congé spécial"),"",IF(D192&gt;F192,D192-C192,IF(C192-D192&lt;0,0,C192-D192))))</f>
        <v/>
      </c>
      <c r="J192" s="88"/>
      <c r="K192" s="89">
        <f>IF(SUM(H192:J192)&lt;0.00068287037037037,0,SUM(H192:J192))</f>
        <v>0</v>
      </c>
      <c r="L192" s="88">
        <f>IF(OR(F192="Congé",F192="OFF",M192="Abs",F192="Congé sans solde",F192="Férié",F192="Congé spécial",D192="Congé spécial"),0,IF(F192-E192&lt;0,0,IF(F192-E192&lt;=0.00068287037037037,0,F192-E192)))</f>
        <v>0</v>
      </c>
      <c r="M192" s="62">
        <f>IF(AND(O192&lt;&gt;0,C192=""),"Abs",0)</f>
        <v>0</v>
      </c>
      <c r="N192" s="102" t="str">
        <f>IFERROR(IF(OR(D192="OFF",D192="Congé",M192="Abs",D192="Congé sans solde",D192="Férié"),"",IF(O192-K192-L192&gt;O192,O192,IF(O192-K192-L192&lt;0,"",O192-K192-L192))),"")</f>
        <v/>
      </c>
      <c r="O192" s="90">
        <f>IF(AG192="2H Pause déjeuner",IF(F192-D192-0.0833333333333333&lt;0,F192-D192-0.0833333333333333+1,F192-D192-0.0833333333333333),IF(OR(AND(F192="OFF",D192="OFF"),AND(F192="Congé",D192="Congé"),AND(F192="Congé sans solde",D192="Congé sans solde"),AND(F192="Congé spécial",D192="Congé spécial"),AND(F192="Férié",D192="Férié"),AND(F192="OFF",D192="Congé"),AND(F192="OFF",D192="Congé sans solde"),AND(F192="OFF",D192="Congé spécial"),AND(F192="OFF",D192="Férié"),AND(F192="Congé",D192="OFF"),AND(F192="Congé",D192="Congé sans solde"),AND(F192="Congé",D192="Congé spécial"),AND(F192="Congé",D192="Férié"),AND(F192="Congé sans solde",D192="OFF"),AND(F192="Congé sans solde",D192="Congé"),AND(F192="Congé sans solde",D192="Congé spécial"),AND(F192="Congé sans solde",D192="Férié"),AND(F192="Congé spécial",D192="OFF"),AND(F192="Congé spécial",D192="Congé"),AND(F192="Congé spécial",D192="Congé sans solde"),AND(F192="Congé spécial",D192="Férié"),AND(F192="Férié",D192="OFF"),AND(F192="Férié",D192="Congé"),AND(F192="Férié",D192="Congé sans solde"),AND(F192="Férié",D192="Congé spécial")),0,IF(OR(F192="OFF",F192="Congé",F192="Congé spécial",F192="Congé sans solde",D192="OFF",D192="Congé",D192="Congé spécial",D192="Congé sans solde"),0.208333333333334,IF(AND(AG192="",F192-D192&lt;0),("24:00:00"-D192)+("00:00:00"+F192)-0.0416666666666667,IF(AND(OR(AG192="Allaitement",AG192="Sans déjeuner"),F192-D192&lt;0),("24:00:00"-D192)+("00:00:00"+F192),IF(AND(AG192="",F192-D192&gt;0.166666666666667),F192-D192-0.0416666666666667,IF(AND(OR(AG192="Allaitement",AG192="Sans déjeuner"),F192-D192&gt;0.166666666666667),F192-D192,F192-D192)))))))</f>
        <v>0</v>
      </c>
      <c r="P192" s="91" t="str">
        <f>IFERROR(VLOOKUP($B192,Annuaire_roster!$B:$G,MATCH(P$1,Annuaire_roster!$B$1:$G$1,0),0),"-")</f>
        <v>Google Leads</v>
      </c>
      <c r="Q192" s="100">
        <v>44722</v>
      </c>
      <c r="R192" s="10">
        <f>IF(M192="Abs",O192,0)</f>
        <v>0</v>
      </c>
      <c r="S192" s="10">
        <f>SUM(R192,L192,I192,J192,W192,H192)</f>
        <v>0</v>
      </c>
      <c r="T192" s="16" t="str">
        <f>"Sem - "&amp;WEEKNUM(Q192,21)</f>
        <v>Sem - 24</v>
      </c>
      <c r="U192" s="16" t="str">
        <f>PROPER(TEXT(Q192,"mmmm"))</f>
        <v>Juin</v>
      </c>
      <c r="V192" s="11" t="str">
        <f>+TEXT(Q192,"aaa")</f>
        <v>2026</v>
      </c>
      <c r="W192" s="9"/>
      <c r="X192" s="5">
        <f>IFERROR(IF(M192="Abs",0,IF((D192-C192+E192-F192)&lt;0.000694444444444444,0,(D192-C192+E192-F192))),0)</f>
        <v>0</v>
      </c>
      <c r="Y192" s="12" t="str">
        <f>IFERROR(VLOOKUP(B192,Annuaire_roster!B:E,4,0),"-")</f>
        <v>OUAQERROUCH Nour-El Houda</v>
      </c>
      <c r="Z192" s="12" t="str">
        <f>IFERROR(VLOOKUP(B192,Annuaire_roster!B:F,3,0),"-")</f>
        <v>Google Leads</v>
      </c>
      <c r="AA192" s="12" t="str">
        <f>IFERROR(VLOOKUP(B192,Annuaire_roster!B:I,6,0),"-")</f>
        <v>Forfaitaire</v>
      </c>
      <c r="AB192" s="142" t="str">
        <f>IF(AND(D192="Congé",F192="Congé"),0.333333333333333,IF(OR(AND(D192="Congé",F192&lt;&gt;"Congé"),(AND(F192="Congé",D192&lt;&gt;"Congé"))),0.166666666666667,""))</f>
        <v/>
      </c>
      <c r="AC192" s="142" t="str">
        <f>IF(AND(D192="Congé sans solde",F192="Congé sans solde"),0.333333333333333,IF(OR(AND(D192="Congé sans solde",F192&lt;&gt;"Congé sans solde"),(AND(F192="Congé sans solde",D192&lt;&gt;"Congé sans solde"))),0.166666666666667,""))</f>
        <v/>
      </c>
      <c r="AD192" s="142" t="str">
        <f>IF(AND(D192="Congé spécial",F192="Congé spécial"),0.333333333333333,IF(OR(AND(D192="Congé spécial",F192&lt;&gt;"Congé décès"),(AND(F192="Congé spécial",D192&lt;&gt;"Congé spécial"))),0.166666666666667,""))</f>
        <v/>
      </c>
      <c r="AE192" s="143" t="str">
        <f>IF(AND(D192="Férié",F192="Férié"),0.333333333333333,IF(OR(AND(D192="Férié",F192&lt;&gt;"Férié"),(AND(F192="Férié",D192&lt;&gt;"Férié"))),0.166666666666667,""))</f>
        <v/>
      </c>
      <c r="AF192" s="63"/>
      <c r="AG192" s="10"/>
    </row>
    <row r="193" spans="1:33" x14ac:dyDescent="0.2">
      <c r="A193" s="70">
        <f>VLOOKUP(B193,Annuaire_roster!B:F,5,0)</f>
        <v>0</v>
      </c>
      <c r="B193" s="166" t="s">
        <v>209</v>
      </c>
      <c r="C193" s="61"/>
      <c r="D193" s="61" t="str">
        <f t="array" ref="D193">IFERROR(INDEX(Planning2[],MATCH(1,(Planning2[Nom]=B193)*(Planning2[Date]=Q193),0),3),"-")</f>
        <v>OFF</v>
      </c>
      <c r="E193" s="38"/>
      <c r="F193" s="38" t="str">
        <f t="array" ref="F193">IFERROR(INDEX(Planning2[],MATCH(1,(Planning2[Nom]=B193)*(Planning2[Date]=Q193),0),4),"-")</f>
        <v>OFF</v>
      </c>
      <c r="G193" s="88"/>
      <c r="H193" s="88"/>
      <c r="I193" s="209" t="str">
        <f>IF(IF(OR(C193="",D193="Congé",D193="OFF",D193="Congé spécial"),"",IF(D193&gt;F193,D193-C193,IF(C193-D193&lt;0,0,C193-D193)))&lt;0.00068287037037037,"",IF(OR(D193="Congé",D193="OFF",C193="",D193="Congé spécial"),"",IF(D193&gt;F193,D193-C193,IF(C193-D193&lt;0,0,C193-D193))))</f>
        <v/>
      </c>
      <c r="J193" s="88"/>
      <c r="K193" s="89">
        <f>IF(SUM(H193:J193)&lt;0.00068287037037037,0,SUM(H193:J193))</f>
        <v>0</v>
      </c>
      <c r="L193" s="88">
        <f>IF(OR(F193="Congé",F193="OFF",M193="Abs",F193="Congé sans solde",F193="Férié",F193="Congé spécial",D193="Congé spécial"),0,IF(F193-E193&lt;0,0,IF(F193-E193&lt;=0.00068287037037037,0,F193-E193)))</f>
        <v>0</v>
      </c>
      <c r="M193" s="62">
        <f>IF(AND(O193&lt;&gt;0,C193=""),"Abs",0)</f>
        <v>0</v>
      </c>
      <c r="N193" s="102" t="str">
        <f>IFERROR(IF(OR(D193="OFF",D193="Congé",M193="Abs",D193="Congé sans solde",D193="Férié"),"",IF(O193-K193-L193&gt;O193,O193,IF(O193-K193-L193&lt;0,"",O193-K193-L193))),"")</f>
        <v/>
      </c>
      <c r="O193" s="90">
        <f>IF(AG193="2H Pause déjeuner",IF(F193-D193-0.0833333333333333&lt;0,F193-D193-0.0833333333333333+1,F193-D193-0.0833333333333333),IF(OR(AND(F193="OFF",D193="OFF"),AND(F193="Congé",D193="Congé"),AND(F193="Congé sans solde",D193="Congé sans solde"),AND(F193="Congé spécial",D193="Congé spécial"),AND(F193="Férié",D193="Férié"),AND(F193="OFF",D193="Congé"),AND(F193="OFF",D193="Congé sans solde"),AND(F193="OFF",D193="Congé spécial"),AND(F193="OFF",D193="Férié"),AND(F193="Congé",D193="OFF"),AND(F193="Congé",D193="Congé sans solde"),AND(F193="Congé",D193="Congé spécial"),AND(F193="Congé",D193="Férié"),AND(F193="Congé sans solde",D193="OFF"),AND(F193="Congé sans solde",D193="Congé"),AND(F193="Congé sans solde",D193="Congé spécial"),AND(F193="Congé sans solde",D193="Férié"),AND(F193="Congé spécial",D193="OFF"),AND(F193="Congé spécial",D193="Congé"),AND(F193="Congé spécial",D193="Congé sans solde"),AND(F193="Congé spécial",D193="Férié"),AND(F193="Férié",D193="OFF"),AND(F193="Férié",D193="Congé"),AND(F193="Férié",D193="Congé sans solde"),AND(F193="Férié",D193="Congé spécial")),0,IF(OR(F193="OFF",F193="Congé",F193="Congé spécial",F193="Congé sans solde",D193="OFF",D193="Congé",D193="Congé spécial",D193="Congé sans solde"),0.208333333333334,IF(AND(AG193="",F193-D193&lt;0),("24:00:00"-D193)+("00:00:00"+F193)-0.0416666666666667,IF(AND(OR(AG193="Allaitement",AG193="Sans déjeuner"),F193-D193&lt;0),("24:00:00"-D193)+("00:00:00"+F193),IF(AND(AG193="",F193-D193&gt;0.166666666666667),F193-D193-0.0416666666666667,IF(AND(OR(AG193="Allaitement",AG193="Sans déjeuner"),F193-D193&gt;0.166666666666667),F193-D193,F193-D193)))))))</f>
        <v>0</v>
      </c>
      <c r="P193" s="91" t="str">
        <f>IFERROR(VLOOKUP($B193,Annuaire_roster!$B:$G,MATCH(P$1,Annuaire_roster!$B$1:$G$1,0),0),"-")</f>
        <v>Google Leads</v>
      </c>
      <c r="Q193" s="100">
        <v>44722</v>
      </c>
      <c r="R193" s="10">
        <f>IF(M193="Abs",O193,0)</f>
        <v>0</v>
      </c>
      <c r="S193" s="10">
        <f>SUM(R193,L193,I193,J193,W193,H193)</f>
        <v>0</v>
      </c>
      <c r="T193" s="16" t="str">
        <f>"Sem - "&amp;WEEKNUM(Q193,21)</f>
        <v>Sem - 24</v>
      </c>
      <c r="U193" s="16" t="str">
        <f>PROPER(TEXT(Q193,"mmmm"))</f>
        <v>Juin</v>
      </c>
      <c r="V193" s="11" t="str">
        <f>+TEXT(Q193,"aaa")</f>
        <v>2026</v>
      </c>
      <c r="W193" s="9"/>
      <c r="X193" s="5">
        <f>IFERROR(IF(M193="Abs",0,IF((D193-C193+E193-F193)&lt;0.000694444444444444,0,(D193-C193+E193-F193))),0)</f>
        <v>0</v>
      </c>
      <c r="Y193" s="12">
        <f>IFERROR(VLOOKUP(B193,Annuaire_roster!B:E,4,0),"-")</f>
        <v>0</v>
      </c>
      <c r="Z193" s="12" t="str">
        <f>IFERROR(VLOOKUP(B193,Annuaire_roster!B:F,3,0),"-")</f>
        <v>Google Leads</v>
      </c>
      <c r="AA193" s="12">
        <f>IFERROR(VLOOKUP(B193,Annuaire_roster!B:I,6,0),"-")</f>
        <v>0</v>
      </c>
      <c r="AB193" s="142" t="str">
        <f>IF(AND(D193="Congé",F193="Congé"),0.333333333333333,IF(OR(AND(D193="Congé",F193&lt;&gt;"Congé"),(AND(F193="Congé",D193&lt;&gt;"Congé"))),0.166666666666667,""))</f>
        <v/>
      </c>
      <c r="AC193" s="142" t="str">
        <f>IF(AND(D193="Congé sans solde",F193="Congé sans solde"),0.333333333333333,IF(OR(AND(D193="Congé sans solde",F193&lt;&gt;"Congé sans solde"),(AND(F193="Congé sans solde",D193&lt;&gt;"Congé sans solde"))),0.166666666666667,""))</f>
        <v/>
      </c>
      <c r="AD193" s="142" t="str">
        <f>IF(AND(D193="Congé spécial",F193="Congé spécial"),0.333333333333333,IF(OR(AND(D193="Congé spécial",F193&lt;&gt;"Congé décès"),(AND(F193="Congé spécial",D193&lt;&gt;"Congé spécial"))),0.166666666666667,""))</f>
        <v/>
      </c>
      <c r="AE193" s="143" t="str">
        <f>IF(AND(D193="Férié",F193="Férié"),0.333333333333333,IF(OR(AND(D193="Férié",F193&lt;&gt;"Férié"),(AND(F193="Férié",D193&lt;&gt;"Férié"))),0.166666666666667,""))</f>
        <v/>
      </c>
      <c r="AF193" s="63"/>
      <c r="AG193" s="10"/>
    </row>
    <row r="194" spans="1:33" hidden="1" x14ac:dyDescent="0.2">
      <c r="A194" s="70">
        <f>VLOOKUP(B194,Annuaire_roster!B:F,5,0)</f>
        <v>364</v>
      </c>
      <c r="B194" s="166" t="s">
        <v>213</v>
      </c>
      <c r="C194" s="61"/>
      <c r="D194" s="61">
        <f t="array" ref="D194">IFERROR(INDEX(Planning2[],MATCH(1,(Planning2[Nom]=B194)*(Planning2[Date]=Q194),0),3),"-")</f>
        <v>0.41666666666666669</v>
      </c>
      <c r="E194" s="38"/>
      <c r="F194" s="38">
        <f t="array" ref="F194">IFERROR(INDEX(Planning2[],MATCH(1,(Planning2[Nom]=B194)*(Planning2[Date]=Q194),0),4),"-")</f>
        <v>0.83333333333333337</v>
      </c>
      <c r="G194" s="88"/>
      <c r="H194" s="88"/>
      <c r="I194" s="209" t="str">
        <f t="shared" ref="I194:I214" si="80">IF(IF(OR(C194="",D194="Congé",D194="OFF",D194="Congé spécial"),"",IF(D194&gt;F194,D194-C194,IF(C194-D194&lt;0,0,C194-D194)))&lt;0.00068287037037037,"",IF(OR(D194="Congé",D194="OFF",C194="",D194="Congé spécial"),"",IF(D194&gt;F194,D194-C194,IF(C194-D194&lt;0,0,C194-D194))))</f>
        <v/>
      </c>
      <c r="J194" s="88"/>
      <c r="K194" s="89">
        <f t="shared" ref="K194:K214" si="81">IF(SUM(H194:J194)&lt;0.00068287037037037,0,SUM(H194:J194))</f>
        <v>0</v>
      </c>
      <c r="L194" s="88">
        <f t="shared" ref="L194:L225" si="82">IF(OR(F194="Congé",F194="OFF",M194="Abs",F194="Congé sans solde",F194="Férié",F194="Congé spécial",D194="Congé spécial"),0,IF(F194-E194&lt;0,0,IF(F194-E194&lt;=0.00068287037037037,0,F194-E194)))</f>
        <v>0</v>
      </c>
      <c r="M194" s="62" t="str">
        <f t="shared" ref="M194:M214" si="83">IF(AND(O194&lt;&gt;0,C194=""),"Abs",0)</f>
        <v>Abs</v>
      </c>
      <c r="N194" s="102" t="str">
        <f t="shared" ref="N194:N214" si="84">IFERROR(IF(OR(D194="OFF",D194="Congé",M194="Abs",D194="Congé sans solde",D194="Férié"),"",IF(O194-K194-L194&gt;O194,O194,IF(O194-K194-L194&lt;0,"",O194-K194-L194))),"")</f>
        <v/>
      </c>
      <c r="O194" s="90">
        <f t="shared" ref="O194:O214" si="85">IF(AG194="2H Pause déjeuner",IF(F194-D194-0.0833333333333333&lt;0,F194-D194-0.0833333333333333+1,F194-D194-0.0833333333333333),IF(OR(AND(F194="OFF",D194="OFF"),AND(F194="Congé",D194="Congé"),AND(F194="Congé sans solde",D194="Congé sans solde"),AND(F194="Congé spécial",D194="Congé spécial"),AND(F194="Férié",D194="Férié"),AND(F194="OFF",D194="Congé"),AND(F194="OFF",D194="Congé sans solde"),AND(F194="OFF",D194="Congé spécial"),AND(F194="OFF",D194="Férié"),AND(F194="Congé",D194="OFF"),AND(F194="Congé",D194="Congé sans solde"),AND(F194="Congé",D194="Congé spécial"),AND(F194="Congé",D194="Férié"),AND(F194="Congé sans solde",D194="OFF"),AND(F194="Congé sans solde",D194="Congé"),AND(F194="Congé sans solde",D194="Congé spécial"),AND(F194="Congé sans solde",D194="Férié"),AND(F194="Congé spécial",D194="OFF"),AND(F194="Congé spécial",D194="Congé"),AND(F194="Congé spécial",D194="Congé sans solde"),AND(F194="Congé spécial",D194="Férié"),AND(F194="Férié",D194="OFF"),AND(F194="Férié",D194="Congé"),AND(F194="Férié",D194="Congé sans solde"),AND(F194="Férié",D194="Congé spécial")),0,IF(OR(F194="OFF",F194="Congé",F194="Congé spécial",F194="Congé sans solde",D194="OFF",D194="Congé",D194="Congé spécial",D194="Congé sans solde"),0.208333333333334,IF(AND(AG194="",F194-D194&lt;0),("24:00:00"-D194)+("00:00:00"+F194)-0.0416666666666667,IF(AND(OR(AG194="Allaitement",AG194="Sans déjeuner"),F194-D194&lt;0),("24:00:00"-D194)+("00:00:00"+F194),IF(AND(AG194="",F194-D194&gt;0.166666666666667),F194-D194-0.0416666666666667,IF(AND(OR(AG194="Allaitement",AG194="Sans déjeuner"),F194-D194&gt;0.166666666666667),F194-D194,F194-D194)))))))</f>
        <v>0.375</v>
      </c>
      <c r="P194" s="91" t="str">
        <f>IFERROR(VLOOKUP($B194,Annuaire_roster!$B:$G,MATCH(P$1,Annuaire_roster!$B$1:$G$1,0),0),"-")</f>
        <v>Google Leads</v>
      </c>
      <c r="Q194" s="100">
        <v>44723</v>
      </c>
      <c r="R194" s="10">
        <f t="shared" ref="R194:R214" si="86">IF(M194="Abs",O194,0)</f>
        <v>0.375</v>
      </c>
      <c r="S194" s="10">
        <f t="shared" ref="S194:S214" si="87">SUM(R194,L194,I194,J194,W194,H194)</f>
        <v>0.375</v>
      </c>
      <c r="T194" s="16" t="str">
        <f t="shared" ref="T194:T214" si="88">"Sem - "&amp;WEEKNUM(Q194,21)</f>
        <v>Sem - 24</v>
      </c>
      <c r="U194" s="16" t="str">
        <f t="shared" ref="U194:U214" si="89">PROPER(TEXT(Q194,"mmmm"))</f>
        <v>Juin</v>
      </c>
      <c r="V194" s="11" t="str">
        <f t="shared" ref="V194:V214" si="90">+TEXT(Q194,"aaa")</f>
        <v>2026</v>
      </c>
      <c r="W194" s="9"/>
      <c r="X194" s="5">
        <f t="shared" ref="X194:X214" si="91">IFERROR(IF(M194="Abs",0,IF((D194-C194+E194-F194)&lt;0.000694444444444444,0,(D194-C194+E194-F194))),0)</f>
        <v>0</v>
      </c>
      <c r="Y194" s="12" t="str">
        <f>IFERROR(VLOOKUP(B194,Annuaire_roster!B:E,4,0),"-")</f>
        <v>OUAQERROUCH Nour-El Houda</v>
      </c>
      <c r="Z194" s="12" t="str">
        <f>IFERROR(VLOOKUP(B194,Annuaire_roster!B:F,3,0),"-")</f>
        <v>Google Leads</v>
      </c>
      <c r="AA194" s="12" t="str">
        <f>IFERROR(VLOOKUP(B194,Annuaire_roster!B:I,6,0),"-")</f>
        <v>Forfaitaire</v>
      </c>
      <c r="AB194" s="142" t="str">
        <f t="shared" ref="AB194:AB214" si="92">IF(AND(D194="Congé",F194="Congé"),0.333333333333333,IF(OR(AND(D194="Congé",F194&lt;&gt;"Congé"),(AND(F194="Congé",D194&lt;&gt;"Congé"))),0.166666666666667,""))</f>
        <v/>
      </c>
      <c r="AC194" s="142" t="str">
        <f t="shared" ref="AC194:AC214" si="93">IF(AND(D194="Congé sans solde",F194="Congé sans solde"),0.333333333333333,IF(OR(AND(D194="Congé sans solde",F194&lt;&gt;"Congé sans solde"),(AND(F194="Congé sans solde",D194&lt;&gt;"Congé sans solde"))),0.166666666666667,""))</f>
        <v/>
      </c>
      <c r="AD194" s="142" t="str">
        <f t="shared" ref="AD194:AD214" si="94">IF(AND(D194="Congé spécial",F194="Congé spécial"),0.333333333333333,IF(OR(AND(D194="Congé spécial",F194&lt;&gt;"Congé décès"),(AND(F194="Congé spécial",D194&lt;&gt;"Congé spécial"))),0.166666666666667,""))</f>
        <v/>
      </c>
      <c r="AE194" s="143" t="str">
        <f t="shared" ref="AE194:AE214" si="95">IF(AND(D194="Férié",F194="Férié"),0.333333333333333,IF(OR(AND(D194="Férié",F194&lt;&gt;"Férié"),(AND(F194="Férié",D194&lt;&gt;"Férié"))),0.166666666666667,""))</f>
        <v/>
      </c>
      <c r="AF194" s="63"/>
      <c r="AG194" s="10"/>
    </row>
    <row r="195" spans="1:33" hidden="1" x14ac:dyDescent="0.2">
      <c r="A195" s="70">
        <f>VLOOKUP(B195,Annuaire_roster!B:F,5,0)</f>
        <v>894</v>
      </c>
      <c r="B195" s="166" t="s">
        <v>80</v>
      </c>
      <c r="C195" s="61"/>
      <c r="D195" s="61" t="str">
        <f t="array" ref="D195">IFERROR(INDEX(Planning2[],MATCH(1,(Planning2[Nom]=B195)*(Planning2[Date]=Q195),0),3),"-")</f>
        <v>Missionnée</v>
      </c>
      <c r="E195" s="38"/>
      <c r="F195" s="38" t="str">
        <f t="array" ref="F195">IFERROR(INDEX(Planning2[],MATCH(1,(Planning2[Nom]=B195)*(Planning2[Date]=Q195),0),4),"-")</f>
        <v>Missionnée</v>
      </c>
      <c r="G195" s="88"/>
      <c r="H195" s="88"/>
      <c r="I195" s="209" t="str">
        <f t="shared" si="80"/>
        <v/>
      </c>
      <c r="J195" s="88"/>
      <c r="K195" s="89">
        <f t="shared" si="81"/>
        <v>0</v>
      </c>
      <c r="L195" s="88" t="e">
        <f t="shared" si="82"/>
        <v>#VALUE!</v>
      </c>
      <c r="M195" s="62" t="e">
        <f t="shared" si="83"/>
        <v>#VALUE!</v>
      </c>
      <c r="N195" s="102" t="str">
        <f t="shared" si="84"/>
        <v/>
      </c>
      <c r="O195" s="90" t="e">
        <f t="shared" si="85"/>
        <v>#VALUE!</v>
      </c>
      <c r="P195" s="91" t="str">
        <f>IFERROR(VLOOKUP($B195,Annuaire_roster!$B:$G,MATCH(P$1,Annuaire_roster!$B$1:$G$1,0),0),"-")</f>
        <v>Google Leads</v>
      </c>
      <c r="Q195" s="100">
        <v>44723</v>
      </c>
      <c r="R195" s="10" t="e">
        <f t="shared" si="86"/>
        <v>#VALUE!</v>
      </c>
      <c r="S195" s="10" t="e">
        <f t="shared" si="87"/>
        <v>#VALUE!</v>
      </c>
      <c r="T195" s="16" t="str">
        <f t="shared" si="88"/>
        <v>Sem - 24</v>
      </c>
      <c r="U195" s="16" t="str">
        <f t="shared" si="89"/>
        <v>Juin</v>
      </c>
      <c r="V195" s="11" t="str">
        <f t="shared" si="90"/>
        <v>2026</v>
      </c>
      <c r="W195" s="9"/>
      <c r="X195" s="5">
        <f t="shared" si="91"/>
        <v>0</v>
      </c>
      <c r="Y195" s="12" t="str">
        <f>IFERROR(VLOOKUP(B195,Annuaire_roster!B:E,4,0),"-")</f>
        <v>OUAQERROUCH Nour-El Houda</v>
      </c>
      <c r="Z195" s="12" t="str">
        <f>IFERROR(VLOOKUP(B195,Annuaire_roster!B:F,3,0),"-")</f>
        <v>Google Leads</v>
      </c>
      <c r="AA195" s="12" t="str">
        <f>IFERROR(VLOOKUP(B195,Annuaire_roster!B:I,6,0),"-")</f>
        <v>Forfaitaire</v>
      </c>
      <c r="AB195" s="142" t="str">
        <f t="shared" si="92"/>
        <v/>
      </c>
      <c r="AC195" s="142" t="str">
        <f t="shared" si="93"/>
        <v/>
      </c>
      <c r="AD195" s="142" t="str">
        <f t="shared" si="94"/>
        <v/>
      </c>
      <c r="AE195" s="143" t="str">
        <f t="shared" si="95"/>
        <v/>
      </c>
      <c r="AF195" s="63"/>
      <c r="AG195" s="10"/>
    </row>
    <row r="196" spans="1:33" hidden="1" x14ac:dyDescent="0.2">
      <c r="A196" s="70">
        <f>VLOOKUP(B196,Annuaire_roster!B:F,5,0)</f>
        <v>669</v>
      </c>
      <c r="B196" s="166" t="s">
        <v>45</v>
      </c>
      <c r="C196" s="61"/>
      <c r="D196" s="61" t="str">
        <f t="array" ref="D196">IFERROR(INDEX(Planning2[],MATCH(1,(Planning2[Nom]=B196)*(Planning2[Date]=Q196),0),3),"-")</f>
        <v>OFF</v>
      </c>
      <c r="E196" s="38"/>
      <c r="F196" s="38" t="str">
        <f t="array" ref="F196">IFERROR(INDEX(Planning2[],MATCH(1,(Planning2[Nom]=B196)*(Planning2[Date]=Q196),0),4),"-")</f>
        <v>OFF</v>
      </c>
      <c r="G196" s="88"/>
      <c r="H196" s="88"/>
      <c r="I196" s="209" t="str">
        <f t="shared" si="80"/>
        <v/>
      </c>
      <c r="J196" s="88"/>
      <c r="K196" s="89">
        <f t="shared" si="81"/>
        <v>0</v>
      </c>
      <c r="L196" s="88">
        <f t="shared" si="82"/>
        <v>0</v>
      </c>
      <c r="M196" s="62">
        <f t="shared" si="83"/>
        <v>0</v>
      </c>
      <c r="N196" s="102" t="str">
        <f t="shared" si="84"/>
        <v/>
      </c>
      <c r="O196" s="90">
        <f t="shared" si="85"/>
        <v>0</v>
      </c>
      <c r="P196" s="91" t="str">
        <f>IFERROR(VLOOKUP($B196,Annuaire_roster!$B:$G,MATCH(P$1,Annuaire_roster!$B$1:$G$1,0),0),"-")</f>
        <v>Google Leads</v>
      </c>
      <c r="Q196" s="100">
        <v>44723</v>
      </c>
      <c r="R196" s="10">
        <f t="shared" si="86"/>
        <v>0</v>
      </c>
      <c r="S196" s="10">
        <f t="shared" si="87"/>
        <v>0</v>
      </c>
      <c r="T196" s="16" t="str">
        <f t="shared" si="88"/>
        <v>Sem - 24</v>
      </c>
      <c r="U196" s="16" t="str">
        <f t="shared" si="89"/>
        <v>Juin</v>
      </c>
      <c r="V196" s="11" t="str">
        <f t="shared" si="90"/>
        <v>2026</v>
      </c>
      <c r="W196" s="9"/>
      <c r="X196" s="5">
        <f t="shared" si="91"/>
        <v>0</v>
      </c>
      <c r="Y196" s="12" t="str">
        <f>IFERROR(VLOOKUP(B196,Annuaire_roster!B:E,4,0),"-")</f>
        <v>CHOUIFI Mustapha</v>
      </c>
      <c r="Z196" s="12" t="str">
        <f>IFERROR(VLOOKUP(B196,Annuaire_roster!B:F,3,0),"-")</f>
        <v>Google Leads</v>
      </c>
      <c r="AA196" s="12" t="str">
        <f>IFERROR(VLOOKUP(B196,Annuaire_roster!B:I,6,0),"-")</f>
        <v>Forfaitaire</v>
      </c>
      <c r="AB196" s="142" t="str">
        <f t="shared" si="92"/>
        <v/>
      </c>
      <c r="AC196" s="142" t="str">
        <f t="shared" si="93"/>
        <v/>
      </c>
      <c r="AD196" s="142" t="str">
        <f t="shared" si="94"/>
        <v/>
      </c>
      <c r="AE196" s="143" t="str">
        <f t="shared" si="95"/>
        <v/>
      </c>
      <c r="AF196" s="63"/>
      <c r="AG196" s="10"/>
    </row>
    <row r="197" spans="1:33" hidden="1" x14ac:dyDescent="0.2">
      <c r="A197" s="70">
        <f>VLOOKUP(B197,Annuaire_roster!B:F,5,0)</f>
        <v>742</v>
      </c>
      <c r="B197" s="166" t="s">
        <v>76</v>
      </c>
      <c r="C197" s="61"/>
      <c r="D197" s="61" t="str">
        <f t="array" ref="D197">IFERROR(INDEX(Planning2[],MATCH(1,(Planning2[Nom]=B197)*(Planning2[Date]=Q197),0),3),"-")</f>
        <v>OFF</v>
      </c>
      <c r="E197" s="38"/>
      <c r="F197" s="38" t="str">
        <f t="array" ref="F197">IFERROR(INDEX(Planning2[],MATCH(1,(Planning2[Nom]=B197)*(Planning2[Date]=Q197),0),4),"-")</f>
        <v>OFF</v>
      </c>
      <c r="G197" s="88"/>
      <c r="H197" s="88"/>
      <c r="I197" s="209" t="str">
        <f t="shared" si="80"/>
        <v/>
      </c>
      <c r="J197" s="88"/>
      <c r="K197" s="89">
        <f t="shared" si="81"/>
        <v>0</v>
      </c>
      <c r="L197" s="88">
        <f t="shared" si="82"/>
        <v>0</v>
      </c>
      <c r="M197" s="62">
        <f t="shared" si="83"/>
        <v>0</v>
      </c>
      <c r="N197" s="102" t="str">
        <f t="shared" si="84"/>
        <v/>
      </c>
      <c r="O197" s="90">
        <f t="shared" si="85"/>
        <v>0</v>
      </c>
      <c r="P197" s="91" t="str">
        <f>IFERROR(VLOOKUP($B197,Annuaire_roster!$B:$G,MATCH(P$1,Annuaire_roster!$B$1:$G$1,0),0),"-")</f>
        <v>Google Leads</v>
      </c>
      <c r="Q197" s="100">
        <v>44723</v>
      </c>
      <c r="R197" s="10">
        <f t="shared" si="86"/>
        <v>0</v>
      </c>
      <c r="S197" s="10">
        <f t="shared" si="87"/>
        <v>0</v>
      </c>
      <c r="T197" s="16" t="str">
        <f t="shared" si="88"/>
        <v>Sem - 24</v>
      </c>
      <c r="U197" s="16" t="str">
        <f t="shared" si="89"/>
        <v>Juin</v>
      </c>
      <c r="V197" s="11" t="str">
        <f t="shared" si="90"/>
        <v>2026</v>
      </c>
      <c r="W197" s="9"/>
      <c r="X197" s="5">
        <f t="shared" si="91"/>
        <v>0</v>
      </c>
      <c r="Y197" s="12" t="str">
        <f>IFERROR(VLOOKUP(B197,Annuaire_roster!B:E,4,0),"-")</f>
        <v>OUAQERROUCH Nour-El Houda</v>
      </c>
      <c r="Z197" s="12" t="str">
        <f>IFERROR(VLOOKUP(B197,Annuaire_roster!B:F,3,0),"-")</f>
        <v>Google Leads</v>
      </c>
      <c r="AA197" s="12" t="str">
        <f>IFERROR(VLOOKUP(B197,Annuaire_roster!B:I,6,0),"-")</f>
        <v>Forfaitaire</v>
      </c>
      <c r="AB197" s="142" t="str">
        <f t="shared" si="92"/>
        <v/>
      </c>
      <c r="AC197" s="142" t="str">
        <f t="shared" si="93"/>
        <v/>
      </c>
      <c r="AD197" s="142" t="str">
        <f t="shared" si="94"/>
        <v/>
      </c>
      <c r="AE197" s="143" t="str">
        <f t="shared" si="95"/>
        <v/>
      </c>
      <c r="AF197" s="63"/>
      <c r="AG197" s="10"/>
    </row>
    <row r="198" spans="1:33" hidden="1" x14ac:dyDescent="0.2">
      <c r="A198" s="70">
        <f>VLOOKUP(B198,Annuaire_roster!B:F,5,0)</f>
        <v>971</v>
      </c>
      <c r="B198" s="166" t="s">
        <v>83</v>
      </c>
      <c r="C198" s="61"/>
      <c r="D198" s="61">
        <f t="array" ref="D198">IFERROR(INDEX(Planning2[],MATCH(1,(Planning2[Nom]=B198)*(Planning2[Date]=Q198),0),3),"-")</f>
        <v>0.41666666666666669</v>
      </c>
      <c r="E198" s="38"/>
      <c r="F198" s="38">
        <f t="array" ref="F198">IFERROR(INDEX(Planning2[],MATCH(1,(Planning2[Nom]=B198)*(Planning2[Date]=Q198),0),4),"-")</f>
        <v>0.83333333333333337</v>
      </c>
      <c r="G198" s="88"/>
      <c r="H198" s="88"/>
      <c r="I198" s="209" t="str">
        <f t="shared" si="80"/>
        <v/>
      </c>
      <c r="J198" s="88"/>
      <c r="K198" s="89">
        <f t="shared" si="81"/>
        <v>0</v>
      </c>
      <c r="L198" s="88">
        <f t="shared" si="82"/>
        <v>0</v>
      </c>
      <c r="M198" s="62" t="str">
        <f t="shared" si="83"/>
        <v>Abs</v>
      </c>
      <c r="N198" s="102" t="str">
        <f t="shared" si="84"/>
        <v/>
      </c>
      <c r="O198" s="90">
        <f t="shared" si="85"/>
        <v>0.375</v>
      </c>
      <c r="P198" s="91" t="str">
        <f>IFERROR(VLOOKUP($B198,Annuaire_roster!$B:$G,MATCH(P$1,Annuaire_roster!$B$1:$G$1,0),0),"-")</f>
        <v>Google Leads</v>
      </c>
      <c r="Q198" s="100">
        <v>44723</v>
      </c>
      <c r="R198" s="10">
        <f t="shared" si="86"/>
        <v>0.375</v>
      </c>
      <c r="S198" s="10">
        <f t="shared" si="87"/>
        <v>0.375</v>
      </c>
      <c r="T198" s="16" t="str">
        <f t="shared" si="88"/>
        <v>Sem - 24</v>
      </c>
      <c r="U198" s="16" t="str">
        <f t="shared" si="89"/>
        <v>Juin</v>
      </c>
      <c r="V198" s="11" t="str">
        <f t="shared" si="90"/>
        <v>2026</v>
      </c>
      <c r="W198" s="9"/>
      <c r="X198" s="5">
        <f t="shared" si="91"/>
        <v>0</v>
      </c>
      <c r="Y198" s="12" t="str">
        <f>IFERROR(VLOOKUP(B198,Annuaire_roster!B:E,4,0),"-")</f>
        <v>CHOUIFI Mustapha</v>
      </c>
      <c r="Z198" s="12" t="str">
        <f>IFERROR(VLOOKUP(B198,Annuaire_roster!B:F,3,0),"-")</f>
        <v>Google Leads</v>
      </c>
      <c r="AA198" s="12" t="str">
        <f>IFERROR(VLOOKUP(B198,Annuaire_roster!B:I,6,0),"-")</f>
        <v>Forfaitaire</v>
      </c>
      <c r="AB198" s="142" t="str">
        <f t="shared" si="92"/>
        <v/>
      </c>
      <c r="AC198" s="142" t="str">
        <f t="shared" si="93"/>
        <v/>
      </c>
      <c r="AD198" s="142" t="str">
        <f t="shared" si="94"/>
        <v/>
      </c>
      <c r="AE198" s="143" t="str">
        <f t="shared" si="95"/>
        <v/>
      </c>
      <c r="AF198" s="63"/>
      <c r="AG198" s="10"/>
    </row>
    <row r="199" spans="1:33" hidden="1" x14ac:dyDescent="0.2">
      <c r="A199" s="70">
        <f>VLOOKUP(B199,Annuaire_roster!B:F,5,0)</f>
        <v>952</v>
      </c>
      <c r="B199" s="166" t="s">
        <v>87</v>
      </c>
      <c r="C199" s="61"/>
      <c r="D199" s="61" t="str">
        <f t="array" ref="D199">IFERROR(INDEX(Planning2[],MATCH(1,(Planning2[Nom]=B199)*(Planning2[Date]=Q199),0),3),"-")</f>
        <v>OFF</v>
      </c>
      <c r="E199" s="38"/>
      <c r="F199" s="38" t="str">
        <f t="array" ref="F199">IFERROR(INDEX(Planning2[],MATCH(1,(Planning2[Nom]=B199)*(Planning2[Date]=Q199),0),4),"-")</f>
        <v>OFF</v>
      </c>
      <c r="G199" s="88"/>
      <c r="H199" s="88"/>
      <c r="I199" s="209" t="str">
        <f t="shared" si="80"/>
        <v/>
      </c>
      <c r="J199" s="88"/>
      <c r="K199" s="89">
        <f t="shared" si="81"/>
        <v>0</v>
      </c>
      <c r="L199" s="88">
        <f t="shared" si="82"/>
        <v>0</v>
      </c>
      <c r="M199" s="62">
        <f t="shared" si="83"/>
        <v>0</v>
      </c>
      <c r="N199" s="102" t="str">
        <f t="shared" si="84"/>
        <v/>
      </c>
      <c r="O199" s="90">
        <f t="shared" si="85"/>
        <v>0</v>
      </c>
      <c r="P199" s="91" t="str">
        <f>IFERROR(VLOOKUP($B199,Annuaire_roster!$B:$G,MATCH(P$1,Annuaire_roster!$B$1:$G$1,0),0),"-")</f>
        <v>Google Leads</v>
      </c>
      <c r="Q199" s="100">
        <v>44723</v>
      </c>
      <c r="R199" s="10">
        <f t="shared" si="86"/>
        <v>0</v>
      </c>
      <c r="S199" s="10">
        <f t="shared" si="87"/>
        <v>0</v>
      </c>
      <c r="T199" s="16" t="str">
        <f t="shared" si="88"/>
        <v>Sem - 24</v>
      </c>
      <c r="U199" s="16" t="str">
        <f t="shared" si="89"/>
        <v>Juin</v>
      </c>
      <c r="V199" s="11" t="str">
        <f t="shared" si="90"/>
        <v>2026</v>
      </c>
      <c r="W199" s="9"/>
      <c r="X199" s="5">
        <f t="shared" si="91"/>
        <v>0</v>
      </c>
      <c r="Y199" s="12" t="str">
        <f>IFERROR(VLOOKUP(B199,Annuaire_roster!B:E,4,0),"-")</f>
        <v>OUAQERROUCH Nour-El Houda</v>
      </c>
      <c r="Z199" s="12" t="str">
        <f>IFERROR(VLOOKUP(B199,Annuaire_roster!B:F,3,0),"-")</f>
        <v>Google Leads</v>
      </c>
      <c r="AA199" s="12" t="str">
        <f>IFERROR(VLOOKUP(B199,Annuaire_roster!B:I,6,0),"-")</f>
        <v>Forfaitaire</v>
      </c>
      <c r="AB199" s="142" t="str">
        <f t="shared" si="92"/>
        <v/>
      </c>
      <c r="AC199" s="142" t="str">
        <f t="shared" si="93"/>
        <v/>
      </c>
      <c r="AD199" s="142" t="str">
        <f t="shared" si="94"/>
        <v/>
      </c>
      <c r="AE199" s="143" t="str">
        <f t="shared" si="95"/>
        <v/>
      </c>
      <c r="AF199" s="63"/>
      <c r="AG199" s="10"/>
    </row>
    <row r="200" spans="1:33" hidden="1" x14ac:dyDescent="0.2">
      <c r="A200" s="70">
        <f>VLOOKUP(B200,Annuaire_roster!B:F,5,0)</f>
        <v>949</v>
      </c>
      <c r="B200" s="166" t="s">
        <v>85</v>
      </c>
      <c r="C200" s="61"/>
      <c r="D200" s="61" t="str">
        <f t="array" ref="D200">IFERROR(INDEX(Planning2[],MATCH(1,(Planning2[Nom]=B200)*(Planning2[Date]=Q200),0),3),"-")</f>
        <v>OFF</v>
      </c>
      <c r="E200" s="38"/>
      <c r="F200" s="38" t="str">
        <f t="array" ref="F200">IFERROR(INDEX(Planning2[],MATCH(1,(Planning2[Nom]=B200)*(Planning2[Date]=Q200),0),4),"-")</f>
        <v>OFF</v>
      </c>
      <c r="G200" s="88"/>
      <c r="H200" s="88"/>
      <c r="I200" s="209" t="str">
        <f t="shared" si="80"/>
        <v/>
      </c>
      <c r="J200" s="88"/>
      <c r="K200" s="89">
        <f t="shared" si="81"/>
        <v>0</v>
      </c>
      <c r="L200" s="88">
        <f t="shared" si="82"/>
        <v>0</v>
      </c>
      <c r="M200" s="62">
        <f t="shared" si="83"/>
        <v>0</v>
      </c>
      <c r="N200" s="102" t="str">
        <f t="shared" si="84"/>
        <v/>
      </c>
      <c r="O200" s="90">
        <f t="shared" si="85"/>
        <v>0</v>
      </c>
      <c r="P200" s="91" t="str">
        <f>IFERROR(VLOOKUP($B200,Annuaire_roster!$B:$G,MATCH(P$1,Annuaire_roster!$B$1:$G$1,0),0),"-")</f>
        <v>Google Leads</v>
      </c>
      <c r="Q200" s="100">
        <v>44723</v>
      </c>
      <c r="R200" s="10">
        <f t="shared" si="86"/>
        <v>0</v>
      </c>
      <c r="S200" s="10">
        <f t="shared" si="87"/>
        <v>0</v>
      </c>
      <c r="T200" s="16" t="str">
        <f t="shared" si="88"/>
        <v>Sem - 24</v>
      </c>
      <c r="U200" s="16" t="str">
        <f t="shared" si="89"/>
        <v>Juin</v>
      </c>
      <c r="V200" s="11" t="str">
        <f t="shared" si="90"/>
        <v>2026</v>
      </c>
      <c r="W200" s="9"/>
      <c r="X200" s="5">
        <f t="shared" si="91"/>
        <v>0</v>
      </c>
      <c r="Y200" s="12" t="str">
        <f>IFERROR(VLOOKUP(B200,Annuaire_roster!B:E,4,0),"-")</f>
        <v>CHOUIFI Mustapha</v>
      </c>
      <c r="Z200" s="12" t="str">
        <f>IFERROR(VLOOKUP(B200,Annuaire_roster!B:F,3,0),"-")</f>
        <v>Google Leads</v>
      </c>
      <c r="AA200" s="12" t="str">
        <f>IFERROR(VLOOKUP(B200,Annuaire_roster!B:I,6,0),"-")</f>
        <v>Forfaitaire</v>
      </c>
      <c r="AB200" s="142" t="str">
        <f t="shared" si="92"/>
        <v/>
      </c>
      <c r="AC200" s="142" t="str">
        <f t="shared" si="93"/>
        <v/>
      </c>
      <c r="AD200" s="142" t="str">
        <f t="shared" si="94"/>
        <v/>
      </c>
      <c r="AE200" s="143" t="str">
        <f t="shared" si="95"/>
        <v/>
      </c>
      <c r="AF200" s="63"/>
      <c r="AG200" s="10"/>
    </row>
    <row r="201" spans="1:33" hidden="1" x14ac:dyDescent="0.2">
      <c r="A201" s="70">
        <f>VLOOKUP(B201,Annuaire_roster!B:F,5,0)</f>
        <v>1007</v>
      </c>
      <c r="B201" s="166" t="s">
        <v>89</v>
      </c>
      <c r="C201" s="61"/>
      <c r="D201" s="61" t="str">
        <f t="array" ref="D201">IFERROR(INDEX(Planning2[],MATCH(1,(Planning2[Nom]=B201)*(Planning2[Date]=Q201),0),3),"-")</f>
        <v>OFF</v>
      </c>
      <c r="E201" s="38"/>
      <c r="F201" s="38" t="str">
        <f t="array" ref="F201">IFERROR(INDEX(Planning2[],MATCH(1,(Planning2[Nom]=B201)*(Planning2[Date]=Q201),0),4),"-")</f>
        <v>OFF</v>
      </c>
      <c r="G201" s="88"/>
      <c r="H201" s="88"/>
      <c r="I201" s="209" t="str">
        <f t="shared" si="80"/>
        <v/>
      </c>
      <c r="J201" s="88"/>
      <c r="K201" s="89">
        <f t="shared" si="81"/>
        <v>0</v>
      </c>
      <c r="L201" s="88">
        <f t="shared" si="82"/>
        <v>0</v>
      </c>
      <c r="M201" s="62">
        <f t="shared" si="83"/>
        <v>0</v>
      </c>
      <c r="N201" s="102" t="str">
        <f t="shared" si="84"/>
        <v/>
      </c>
      <c r="O201" s="90">
        <f t="shared" si="85"/>
        <v>0</v>
      </c>
      <c r="P201" s="91" t="str">
        <f>IFERROR(VLOOKUP($B201,Annuaire_roster!$B:$G,MATCH(P$1,Annuaire_roster!$B$1:$G$1,0),0),"-")</f>
        <v>Google Leads</v>
      </c>
      <c r="Q201" s="100">
        <v>44723</v>
      </c>
      <c r="R201" s="10">
        <f t="shared" si="86"/>
        <v>0</v>
      </c>
      <c r="S201" s="10">
        <f t="shared" si="87"/>
        <v>0</v>
      </c>
      <c r="T201" s="16" t="str">
        <f t="shared" si="88"/>
        <v>Sem - 24</v>
      </c>
      <c r="U201" s="16" t="str">
        <f t="shared" si="89"/>
        <v>Juin</v>
      </c>
      <c r="V201" s="11" t="str">
        <f t="shared" si="90"/>
        <v>2026</v>
      </c>
      <c r="W201" s="9"/>
      <c r="X201" s="5">
        <f t="shared" si="91"/>
        <v>0</v>
      </c>
      <c r="Y201" s="12" t="str">
        <f>IFERROR(VLOOKUP(B201,Annuaire_roster!B:E,4,0),"-")</f>
        <v>OUAQERROUCH Nour-El Houda</v>
      </c>
      <c r="Z201" s="12" t="str">
        <f>IFERROR(VLOOKUP(B201,Annuaire_roster!B:F,3,0),"-")</f>
        <v>Google Leads</v>
      </c>
      <c r="AA201" s="12" t="str">
        <f>IFERROR(VLOOKUP(B201,Annuaire_roster!B:I,6,0),"-")</f>
        <v>Forfaitaire</v>
      </c>
      <c r="AB201" s="142" t="str">
        <f t="shared" si="92"/>
        <v/>
      </c>
      <c r="AC201" s="142" t="str">
        <f t="shared" si="93"/>
        <v/>
      </c>
      <c r="AD201" s="142" t="str">
        <f t="shared" si="94"/>
        <v/>
      </c>
      <c r="AE201" s="143" t="str">
        <f t="shared" si="95"/>
        <v/>
      </c>
      <c r="AF201" s="63"/>
      <c r="AG201" s="10"/>
    </row>
    <row r="202" spans="1:33" hidden="1" x14ac:dyDescent="0.2">
      <c r="A202" s="70">
        <f>VLOOKUP(B202,Annuaire_roster!B:F,5,0)</f>
        <v>1008</v>
      </c>
      <c r="B202" s="166" t="s">
        <v>94</v>
      </c>
      <c r="C202" s="61"/>
      <c r="D202" s="61">
        <f t="array" ref="D202">IFERROR(INDEX(Planning2[],MATCH(1,(Planning2[Nom]=B202)*(Planning2[Date]=Q202),0),3),"-")</f>
        <v>0.29166666666666669</v>
      </c>
      <c r="E202" s="38"/>
      <c r="F202" s="38">
        <f t="array" ref="F202">IFERROR(INDEX(Planning2[],MATCH(1,(Planning2[Nom]=B202)*(Planning2[Date]=Q202),0),4),"-")</f>
        <v>0.70833333333333337</v>
      </c>
      <c r="G202" s="88"/>
      <c r="H202" s="88"/>
      <c r="I202" s="209" t="str">
        <f t="shared" si="80"/>
        <v/>
      </c>
      <c r="J202" s="88"/>
      <c r="K202" s="89">
        <f t="shared" si="81"/>
        <v>0</v>
      </c>
      <c r="L202" s="88">
        <f t="shared" si="82"/>
        <v>0</v>
      </c>
      <c r="M202" s="62" t="str">
        <f t="shared" si="83"/>
        <v>Abs</v>
      </c>
      <c r="N202" s="102" t="str">
        <f t="shared" si="84"/>
        <v/>
      </c>
      <c r="O202" s="90">
        <f t="shared" si="85"/>
        <v>0.375</v>
      </c>
      <c r="P202" s="91" t="str">
        <f>IFERROR(VLOOKUP($B202,Annuaire_roster!$B:$G,MATCH(P$1,Annuaire_roster!$B$1:$G$1,0),0),"-")</f>
        <v>Google Leads</v>
      </c>
      <c r="Q202" s="100">
        <v>44723</v>
      </c>
      <c r="R202" s="10">
        <f t="shared" si="86"/>
        <v>0.375</v>
      </c>
      <c r="S202" s="10">
        <f t="shared" si="87"/>
        <v>0.375</v>
      </c>
      <c r="T202" s="16" t="str">
        <f t="shared" si="88"/>
        <v>Sem - 24</v>
      </c>
      <c r="U202" s="16" t="str">
        <f t="shared" si="89"/>
        <v>Juin</v>
      </c>
      <c r="V202" s="11" t="str">
        <f t="shared" si="90"/>
        <v>2026</v>
      </c>
      <c r="W202" s="9"/>
      <c r="X202" s="5">
        <f t="shared" si="91"/>
        <v>0</v>
      </c>
      <c r="Y202" s="12" t="str">
        <f>IFERROR(VLOOKUP(B202,Annuaire_roster!B:E,4,0),"-")</f>
        <v>CHOUIFI Mustapha</v>
      </c>
      <c r="Z202" s="12" t="str">
        <f>IFERROR(VLOOKUP(B202,Annuaire_roster!B:F,3,0),"-")</f>
        <v>Google Leads</v>
      </c>
      <c r="AA202" s="12" t="str">
        <f>IFERROR(VLOOKUP(B202,Annuaire_roster!B:I,6,0),"-")</f>
        <v>Forfaitaire</v>
      </c>
      <c r="AB202" s="142" t="str">
        <f t="shared" si="92"/>
        <v/>
      </c>
      <c r="AC202" s="142" t="str">
        <f t="shared" si="93"/>
        <v/>
      </c>
      <c r="AD202" s="142" t="str">
        <f t="shared" si="94"/>
        <v/>
      </c>
      <c r="AE202" s="143" t="str">
        <f t="shared" si="95"/>
        <v/>
      </c>
      <c r="AF202" s="63"/>
      <c r="AG202" s="10"/>
    </row>
    <row r="203" spans="1:33" hidden="1" x14ac:dyDescent="0.2">
      <c r="A203" s="70">
        <f>VLOOKUP(B203,Annuaire_roster!B:F,5,0)</f>
        <v>1009</v>
      </c>
      <c r="B203" s="166" t="s">
        <v>91</v>
      </c>
      <c r="C203" s="61"/>
      <c r="D203" s="61">
        <f t="array" ref="D203">IFERROR(INDEX(Planning2[],MATCH(1,(Planning2[Nom]=B203)*(Planning2[Date]=Q203),0),3),"-")</f>
        <v>0.41666666666666669</v>
      </c>
      <c r="E203" s="38"/>
      <c r="F203" s="38">
        <f t="array" ref="F203">IFERROR(INDEX(Planning2[],MATCH(1,(Planning2[Nom]=B203)*(Planning2[Date]=Q203),0),4),"-")</f>
        <v>0.83333333333333337</v>
      </c>
      <c r="G203" s="88"/>
      <c r="H203" s="88"/>
      <c r="I203" s="209" t="str">
        <f t="shared" si="80"/>
        <v/>
      </c>
      <c r="J203" s="88"/>
      <c r="K203" s="89">
        <f t="shared" si="81"/>
        <v>0</v>
      </c>
      <c r="L203" s="88">
        <f t="shared" si="82"/>
        <v>0</v>
      </c>
      <c r="M203" s="62" t="str">
        <f t="shared" si="83"/>
        <v>Abs</v>
      </c>
      <c r="N203" s="102" t="str">
        <f t="shared" si="84"/>
        <v/>
      </c>
      <c r="O203" s="90">
        <f t="shared" si="85"/>
        <v>0.375</v>
      </c>
      <c r="P203" s="91" t="str">
        <f>IFERROR(VLOOKUP($B203,Annuaire_roster!$B:$G,MATCH(P$1,Annuaire_roster!$B$1:$G$1,0),0),"-")</f>
        <v>Google Leads</v>
      </c>
      <c r="Q203" s="100">
        <v>44723</v>
      </c>
      <c r="R203" s="10">
        <f t="shared" si="86"/>
        <v>0.375</v>
      </c>
      <c r="S203" s="10">
        <f t="shared" si="87"/>
        <v>0.375</v>
      </c>
      <c r="T203" s="16" t="str">
        <f t="shared" si="88"/>
        <v>Sem - 24</v>
      </c>
      <c r="U203" s="16" t="str">
        <f t="shared" si="89"/>
        <v>Juin</v>
      </c>
      <c r="V203" s="11" t="str">
        <f t="shared" si="90"/>
        <v>2026</v>
      </c>
      <c r="W203" s="9"/>
      <c r="X203" s="5">
        <f t="shared" si="91"/>
        <v>0</v>
      </c>
      <c r="Y203" s="12" t="str">
        <f>IFERROR(VLOOKUP(B203,Annuaire_roster!B:E,4,0),"-")</f>
        <v>OUAQERROUCH Nour-El Houda</v>
      </c>
      <c r="Z203" s="12" t="str">
        <f>IFERROR(VLOOKUP(B203,Annuaire_roster!B:F,3,0),"-")</f>
        <v>Google Leads</v>
      </c>
      <c r="AA203" s="12" t="str">
        <f>IFERROR(VLOOKUP(B203,Annuaire_roster!B:I,6,0),"-")</f>
        <v>Forfaitaire</v>
      </c>
      <c r="AB203" s="142" t="str">
        <f t="shared" si="92"/>
        <v/>
      </c>
      <c r="AC203" s="142" t="str">
        <f t="shared" si="93"/>
        <v/>
      </c>
      <c r="AD203" s="142" t="str">
        <f t="shared" si="94"/>
        <v/>
      </c>
      <c r="AE203" s="143" t="str">
        <f t="shared" si="95"/>
        <v/>
      </c>
      <c r="AF203" s="63"/>
      <c r="AG203" s="10"/>
    </row>
    <row r="204" spans="1:33" hidden="1" x14ac:dyDescent="0.2">
      <c r="A204" s="70">
        <f>VLOOKUP(B204,Annuaire_roster!B:F,5,0)</f>
        <v>1131</v>
      </c>
      <c r="B204" s="166" t="s">
        <v>214</v>
      </c>
      <c r="C204" s="61"/>
      <c r="D204" s="61" t="str">
        <f t="array" ref="D204">IFERROR(INDEX(Planning2[],MATCH(1,(Planning2[Nom]=B204)*(Planning2[Date]=Q204),0),3),"-")</f>
        <v>OFF</v>
      </c>
      <c r="E204" s="38"/>
      <c r="F204" s="38" t="str">
        <f t="array" ref="F204">IFERROR(INDEX(Planning2[],MATCH(1,(Planning2[Nom]=B204)*(Planning2[Date]=Q204),0),4),"-")</f>
        <v>OFF</v>
      </c>
      <c r="G204" s="88"/>
      <c r="H204" s="88"/>
      <c r="I204" s="209" t="str">
        <f t="shared" si="80"/>
        <v/>
      </c>
      <c r="J204" s="23"/>
      <c r="K204" s="89">
        <f t="shared" si="81"/>
        <v>0</v>
      </c>
      <c r="L204" s="88">
        <f t="shared" si="82"/>
        <v>0</v>
      </c>
      <c r="M204" s="62">
        <f t="shared" si="83"/>
        <v>0</v>
      </c>
      <c r="N204" s="102" t="str">
        <f t="shared" si="84"/>
        <v/>
      </c>
      <c r="O204" s="90">
        <f t="shared" si="85"/>
        <v>0</v>
      </c>
      <c r="P204" s="91" t="str">
        <f>IFERROR(VLOOKUP($B204,Annuaire_roster!$B:$G,MATCH(P$1,Annuaire_roster!$B$1:$G$1,0),0),"-")</f>
        <v>Google Leads</v>
      </c>
      <c r="Q204" s="100">
        <v>44723</v>
      </c>
      <c r="R204" s="10">
        <f t="shared" si="86"/>
        <v>0</v>
      </c>
      <c r="S204" s="10">
        <f t="shared" si="87"/>
        <v>0</v>
      </c>
      <c r="T204" s="16" t="str">
        <f t="shared" si="88"/>
        <v>Sem - 24</v>
      </c>
      <c r="U204" s="16" t="str">
        <f t="shared" si="89"/>
        <v>Juin</v>
      </c>
      <c r="V204" s="11" t="str">
        <f t="shared" si="90"/>
        <v>2026</v>
      </c>
      <c r="W204" s="9"/>
      <c r="X204" s="5">
        <f t="shared" si="91"/>
        <v>0</v>
      </c>
      <c r="Y204" s="12" t="str">
        <f>IFERROR(VLOOKUP(B204,Annuaire_roster!B:E,4,0),"-")</f>
        <v>CHOUIFI Mustapha</v>
      </c>
      <c r="Z204" s="12" t="str">
        <f>IFERROR(VLOOKUP(B204,Annuaire_roster!B:F,3,0),"-")</f>
        <v>Google Leads</v>
      </c>
      <c r="AA204" s="12" t="str">
        <f>IFERROR(VLOOKUP(B204,Annuaire_roster!B:I,6,0),"-")</f>
        <v>Forfaitaire</v>
      </c>
      <c r="AB204" s="142" t="str">
        <f t="shared" si="92"/>
        <v/>
      </c>
      <c r="AC204" s="142" t="str">
        <f t="shared" si="93"/>
        <v/>
      </c>
      <c r="AD204" s="142" t="str">
        <f t="shared" si="94"/>
        <v/>
      </c>
      <c r="AE204" s="143" t="str">
        <f t="shared" si="95"/>
        <v/>
      </c>
      <c r="AF204" s="63"/>
      <c r="AG204" s="10"/>
    </row>
    <row r="205" spans="1:33" hidden="1" x14ac:dyDescent="0.2">
      <c r="A205" s="70">
        <f>VLOOKUP(B205,Annuaire_roster!B:F,5,0)</f>
        <v>1145</v>
      </c>
      <c r="B205" s="166" t="s">
        <v>102</v>
      </c>
      <c r="C205" s="61"/>
      <c r="D205" s="61">
        <f t="array" ref="D205">IFERROR(INDEX(Planning2[],MATCH(1,(Planning2[Nom]=B205)*(Planning2[Date]=Q205),0),3),"-")</f>
        <v>0.41666666666666669</v>
      </c>
      <c r="E205" s="38"/>
      <c r="F205" s="38">
        <f t="array" ref="F205">IFERROR(INDEX(Planning2[],MATCH(1,(Planning2[Nom]=B205)*(Planning2[Date]=Q205),0),4),"-")</f>
        <v>0.83333333333333337</v>
      </c>
      <c r="G205" s="88"/>
      <c r="H205" s="88"/>
      <c r="I205" s="209" t="str">
        <f t="shared" si="80"/>
        <v/>
      </c>
      <c r="J205" s="23"/>
      <c r="K205" s="89">
        <f t="shared" si="81"/>
        <v>0</v>
      </c>
      <c r="L205" s="88">
        <f t="shared" si="82"/>
        <v>0</v>
      </c>
      <c r="M205" s="62" t="str">
        <f t="shared" si="83"/>
        <v>Abs</v>
      </c>
      <c r="N205" s="102" t="str">
        <f t="shared" si="84"/>
        <v/>
      </c>
      <c r="O205" s="90">
        <f t="shared" si="85"/>
        <v>0.375</v>
      </c>
      <c r="P205" s="91" t="str">
        <f>IFERROR(VLOOKUP($B205,Annuaire_roster!$B:$G,MATCH(P$1,Annuaire_roster!$B$1:$G$1,0),0),"-")</f>
        <v>Google Leads</v>
      </c>
      <c r="Q205" s="100">
        <v>44723</v>
      </c>
      <c r="R205" s="10">
        <f t="shared" si="86"/>
        <v>0.375</v>
      </c>
      <c r="S205" s="10">
        <f t="shared" si="87"/>
        <v>0.375</v>
      </c>
      <c r="T205" s="16" t="str">
        <f t="shared" si="88"/>
        <v>Sem - 24</v>
      </c>
      <c r="U205" s="16" t="str">
        <f t="shared" si="89"/>
        <v>Juin</v>
      </c>
      <c r="V205" s="11" t="str">
        <f t="shared" si="90"/>
        <v>2026</v>
      </c>
      <c r="W205" s="9"/>
      <c r="X205" s="5">
        <f t="shared" si="91"/>
        <v>0</v>
      </c>
      <c r="Y205" s="12" t="str">
        <f>IFERROR(VLOOKUP(B205,Annuaire_roster!B:E,4,0),"-")</f>
        <v>CHOUIFI Mustapha</v>
      </c>
      <c r="Z205" s="12" t="str">
        <f>IFERROR(VLOOKUP(B205,Annuaire_roster!B:F,3,0),"-")</f>
        <v>Google Leads</v>
      </c>
      <c r="AA205" s="12" t="str">
        <f>IFERROR(VLOOKUP(B205,Annuaire_roster!B:I,6,0),"-")</f>
        <v>Forfaitaire</v>
      </c>
      <c r="AB205" s="142" t="str">
        <f t="shared" si="92"/>
        <v/>
      </c>
      <c r="AC205" s="142" t="str">
        <f t="shared" si="93"/>
        <v/>
      </c>
      <c r="AD205" s="142" t="str">
        <f t="shared" si="94"/>
        <v/>
      </c>
      <c r="AE205" s="143" t="str">
        <f t="shared" si="95"/>
        <v/>
      </c>
      <c r="AF205" s="63"/>
      <c r="AG205" s="10"/>
    </row>
    <row r="206" spans="1:33" hidden="1" x14ac:dyDescent="0.2">
      <c r="A206" s="70">
        <f>VLOOKUP(B206,Annuaire_roster!B:F,5,0)</f>
        <v>397</v>
      </c>
      <c r="B206" s="166" t="s">
        <v>215</v>
      </c>
      <c r="C206" s="61"/>
      <c r="D206" s="61" t="str">
        <f t="array" ref="D206">IFERROR(INDEX(Planning2[],MATCH(1,(Planning2[Nom]=B206)*(Planning2[Date]=Q206),0),3),"-")</f>
        <v>OFF</v>
      </c>
      <c r="E206" s="38"/>
      <c r="F206" s="38" t="str">
        <f t="array" ref="F206">IFERROR(INDEX(Planning2[],MATCH(1,(Planning2[Nom]=B206)*(Planning2[Date]=Q206),0),4),"-")</f>
        <v>OFF</v>
      </c>
      <c r="G206" s="88"/>
      <c r="H206" s="88"/>
      <c r="I206" s="209" t="str">
        <f t="shared" si="80"/>
        <v/>
      </c>
      <c r="J206" s="23"/>
      <c r="K206" s="89">
        <f t="shared" si="81"/>
        <v>0</v>
      </c>
      <c r="L206" s="88">
        <f t="shared" si="82"/>
        <v>0</v>
      </c>
      <c r="M206" s="62">
        <f t="shared" si="83"/>
        <v>0</v>
      </c>
      <c r="N206" s="102" t="str">
        <f t="shared" si="84"/>
        <v/>
      </c>
      <c r="O206" s="90">
        <f t="shared" si="85"/>
        <v>0</v>
      </c>
      <c r="P206" s="91" t="str">
        <f>IFERROR(VLOOKUP($B206,Annuaire_roster!$B:$G,MATCH(P$1,Annuaire_roster!$B$1:$G$1,0),0),"-")</f>
        <v>Google Leads</v>
      </c>
      <c r="Q206" s="100">
        <v>44723</v>
      </c>
      <c r="R206" s="10">
        <f t="shared" si="86"/>
        <v>0</v>
      </c>
      <c r="S206" s="10">
        <f t="shared" si="87"/>
        <v>0</v>
      </c>
      <c r="T206" s="16" t="str">
        <f t="shared" si="88"/>
        <v>Sem - 24</v>
      </c>
      <c r="U206" s="16" t="str">
        <f t="shared" si="89"/>
        <v>Juin</v>
      </c>
      <c r="V206" s="11" t="str">
        <f t="shared" si="90"/>
        <v>2026</v>
      </c>
      <c r="W206" s="9"/>
      <c r="X206" s="5">
        <f t="shared" si="91"/>
        <v>0</v>
      </c>
      <c r="Y206" s="12" t="str">
        <f>IFERROR(VLOOKUP(B206,Annuaire_roster!B:E,4,0),"-")</f>
        <v>OUAQERROUCH Nour-El Houda</v>
      </c>
      <c r="Z206" s="12" t="str">
        <f>IFERROR(VLOOKUP(B206,Annuaire_roster!B:F,3,0),"-")</f>
        <v>Google Leads</v>
      </c>
      <c r="AA206" s="12" t="str">
        <f>IFERROR(VLOOKUP(B206,Annuaire_roster!B:I,6,0),"-")</f>
        <v>Forfaitaire</v>
      </c>
      <c r="AB206" s="142" t="str">
        <f t="shared" si="92"/>
        <v/>
      </c>
      <c r="AC206" s="142" t="str">
        <f t="shared" si="93"/>
        <v/>
      </c>
      <c r="AD206" s="142" t="str">
        <f t="shared" si="94"/>
        <v/>
      </c>
      <c r="AE206" s="143" t="str">
        <f t="shared" si="95"/>
        <v/>
      </c>
      <c r="AF206" s="63"/>
      <c r="AG206" s="10"/>
    </row>
    <row r="207" spans="1:33" hidden="1" x14ac:dyDescent="0.2">
      <c r="A207" s="70">
        <f>VLOOKUP(B207,Annuaire_roster!B:F,5,0)</f>
        <v>1132</v>
      </c>
      <c r="B207" s="166" t="s">
        <v>88</v>
      </c>
      <c r="C207" s="61"/>
      <c r="D207" s="61">
        <f t="array" ref="D207">IFERROR(INDEX(Planning2[],MATCH(1,(Planning2[Nom]=B207)*(Planning2[Date]=Q207),0),3),"-")</f>
        <v>0.41666666666666669</v>
      </c>
      <c r="E207" s="38"/>
      <c r="F207" s="38">
        <f t="array" ref="F207">IFERROR(INDEX(Planning2[],MATCH(1,(Planning2[Nom]=B207)*(Planning2[Date]=Q207),0),4),"-")</f>
        <v>0.83333333333333337</v>
      </c>
      <c r="G207" s="88"/>
      <c r="H207" s="88"/>
      <c r="I207" s="209" t="str">
        <f t="shared" si="80"/>
        <v/>
      </c>
      <c r="J207" s="23"/>
      <c r="K207" s="89">
        <f t="shared" si="81"/>
        <v>0</v>
      </c>
      <c r="L207" s="88">
        <f t="shared" si="82"/>
        <v>0</v>
      </c>
      <c r="M207" s="62" t="str">
        <f t="shared" si="83"/>
        <v>Abs</v>
      </c>
      <c r="N207" s="102" t="str">
        <f t="shared" si="84"/>
        <v/>
      </c>
      <c r="O207" s="90">
        <f t="shared" si="85"/>
        <v>0.375</v>
      </c>
      <c r="P207" s="91" t="str">
        <f>IFERROR(VLOOKUP($B207,Annuaire_roster!$B:$G,MATCH(P$1,Annuaire_roster!$B$1:$G$1,0),0),"-")</f>
        <v>Google Leads</v>
      </c>
      <c r="Q207" s="100">
        <v>44723</v>
      </c>
      <c r="R207" s="10">
        <f t="shared" si="86"/>
        <v>0.375</v>
      </c>
      <c r="S207" s="10">
        <f t="shared" si="87"/>
        <v>0.375</v>
      </c>
      <c r="T207" s="16" t="str">
        <f t="shared" si="88"/>
        <v>Sem - 24</v>
      </c>
      <c r="U207" s="16" t="str">
        <f t="shared" si="89"/>
        <v>Juin</v>
      </c>
      <c r="V207" s="11" t="str">
        <f t="shared" si="90"/>
        <v>2026</v>
      </c>
      <c r="W207" s="9"/>
      <c r="X207" s="5">
        <f t="shared" si="91"/>
        <v>0</v>
      </c>
      <c r="Y207" s="12" t="str">
        <f>IFERROR(VLOOKUP(B207,Annuaire_roster!B:E,4,0),"-")</f>
        <v>CHOUIFI Mustapha</v>
      </c>
      <c r="Z207" s="12" t="str">
        <f>IFERROR(VLOOKUP(B207,Annuaire_roster!B:F,3,0),"-")</f>
        <v>Google Leads</v>
      </c>
      <c r="AA207" s="12" t="str">
        <f>IFERROR(VLOOKUP(B207,Annuaire_roster!B:I,6,0),"-")</f>
        <v>Forfaitaire</v>
      </c>
      <c r="AB207" s="142" t="str">
        <f t="shared" si="92"/>
        <v/>
      </c>
      <c r="AC207" s="142" t="str">
        <f t="shared" si="93"/>
        <v/>
      </c>
      <c r="AD207" s="142" t="str">
        <f t="shared" si="94"/>
        <v/>
      </c>
      <c r="AE207" s="143" t="str">
        <f t="shared" si="95"/>
        <v/>
      </c>
      <c r="AF207" s="63"/>
      <c r="AG207" s="10"/>
    </row>
    <row r="208" spans="1:33" hidden="1" x14ac:dyDescent="0.2">
      <c r="A208" s="70">
        <f>VLOOKUP(B208,Annuaire_roster!B:F,5,0)</f>
        <v>1170</v>
      </c>
      <c r="B208" s="166" t="s">
        <v>106</v>
      </c>
      <c r="C208" s="61"/>
      <c r="D208" s="61" t="str">
        <f t="array" ref="D208">IFERROR(INDEX(Planning2[],MATCH(1,(Planning2[Nom]=B208)*(Planning2[Date]=Q208),0),3),"-")</f>
        <v>OFF</v>
      </c>
      <c r="E208" s="38"/>
      <c r="F208" s="38" t="str">
        <f t="array" ref="F208">IFERROR(INDEX(Planning2[],MATCH(1,(Planning2[Nom]=B208)*(Planning2[Date]=Q208),0),4),"-")</f>
        <v>OFF</v>
      </c>
      <c r="G208" s="88"/>
      <c r="H208" s="88"/>
      <c r="I208" s="209" t="str">
        <f t="shared" si="80"/>
        <v/>
      </c>
      <c r="J208" s="23"/>
      <c r="K208" s="89">
        <f t="shared" si="81"/>
        <v>0</v>
      </c>
      <c r="L208" s="88">
        <f t="shared" si="82"/>
        <v>0</v>
      </c>
      <c r="M208" s="62">
        <f t="shared" si="83"/>
        <v>0</v>
      </c>
      <c r="N208" s="102" t="str">
        <f t="shared" si="84"/>
        <v/>
      </c>
      <c r="O208" s="90">
        <f t="shared" si="85"/>
        <v>0</v>
      </c>
      <c r="P208" s="91" t="str">
        <f>IFERROR(VLOOKUP($B208,Annuaire_roster!$B:$G,MATCH(P$1,Annuaire_roster!$B$1:$G$1,0),0),"-")</f>
        <v>Google Leads</v>
      </c>
      <c r="Q208" s="100">
        <v>44723</v>
      </c>
      <c r="R208" s="10">
        <f t="shared" si="86"/>
        <v>0</v>
      </c>
      <c r="S208" s="10">
        <f t="shared" si="87"/>
        <v>0</v>
      </c>
      <c r="T208" s="16" t="str">
        <f t="shared" si="88"/>
        <v>Sem - 24</v>
      </c>
      <c r="U208" s="16" t="str">
        <f t="shared" si="89"/>
        <v>Juin</v>
      </c>
      <c r="V208" s="11" t="str">
        <f t="shared" si="90"/>
        <v>2026</v>
      </c>
      <c r="W208" s="9"/>
      <c r="X208" s="5">
        <f t="shared" si="91"/>
        <v>0</v>
      </c>
      <c r="Y208" s="12" t="str">
        <f>IFERROR(VLOOKUP(B208,Annuaire_roster!B:E,4,0),"-")</f>
        <v>CHOUIFI Mustapha</v>
      </c>
      <c r="Z208" s="12" t="str">
        <f>IFERROR(VLOOKUP(B208,Annuaire_roster!B:F,3,0),"-")</f>
        <v>Google Leads</v>
      </c>
      <c r="AA208" s="12" t="str">
        <f>IFERROR(VLOOKUP(B208,Annuaire_roster!B:I,6,0),"-")</f>
        <v>Forfaitaire</v>
      </c>
      <c r="AB208" s="142" t="str">
        <f t="shared" si="92"/>
        <v/>
      </c>
      <c r="AC208" s="142" t="str">
        <f t="shared" si="93"/>
        <v/>
      </c>
      <c r="AD208" s="142" t="str">
        <f t="shared" si="94"/>
        <v/>
      </c>
      <c r="AE208" s="143" t="str">
        <f t="shared" si="95"/>
        <v/>
      </c>
      <c r="AF208" s="63"/>
      <c r="AG208" s="10"/>
    </row>
    <row r="209" spans="1:33" hidden="1" x14ac:dyDescent="0.2">
      <c r="A209" s="70">
        <f>VLOOKUP(B209,Annuaire_roster!B:F,5,0)</f>
        <v>1154</v>
      </c>
      <c r="B209" s="166" t="s">
        <v>110</v>
      </c>
      <c r="C209" s="61"/>
      <c r="D209" s="61">
        <f t="array" ref="D209">IFERROR(INDEX(Planning2[],MATCH(1,(Planning2[Nom]=B209)*(Planning2[Date]=Q209),0),3),"-")</f>
        <v>0.29166666666666669</v>
      </c>
      <c r="E209" s="38"/>
      <c r="F209" s="38">
        <f t="array" ref="F209">IFERROR(INDEX(Planning2[],MATCH(1,(Planning2[Nom]=B209)*(Planning2[Date]=Q209),0),4),"-")</f>
        <v>0.70833333333333337</v>
      </c>
      <c r="G209" s="88"/>
      <c r="H209" s="88"/>
      <c r="I209" s="209" t="str">
        <f t="shared" si="80"/>
        <v/>
      </c>
      <c r="J209" s="23"/>
      <c r="K209" s="89">
        <f t="shared" si="81"/>
        <v>0</v>
      </c>
      <c r="L209" s="88">
        <f t="shared" si="82"/>
        <v>0</v>
      </c>
      <c r="M209" s="62" t="str">
        <f t="shared" si="83"/>
        <v>Abs</v>
      </c>
      <c r="N209" s="102" t="str">
        <f t="shared" si="84"/>
        <v/>
      </c>
      <c r="O209" s="90">
        <f t="shared" si="85"/>
        <v>0.375</v>
      </c>
      <c r="P209" s="91" t="str">
        <f>IFERROR(VLOOKUP($B209,Annuaire_roster!$B:$G,MATCH(P$1,Annuaire_roster!$B$1:$G$1,0),0),"-")</f>
        <v>Google Leads</v>
      </c>
      <c r="Q209" s="100">
        <v>44723</v>
      </c>
      <c r="R209" s="10">
        <f t="shared" si="86"/>
        <v>0.375</v>
      </c>
      <c r="S209" s="10">
        <f t="shared" si="87"/>
        <v>0.375</v>
      </c>
      <c r="T209" s="16" t="str">
        <f t="shared" si="88"/>
        <v>Sem - 24</v>
      </c>
      <c r="U209" s="16" t="str">
        <f t="shared" si="89"/>
        <v>Juin</v>
      </c>
      <c r="V209" s="11" t="str">
        <f t="shared" si="90"/>
        <v>2026</v>
      </c>
      <c r="W209" s="9"/>
      <c r="X209" s="5">
        <f t="shared" si="91"/>
        <v>0</v>
      </c>
      <c r="Y209" s="12" t="str">
        <f>IFERROR(VLOOKUP(B209,Annuaire_roster!B:E,4,0),"-")</f>
        <v>CHOUIFI Mustapha</v>
      </c>
      <c r="Z209" s="12" t="str">
        <f>IFERROR(VLOOKUP(B209,Annuaire_roster!B:F,3,0),"-")</f>
        <v>Google Leads</v>
      </c>
      <c r="AA209" s="12" t="str">
        <f>IFERROR(VLOOKUP(B209,Annuaire_roster!B:I,6,0),"-")</f>
        <v>Forfaitaire</v>
      </c>
      <c r="AB209" s="142" t="str">
        <f t="shared" si="92"/>
        <v/>
      </c>
      <c r="AC209" s="142" t="str">
        <f t="shared" si="93"/>
        <v/>
      </c>
      <c r="AD209" s="142" t="str">
        <f t="shared" si="94"/>
        <v/>
      </c>
      <c r="AE209" s="143" t="str">
        <f t="shared" si="95"/>
        <v/>
      </c>
      <c r="AF209" s="63"/>
      <c r="AG209" s="10"/>
    </row>
    <row r="210" spans="1:33" hidden="1" x14ac:dyDescent="0.2">
      <c r="A210" s="70">
        <f>VLOOKUP(B210,Annuaire_roster!B:F,5,0)</f>
        <v>1167</v>
      </c>
      <c r="B210" s="166" t="s">
        <v>126</v>
      </c>
      <c r="C210" s="61"/>
      <c r="D210" s="61">
        <f t="array" ref="D210">IFERROR(INDEX(Planning2[],MATCH(1,(Planning2[Nom]=B210)*(Planning2[Date]=Q210),0),3),"-")</f>
        <v>0.29166666666666669</v>
      </c>
      <c r="E210" s="38"/>
      <c r="F210" s="38">
        <f t="array" ref="F210">IFERROR(INDEX(Planning2[],MATCH(1,(Planning2[Nom]=B210)*(Planning2[Date]=Q210),0),4),"-")</f>
        <v>0.66666666666666663</v>
      </c>
      <c r="G210" s="88"/>
      <c r="H210" s="88"/>
      <c r="I210" s="209" t="str">
        <f t="shared" si="80"/>
        <v/>
      </c>
      <c r="J210" s="23"/>
      <c r="K210" s="89">
        <f t="shared" si="81"/>
        <v>0</v>
      </c>
      <c r="L210" s="88">
        <f t="shared" si="82"/>
        <v>0</v>
      </c>
      <c r="M210" s="62" t="str">
        <f t="shared" si="83"/>
        <v>Abs</v>
      </c>
      <c r="N210" s="102" t="str">
        <f t="shared" si="84"/>
        <v/>
      </c>
      <c r="O210" s="90">
        <f t="shared" si="85"/>
        <v>0.33333333333333326</v>
      </c>
      <c r="P210" s="91" t="str">
        <f>IFERROR(VLOOKUP($B210,Annuaire_roster!$B:$G,MATCH(P$1,Annuaire_roster!$B$1:$G$1,0),0),"-")</f>
        <v>Google Leads</v>
      </c>
      <c r="Q210" s="100">
        <v>44723</v>
      </c>
      <c r="R210" s="10">
        <f t="shared" si="86"/>
        <v>0.33333333333333326</v>
      </c>
      <c r="S210" s="10">
        <f t="shared" si="87"/>
        <v>0.33333333333333326</v>
      </c>
      <c r="T210" s="16" t="str">
        <f t="shared" si="88"/>
        <v>Sem - 24</v>
      </c>
      <c r="U210" s="16" t="str">
        <f t="shared" si="89"/>
        <v>Juin</v>
      </c>
      <c r="V210" s="11" t="str">
        <f t="shared" si="90"/>
        <v>2026</v>
      </c>
      <c r="W210" s="9"/>
      <c r="X210" s="5">
        <f t="shared" si="91"/>
        <v>0</v>
      </c>
      <c r="Y210" s="12" t="str">
        <f>IFERROR(VLOOKUP(B210,Annuaire_roster!B:E,4,0),"-")</f>
        <v>OUAQERROUCH Nour-El Houda</v>
      </c>
      <c r="Z210" s="12" t="str">
        <f>IFERROR(VLOOKUP(B210,Annuaire_roster!B:F,3,0),"-")</f>
        <v>Google Leads</v>
      </c>
      <c r="AA210" s="12" t="str">
        <f>IFERROR(VLOOKUP(B210,Annuaire_roster!B:I,6,0),"-")</f>
        <v>Forfaitaire</v>
      </c>
      <c r="AB210" s="142" t="str">
        <f t="shared" si="92"/>
        <v/>
      </c>
      <c r="AC210" s="142" t="str">
        <f t="shared" si="93"/>
        <v/>
      </c>
      <c r="AD210" s="142" t="str">
        <f t="shared" si="94"/>
        <v/>
      </c>
      <c r="AE210" s="143" t="str">
        <f t="shared" si="95"/>
        <v/>
      </c>
      <c r="AF210" s="63"/>
      <c r="AG210" s="10"/>
    </row>
    <row r="211" spans="1:33" hidden="1" x14ac:dyDescent="0.2">
      <c r="A211" s="70">
        <f>VLOOKUP(B211,Annuaire_roster!B:F,5,0)</f>
        <v>1274</v>
      </c>
      <c r="B211" s="166" t="s">
        <v>141</v>
      </c>
      <c r="C211" s="61"/>
      <c r="D211" s="61" t="str">
        <f t="array" ref="D211">IFERROR(INDEX(Planning2[],MATCH(1,(Planning2[Nom]=B211)*(Planning2[Date]=Q211),0),3),"-")</f>
        <v>OFF</v>
      </c>
      <c r="E211" s="38"/>
      <c r="F211" s="38" t="str">
        <f t="array" ref="F211">IFERROR(INDEX(Planning2[],MATCH(1,(Planning2[Nom]=B211)*(Planning2[Date]=Q211),0),4),"-")</f>
        <v>OFF</v>
      </c>
      <c r="G211" s="88"/>
      <c r="H211" s="88"/>
      <c r="I211" s="209" t="str">
        <f t="shared" si="80"/>
        <v/>
      </c>
      <c r="J211" s="23"/>
      <c r="K211" s="89">
        <f t="shared" si="81"/>
        <v>0</v>
      </c>
      <c r="L211" s="88">
        <f t="shared" si="82"/>
        <v>0</v>
      </c>
      <c r="M211" s="62">
        <f t="shared" si="83"/>
        <v>0</v>
      </c>
      <c r="N211" s="102" t="str">
        <f t="shared" si="84"/>
        <v/>
      </c>
      <c r="O211" s="90">
        <f t="shared" si="85"/>
        <v>0</v>
      </c>
      <c r="P211" s="91" t="str">
        <f>IFERROR(VLOOKUP($B211,Annuaire_roster!$B:$G,MATCH(P$1,Annuaire_roster!$B$1:$G$1,0),0),"-")</f>
        <v>Google Leads</v>
      </c>
      <c r="Q211" s="100">
        <v>44723</v>
      </c>
      <c r="R211" s="10">
        <f t="shared" si="86"/>
        <v>0</v>
      </c>
      <c r="S211" s="10">
        <f t="shared" si="87"/>
        <v>0</v>
      </c>
      <c r="T211" s="16" t="str">
        <f t="shared" si="88"/>
        <v>Sem - 24</v>
      </c>
      <c r="U211" s="16" t="str">
        <f t="shared" si="89"/>
        <v>Juin</v>
      </c>
      <c r="V211" s="11" t="str">
        <f t="shared" si="90"/>
        <v>2026</v>
      </c>
      <c r="W211" s="9"/>
      <c r="X211" s="5">
        <f t="shared" si="91"/>
        <v>0</v>
      </c>
      <c r="Y211" s="12" t="str">
        <f>IFERROR(VLOOKUP(B211,Annuaire_roster!B:E,4,0),"-")</f>
        <v>OUAQERROUCH Nour-El Houda</v>
      </c>
      <c r="Z211" s="12" t="str">
        <f>IFERROR(VLOOKUP(B211,Annuaire_roster!B:F,3,0),"-")</f>
        <v>Google Leads</v>
      </c>
      <c r="AA211" s="12" t="str">
        <f>IFERROR(VLOOKUP(B211,Annuaire_roster!B:I,6,0),"-")</f>
        <v>Forfaitaire</v>
      </c>
      <c r="AB211" s="142" t="str">
        <f t="shared" si="92"/>
        <v/>
      </c>
      <c r="AC211" s="142" t="str">
        <f t="shared" si="93"/>
        <v/>
      </c>
      <c r="AD211" s="142" t="str">
        <f t="shared" si="94"/>
        <v/>
      </c>
      <c r="AE211" s="143" t="str">
        <f t="shared" si="95"/>
        <v/>
      </c>
      <c r="AF211" s="63"/>
      <c r="AG211" s="10"/>
    </row>
    <row r="212" spans="1:33" hidden="1" x14ac:dyDescent="0.2">
      <c r="A212" s="70">
        <f>VLOOKUP(B212,Annuaire_roster!B:F,5,0)</f>
        <v>1165</v>
      </c>
      <c r="B212" s="166" t="s">
        <v>120</v>
      </c>
      <c r="C212" s="61"/>
      <c r="D212" s="61" t="str">
        <f t="array" ref="D212">IFERROR(INDEX(Planning2[],MATCH(1,(Planning2[Nom]=B212)*(Planning2[Date]=Q212),0),3),"-")</f>
        <v>OFF</v>
      </c>
      <c r="E212" s="38"/>
      <c r="F212" s="38" t="str">
        <f t="array" ref="F212">IFERROR(INDEX(Planning2[],MATCH(1,(Planning2[Nom]=B212)*(Planning2[Date]=Q212),0),4),"-")</f>
        <v>OFF</v>
      </c>
      <c r="G212" s="88"/>
      <c r="H212" s="88"/>
      <c r="I212" s="209" t="str">
        <f t="shared" si="80"/>
        <v/>
      </c>
      <c r="J212" s="23"/>
      <c r="K212" s="89">
        <f t="shared" si="81"/>
        <v>0</v>
      </c>
      <c r="L212" s="88">
        <f t="shared" si="82"/>
        <v>0</v>
      </c>
      <c r="M212" s="62">
        <f t="shared" si="83"/>
        <v>0</v>
      </c>
      <c r="N212" s="102" t="str">
        <f t="shared" si="84"/>
        <v/>
      </c>
      <c r="O212" s="90">
        <f t="shared" si="85"/>
        <v>0</v>
      </c>
      <c r="P212" s="91" t="str">
        <f>IFERROR(VLOOKUP($B212,Annuaire_roster!$B:$G,MATCH(P$1,Annuaire_roster!$B$1:$G$1,0),0),"-")</f>
        <v>Google Leads</v>
      </c>
      <c r="Q212" s="100">
        <v>44723</v>
      </c>
      <c r="R212" s="10">
        <f t="shared" si="86"/>
        <v>0</v>
      </c>
      <c r="S212" s="10">
        <f t="shared" si="87"/>
        <v>0</v>
      </c>
      <c r="T212" s="16" t="str">
        <f t="shared" si="88"/>
        <v>Sem - 24</v>
      </c>
      <c r="U212" s="16" t="str">
        <f t="shared" si="89"/>
        <v>Juin</v>
      </c>
      <c r="V212" s="11" t="str">
        <f t="shared" si="90"/>
        <v>2026</v>
      </c>
      <c r="W212" s="9"/>
      <c r="X212" s="5">
        <f t="shared" si="91"/>
        <v>0</v>
      </c>
      <c r="Y212" s="12" t="str">
        <f>IFERROR(VLOOKUP(B212,Annuaire_roster!B:E,4,0),"-")</f>
        <v>OUAQERROUCH Nour-El Houda</v>
      </c>
      <c r="Z212" s="12" t="str">
        <f>IFERROR(VLOOKUP(B212,Annuaire_roster!B:F,3,0),"-")</f>
        <v>Google Leads</v>
      </c>
      <c r="AA212" s="12" t="str">
        <f>IFERROR(VLOOKUP(B212,Annuaire_roster!B:I,6,0),"-")</f>
        <v>Forfaitaire</v>
      </c>
      <c r="AB212" s="142" t="str">
        <f t="shared" si="92"/>
        <v/>
      </c>
      <c r="AC212" s="142" t="str">
        <f t="shared" si="93"/>
        <v/>
      </c>
      <c r="AD212" s="142" t="str">
        <f t="shared" si="94"/>
        <v/>
      </c>
      <c r="AE212" s="143" t="str">
        <f t="shared" si="95"/>
        <v/>
      </c>
      <c r="AF212" s="63"/>
      <c r="AG212" s="10"/>
    </row>
    <row r="213" spans="1:33" hidden="1" x14ac:dyDescent="0.2">
      <c r="A213" s="70">
        <f>VLOOKUP(B213,Annuaire_roster!B:F,5,0)</f>
        <v>0</v>
      </c>
      <c r="B213" s="166" t="s">
        <v>144</v>
      </c>
      <c r="C213" s="61"/>
      <c r="D213" s="61" t="str">
        <f t="array" ref="D213">IFERROR(INDEX(Planning2[],MATCH(1,(Planning2[Nom]=B213)*(Planning2[Date]=Q213),0),3),"-")</f>
        <v>OFF</v>
      </c>
      <c r="E213" s="38"/>
      <c r="F213" s="38" t="str">
        <f t="array" ref="F213">IFERROR(INDEX(Planning2[],MATCH(1,(Planning2[Nom]=B213)*(Planning2[Date]=Q213),0),4),"-")</f>
        <v>OFF</v>
      </c>
      <c r="G213" s="88"/>
      <c r="H213" s="88"/>
      <c r="I213" s="209" t="str">
        <f t="shared" si="80"/>
        <v/>
      </c>
      <c r="J213" s="23"/>
      <c r="K213" s="89">
        <f t="shared" si="81"/>
        <v>0</v>
      </c>
      <c r="L213" s="88">
        <f t="shared" si="82"/>
        <v>0</v>
      </c>
      <c r="M213" s="62">
        <f t="shared" si="83"/>
        <v>0</v>
      </c>
      <c r="N213" s="102" t="str">
        <f t="shared" si="84"/>
        <v/>
      </c>
      <c r="O213" s="90">
        <f t="shared" si="85"/>
        <v>0</v>
      </c>
      <c r="P213" s="91" t="str">
        <f>IFERROR(VLOOKUP($B213,Annuaire_roster!$B:$G,MATCH(P$1,Annuaire_roster!$B$1:$G$1,0),0),"-")</f>
        <v>Google Leads</v>
      </c>
      <c r="Q213" s="100">
        <v>44723</v>
      </c>
      <c r="R213" s="10">
        <f t="shared" si="86"/>
        <v>0</v>
      </c>
      <c r="S213" s="10">
        <f t="shared" si="87"/>
        <v>0</v>
      </c>
      <c r="T213" s="16" t="str">
        <f t="shared" si="88"/>
        <v>Sem - 24</v>
      </c>
      <c r="U213" s="16" t="str">
        <f t="shared" si="89"/>
        <v>Juin</v>
      </c>
      <c r="V213" s="11" t="str">
        <f t="shared" si="90"/>
        <v>2026</v>
      </c>
      <c r="W213" s="9"/>
      <c r="X213" s="5">
        <f t="shared" si="91"/>
        <v>0</v>
      </c>
      <c r="Y213" s="12" t="str">
        <f>IFERROR(VLOOKUP(B213,Annuaire_roster!B:E,4,0),"-")</f>
        <v>CHOUIFI Mustapha</v>
      </c>
      <c r="Z213" s="12" t="str">
        <f>IFERROR(VLOOKUP(B213,Annuaire_roster!B:F,3,0),"-")</f>
        <v>Google Leads</v>
      </c>
      <c r="AA213" s="12" t="str">
        <f>IFERROR(VLOOKUP(B213,Annuaire_roster!B:I,6,0),"-")</f>
        <v>Forfaitaire</v>
      </c>
      <c r="AB213" s="142" t="str">
        <f t="shared" si="92"/>
        <v/>
      </c>
      <c r="AC213" s="142" t="str">
        <f t="shared" si="93"/>
        <v/>
      </c>
      <c r="AD213" s="142" t="str">
        <f t="shared" si="94"/>
        <v/>
      </c>
      <c r="AE213" s="143" t="str">
        <f t="shared" si="95"/>
        <v/>
      </c>
      <c r="AF213" s="63"/>
      <c r="AG213" s="10"/>
    </row>
    <row r="214" spans="1:33" hidden="1" x14ac:dyDescent="0.2">
      <c r="A214" s="70">
        <f>VLOOKUP(B214,Annuaire_roster!B:F,5,0)</f>
        <v>0</v>
      </c>
      <c r="B214" s="166" t="s">
        <v>196</v>
      </c>
      <c r="C214" s="61"/>
      <c r="D214" s="61" t="str">
        <f t="array" ref="D214">IFERROR(INDEX(Planning2[],MATCH(1,(Planning2[Nom]=B214)*(Planning2[Date]=Q214),0),3),"-")</f>
        <v>OFF</v>
      </c>
      <c r="E214" s="38"/>
      <c r="F214" s="38" t="str">
        <f t="array" ref="F214">IFERROR(INDEX(Planning2[],MATCH(1,(Planning2[Nom]=B214)*(Planning2[Date]=Q214),0),4),"-")</f>
        <v>OFF</v>
      </c>
      <c r="G214" s="88"/>
      <c r="H214" s="88"/>
      <c r="I214" s="209" t="str">
        <f t="shared" si="80"/>
        <v/>
      </c>
      <c r="J214" s="23"/>
      <c r="K214" s="89">
        <f t="shared" si="81"/>
        <v>0</v>
      </c>
      <c r="L214" s="88">
        <f t="shared" si="82"/>
        <v>0</v>
      </c>
      <c r="M214" s="62">
        <f t="shared" si="83"/>
        <v>0</v>
      </c>
      <c r="N214" s="102" t="str">
        <f t="shared" si="84"/>
        <v/>
      </c>
      <c r="O214" s="90">
        <f t="shared" si="85"/>
        <v>0</v>
      </c>
      <c r="P214" s="91" t="str">
        <f>IFERROR(VLOOKUP($B214,Annuaire_roster!$B:$G,MATCH(P$1,Annuaire_roster!$B$1:$G$1,0),0),"-")</f>
        <v>Google Leads</v>
      </c>
      <c r="Q214" s="100">
        <v>44723</v>
      </c>
      <c r="R214" s="10">
        <f t="shared" si="86"/>
        <v>0</v>
      </c>
      <c r="S214" s="10">
        <f t="shared" si="87"/>
        <v>0</v>
      </c>
      <c r="T214" s="16" t="str">
        <f t="shared" si="88"/>
        <v>Sem - 24</v>
      </c>
      <c r="U214" s="16" t="str">
        <f t="shared" si="89"/>
        <v>Juin</v>
      </c>
      <c r="V214" s="11" t="str">
        <f t="shared" si="90"/>
        <v>2026</v>
      </c>
      <c r="W214" s="9"/>
      <c r="X214" s="5">
        <f t="shared" si="91"/>
        <v>0</v>
      </c>
      <c r="Y214" s="12">
        <f>IFERROR(VLOOKUP(B214,Annuaire_roster!B:E,4,0),"-")</f>
        <v>0</v>
      </c>
      <c r="Z214" s="12" t="str">
        <f>IFERROR(VLOOKUP(B214,Annuaire_roster!B:F,3,0),"-")</f>
        <v>Google Leads</v>
      </c>
      <c r="AA214" s="12">
        <f>IFERROR(VLOOKUP(B214,Annuaire_roster!B:I,6,0),"-")</f>
        <v>0</v>
      </c>
      <c r="AB214" s="142" t="str">
        <f t="shared" si="92"/>
        <v/>
      </c>
      <c r="AC214" s="142" t="str">
        <f t="shared" si="93"/>
        <v/>
      </c>
      <c r="AD214" s="142" t="str">
        <f t="shared" si="94"/>
        <v/>
      </c>
      <c r="AE214" s="143" t="str">
        <f t="shared" si="95"/>
        <v/>
      </c>
      <c r="AF214" s="63"/>
      <c r="AG214" s="10"/>
    </row>
    <row r="215" spans="1:33" hidden="1" x14ac:dyDescent="0.2">
      <c r="A215" s="70">
        <f>VLOOKUP(B215,Annuaire_roster!B:F,5,0)</f>
        <v>0</v>
      </c>
      <c r="B215" s="166" t="s">
        <v>197</v>
      </c>
      <c r="C215" s="61"/>
      <c r="D215" s="61" t="str">
        <f t="array" ref="D215">IFERROR(INDEX(Planning2[],MATCH(1,(Planning2[Nom]=B215)*(Planning2[Date]=Q215),0),3),"-")</f>
        <v>OFF</v>
      </c>
      <c r="E215" s="38"/>
      <c r="F215" s="38" t="str">
        <f t="array" ref="F215">IFERROR(INDEX(Planning2[],MATCH(1,(Planning2[Nom]=B215)*(Planning2[Date]=Q215),0),4),"-")</f>
        <v>OFF</v>
      </c>
      <c r="G215" s="88"/>
      <c r="H215" s="88"/>
      <c r="I215" s="209" t="str">
        <f t="shared" ref="I215:I225" si="96">IF(IF(OR(C215="",D215="Congé",D215="OFF",D215="Congé spécial"),"",IF(D215&gt;F215,D215-C215,IF(C215-D215&lt;0,0,C215-D215)))&lt;0.00068287037037037,"",IF(OR(D215="Congé",D215="OFF",C215="",D215="Congé spécial"),"",IF(D215&gt;F215,D215-C215,IF(C215-D215&lt;0,0,C215-D215))))</f>
        <v/>
      </c>
      <c r="J215" s="23"/>
      <c r="K215" s="89">
        <f t="shared" ref="K215:K225" si="97">IF(SUM(H215:J215)&lt;0.00068287037037037,0,SUM(H215:J215))</f>
        <v>0</v>
      </c>
      <c r="L215" s="88">
        <f t="shared" si="82"/>
        <v>0</v>
      </c>
      <c r="M215" s="62">
        <f t="shared" ref="M215:M225" si="98">IF(AND(O215&lt;&gt;0,C215=""),"Abs",0)</f>
        <v>0</v>
      </c>
      <c r="N215" s="102" t="str">
        <f t="shared" ref="N215:N225" si="99">IFERROR(IF(OR(D215="OFF",D215="Congé",M215="Abs",D215="Congé sans solde",D215="Férié"),"",IF(O215-K215-L215&gt;O215,O215,IF(O215-K215-L215&lt;0,"",O215-K215-L215))),"")</f>
        <v/>
      </c>
      <c r="O215" s="90">
        <f t="shared" ref="O215:O225" si="100">IF(AG215="2H Pause déjeuner",IF(F215-D215-0.0833333333333333&lt;0,F215-D215-0.0833333333333333+1,F215-D215-0.0833333333333333),IF(OR(AND(F215="OFF",D215="OFF"),AND(F215="Congé",D215="Congé"),AND(F215="Congé sans solde",D215="Congé sans solde"),AND(F215="Congé spécial",D215="Congé spécial"),AND(F215="Férié",D215="Férié"),AND(F215="OFF",D215="Congé"),AND(F215="OFF",D215="Congé sans solde"),AND(F215="OFF",D215="Congé spécial"),AND(F215="OFF",D215="Férié"),AND(F215="Congé",D215="OFF"),AND(F215="Congé",D215="Congé sans solde"),AND(F215="Congé",D215="Congé spécial"),AND(F215="Congé",D215="Férié"),AND(F215="Congé sans solde",D215="OFF"),AND(F215="Congé sans solde",D215="Congé"),AND(F215="Congé sans solde",D215="Congé spécial"),AND(F215="Congé sans solde",D215="Férié"),AND(F215="Congé spécial",D215="OFF"),AND(F215="Congé spécial",D215="Congé"),AND(F215="Congé spécial",D215="Congé sans solde"),AND(F215="Congé spécial",D215="Férié"),AND(F215="Férié",D215="OFF"),AND(F215="Férié",D215="Congé"),AND(F215="Férié",D215="Congé sans solde"),AND(F215="Férié",D215="Congé spécial")),0,IF(OR(F215="OFF",F215="Congé",F215="Congé spécial",F215="Congé sans solde",D215="OFF",D215="Congé",D215="Congé spécial",D215="Congé sans solde"),0.208333333333334,IF(AND(AG215="",F215-D215&lt;0),("24:00:00"-D215)+("00:00:00"+F215)-0.0416666666666667,IF(AND(OR(AG215="Allaitement",AG215="Sans déjeuner"),F215-D215&lt;0),("24:00:00"-D215)+("00:00:00"+F215),IF(AND(AG215="",F215-D215&gt;0.166666666666667),F215-D215-0.0416666666666667,IF(AND(OR(AG215="Allaitement",AG215="Sans déjeuner"),F215-D215&gt;0.166666666666667),F215-D215,F215-D215)))))))</f>
        <v>0</v>
      </c>
      <c r="P215" s="91" t="str">
        <f>IFERROR(VLOOKUP($B215,Annuaire_roster!$B:$G,MATCH(P$1,Annuaire_roster!$B$1:$G$1,0),0),"-")</f>
        <v>Google Leads</v>
      </c>
      <c r="Q215" s="100">
        <v>44723</v>
      </c>
      <c r="R215" s="10">
        <f t="shared" ref="R215:R225" si="101">IF(M215="Abs",O215,0)</f>
        <v>0</v>
      </c>
      <c r="S215" s="10">
        <f t="shared" ref="S215:S225" si="102">SUM(R215,L215,I215,J215,W215,H215)</f>
        <v>0</v>
      </c>
      <c r="T215" s="16" t="str">
        <f t="shared" ref="T215:T225" si="103">"Sem - "&amp;WEEKNUM(Q215,21)</f>
        <v>Sem - 24</v>
      </c>
      <c r="U215" s="16" t="str">
        <f t="shared" ref="U215:U225" si="104">PROPER(TEXT(Q215,"mmmm"))</f>
        <v>Juin</v>
      </c>
      <c r="V215" s="11" t="str">
        <f t="shared" ref="V215:V225" si="105">+TEXT(Q215,"aaa")</f>
        <v>2026</v>
      </c>
      <c r="W215" s="9"/>
      <c r="X215" s="5">
        <f t="shared" ref="X215:X225" si="106">IFERROR(IF(M215="Abs",0,IF((D215-C215+E215-F215)&lt;0.000694444444444444,0,(D215-C215+E215-F215))),0)</f>
        <v>0</v>
      </c>
      <c r="Y215" s="12">
        <f>IFERROR(VLOOKUP(B215,Annuaire_roster!B:E,4,0),"-")</f>
        <v>0</v>
      </c>
      <c r="Z215" s="12" t="str">
        <f>IFERROR(VLOOKUP(B215,Annuaire_roster!B:F,3,0),"-")</f>
        <v>Google Leads</v>
      </c>
      <c r="AA215" s="12">
        <f>IFERROR(VLOOKUP(B215,Annuaire_roster!B:I,6,0),"-")</f>
        <v>0</v>
      </c>
      <c r="AB215" s="142" t="str">
        <f t="shared" ref="AB215:AB225" si="107">IF(AND(D215="Congé",F215="Congé"),0.333333333333333,IF(OR(AND(D215="Congé",F215&lt;&gt;"Congé"),(AND(F215="Congé",D215&lt;&gt;"Congé"))),0.166666666666667,""))</f>
        <v/>
      </c>
      <c r="AC215" s="142" t="str">
        <f t="shared" ref="AC215:AC225" si="108">IF(AND(D215="Congé sans solde",F215="Congé sans solde"),0.333333333333333,IF(OR(AND(D215="Congé sans solde",F215&lt;&gt;"Congé sans solde"),(AND(F215="Congé sans solde",D215&lt;&gt;"Congé sans solde"))),0.166666666666667,""))</f>
        <v/>
      </c>
      <c r="AD215" s="142" t="str">
        <f t="shared" ref="AD215:AD225" si="109">IF(AND(D215="Congé spécial",F215="Congé spécial"),0.333333333333333,IF(OR(AND(D215="Congé spécial",F215&lt;&gt;"Congé décès"),(AND(F215="Congé spécial",D215&lt;&gt;"Congé spécial"))),0.166666666666667,""))</f>
        <v/>
      </c>
      <c r="AE215" s="143" t="str">
        <f t="shared" ref="AE215:AE225" si="110">IF(AND(D215="Férié",F215="Férié"),0.333333333333333,IF(OR(AND(D215="Férié",F215&lt;&gt;"Férié"),(AND(F215="Férié",D215&lt;&gt;"Férié"))),0.166666666666667,""))</f>
        <v/>
      </c>
      <c r="AF215" s="63"/>
      <c r="AG215" s="10"/>
    </row>
    <row r="216" spans="1:33" hidden="1" x14ac:dyDescent="0.2">
      <c r="A216" s="70">
        <f>VLOOKUP(B216,Annuaire_roster!B:F,5,0)</f>
        <v>0</v>
      </c>
      <c r="B216" s="166" t="s">
        <v>198</v>
      </c>
      <c r="C216" s="61"/>
      <c r="D216" s="61" t="str">
        <f t="array" ref="D216">IFERROR(INDEX(Planning2[],MATCH(1,(Planning2[Nom]=B216)*(Planning2[Date]=Q216),0),3),"-")</f>
        <v>OFF</v>
      </c>
      <c r="E216" s="38"/>
      <c r="F216" s="38" t="str">
        <f t="array" ref="F216">IFERROR(INDEX(Planning2[],MATCH(1,(Planning2[Nom]=B216)*(Planning2[Date]=Q216),0),4),"-")</f>
        <v>OFF</v>
      </c>
      <c r="G216" s="88"/>
      <c r="H216" s="88"/>
      <c r="I216" s="209" t="str">
        <f t="shared" si="96"/>
        <v/>
      </c>
      <c r="J216" s="23"/>
      <c r="K216" s="89">
        <f t="shared" si="97"/>
        <v>0</v>
      </c>
      <c r="L216" s="88">
        <f t="shared" si="82"/>
        <v>0</v>
      </c>
      <c r="M216" s="62">
        <f t="shared" si="98"/>
        <v>0</v>
      </c>
      <c r="N216" s="102" t="str">
        <f t="shared" si="99"/>
        <v/>
      </c>
      <c r="O216" s="90">
        <f t="shared" si="100"/>
        <v>0</v>
      </c>
      <c r="P216" s="91" t="str">
        <f>IFERROR(VLOOKUP($B216,Annuaire_roster!$B:$G,MATCH(P$1,Annuaire_roster!$B$1:$G$1,0),0),"-")</f>
        <v>Google Leads</v>
      </c>
      <c r="Q216" s="100">
        <v>44723</v>
      </c>
      <c r="R216" s="10">
        <f t="shared" si="101"/>
        <v>0</v>
      </c>
      <c r="S216" s="10">
        <f t="shared" si="102"/>
        <v>0</v>
      </c>
      <c r="T216" s="16" t="str">
        <f t="shared" si="103"/>
        <v>Sem - 24</v>
      </c>
      <c r="U216" s="16" t="str">
        <f t="shared" si="104"/>
        <v>Juin</v>
      </c>
      <c r="V216" s="11" t="str">
        <f t="shared" si="105"/>
        <v>2026</v>
      </c>
      <c r="W216" s="9"/>
      <c r="X216" s="5">
        <f t="shared" si="106"/>
        <v>0</v>
      </c>
      <c r="Y216" s="12">
        <f>IFERROR(VLOOKUP(B216,Annuaire_roster!B:E,4,0),"-")</f>
        <v>0</v>
      </c>
      <c r="Z216" s="12" t="str">
        <f>IFERROR(VLOOKUP(B216,Annuaire_roster!B:F,3,0),"-")</f>
        <v>Google Leads</v>
      </c>
      <c r="AA216" s="12">
        <f>IFERROR(VLOOKUP(B216,Annuaire_roster!B:I,6,0),"-")</f>
        <v>0</v>
      </c>
      <c r="AB216" s="142" t="str">
        <f t="shared" si="107"/>
        <v/>
      </c>
      <c r="AC216" s="142" t="str">
        <f t="shared" si="108"/>
        <v/>
      </c>
      <c r="AD216" s="142" t="str">
        <f t="shared" si="109"/>
        <v/>
      </c>
      <c r="AE216" s="143" t="str">
        <f t="shared" si="110"/>
        <v/>
      </c>
      <c r="AF216" s="63"/>
      <c r="AG216" s="10"/>
    </row>
    <row r="217" spans="1:33" hidden="1" x14ac:dyDescent="0.2">
      <c r="A217" s="70">
        <f>VLOOKUP(B217,Annuaire_roster!B:F,5,0)</f>
        <v>0</v>
      </c>
      <c r="B217" s="166" t="s">
        <v>209</v>
      </c>
      <c r="C217" s="61"/>
      <c r="D217" s="61" t="str">
        <f t="array" ref="D217">IFERROR(INDEX(Planning2[],MATCH(1,(Planning2[Nom]=B217)*(Planning2[Date]=Q217),0),3),"-")</f>
        <v>OFF</v>
      </c>
      <c r="E217" s="38"/>
      <c r="F217" s="38" t="str">
        <f t="array" ref="F217">IFERROR(INDEX(Planning2[],MATCH(1,(Planning2[Nom]=B217)*(Planning2[Date]=Q217),0),4),"-")</f>
        <v>OFF</v>
      </c>
      <c r="G217" s="88"/>
      <c r="H217" s="88"/>
      <c r="I217" s="209" t="str">
        <f t="shared" si="96"/>
        <v/>
      </c>
      <c r="J217" s="23"/>
      <c r="K217" s="89">
        <f t="shared" si="97"/>
        <v>0</v>
      </c>
      <c r="L217" s="88">
        <f t="shared" si="82"/>
        <v>0</v>
      </c>
      <c r="M217" s="62">
        <f t="shared" si="98"/>
        <v>0</v>
      </c>
      <c r="N217" s="102" t="str">
        <f t="shared" si="99"/>
        <v/>
      </c>
      <c r="O217" s="90">
        <f t="shared" si="100"/>
        <v>0</v>
      </c>
      <c r="P217" s="91" t="str">
        <f>IFERROR(VLOOKUP($B217,Annuaire_roster!$B:$G,MATCH(P$1,Annuaire_roster!$B$1:$G$1,0),0),"-")</f>
        <v>Google Leads</v>
      </c>
      <c r="Q217" s="100">
        <v>44723</v>
      </c>
      <c r="R217" s="10">
        <f t="shared" si="101"/>
        <v>0</v>
      </c>
      <c r="S217" s="10">
        <f t="shared" si="102"/>
        <v>0</v>
      </c>
      <c r="T217" s="16" t="str">
        <f t="shared" si="103"/>
        <v>Sem - 24</v>
      </c>
      <c r="U217" s="16" t="str">
        <f t="shared" si="104"/>
        <v>Juin</v>
      </c>
      <c r="V217" s="11" t="str">
        <f t="shared" si="105"/>
        <v>2026</v>
      </c>
      <c r="W217" s="9"/>
      <c r="X217" s="5">
        <f t="shared" si="106"/>
        <v>0</v>
      </c>
      <c r="Y217" s="12">
        <f>IFERROR(VLOOKUP(B217,Annuaire_roster!B:E,4,0),"-")</f>
        <v>0</v>
      </c>
      <c r="Z217" s="12" t="str">
        <f>IFERROR(VLOOKUP(B217,Annuaire_roster!B:F,3,0),"-")</f>
        <v>Google Leads</v>
      </c>
      <c r="AA217" s="12">
        <f>IFERROR(VLOOKUP(B217,Annuaire_roster!B:I,6,0),"-")</f>
        <v>0</v>
      </c>
      <c r="AB217" s="142" t="str">
        <f t="shared" si="107"/>
        <v/>
      </c>
      <c r="AC217" s="142" t="str">
        <f t="shared" si="108"/>
        <v/>
      </c>
      <c r="AD217" s="142" t="str">
        <f t="shared" si="109"/>
        <v/>
      </c>
      <c r="AE217" s="143" t="str">
        <f t="shared" si="110"/>
        <v/>
      </c>
      <c r="AF217" s="63"/>
      <c r="AG217" s="10"/>
    </row>
    <row r="218" spans="1:33" hidden="1" x14ac:dyDescent="0.2">
      <c r="A218" s="70">
        <f>VLOOKUP(B218,Annuaire_roster!B:F,5,0)</f>
        <v>0</v>
      </c>
      <c r="B218" s="166" t="s">
        <v>210</v>
      </c>
      <c r="C218" s="61"/>
      <c r="D218" s="61" t="str">
        <f t="array" ref="D218">IFERROR(INDEX(Planning2[],MATCH(1,(Planning2[Nom]=B218)*(Planning2[Date]=Q218),0),3),"-")</f>
        <v>OFF</v>
      </c>
      <c r="E218" s="38"/>
      <c r="F218" s="38" t="str">
        <f t="array" ref="F218">IFERROR(INDEX(Planning2[],MATCH(1,(Planning2[Nom]=B218)*(Planning2[Date]=Q218),0),4),"-")</f>
        <v>OFF</v>
      </c>
      <c r="G218" s="88"/>
      <c r="H218" s="88"/>
      <c r="I218" s="209" t="str">
        <f t="shared" si="96"/>
        <v/>
      </c>
      <c r="J218" s="23"/>
      <c r="K218" s="89">
        <f t="shared" si="97"/>
        <v>0</v>
      </c>
      <c r="L218" s="88">
        <f t="shared" si="82"/>
        <v>0</v>
      </c>
      <c r="M218" s="62">
        <f t="shared" si="98"/>
        <v>0</v>
      </c>
      <c r="N218" s="102" t="str">
        <f t="shared" si="99"/>
        <v/>
      </c>
      <c r="O218" s="90">
        <f t="shared" si="100"/>
        <v>0</v>
      </c>
      <c r="P218" s="91" t="str">
        <f>IFERROR(VLOOKUP($B218,Annuaire_roster!$B:$G,MATCH(P$1,Annuaire_roster!$B$1:$G$1,0),0),"-")</f>
        <v>Google Leads</v>
      </c>
      <c r="Q218" s="100">
        <v>44723</v>
      </c>
      <c r="R218" s="10">
        <f t="shared" si="101"/>
        <v>0</v>
      </c>
      <c r="S218" s="10">
        <f t="shared" si="102"/>
        <v>0</v>
      </c>
      <c r="T218" s="16" t="str">
        <f t="shared" si="103"/>
        <v>Sem - 24</v>
      </c>
      <c r="U218" s="16" t="str">
        <f t="shared" si="104"/>
        <v>Juin</v>
      </c>
      <c r="V218" s="11" t="str">
        <f t="shared" si="105"/>
        <v>2026</v>
      </c>
      <c r="W218" s="9"/>
      <c r="X218" s="5">
        <f t="shared" si="106"/>
        <v>0</v>
      </c>
      <c r="Y218" s="12">
        <f>IFERROR(VLOOKUP(B218,Annuaire_roster!B:E,4,0),"-")</f>
        <v>0</v>
      </c>
      <c r="Z218" s="12" t="str">
        <f>IFERROR(VLOOKUP(B218,Annuaire_roster!B:F,3,0),"-")</f>
        <v>Google Leads</v>
      </c>
      <c r="AA218" s="12">
        <f>IFERROR(VLOOKUP(B218,Annuaire_roster!B:I,6,0),"-")</f>
        <v>0</v>
      </c>
      <c r="AB218" s="142" t="str">
        <f t="shared" si="107"/>
        <v/>
      </c>
      <c r="AC218" s="142" t="str">
        <f t="shared" si="108"/>
        <v/>
      </c>
      <c r="AD218" s="142" t="str">
        <f t="shared" si="109"/>
        <v/>
      </c>
      <c r="AE218" s="143" t="str">
        <f t="shared" si="110"/>
        <v/>
      </c>
      <c r="AF218" s="63"/>
      <c r="AG218" s="10"/>
    </row>
    <row r="219" spans="1:33" hidden="1" x14ac:dyDescent="0.2">
      <c r="A219" s="70">
        <f>VLOOKUP(B219,Annuaire_roster!B:F,5,0)</f>
        <v>0</v>
      </c>
      <c r="B219" s="166" t="s">
        <v>212</v>
      </c>
      <c r="C219" s="61"/>
      <c r="D219" s="61">
        <f t="array" ref="D219">IFERROR(INDEX(Planning2[],MATCH(1,(Planning2[Nom]=B219)*(Planning2[Date]=Q219),0),3),"-")</f>
        <v>0.29166666666666669</v>
      </c>
      <c r="E219" s="38"/>
      <c r="F219" s="38">
        <f t="array" ref="F219">IFERROR(INDEX(Planning2[],MATCH(1,(Planning2[Nom]=B219)*(Planning2[Date]=Q219),0),4),"-")</f>
        <v>0.70833333333333337</v>
      </c>
      <c r="G219" s="88"/>
      <c r="H219" s="88"/>
      <c r="I219" s="209" t="str">
        <f t="shared" si="96"/>
        <v/>
      </c>
      <c r="J219" s="23"/>
      <c r="K219" s="89">
        <f t="shared" si="97"/>
        <v>0</v>
      </c>
      <c r="L219" s="88">
        <f t="shared" si="82"/>
        <v>0</v>
      </c>
      <c r="M219" s="62" t="str">
        <f t="shared" si="98"/>
        <v>Abs</v>
      </c>
      <c r="N219" s="102" t="str">
        <f t="shared" si="99"/>
        <v/>
      </c>
      <c r="O219" s="90">
        <f t="shared" si="100"/>
        <v>0.375</v>
      </c>
      <c r="P219" s="91" t="str">
        <f>IFERROR(VLOOKUP($B219,Annuaire_roster!$B:$G,MATCH(P$1,Annuaire_roster!$B$1:$G$1,0),0),"-")</f>
        <v>Google Leads</v>
      </c>
      <c r="Q219" s="100">
        <v>44723</v>
      </c>
      <c r="R219" s="10">
        <f t="shared" si="101"/>
        <v>0.375</v>
      </c>
      <c r="S219" s="10">
        <f t="shared" si="102"/>
        <v>0.375</v>
      </c>
      <c r="T219" s="16" t="str">
        <f t="shared" si="103"/>
        <v>Sem - 24</v>
      </c>
      <c r="U219" s="16" t="str">
        <f t="shared" si="104"/>
        <v>Juin</v>
      </c>
      <c r="V219" s="11" t="str">
        <f t="shared" si="105"/>
        <v>2026</v>
      </c>
      <c r="W219" s="9"/>
      <c r="X219" s="5">
        <f t="shared" si="106"/>
        <v>0</v>
      </c>
      <c r="Y219" s="12">
        <f>IFERROR(VLOOKUP(B219,Annuaire_roster!B:E,4,0),"-")</f>
        <v>0</v>
      </c>
      <c r="Z219" s="12" t="str">
        <f>IFERROR(VLOOKUP(B219,Annuaire_roster!B:F,3,0),"-")</f>
        <v>Google Leads</v>
      </c>
      <c r="AA219" s="12">
        <f>IFERROR(VLOOKUP(B219,Annuaire_roster!B:I,6,0),"-")</f>
        <v>0</v>
      </c>
      <c r="AB219" s="142" t="str">
        <f t="shared" si="107"/>
        <v/>
      </c>
      <c r="AC219" s="142" t="str">
        <f t="shared" si="108"/>
        <v/>
      </c>
      <c r="AD219" s="142" t="str">
        <f t="shared" si="109"/>
        <v/>
      </c>
      <c r="AE219" s="143" t="str">
        <f t="shared" si="110"/>
        <v/>
      </c>
      <c r="AF219" s="63"/>
      <c r="AG219" s="10"/>
    </row>
    <row r="220" spans="1:33" hidden="1" x14ac:dyDescent="0.2">
      <c r="A220" s="70">
        <f>VLOOKUP(B220,Annuaire_roster!B:F,5,0)</f>
        <v>0</v>
      </c>
      <c r="B220" s="166" t="s">
        <v>216</v>
      </c>
      <c r="C220" s="61"/>
      <c r="D220" s="61" t="str">
        <f t="array" ref="D220">IFERROR(INDEX(Planning2[],MATCH(1,(Planning2[Nom]=B220)*(Planning2[Date]=Q220),0),3),"-")</f>
        <v>OFF</v>
      </c>
      <c r="E220" s="38"/>
      <c r="F220" s="38" t="str">
        <f t="array" ref="F220">IFERROR(INDEX(Planning2[],MATCH(1,(Planning2[Nom]=B220)*(Planning2[Date]=Q220),0),4),"-")</f>
        <v>OFF</v>
      </c>
      <c r="G220" s="88"/>
      <c r="H220" s="88"/>
      <c r="I220" s="209" t="str">
        <f t="shared" si="96"/>
        <v/>
      </c>
      <c r="J220" s="23"/>
      <c r="K220" s="89">
        <f t="shared" si="97"/>
        <v>0</v>
      </c>
      <c r="L220" s="88">
        <f t="shared" si="82"/>
        <v>0</v>
      </c>
      <c r="M220" s="62">
        <f t="shared" si="98"/>
        <v>0</v>
      </c>
      <c r="N220" s="102" t="str">
        <f t="shared" si="99"/>
        <v/>
      </c>
      <c r="O220" s="90">
        <f t="shared" si="100"/>
        <v>0</v>
      </c>
      <c r="P220" s="91" t="str">
        <f>IFERROR(VLOOKUP($B220,Annuaire_roster!$B:$G,MATCH(P$1,Annuaire_roster!$B$1:$G$1,0),0),"-")</f>
        <v>Google Leads</v>
      </c>
      <c r="Q220" s="100">
        <v>44723</v>
      </c>
      <c r="R220" s="10">
        <f t="shared" si="101"/>
        <v>0</v>
      </c>
      <c r="S220" s="10">
        <f t="shared" si="102"/>
        <v>0</v>
      </c>
      <c r="T220" s="16" t="str">
        <f t="shared" si="103"/>
        <v>Sem - 24</v>
      </c>
      <c r="U220" s="16" t="str">
        <f t="shared" si="104"/>
        <v>Juin</v>
      </c>
      <c r="V220" s="11" t="str">
        <f t="shared" si="105"/>
        <v>2026</v>
      </c>
      <c r="W220" s="9"/>
      <c r="X220" s="5">
        <f t="shared" si="106"/>
        <v>0</v>
      </c>
      <c r="Y220" s="12">
        <f>IFERROR(VLOOKUP(B220,Annuaire_roster!B:E,4,0),"-")</f>
        <v>0</v>
      </c>
      <c r="Z220" s="12" t="str">
        <f>IFERROR(VLOOKUP(B220,Annuaire_roster!B:F,3,0),"-")</f>
        <v>Google Leads</v>
      </c>
      <c r="AA220" s="12">
        <f>IFERROR(VLOOKUP(B220,Annuaire_roster!B:I,6,0),"-")</f>
        <v>0</v>
      </c>
      <c r="AB220" s="142" t="str">
        <f t="shared" si="107"/>
        <v/>
      </c>
      <c r="AC220" s="142" t="str">
        <f t="shared" si="108"/>
        <v/>
      </c>
      <c r="AD220" s="142" t="str">
        <f t="shared" si="109"/>
        <v/>
      </c>
      <c r="AE220" s="143" t="str">
        <f t="shared" si="110"/>
        <v/>
      </c>
      <c r="AF220" s="63"/>
      <c r="AG220" s="10"/>
    </row>
    <row r="221" spans="1:33" hidden="1" x14ac:dyDescent="0.2">
      <c r="A221" s="70">
        <f>VLOOKUP(B221,Annuaire_roster!B:F,5,0)</f>
        <v>0</v>
      </c>
      <c r="B221" s="166" t="s">
        <v>217</v>
      </c>
      <c r="C221" s="61"/>
      <c r="D221" s="61" t="str">
        <f t="array" ref="D221">IFERROR(INDEX(Planning2[],MATCH(1,(Planning2[Nom]=B221)*(Planning2[Date]=Q221),0),3),"-")</f>
        <v>OFF</v>
      </c>
      <c r="E221" s="38"/>
      <c r="F221" s="38" t="str">
        <f t="array" ref="F221">IFERROR(INDEX(Planning2[],MATCH(1,(Planning2[Nom]=B221)*(Planning2[Date]=Q221),0),4),"-")</f>
        <v>OFF</v>
      </c>
      <c r="G221" s="88"/>
      <c r="H221" s="88"/>
      <c r="I221" s="209" t="str">
        <f t="shared" si="96"/>
        <v/>
      </c>
      <c r="J221" s="23"/>
      <c r="K221" s="89">
        <f t="shared" si="97"/>
        <v>0</v>
      </c>
      <c r="L221" s="88">
        <f t="shared" si="82"/>
        <v>0</v>
      </c>
      <c r="M221" s="62">
        <f t="shared" si="98"/>
        <v>0</v>
      </c>
      <c r="N221" s="102" t="str">
        <f t="shared" si="99"/>
        <v/>
      </c>
      <c r="O221" s="90">
        <f t="shared" si="100"/>
        <v>0</v>
      </c>
      <c r="P221" s="91" t="str">
        <f>IFERROR(VLOOKUP($B221,Annuaire_roster!$B:$G,MATCH(P$1,Annuaire_roster!$B$1:$G$1,0),0),"-")</f>
        <v>Google Leads</v>
      </c>
      <c r="Q221" s="100">
        <v>44723</v>
      </c>
      <c r="R221" s="10">
        <f t="shared" si="101"/>
        <v>0</v>
      </c>
      <c r="S221" s="10">
        <f t="shared" si="102"/>
        <v>0</v>
      </c>
      <c r="T221" s="16" t="str">
        <f t="shared" si="103"/>
        <v>Sem - 24</v>
      </c>
      <c r="U221" s="16" t="str">
        <f t="shared" si="104"/>
        <v>Juin</v>
      </c>
      <c r="V221" s="11" t="str">
        <f t="shared" si="105"/>
        <v>2026</v>
      </c>
      <c r="W221" s="9"/>
      <c r="X221" s="5">
        <f t="shared" si="106"/>
        <v>0</v>
      </c>
      <c r="Y221" s="12">
        <f>IFERROR(VLOOKUP(B221,Annuaire_roster!B:E,4,0),"-")</f>
        <v>0</v>
      </c>
      <c r="Z221" s="12" t="str">
        <f>IFERROR(VLOOKUP(B221,Annuaire_roster!B:F,3,0),"-")</f>
        <v>Google Leads</v>
      </c>
      <c r="AA221" s="12">
        <f>IFERROR(VLOOKUP(B221,Annuaire_roster!B:I,6,0),"-")</f>
        <v>0</v>
      </c>
      <c r="AB221" s="142" t="str">
        <f t="shared" si="107"/>
        <v/>
      </c>
      <c r="AC221" s="142" t="str">
        <f t="shared" si="108"/>
        <v/>
      </c>
      <c r="AD221" s="142" t="str">
        <f t="shared" si="109"/>
        <v/>
      </c>
      <c r="AE221" s="143" t="str">
        <f t="shared" si="110"/>
        <v/>
      </c>
      <c r="AF221" s="63"/>
      <c r="AG221" s="10"/>
    </row>
    <row r="222" spans="1:33" hidden="1" x14ac:dyDescent="0.2">
      <c r="A222" s="70">
        <f>VLOOKUP(B222,Annuaire_roster!B:F,5,0)</f>
        <v>0</v>
      </c>
      <c r="B222" s="166" t="s">
        <v>219</v>
      </c>
      <c r="C222" s="61"/>
      <c r="D222" s="61" t="str">
        <f t="array" ref="D222">IFERROR(INDEX(Planning2[],MATCH(1,(Planning2[Nom]=B222)*(Planning2[Date]=Q222),0),3),"-")</f>
        <v>OFF</v>
      </c>
      <c r="E222" s="38"/>
      <c r="F222" s="38" t="str">
        <f t="array" ref="F222">IFERROR(INDEX(Planning2[],MATCH(1,(Planning2[Nom]=B222)*(Planning2[Date]=Q222),0),4),"-")</f>
        <v>OFF</v>
      </c>
      <c r="G222" s="88"/>
      <c r="H222" s="88"/>
      <c r="I222" s="209" t="str">
        <f t="shared" si="96"/>
        <v/>
      </c>
      <c r="J222" s="23"/>
      <c r="K222" s="89">
        <f t="shared" si="97"/>
        <v>0</v>
      </c>
      <c r="L222" s="88">
        <f t="shared" si="82"/>
        <v>0</v>
      </c>
      <c r="M222" s="62">
        <f t="shared" si="98"/>
        <v>0</v>
      </c>
      <c r="N222" s="102" t="str">
        <f t="shared" si="99"/>
        <v/>
      </c>
      <c r="O222" s="90">
        <f t="shared" si="100"/>
        <v>0</v>
      </c>
      <c r="P222" s="91" t="str">
        <f>IFERROR(VLOOKUP($B222,Annuaire_roster!$B:$G,MATCH(P$1,Annuaire_roster!$B$1:$G$1,0),0),"-")</f>
        <v>Google Leads</v>
      </c>
      <c r="Q222" s="100">
        <v>44723</v>
      </c>
      <c r="R222" s="10">
        <f t="shared" si="101"/>
        <v>0</v>
      </c>
      <c r="S222" s="10">
        <f t="shared" si="102"/>
        <v>0</v>
      </c>
      <c r="T222" s="16" t="str">
        <f t="shared" si="103"/>
        <v>Sem - 24</v>
      </c>
      <c r="U222" s="16" t="str">
        <f t="shared" si="104"/>
        <v>Juin</v>
      </c>
      <c r="V222" s="11" t="str">
        <f t="shared" si="105"/>
        <v>2026</v>
      </c>
      <c r="W222" s="9"/>
      <c r="X222" s="5">
        <f t="shared" si="106"/>
        <v>0</v>
      </c>
      <c r="Y222" s="12">
        <f>IFERROR(VLOOKUP(B222,Annuaire_roster!B:E,4,0),"-")</f>
        <v>0</v>
      </c>
      <c r="Z222" s="12" t="str">
        <f>IFERROR(VLOOKUP(B222,Annuaire_roster!B:F,3,0),"-")</f>
        <v>Google Leads</v>
      </c>
      <c r="AA222" s="12">
        <f>IFERROR(VLOOKUP(B222,Annuaire_roster!B:I,6,0),"-")</f>
        <v>0</v>
      </c>
      <c r="AB222" s="142" t="str">
        <f t="shared" si="107"/>
        <v/>
      </c>
      <c r="AC222" s="142" t="str">
        <f t="shared" si="108"/>
        <v/>
      </c>
      <c r="AD222" s="142" t="str">
        <f t="shared" si="109"/>
        <v/>
      </c>
      <c r="AE222" s="143" t="str">
        <f t="shared" si="110"/>
        <v/>
      </c>
      <c r="AF222" s="63"/>
      <c r="AG222" s="10"/>
    </row>
    <row r="223" spans="1:33" hidden="1" x14ac:dyDescent="0.2">
      <c r="A223" s="70">
        <f>VLOOKUP(B223,Annuaire_roster!B:F,5,0)</f>
        <v>0</v>
      </c>
      <c r="B223" s="166" t="s">
        <v>220</v>
      </c>
      <c r="C223" s="61"/>
      <c r="D223" s="61">
        <f t="array" ref="D223">IFERROR(INDEX(Planning2[],MATCH(1,(Planning2[Nom]=B223)*(Planning2[Date]=Q223),0),3),"-")</f>
        <v>0.29166666666666669</v>
      </c>
      <c r="E223" s="38"/>
      <c r="F223" s="38">
        <f t="array" ref="F223">IFERROR(INDEX(Planning2[],MATCH(1,(Planning2[Nom]=B223)*(Planning2[Date]=Q223),0),4),"-")</f>
        <v>0.66666666666666663</v>
      </c>
      <c r="G223" s="88"/>
      <c r="H223" s="88"/>
      <c r="I223" s="209" t="str">
        <f t="shared" si="96"/>
        <v/>
      </c>
      <c r="J223" s="23"/>
      <c r="K223" s="89">
        <f t="shared" si="97"/>
        <v>0</v>
      </c>
      <c r="L223" s="88">
        <f t="shared" si="82"/>
        <v>0</v>
      </c>
      <c r="M223" s="62" t="str">
        <f t="shared" si="98"/>
        <v>Abs</v>
      </c>
      <c r="N223" s="102" t="str">
        <f t="shared" si="99"/>
        <v/>
      </c>
      <c r="O223" s="90">
        <f t="shared" si="100"/>
        <v>0.33333333333333326</v>
      </c>
      <c r="P223" s="91" t="str">
        <f>IFERROR(VLOOKUP($B223,Annuaire_roster!$B:$G,MATCH(P$1,Annuaire_roster!$B$1:$G$1,0),0),"-")</f>
        <v>Google Leads</v>
      </c>
      <c r="Q223" s="100">
        <v>44723</v>
      </c>
      <c r="R223" s="10">
        <f t="shared" si="101"/>
        <v>0.33333333333333326</v>
      </c>
      <c r="S223" s="10">
        <f t="shared" si="102"/>
        <v>0.33333333333333326</v>
      </c>
      <c r="T223" s="16" t="str">
        <f t="shared" si="103"/>
        <v>Sem - 24</v>
      </c>
      <c r="U223" s="16" t="str">
        <f t="shared" si="104"/>
        <v>Juin</v>
      </c>
      <c r="V223" s="11" t="str">
        <f t="shared" si="105"/>
        <v>2026</v>
      </c>
      <c r="W223" s="9"/>
      <c r="X223" s="5">
        <f t="shared" si="106"/>
        <v>0</v>
      </c>
      <c r="Y223" s="12">
        <f>IFERROR(VLOOKUP(B223,Annuaire_roster!B:E,4,0),"-")</f>
        <v>0</v>
      </c>
      <c r="Z223" s="12" t="str">
        <f>IFERROR(VLOOKUP(B223,Annuaire_roster!B:F,3,0),"-")</f>
        <v>Google Leads</v>
      </c>
      <c r="AA223" s="12">
        <f>IFERROR(VLOOKUP(B223,Annuaire_roster!B:I,6,0),"-")</f>
        <v>0</v>
      </c>
      <c r="AB223" s="142" t="str">
        <f t="shared" si="107"/>
        <v/>
      </c>
      <c r="AC223" s="142" t="str">
        <f t="shared" si="108"/>
        <v/>
      </c>
      <c r="AD223" s="142" t="str">
        <f t="shared" si="109"/>
        <v/>
      </c>
      <c r="AE223" s="143" t="str">
        <f t="shared" si="110"/>
        <v/>
      </c>
      <c r="AF223" s="63"/>
      <c r="AG223" s="10"/>
    </row>
    <row r="224" spans="1:33" hidden="1" x14ac:dyDescent="0.2">
      <c r="A224" s="70">
        <f>VLOOKUP(B224,Annuaire_roster!B:F,5,0)</f>
        <v>0</v>
      </c>
      <c r="B224" s="166" t="s">
        <v>221</v>
      </c>
      <c r="C224" s="61"/>
      <c r="D224" s="61">
        <f t="array" ref="D224">IFERROR(INDEX(Planning2[],MATCH(1,(Planning2[Nom]=B224)*(Planning2[Date]=Q224),0),3),"-")</f>
        <v>0.41666666666666669</v>
      </c>
      <c r="E224" s="38"/>
      <c r="F224" s="38">
        <f t="array" ref="F224">IFERROR(INDEX(Planning2[],MATCH(1,(Planning2[Nom]=B224)*(Planning2[Date]=Q224),0),4),"-")</f>
        <v>0.83333333333333337</v>
      </c>
      <c r="G224" s="88"/>
      <c r="H224" s="88"/>
      <c r="I224" s="209" t="str">
        <f t="shared" si="96"/>
        <v/>
      </c>
      <c r="J224" s="23"/>
      <c r="K224" s="89">
        <f t="shared" si="97"/>
        <v>0</v>
      </c>
      <c r="L224" s="88">
        <f t="shared" si="82"/>
        <v>0</v>
      </c>
      <c r="M224" s="62" t="str">
        <f t="shared" si="98"/>
        <v>Abs</v>
      </c>
      <c r="N224" s="102" t="str">
        <f t="shared" si="99"/>
        <v/>
      </c>
      <c r="O224" s="90">
        <f t="shared" si="100"/>
        <v>0.375</v>
      </c>
      <c r="P224" s="91" t="str">
        <f>IFERROR(VLOOKUP($B224,Annuaire_roster!$B:$G,MATCH(P$1,Annuaire_roster!$B$1:$G$1,0),0),"-")</f>
        <v>Google Leads</v>
      </c>
      <c r="Q224" s="100">
        <v>44723</v>
      </c>
      <c r="R224" s="10">
        <f t="shared" si="101"/>
        <v>0.375</v>
      </c>
      <c r="S224" s="10">
        <f t="shared" si="102"/>
        <v>0.375</v>
      </c>
      <c r="T224" s="16" t="str">
        <f t="shared" si="103"/>
        <v>Sem - 24</v>
      </c>
      <c r="U224" s="16" t="str">
        <f t="shared" si="104"/>
        <v>Juin</v>
      </c>
      <c r="V224" s="11" t="str">
        <f t="shared" si="105"/>
        <v>2026</v>
      </c>
      <c r="W224" s="9"/>
      <c r="X224" s="5">
        <f t="shared" si="106"/>
        <v>0</v>
      </c>
      <c r="Y224" s="12">
        <f>IFERROR(VLOOKUP(B224,Annuaire_roster!B:E,4,0),"-")</f>
        <v>0</v>
      </c>
      <c r="Z224" s="12" t="str">
        <f>IFERROR(VLOOKUP(B224,Annuaire_roster!B:F,3,0),"-")</f>
        <v>Google Leads</v>
      </c>
      <c r="AA224" s="12">
        <f>IFERROR(VLOOKUP(B224,Annuaire_roster!B:I,6,0),"-")</f>
        <v>0</v>
      </c>
      <c r="AB224" s="142" t="str">
        <f t="shared" si="107"/>
        <v/>
      </c>
      <c r="AC224" s="142" t="str">
        <f t="shared" si="108"/>
        <v/>
      </c>
      <c r="AD224" s="142" t="str">
        <f t="shared" si="109"/>
        <v/>
      </c>
      <c r="AE224" s="143" t="str">
        <f t="shared" si="110"/>
        <v/>
      </c>
      <c r="AF224" s="63"/>
      <c r="AG224" s="10"/>
    </row>
    <row r="225" spans="1:33" hidden="1" x14ac:dyDescent="0.2">
      <c r="A225" s="70">
        <f>VLOOKUP(B225,Annuaire_roster!B:F,5,0)</f>
        <v>0</v>
      </c>
      <c r="B225" s="166" t="s">
        <v>224</v>
      </c>
      <c r="C225" s="61"/>
      <c r="D225" s="61" t="str">
        <f t="array" ref="D225">IFERROR(INDEX(Planning2[],MATCH(1,(Planning2[Nom]=B225)*(Planning2[Date]=Q225),0),3),"-")</f>
        <v>OFF</v>
      </c>
      <c r="E225" s="38"/>
      <c r="F225" s="38" t="str">
        <f t="array" ref="F225">IFERROR(INDEX(Planning2[],MATCH(1,(Planning2[Nom]=B225)*(Planning2[Date]=Q225),0),4),"-")</f>
        <v>OFF</v>
      </c>
      <c r="G225" s="88"/>
      <c r="H225" s="88"/>
      <c r="I225" s="209" t="str">
        <f t="shared" si="96"/>
        <v/>
      </c>
      <c r="J225" s="23"/>
      <c r="K225" s="89">
        <f t="shared" si="97"/>
        <v>0</v>
      </c>
      <c r="L225" s="88">
        <f t="shared" si="82"/>
        <v>0</v>
      </c>
      <c r="M225" s="62">
        <f t="shared" si="98"/>
        <v>0</v>
      </c>
      <c r="N225" s="102" t="str">
        <f t="shared" si="99"/>
        <v/>
      </c>
      <c r="O225" s="90">
        <f t="shared" si="100"/>
        <v>0</v>
      </c>
      <c r="P225" s="91" t="str">
        <f>IFERROR(VLOOKUP($B225,Annuaire_roster!$B:$G,MATCH(P$1,Annuaire_roster!$B$1:$G$1,0),0),"-")</f>
        <v>Google Leads</v>
      </c>
      <c r="Q225" s="100">
        <v>44723</v>
      </c>
      <c r="R225" s="10">
        <f t="shared" si="101"/>
        <v>0</v>
      </c>
      <c r="S225" s="10">
        <f t="shared" si="102"/>
        <v>0</v>
      </c>
      <c r="T225" s="16" t="str">
        <f t="shared" si="103"/>
        <v>Sem - 24</v>
      </c>
      <c r="U225" s="16" t="str">
        <f t="shared" si="104"/>
        <v>Juin</v>
      </c>
      <c r="V225" s="11" t="str">
        <f t="shared" si="105"/>
        <v>2026</v>
      </c>
      <c r="W225" s="9"/>
      <c r="X225" s="5">
        <f t="shared" si="106"/>
        <v>0</v>
      </c>
      <c r="Y225" s="12">
        <f>IFERROR(VLOOKUP(B225,Annuaire_roster!B:E,4,0),"-")</f>
        <v>0</v>
      </c>
      <c r="Z225" s="12" t="str">
        <f>IFERROR(VLOOKUP(B225,Annuaire_roster!B:F,3,0),"-")</f>
        <v>Google Leads</v>
      </c>
      <c r="AA225" s="12">
        <f>IFERROR(VLOOKUP(B225,Annuaire_roster!B:I,6,0),"-")</f>
        <v>0</v>
      </c>
      <c r="AB225" s="142" t="str">
        <f t="shared" si="107"/>
        <v/>
      </c>
      <c r="AC225" s="142" t="str">
        <f t="shared" si="108"/>
        <v/>
      </c>
      <c r="AD225" s="142" t="str">
        <f t="shared" si="109"/>
        <v/>
      </c>
      <c r="AE225" s="143" t="str">
        <f t="shared" si="110"/>
        <v/>
      </c>
      <c r="AF225" s="63"/>
      <c r="AG225" s="10"/>
    </row>
  </sheetData>
  <autoFilter ref="A1:AG225" xr:uid="{00000000-0001-0000-0000-000000000000}">
    <filterColumn colId="16">
      <filters>
        <dateGroupItem year="2026" month="6" day="11" dateTimeGrouping="day"/>
      </filters>
    </filterColumn>
    <sortState xmlns:xlrd2="http://schemas.microsoft.com/office/spreadsheetml/2017/richdata2" ref="A162:AG193">
      <sortCondition ref="D1:D225"/>
    </sortState>
  </autoFilter>
  <sortState xmlns:xlrd2="http://schemas.microsoft.com/office/spreadsheetml/2017/richdata2" ref="B2:AA527">
    <sortCondition ref="B1"/>
  </sortState>
  <conditionalFormatting sqref="G1:M2 G71:H77 G26:K26 G65:H69 J65:K69 J71:K77 G3:K24 G28:K64 G79:H91 J79:K91 I65:I91 G92:K225 O2:O225 L3:M225">
    <cfRule type="cellIs" dxfId="155" priority="1244" operator="equal">
      <formula>0</formula>
    </cfRule>
  </conditionalFormatting>
  <conditionalFormatting sqref="C1:F2 C3:C24 E3:E24 C71:C77 E71:E77 C26 E26 B2 E28:E69 C28:C69 C79:C225 E79:E225 F3:F225 B46:B160 D3:D225">
    <cfRule type="cellIs" dxfId="154" priority="1245" operator="equal">
      <formula>"OFF"</formula>
    </cfRule>
  </conditionalFormatting>
  <conditionalFormatting sqref="X2:X24 X71:X77 X26 X28:X69 X79:X225">
    <cfRule type="cellIs" dxfId="153" priority="563" operator="equal">
      <formula>0</formula>
    </cfRule>
  </conditionalFormatting>
  <conditionalFormatting sqref="G70:H70 J70:K70">
    <cfRule type="cellIs" dxfId="152" priority="24" operator="equal">
      <formula>0</formula>
    </cfRule>
  </conditionalFormatting>
  <conditionalFormatting sqref="C70 E70">
    <cfRule type="cellIs" dxfId="151" priority="25" operator="equal">
      <formula>"OFF"</formula>
    </cfRule>
  </conditionalFormatting>
  <conditionalFormatting sqref="X70">
    <cfRule type="cellIs" dxfId="150" priority="23" operator="equal">
      <formula>0</formula>
    </cfRule>
  </conditionalFormatting>
  <conditionalFormatting sqref="G78:H78 J78:K78">
    <cfRule type="cellIs" dxfId="149" priority="21" operator="equal">
      <formula>0</formula>
    </cfRule>
  </conditionalFormatting>
  <conditionalFormatting sqref="C78 E78">
    <cfRule type="cellIs" dxfId="148" priority="22" operator="equal">
      <formula>"OFF"</formula>
    </cfRule>
  </conditionalFormatting>
  <conditionalFormatting sqref="X78">
    <cfRule type="cellIs" dxfId="147" priority="20" operator="equal">
      <formula>0</formula>
    </cfRule>
  </conditionalFormatting>
  <conditionalFormatting sqref="G25:K25">
    <cfRule type="cellIs" dxfId="146" priority="15" operator="equal">
      <formula>0</formula>
    </cfRule>
  </conditionalFormatting>
  <conditionalFormatting sqref="C25 E25">
    <cfRule type="cellIs" dxfId="145" priority="16" operator="equal">
      <formula>"OFF"</formula>
    </cfRule>
  </conditionalFormatting>
  <conditionalFormatting sqref="X25">
    <cfRule type="cellIs" dxfId="144" priority="14" operator="equal">
      <formula>0</formula>
    </cfRule>
  </conditionalFormatting>
  <conditionalFormatting sqref="G27:K27">
    <cfRule type="cellIs" dxfId="143" priority="12" operator="equal">
      <formula>0</formula>
    </cfRule>
  </conditionalFormatting>
  <conditionalFormatting sqref="C27 E27">
    <cfRule type="cellIs" dxfId="142" priority="13" operator="equal">
      <formula>"OFF"</formula>
    </cfRule>
  </conditionalFormatting>
  <conditionalFormatting sqref="X27">
    <cfRule type="cellIs" dxfId="141" priority="11" operator="equal">
      <formula>0</formula>
    </cfRule>
  </conditionalFormatting>
  <conditionalFormatting sqref="B37:B45 B157:B225">
    <cfRule type="cellIs" dxfId="140" priority="4" operator="equal">
      <formula>"OFF"</formula>
    </cfRule>
  </conditionalFormatting>
  <conditionalFormatting sqref="B3:B36">
    <cfRule type="cellIs" dxfId="139" priority="3" operator="equal">
      <formula>"OFF"</formula>
    </cfRule>
  </conditionalFormatting>
  <dataValidations disablePrompts="1" count="1">
    <dataValidation type="list" allowBlank="1" showInputMessage="1" showErrorMessage="1" sqref="AG2:AG225" xr:uid="{00000000-0002-0000-0000-000000000000}">
      <formula1>"2H Pause déjeuner,Sans déjeuner,Allaitement"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topLeftCell="A7" workbookViewId="0">
      <selection activeCell="A34" sqref="A34"/>
    </sheetView>
  </sheetViews>
  <sheetFormatPr baseColWidth="10" defaultRowHeight="15" x14ac:dyDescent="0.25"/>
  <cols>
    <col min="1" max="1" width="24.42578125" customWidth="1"/>
  </cols>
  <sheetData>
    <row r="1" spans="1:2" x14ac:dyDescent="0.25">
      <c r="A1" s="106"/>
      <c r="B1" s="106" t="s">
        <v>81</v>
      </c>
    </row>
    <row r="2" spans="1:2" ht="19.5" customHeight="1" x14ac:dyDescent="0.25">
      <c r="A2" s="107" t="s">
        <v>227</v>
      </c>
      <c r="B2" s="108">
        <v>0.32291666666666669</v>
      </c>
    </row>
    <row r="3" spans="1:2" ht="19.5" customHeight="1" x14ac:dyDescent="0.25">
      <c r="A3" s="107" t="s">
        <v>222</v>
      </c>
      <c r="B3" s="108">
        <v>0.33055555555555555</v>
      </c>
    </row>
    <row r="4" spans="1:2" ht="19.5" customHeight="1" x14ac:dyDescent="0.25">
      <c r="A4" s="107" t="s">
        <v>128</v>
      </c>
      <c r="B4" s="108">
        <v>0.33333333333333331</v>
      </c>
    </row>
    <row r="5" spans="1:2" ht="19.5" customHeight="1" x14ac:dyDescent="0.25">
      <c r="A5" s="107" t="s">
        <v>228</v>
      </c>
      <c r="B5" s="108">
        <v>0.32430555555555557</v>
      </c>
    </row>
    <row r="6" spans="1:2" ht="19.5" customHeight="1" x14ac:dyDescent="0.25">
      <c r="A6" s="107" t="s">
        <v>229</v>
      </c>
      <c r="B6" s="108">
        <v>0.32500000000000001</v>
      </c>
    </row>
    <row r="7" spans="1:2" ht="19.5" customHeight="1" x14ac:dyDescent="0.25">
      <c r="A7" s="107" t="s">
        <v>230</v>
      </c>
      <c r="B7" s="108">
        <v>0.33055555555555555</v>
      </c>
    </row>
    <row r="8" spans="1:2" ht="19.5" customHeight="1" x14ac:dyDescent="0.25">
      <c r="A8" s="107" t="s">
        <v>231</v>
      </c>
      <c r="B8" s="108">
        <v>0.33958333333333335</v>
      </c>
    </row>
    <row r="9" spans="1:2" ht="19.5" customHeight="1" x14ac:dyDescent="0.25">
      <c r="A9" s="107" t="s">
        <v>232</v>
      </c>
      <c r="B9" s="108">
        <v>0.33333333333333331</v>
      </c>
    </row>
    <row r="10" spans="1:2" ht="19.5" customHeight="1" x14ac:dyDescent="0.25">
      <c r="A10" s="107" t="s">
        <v>233</v>
      </c>
      <c r="B10" s="108">
        <v>0.32361111111111113</v>
      </c>
    </row>
    <row r="11" spans="1:2" ht="19.5" customHeight="1" x14ac:dyDescent="0.25">
      <c r="A11" s="107" t="s">
        <v>129</v>
      </c>
      <c r="B11" s="108">
        <v>0.32500000000000001</v>
      </c>
    </row>
    <row r="12" spans="1:2" x14ac:dyDescent="0.25">
      <c r="A12" s="107" t="s">
        <v>234</v>
      </c>
      <c r="B12" s="108">
        <v>0.33124999999999999</v>
      </c>
    </row>
    <row r="13" spans="1:2" x14ac:dyDescent="0.25">
      <c r="A13" s="107" t="s">
        <v>235</v>
      </c>
      <c r="B13" s="108">
        <v>0.32916666666666666</v>
      </c>
    </row>
    <row r="14" spans="1:2" x14ac:dyDescent="0.25">
      <c r="A14" s="107" t="s">
        <v>236</v>
      </c>
      <c r="B14" s="108">
        <v>0.33333333333333331</v>
      </c>
    </row>
    <row r="15" spans="1:2" x14ac:dyDescent="0.25">
      <c r="A15" s="107" t="s">
        <v>237</v>
      </c>
      <c r="B15" s="108">
        <v>0.3215277777777778</v>
      </c>
    </row>
    <row r="16" spans="1:2" x14ac:dyDescent="0.25">
      <c r="A16" s="107" t="s">
        <v>238</v>
      </c>
      <c r="B16" s="108">
        <v>0.33402777777777776</v>
      </c>
    </row>
    <row r="17" spans="1:2" x14ac:dyDescent="0.25">
      <c r="A17" s="107" t="s">
        <v>239</v>
      </c>
      <c r="B17" s="108">
        <v>0.3298611111111111</v>
      </c>
    </row>
    <row r="18" spans="1:2" x14ac:dyDescent="0.25">
      <c r="A18" s="107" t="s">
        <v>240</v>
      </c>
      <c r="B18" s="108">
        <v>0.33541666666666664</v>
      </c>
    </row>
    <row r="19" spans="1:2" x14ac:dyDescent="0.25">
      <c r="A19" s="107" t="s">
        <v>241</v>
      </c>
      <c r="B19" s="108">
        <v>0.33124999999999999</v>
      </c>
    </row>
    <row r="20" spans="1:2" x14ac:dyDescent="0.25">
      <c r="A20" s="107" t="s">
        <v>242</v>
      </c>
      <c r="B20" s="108">
        <v>0.32569444444444445</v>
      </c>
    </row>
    <row r="21" spans="1:2" x14ac:dyDescent="0.25">
      <c r="A21" s="107" t="s">
        <v>130</v>
      </c>
      <c r="B21" s="108">
        <v>0.32013888888888886</v>
      </c>
    </row>
    <row r="22" spans="1:2" x14ac:dyDescent="0.25">
      <c r="A22" s="107" t="s">
        <v>243</v>
      </c>
      <c r="B22" s="108">
        <v>0.32222222222222224</v>
      </c>
    </row>
    <row r="23" spans="1:2" x14ac:dyDescent="0.25">
      <c r="A23" s="107" t="s">
        <v>244</v>
      </c>
      <c r="B23" s="108">
        <v>0.31944444444444442</v>
      </c>
    </row>
    <row r="24" spans="1:2" x14ac:dyDescent="0.25">
      <c r="A24" s="107" t="s">
        <v>245</v>
      </c>
      <c r="B24" s="108">
        <v>0.33402777777777776</v>
      </c>
    </row>
    <row r="25" spans="1:2" x14ac:dyDescent="0.25">
      <c r="A25" s="107" t="s">
        <v>246</v>
      </c>
      <c r="B25" s="108">
        <v>0.33055555555555555</v>
      </c>
    </row>
    <row r="26" spans="1:2" x14ac:dyDescent="0.25">
      <c r="A26" s="107" t="s">
        <v>132</v>
      </c>
      <c r="B26" s="108">
        <v>0.32569444444444445</v>
      </c>
    </row>
    <row r="27" spans="1:2" x14ac:dyDescent="0.25">
      <c r="A27" s="107" t="s">
        <v>247</v>
      </c>
      <c r="B27" s="108">
        <v>0.33263888888888887</v>
      </c>
    </row>
    <row r="28" spans="1:2" x14ac:dyDescent="0.25">
      <c r="A28" s="107" t="s">
        <v>248</v>
      </c>
      <c r="B28" s="108">
        <v>0.32222222222222224</v>
      </c>
    </row>
    <row r="29" spans="1:2" x14ac:dyDescent="0.25">
      <c r="A29" s="107" t="s">
        <v>249</v>
      </c>
      <c r="B29" s="108">
        <v>0.33680555555555558</v>
      </c>
    </row>
    <row r="30" spans="1:2" x14ac:dyDescent="0.25">
      <c r="A30" s="222" t="s">
        <v>198</v>
      </c>
      <c r="B30" s="108">
        <v>0.3347222222222222</v>
      </c>
    </row>
    <row r="31" spans="1:2" x14ac:dyDescent="0.25">
      <c r="A31" s="107" t="s">
        <v>136</v>
      </c>
      <c r="B31" s="108">
        <v>0.32847222222222222</v>
      </c>
    </row>
    <row r="32" spans="1:2" x14ac:dyDescent="0.25">
      <c r="A32" s="107" t="s">
        <v>250</v>
      </c>
      <c r="B32" s="108">
        <v>0.33541666666666664</v>
      </c>
    </row>
    <row r="33" spans="1:2" x14ac:dyDescent="0.25">
      <c r="A33" s="107" t="s">
        <v>251</v>
      </c>
      <c r="B33" s="108">
        <v>0.33263888888888887</v>
      </c>
    </row>
    <row r="34" spans="1:2" x14ac:dyDescent="0.25">
      <c r="A34" s="222" t="s">
        <v>209</v>
      </c>
      <c r="B34" s="108">
        <v>0.33333333333333331</v>
      </c>
    </row>
    <row r="35" spans="1:2" x14ac:dyDescent="0.25">
      <c r="A35" s="107" t="s">
        <v>252</v>
      </c>
      <c r="B35" s="108">
        <v>0.33263888888888887</v>
      </c>
    </row>
    <row r="36" spans="1:2" x14ac:dyDescent="0.25">
      <c r="A36" s="107" t="s">
        <v>253</v>
      </c>
      <c r="B36" s="108">
        <v>0.33333333333333331</v>
      </c>
    </row>
    <row r="37" spans="1:2" x14ac:dyDescent="0.25">
      <c r="A37" s="107" t="s">
        <v>254</v>
      </c>
      <c r="B37" s="108">
        <v>0.32916666666666666</v>
      </c>
    </row>
    <row r="38" spans="1:2" x14ac:dyDescent="0.25">
      <c r="A38" s="107" t="s">
        <v>255</v>
      </c>
      <c r="B38" s="108">
        <v>1.2500000000000001E-2</v>
      </c>
    </row>
    <row r="39" spans="1:2" x14ac:dyDescent="0.25">
      <c r="A39" s="107" t="s">
        <v>223</v>
      </c>
      <c r="B39" s="108">
        <v>0.3298611111111111</v>
      </c>
    </row>
    <row r="40" spans="1:2" x14ac:dyDescent="0.25">
      <c r="A40" s="107" t="s">
        <v>256</v>
      </c>
      <c r="B40" s="108">
        <v>0.32916666666666666</v>
      </c>
    </row>
    <row r="41" spans="1:2" x14ac:dyDescent="0.25">
      <c r="A41" s="107" t="s">
        <v>147</v>
      </c>
      <c r="B41" s="108">
        <v>0.33333333333333331</v>
      </c>
    </row>
    <row r="42" spans="1:2" x14ac:dyDescent="0.25">
      <c r="A42" s="107" t="s">
        <v>257</v>
      </c>
      <c r="B42" s="108">
        <v>0.33333333333333331</v>
      </c>
    </row>
    <row r="43" spans="1:2" x14ac:dyDescent="0.25">
      <c r="A43" s="107" t="s">
        <v>258</v>
      </c>
      <c r="B43" s="108">
        <v>0.33333333333333331</v>
      </c>
    </row>
    <row r="44" spans="1:2" x14ac:dyDescent="0.25">
      <c r="A44" s="107" t="s">
        <v>259</v>
      </c>
      <c r="B44" s="108">
        <v>0.33124999999999999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7"/>
  <dimension ref="A1:T33"/>
  <sheetViews>
    <sheetView tabSelected="1" zoomScaleNormal="100" workbookViewId="0">
      <selection sqref="A1:I11"/>
    </sheetView>
  </sheetViews>
  <sheetFormatPr baseColWidth="10" defaultRowHeight="15" x14ac:dyDescent="0.25"/>
  <cols>
    <col min="1" max="1" width="28.42578125" customWidth="1"/>
    <col min="2" max="2" width="13.7109375" customWidth="1"/>
    <col min="3" max="3" width="17.28515625" customWidth="1"/>
    <col min="4" max="4" width="14.42578125" customWidth="1"/>
    <col min="5" max="5" width="13.28515625" style="14" customWidth="1"/>
    <col min="6" max="6" width="12.42578125" customWidth="1"/>
    <col min="7" max="7" width="15.7109375" customWidth="1"/>
    <col min="8" max="8" width="15" customWidth="1"/>
    <col min="9" max="9" width="30.28515625" customWidth="1"/>
    <col min="11" max="11" width="35.7109375" customWidth="1"/>
  </cols>
  <sheetData>
    <row r="1" spans="1:20" ht="33" customHeight="1" x14ac:dyDescent="0.25">
      <c r="A1" s="220" t="s">
        <v>12</v>
      </c>
      <c r="B1" s="221" t="s">
        <v>5</v>
      </c>
      <c r="C1" s="221" t="s">
        <v>1</v>
      </c>
      <c r="D1" s="221" t="s">
        <v>2</v>
      </c>
      <c r="E1" s="221" t="s">
        <v>84</v>
      </c>
      <c r="F1" s="221" t="s">
        <v>9</v>
      </c>
      <c r="G1" s="221" t="s">
        <v>24</v>
      </c>
      <c r="H1" s="221" t="s">
        <v>4</v>
      </c>
      <c r="I1" s="221" t="s">
        <v>59</v>
      </c>
    </row>
    <row r="2" spans="1:20" s="135" customFormat="1" x14ac:dyDescent="0.25">
      <c r="A2" s="222" t="s">
        <v>213</v>
      </c>
      <c r="B2" s="223">
        <v>0.28958333333333336</v>
      </c>
      <c r="C2" s="223">
        <v>0.29166666666666669</v>
      </c>
      <c r="D2" s="223">
        <v>0.66666666666666663</v>
      </c>
      <c r="E2" s="224"/>
      <c r="F2" s="225"/>
      <c r="G2" s="226" t="s">
        <v>37</v>
      </c>
      <c r="H2" s="227">
        <v>44752</v>
      </c>
      <c r="I2" s="228"/>
      <c r="T2" s="123"/>
    </row>
    <row r="3" spans="1:20" x14ac:dyDescent="0.25">
      <c r="A3" s="222" t="s">
        <v>45</v>
      </c>
      <c r="B3" s="223">
        <v>0.2902777777777778</v>
      </c>
      <c r="C3" s="223">
        <v>0.29166666666666669</v>
      </c>
      <c r="D3" s="223">
        <v>0.66666666666666663</v>
      </c>
      <c r="E3" s="224"/>
      <c r="F3" s="225"/>
      <c r="G3" s="226" t="s">
        <v>37</v>
      </c>
      <c r="H3" s="227">
        <v>44752</v>
      </c>
      <c r="I3" s="228"/>
      <c r="K3" s="144"/>
      <c r="L3" s="145"/>
      <c r="M3" s="104"/>
      <c r="N3" s="104"/>
      <c r="O3" s="104"/>
      <c r="P3" s="104"/>
      <c r="Q3" s="104"/>
      <c r="R3" s="104"/>
      <c r="S3" s="104"/>
      <c r="T3" s="123"/>
    </row>
    <row r="4" spans="1:20" x14ac:dyDescent="0.25">
      <c r="A4" s="222" t="s">
        <v>85</v>
      </c>
      <c r="B4" s="223">
        <v>0.29097222222222224</v>
      </c>
      <c r="C4" s="223">
        <v>0.29166666666666669</v>
      </c>
      <c r="D4" s="223">
        <v>0.66666666666666663</v>
      </c>
      <c r="E4" s="224"/>
      <c r="F4" s="230"/>
      <c r="G4" s="226" t="s">
        <v>37</v>
      </c>
      <c r="H4" s="227">
        <v>44752</v>
      </c>
      <c r="I4" s="228"/>
      <c r="K4" s="144"/>
      <c r="L4" s="146"/>
      <c r="M4" s="104"/>
      <c r="N4" s="104"/>
      <c r="O4" s="104"/>
      <c r="P4" s="104"/>
      <c r="Q4" s="104"/>
      <c r="R4" s="104"/>
      <c r="S4" s="104"/>
      <c r="T4" s="123"/>
    </row>
    <row r="5" spans="1:20" x14ac:dyDescent="0.25">
      <c r="A5" s="222" t="s">
        <v>91</v>
      </c>
      <c r="B5" s="223">
        <v>0.2902777777777778</v>
      </c>
      <c r="C5" s="223">
        <v>0.29166666666666669</v>
      </c>
      <c r="D5" s="223">
        <v>0.66666666666666663</v>
      </c>
      <c r="E5" s="224"/>
      <c r="F5" s="233"/>
      <c r="G5" s="226" t="s">
        <v>37</v>
      </c>
      <c r="H5" s="227">
        <v>44752</v>
      </c>
      <c r="I5" s="232"/>
      <c r="K5" s="144"/>
      <c r="L5" s="145"/>
      <c r="M5" s="104"/>
      <c r="N5" s="104"/>
      <c r="O5" s="104"/>
      <c r="P5" s="104"/>
      <c r="Q5" s="104"/>
      <c r="R5" s="104"/>
      <c r="S5" s="104"/>
      <c r="T5" s="123"/>
    </row>
    <row r="6" spans="1:20" x14ac:dyDescent="0.25">
      <c r="A6" s="222" t="s">
        <v>212</v>
      </c>
      <c r="B6" s="223">
        <v>0.28402777777777777</v>
      </c>
      <c r="C6" s="223">
        <v>0.29166666666666669</v>
      </c>
      <c r="D6" s="223">
        <v>0.66666666666666663</v>
      </c>
      <c r="E6" s="229"/>
      <c r="F6" s="230"/>
      <c r="G6" s="226" t="s">
        <v>37</v>
      </c>
      <c r="H6" s="227">
        <v>44752</v>
      </c>
      <c r="I6" s="228"/>
      <c r="K6" s="144"/>
      <c r="L6" s="145"/>
      <c r="M6" s="104"/>
      <c r="N6" s="104"/>
      <c r="O6" s="104"/>
      <c r="P6" s="104"/>
      <c r="Q6" s="104"/>
      <c r="R6" s="104"/>
      <c r="S6" s="104"/>
      <c r="T6" s="123"/>
    </row>
    <row r="7" spans="1:20" ht="15" customHeight="1" x14ac:dyDescent="0.25">
      <c r="A7" s="222" t="s">
        <v>144</v>
      </c>
      <c r="B7" s="223">
        <v>0.29097222222222224</v>
      </c>
      <c r="C7" s="223">
        <v>0.29166666666666669</v>
      </c>
      <c r="D7" s="223">
        <v>0.66666666666666663</v>
      </c>
      <c r="E7" s="229"/>
      <c r="F7" s="231"/>
      <c r="G7" s="226" t="s">
        <v>37</v>
      </c>
      <c r="H7" s="227">
        <v>44752</v>
      </c>
      <c r="I7" s="228"/>
      <c r="K7" s="144"/>
      <c r="L7" s="145"/>
      <c r="M7" s="104"/>
      <c r="N7" s="104"/>
      <c r="O7" s="104"/>
      <c r="P7" s="104"/>
      <c r="Q7" s="104"/>
      <c r="R7" s="104"/>
      <c r="S7" s="104"/>
      <c r="T7" s="123"/>
    </row>
    <row r="8" spans="1:20" x14ac:dyDescent="0.25">
      <c r="A8" s="222" t="s">
        <v>89</v>
      </c>
      <c r="B8" s="223">
        <v>0.29097222222222224</v>
      </c>
      <c r="C8" s="223">
        <v>0.29166666666666669</v>
      </c>
      <c r="D8" s="223">
        <v>0.66666666666666663</v>
      </c>
      <c r="E8" s="224"/>
      <c r="F8" s="233"/>
      <c r="G8" s="226" t="s">
        <v>37</v>
      </c>
      <c r="H8" s="227">
        <v>44752</v>
      </c>
      <c r="I8" s="228"/>
      <c r="K8" s="144"/>
      <c r="L8" s="145"/>
    </row>
    <row r="9" spans="1:20" x14ac:dyDescent="0.25">
      <c r="A9" s="222" t="s">
        <v>94</v>
      </c>
      <c r="B9" s="223">
        <v>0.28888888888888886</v>
      </c>
      <c r="C9" s="223">
        <v>0.29166666666666669</v>
      </c>
      <c r="D9" s="223">
        <v>0.66666666666666663</v>
      </c>
      <c r="E9" s="224"/>
      <c r="F9" s="233"/>
      <c r="G9" s="226" t="s">
        <v>37</v>
      </c>
      <c r="H9" s="227">
        <v>44752</v>
      </c>
      <c r="I9" s="228"/>
      <c r="K9" s="144"/>
      <c r="L9" s="145"/>
    </row>
    <row r="10" spans="1:20" x14ac:dyDescent="0.25">
      <c r="A10" s="222" t="s">
        <v>141</v>
      </c>
      <c r="B10" s="223">
        <v>0.28749999999999998</v>
      </c>
      <c r="C10" s="223">
        <v>0.29166666666666669</v>
      </c>
      <c r="D10" s="223">
        <v>0.66666666666666663</v>
      </c>
      <c r="E10" s="224"/>
      <c r="F10" s="225"/>
      <c r="G10" s="226" t="s">
        <v>37</v>
      </c>
      <c r="H10" s="227">
        <v>44752</v>
      </c>
      <c r="I10" s="228"/>
      <c r="K10" s="144"/>
      <c r="L10" s="145"/>
    </row>
    <row r="11" spans="1:20" ht="16.5" customHeight="1" x14ac:dyDescent="0.25">
      <c r="A11" s="222" t="s">
        <v>196</v>
      </c>
      <c r="B11" s="223">
        <v>0.29166666666666669</v>
      </c>
      <c r="C11" s="223">
        <v>0.29166666666666669</v>
      </c>
      <c r="D11" s="223">
        <v>0.66666666666666663</v>
      </c>
      <c r="E11" s="224"/>
      <c r="F11" s="225"/>
      <c r="G11" s="226" t="s">
        <v>37</v>
      </c>
      <c r="H11" s="227">
        <v>44752</v>
      </c>
      <c r="I11" s="228"/>
    </row>
    <row r="12" spans="1:20" ht="15.6" customHeight="1" x14ac:dyDescent="0.25">
      <c r="A12" s="222" t="s">
        <v>106</v>
      </c>
      <c r="B12" s="223"/>
      <c r="C12" s="223">
        <v>0.33333333333333331</v>
      </c>
      <c r="D12" s="223">
        <v>0.75</v>
      </c>
      <c r="E12" s="224"/>
      <c r="F12" s="225"/>
      <c r="G12" s="226" t="s">
        <v>37</v>
      </c>
      <c r="H12" s="227">
        <v>44752</v>
      </c>
      <c r="I12" s="228"/>
    </row>
    <row r="13" spans="1:20" x14ac:dyDescent="0.25">
      <c r="A13" s="222" t="s">
        <v>87</v>
      </c>
      <c r="B13" s="223"/>
      <c r="C13" s="223">
        <v>0.41666666666666669</v>
      </c>
      <c r="D13" s="223">
        <v>0.83333333333333337</v>
      </c>
      <c r="E13" s="224"/>
      <c r="F13" s="225"/>
      <c r="G13" s="226" t="s">
        <v>37</v>
      </c>
      <c r="H13" s="227">
        <v>44752</v>
      </c>
      <c r="I13" s="228"/>
    </row>
    <row r="14" spans="1:20" x14ac:dyDescent="0.25">
      <c r="A14" s="222" t="s">
        <v>80</v>
      </c>
      <c r="B14" s="223"/>
      <c r="C14" s="223">
        <v>0.41666666666666669</v>
      </c>
      <c r="D14" s="223">
        <v>0.83333333333333337</v>
      </c>
      <c r="E14" s="224"/>
      <c r="F14" s="225"/>
      <c r="G14" s="226" t="s">
        <v>37</v>
      </c>
      <c r="H14" s="227">
        <v>44752</v>
      </c>
      <c r="I14" s="228"/>
    </row>
    <row r="15" spans="1:20" s="141" customFormat="1" x14ac:dyDescent="0.25">
      <c r="A15" s="222" t="s">
        <v>197</v>
      </c>
      <c r="B15" s="223"/>
      <c r="C15" s="223">
        <v>0.41666666666666669</v>
      </c>
      <c r="D15" s="223">
        <v>0.83333333333333337</v>
      </c>
      <c r="E15" s="224"/>
      <c r="F15" s="231"/>
      <c r="G15" s="226" t="s">
        <v>37</v>
      </c>
      <c r="H15" s="227">
        <v>44752</v>
      </c>
      <c r="I15" s="228"/>
    </row>
    <row r="16" spans="1:20" x14ac:dyDescent="0.25">
      <c r="A16" s="222" t="s">
        <v>83</v>
      </c>
      <c r="B16" s="223"/>
      <c r="C16" s="223">
        <v>0.41666666666666669</v>
      </c>
      <c r="D16" s="223">
        <v>0.83333333333333337</v>
      </c>
      <c r="E16" s="224"/>
      <c r="F16" s="225"/>
      <c r="G16" s="226" t="s">
        <v>37</v>
      </c>
      <c r="H16" s="227">
        <v>44752</v>
      </c>
      <c r="I16" s="228"/>
    </row>
    <row r="17" spans="1:11" x14ac:dyDescent="0.25">
      <c r="A17" s="222" t="s">
        <v>102</v>
      </c>
      <c r="B17" s="223"/>
      <c r="C17" s="223">
        <v>0.41666666666666669</v>
      </c>
      <c r="D17" s="223">
        <v>0.83333333333333337</v>
      </c>
      <c r="E17" s="224"/>
      <c r="F17" s="233"/>
      <c r="G17" s="226" t="s">
        <v>37</v>
      </c>
      <c r="H17" s="227">
        <v>44752</v>
      </c>
      <c r="I17" s="234"/>
    </row>
    <row r="18" spans="1:11" x14ac:dyDescent="0.25">
      <c r="A18" s="222" t="s">
        <v>88</v>
      </c>
      <c r="B18" s="223"/>
      <c r="C18" s="223">
        <v>0.41666666666666669</v>
      </c>
      <c r="D18" s="223">
        <v>0.83333333333333337</v>
      </c>
      <c r="E18" s="224"/>
      <c r="F18" s="235"/>
      <c r="G18" s="226" t="s">
        <v>37</v>
      </c>
      <c r="H18" s="227">
        <v>44752</v>
      </c>
      <c r="I18" s="234"/>
    </row>
    <row r="19" spans="1:11" x14ac:dyDescent="0.25">
      <c r="A19" s="222" t="s">
        <v>220</v>
      </c>
      <c r="B19" s="223"/>
      <c r="C19" s="223">
        <v>0.41666666666666669</v>
      </c>
      <c r="D19" s="223">
        <v>0.83333333333333337</v>
      </c>
      <c r="E19" s="229"/>
      <c r="F19" s="225"/>
      <c r="G19" s="226" t="s">
        <v>37</v>
      </c>
      <c r="H19" s="227">
        <v>44752</v>
      </c>
      <c r="I19" s="234"/>
      <c r="K19" s="223" t="s">
        <v>226</v>
      </c>
    </row>
    <row r="20" spans="1:11" x14ac:dyDescent="0.25">
      <c r="A20" s="222" t="s">
        <v>221</v>
      </c>
      <c r="B20" s="223"/>
      <c r="C20" s="223">
        <v>0.41666666666666669</v>
      </c>
      <c r="D20" s="223">
        <v>0.83333333333333337</v>
      </c>
      <c r="E20" s="224"/>
      <c r="F20" s="225"/>
      <c r="G20" s="226" t="s">
        <v>37</v>
      </c>
      <c r="H20" s="227">
        <v>44752</v>
      </c>
      <c r="I20" s="233"/>
    </row>
    <row r="21" spans="1:11" x14ac:dyDescent="0.25">
      <c r="A21" s="222" t="s">
        <v>217</v>
      </c>
      <c r="B21" s="223"/>
      <c r="C21" s="223">
        <v>0.45833333333333331</v>
      </c>
      <c r="D21" s="223">
        <v>0.83333333333333337</v>
      </c>
      <c r="E21" s="224"/>
      <c r="F21" s="225"/>
      <c r="G21" s="226" t="s">
        <v>37</v>
      </c>
      <c r="H21" s="227">
        <v>44752</v>
      </c>
      <c r="I21" s="233"/>
    </row>
    <row r="22" spans="1:11" x14ac:dyDescent="0.25">
      <c r="A22" s="222" t="s">
        <v>110</v>
      </c>
      <c r="B22" s="223"/>
      <c r="C22" s="223" t="s">
        <v>225</v>
      </c>
      <c r="D22" s="223" t="s">
        <v>225</v>
      </c>
      <c r="E22" s="224"/>
      <c r="F22" s="225"/>
      <c r="G22" s="226" t="s">
        <v>37</v>
      </c>
      <c r="H22" s="227">
        <v>44752</v>
      </c>
      <c r="I22" s="233"/>
    </row>
    <row r="23" spans="1:11" x14ac:dyDescent="0.25">
      <c r="A23" s="222" t="s">
        <v>76</v>
      </c>
      <c r="B23" s="223"/>
      <c r="C23" s="223" t="s">
        <v>31</v>
      </c>
      <c r="D23" s="223" t="s">
        <v>31</v>
      </c>
      <c r="E23" s="224"/>
      <c r="F23" s="225"/>
      <c r="G23" s="226" t="s">
        <v>37</v>
      </c>
      <c r="H23" s="227">
        <v>44752</v>
      </c>
      <c r="I23" s="233"/>
    </row>
    <row r="24" spans="1:11" x14ac:dyDescent="0.25">
      <c r="A24" s="222" t="s">
        <v>214</v>
      </c>
      <c r="B24" s="223"/>
      <c r="C24" s="223" t="s">
        <v>31</v>
      </c>
      <c r="D24" s="223" t="s">
        <v>31</v>
      </c>
      <c r="E24" s="224"/>
      <c r="F24" s="225"/>
      <c r="G24" s="226" t="s">
        <v>37</v>
      </c>
      <c r="H24" s="227">
        <v>44752</v>
      </c>
      <c r="I24" s="233"/>
    </row>
    <row r="25" spans="1:11" x14ac:dyDescent="0.25">
      <c r="A25" s="222" t="s">
        <v>198</v>
      </c>
      <c r="B25" s="223"/>
      <c r="C25" s="223" t="s">
        <v>31</v>
      </c>
      <c r="D25" s="223" t="s">
        <v>31</v>
      </c>
      <c r="E25" s="224"/>
      <c r="F25" s="225"/>
      <c r="G25" s="226" t="s">
        <v>37</v>
      </c>
      <c r="H25" s="227">
        <v>44752</v>
      </c>
      <c r="I25" s="233"/>
    </row>
    <row r="26" spans="1:11" x14ac:dyDescent="0.25">
      <c r="A26" s="222" t="s">
        <v>210</v>
      </c>
      <c r="B26" s="223"/>
      <c r="C26" s="223" t="s">
        <v>31</v>
      </c>
      <c r="D26" s="223" t="s">
        <v>31</v>
      </c>
      <c r="E26" s="224"/>
      <c r="F26" s="225"/>
      <c r="G26" s="226" t="s">
        <v>37</v>
      </c>
      <c r="H26" s="227">
        <v>44752</v>
      </c>
      <c r="I26" s="233"/>
    </row>
    <row r="27" spans="1:11" x14ac:dyDescent="0.25">
      <c r="A27" s="222" t="s">
        <v>224</v>
      </c>
      <c r="B27" s="223"/>
      <c r="C27" s="223" t="s">
        <v>31</v>
      </c>
      <c r="D27" s="223" t="s">
        <v>31</v>
      </c>
      <c r="E27" s="224"/>
      <c r="F27" s="225"/>
      <c r="G27" s="226" t="s">
        <v>37</v>
      </c>
      <c r="H27" s="227">
        <v>44752</v>
      </c>
      <c r="I27" s="233"/>
    </row>
    <row r="28" spans="1:11" x14ac:dyDescent="0.25">
      <c r="A28" s="222" t="s">
        <v>126</v>
      </c>
      <c r="B28" s="223"/>
      <c r="C28" s="223" t="s">
        <v>31</v>
      </c>
      <c r="D28" s="223" t="s">
        <v>31</v>
      </c>
      <c r="E28" s="224"/>
      <c r="F28" s="225"/>
      <c r="G28" s="226" t="s">
        <v>37</v>
      </c>
      <c r="H28" s="227">
        <v>44752</v>
      </c>
      <c r="I28" s="233"/>
    </row>
    <row r="29" spans="1:11" x14ac:dyDescent="0.25">
      <c r="A29" s="222" t="s">
        <v>120</v>
      </c>
      <c r="B29" s="223"/>
      <c r="C29" s="223" t="s">
        <v>31</v>
      </c>
      <c r="D29" s="223" t="s">
        <v>31</v>
      </c>
      <c r="E29" s="224"/>
      <c r="F29" s="225"/>
      <c r="G29" s="226" t="s">
        <v>37</v>
      </c>
      <c r="H29" s="227">
        <v>44752</v>
      </c>
      <c r="I29" s="233"/>
    </row>
    <row r="30" spans="1:11" x14ac:dyDescent="0.25">
      <c r="A30" s="222" t="s">
        <v>216</v>
      </c>
      <c r="B30" s="223"/>
      <c r="C30" s="223" t="s">
        <v>31</v>
      </c>
      <c r="D30" s="223" t="s">
        <v>31</v>
      </c>
      <c r="E30" s="224"/>
      <c r="F30" s="225"/>
      <c r="G30" s="226" t="s">
        <v>37</v>
      </c>
      <c r="H30" s="227">
        <v>44752</v>
      </c>
      <c r="I30" s="233"/>
    </row>
    <row r="31" spans="1:11" x14ac:dyDescent="0.25">
      <c r="A31" s="222" t="s">
        <v>219</v>
      </c>
      <c r="B31" s="223"/>
      <c r="C31" s="223" t="s">
        <v>31</v>
      </c>
      <c r="D31" s="223" t="s">
        <v>31</v>
      </c>
      <c r="E31" s="224"/>
      <c r="F31" s="225"/>
      <c r="G31" s="226" t="s">
        <v>37</v>
      </c>
      <c r="H31" s="227">
        <v>44752</v>
      </c>
      <c r="I31" s="233"/>
    </row>
    <row r="32" spans="1:11" x14ac:dyDescent="0.25">
      <c r="A32" s="222" t="s">
        <v>215</v>
      </c>
      <c r="B32" s="223"/>
      <c r="C32" s="223" t="s">
        <v>31</v>
      </c>
      <c r="D32" s="223" t="s">
        <v>31</v>
      </c>
      <c r="E32" s="224"/>
      <c r="F32" s="225"/>
      <c r="G32" s="226" t="s">
        <v>37</v>
      </c>
      <c r="H32" s="227">
        <v>44752</v>
      </c>
      <c r="I32" s="233"/>
    </row>
    <row r="33" spans="1:9" x14ac:dyDescent="0.25">
      <c r="A33" s="222" t="s">
        <v>209</v>
      </c>
      <c r="B33" s="223"/>
      <c r="C33" s="223" t="s">
        <v>31</v>
      </c>
      <c r="D33" s="223" t="s">
        <v>31</v>
      </c>
      <c r="E33" s="224"/>
      <c r="F33" s="225"/>
      <c r="G33" s="226" t="s">
        <v>37</v>
      </c>
      <c r="H33" s="227">
        <v>44752</v>
      </c>
      <c r="I33" s="233"/>
    </row>
  </sheetData>
  <conditionalFormatting sqref="C3:D8 C10:D15 C20:D22 C24:D24 C26:D28">
    <cfRule type="cellIs" dxfId="138" priority="144" operator="equal">
      <formula>"OFF"</formula>
    </cfRule>
  </conditionalFormatting>
  <conditionalFormatting sqref="C16:D18">
    <cfRule type="cellIs" dxfId="137" priority="74" operator="equal">
      <formula>"OFF"</formula>
    </cfRule>
  </conditionalFormatting>
  <conditionalFormatting sqref="B2:D2 B3:B33">
    <cfRule type="cellIs" dxfId="136" priority="64" operator="equal">
      <formula>"OFF"</formula>
    </cfRule>
  </conditionalFormatting>
  <conditionalFormatting sqref="C19">
    <cfRule type="cellIs" dxfId="135" priority="34" operator="equal">
      <formula>"OFF"</formula>
    </cfRule>
  </conditionalFormatting>
  <conditionalFormatting sqref="D19">
    <cfRule type="cellIs" dxfId="134" priority="33" operator="equal">
      <formula>"OFF"</formula>
    </cfRule>
  </conditionalFormatting>
  <conditionalFormatting sqref="C9:D9">
    <cfRule type="cellIs" dxfId="133" priority="20" operator="equal">
      <formula>"OFF"</formula>
    </cfRule>
  </conditionalFormatting>
  <conditionalFormatting sqref="C23:D23">
    <cfRule type="cellIs" dxfId="132" priority="10" operator="equal">
      <formula>"OFF"</formula>
    </cfRule>
  </conditionalFormatting>
  <conditionalFormatting sqref="C29:D33">
    <cfRule type="cellIs" dxfId="131" priority="6" operator="equal">
      <formula>"OFF"</formula>
    </cfRule>
  </conditionalFormatting>
  <conditionalFormatting sqref="K19">
    <cfRule type="cellIs" dxfId="130" priority="3" operator="equal">
      <formula>"OFF"</formula>
    </cfRule>
  </conditionalFormatting>
  <conditionalFormatting sqref="C25">
    <cfRule type="cellIs" dxfId="129" priority="2" operator="equal">
      <formula>"OFF"</formula>
    </cfRule>
  </conditionalFormatting>
  <conditionalFormatting sqref="D25">
    <cfRule type="cellIs" dxfId="128" priority="1" operator="equal">
      <formula>"OFF"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8"/>
  <dimension ref="A1:B55"/>
  <sheetViews>
    <sheetView workbookViewId="0">
      <selection activeCell="B26" sqref="B26"/>
    </sheetView>
  </sheetViews>
  <sheetFormatPr baseColWidth="10" defaultRowHeight="15" x14ac:dyDescent="0.25"/>
  <cols>
    <col min="1" max="1" width="24.28515625" bestFit="1" customWidth="1"/>
  </cols>
  <sheetData>
    <row r="1" spans="1:2" x14ac:dyDescent="0.25">
      <c r="A1" s="106"/>
      <c r="B1" s="106" t="s">
        <v>81</v>
      </c>
    </row>
    <row r="2" spans="1:2" x14ac:dyDescent="0.25">
      <c r="A2" s="107" t="s">
        <v>128</v>
      </c>
      <c r="B2" s="108">
        <v>0.41597222222222219</v>
      </c>
    </row>
    <row r="3" spans="1:2" x14ac:dyDescent="0.25">
      <c r="A3" s="107" t="s">
        <v>129</v>
      </c>
      <c r="B3" s="108">
        <v>0.41597222222222219</v>
      </c>
    </row>
    <row r="4" spans="1:2" x14ac:dyDescent="0.25">
      <c r="A4" s="107" t="s">
        <v>101</v>
      </c>
      <c r="B4" s="108">
        <v>0.33333333333333331</v>
      </c>
    </row>
    <row r="5" spans="1:2" ht="15.75" thickBot="1" x14ac:dyDescent="0.3">
      <c r="A5" s="107" t="s">
        <v>109</v>
      </c>
      <c r="B5" s="108">
        <v>0.33263888888888887</v>
      </c>
    </row>
    <row r="6" spans="1:2" ht="15.75" thickBot="1" x14ac:dyDescent="0.3">
      <c r="A6" s="151" t="s">
        <v>102</v>
      </c>
      <c r="B6" s="108">
        <v>0.33194444444444443</v>
      </c>
    </row>
    <row r="7" spans="1:2" ht="15.75" thickBot="1" x14ac:dyDescent="0.3">
      <c r="A7" s="151" t="s">
        <v>86</v>
      </c>
      <c r="B7" s="108">
        <v>0.3444444444444445</v>
      </c>
    </row>
    <row r="8" spans="1:2" x14ac:dyDescent="0.25">
      <c r="A8" s="107" t="s">
        <v>130</v>
      </c>
      <c r="B8" s="108">
        <v>0.33263888888888887</v>
      </c>
    </row>
    <row r="9" spans="1:2" ht="15.75" thickBot="1" x14ac:dyDescent="0.3">
      <c r="A9" s="107" t="s">
        <v>131</v>
      </c>
      <c r="B9" s="108">
        <v>0.33194444444444443</v>
      </c>
    </row>
    <row r="10" spans="1:2" ht="15.75" thickBot="1" x14ac:dyDescent="0.3">
      <c r="A10" s="151" t="s">
        <v>103</v>
      </c>
      <c r="B10" s="108">
        <v>0.31875000000000003</v>
      </c>
    </row>
    <row r="11" spans="1:2" x14ac:dyDescent="0.25">
      <c r="A11" s="107" t="s">
        <v>132</v>
      </c>
      <c r="B11" s="108">
        <v>0.41388888888888892</v>
      </c>
    </row>
    <row r="12" spans="1:2" x14ac:dyDescent="0.25">
      <c r="A12" s="107" t="s">
        <v>80</v>
      </c>
      <c r="B12" s="108">
        <v>0.33263888888888887</v>
      </c>
    </row>
    <row r="13" spans="1:2" x14ac:dyDescent="0.25">
      <c r="A13" s="107" t="s">
        <v>133</v>
      </c>
      <c r="B13" s="108">
        <v>0.41388888888888892</v>
      </c>
    </row>
    <row r="14" spans="1:2" x14ac:dyDescent="0.25">
      <c r="A14" s="107" t="s">
        <v>134</v>
      </c>
      <c r="B14" s="108">
        <v>0.4152777777777778</v>
      </c>
    </row>
    <row r="15" spans="1:2" x14ac:dyDescent="0.25">
      <c r="A15" s="107" t="s">
        <v>135</v>
      </c>
      <c r="B15" s="108">
        <v>0.41180555555555554</v>
      </c>
    </row>
    <row r="16" spans="1:2" x14ac:dyDescent="0.25">
      <c r="A16" s="107" t="s">
        <v>136</v>
      </c>
      <c r="B16" s="108">
        <v>0.33263888888888887</v>
      </c>
    </row>
    <row r="17" spans="1:2" x14ac:dyDescent="0.25">
      <c r="A17" s="107" t="s">
        <v>137</v>
      </c>
      <c r="B17" s="108">
        <v>0.41597222222222219</v>
      </c>
    </row>
    <row r="18" spans="1:2" x14ac:dyDescent="0.25">
      <c r="A18" s="107" t="s">
        <v>138</v>
      </c>
      <c r="B18" s="108">
        <v>0.41250000000000003</v>
      </c>
    </row>
    <row r="19" spans="1:2" x14ac:dyDescent="0.25">
      <c r="A19" s="107" t="s">
        <v>139</v>
      </c>
      <c r="B19" s="108">
        <v>0.33055555555555555</v>
      </c>
    </row>
    <row r="20" spans="1:2" x14ac:dyDescent="0.25">
      <c r="A20" s="107" t="s">
        <v>140</v>
      </c>
      <c r="B20" s="108">
        <v>0.41250000000000003</v>
      </c>
    </row>
    <row r="21" spans="1:2" x14ac:dyDescent="0.25">
      <c r="B21" s="109"/>
    </row>
    <row r="22" spans="1:2" x14ac:dyDescent="0.25">
      <c r="B22" s="109"/>
    </row>
    <row r="23" spans="1:2" x14ac:dyDescent="0.25">
      <c r="A23" s="93"/>
      <c r="B23" s="109"/>
    </row>
    <row r="24" spans="1:2" x14ac:dyDescent="0.25">
      <c r="A24" s="93"/>
      <c r="B24" s="109"/>
    </row>
    <row r="25" spans="1:2" x14ac:dyDescent="0.25">
      <c r="A25" s="93"/>
      <c r="B25" s="109"/>
    </row>
    <row r="26" spans="1:2" x14ac:dyDescent="0.25">
      <c r="A26" s="93"/>
      <c r="B26" s="109"/>
    </row>
    <row r="27" spans="1:2" x14ac:dyDescent="0.25">
      <c r="A27" s="93"/>
      <c r="B27" s="109"/>
    </row>
    <row r="28" spans="1:2" x14ac:dyDescent="0.25">
      <c r="A28" s="93"/>
      <c r="B28" s="109"/>
    </row>
    <row r="29" spans="1:2" x14ac:dyDescent="0.25">
      <c r="A29" s="93"/>
      <c r="B29" s="109"/>
    </row>
    <row r="30" spans="1:2" x14ac:dyDescent="0.25">
      <c r="B30" s="109"/>
    </row>
    <row r="31" spans="1:2" x14ac:dyDescent="0.25">
      <c r="B31" s="109"/>
    </row>
    <row r="32" spans="1:2" x14ac:dyDescent="0.25">
      <c r="A32" s="93"/>
      <c r="B32" s="109"/>
    </row>
    <row r="33" spans="1:2" x14ac:dyDescent="0.25">
      <c r="B33" s="109"/>
    </row>
    <row r="34" spans="1:2" x14ac:dyDescent="0.25">
      <c r="B34" s="109"/>
    </row>
    <row r="35" spans="1:2" x14ac:dyDescent="0.25">
      <c r="A35" s="93"/>
      <c r="B35" s="109"/>
    </row>
    <row r="36" spans="1:2" x14ac:dyDescent="0.25">
      <c r="B36" s="109"/>
    </row>
    <row r="37" spans="1:2" x14ac:dyDescent="0.25">
      <c r="A37" s="106"/>
      <c r="B37" s="122"/>
    </row>
    <row r="38" spans="1:2" x14ac:dyDescent="0.25">
      <c r="A38" s="93"/>
      <c r="B38" s="108"/>
    </row>
    <row r="39" spans="1:2" x14ac:dyDescent="0.25">
      <c r="A39" s="93"/>
      <c r="B39" s="109"/>
    </row>
    <row r="40" spans="1:2" x14ac:dyDescent="0.25">
      <c r="B40" s="109"/>
    </row>
    <row r="41" spans="1:2" x14ac:dyDescent="0.25">
      <c r="B41" s="109"/>
    </row>
    <row r="42" spans="1:2" x14ac:dyDescent="0.25">
      <c r="B42" s="109"/>
    </row>
    <row r="43" spans="1:2" x14ac:dyDescent="0.25">
      <c r="B43" s="109"/>
    </row>
    <row r="44" spans="1:2" x14ac:dyDescent="0.25">
      <c r="B44" s="109"/>
    </row>
    <row r="45" spans="1:2" x14ac:dyDescent="0.25">
      <c r="B45" s="109"/>
    </row>
    <row r="46" spans="1:2" x14ac:dyDescent="0.25">
      <c r="B46" s="109"/>
    </row>
    <row r="47" spans="1:2" x14ac:dyDescent="0.25">
      <c r="B47" s="109"/>
    </row>
    <row r="48" spans="1:2" x14ac:dyDescent="0.25">
      <c r="B48" s="109"/>
    </row>
    <row r="49" spans="2:2" x14ac:dyDescent="0.25">
      <c r="B49" s="109"/>
    </row>
    <row r="50" spans="2:2" x14ac:dyDescent="0.25">
      <c r="B50" s="109"/>
    </row>
    <row r="51" spans="2:2" x14ac:dyDescent="0.25">
      <c r="B51" s="109"/>
    </row>
    <row r="52" spans="2:2" x14ac:dyDescent="0.25">
      <c r="B52" s="109"/>
    </row>
    <row r="53" spans="2:2" x14ac:dyDescent="0.25">
      <c r="B53" s="109"/>
    </row>
    <row r="54" spans="2:2" x14ac:dyDescent="0.25">
      <c r="B54" s="109"/>
    </row>
    <row r="55" spans="2:2" x14ac:dyDescent="0.25">
      <c r="B55" s="109"/>
    </row>
  </sheetData>
  <conditionalFormatting sqref="A23">
    <cfRule type="cellIs" dxfId="127" priority="320" operator="equal">
      <formula>"OFF"</formula>
    </cfRule>
  </conditionalFormatting>
  <conditionalFormatting sqref="A32">
    <cfRule type="cellIs" dxfId="126" priority="315" operator="equal">
      <formula>"OFF"</formula>
    </cfRule>
  </conditionalFormatting>
  <conditionalFormatting sqref="A28">
    <cfRule type="cellIs" dxfId="125" priority="312" operator="equal">
      <formula>"OFF"</formula>
    </cfRule>
  </conditionalFormatting>
  <conditionalFormatting sqref="A25">
    <cfRule type="cellIs" dxfId="124" priority="311" operator="equal">
      <formula>"OFF"</formula>
    </cfRule>
  </conditionalFormatting>
  <conditionalFormatting sqref="A39">
    <cfRule type="cellIs" dxfId="123" priority="304" operator="equal">
      <formula>"OFF"</formula>
    </cfRule>
  </conditionalFormatting>
  <conditionalFormatting sqref="A24">
    <cfRule type="cellIs" dxfId="122" priority="301" operator="equal">
      <formula>"OFF"</formula>
    </cfRule>
  </conditionalFormatting>
  <conditionalFormatting sqref="A35">
    <cfRule type="cellIs" dxfId="121" priority="294" operator="equal">
      <formula>"OFF"</formula>
    </cfRule>
  </conditionalFormatting>
  <conditionalFormatting sqref="A26">
    <cfRule type="cellIs" dxfId="120" priority="292" operator="equal">
      <formula>"OFF"</formula>
    </cfRule>
  </conditionalFormatting>
  <conditionalFormatting sqref="A29">
    <cfRule type="cellIs" dxfId="119" priority="290" operator="equal">
      <formula>"OFF"</formula>
    </cfRule>
  </conditionalFormatting>
  <conditionalFormatting sqref="A38">
    <cfRule type="cellIs" dxfId="118" priority="289" operator="equal">
      <formula>"OFF"</formula>
    </cfRule>
  </conditionalFormatting>
  <conditionalFormatting sqref="A27">
    <cfRule type="cellIs" dxfId="117" priority="287" operator="equal">
      <formula>"OFF"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2"/>
  <dimension ref="A1:K225"/>
  <sheetViews>
    <sheetView zoomScale="90" zoomScaleNormal="90" workbookViewId="0">
      <pane ySplit="1" topLeftCell="A2" activePane="bottomLeft" state="frozen"/>
      <selection activeCell="C3075" sqref="C3075"/>
      <selection pane="bottomLeft" activeCell="C177" sqref="C177:D177"/>
    </sheetView>
  </sheetViews>
  <sheetFormatPr baseColWidth="10" defaultColWidth="11.42578125" defaultRowHeight="15" x14ac:dyDescent="0.25"/>
  <cols>
    <col min="1" max="1" width="37.7109375" style="45" customWidth="1"/>
    <col min="2" max="2" width="11.7109375" style="46" customWidth="1"/>
    <col min="3" max="3" width="20.28515625" style="47" customWidth="1"/>
    <col min="4" max="4" width="20.42578125" style="48" customWidth="1"/>
    <col min="5" max="5" width="16.42578125" style="46" bestFit="1" customWidth="1"/>
    <col min="6" max="6" width="12.42578125" style="46" bestFit="1" customWidth="1"/>
    <col min="7" max="9" width="11.42578125" style="46"/>
    <col min="10" max="10" width="19.7109375" style="46" bestFit="1" customWidth="1"/>
    <col min="11" max="16384" width="11.42578125" style="46"/>
  </cols>
  <sheetData>
    <row r="1" spans="1:11" x14ac:dyDescent="0.25">
      <c r="A1" s="72" t="s">
        <v>0</v>
      </c>
      <c r="B1" s="73" t="s">
        <v>4</v>
      </c>
      <c r="C1" s="74" t="s">
        <v>25</v>
      </c>
      <c r="D1" s="75" t="s">
        <v>26</v>
      </c>
      <c r="E1" s="74" t="s">
        <v>49</v>
      </c>
      <c r="F1" s="73" t="s">
        <v>24</v>
      </c>
      <c r="G1" s="73" t="s">
        <v>98</v>
      </c>
      <c r="H1" s="73" t="s">
        <v>108</v>
      </c>
    </row>
    <row r="2" spans="1:11" ht="14.65" hidden="1" customHeight="1" x14ac:dyDescent="0.25">
      <c r="A2" s="80" t="s">
        <v>213</v>
      </c>
      <c r="B2" s="80">
        <v>44717</v>
      </c>
      <c r="C2" s="82">
        <v>0.41666666666666669</v>
      </c>
      <c r="D2" s="82">
        <v>0.83333333333333337</v>
      </c>
      <c r="E2" s="86">
        <f>WEEKNUM(Planning2[[#This Row],[Date]],21)</f>
        <v>23</v>
      </c>
      <c r="F2" s="87" t="str">
        <f>VLOOKUP(A2,Annuaire_roster!B:C,2,0)</f>
        <v>Google Leads</v>
      </c>
      <c r="G2" s="73"/>
      <c r="H2" s="73"/>
      <c r="J2" s="167"/>
      <c r="K2" s="237"/>
    </row>
    <row r="3" spans="1:11" ht="14.65" hidden="1" customHeight="1" x14ac:dyDescent="0.25">
      <c r="A3" s="80" t="s">
        <v>80</v>
      </c>
      <c r="B3" s="80">
        <v>44717</v>
      </c>
      <c r="C3" s="82" t="s">
        <v>226</v>
      </c>
      <c r="D3" s="82" t="s">
        <v>226</v>
      </c>
      <c r="E3" s="86">
        <f>WEEKNUM(Planning2[[#This Row],[Date]],21)</f>
        <v>23</v>
      </c>
      <c r="F3" s="87" t="str">
        <f>VLOOKUP(A3,Annuaire_roster!B:C,2,0)</f>
        <v>Google Leads</v>
      </c>
      <c r="G3" s="73"/>
      <c r="H3" s="73"/>
      <c r="J3" s="167"/>
      <c r="K3" s="237"/>
    </row>
    <row r="4" spans="1:11" ht="14.65" hidden="1" customHeight="1" x14ac:dyDescent="0.25">
      <c r="A4" s="80" t="s">
        <v>45</v>
      </c>
      <c r="B4" s="80">
        <v>44717</v>
      </c>
      <c r="C4" s="82">
        <v>0.29166666666666669</v>
      </c>
      <c r="D4" s="82">
        <v>0.70833333333333337</v>
      </c>
      <c r="E4" s="86">
        <f>WEEKNUM(Planning2[[#This Row],[Date]],21)</f>
        <v>23</v>
      </c>
      <c r="F4" s="87" t="str">
        <f>VLOOKUP(A4,Annuaire_roster!B:C,2,0)</f>
        <v>Google Leads</v>
      </c>
      <c r="G4" s="73"/>
      <c r="H4" s="73"/>
    </row>
    <row r="5" spans="1:11" ht="14.65" hidden="1" customHeight="1" x14ac:dyDescent="0.25">
      <c r="A5" s="80" t="s">
        <v>76</v>
      </c>
      <c r="B5" s="80">
        <v>44717</v>
      </c>
      <c r="C5" s="82">
        <v>0.29166666666666669</v>
      </c>
      <c r="D5" s="82">
        <v>0.66666666666666663</v>
      </c>
      <c r="E5" s="76">
        <f>WEEKNUM(Planning2[[#This Row],[Date]],21)</f>
        <v>23</v>
      </c>
      <c r="F5" s="77" t="str">
        <f>VLOOKUP(A5,Annuaire_roster!B:C,2,0)</f>
        <v>Google Leads</v>
      </c>
      <c r="G5" s="73"/>
      <c r="H5" s="73"/>
    </row>
    <row r="6" spans="1:11" ht="14.65" hidden="1" customHeight="1" x14ac:dyDescent="0.25">
      <c r="A6" s="80" t="s">
        <v>83</v>
      </c>
      <c r="B6" s="80">
        <v>44717</v>
      </c>
      <c r="C6" s="82" t="s">
        <v>31</v>
      </c>
      <c r="D6" s="82" t="s">
        <v>31</v>
      </c>
      <c r="E6" s="86">
        <f>WEEKNUM(Planning2[[#This Row],[Date]],21)</f>
        <v>23</v>
      </c>
      <c r="F6" s="87" t="str">
        <f>VLOOKUP(A6,Annuaire_roster!B:C,2,0)</f>
        <v>Google Leads</v>
      </c>
      <c r="G6" s="73"/>
      <c r="H6" s="73"/>
      <c r="J6" s="164"/>
      <c r="K6" s="238"/>
    </row>
    <row r="7" spans="1:11" ht="14.65" hidden="1" customHeight="1" x14ac:dyDescent="0.25">
      <c r="A7" s="80" t="s">
        <v>87</v>
      </c>
      <c r="B7" s="80">
        <v>44717</v>
      </c>
      <c r="C7" s="82" t="s">
        <v>31</v>
      </c>
      <c r="D7" s="82" t="s">
        <v>31</v>
      </c>
      <c r="E7" s="86">
        <f>WEEKNUM(Planning2[[#This Row],[Date]],21)</f>
        <v>23</v>
      </c>
      <c r="F7" s="87" t="str">
        <f>VLOOKUP(A7,Annuaire_roster!B:C,2,0)</f>
        <v>Google Leads</v>
      </c>
      <c r="G7" s="73"/>
      <c r="H7" s="73"/>
      <c r="J7" s="164"/>
      <c r="K7" s="238"/>
    </row>
    <row r="8" spans="1:11" ht="14.65" hidden="1" customHeight="1" x14ac:dyDescent="0.25">
      <c r="A8" s="80" t="s">
        <v>85</v>
      </c>
      <c r="B8" s="80">
        <v>44717</v>
      </c>
      <c r="C8" s="82">
        <v>0.41666666666666669</v>
      </c>
      <c r="D8" s="82">
        <v>0.83333333333333337</v>
      </c>
      <c r="E8" s="86">
        <f>WEEKNUM(Planning2[[#This Row],[Date]],21)</f>
        <v>23</v>
      </c>
      <c r="F8" s="121" t="str">
        <f>VLOOKUP(A8,Annuaire_roster!B:C,2,0)</f>
        <v>Google Leads</v>
      </c>
      <c r="G8" s="73"/>
      <c r="H8" s="73"/>
      <c r="J8" s="164"/>
      <c r="K8" s="238"/>
    </row>
    <row r="9" spans="1:11" ht="14.65" hidden="1" customHeight="1" x14ac:dyDescent="0.25">
      <c r="A9" s="80" t="s">
        <v>89</v>
      </c>
      <c r="B9" s="80">
        <v>44717</v>
      </c>
      <c r="C9" s="82" t="s">
        <v>31</v>
      </c>
      <c r="D9" s="82" t="s">
        <v>31</v>
      </c>
      <c r="E9" s="86">
        <f>WEEKNUM(Planning2[[#This Row],[Date]],21)</f>
        <v>23</v>
      </c>
      <c r="F9" s="121" t="str">
        <f>VLOOKUP(A9,Annuaire_roster!B:C,2,0)</f>
        <v>Google Leads</v>
      </c>
      <c r="G9" s="73"/>
      <c r="H9" s="73"/>
    </row>
    <row r="10" spans="1:11" ht="14.65" hidden="1" customHeight="1" x14ac:dyDescent="0.25">
      <c r="A10" s="80" t="s">
        <v>94</v>
      </c>
      <c r="B10" s="80">
        <v>44717</v>
      </c>
      <c r="C10" s="82" t="s">
        <v>31</v>
      </c>
      <c r="D10" s="82" t="s">
        <v>31</v>
      </c>
      <c r="E10" s="86">
        <f>WEEKNUM(Planning2[[#This Row],[Date]],21)</f>
        <v>23</v>
      </c>
      <c r="F10" s="87" t="str">
        <f>VLOOKUP(A10,Annuaire_roster!B:C,2,0)</f>
        <v>Google Leads</v>
      </c>
      <c r="G10" s="73"/>
      <c r="H10" s="73"/>
      <c r="J10" s="164"/>
    </row>
    <row r="11" spans="1:11" ht="14.65" hidden="1" customHeight="1" x14ac:dyDescent="0.25">
      <c r="A11" s="80" t="s">
        <v>91</v>
      </c>
      <c r="B11" s="80">
        <v>44717</v>
      </c>
      <c r="C11" s="82">
        <v>0.41666666666666669</v>
      </c>
      <c r="D11" s="82">
        <v>0.83333333333333337</v>
      </c>
      <c r="E11" s="86">
        <f>WEEKNUM(Planning2[[#This Row],[Date]],21)</f>
        <v>23</v>
      </c>
      <c r="F11" s="87" t="str">
        <f>VLOOKUP(A11,Annuaire_roster!B:C,2,0)</f>
        <v>Google Leads</v>
      </c>
      <c r="G11" s="73"/>
      <c r="H11" s="73"/>
    </row>
    <row r="12" spans="1:11" ht="14.65" hidden="1" customHeight="1" x14ac:dyDescent="0.25">
      <c r="A12" s="80" t="s">
        <v>214</v>
      </c>
      <c r="B12" s="80">
        <v>44717</v>
      </c>
      <c r="C12" s="82">
        <v>0.41666666666666669</v>
      </c>
      <c r="D12" s="82">
        <v>0.83333333333333337</v>
      </c>
      <c r="E12" s="86">
        <f>WEEKNUM(Planning2[[#This Row],[Date]],21)</f>
        <v>23</v>
      </c>
      <c r="F12" s="87" t="str">
        <f>VLOOKUP(A12,Annuaire_roster!B:C,2,0)</f>
        <v>Google Leads</v>
      </c>
      <c r="G12" s="73"/>
      <c r="H12" s="73"/>
    </row>
    <row r="13" spans="1:11" ht="14.65" hidden="1" customHeight="1" x14ac:dyDescent="0.25">
      <c r="A13" s="80" t="s">
        <v>102</v>
      </c>
      <c r="B13" s="80">
        <v>44717</v>
      </c>
      <c r="C13" s="82" t="s">
        <v>31</v>
      </c>
      <c r="D13" s="82" t="s">
        <v>31</v>
      </c>
      <c r="E13" s="76">
        <f>WEEKNUM(Planning2[[#This Row],[Date]],21)</f>
        <v>23</v>
      </c>
      <c r="F13" s="77" t="str">
        <f>VLOOKUP(A13,Annuaire_roster!B:C,2,0)</f>
        <v>Google Leads</v>
      </c>
      <c r="G13" s="129"/>
      <c r="H13" s="73"/>
    </row>
    <row r="14" spans="1:11" ht="14.65" hidden="1" customHeight="1" x14ac:dyDescent="0.25">
      <c r="A14" s="80" t="s">
        <v>215</v>
      </c>
      <c r="B14" s="80">
        <v>44717</v>
      </c>
      <c r="C14" s="82" t="s">
        <v>225</v>
      </c>
      <c r="D14" s="82" t="s">
        <v>225</v>
      </c>
      <c r="E14" s="76">
        <f>WEEKNUM(Planning2[[#This Row],[Date]],21)</f>
        <v>23</v>
      </c>
      <c r="F14" s="77" t="str">
        <f>VLOOKUP(A14,Annuaire_roster!B:C,2,0)</f>
        <v>Google Leads</v>
      </c>
      <c r="G14" s="129"/>
      <c r="H14" s="73"/>
    </row>
    <row r="15" spans="1:11" ht="14.65" hidden="1" customHeight="1" x14ac:dyDescent="0.25">
      <c r="A15" s="80" t="s">
        <v>88</v>
      </c>
      <c r="B15" s="80">
        <v>44717</v>
      </c>
      <c r="C15" s="82">
        <v>0.625</v>
      </c>
      <c r="D15" s="82">
        <v>0.70833333333333337</v>
      </c>
      <c r="E15" s="76">
        <f>WEEKNUM(Planning2[[#This Row],[Date]],21)</f>
        <v>23</v>
      </c>
      <c r="F15" s="77" t="str">
        <f>VLOOKUP(A15,Annuaire_roster!B:C,2,0)</f>
        <v>Google Leads</v>
      </c>
      <c r="G15" s="129"/>
      <c r="H15" s="73"/>
    </row>
    <row r="16" spans="1:11" ht="14.65" hidden="1" customHeight="1" x14ac:dyDescent="0.25">
      <c r="A16" s="80" t="s">
        <v>106</v>
      </c>
      <c r="B16" s="80">
        <v>44717</v>
      </c>
      <c r="C16" s="82" t="s">
        <v>31</v>
      </c>
      <c r="D16" s="82" t="s">
        <v>31</v>
      </c>
      <c r="E16" s="76">
        <f>WEEKNUM(Planning2[[#This Row],[Date]],21)</f>
        <v>23</v>
      </c>
      <c r="F16" s="77" t="str">
        <f>VLOOKUP(A16,Annuaire_roster!B:C,2,0)</f>
        <v>Google Leads</v>
      </c>
      <c r="G16" s="129"/>
      <c r="H16" s="73"/>
    </row>
    <row r="17" spans="1:8" ht="14.65" customHeight="1" x14ac:dyDescent="0.25">
      <c r="A17" s="80" t="s">
        <v>110</v>
      </c>
      <c r="B17" s="80">
        <v>44717</v>
      </c>
      <c r="C17" s="82">
        <v>0.625</v>
      </c>
      <c r="D17" s="82">
        <v>0.70833333333333337</v>
      </c>
      <c r="E17" s="76">
        <f>WEEKNUM(Planning2[[#This Row],[Date]],21)</f>
        <v>23</v>
      </c>
      <c r="F17" s="77" t="str">
        <f>VLOOKUP(A17,Annuaire_roster!B:C,2,0)</f>
        <v>Google Leads</v>
      </c>
      <c r="G17" s="129"/>
      <c r="H17" s="73"/>
    </row>
    <row r="18" spans="1:8" ht="14.65" hidden="1" customHeight="1" x14ac:dyDescent="0.25">
      <c r="A18" s="80" t="s">
        <v>126</v>
      </c>
      <c r="B18" s="80">
        <v>44717</v>
      </c>
      <c r="C18" s="82">
        <v>0.625</v>
      </c>
      <c r="D18" s="82">
        <v>0.70833333333333337</v>
      </c>
      <c r="E18" s="76">
        <f>WEEKNUM(Planning2[[#This Row],[Date]],21)</f>
        <v>23</v>
      </c>
      <c r="F18" s="77" t="str">
        <f>VLOOKUP(A18,Annuaire_roster!B:C,2,0)</f>
        <v>Google Leads</v>
      </c>
      <c r="G18" s="129"/>
      <c r="H18" s="73"/>
    </row>
    <row r="19" spans="1:8" ht="14.65" hidden="1" customHeight="1" x14ac:dyDescent="0.25">
      <c r="A19" s="80" t="s">
        <v>141</v>
      </c>
      <c r="B19" s="80">
        <v>44717</v>
      </c>
      <c r="C19" s="82">
        <v>0.625</v>
      </c>
      <c r="D19" s="82">
        <v>0.70833333333333337</v>
      </c>
      <c r="E19" s="76">
        <f>WEEKNUM(Planning2[[#This Row],[Date]],21)</f>
        <v>23</v>
      </c>
      <c r="F19" s="77" t="str">
        <f>VLOOKUP(A19,Annuaire_roster!B:C,2,0)</f>
        <v>Google Leads</v>
      </c>
      <c r="G19" s="129"/>
      <c r="H19" s="73"/>
    </row>
    <row r="20" spans="1:8" ht="14.65" hidden="1" customHeight="1" x14ac:dyDescent="0.25">
      <c r="A20" s="80" t="s">
        <v>120</v>
      </c>
      <c r="B20" s="80">
        <v>44717</v>
      </c>
      <c r="C20" s="82">
        <v>0.29166666666666669</v>
      </c>
      <c r="D20" s="82">
        <v>0.70833333333333337</v>
      </c>
      <c r="E20" s="76">
        <f>WEEKNUM(Planning2[[#This Row],[Date]],21)</f>
        <v>23</v>
      </c>
      <c r="F20" s="77" t="str">
        <f>VLOOKUP(A20,Annuaire_roster!B:C,2,0)</f>
        <v>Google Leads</v>
      </c>
      <c r="G20" s="129"/>
      <c r="H20" s="73"/>
    </row>
    <row r="21" spans="1:8" ht="14.65" hidden="1" customHeight="1" x14ac:dyDescent="0.25">
      <c r="A21" s="80" t="s">
        <v>144</v>
      </c>
      <c r="B21" s="80">
        <v>44717</v>
      </c>
      <c r="C21" s="82">
        <v>0.29166666666666669</v>
      </c>
      <c r="D21" s="82">
        <v>0.70833333333333337</v>
      </c>
      <c r="E21" s="76">
        <f>WEEKNUM(Planning2[[#This Row],[Date]],21)</f>
        <v>23</v>
      </c>
      <c r="F21" s="77" t="str">
        <f>VLOOKUP(A21,Annuaire_roster!B:C,2,0)</f>
        <v>Google Leads</v>
      </c>
      <c r="G21" s="129"/>
      <c r="H21" s="73"/>
    </row>
    <row r="22" spans="1:8" ht="14.65" hidden="1" customHeight="1" x14ac:dyDescent="0.25">
      <c r="A22" s="80" t="s">
        <v>196</v>
      </c>
      <c r="B22" s="80">
        <v>44717</v>
      </c>
      <c r="C22" s="82">
        <v>0.29166666666666669</v>
      </c>
      <c r="D22" s="82">
        <v>0.70833333333333337</v>
      </c>
      <c r="E22" s="76">
        <f>WEEKNUM(Planning2[[#This Row],[Date]],21)</f>
        <v>23</v>
      </c>
      <c r="F22" s="77" t="str">
        <f>VLOOKUP(A22,Annuaire_roster!B:C,2,0)</f>
        <v>Google Leads</v>
      </c>
      <c r="G22" s="129"/>
      <c r="H22" s="73"/>
    </row>
    <row r="23" spans="1:8" ht="14.65" hidden="1" customHeight="1" x14ac:dyDescent="0.25">
      <c r="A23" s="80" t="s">
        <v>197</v>
      </c>
      <c r="B23" s="80">
        <v>44717</v>
      </c>
      <c r="C23" s="82">
        <v>0.41666666666666669</v>
      </c>
      <c r="D23" s="82">
        <v>0.83333333333333337</v>
      </c>
      <c r="E23" s="76">
        <f>WEEKNUM(Planning2[[#This Row],[Date]],21)</f>
        <v>23</v>
      </c>
      <c r="F23" s="77" t="str">
        <f>VLOOKUP(A23,Annuaire_roster!B:C,2,0)</f>
        <v>Google Leads</v>
      </c>
      <c r="G23" s="129"/>
      <c r="H23" s="73"/>
    </row>
    <row r="24" spans="1:8" ht="14.65" hidden="1" customHeight="1" x14ac:dyDescent="0.25">
      <c r="A24" s="80" t="s">
        <v>198</v>
      </c>
      <c r="B24" s="80">
        <v>44717</v>
      </c>
      <c r="C24" s="82">
        <v>0.29166666666666669</v>
      </c>
      <c r="D24" s="82">
        <v>0.70833333333333337</v>
      </c>
      <c r="E24" s="76">
        <f>WEEKNUM(Planning2[[#This Row],[Date]],21)</f>
        <v>23</v>
      </c>
      <c r="F24" s="77" t="str">
        <f>VLOOKUP(A24,Annuaire_roster!B:C,2,0)</f>
        <v>Google Leads</v>
      </c>
      <c r="G24" s="129"/>
      <c r="H24" s="73"/>
    </row>
    <row r="25" spans="1:8" ht="14.65" hidden="1" customHeight="1" x14ac:dyDescent="0.25">
      <c r="A25" s="80" t="s">
        <v>209</v>
      </c>
      <c r="B25" s="80">
        <v>44717</v>
      </c>
      <c r="C25" s="159">
        <v>0.41666666666666669</v>
      </c>
      <c r="D25" s="159">
        <v>0.83333333333333337</v>
      </c>
      <c r="E25" s="160">
        <f>WEEKNUM(Planning2[[#This Row],[Date]],21)</f>
        <v>23</v>
      </c>
      <c r="F25" s="161" t="str">
        <f>VLOOKUP(A25,Annuaire_roster!B:C,2,0)</f>
        <v>Google Leads</v>
      </c>
      <c r="G25" s="162"/>
      <c r="H25" s="163"/>
    </row>
    <row r="26" spans="1:8" ht="14.65" hidden="1" customHeight="1" x14ac:dyDescent="0.25">
      <c r="A26" s="80" t="s">
        <v>210</v>
      </c>
      <c r="B26" s="80">
        <v>44717</v>
      </c>
      <c r="C26" s="159">
        <v>0.29166666666666669</v>
      </c>
      <c r="D26" s="159">
        <v>0.70833333333333337</v>
      </c>
      <c r="E26" s="76">
        <f>WEEKNUM(Planning2[[#This Row],[Date]],21)</f>
        <v>23</v>
      </c>
      <c r="F26" s="77" t="str">
        <f>VLOOKUP(A26,Annuaire_roster!B:C,2,0)</f>
        <v>Google Leads</v>
      </c>
      <c r="G26" s="129"/>
      <c r="H26" s="163"/>
    </row>
    <row r="27" spans="1:8" ht="14.65" hidden="1" customHeight="1" x14ac:dyDescent="0.25">
      <c r="A27" s="80" t="s">
        <v>212</v>
      </c>
      <c r="B27" s="80">
        <v>44717</v>
      </c>
      <c r="C27" s="159">
        <v>0.29166666666666669</v>
      </c>
      <c r="D27" s="159">
        <v>0.70833333333333337</v>
      </c>
      <c r="E27" s="76">
        <f>WEEKNUM(Planning2[[#This Row],[Date]],21)</f>
        <v>23</v>
      </c>
      <c r="F27" s="77" t="str">
        <f>VLOOKUP(A27,Annuaire_roster!B:C,2,0)</f>
        <v>Google Leads</v>
      </c>
      <c r="G27" s="129"/>
      <c r="H27" s="163"/>
    </row>
    <row r="28" spans="1:8" ht="14.65" hidden="1" customHeight="1" x14ac:dyDescent="0.25">
      <c r="A28" s="80" t="s">
        <v>216</v>
      </c>
      <c r="B28" s="80">
        <v>44717</v>
      </c>
      <c r="C28" s="82">
        <v>0.41666666666666669</v>
      </c>
      <c r="D28" s="82">
        <v>0.83333333333333337</v>
      </c>
      <c r="E28" s="76">
        <f>WEEKNUM(Planning2[[#This Row],[Date]],21)</f>
        <v>23</v>
      </c>
      <c r="F28" s="77" t="str">
        <f>VLOOKUP(A28,Annuaire_roster!B:C,2,0)</f>
        <v>Google Leads</v>
      </c>
      <c r="G28" s="73"/>
      <c r="H28" s="73"/>
    </row>
    <row r="29" spans="1:8" ht="14.65" hidden="1" customHeight="1" x14ac:dyDescent="0.25">
      <c r="A29" s="80" t="s">
        <v>217</v>
      </c>
      <c r="B29" s="80">
        <v>44717</v>
      </c>
      <c r="C29" s="82">
        <v>0.41666666666666669</v>
      </c>
      <c r="D29" s="82">
        <v>0.83333333333333337</v>
      </c>
      <c r="E29" s="76">
        <f>WEEKNUM(Planning2[[#This Row],[Date]],21)</f>
        <v>23</v>
      </c>
      <c r="F29" s="77" t="str">
        <f>VLOOKUP(A29,Annuaire_roster!B:C,2,0)</f>
        <v>Google Leads</v>
      </c>
      <c r="G29" s="73"/>
      <c r="H29" s="73"/>
    </row>
    <row r="30" spans="1:8" ht="14.65" hidden="1" customHeight="1" x14ac:dyDescent="0.25">
      <c r="A30" s="80" t="s">
        <v>219</v>
      </c>
      <c r="B30" s="80">
        <v>44717</v>
      </c>
      <c r="C30" s="82">
        <v>0.29166666666666669</v>
      </c>
      <c r="D30" s="82">
        <v>0.70833333333333337</v>
      </c>
      <c r="E30" s="76">
        <f>WEEKNUM(Planning2[[#This Row],[Date]],21)</f>
        <v>23</v>
      </c>
      <c r="F30" s="77" t="str">
        <f>VLOOKUP(A30,Annuaire_roster!B:C,2,0)</f>
        <v>Google Leads</v>
      </c>
      <c r="G30" s="73"/>
      <c r="H30" s="73"/>
    </row>
    <row r="31" spans="1:8" ht="14.65" hidden="1" customHeight="1" x14ac:dyDescent="0.25">
      <c r="A31" s="80" t="s">
        <v>220</v>
      </c>
      <c r="B31" s="80">
        <v>44717</v>
      </c>
      <c r="C31" s="82">
        <v>0.29166666666666669</v>
      </c>
      <c r="D31" s="82">
        <v>0.70833333333333337</v>
      </c>
      <c r="E31" s="76">
        <f>WEEKNUM(Planning2[[#This Row],[Date]],21)</f>
        <v>23</v>
      </c>
      <c r="F31" s="77" t="str">
        <f>VLOOKUP(A31,Annuaire_roster!B:C,2,0)</f>
        <v>Google Leads</v>
      </c>
      <c r="G31" s="73"/>
      <c r="H31" s="73"/>
    </row>
    <row r="32" spans="1:8" ht="14.65" hidden="1" customHeight="1" x14ac:dyDescent="0.25">
      <c r="A32" s="80" t="s">
        <v>221</v>
      </c>
      <c r="B32" s="80">
        <v>44717</v>
      </c>
      <c r="C32" s="82" t="s">
        <v>31</v>
      </c>
      <c r="D32" s="119" t="s">
        <v>31</v>
      </c>
      <c r="E32" s="76">
        <f>WEEKNUM(Planning2[[#This Row],[Date]],21)</f>
        <v>23</v>
      </c>
      <c r="F32" s="77" t="str">
        <f>VLOOKUP(A32,Annuaire_roster!B:C,2,0)</f>
        <v>Google Leads</v>
      </c>
      <c r="G32" s="73"/>
      <c r="H32" s="73"/>
    </row>
    <row r="33" spans="1:8" ht="14.65" hidden="1" customHeight="1" x14ac:dyDescent="0.25">
      <c r="A33" s="124" t="s">
        <v>224</v>
      </c>
      <c r="B33" s="80">
        <v>44717</v>
      </c>
      <c r="C33" s="82">
        <v>0.41666666666666669</v>
      </c>
      <c r="D33" s="82">
        <v>0.83333333333333337</v>
      </c>
      <c r="E33" s="76">
        <f>WEEKNUM(Planning2[[#This Row],[Date]],21)</f>
        <v>23</v>
      </c>
      <c r="F33" s="77" t="str">
        <f>VLOOKUP(A33,Annuaire_roster!B:C,2,0)</f>
        <v>Google Leads</v>
      </c>
      <c r="G33" s="73"/>
      <c r="H33" s="73"/>
    </row>
    <row r="34" spans="1:8" ht="14.65" hidden="1" customHeight="1" x14ac:dyDescent="0.25">
      <c r="A34" s="80" t="s">
        <v>213</v>
      </c>
      <c r="B34" s="80">
        <f>+B2+1</f>
        <v>44718</v>
      </c>
      <c r="C34" s="82">
        <v>0.41666666666666669</v>
      </c>
      <c r="D34" s="82">
        <v>0.83333333333333337</v>
      </c>
      <c r="E34" s="76">
        <f>WEEKNUM(Planning2[[#This Row],[Date]],21)</f>
        <v>23</v>
      </c>
      <c r="F34" s="77" t="str">
        <f>VLOOKUP(A34,Annuaire_roster!B:C,2,0)</f>
        <v>Google Leads</v>
      </c>
      <c r="G34" s="73"/>
      <c r="H34" s="73"/>
    </row>
    <row r="35" spans="1:8" ht="14.65" hidden="1" customHeight="1" x14ac:dyDescent="0.25">
      <c r="A35" s="80" t="s">
        <v>80</v>
      </c>
      <c r="B35" s="80">
        <f t="shared" ref="B35:B98" si="0">+B3+1</f>
        <v>44718</v>
      </c>
      <c r="C35" s="82" t="s">
        <v>226</v>
      </c>
      <c r="D35" s="82" t="s">
        <v>226</v>
      </c>
      <c r="E35" s="76">
        <f>WEEKNUM(Planning2[[#This Row],[Date]],21)</f>
        <v>23</v>
      </c>
      <c r="F35" s="77" t="str">
        <f>VLOOKUP(A35,Annuaire_roster!B:C,2,0)</f>
        <v>Google Leads</v>
      </c>
      <c r="G35" s="73"/>
      <c r="H35" s="73"/>
    </row>
    <row r="36" spans="1:8" ht="14.65" hidden="1" customHeight="1" x14ac:dyDescent="0.25">
      <c r="A36" s="80" t="s">
        <v>45</v>
      </c>
      <c r="B36" s="80">
        <f t="shared" si="0"/>
        <v>44718</v>
      </c>
      <c r="C36" s="82">
        <v>0.29166666666666669</v>
      </c>
      <c r="D36" s="82">
        <v>0.70833333333333337</v>
      </c>
      <c r="E36" s="76">
        <f>WEEKNUM(Planning2[[#This Row],[Date]],21)</f>
        <v>23</v>
      </c>
      <c r="F36" s="77" t="str">
        <f>VLOOKUP(A36,Annuaire_roster!B:C,2,0)</f>
        <v>Google Leads</v>
      </c>
      <c r="G36" s="73"/>
      <c r="H36" s="73"/>
    </row>
    <row r="37" spans="1:8" ht="14.65" hidden="1" customHeight="1" x14ac:dyDescent="0.25">
      <c r="A37" s="80" t="s">
        <v>76</v>
      </c>
      <c r="B37" s="80">
        <f t="shared" si="0"/>
        <v>44718</v>
      </c>
      <c r="C37" s="82">
        <v>0.29166666666666669</v>
      </c>
      <c r="D37" s="82">
        <v>0.70833333333333337</v>
      </c>
      <c r="E37" s="76">
        <f>WEEKNUM(Planning2[[#This Row],[Date]],21)</f>
        <v>23</v>
      </c>
      <c r="F37" s="77" t="str">
        <f>VLOOKUP(A37,Annuaire_roster!B:C,2,0)</f>
        <v>Google Leads</v>
      </c>
      <c r="G37" s="73"/>
      <c r="H37" s="73"/>
    </row>
    <row r="38" spans="1:8" ht="14.65" hidden="1" customHeight="1" x14ac:dyDescent="0.25">
      <c r="A38" s="80" t="s">
        <v>83</v>
      </c>
      <c r="B38" s="80">
        <f t="shared" si="0"/>
        <v>44718</v>
      </c>
      <c r="C38" s="82" t="s">
        <v>31</v>
      </c>
      <c r="D38" s="82" t="s">
        <v>31</v>
      </c>
      <c r="E38" s="76">
        <f>WEEKNUM(Planning2[[#This Row],[Date]],21)</f>
        <v>23</v>
      </c>
      <c r="F38" s="77" t="str">
        <f>VLOOKUP(A38,Annuaire_roster!B:C,2,0)</f>
        <v>Google Leads</v>
      </c>
      <c r="G38" s="73"/>
      <c r="H38" s="73"/>
    </row>
    <row r="39" spans="1:8" ht="14.65" hidden="1" customHeight="1" x14ac:dyDescent="0.25">
      <c r="A39" s="80" t="s">
        <v>87</v>
      </c>
      <c r="B39" s="80">
        <f t="shared" si="0"/>
        <v>44718</v>
      </c>
      <c r="C39" s="82">
        <v>0.41666666666666669</v>
      </c>
      <c r="D39" s="82">
        <v>0.83333333333333337</v>
      </c>
      <c r="E39" s="76">
        <f>WEEKNUM(Planning2[[#This Row],[Date]],21)</f>
        <v>23</v>
      </c>
      <c r="F39" s="77" t="str">
        <f>VLOOKUP(A39,Annuaire_roster!B:C,2,0)</f>
        <v>Google Leads</v>
      </c>
      <c r="G39" s="164"/>
      <c r="H39" s="164"/>
    </row>
    <row r="40" spans="1:8" ht="14.65" hidden="1" customHeight="1" x14ac:dyDescent="0.25">
      <c r="A40" s="80" t="s">
        <v>85</v>
      </c>
      <c r="B40" s="80">
        <f t="shared" si="0"/>
        <v>44718</v>
      </c>
      <c r="C40" s="82">
        <v>0.41666666666666669</v>
      </c>
      <c r="D40" s="82">
        <v>0.83333333333333337</v>
      </c>
      <c r="E40" s="76">
        <f>WEEKNUM(Planning2[[#This Row],[Date]],21)</f>
        <v>23</v>
      </c>
      <c r="F40" s="77" t="str">
        <f>VLOOKUP(A40,Annuaire_roster!B:C,2,0)</f>
        <v>Google Leads</v>
      </c>
      <c r="G40" s="164"/>
      <c r="H40" s="164"/>
    </row>
    <row r="41" spans="1:8" ht="14.65" hidden="1" customHeight="1" x14ac:dyDescent="0.25">
      <c r="A41" s="80" t="s">
        <v>89</v>
      </c>
      <c r="B41" s="80">
        <f t="shared" si="0"/>
        <v>44718</v>
      </c>
      <c r="C41" s="82">
        <v>0.29166666666666669</v>
      </c>
      <c r="D41" s="82">
        <v>0.70833333333333337</v>
      </c>
      <c r="E41" s="76">
        <f>WEEKNUM(Planning2[[#This Row],[Date]],21)</f>
        <v>23</v>
      </c>
      <c r="F41" s="77" t="str">
        <f>VLOOKUP(A41,Annuaire_roster!B:C,2,0)</f>
        <v>Google Leads</v>
      </c>
      <c r="G41" s="73"/>
      <c r="H41" s="73"/>
    </row>
    <row r="42" spans="1:8" ht="14.65" hidden="1" customHeight="1" x14ac:dyDescent="0.25">
      <c r="A42" s="80" t="s">
        <v>94</v>
      </c>
      <c r="B42" s="80">
        <f t="shared" si="0"/>
        <v>44718</v>
      </c>
      <c r="C42" s="82" t="s">
        <v>31</v>
      </c>
      <c r="D42" s="82" t="s">
        <v>31</v>
      </c>
      <c r="E42" s="76">
        <f>WEEKNUM(Planning2[[#This Row],[Date]],21)</f>
        <v>23</v>
      </c>
      <c r="F42" s="77" t="str">
        <f>VLOOKUP(A42,Annuaire_roster!B:C,2,0)</f>
        <v>Google Leads</v>
      </c>
      <c r="G42" s="73"/>
      <c r="H42" s="73"/>
    </row>
    <row r="43" spans="1:8" ht="14.65" hidden="1" customHeight="1" x14ac:dyDescent="0.25">
      <c r="A43" s="80" t="s">
        <v>91</v>
      </c>
      <c r="B43" s="80">
        <f t="shared" si="0"/>
        <v>44718</v>
      </c>
      <c r="C43" s="110">
        <v>0.41666666666666669</v>
      </c>
      <c r="D43" s="82">
        <v>0.83333333333333337</v>
      </c>
      <c r="E43" s="76">
        <f>WEEKNUM(Planning2[[#This Row],[Date]],21)</f>
        <v>23</v>
      </c>
      <c r="F43" s="77" t="str">
        <f>VLOOKUP(A43,Annuaire_roster!B:C,2,0)</f>
        <v>Google Leads</v>
      </c>
      <c r="G43" s="73"/>
      <c r="H43" s="73"/>
    </row>
    <row r="44" spans="1:8" ht="14.65" hidden="1" customHeight="1" x14ac:dyDescent="0.25">
      <c r="A44" s="80" t="s">
        <v>214</v>
      </c>
      <c r="B44" s="80">
        <f t="shared" si="0"/>
        <v>44718</v>
      </c>
      <c r="C44" s="82">
        <v>0.41666666666666669</v>
      </c>
      <c r="D44" s="82">
        <v>0.83333333333333337</v>
      </c>
      <c r="E44" s="76">
        <f>WEEKNUM(Planning2[[#This Row],[Date]],21)</f>
        <v>23</v>
      </c>
      <c r="F44" s="77" t="str">
        <f>VLOOKUP(A44,Annuaire_roster!B:C,2,0)</f>
        <v>Google Leads</v>
      </c>
      <c r="G44" s="73"/>
      <c r="H44" s="73"/>
    </row>
    <row r="45" spans="1:8" ht="14.65" hidden="1" customHeight="1" x14ac:dyDescent="0.25">
      <c r="A45" s="80" t="s">
        <v>102</v>
      </c>
      <c r="B45" s="80">
        <f t="shared" si="0"/>
        <v>44718</v>
      </c>
      <c r="C45" s="82">
        <v>0.29166666666666669</v>
      </c>
      <c r="D45" s="82">
        <v>0.66666666666666663</v>
      </c>
      <c r="E45" s="111">
        <f>WEEKNUM(Planning2[[#This Row],[Date]],21)</f>
        <v>23</v>
      </c>
      <c r="F45" s="112" t="str">
        <f>VLOOKUP(A45,Annuaire_roster!B:C,2,0)</f>
        <v>Google Leads</v>
      </c>
      <c r="G45" s="73"/>
      <c r="H45" s="73"/>
    </row>
    <row r="46" spans="1:8" ht="14.65" hidden="1" customHeight="1" x14ac:dyDescent="0.25">
      <c r="A46" s="80" t="s">
        <v>215</v>
      </c>
      <c r="B46" s="80">
        <f t="shared" si="0"/>
        <v>44718</v>
      </c>
      <c r="C46" s="110" t="s">
        <v>225</v>
      </c>
      <c r="D46" s="82" t="s">
        <v>225</v>
      </c>
      <c r="E46" s="111">
        <f>WEEKNUM(Planning2[[#This Row],[Date]],21)</f>
        <v>23</v>
      </c>
      <c r="F46" s="112" t="str">
        <f>VLOOKUP(A46,Annuaire_roster!B:C,2,0)</f>
        <v>Google Leads</v>
      </c>
      <c r="G46" s="73"/>
      <c r="H46" s="73"/>
    </row>
    <row r="47" spans="1:8" ht="14.65" hidden="1" customHeight="1" x14ac:dyDescent="0.25">
      <c r="A47" s="80" t="s">
        <v>88</v>
      </c>
      <c r="B47" s="80">
        <f t="shared" si="0"/>
        <v>44718</v>
      </c>
      <c r="C47" s="82">
        <v>0.625</v>
      </c>
      <c r="D47" s="82">
        <v>0.70833333333333337</v>
      </c>
      <c r="E47" s="111">
        <f>WEEKNUM(Planning2[[#This Row],[Date]],21)</f>
        <v>23</v>
      </c>
      <c r="F47" s="112" t="str">
        <f>VLOOKUP(A47,Annuaire_roster!B:C,2,0)</f>
        <v>Google Leads</v>
      </c>
      <c r="G47" s="73"/>
      <c r="H47" s="73"/>
    </row>
    <row r="48" spans="1:8" ht="14.65" hidden="1" customHeight="1" x14ac:dyDescent="0.25">
      <c r="A48" s="80" t="s">
        <v>106</v>
      </c>
      <c r="B48" s="80">
        <f t="shared" si="0"/>
        <v>44718</v>
      </c>
      <c r="C48" s="82">
        <v>0.41666666666666669</v>
      </c>
      <c r="D48" s="82">
        <v>0.83333333333333337</v>
      </c>
      <c r="E48" s="111">
        <f>WEEKNUM(Planning2[[#This Row],[Date]],21)</f>
        <v>23</v>
      </c>
      <c r="F48" s="112" t="str">
        <f>VLOOKUP(A48,Annuaire_roster!B:C,2,0)</f>
        <v>Google Leads</v>
      </c>
      <c r="G48" s="73"/>
      <c r="H48" s="73"/>
    </row>
    <row r="49" spans="1:8" ht="14.65" customHeight="1" x14ac:dyDescent="0.25">
      <c r="A49" s="80" t="s">
        <v>110</v>
      </c>
      <c r="B49" s="80">
        <f t="shared" si="0"/>
        <v>44718</v>
      </c>
      <c r="C49" s="110">
        <v>0.41666666666666669</v>
      </c>
      <c r="D49" s="82">
        <v>0.83333333333333337</v>
      </c>
      <c r="E49" s="111">
        <f>WEEKNUM(Planning2[[#This Row],[Date]],21)</f>
        <v>23</v>
      </c>
      <c r="F49" s="112" t="str">
        <f>VLOOKUP(A49,Annuaire_roster!B:C,2,0)</f>
        <v>Google Leads</v>
      </c>
      <c r="G49" s="73"/>
      <c r="H49" s="73"/>
    </row>
    <row r="50" spans="1:8" ht="14.65" hidden="1" customHeight="1" x14ac:dyDescent="0.25">
      <c r="A50" s="80" t="s">
        <v>126</v>
      </c>
      <c r="B50" s="80">
        <f t="shared" si="0"/>
        <v>44718</v>
      </c>
      <c r="C50" s="82">
        <v>0.625</v>
      </c>
      <c r="D50" s="82">
        <v>0.70833333333333337</v>
      </c>
      <c r="E50" s="76">
        <f>WEEKNUM(Planning2[[#This Row],[Date]],21)</f>
        <v>23</v>
      </c>
      <c r="F50" s="77" t="str">
        <f>VLOOKUP(A50,Annuaire_roster!B:C,2,0)</f>
        <v>Google Leads</v>
      </c>
      <c r="G50" s="73"/>
      <c r="H50" s="73"/>
    </row>
    <row r="51" spans="1:8" ht="14.65" hidden="1" customHeight="1" x14ac:dyDescent="0.25">
      <c r="A51" s="80" t="s">
        <v>141</v>
      </c>
      <c r="B51" s="80">
        <f t="shared" si="0"/>
        <v>44718</v>
      </c>
      <c r="C51" s="82">
        <v>0.41666666666666669</v>
      </c>
      <c r="D51" s="82">
        <v>0.83333333333333337</v>
      </c>
      <c r="E51" s="76">
        <f>WEEKNUM(Planning2[[#This Row],[Date]],21)</f>
        <v>23</v>
      </c>
      <c r="F51" s="77" t="str">
        <f>VLOOKUP(A51,Annuaire_roster!B:C,2,0)</f>
        <v>Google Leads</v>
      </c>
      <c r="G51" s="73"/>
      <c r="H51" s="73"/>
    </row>
    <row r="52" spans="1:8" ht="14.65" hidden="1" customHeight="1" x14ac:dyDescent="0.25">
      <c r="A52" s="80" t="s">
        <v>120</v>
      </c>
      <c r="B52" s="80">
        <f t="shared" si="0"/>
        <v>44718</v>
      </c>
      <c r="C52" s="82">
        <v>0.41666666666666669</v>
      </c>
      <c r="D52" s="82">
        <v>0.83333333333333337</v>
      </c>
      <c r="E52" s="76">
        <f>WEEKNUM(Planning2[[#This Row],[Date]],21)</f>
        <v>23</v>
      </c>
      <c r="F52" s="77" t="str">
        <f>VLOOKUP(A52,Annuaire_roster!B:C,2,0)</f>
        <v>Google Leads</v>
      </c>
      <c r="G52" s="73"/>
      <c r="H52" s="73"/>
    </row>
    <row r="53" spans="1:8" ht="14.65" hidden="1" customHeight="1" x14ac:dyDescent="0.25">
      <c r="A53" s="80" t="s">
        <v>144</v>
      </c>
      <c r="B53" s="80">
        <f t="shared" si="0"/>
        <v>44718</v>
      </c>
      <c r="C53" s="82">
        <v>0.29166666666666669</v>
      </c>
      <c r="D53" s="82">
        <v>0.70833333333333337</v>
      </c>
      <c r="E53" s="76">
        <f>WEEKNUM(Planning2[[#This Row],[Date]],21)</f>
        <v>23</v>
      </c>
      <c r="F53" s="77" t="str">
        <f>VLOOKUP(A53,Annuaire_roster!B:C,2,0)</f>
        <v>Google Leads</v>
      </c>
      <c r="G53" s="73"/>
      <c r="H53" s="165"/>
    </row>
    <row r="54" spans="1:8" ht="14.65" hidden="1" customHeight="1" x14ac:dyDescent="0.25">
      <c r="A54" s="80" t="s">
        <v>196</v>
      </c>
      <c r="B54" s="80">
        <f t="shared" si="0"/>
        <v>44718</v>
      </c>
      <c r="C54" s="82">
        <v>0.29166666666666669</v>
      </c>
      <c r="D54" s="82">
        <v>0.70833333333333337</v>
      </c>
      <c r="E54" s="120">
        <f>WEEKNUM(Planning2[[#This Row],[Date]],21)</f>
        <v>23</v>
      </c>
      <c r="F54" s="121" t="str">
        <f>VLOOKUP(A54,Annuaire_roster!B:C,2,0)</f>
        <v>Google Leads</v>
      </c>
      <c r="G54" s="73"/>
      <c r="H54" s="165"/>
    </row>
    <row r="55" spans="1:8" ht="14.65" hidden="1" customHeight="1" x14ac:dyDescent="0.25">
      <c r="A55" s="80" t="s">
        <v>197</v>
      </c>
      <c r="B55" s="80">
        <f t="shared" si="0"/>
        <v>44718</v>
      </c>
      <c r="C55" s="82" t="s">
        <v>31</v>
      </c>
      <c r="D55" s="82" t="s">
        <v>31</v>
      </c>
      <c r="E55" s="120">
        <f>WEEKNUM(Planning2[[#This Row],[Date]],21)</f>
        <v>23</v>
      </c>
      <c r="F55" s="121" t="str">
        <f>VLOOKUP(A55,Annuaire_roster!B:C,2,0)</f>
        <v>Google Leads</v>
      </c>
      <c r="G55" s="73"/>
      <c r="H55" s="165"/>
    </row>
    <row r="56" spans="1:8" ht="14.65" hidden="1" customHeight="1" x14ac:dyDescent="0.25">
      <c r="A56" s="80" t="s">
        <v>198</v>
      </c>
      <c r="B56" s="80">
        <f t="shared" si="0"/>
        <v>44718</v>
      </c>
      <c r="C56" s="82">
        <v>0.29166666666666669</v>
      </c>
      <c r="D56" s="82">
        <v>0.66666666666666663</v>
      </c>
      <c r="E56" s="120">
        <f>WEEKNUM(Planning2[[#This Row],[Date]],21)</f>
        <v>23</v>
      </c>
      <c r="F56" s="121" t="str">
        <f>VLOOKUP(A56,Annuaire_roster!B:C,2,0)</f>
        <v>Google Leads</v>
      </c>
      <c r="G56" s="73"/>
      <c r="H56" s="165"/>
    </row>
    <row r="57" spans="1:8" ht="14.65" hidden="1" customHeight="1" x14ac:dyDescent="0.25">
      <c r="A57" s="80" t="s">
        <v>209</v>
      </c>
      <c r="B57" s="80">
        <f t="shared" si="0"/>
        <v>44718</v>
      </c>
      <c r="C57" s="82">
        <v>0.41666666666666669</v>
      </c>
      <c r="D57" s="82">
        <v>0.83333333333333337</v>
      </c>
      <c r="E57" s="120">
        <f>WEEKNUM(Planning2[[#This Row],[Date]],21)</f>
        <v>23</v>
      </c>
      <c r="F57" s="121" t="str">
        <f>VLOOKUP(A57,Annuaire_roster!B:C,2,0)</f>
        <v>Google Leads</v>
      </c>
      <c r="G57" s="73"/>
      <c r="H57" s="73"/>
    </row>
    <row r="58" spans="1:8" ht="14.65" hidden="1" customHeight="1" x14ac:dyDescent="0.25">
      <c r="A58" s="80" t="s">
        <v>210</v>
      </c>
      <c r="B58" s="80">
        <f t="shared" si="0"/>
        <v>44718</v>
      </c>
      <c r="C58" s="82">
        <v>0.29166666666666669</v>
      </c>
      <c r="D58" s="82">
        <v>0.70833333333333337</v>
      </c>
      <c r="E58" s="126">
        <f>WEEKNUM(Planning2[[#This Row],[Date]],21)</f>
        <v>23</v>
      </c>
      <c r="F58" s="127" t="str">
        <f>VLOOKUP(A58,Annuaire_roster!B:C,2,0)</f>
        <v>Google Leads</v>
      </c>
      <c r="G58" s="73"/>
      <c r="H58" s="73"/>
    </row>
    <row r="59" spans="1:8" ht="14.65" hidden="1" customHeight="1" x14ac:dyDescent="0.25">
      <c r="A59" s="80" t="s">
        <v>212</v>
      </c>
      <c r="B59" s="80">
        <f t="shared" si="0"/>
        <v>44718</v>
      </c>
      <c r="C59" s="125">
        <v>0.29166666666666669</v>
      </c>
      <c r="D59" s="125">
        <v>0.70833333333333337</v>
      </c>
      <c r="E59" s="126">
        <f>WEEKNUM(Planning2[[#This Row],[Date]],21)</f>
        <v>23</v>
      </c>
      <c r="F59" s="127" t="str">
        <f>VLOOKUP(A59,Annuaire_roster!B:C,2,0)</f>
        <v>Google Leads</v>
      </c>
      <c r="G59" s="73"/>
      <c r="H59" s="73"/>
    </row>
    <row r="60" spans="1:8" ht="14.65" hidden="1" customHeight="1" x14ac:dyDescent="0.25">
      <c r="A60" s="80" t="s">
        <v>216</v>
      </c>
      <c r="B60" s="80">
        <f t="shared" si="0"/>
        <v>44718</v>
      </c>
      <c r="C60" s="125">
        <v>0.29166666666666669</v>
      </c>
      <c r="D60" s="82">
        <v>0.70833333333333337</v>
      </c>
      <c r="E60" s="126">
        <f>WEEKNUM(Planning2[[#This Row],[Date]],21)</f>
        <v>23</v>
      </c>
      <c r="F60" s="127" t="str">
        <f>VLOOKUP(A60,Annuaire_roster!B:C,2,0)</f>
        <v>Google Leads</v>
      </c>
      <c r="G60" s="73"/>
      <c r="H60" s="73"/>
    </row>
    <row r="61" spans="1:8" ht="14.65" hidden="1" customHeight="1" x14ac:dyDescent="0.25">
      <c r="A61" s="80" t="s">
        <v>217</v>
      </c>
      <c r="B61" s="80">
        <f t="shared" si="0"/>
        <v>44718</v>
      </c>
      <c r="C61" s="82">
        <v>0.41666666666666669</v>
      </c>
      <c r="D61" s="82">
        <v>0.83333333333333337</v>
      </c>
      <c r="E61" s="126">
        <f>WEEKNUM(Planning2[[#This Row],[Date]],21)</f>
        <v>23</v>
      </c>
      <c r="F61" s="127" t="str">
        <f>VLOOKUP(A61,Annuaire_roster!B:C,2,0)</f>
        <v>Google Leads</v>
      </c>
      <c r="G61" s="73"/>
      <c r="H61" s="73"/>
    </row>
    <row r="62" spans="1:8" ht="14.65" hidden="1" customHeight="1" x14ac:dyDescent="0.25">
      <c r="A62" s="80" t="s">
        <v>219</v>
      </c>
      <c r="B62" s="80">
        <f t="shared" si="0"/>
        <v>44718</v>
      </c>
      <c r="C62" s="125">
        <v>0.29166666666666669</v>
      </c>
      <c r="D62" s="82">
        <v>0.70833333333333337</v>
      </c>
      <c r="E62" s="126">
        <f>WEEKNUM(Planning2[[#This Row],[Date]],21)</f>
        <v>23</v>
      </c>
      <c r="F62" s="127" t="str">
        <f>VLOOKUP(A62,Annuaire_roster!B:C,2,0)</f>
        <v>Google Leads</v>
      </c>
      <c r="G62" s="73"/>
      <c r="H62" s="73"/>
    </row>
    <row r="63" spans="1:8" ht="14.65" hidden="1" customHeight="1" x14ac:dyDescent="0.25">
      <c r="A63" s="80" t="s">
        <v>220</v>
      </c>
      <c r="B63" s="80">
        <f t="shared" si="0"/>
        <v>44718</v>
      </c>
      <c r="C63" s="125">
        <v>0.29166666666666669</v>
      </c>
      <c r="D63" s="82">
        <v>0.70833333333333337</v>
      </c>
      <c r="E63" s="126">
        <f>WEEKNUM(Planning2[[#This Row],[Date]],21)</f>
        <v>23</v>
      </c>
      <c r="F63" s="127" t="str">
        <f>VLOOKUP(A63,Annuaire_roster!B:C,2,0)</f>
        <v>Google Leads</v>
      </c>
      <c r="G63" s="73"/>
      <c r="H63" s="73"/>
    </row>
    <row r="64" spans="1:8" ht="14.65" hidden="1" customHeight="1" x14ac:dyDescent="0.25">
      <c r="A64" s="80" t="s">
        <v>221</v>
      </c>
      <c r="B64" s="80">
        <f t="shared" si="0"/>
        <v>44718</v>
      </c>
      <c r="C64" s="82" t="s">
        <v>31</v>
      </c>
      <c r="D64" s="82" t="s">
        <v>31</v>
      </c>
      <c r="E64" s="126">
        <f>WEEKNUM(Planning2[[#This Row],[Date]],21)</f>
        <v>23</v>
      </c>
      <c r="F64" s="127" t="str">
        <f>VLOOKUP(A64,Annuaire_roster!B:C,2,0)</f>
        <v>Google Leads</v>
      </c>
      <c r="G64" s="73"/>
      <c r="H64" s="73"/>
    </row>
    <row r="65" spans="1:8" ht="14.65" hidden="1" customHeight="1" x14ac:dyDescent="0.25">
      <c r="A65" s="124" t="s">
        <v>224</v>
      </c>
      <c r="B65" s="80">
        <f t="shared" si="0"/>
        <v>44718</v>
      </c>
      <c r="C65" s="82">
        <v>0.41666666666666669</v>
      </c>
      <c r="D65" s="82">
        <v>0.83333333333333337</v>
      </c>
      <c r="E65" s="126">
        <f>WEEKNUM(Planning2[[#This Row],[Date]],21)</f>
        <v>23</v>
      </c>
      <c r="F65" s="127" t="str">
        <f>VLOOKUP(A65,Annuaire_roster!B:C,2,0)</f>
        <v>Google Leads</v>
      </c>
      <c r="G65" s="73"/>
      <c r="H65" s="73"/>
    </row>
    <row r="66" spans="1:8" ht="14.65" hidden="1" customHeight="1" x14ac:dyDescent="0.25">
      <c r="A66" s="80" t="s">
        <v>213</v>
      </c>
      <c r="B66" s="80">
        <f t="shared" si="0"/>
        <v>44719</v>
      </c>
      <c r="C66" s="82" t="s">
        <v>31</v>
      </c>
      <c r="D66" s="82" t="s">
        <v>31</v>
      </c>
      <c r="E66" s="126">
        <f>WEEKNUM(Planning2[[#This Row],[Date]],21)</f>
        <v>24</v>
      </c>
      <c r="F66" s="127" t="str">
        <f>VLOOKUP(A66,Annuaire_roster!B:C,2,0)</f>
        <v>Google Leads</v>
      </c>
      <c r="G66" s="73"/>
      <c r="H66" s="73"/>
    </row>
    <row r="67" spans="1:8" ht="14.65" hidden="1" customHeight="1" x14ac:dyDescent="0.25">
      <c r="A67" s="80" t="s">
        <v>80</v>
      </c>
      <c r="B67" s="80">
        <f t="shared" si="0"/>
        <v>44719</v>
      </c>
      <c r="C67" s="82" t="s">
        <v>226</v>
      </c>
      <c r="D67" s="82" t="s">
        <v>226</v>
      </c>
      <c r="E67" s="126">
        <f>WEEKNUM(Planning2[[#This Row],[Date]],21)</f>
        <v>24</v>
      </c>
      <c r="F67" s="127" t="str">
        <f>VLOOKUP(A67,Annuaire_roster!B:C,2,0)</f>
        <v>Google Leads</v>
      </c>
      <c r="G67" s="73"/>
      <c r="H67" s="73"/>
    </row>
    <row r="68" spans="1:8" ht="14.65" hidden="1" customHeight="1" x14ac:dyDescent="0.25">
      <c r="A68" s="80" t="s">
        <v>45</v>
      </c>
      <c r="B68" s="80">
        <f t="shared" si="0"/>
        <v>44719</v>
      </c>
      <c r="C68" s="125" t="s">
        <v>31</v>
      </c>
      <c r="D68" s="82" t="s">
        <v>31</v>
      </c>
      <c r="E68" s="126">
        <f>WEEKNUM(Planning2[[#This Row],[Date]],21)</f>
        <v>24</v>
      </c>
      <c r="F68" s="127" t="str">
        <f>VLOOKUP(A68,Annuaire_roster!B:C,2,0)</f>
        <v>Google Leads</v>
      </c>
      <c r="G68" s="73"/>
      <c r="H68" s="73"/>
    </row>
    <row r="69" spans="1:8" ht="14.65" hidden="1" customHeight="1" x14ac:dyDescent="0.25">
      <c r="A69" s="80" t="s">
        <v>76</v>
      </c>
      <c r="B69" s="80">
        <f t="shared" si="0"/>
        <v>44719</v>
      </c>
      <c r="C69" s="125">
        <v>0.29166666666666669</v>
      </c>
      <c r="D69" s="119">
        <v>0.70833333333333337</v>
      </c>
      <c r="E69" s="126">
        <f>WEEKNUM(Planning2[[#This Row],[Date]],21)</f>
        <v>24</v>
      </c>
      <c r="F69" s="127" t="str">
        <f>VLOOKUP(A69,Annuaire_roster!B:C,2,0)</f>
        <v>Google Leads</v>
      </c>
      <c r="G69" s="73"/>
      <c r="H69" s="73"/>
    </row>
    <row r="70" spans="1:8" ht="14.65" hidden="1" customHeight="1" x14ac:dyDescent="0.25">
      <c r="A70" s="80" t="s">
        <v>83</v>
      </c>
      <c r="B70" s="80">
        <f t="shared" si="0"/>
        <v>44719</v>
      </c>
      <c r="C70" s="82">
        <v>0.41666666666666669</v>
      </c>
      <c r="D70" s="82">
        <v>0.83333333333333337</v>
      </c>
      <c r="E70" s="126">
        <f>WEEKNUM(Planning2[[#This Row],[Date]],21)</f>
        <v>24</v>
      </c>
      <c r="F70" s="127" t="str">
        <f>VLOOKUP(A70,Annuaire_roster!B:C,2,0)</f>
        <v>Google Leads</v>
      </c>
      <c r="G70" s="73"/>
      <c r="H70" s="152"/>
    </row>
    <row r="71" spans="1:8" ht="14.65" hidden="1" customHeight="1" x14ac:dyDescent="0.25">
      <c r="A71" s="80" t="s">
        <v>87</v>
      </c>
      <c r="B71" s="80">
        <f t="shared" si="0"/>
        <v>44719</v>
      </c>
      <c r="C71" s="125">
        <v>0.41666666666666669</v>
      </c>
      <c r="D71" s="82">
        <v>0.83333333333333337</v>
      </c>
      <c r="E71" s="126">
        <f>WEEKNUM(Planning2[[#This Row],[Date]],21)</f>
        <v>24</v>
      </c>
      <c r="F71" s="127" t="str">
        <f>VLOOKUP(A71,Annuaire_roster!B:C,2,0)</f>
        <v>Google Leads</v>
      </c>
      <c r="G71" s="73"/>
      <c r="H71" s="73"/>
    </row>
    <row r="72" spans="1:8" ht="14.65" hidden="1" customHeight="1" x14ac:dyDescent="0.25">
      <c r="A72" s="80" t="s">
        <v>85</v>
      </c>
      <c r="B72" s="80">
        <f t="shared" si="0"/>
        <v>44719</v>
      </c>
      <c r="C72" s="125">
        <v>0.41666666666666669</v>
      </c>
      <c r="D72" s="82">
        <v>0.83333333333333337</v>
      </c>
      <c r="E72" s="126">
        <f>WEEKNUM(Planning2[[#This Row],[Date]],21)</f>
        <v>24</v>
      </c>
      <c r="F72" s="127" t="str">
        <f>VLOOKUP(A72,Annuaire_roster!B:C,2,0)</f>
        <v>Google Leads</v>
      </c>
      <c r="G72" s="73"/>
      <c r="H72" s="73"/>
    </row>
    <row r="73" spans="1:8" ht="14.65" hidden="1" customHeight="1" x14ac:dyDescent="0.25">
      <c r="A73" s="80" t="s">
        <v>89</v>
      </c>
      <c r="B73" s="80">
        <f t="shared" si="0"/>
        <v>44719</v>
      </c>
      <c r="C73" s="125">
        <v>0.29166666666666669</v>
      </c>
      <c r="D73" s="82">
        <v>0.70833333333333337</v>
      </c>
      <c r="E73" s="126">
        <f>WEEKNUM(Planning2[[#This Row],[Date]],21)</f>
        <v>24</v>
      </c>
      <c r="F73" s="127" t="str">
        <f>VLOOKUP(A73,Annuaire_roster!B:C,2,0)</f>
        <v>Google Leads</v>
      </c>
      <c r="G73" s="73"/>
      <c r="H73" s="73"/>
    </row>
    <row r="74" spans="1:8" ht="14.65" hidden="1" customHeight="1" x14ac:dyDescent="0.25">
      <c r="A74" s="80" t="s">
        <v>94</v>
      </c>
      <c r="B74" s="80">
        <f t="shared" si="0"/>
        <v>44719</v>
      </c>
      <c r="C74" s="82">
        <v>0.41666666666666669</v>
      </c>
      <c r="D74" s="82">
        <v>0.83333333333333337</v>
      </c>
      <c r="E74" s="126">
        <f>WEEKNUM(Planning2[[#This Row],[Date]],21)</f>
        <v>24</v>
      </c>
      <c r="F74" s="127" t="str">
        <f>VLOOKUP(A74,Annuaire_roster!B:C,2,0)</f>
        <v>Google Leads</v>
      </c>
      <c r="G74" s="73"/>
      <c r="H74" s="73"/>
    </row>
    <row r="75" spans="1:8" ht="14.65" hidden="1" customHeight="1" x14ac:dyDescent="0.25">
      <c r="A75" s="80" t="s">
        <v>91</v>
      </c>
      <c r="B75" s="80">
        <f t="shared" si="0"/>
        <v>44719</v>
      </c>
      <c r="C75" s="125" t="s">
        <v>31</v>
      </c>
      <c r="D75" s="82" t="s">
        <v>31</v>
      </c>
      <c r="E75" s="126">
        <f>WEEKNUM(Planning2[[#This Row],[Date]],21)</f>
        <v>24</v>
      </c>
      <c r="F75" s="127" t="str">
        <f>VLOOKUP(A75,Annuaire_roster!B:C,2,0)</f>
        <v>Google Leads</v>
      </c>
      <c r="G75" s="73"/>
      <c r="H75" s="73"/>
    </row>
    <row r="76" spans="1:8" ht="14.65" hidden="1" customHeight="1" x14ac:dyDescent="0.25">
      <c r="A76" s="80" t="s">
        <v>214</v>
      </c>
      <c r="B76" s="80">
        <f t="shared" si="0"/>
        <v>44719</v>
      </c>
      <c r="C76" s="82">
        <v>0.41666666666666669</v>
      </c>
      <c r="D76" s="82">
        <v>0.83333333333333337</v>
      </c>
      <c r="E76" s="126">
        <f>WEEKNUM(Planning2[[#This Row],[Date]],21)</f>
        <v>24</v>
      </c>
      <c r="F76" s="127" t="str">
        <f>VLOOKUP(A76,Annuaire_roster!B:C,2,0)</f>
        <v>Google Leads</v>
      </c>
      <c r="G76" s="73"/>
      <c r="H76" s="73"/>
    </row>
    <row r="77" spans="1:8" ht="14.65" hidden="1" customHeight="1" x14ac:dyDescent="0.25">
      <c r="A77" s="80" t="s">
        <v>102</v>
      </c>
      <c r="B77" s="80">
        <f t="shared" si="0"/>
        <v>44719</v>
      </c>
      <c r="C77" s="82">
        <v>0.41666666666666669</v>
      </c>
      <c r="D77" s="82">
        <v>0.83333333333333337</v>
      </c>
      <c r="E77" s="76">
        <f>WEEKNUM(Planning2[[#This Row],[Date]],21)</f>
        <v>24</v>
      </c>
      <c r="F77" s="77" t="str">
        <f>VLOOKUP(A77,Annuaire_roster!B:C,2,0)</f>
        <v>Google Leads</v>
      </c>
      <c r="G77" s="73"/>
      <c r="H77" s="73"/>
    </row>
    <row r="78" spans="1:8" ht="14.65" hidden="1" customHeight="1" x14ac:dyDescent="0.25">
      <c r="A78" s="80" t="s">
        <v>215</v>
      </c>
      <c r="B78" s="80">
        <f t="shared" si="0"/>
        <v>44719</v>
      </c>
      <c r="C78" s="82" t="s">
        <v>225</v>
      </c>
      <c r="D78" s="82" t="s">
        <v>225</v>
      </c>
      <c r="E78" s="76">
        <f>WEEKNUM(Planning2[[#This Row],[Date]],21)</f>
        <v>24</v>
      </c>
      <c r="F78" s="77" t="str">
        <f>VLOOKUP(A78,Annuaire_roster!B:C,2,0)</f>
        <v>Google Leads</v>
      </c>
      <c r="G78" s="73"/>
      <c r="H78" s="73"/>
    </row>
    <row r="79" spans="1:8" ht="14.65" hidden="1" customHeight="1" x14ac:dyDescent="0.25">
      <c r="A79" s="80" t="s">
        <v>88</v>
      </c>
      <c r="B79" s="80">
        <f t="shared" si="0"/>
        <v>44719</v>
      </c>
      <c r="C79" s="82">
        <v>0.29166666666666669</v>
      </c>
      <c r="D79" s="82">
        <v>0.66666666666666663</v>
      </c>
      <c r="E79" s="76">
        <f>WEEKNUM(Planning2[[#This Row],[Date]],21)</f>
        <v>24</v>
      </c>
      <c r="F79" s="77" t="str">
        <f>VLOOKUP(A79,Annuaire_roster!B:C,2,0)</f>
        <v>Google Leads</v>
      </c>
      <c r="G79" s="73"/>
      <c r="H79" s="73"/>
    </row>
    <row r="80" spans="1:8" ht="14.65" hidden="1" customHeight="1" x14ac:dyDescent="0.25">
      <c r="A80" s="80" t="s">
        <v>106</v>
      </c>
      <c r="B80" s="80">
        <f t="shared" si="0"/>
        <v>44719</v>
      </c>
      <c r="C80" s="82">
        <v>0.33333333333333331</v>
      </c>
      <c r="D80" s="82">
        <v>0.75</v>
      </c>
      <c r="E80" s="133">
        <f>WEEKNUM(Planning2[[#This Row],[Date]],21)</f>
        <v>24</v>
      </c>
      <c r="F80" s="134" t="str">
        <f>VLOOKUP(A80,Annuaire_roster!B:C,2,0)</f>
        <v>Google Leads</v>
      </c>
      <c r="G80" s="73"/>
      <c r="H80" s="73"/>
    </row>
    <row r="81" spans="1:8" ht="14.65" customHeight="1" x14ac:dyDescent="0.25">
      <c r="A81" s="80" t="s">
        <v>110</v>
      </c>
      <c r="B81" s="80">
        <f t="shared" si="0"/>
        <v>44719</v>
      </c>
      <c r="C81" s="82" t="s">
        <v>31</v>
      </c>
      <c r="D81" s="82" t="s">
        <v>31</v>
      </c>
      <c r="E81" s="133">
        <f>WEEKNUM(Planning2[[#This Row],[Date]],21)</f>
        <v>24</v>
      </c>
      <c r="F81" s="134" t="str">
        <f>VLOOKUP(A81,Annuaire_roster!B:C,2,0)</f>
        <v>Google Leads</v>
      </c>
      <c r="G81" s="73"/>
      <c r="H81" s="73"/>
    </row>
    <row r="82" spans="1:8" ht="14.65" hidden="1" customHeight="1" x14ac:dyDescent="0.25">
      <c r="A82" s="80" t="s">
        <v>126</v>
      </c>
      <c r="B82" s="80">
        <f t="shared" si="0"/>
        <v>44719</v>
      </c>
      <c r="C82" s="82">
        <v>0.41666666666666669</v>
      </c>
      <c r="D82" s="82">
        <v>0.83333333333333337</v>
      </c>
      <c r="E82" s="149">
        <f>WEEKNUM(Planning2[[#This Row],[Date]],21)</f>
        <v>24</v>
      </c>
      <c r="F82" s="150" t="str">
        <f>VLOOKUP(A82,Annuaire_roster!B:C,2,0)</f>
        <v>Google Leads</v>
      </c>
      <c r="G82" s="73"/>
      <c r="H82" s="73"/>
    </row>
    <row r="83" spans="1:8" ht="14.65" hidden="1" customHeight="1" x14ac:dyDescent="0.25">
      <c r="A83" s="80" t="s">
        <v>141</v>
      </c>
      <c r="B83" s="80">
        <f t="shared" si="0"/>
        <v>44719</v>
      </c>
      <c r="C83" s="82">
        <v>0.29166666666666669</v>
      </c>
      <c r="D83" s="82">
        <v>0.70833333333333337</v>
      </c>
      <c r="E83" s="149">
        <f>WEEKNUM(Planning2[[#This Row],[Date]],21)</f>
        <v>24</v>
      </c>
      <c r="F83" s="150" t="str">
        <f>VLOOKUP(A83,Annuaire_roster!B:C,2,0)</f>
        <v>Google Leads</v>
      </c>
      <c r="G83" s="73"/>
      <c r="H83" s="73"/>
    </row>
    <row r="84" spans="1:8" ht="14.65" hidden="1" customHeight="1" x14ac:dyDescent="0.25">
      <c r="A84" s="80" t="s">
        <v>120</v>
      </c>
      <c r="B84" s="80">
        <f t="shared" si="0"/>
        <v>44719</v>
      </c>
      <c r="C84" s="148">
        <v>0.41666666666666669</v>
      </c>
      <c r="D84" s="148">
        <v>0.83333333333333337</v>
      </c>
      <c r="E84" s="149">
        <f>WEEKNUM(Planning2[[#This Row],[Date]],21)</f>
        <v>24</v>
      </c>
      <c r="F84" s="150" t="str">
        <f>VLOOKUP(A84,Annuaire_roster!B:C,2,0)</f>
        <v>Google Leads</v>
      </c>
      <c r="G84" s="73"/>
      <c r="H84" s="165"/>
    </row>
    <row r="85" spans="1:8" ht="14.65" hidden="1" customHeight="1" x14ac:dyDescent="0.25">
      <c r="A85" s="80" t="s">
        <v>144</v>
      </c>
      <c r="B85" s="80">
        <f t="shared" si="0"/>
        <v>44719</v>
      </c>
      <c r="C85" s="148" t="s">
        <v>31</v>
      </c>
      <c r="D85" s="148" t="s">
        <v>31</v>
      </c>
      <c r="E85" s="149">
        <f>WEEKNUM(Planning2[[#This Row],[Date]],21)</f>
        <v>24</v>
      </c>
      <c r="F85" s="150" t="str">
        <f>VLOOKUP(A85,Annuaire_roster!B:C,2,0)</f>
        <v>Google Leads</v>
      </c>
      <c r="G85" s="73"/>
      <c r="H85" s="165"/>
    </row>
    <row r="86" spans="1:8" ht="14.65" hidden="1" customHeight="1" x14ac:dyDescent="0.25">
      <c r="A86" s="80" t="s">
        <v>196</v>
      </c>
      <c r="B86" s="80">
        <f t="shared" si="0"/>
        <v>44719</v>
      </c>
      <c r="C86" s="148" t="s">
        <v>31</v>
      </c>
      <c r="D86" s="148" t="s">
        <v>31</v>
      </c>
      <c r="E86" s="149">
        <f>WEEKNUM(Planning2[[#This Row],[Date]],21)</f>
        <v>24</v>
      </c>
      <c r="F86" s="150" t="str">
        <f>VLOOKUP(A86,Annuaire_roster!B:C,2,0)</f>
        <v>Google Leads</v>
      </c>
      <c r="G86" s="73"/>
      <c r="H86" s="165"/>
    </row>
    <row r="87" spans="1:8" ht="14.65" hidden="1" customHeight="1" x14ac:dyDescent="0.25">
      <c r="A87" s="80" t="s">
        <v>197</v>
      </c>
      <c r="B87" s="80">
        <f t="shared" si="0"/>
        <v>44719</v>
      </c>
      <c r="C87" s="148">
        <v>0.29166666666666669</v>
      </c>
      <c r="D87" s="148">
        <v>0.70833333333333337</v>
      </c>
      <c r="E87" s="149">
        <f>WEEKNUM(Planning2[[#This Row],[Date]],21)</f>
        <v>24</v>
      </c>
      <c r="F87" s="150" t="str">
        <f>VLOOKUP(A87,Annuaire_roster!B:C,2,0)</f>
        <v>Google Leads</v>
      </c>
      <c r="G87" s="73"/>
      <c r="H87" s="165"/>
    </row>
    <row r="88" spans="1:8" ht="14.65" hidden="1" customHeight="1" x14ac:dyDescent="0.25">
      <c r="A88" s="80" t="s">
        <v>198</v>
      </c>
      <c r="B88" s="80">
        <f t="shared" si="0"/>
        <v>44719</v>
      </c>
      <c r="C88" s="148">
        <v>0.29166666666666669</v>
      </c>
      <c r="D88" s="148">
        <v>0.70833333333333337</v>
      </c>
      <c r="E88" s="149">
        <f>WEEKNUM(Planning2[[#This Row],[Date]],21)</f>
        <v>24</v>
      </c>
      <c r="F88" s="150" t="str">
        <f>VLOOKUP(A88,Annuaire_roster!B:C,2,0)</f>
        <v>Google Leads</v>
      </c>
      <c r="G88" s="73"/>
      <c r="H88" s="73"/>
    </row>
    <row r="89" spans="1:8" ht="14.65" hidden="1" customHeight="1" x14ac:dyDescent="0.25">
      <c r="A89" s="80" t="s">
        <v>209</v>
      </c>
      <c r="B89" s="80">
        <f t="shared" si="0"/>
        <v>44719</v>
      </c>
      <c r="C89" s="125">
        <v>0.29166666666666669</v>
      </c>
      <c r="D89" s="125">
        <v>0.70833333333333337</v>
      </c>
      <c r="E89" s="149">
        <f>WEEKNUM(Planning2[[#This Row],[Date]],21)</f>
        <v>24</v>
      </c>
      <c r="F89" s="150" t="str">
        <f>VLOOKUP(A89,Annuaire_roster!B:C,2,0)</f>
        <v>Google Leads</v>
      </c>
      <c r="G89" s="73"/>
      <c r="H89" s="73"/>
    </row>
    <row r="90" spans="1:8" ht="14.65" hidden="1" customHeight="1" x14ac:dyDescent="0.25">
      <c r="A90" s="80" t="s">
        <v>210</v>
      </c>
      <c r="B90" s="80">
        <f t="shared" si="0"/>
        <v>44719</v>
      </c>
      <c r="C90" s="82">
        <v>0.29166666666666669</v>
      </c>
      <c r="D90" s="82">
        <v>0.66666666666666663</v>
      </c>
      <c r="E90" s="149">
        <f>WEEKNUM(Planning2[[#This Row],[Date]],21)</f>
        <v>24</v>
      </c>
      <c r="F90" s="150" t="str">
        <f>VLOOKUP(A90,Annuaire_roster!B:C,2,0)</f>
        <v>Google Leads</v>
      </c>
      <c r="G90" s="73"/>
      <c r="H90" s="73"/>
    </row>
    <row r="91" spans="1:8" ht="14.65" hidden="1" customHeight="1" x14ac:dyDescent="0.25">
      <c r="A91" s="80" t="s">
        <v>212</v>
      </c>
      <c r="B91" s="80">
        <f t="shared" si="0"/>
        <v>44719</v>
      </c>
      <c r="C91" s="82">
        <v>0.29166666666666669</v>
      </c>
      <c r="D91" s="82">
        <v>0.70833333333333337</v>
      </c>
      <c r="E91" s="149">
        <f>WEEKNUM(Planning2[[#This Row],[Date]],21)</f>
        <v>24</v>
      </c>
      <c r="F91" s="150" t="str">
        <f>VLOOKUP(A91,Annuaire_roster!B:C,2,0)</f>
        <v>Google Leads</v>
      </c>
      <c r="G91" s="73"/>
      <c r="H91" s="73"/>
    </row>
    <row r="92" spans="1:8" ht="14.65" hidden="1" customHeight="1" x14ac:dyDescent="0.25">
      <c r="A92" s="80" t="s">
        <v>216</v>
      </c>
      <c r="B92" s="80">
        <f t="shared" si="0"/>
        <v>44719</v>
      </c>
      <c r="C92" s="82">
        <v>0.29166666666666669</v>
      </c>
      <c r="D92" s="148">
        <v>0.70833333333333337</v>
      </c>
      <c r="E92" s="149">
        <f>WEEKNUM(Planning2[[#This Row],[Date]],21)</f>
        <v>24</v>
      </c>
      <c r="F92" s="150" t="str">
        <f>VLOOKUP(A92,Annuaire_roster!B:C,2,0)</f>
        <v>Google Leads</v>
      </c>
      <c r="G92" s="73"/>
      <c r="H92" s="73"/>
    </row>
    <row r="93" spans="1:8" ht="14.65" hidden="1" customHeight="1" x14ac:dyDescent="0.25">
      <c r="A93" s="80" t="s">
        <v>217</v>
      </c>
      <c r="B93" s="80">
        <f t="shared" si="0"/>
        <v>44719</v>
      </c>
      <c r="C93" s="82">
        <v>0.41666666666666669</v>
      </c>
      <c r="D93" s="148">
        <v>0.83333333333333337</v>
      </c>
      <c r="E93" s="149">
        <f>WEEKNUM(Planning2[[#This Row],[Date]],21)</f>
        <v>24</v>
      </c>
      <c r="F93" s="150" t="str">
        <f>VLOOKUP(A93,Annuaire_roster!B:C,2,0)</f>
        <v>Google Leads</v>
      </c>
      <c r="G93" s="73"/>
      <c r="H93" s="73"/>
    </row>
    <row r="94" spans="1:8" ht="14.65" hidden="1" customHeight="1" x14ac:dyDescent="0.25">
      <c r="A94" s="80" t="s">
        <v>219</v>
      </c>
      <c r="B94" s="80">
        <f t="shared" si="0"/>
        <v>44719</v>
      </c>
      <c r="C94" s="125">
        <v>0.29166666666666669</v>
      </c>
      <c r="D94" s="125">
        <v>0.70833333333333337</v>
      </c>
      <c r="E94" s="149">
        <f>WEEKNUM(Planning2[[#This Row],[Date]],21)</f>
        <v>24</v>
      </c>
      <c r="F94" s="150" t="str">
        <f>VLOOKUP(A94,Annuaire_roster!B:C,2,0)</f>
        <v>Google Leads</v>
      </c>
      <c r="G94" s="73"/>
      <c r="H94" s="73"/>
    </row>
    <row r="95" spans="1:8" ht="14.65" hidden="1" customHeight="1" x14ac:dyDescent="0.25">
      <c r="A95" s="80" t="s">
        <v>220</v>
      </c>
      <c r="B95" s="80">
        <f t="shared" si="0"/>
        <v>44719</v>
      </c>
      <c r="C95" s="82">
        <v>0.41666666666666669</v>
      </c>
      <c r="D95" s="82">
        <v>0.83333333333333337</v>
      </c>
      <c r="E95" s="149">
        <f>WEEKNUM(Planning2[[#This Row],[Date]],21)</f>
        <v>24</v>
      </c>
      <c r="F95" s="150" t="str">
        <f>VLOOKUP(A95,Annuaire_roster!B:C,2,0)</f>
        <v>Google Leads</v>
      </c>
      <c r="G95" s="73"/>
      <c r="H95" s="73"/>
    </row>
    <row r="96" spans="1:8" ht="14.65" hidden="1" customHeight="1" x14ac:dyDescent="0.25">
      <c r="A96" s="80" t="s">
        <v>221</v>
      </c>
      <c r="B96" s="80">
        <f t="shared" si="0"/>
        <v>44719</v>
      </c>
      <c r="C96" s="82">
        <v>0.41666666666666669</v>
      </c>
      <c r="D96" s="148">
        <v>0.83333333333333337</v>
      </c>
      <c r="E96" s="149">
        <f>WEEKNUM(Planning2[[#This Row],[Date]],21)</f>
        <v>24</v>
      </c>
      <c r="F96" s="150" t="str">
        <f>VLOOKUP(A96,Annuaire_roster!B:C,2,0)</f>
        <v>Google Leads</v>
      </c>
      <c r="G96" s="73"/>
      <c r="H96" s="73"/>
    </row>
    <row r="97" spans="1:8" ht="14.65" hidden="1" customHeight="1" x14ac:dyDescent="0.25">
      <c r="A97" s="124" t="s">
        <v>224</v>
      </c>
      <c r="B97" s="80">
        <f t="shared" si="0"/>
        <v>44719</v>
      </c>
      <c r="C97" s="82">
        <v>0.41666666666666669</v>
      </c>
      <c r="D97" s="82">
        <v>0.83333333333333337</v>
      </c>
      <c r="E97" s="149">
        <f>WEEKNUM(Planning2[[#This Row],[Date]],21)</f>
        <v>24</v>
      </c>
      <c r="F97" s="150" t="str">
        <f>VLOOKUP(A97,Annuaire_roster!B:C,2,0)</f>
        <v>Google Leads</v>
      </c>
      <c r="G97" s="73"/>
      <c r="H97" s="73"/>
    </row>
    <row r="98" spans="1:8" ht="14.65" hidden="1" customHeight="1" x14ac:dyDescent="0.25">
      <c r="A98" s="80" t="s">
        <v>213</v>
      </c>
      <c r="B98" s="80">
        <f t="shared" si="0"/>
        <v>44720</v>
      </c>
      <c r="C98" s="82" t="s">
        <v>31</v>
      </c>
      <c r="D98" s="148" t="s">
        <v>31</v>
      </c>
      <c r="E98" s="149">
        <f>WEEKNUM(Planning2[[#This Row],[Date]],21)</f>
        <v>24</v>
      </c>
      <c r="F98" s="150" t="str">
        <f>VLOOKUP(A98,Annuaire_roster!B:C,2,0)</f>
        <v>Google Leads</v>
      </c>
      <c r="G98" s="73"/>
      <c r="H98" s="73"/>
    </row>
    <row r="99" spans="1:8" ht="14.65" hidden="1" customHeight="1" x14ac:dyDescent="0.25">
      <c r="A99" s="80" t="s">
        <v>80</v>
      </c>
      <c r="B99" s="80">
        <f t="shared" ref="B99:B162" si="1">+B67+1</f>
        <v>44720</v>
      </c>
      <c r="C99" s="82" t="s">
        <v>31</v>
      </c>
      <c r="D99" s="82" t="s">
        <v>31</v>
      </c>
      <c r="E99" s="149">
        <f>WEEKNUM(Planning2[[#This Row],[Date]],21)</f>
        <v>24</v>
      </c>
      <c r="F99" s="150" t="str">
        <f>VLOOKUP(A99,Annuaire_roster!B:C,2,0)</f>
        <v>Google Leads</v>
      </c>
      <c r="G99" s="73"/>
      <c r="H99" s="73"/>
    </row>
    <row r="100" spans="1:8" hidden="1" x14ac:dyDescent="0.25">
      <c r="A100" s="80" t="s">
        <v>45</v>
      </c>
      <c r="B100" s="80">
        <f t="shared" si="1"/>
        <v>44720</v>
      </c>
      <c r="C100" s="82">
        <v>0.29166666666666669</v>
      </c>
      <c r="D100" s="82">
        <v>0.70833333333333337</v>
      </c>
      <c r="E100" s="76">
        <f>WEEKNUM(Planning2[[#This Row],[Date]],21)</f>
        <v>24</v>
      </c>
      <c r="F100" s="77" t="str">
        <f>VLOOKUP(A100,Annuaire_roster!B:C,2,0)</f>
        <v>Google Leads</v>
      </c>
      <c r="G100" s="73"/>
      <c r="H100" s="73"/>
    </row>
    <row r="101" spans="1:8" hidden="1" x14ac:dyDescent="0.25">
      <c r="A101" s="80" t="s">
        <v>76</v>
      </c>
      <c r="B101" s="80">
        <f t="shared" si="1"/>
        <v>44720</v>
      </c>
      <c r="C101" s="82">
        <v>0.29166666666666669</v>
      </c>
      <c r="D101" s="82">
        <v>0.70833333333333337</v>
      </c>
      <c r="E101" s="76">
        <f>WEEKNUM(Planning2[[#This Row],[Date]],21)</f>
        <v>24</v>
      </c>
      <c r="F101" s="77" t="str">
        <f>VLOOKUP(A101,Annuaire_roster!B:C,2,0)</f>
        <v>Google Leads</v>
      </c>
      <c r="G101" s="73"/>
      <c r="H101" s="73"/>
    </row>
    <row r="102" spans="1:8" hidden="1" x14ac:dyDescent="0.25">
      <c r="A102" s="80" t="s">
        <v>83</v>
      </c>
      <c r="B102" s="80">
        <f t="shared" si="1"/>
        <v>44720</v>
      </c>
      <c r="C102" s="148">
        <v>0.41666666666666669</v>
      </c>
      <c r="D102" s="148">
        <v>0.83333333333333337</v>
      </c>
      <c r="E102" s="76">
        <f>WEEKNUM(Planning2[[#This Row],[Date]],21)</f>
        <v>24</v>
      </c>
      <c r="F102" s="77" t="str">
        <f>VLOOKUP(A102,Annuaire_roster!B:C,2,0)</f>
        <v>Google Leads</v>
      </c>
      <c r="G102" s="73"/>
      <c r="H102" s="73"/>
    </row>
    <row r="103" spans="1:8" hidden="1" x14ac:dyDescent="0.25">
      <c r="A103" s="80" t="s">
        <v>87</v>
      </c>
      <c r="B103" s="80">
        <f t="shared" si="1"/>
        <v>44720</v>
      </c>
      <c r="C103" s="82">
        <v>0.41666666666666669</v>
      </c>
      <c r="D103" s="82">
        <v>0.83333333333333337</v>
      </c>
      <c r="E103" s="76">
        <f>WEEKNUM(Planning2[[#This Row],[Date]],21)</f>
        <v>24</v>
      </c>
      <c r="F103" s="77" t="str">
        <f>VLOOKUP(A103,Annuaire_roster!B:C,2,0)</f>
        <v>Google Leads</v>
      </c>
      <c r="G103" s="73"/>
      <c r="H103" s="73"/>
    </row>
    <row r="104" spans="1:8" hidden="1" x14ac:dyDescent="0.25">
      <c r="A104" s="80" t="s">
        <v>85</v>
      </c>
      <c r="B104" s="80">
        <f t="shared" si="1"/>
        <v>44720</v>
      </c>
      <c r="C104" s="82" t="s">
        <v>31</v>
      </c>
      <c r="D104" s="82" t="s">
        <v>31</v>
      </c>
      <c r="E104" s="76">
        <f>WEEKNUM(Planning2[[#This Row],[Date]],21)</f>
        <v>24</v>
      </c>
      <c r="F104" s="77" t="str">
        <f>VLOOKUP(A104,Annuaire_roster!B:C,2,0)</f>
        <v>Google Leads</v>
      </c>
      <c r="G104" s="73"/>
      <c r="H104" s="73"/>
    </row>
    <row r="105" spans="1:8" hidden="1" x14ac:dyDescent="0.25">
      <c r="A105" s="80" t="s">
        <v>89</v>
      </c>
      <c r="B105" s="80">
        <f t="shared" si="1"/>
        <v>44720</v>
      </c>
      <c r="C105" s="82">
        <v>0.29166666666666669</v>
      </c>
      <c r="D105" s="82">
        <v>0.70833333333333337</v>
      </c>
      <c r="E105" s="76">
        <f>WEEKNUM(Planning2[[#This Row],[Date]],21)</f>
        <v>24</v>
      </c>
      <c r="F105" s="77" t="str">
        <f>VLOOKUP(A105,Annuaire_roster!B:C,2,0)</f>
        <v>Google Leads</v>
      </c>
      <c r="G105" s="73"/>
      <c r="H105" s="73"/>
    </row>
    <row r="106" spans="1:8" hidden="1" x14ac:dyDescent="0.25">
      <c r="A106" s="80" t="s">
        <v>94</v>
      </c>
      <c r="B106" s="80">
        <f t="shared" si="1"/>
        <v>44720</v>
      </c>
      <c r="C106" s="82">
        <v>0.29166666666666669</v>
      </c>
      <c r="D106" s="82">
        <v>0.70833333333333337</v>
      </c>
      <c r="E106" s="76">
        <f>WEEKNUM(Planning2[[#This Row],[Date]],21)</f>
        <v>24</v>
      </c>
      <c r="F106" s="77" t="str">
        <f>VLOOKUP(A106,Annuaire_roster!B:C,2,0)</f>
        <v>Google Leads</v>
      </c>
      <c r="G106" s="73"/>
      <c r="H106" s="73"/>
    </row>
    <row r="107" spans="1:8" hidden="1" x14ac:dyDescent="0.25">
      <c r="A107" s="80" t="s">
        <v>91</v>
      </c>
      <c r="B107" s="80">
        <f t="shared" si="1"/>
        <v>44720</v>
      </c>
      <c r="C107" s="82" t="s">
        <v>31</v>
      </c>
      <c r="D107" s="82" t="s">
        <v>31</v>
      </c>
      <c r="E107" s="76">
        <f>WEEKNUM(Planning2[[#This Row],[Date]],21)</f>
        <v>24</v>
      </c>
      <c r="F107" s="77" t="str">
        <f>VLOOKUP(A107,Annuaire_roster!B:C,2,0)</f>
        <v>Google Leads</v>
      </c>
      <c r="G107" s="73"/>
      <c r="H107" s="73"/>
    </row>
    <row r="108" spans="1:8" hidden="1" x14ac:dyDescent="0.25">
      <c r="A108" s="80" t="s">
        <v>214</v>
      </c>
      <c r="B108" s="80">
        <f t="shared" si="1"/>
        <v>44720</v>
      </c>
      <c r="C108" s="82">
        <v>0.41666666666666669</v>
      </c>
      <c r="D108" s="82">
        <v>0.83333333333333337</v>
      </c>
      <c r="E108" s="76">
        <f>WEEKNUM(Planning2[[#This Row],[Date]],21)</f>
        <v>24</v>
      </c>
      <c r="F108" s="77" t="str">
        <f>VLOOKUP(A108,Annuaire_roster!B:C,2,0)</f>
        <v>Google Leads</v>
      </c>
      <c r="G108" s="73"/>
      <c r="H108" s="73"/>
    </row>
    <row r="109" spans="1:8" hidden="1" x14ac:dyDescent="0.25">
      <c r="A109" s="80" t="s">
        <v>102</v>
      </c>
      <c r="B109" s="80">
        <f t="shared" si="1"/>
        <v>44720</v>
      </c>
      <c r="C109" s="82">
        <v>0.29166666666666669</v>
      </c>
      <c r="D109" s="82">
        <v>0.70833333333333337</v>
      </c>
      <c r="E109" s="76">
        <f>WEEKNUM(Planning2[[#This Row],[Date]],21)</f>
        <v>24</v>
      </c>
      <c r="F109" s="77" t="str">
        <f>VLOOKUP(A109,Annuaire_roster!B:C,2,0)</f>
        <v>Google Leads</v>
      </c>
      <c r="G109" s="73"/>
      <c r="H109" s="73"/>
    </row>
    <row r="110" spans="1:8" hidden="1" x14ac:dyDescent="0.25">
      <c r="A110" s="80" t="s">
        <v>215</v>
      </c>
      <c r="B110" s="80">
        <f t="shared" si="1"/>
        <v>44720</v>
      </c>
      <c r="C110" s="82" t="s">
        <v>225</v>
      </c>
      <c r="D110" s="82" t="s">
        <v>225</v>
      </c>
      <c r="E110" s="76">
        <f>WEEKNUM(Planning2[[#This Row],[Date]],21)</f>
        <v>24</v>
      </c>
      <c r="F110" s="77" t="str">
        <f>VLOOKUP(A110,Annuaire_roster!B:C,2,0)</f>
        <v>Google Leads</v>
      </c>
      <c r="G110" s="73"/>
      <c r="H110" s="73"/>
    </row>
    <row r="111" spans="1:8" hidden="1" x14ac:dyDescent="0.25">
      <c r="A111" s="80" t="s">
        <v>88</v>
      </c>
      <c r="B111" s="80">
        <f t="shared" si="1"/>
        <v>44720</v>
      </c>
      <c r="C111" s="82" t="s">
        <v>31</v>
      </c>
      <c r="D111" s="82" t="s">
        <v>31</v>
      </c>
      <c r="E111" s="76">
        <f>WEEKNUM(Planning2[[#This Row],[Date]],21)</f>
        <v>24</v>
      </c>
      <c r="F111" s="77" t="str">
        <f>VLOOKUP(A111,Annuaire_roster!B:C,2,0)</f>
        <v>Google Leads</v>
      </c>
      <c r="G111" s="73"/>
      <c r="H111" s="73"/>
    </row>
    <row r="112" spans="1:8" hidden="1" x14ac:dyDescent="0.25">
      <c r="A112" s="80" t="s">
        <v>106</v>
      </c>
      <c r="B112" s="80">
        <f t="shared" si="1"/>
        <v>44720</v>
      </c>
      <c r="C112" s="82">
        <v>0.33333333333333331</v>
      </c>
      <c r="D112" s="82">
        <v>0.75</v>
      </c>
      <c r="E112" s="76">
        <f>WEEKNUM(Planning2[[#This Row],[Date]],21)</f>
        <v>24</v>
      </c>
      <c r="F112" s="77" t="str">
        <f>VLOOKUP(A112,Annuaire_roster!B:C,2,0)</f>
        <v>Google Leads</v>
      </c>
      <c r="G112" s="73"/>
      <c r="H112" s="73"/>
    </row>
    <row r="113" spans="1:8" x14ac:dyDescent="0.25">
      <c r="A113" s="80" t="s">
        <v>110</v>
      </c>
      <c r="B113" s="80">
        <f t="shared" si="1"/>
        <v>44720</v>
      </c>
      <c r="C113" s="82" t="s">
        <v>31</v>
      </c>
      <c r="D113" s="82" t="s">
        <v>31</v>
      </c>
      <c r="E113" s="76">
        <f>WEEKNUM(Planning2[[#This Row],[Date]],21)</f>
        <v>24</v>
      </c>
      <c r="F113" s="77" t="str">
        <f>VLOOKUP(A113,Annuaire_roster!B:C,2,0)</f>
        <v>Google Leads</v>
      </c>
      <c r="G113" s="73"/>
      <c r="H113" s="73"/>
    </row>
    <row r="114" spans="1:8" hidden="1" x14ac:dyDescent="0.25">
      <c r="A114" s="80" t="s">
        <v>126</v>
      </c>
      <c r="B114" s="80">
        <f t="shared" si="1"/>
        <v>44720</v>
      </c>
      <c r="C114" s="82">
        <v>0.41666666666666669</v>
      </c>
      <c r="D114" s="82">
        <v>0.83333333333333337</v>
      </c>
      <c r="E114" s="76">
        <f>WEEKNUM(Planning2[[#This Row],[Date]],21)</f>
        <v>24</v>
      </c>
      <c r="F114" s="77" t="str">
        <f>VLOOKUP(A114,Annuaire_roster!B:C,2,0)</f>
        <v>Google Leads</v>
      </c>
      <c r="G114" s="73"/>
      <c r="H114" s="73"/>
    </row>
    <row r="115" spans="1:8" hidden="1" x14ac:dyDescent="0.25">
      <c r="A115" s="80" t="s">
        <v>141</v>
      </c>
      <c r="B115" s="80">
        <f t="shared" si="1"/>
        <v>44720</v>
      </c>
      <c r="C115" s="82" t="s">
        <v>31</v>
      </c>
      <c r="D115" s="82" t="s">
        <v>31</v>
      </c>
      <c r="E115" s="76">
        <f>WEEKNUM(Planning2[[#This Row],[Date]],21)</f>
        <v>24</v>
      </c>
      <c r="F115" s="77" t="str">
        <f>VLOOKUP(A115,Annuaire_roster!B:C,2,0)</f>
        <v>Google Leads</v>
      </c>
      <c r="G115" s="73"/>
      <c r="H115" s="73"/>
    </row>
    <row r="116" spans="1:8" hidden="1" x14ac:dyDescent="0.25">
      <c r="A116" s="80" t="s">
        <v>120</v>
      </c>
      <c r="B116" s="80">
        <f t="shared" si="1"/>
        <v>44720</v>
      </c>
      <c r="C116" s="82">
        <v>0.41666666666666669</v>
      </c>
      <c r="D116" s="82">
        <v>0.83333333333333337</v>
      </c>
      <c r="E116" s="76">
        <f>WEEKNUM(Planning2[[#This Row],[Date]],21)</f>
        <v>24</v>
      </c>
      <c r="F116" s="77" t="str">
        <f>VLOOKUP(A116,Annuaire_roster!B:C,2,0)</f>
        <v>Google Leads</v>
      </c>
      <c r="G116" s="73"/>
      <c r="H116" s="73"/>
    </row>
    <row r="117" spans="1:8" hidden="1" x14ac:dyDescent="0.25">
      <c r="A117" s="80" t="s">
        <v>144</v>
      </c>
      <c r="B117" s="80">
        <f t="shared" si="1"/>
        <v>44720</v>
      </c>
      <c r="C117" s="82">
        <v>0.29166666666666669</v>
      </c>
      <c r="D117" s="82">
        <v>0.70833333333333337</v>
      </c>
      <c r="E117" s="76">
        <f>WEEKNUM(Planning2[[#This Row],[Date]],21)</f>
        <v>24</v>
      </c>
      <c r="F117" s="77" t="str">
        <f>VLOOKUP(A117,Annuaire_roster!B:C,2,0)</f>
        <v>Google Leads</v>
      </c>
      <c r="G117" s="73"/>
      <c r="H117" s="73"/>
    </row>
    <row r="118" spans="1:8" hidden="1" x14ac:dyDescent="0.25">
      <c r="A118" s="80" t="s">
        <v>196</v>
      </c>
      <c r="B118" s="80">
        <f t="shared" si="1"/>
        <v>44720</v>
      </c>
      <c r="C118" s="82">
        <v>0.29166666666666669</v>
      </c>
      <c r="D118" s="82">
        <v>0.70833333333333337</v>
      </c>
      <c r="E118" s="76">
        <f>WEEKNUM(Planning2[[#This Row],[Date]],21)</f>
        <v>24</v>
      </c>
      <c r="F118" s="77" t="str">
        <f>VLOOKUP(A118,Annuaire_roster!B:C,2,0)</f>
        <v>Google Leads</v>
      </c>
      <c r="G118" s="73"/>
      <c r="H118" s="73"/>
    </row>
    <row r="119" spans="1:8" hidden="1" x14ac:dyDescent="0.25">
      <c r="A119" s="80" t="s">
        <v>197</v>
      </c>
      <c r="B119" s="80">
        <f t="shared" si="1"/>
        <v>44720</v>
      </c>
      <c r="C119" s="125">
        <v>0.29166666666666669</v>
      </c>
      <c r="D119" s="125">
        <v>0.70833333333333337</v>
      </c>
      <c r="E119" s="76">
        <f>WEEKNUM(Planning2[[#This Row],[Date]],21)</f>
        <v>24</v>
      </c>
      <c r="F119" s="77" t="str">
        <f>VLOOKUP(A119,Annuaire_roster!B:C,2,0)</f>
        <v>Google Leads</v>
      </c>
      <c r="G119" s="73"/>
      <c r="H119" s="73"/>
    </row>
    <row r="120" spans="1:8" hidden="1" x14ac:dyDescent="0.25">
      <c r="A120" s="80" t="s">
        <v>198</v>
      </c>
      <c r="B120" s="80">
        <f t="shared" si="1"/>
        <v>44720</v>
      </c>
      <c r="C120" s="82">
        <v>0.29166666666666669</v>
      </c>
      <c r="D120" s="82">
        <v>0.70833333333333337</v>
      </c>
      <c r="E120" s="76">
        <f>WEEKNUM(Planning2[[#This Row],[Date]],21)</f>
        <v>24</v>
      </c>
      <c r="F120" s="77" t="str">
        <f>VLOOKUP(A120,Annuaire_roster!B:C,2,0)</f>
        <v>Google Leads</v>
      </c>
      <c r="G120" s="73"/>
      <c r="H120" s="73"/>
    </row>
    <row r="121" spans="1:8" hidden="1" x14ac:dyDescent="0.25">
      <c r="A121" s="80" t="s">
        <v>209</v>
      </c>
      <c r="B121" s="80">
        <f t="shared" si="1"/>
        <v>44720</v>
      </c>
      <c r="C121" s="82">
        <v>0.29166666666666669</v>
      </c>
      <c r="D121" s="82">
        <v>0.70833333333333337</v>
      </c>
      <c r="E121" s="76">
        <f>WEEKNUM(Planning2[[#This Row],[Date]],21)</f>
        <v>24</v>
      </c>
      <c r="F121" s="77" t="str">
        <f>VLOOKUP(A121,Annuaire_roster!B:C,2,0)</f>
        <v>Google Leads</v>
      </c>
      <c r="G121" s="73"/>
      <c r="H121" s="73"/>
    </row>
    <row r="122" spans="1:8" hidden="1" x14ac:dyDescent="0.25">
      <c r="A122" s="80" t="s">
        <v>210</v>
      </c>
      <c r="B122" s="80">
        <f t="shared" si="1"/>
        <v>44720</v>
      </c>
      <c r="C122" s="82">
        <v>0.29166666666666669</v>
      </c>
      <c r="D122" s="82">
        <v>0.70833333333333337</v>
      </c>
      <c r="E122" s="76">
        <f>WEEKNUM(Planning2[[#This Row],[Date]],21)</f>
        <v>24</v>
      </c>
      <c r="F122" s="77" t="str">
        <f>VLOOKUP(A122,Annuaire_roster!B:C,2,0)</f>
        <v>Google Leads</v>
      </c>
      <c r="G122" s="73"/>
      <c r="H122" s="73"/>
    </row>
    <row r="123" spans="1:8" hidden="1" x14ac:dyDescent="0.25">
      <c r="A123" s="80" t="s">
        <v>212</v>
      </c>
      <c r="B123" s="80">
        <f t="shared" si="1"/>
        <v>44720</v>
      </c>
      <c r="C123" s="82" t="s">
        <v>31</v>
      </c>
      <c r="D123" s="82" t="s">
        <v>31</v>
      </c>
      <c r="E123" s="76">
        <f>WEEKNUM(Planning2[[#This Row],[Date]],21)</f>
        <v>24</v>
      </c>
      <c r="F123" s="77" t="str">
        <f>VLOOKUP(A123,Annuaire_roster!B:C,2,0)</f>
        <v>Google Leads</v>
      </c>
      <c r="G123" s="73"/>
      <c r="H123" s="73"/>
    </row>
    <row r="124" spans="1:8" hidden="1" x14ac:dyDescent="0.25">
      <c r="A124" s="80" t="s">
        <v>216</v>
      </c>
      <c r="B124" s="80">
        <f t="shared" si="1"/>
        <v>44720</v>
      </c>
      <c r="C124" s="82">
        <v>0.29166666666666669</v>
      </c>
      <c r="D124" s="82">
        <v>0.70833333333333337</v>
      </c>
      <c r="E124" s="76">
        <f>WEEKNUM(Planning2[[#This Row],[Date]],21)</f>
        <v>24</v>
      </c>
      <c r="F124" s="77" t="str">
        <f>VLOOKUP(A124,Annuaire_roster!B:C,2,0)</f>
        <v>Google Leads</v>
      </c>
      <c r="G124" s="73"/>
      <c r="H124" s="73"/>
    </row>
    <row r="125" spans="1:8" hidden="1" x14ac:dyDescent="0.25">
      <c r="A125" s="80" t="s">
        <v>217</v>
      </c>
      <c r="B125" s="80">
        <f t="shared" si="1"/>
        <v>44720</v>
      </c>
      <c r="C125" s="82">
        <v>0.41666666666666669</v>
      </c>
      <c r="D125" s="82">
        <v>0.83333333333333337</v>
      </c>
      <c r="E125" s="76">
        <f>WEEKNUM(Planning2[[#This Row],[Date]],21)</f>
        <v>24</v>
      </c>
      <c r="F125" s="77" t="str">
        <f>VLOOKUP(A125,Annuaire_roster!B:C,2,0)</f>
        <v>Google Leads</v>
      </c>
      <c r="G125" s="73"/>
      <c r="H125" s="73"/>
    </row>
    <row r="126" spans="1:8" hidden="1" x14ac:dyDescent="0.25">
      <c r="A126" s="80" t="s">
        <v>219</v>
      </c>
      <c r="B126" s="80">
        <f t="shared" si="1"/>
        <v>44720</v>
      </c>
      <c r="C126" s="82">
        <v>0.41666666666666669</v>
      </c>
      <c r="D126" s="82">
        <v>0.83333333333333337</v>
      </c>
      <c r="E126" s="76">
        <f>WEEKNUM(Planning2[[#This Row],[Date]],21)</f>
        <v>24</v>
      </c>
      <c r="F126" s="77" t="str">
        <f>VLOOKUP(A126,Annuaire_roster!B:C,2,0)</f>
        <v>Google Leads</v>
      </c>
      <c r="G126" s="73"/>
      <c r="H126" s="73"/>
    </row>
    <row r="127" spans="1:8" hidden="1" x14ac:dyDescent="0.25">
      <c r="A127" s="80" t="s">
        <v>220</v>
      </c>
      <c r="B127" s="80">
        <f t="shared" si="1"/>
        <v>44720</v>
      </c>
      <c r="C127" s="82" t="s">
        <v>31</v>
      </c>
      <c r="D127" s="82" t="s">
        <v>31</v>
      </c>
      <c r="E127" s="76">
        <f>WEEKNUM(Planning2[[#This Row],[Date]],21)</f>
        <v>24</v>
      </c>
      <c r="F127" s="77" t="str">
        <f>VLOOKUP(A127,Annuaire_roster!B:C,2,0)</f>
        <v>Google Leads</v>
      </c>
      <c r="G127" s="73"/>
      <c r="H127" s="73"/>
    </row>
    <row r="128" spans="1:8" hidden="1" x14ac:dyDescent="0.25">
      <c r="A128" s="80" t="s">
        <v>221</v>
      </c>
      <c r="B128" s="80">
        <f t="shared" si="1"/>
        <v>44720</v>
      </c>
      <c r="C128" s="82">
        <v>0.41666666666666669</v>
      </c>
      <c r="D128" s="82">
        <v>0.83333333333333337</v>
      </c>
      <c r="E128" s="76">
        <f>WEEKNUM(Planning2[[#This Row],[Date]],21)</f>
        <v>24</v>
      </c>
      <c r="F128" s="77" t="str">
        <f>VLOOKUP(A128,Annuaire_roster!B:C,2,0)</f>
        <v>Google Leads</v>
      </c>
      <c r="G128" s="73"/>
      <c r="H128" s="73"/>
    </row>
    <row r="129" spans="1:8" hidden="1" x14ac:dyDescent="0.25">
      <c r="A129" s="124" t="s">
        <v>224</v>
      </c>
      <c r="B129" s="80">
        <f t="shared" si="1"/>
        <v>44720</v>
      </c>
      <c r="C129" s="82">
        <v>0.41666666666666669</v>
      </c>
      <c r="D129" s="82">
        <v>0.83333333333333337</v>
      </c>
      <c r="E129" s="76">
        <f>WEEKNUM(Planning2[[#This Row],[Date]],21)</f>
        <v>24</v>
      </c>
      <c r="F129" s="77" t="str">
        <f>VLOOKUP(A129,Annuaire_roster!B:C,2,0)</f>
        <v>Google Leads</v>
      </c>
      <c r="G129" s="73"/>
      <c r="H129" s="73"/>
    </row>
    <row r="130" spans="1:8" hidden="1" x14ac:dyDescent="0.25">
      <c r="A130" s="80" t="s">
        <v>213</v>
      </c>
      <c r="B130" s="80">
        <f t="shared" si="1"/>
        <v>44721</v>
      </c>
      <c r="C130" s="82">
        <v>0.29166666666666669</v>
      </c>
      <c r="D130" s="82">
        <v>0.70833333333333337</v>
      </c>
      <c r="E130" s="76">
        <f>WEEKNUM(Planning2[[#This Row],[Date]],21)</f>
        <v>24</v>
      </c>
      <c r="F130" s="77" t="str">
        <f>VLOOKUP(A130,Annuaire_roster!B:C,2,0)</f>
        <v>Google Leads</v>
      </c>
      <c r="G130" s="73"/>
      <c r="H130" s="73"/>
    </row>
    <row r="131" spans="1:8" hidden="1" x14ac:dyDescent="0.25">
      <c r="A131" s="80" t="s">
        <v>80</v>
      </c>
      <c r="B131" s="80">
        <f t="shared" si="1"/>
        <v>44721</v>
      </c>
      <c r="C131" s="82">
        <v>0.41666666666666669</v>
      </c>
      <c r="D131" s="82">
        <v>0.83333333333333337</v>
      </c>
      <c r="E131" s="76">
        <f>WEEKNUM(Planning2[[#This Row],[Date]],21)</f>
        <v>24</v>
      </c>
      <c r="F131" s="77" t="str">
        <f>VLOOKUP(A131,Annuaire_roster!B:C,2,0)</f>
        <v>Google Leads</v>
      </c>
      <c r="G131" s="73"/>
      <c r="H131" s="73"/>
    </row>
    <row r="132" spans="1:8" hidden="1" x14ac:dyDescent="0.25">
      <c r="A132" s="80" t="s">
        <v>45</v>
      </c>
      <c r="B132" s="80">
        <f t="shared" si="1"/>
        <v>44721</v>
      </c>
      <c r="C132" s="82">
        <v>0.29166666666666669</v>
      </c>
      <c r="D132" s="82">
        <v>0.70833333333333337</v>
      </c>
      <c r="E132" s="76">
        <f>WEEKNUM(Planning2[[#This Row],[Date]],21)</f>
        <v>24</v>
      </c>
      <c r="F132" s="77" t="str">
        <f>VLOOKUP(A132,Annuaire_roster!B:C,2,0)</f>
        <v>Google Leads</v>
      </c>
      <c r="G132" s="73"/>
      <c r="H132" s="73"/>
    </row>
    <row r="133" spans="1:8" hidden="1" x14ac:dyDescent="0.25">
      <c r="A133" s="80" t="s">
        <v>76</v>
      </c>
      <c r="B133" s="80">
        <f t="shared" si="1"/>
        <v>44721</v>
      </c>
      <c r="C133" s="82">
        <v>0.29166666666666669</v>
      </c>
      <c r="D133" s="82">
        <v>0.70833333333333337</v>
      </c>
      <c r="E133" s="76">
        <f>WEEKNUM(Planning2[[#This Row],[Date]],21)</f>
        <v>24</v>
      </c>
      <c r="F133" s="77" t="str">
        <f>VLOOKUP(A133,Annuaire_roster!B:C,2,0)</f>
        <v>Google Leads</v>
      </c>
      <c r="G133" s="73"/>
      <c r="H133" s="73"/>
    </row>
    <row r="134" spans="1:8" hidden="1" x14ac:dyDescent="0.25">
      <c r="A134" s="80" t="s">
        <v>83</v>
      </c>
      <c r="B134" s="80">
        <f t="shared" si="1"/>
        <v>44721</v>
      </c>
      <c r="C134" s="82">
        <v>0.45833333333333331</v>
      </c>
      <c r="D134" s="82">
        <v>0.83333333333333337</v>
      </c>
      <c r="E134" s="76">
        <f>WEEKNUM(Planning2[[#This Row],[Date]],21)</f>
        <v>24</v>
      </c>
      <c r="F134" s="77" t="str">
        <f>VLOOKUP(A134,Annuaire_roster!B:C,2,0)</f>
        <v>Google Leads</v>
      </c>
      <c r="G134" s="73"/>
      <c r="H134" s="73"/>
    </row>
    <row r="135" spans="1:8" hidden="1" x14ac:dyDescent="0.25">
      <c r="A135" s="80" t="s">
        <v>87</v>
      </c>
      <c r="B135" s="80">
        <f t="shared" si="1"/>
        <v>44721</v>
      </c>
      <c r="C135" s="82">
        <v>0.45833333333333331</v>
      </c>
      <c r="D135" s="82">
        <v>0.83333333333333337</v>
      </c>
      <c r="E135" s="76">
        <f>WEEKNUM(Planning2[[#This Row],[Date]],21)</f>
        <v>24</v>
      </c>
      <c r="F135" s="77" t="str">
        <f>VLOOKUP(A135,Annuaire_roster!B:C,2,0)</f>
        <v>Google Leads</v>
      </c>
      <c r="G135" s="73"/>
      <c r="H135" s="73"/>
    </row>
    <row r="136" spans="1:8" hidden="1" x14ac:dyDescent="0.25">
      <c r="A136" s="80" t="s">
        <v>85</v>
      </c>
      <c r="B136" s="80">
        <f t="shared" si="1"/>
        <v>44721</v>
      </c>
      <c r="C136" s="82">
        <v>0.29166666666666669</v>
      </c>
      <c r="D136" s="82">
        <v>0.70833333333333337</v>
      </c>
      <c r="E136" s="76">
        <f>WEEKNUM(Planning2[[#This Row],[Date]],21)</f>
        <v>24</v>
      </c>
      <c r="F136" s="77" t="str">
        <f>VLOOKUP(A136,Annuaire_roster!B:C,2,0)</f>
        <v>Google Leads</v>
      </c>
      <c r="G136" s="73"/>
      <c r="H136" s="73"/>
    </row>
    <row r="137" spans="1:8" hidden="1" x14ac:dyDescent="0.25">
      <c r="A137" s="80" t="s">
        <v>89</v>
      </c>
      <c r="B137" s="80">
        <f t="shared" si="1"/>
        <v>44721</v>
      </c>
      <c r="C137" s="82">
        <v>0.29166666666666669</v>
      </c>
      <c r="D137" s="82">
        <v>0.70833333333333337</v>
      </c>
      <c r="E137" s="76">
        <f>WEEKNUM(Planning2[[#This Row],[Date]],21)</f>
        <v>24</v>
      </c>
      <c r="F137" s="77" t="str">
        <f>VLOOKUP(A137,Annuaire_roster!B:C,2,0)</f>
        <v>Google Leads</v>
      </c>
      <c r="G137" s="73"/>
      <c r="H137" s="73"/>
    </row>
    <row r="138" spans="1:8" hidden="1" x14ac:dyDescent="0.25">
      <c r="A138" s="80" t="s">
        <v>94</v>
      </c>
      <c r="B138" s="80">
        <f t="shared" si="1"/>
        <v>44721</v>
      </c>
      <c r="C138" s="82">
        <v>0.29166666666666669</v>
      </c>
      <c r="D138" s="82">
        <v>0.70833333333333337</v>
      </c>
      <c r="E138" s="76">
        <f>WEEKNUM(Planning2[[#This Row],[Date]],21)</f>
        <v>24</v>
      </c>
      <c r="F138" s="77" t="str">
        <f>VLOOKUP(A138,Annuaire_roster!B:C,2,0)</f>
        <v>Google Leads</v>
      </c>
      <c r="G138" s="73"/>
      <c r="H138" s="73"/>
    </row>
    <row r="139" spans="1:8" hidden="1" x14ac:dyDescent="0.25">
      <c r="A139" s="80" t="s">
        <v>91</v>
      </c>
      <c r="B139" s="80">
        <f t="shared" si="1"/>
        <v>44721</v>
      </c>
      <c r="C139" s="82">
        <v>0.29166666666666669</v>
      </c>
      <c r="D139" s="82">
        <v>0.70833333333333337</v>
      </c>
      <c r="E139" s="76">
        <f>WEEKNUM(Planning2[[#This Row],[Date]],21)</f>
        <v>24</v>
      </c>
      <c r="F139" s="77" t="str">
        <f>VLOOKUP(A139,Annuaire_roster!B:C,2,0)</f>
        <v>Google Leads</v>
      </c>
      <c r="G139" s="73"/>
      <c r="H139" s="73"/>
    </row>
    <row r="140" spans="1:8" hidden="1" x14ac:dyDescent="0.25">
      <c r="A140" s="80" t="s">
        <v>214</v>
      </c>
      <c r="B140" s="80">
        <f t="shared" si="1"/>
        <v>44721</v>
      </c>
      <c r="C140" s="82">
        <v>0.45833333333333331</v>
      </c>
      <c r="D140" s="82">
        <v>0.83333333333333337</v>
      </c>
      <c r="E140" s="76">
        <f>WEEKNUM(Planning2[[#This Row],[Date]],21)</f>
        <v>24</v>
      </c>
      <c r="F140" s="77" t="str">
        <f>VLOOKUP(A140,Annuaire_roster!B:C,2,0)</f>
        <v>Google Leads</v>
      </c>
      <c r="G140" s="73"/>
      <c r="H140" s="73"/>
    </row>
    <row r="141" spans="1:8" hidden="1" x14ac:dyDescent="0.25">
      <c r="A141" s="80" t="s">
        <v>102</v>
      </c>
      <c r="B141" s="80">
        <f t="shared" si="1"/>
        <v>44721</v>
      </c>
      <c r="C141" s="82" t="s">
        <v>31</v>
      </c>
      <c r="D141" s="82" t="s">
        <v>31</v>
      </c>
      <c r="E141" s="76">
        <f>WEEKNUM(Planning2[[#This Row],[Date]],21)</f>
        <v>24</v>
      </c>
      <c r="F141" s="77" t="str">
        <f>VLOOKUP(A141,Annuaire_roster!B:C,2,0)</f>
        <v>Google Leads</v>
      </c>
      <c r="G141" s="73"/>
      <c r="H141" s="73"/>
    </row>
    <row r="142" spans="1:8" hidden="1" x14ac:dyDescent="0.25">
      <c r="A142" s="80" t="s">
        <v>215</v>
      </c>
      <c r="B142" s="80">
        <f t="shared" si="1"/>
        <v>44721</v>
      </c>
      <c r="C142" s="82" t="s">
        <v>225</v>
      </c>
      <c r="D142" s="82" t="s">
        <v>225</v>
      </c>
      <c r="E142" s="76">
        <f>WEEKNUM(Planning2[[#This Row],[Date]],21)</f>
        <v>24</v>
      </c>
      <c r="F142" s="77" t="str">
        <f>VLOOKUP(A142,Annuaire_roster!B:C,2,0)</f>
        <v>Google Leads</v>
      </c>
      <c r="G142" s="73"/>
      <c r="H142" s="73"/>
    </row>
    <row r="143" spans="1:8" hidden="1" x14ac:dyDescent="0.25">
      <c r="A143" s="80" t="s">
        <v>88</v>
      </c>
      <c r="B143" s="80">
        <f t="shared" si="1"/>
        <v>44721</v>
      </c>
      <c r="C143" s="82" t="s">
        <v>31</v>
      </c>
      <c r="D143" s="82" t="s">
        <v>31</v>
      </c>
      <c r="E143" s="76">
        <f>WEEKNUM(Planning2[[#This Row],[Date]],21)</f>
        <v>24</v>
      </c>
      <c r="F143" s="77" t="str">
        <f>VLOOKUP(A143,Annuaire_roster!B:C,2,0)</f>
        <v>Google Leads</v>
      </c>
      <c r="G143" s="73"/>
      <c r="H143" s="73"/>
    </row>
    <row r="144" spans="1:8" hidden="1" x14ac:dyDescent="0.25">
      <c r="A144" s="80" t="s">
        <v>106</v>
      </c>
      <c r="B144" s="80">
        <f t="shared" si="1"/>
        <v>44721</v>
      </c>
      <c r="C144" s="82">
        <v>0.33333333333333331</v>
      </c>
      <c r="D144" s="82">
        <v>0.70833333333333337</v>
      </c>
      <c r="E144" s="76">
        <f>WEEKNUM(Planning2[[#This Row],[Date]],21)</f>
        <v>24</v>
      </c>
      <c r="F144" s="77" t="str">
        <f>VLOOKUP(A144,Annuaire_roster!B:C,2,0)</f>
        <v>Google Leads</v>
      </c>
      <c r="G144" s="73"/>
      <c r="H144" s="73"/>
    </row>
    <row r="145" spans="1:8" x14ac:dyDescent="0.25">
      <c r="A145" s="80" t="s">
        <v>110</v>
      </c>
      <c r="B145" s="80">
        <f t="shared" si="1"/>
        <v>44721</v>
      </c>
      <c r="C145" s="82">
        <v>0.29166666666666669</v>
      </c>
      <c r="D145" s="82">
        <v>0.70833333333333337</v>
      </c>
      <c r="E145" s="76">
        <f>WEEKNUM(Planning2[[#This Row],[Date]],21)</f>
        <v>24</v>
      </c>
      <c r="F145" s="77" t="str">
        <f>VLOOKUP(A145,Annuaire_roster!B:C,2,0)</f>
        <v>Google Leads</v>
      </c>
      <c r="G145" s="73"/>
      <c r="H145" s="73"/>
    </row>
    <row r="146" spans="1:8" hidden="1" x14ac:dyDescent="0.25">
      <c r="A146" s="80" t="s">
        <v>126</v>
      </c>
      <c r="B146" s="80">
        <f t="shared" si="1"/>
        <v>44721</v>
      </c>
      <c r="C146" s="82" t="s">
        <v>31</v>
      </c>
      <c r="D146" s="82" t="s">
        <v>31</v>
      </c>
      <c r="E146" s="76">
        <f>WEEKNUM(Planning2[[#This Row],[Date]],21)</f>
        <v>24</v>
      </c>
      <c r="F146" s="77" t="str">
        <f>VLOOKUP(A146,Annuaire_roster!B:C,2,0)</f>
        <v>Google Leads</v>
      </c>
      <c r="G146" s="73"/>
      <c r="H146" s="73"/>
    </row>
    <row r="147" spans="1:8" hidden="1" x14ac:dyDescent="0.25">
      <c r="A147" s="80" t="s">
        <v>141</v>
      </c>
      <c r="B147" s="80">
        <f t="shared" si="1"/>
        <v>44721</v>
      </c>
      <c r="C147" s="82">
        <v>0.29166666666666669</v>
      </c>
      <c r="D147" s="82">
        <v>0.70833333333333337</v>
      </c>
      <c r="E147" s="153">
        <f>WEEKNUM(Planning2[[#This Row],[Date]],21)</f>
        <v>24</v>
      </c>
      <c r="F147" s="154" t="str">
        <f>VLOOKUP(A147,Annuaire_roster!B:C,2,0)</f>
        <v>Google Leads</v>
      </c>
      <c r="G147" s="155"/>
      <c r="H147" s="155"/>
    </row>
    <row r="148" spans="1:8" hidden="1" x14ac:dyDescent="0.25">
      <c r="A148" s="80" t="s">
        <v>120</v>
      </c>
      <c r="B148" s="80">
        <f t="shared" si="1"/>
        <v>44721</v>
      </c>
      <c r="C148" s="82">
        <v>0.45833333333333331</v>
      </c>
      <c r="D148" s="82">
        <v>0.83333333333333337</v>
      </c>
      <c r="E148" s="153">
        <f>WEEKNUM(Planning2[[#This Row],[Date]],21)</f>
        <v>24</v>
      </c>
      <c r="F148" s="154" t="str">
        <f>VLOOKUP(A148,Annuaire_roster!B:C,2,0)</f>
        <v>Google Leads</v>
      </c>
      <c r="G148" s="155"/>
      <c r="H148" s="155"/>
    </row>
    <row r="149" spans="1:8" hidden="1" x14ac:dyDescent="0.25">
      <c r="A149" s="80" t="s">
        <v>144</v>
      </c>
      <c r="B149" s="80">
        <f t="shared" si="1"/>
        <v>44721</v>
      </c>
      <c r="C149" s="82">
        <v>0.29166666666666669</v>
      </c>
      <c r="D149" s="82">
        <v>0.70833333333333337</v>
      </c>
      <c r="E149" s="153">
        <f>WEEKNUM(Planning2[[#This Row],[Date]],21)</f>
        <v>24</v>
      </c>
      <c r="F149" s="154" t="str">
        <f>VLOOKUP(A149,Annuaire_roster!B:C,2,0)</f>
        <v>Google Leads</v>
      </c>
      <c r="G149" s="155"/>
      <c r="H149" s="155"/>
    </row>
    <row r="150" spans="1:8" hidden="1" x14ac:dyDescent="0.25">
      <c r="A150" s="80" t="s">
        <v>196</v>
      </c>
      <c r="B150" s="80">
        <f t="shared" si="1"/>
        <v>44721</v>
      </c>
      <c r="C150" s="82">
        <v>0.29166666666666669</v>
      </c>
      <c r="D150" s="82">
        <v>0.70833333333333337</v>
      </c>
      <c r="E150" s="153">
        <f>WEEKNUM(Planning2[[#This Row],[Date]],21)</f>
        <v>24</v>
      </c>
      <c r="F150" s="154" t="str">
        <f>VLOOKUP(A150,Annuaire_roster!B:C,2,0)</f>
        <v>Google Leads</v>
      </c>
      <c r="G150" s="155"/>
      <c r="H150" s="155"/>
    </row>
    <row r="151" spans="1:8" hidden="1" x14ac:dyDescent="0.25">
      <c r="A151" s="80" t="s">
        <v>197</v>
      </c>
      <c r="B151" s="80">
        <f t="shared" si="1"/>
        <v>44721</v>
      </c>
      <c r="C151" s="82">
        <v>0.45833333333333331</v>
      </c>
      <c r="D151" s="82">
        <v>0.83333333333333337</v>
      </c>
      <c r="E151" s="76">
        <f>WEEKNUM(Planning2[[#This Row],[Date]],21)</f>
        <v>24</v>
      </c>
      <c r="F151" s="77" t="str">
        <f>VLOOKUP(A151,Annuaire_roster!B:C,2,0)</f>
        <v>Google Leads</v>
      </c>
      <c r="G151" s="73"/>
      <c r="H151" s="73"/>
    </row>
    <row r="152" spans="1:8" hidden="1" x14ac:dyDescent="0.25">
      <c r="A152" s="80" t="s">
        <v>198</v>
      </c>
      <c r="B152" s="80">
        <f t="shared" si="1"/>
        <v>44721</v>
      </c>
      <c r="C152" s="82">
        <v>0.29166666666666669</v>
      </c>
      <c r="D152" s="82">
        <v>0.70833333333333337</v>
      </c>
      <c r="E152" s="76">
        <f>WEEKNUM(Planning2[[#This Row],[Date]],21)</f>
        <v>24</v>
      </c>
      <c r="F152" s="77" t="str">
        <f>VLOOKUP(A152,Annuaire_roster!B:C,2,0)</f>
        <v>Google Leads</v>
      </c>
      <c r="G152" s="73"/>
      <c r="H152" s="73"/>
    </row>
    <row r="153" spans="1:8" hidden="1" x14ac:dyDescent="0.25">
      <c r="A153" s="80" t="s">
        <v>209</v>
      </c>
      <c r="B153" s="80">
        <f t="shared" si="1"/>
        <v>44721</v>
      </c>
      <c r="C153" s="82">
        <v>0.29166666666666669</v>
      </c>
      <c r="D153" s="82">
        <v>0.66666666666666663</v>
      </c>
      <c r="E153" s="76">
        <f>WEEKNUM(Planning2[[#This Row],[Date]],21)</f>
        <v>24</v>
      </c>
      <c r="F153" s="77" t="str">
        <f>VLOOKUP(A153,Annuaire_roster!B:C,2,0)</f>
        <v>Google Leads</v>
      </c>
      <c r="G153" s="73"/>
      <c r="H153" s="73"/>
    </row>
    <row r="154" spans="1:8" hidden="1" x14ac:dyDescent="0.25">
      <c r="A154" s="80" t="s">
        <v>210</v>
      </c>
      <c r="B154" s="80">
        <f t="shared" si="1"/>
        <v>44721</v>
      </c>
      <c r="C154" s="82">
        <v>0.29166666666666669</v>
      </c>
      <c r="D154" s="82">
        <v>0.70833333333333337</v>
      </c>
      <c r="E154" s="76">
        <f>WEEKNUM(Planning2[[#This Row],[Date]],21)</f>
        <v>24</v>
      </c>
      <c r="F154" s="77" t="str">
        <f>VLOOKUP(A154,Annuaire_roster!B:C,2,0)</f>
        <v>Google Leads</v>
      </c>
      <c r="G154" s="73"/>
      <c r="H154" s="73"/>
    </row>
    <row r="155" spans="1:8" hidden="1" x14ac:dyDescent="0.25">
      <c r="A155" s="80" t="s">
        <v>212</v>
      </c>
      <c r="B155" s="80">
        <f t="shared" si="1"/>
        <v>44721</v>
      </c>
      <c r="C155" s="82" t="s">
        <v>31</v>
      </c>
      <c r="D155" s="82" t="s">
        <v>31</v>
      </c>
      <c r="E155" s="76">
        <f>WEEKNUM(Planning2[[#This Row],[Date]],21)</f>
        <v>24</v>
      </c>
      <c r="F155" s="77" t="str">
        <f>VLOOKUP(A155,Annuaire_roster!B:C,2,0)</f>
        <v>Google Leads</v>
      </c>
      <c r="G155" s="73"/>
      <c r="H155" s="73"/>
    </row>
    <row r="156" spans="1:8" hidden="1" x14ac:dyDescent="0.25">
      <c r="A156" s="80" t="s">
        <v>216</v>
      </c>
      <c r="B156" s="80">
        <f t="shared" si="1"/>
        <v>44721</v>
      </c>
      <c r="C156" s="82">
        <v>0.45833333333333331</v>
      </c>
      <c r="D156" s="82">
        <v>0.83333333333333337</v>
      </c>
      <c r="E156" s="76">
        <f>WEEKNUM(Planning2[[#This Row],[Date]],21)</f>
        <v>24</v>
      </c>
      <c r="F156" s="77" t="str">
        <f>VLOOKUP(A156,Annuaire_roster!B:C,2,0)</f>
        <v>Google Leads</v>
      </c>
      <c r="G156" s="73"/>
      <c r="H156" s="73"/>
    </row>
    <row r="157" spans="1:8" hidden="1" x14ac:dyDescent="0.25">
      <c r="A157" s="80" t="s">
        <v>217</v>
      </c>
      <c r="B157" s="80">
        <f t="shared" si="1"/>
        <v>44721</v>
      </c>
      <c r="C157" s="82" t="s">
        <v>31</v>
      </c>
      <c r="D157" s="82" t="s">
        <v>31</v>
      </c>
      <c r="E157" s="198">
        <f>WEEKNUM(Planning2[[#This Row],[Date]],21)</f>
        <v>24</v>
      </c>
      <c r="F157" s="199" t="str">
        <f>VLOOKUP(A157,Annuaire_roster!B:C,2,0)</f>
        <v>Google Leads</v>
      </c>
      <c r="G157" s="200"/>
      <c r="H157" s="200"/>
    </row>
    <row r="158" spans="1:8" hidden="1" x14ac:dyDescent="0.25">
      <c r="A158" s="80" t="s">
        <v>219</v>
      </c>
      <c r="B158" s="80">
        <f t="shared" si="1"/>
        <v>44721</v>
      </c>
      <c r="C158" s="82">
        <v>0.45833333333333331</v>
      </c>
      <c r="D158" s="82">
        <v>0.83333333333333337</v>
      </c>
      <c r="E158" s="198">
        <f>WEEKNUM(Planning2[[#This Row],[Date]],21)</f>
        <v>24</v>
      </c>
      <c r="F158" s="199" t="str">
        <f>VLOOKUP(A158,Annuaire_roster!B:C,2,0)</f>
        <v>Google Leads</v>
      </c>
      <c r="G158" s="200"/>
      <c r="H158" s="200"/>
    </row>
    <row r="159" spans="1:8" hidden="1" x14ac:dyDescent="0.25">
      <c r="A159" s="80" t="s">
        <v>220</v>
      </c>
      <c r="B159" s="80">
        <f t="shared" si="1"/>
        <v>44721</v>
      </c>
      <c r="C159" s="82" t="s">
        <v>31</v>
      </c>
      <c r="D159" s="82" t="s">
        <v>31</v>
      </c>
      <c r="E159" s="198">
        <f>WEEKNUM(Planning2[[#This Row],[Date]],21)</f>
        <v>24</v>
      </c>
      <c r="F159" s="199" t="str">
        <f>VLOOKUP(A159,Annuaire_roster!B:C,2,0)</f>
        <v>Google Leads</v>
      </c>
      <c r="G159" s="200"/>
      <c r="H159" s="200"/>
    </row>
    <row r="160" spans="1:8" hidden="1" x14ac:dyDescent="0.25">
      <c r="A160" s="80" t="s">
        <v>221</v>
      </c>
      <c r="B160" s="80">
        <f t="shared" si="1"/>
        <v>44721</v>
      </c>
      <c r="C160" s="82">
        <v>0.45833333333333331</v>
      </c>
      <c r="D160" s="82">
        <v>0.83333333333333337</v>
      </c>
      <c r="E160" s="198">
        <f>WEEKNUM(Planning2[[#This Row],[Date]],21)</f>
        <v>24</v>
      </c>
      <c r="F160" s="199" t="str">
        <f>VLOOKUP(A160,Annuaire_roster!B:C,2,0)</f>
        <v>Google Leads</v>
      </c>
      <c r="G160" s="200"/>
      <c r="H160" s="200"/>
    </row>
    <row r="161" spans="1:8" hidden="1" x14ac:dyDescent="0.25">
      <c r="A161" s="124" t="s">
        <v>224</v>
      </c>
      <c r="B161" s="80">
        <f t="shared" si="1"/>
        <v>44721</v>
      </c>
      <c r="C161" s="82">
        <v>0.45833333333333331</v>
      </c>
      <c r="D161" s="82">
        <v>0.83333333333333337</v>
      </c>
      <c r="E161" s="198">
        <f>WEEKNUM(Planning2[[#This Row],[Date]],21)</f>
        <v>24</v>
      </c>
      <c r="F161" s="199" t="str">
        <f>VLOOKUP(A161,Annuaire_roster!B:C,2,0)</f>
        <v>Google Leads</v>
      </c>
      <c r="G161" s="200"/>
      <c r="H161" s="200"/>
    </row>
    <row r="162" spans="1:8" hidden="1" x14ac:dyDescent="0.25">
      <c r="A162" s="80" t="s">
        <v>213</v>
      </c>
      <c r="B162" s="80">
        <f t="shared" si="1"/>
        <v>44722</v>
      </c>
      <c r="C162" s="82">
        <v>0.29166666666666669</v>
      </c>
      <c r="D162" s="82">
        <v>0.66666666666666663</v>
      </c>
      <c r="E162" s="198">
        <f>WEEKNUM(Planning2[[#This Row],[Date]],21)</f>
        <v>24</v>
      </c>
      <c r="F162" s="199" t="str">
        <f>VLOOKUP(A162,Annuaire_roster!B:C,2,0)</f>
        <v>Google Leads</v>
      </c>
      <c r="G162" s="200"/>
      <c r="H162" s="200"/>
    </row>
    <row r="163" spans="1:8" hidden="1" x14ac:dyDescent="0.25">
      <c r="A163" s="80" t="s">
        <v>80</v>
      </c>
      <c r="B163" s="80">
        <f t="shared" ref="B163:B225" si="2">+B131+1</f>
        <v>44722</v>
      </c>
      <c r="C163" s="82">
        <v>0.41666666666666669</v>
      </c>
      <c r="D163" s="82">
        <v>0.83333333333333337</v>
      </c>
      <c r="E163" s="198">
        <f>WEEKNUM(Planning2[[#This Row],[Date]],21)</f>
        <v>24</v>
      </c>
      <c r="F163" s="199" t="str">
        <f>VLOOKUP(A163,Annuaire_roster!B:C,2,0)</f>
        <v>Google Leads</v>
      </c>
      <c r="G163" s="200"/>
      <c r="H163" s="200"/>
    </row>
    <row r="164" spans="1:8" hidden="1" x14ac:dyDescent="0.25">
      <c r="A164" s="80" t="s">
        <v>45</v>
      </c>
      <c r="B164" s="80">
        <f t="shared" si="2"/>
        <v>44722</v>
      </c>
      <c r="C164" s="82">
        <v>0.29166666666666669</v>
      </c>
      <c r="D164" s="82">
        <v>0.66666666666666663</v>
      </c>
      <c r="E164" s="198">
        <f>WEEKNUM(Planning2[[#This Row],[Date]],21)</f>
        <v>24</v>
      </c>
      <c r="F164" s="199" t="str">
        <f>VLOOKUP(A164,Annuaire_roster!B:C,2,0)</f>
        <v>Google Leads</v>
      </c>
      <c r="G164" s="200"/>
      <c r="H164" s="200"/>
    </row>
    <row r="165" spans="1:8" hidden="1" x14ac:dyDescent="0.25">
      <c r="A165" s="80" t="s">
        <v>76</v>
      </c>
      <c r="B165" s="80">
        <f t="shared" si="2"/>
        <v>44722</v>
      </c>
      <c r="C165" s="82" t="s">
        <v>31</v>
      </c>
      <c r="D165" s="82" t="s">
        <v>31</v>
      </c>
      <c r="E165" s="198">
        <f>WEEKNUM(Planning2[[#This Row],[Date]],21)</f>
        <v>24</v>
      </c>
      <c r="F165" s="199" t="str">
        <f>VLOOKUP(A165,Annuaire_roster!B:C,2,0)</f>
        <v>Google Leads</v>
      </c>
      <c r="G165" s="200"/>
      <c r="H165" s="200"/>
    </row>
    <row r="166" spans="1:8" hidden="1" x14ac:dyDescent="0.25">
      <c r="A166" s="80" t="s">
        <v>83</v>
      </c>
      <c r="B166" s="80">
        <f t="shared" si="2"/>
        <v>44722</v>
      </c>
      <c r="C166" s="82">
        <v>0.41666666666666669</v>
      </c>
      <c r="D166" s="82">
        <v>0.83333333333333337</v>
      </c>
      <c r="E166" s="198">
        <f>WEEKNUM(Planning2[[#This Row],[Date]],21)</f>
        <v>24</v>
      </c>
      <c r="F166" s="199" t="str">
        <f>VLOOKUP(A166,Annuaire_roster!B:C,2,0)</f>
        <v>Google Leads</v>
      </c>
      <c r="G166" s="200"/>
      <c r="H166" s="200"/>
    </row>
    <row r="167" spans="1:8" hidden="1" x14ac:dyDescent="0.25">
      <c r="A167" s="80" t="s">
        <v>87</v>
      </c>
      <c r="B167" s="80">
        <f t="shared" si="2"/>
        <v>44722</v>
      </c>
      <c r="C167" s="82">
        <v>0.41666666666666669</v>
      </c>
      <c r="D167" s="82">
        <v>0.83333333333333337</v>
      </c>
      <c r="E167" s="198">
        <f>WEEKNUM(Planning2[[#This Row],[Date]],21)</f>
        <v>24</v>
      </c>
      <c r="F167" s="199" t="str">
        <f>VLOOKUP(A167,Annuaire_roster!B:C,2,0)</f>
        <v>Google Leads</v>
      </c>
      <c r="G167" s="200"/>
      <c r="H167" s="200"/>
    </row>
    <row r="168" spans="1:8" hidden="1" x14ac:dyDescent="0.25">
      <c r="A168" s="80" t="s">
        <v>85</v>
      </c>
      <c r="B168" s="80">
        <f t="shared" si="2"/>
        <v>44722</v>
      </c>
      <c r="C168" s="82">
        <v>0.29166666666666669</v>
      </c>
      <c r="D168" s="82">
        <v>0.66666666666666663</v>
      </c>
      <c r="E168" s="198">
        <f>WEEKNUM(Planning2[[#This Row],[Date]],21)</f>
        <v>24</v>
      </c>
      <c r="F168" s="199" t="str">
        <f>VLOOKUP(A168,Annuaire_roster!B:C,2,0)</f>
        <v>Google Leads</v>
      </c>
      <c r="G168" s="200"/>
      <c r="H168" s="200"/>
    </row>
    <row r="169" spans="1:8" hidden="1" x14ac:dyDescent="0.25">
      <c r="A169" s="80" t="s">
        <v>89</v>
      </c>
      <c r="B169" s="80">
        <f t="shared" si="2"/>
        <v>44722</v>
      </c>
      <c r="C169" s="82">
        <v>0.29166666666666669</v>
      </c>
      <c r="D169" s="82">
        <v>0.66666666666666663</v>
      </c>
      <c r="E169" s="198">
        <f>WEEKNUM(Planning2[[#This Row],[Date]],21)</f>
        <v>24</v>
      </c>
      <c r="F169" s="199" t="str">
        <f>VLOOKUP(A169,Annuaire_roster!B:C,2,0)</f>
        <v>Google Leads</v>
      </c>
      <c r="G169" s="200"/>
      <c r="H169" s="200"/>
    </row>
    <row r="170" spans="1:8" hidden="1" x14ac:dyDescent="0.25">
      <c r="A170" s="80" t="s">
        <v>94</v>
      </c>
      <c r="B170" s="80">
        <f t="shared" si="2"/>
        <v>44722</v>
      </c>
      <c r="C170" s="82">
        <v>0.29166666666666669</v>
      </c>
      <c r="D170" s="82">
        <v>0.66666666666666663</v>
      </c>
      <c r="E170" s="76">
        <f>WEEKNUM(Planning2[[#This Row],[Date]],21)</f>
        <v>24</v>
      </c>
      <c r="F170" s="77" t="str">
        <f>VLOOKUP(A170,Annuaire_roster!B:C,2,0)</f>
        <v>Google Leads</v>
      </c>
      <c r="G170" s="73"/>
      <c r="H170" s="73"/>
    </row>
    <row r="171" spans="1:8" hidden="1" x14ac:dyDescent="0.25">
      <c r="A171" s="80" t="s">
        <v>91</v>
      </c>
      <c r="B171" s="80">
        <f t="shared" si="2"/>
        <v>44722</v>
      </c>
      <c r="C171" s="82">
        <v>0.29166666666666669</v>
      </c>
      <c r="D171" s="82">
        <v>0.66666666666666663</v>
      </c>
      <c r="E171" s="76">
        <f>WEEKNUM(Planning2[[#This Row],[Date]],21)</f>
        <v>24</v>
      </c>
      <c r="F171" s="77" t="str">
        <f>VLOOKUP(A171,Annuaire_roster!B:C,2,0)</f>
        <v>Google Leads</v>
      </c>
      <c r="G171" s="73"/>
      <c r="H171" s="73"/>
    </row>
    <row r="172" spans="1:8" hidden="1" x14ac:dyDescent="0.25">
      <c r="A172" s="80" t="s">
        <v>214</v>
      </c>
      <c r="B172" s="80">
        <f t="shared" si="2"/>
        <v>44722</v>
      </c>
      <c r="C172" s="82" t="s">
        <v>31</v>
      </c>
      <c r="D172" s="82" t="s">
        <v>31</v>
      </c>
      <c r="E172" s="198">
        <f>WEEKNUM(Planning2[[#This Row],[Date]],21)</f>
        <v>24</v>
      </c>
      <c r="F172" s="199" t="str">
        <f>VLOOKUP(A172,Annuaire_roster!B:C,2,0)</f>
        <v>Google Leads</v>
      </c>
      <c r="G172" s="200"/>
      <c r="H172" s="200"/>
    </row>
    <row r="173" spans="1:8" hidden="1" x14ac:dyDescent="0.25">
      <c r="A173" s="80" t="s">
        <v>102</v>
      </c>
      <c r="B173" s="80">
        <f t="shared" si="2"/>
        <v>44722</v>
      </c>
      <c r="C173" s="82">
        <v>0.41666666666666669</v>
      </c>
      <c r="D173" s="82">
        <v>0.83333333333333337</v>
      </c>
      <c r="E173" s="76">
        <f>WEEKNUM(Planning2[[#This Row],[Date]],21)</f>
        <v>24</v>
      </c>
      <c r="F173" s="77" t="str">
        <f>VLOOKUP(A173,Annuaire_roster!B:C,2,0)</f>
        <v>Google Leads</v>
      </c>
      <c r="G173" s="73"/>
      <c r="H173" s="73"/>
    </row>
    <row r="174" spans="1:8" hidden="1" x14ac:dyDescent="0.25">
      <c r="A174" s="80" t="s">
        <v>215</v>
      </c>
      <c r="B174" s="80">
        <f t="shared" si="2"/>
        <v>44722</v>
      </c>
      <c r="C174" s="82" t="s">
        <v>31</v>
      </c>
      <c r="D174" s="82" t="s">
        <v>31</v>
      </c>
      <c r="E174" s="76">
        <f>WEEKNUM(Planning2[[#This Row],[Date]],21)</f>
        <v>24</v>
      </c>
      <c r="F174" s="77" t="str">
        <f>VLOOKUP(A174,Annuaire_roster!B:C,2,0)</f>
        <v>Google Leads</v>
      </c>
      <c r="G174" s="73"/>
      <c r="H174" s="73"/>
    </row>
    <row r="175" spans="1:8" hidden="1" x14ac:dyDescent="0.25">
      <c r="A175" s="80" t="s">
        <v>88</v>
      </c>
      <c r="B175" s="80">
        <f t="shared" si="2"/>
        <v>44722</v>
      </c>
      <c r="C175" s="82">
        <v>0.41666666666666669</v>
      </c>
      <c r="D175" s="82">
        <v>0.83333333333333337</v>
      </c>
      <c r="E175" s="198">
        <f>WEEKNUM(Planning2[[#This Row],[Date]],21)</f>
        <v>24</v>
      </c>
      <c r="F175" s="199" t="str">
        <f>VLOOKUP(A175,Annuaire_roster!B:C,2,0)</f>
        <v>Google Leads</v>
      </c>
      <c r="G175" s="200"/>
      <c r="H175" s="200"/>
    </row>
    <row r="176" spans="1:8" hidden="1" x14ac:dyDescent="0.25">
      <c r="A176" s="80" t="s">
        <v>106</v>
      </c>
      <c r="B176" s="80">
        <f t="shared" si="2"/>
        <v>44722</v>
      </c>
      <c r="C176" s="82">
        <v>0.33333333333333331</v>
      </c>
      <c r="D176" s="82">
        <v>0.75</v>
      </c>
      <c r="E176" s="198">
        <f>WEEKNUM(Planning2[[#This Row],[Date]],21)</f>
        <v>24</v>
      </c>
      <c r="F176" s="199" t="str">
        <f>VLOOKUP(A176,Annuaire_roster!B:C,2,0)</f>
        <v>Google Leads</v>
      </c>
      <c r="G176" s="200"/>
      <c r="H176" s="200"/>
    </row>
    <row r="177" spans="1:8" x14ac:dyDescent="0.25">
      <c r="A177" s="80" t="s">
        <v>110</v>
      </c>
      <c r="B177" s="80">
        <f t="shared" si="2"/>
        <v>44722</v>
      </c>
      <c r="C177" s="82" t="s">
        <v>225</v>
      </c>
      <c r="D177" s="82" t="s">
        <v>225</v>
      </c>
      <c r="E177" s="198">
        <f>WEEKNUM(Planning2[[#This Row],[Date]],21)</f>
        <v>24</v>
      </c>
      <c r="F177" s="199" t="str">
        <f>VLOOKUP(A177,Annuaire_roster!B:C,2,0)</f>
        <v>Google Leads</v>
      </c>
      <c r="G177" s="200"/>
      <c r="H177" s="200"/>
    </row>
    <row r="178" spans="1:8" hidden="1" x14ac:dyDescent="0.25">
      <c r="A178" s="80" t="s">
        <v>126</v>
      </c>
      <c r="B178" s="80">
        <f t="shared" si="2"/>
        <v>44722</v>
      </c>
      <c r="C178" s="82" t="s">
        <v>31</v>
      </c>
      <c r="D178" s="82" t="s">
        <v>31</v>
      </c>
      <c r="E178" s="198">
        <f>WEEKNUM(Planning2[[#This Row],[Date]],21)</f>
        <v>24</v>
      </c>
      <c r="F178" s="199" t="str">
        <f>VLOOKUP(A178,Annuaire_roster!B:C,2,0)</f>
        <v>Google Leads</v>
      </c>
      <c r="G178" s="200"/>
      <c r="H178" s="200"/>
    </row>
    <row r="179" spans="1:8" hidden="1" x14ac:dyDescent="0.25">
      <c r="A179" s="80" t="s">
        <v>141</v>
      </c>
      <c r="B179" s="80">
        <f t="shared" si="2"/>
        <v>44722</v>
      </c>
      <c r="C179" s="82">
        <v>0.29166666666666669</v>
      </c>
      <c r="D179" s="82">
        <v>0.66666666666666663</v>
      </c>
      <c r="E179" s="198">
        <f>WEEKNUM(Planning2[[#This Row],[Date]],21)</f>
        <v>24</v>
      </c>
      <c r="F179" s="199" t="str">
        <f>VLOOKUP(A179,Annuaire_roster!B:C,2,0)</f>
        <v>Google Leads</v>
      </c>
      <c r="G179" s="200"/>
      <c r="H179" s="200"/>
    </row>
    <row r="180" spans="1:8" hidden="1" x14ac:dyDescent="0.25">
      <c r="A180" s="80" t="s">
        <v>120</v>
      </c>
      <c r="B180" s="80">
        <f t="shared" si="2"/>
        <v>44722</v>
      </c>
      <c r="C180" s="82" t="s">
        <v>31</v>
      </c>
      <c r="D180" s="82" t="s">
        <v>31</v>
      </c>
      <c r="E180" s="198">
        <f>WEEKNUM(Planning2[[#This Row],[Date]],21)</f>
        <v>24</v>
      </c>
      <c r="F180" s="199" t="str">
        <f>VLOOKUP(A180,Annuaire_roster!B:C,2,0)</f>
        <v>Google Leads</v>
      </c>
      <c r="G180" s="200"/>
      <c r="H180" s="200"/>
    </row>
    <row r="181" spans="1:8" hidden="1" x14ac:dyDescent="0.25">
      <c r="A181" s="80" t="s">
        <v>144</v>
      </c>
      <c r="B181" s="80">
        <f t="shared" si="2"/>
        <v>44722</v>
      </c>
      <c r="C181" s="82">
        <v>0.29166666666666669</v>
      </c>
      <c r="D181" s="82">
        <v>0.66666666666666663</v>
      </c>
      <c r="E181" s="198">
        <f>WEEKNUM(Planning2[[#This Row],[Date]],21)</f>
        <v>24</v>
      </c>
      <c r="F181" s="199" t="str">
        <f>VLOOKUP(A181,Annuaire_roster!B:C,2,0)</f>
        <v>Google Leads</v>
      </c>
      <c r="G181" s="200"/>
      <c r="H181" s="200"/>
    </row>
    <row r="182" spans="1:8" hidden="1" x14ac:dyDescent="0.25">
      <c r="A182" s="80" t="s">
        <v>196</v>
      </c>
      <c r="B182" s="80">
        <f t="shared" si="2"/>
        <v>44722</v>
      </c>
      <c r="C182" s="82">
        <v>0.29166666666666669</v>
      </c>
      <c r="D182" s="82">
        <v>0.66666666666666663</v>
      </c>
      <c r="E182" s="198">
        <f>WEEKNUM(Planning2[[#This Row],[Date]],21)</f>
        <v>24</v>
      </c>
      <c r="F182" s="199" t="str">
        <f>VLOOKUP(A182,Annuaire_roster!B:C,2,0)</f>
        <v>Google Leads</v>
      </c>
      <c r="G182" s="200"/>
      <c r="H182" s="200"/>
    </row>
    <row r="183" spans="1:8" hidden="1" x14ac:dyDescent="0.25">
      <c r="A183" s="80" t="s">
        <v>197</v>
      </c>
      <c r="B183" s="80">
        <f t="shared" si="2"/>
        <v>44722</v>
      </c>
      <c r="C183" s="82">
        <v>0.41666666666666669</v>
      </c>
      <c r="D183" s="82">
        <v>0.83333333333333337</v>
      </c>
      <c r="E183" s="198">
        <f>WEEKNUM(Planning2[[#This Row],[Date]],21)</f>
        <v>24</v>
      </c>
      <c r="F183" s="199" t="str">
        <f>VLOOKUP(A183,Annuaire_roster!B:C,2,0)</f>
        <v>Google Leads</v>
      </c>
      <c r="G183" s="200"/>
      <c r="H183" s="200"/>
    </row>
    <row r="184" spans="1:8" hidden="1" x14ac:dyDescent="0.25">
      <c r="A184" s="80" t="s">
        <v>198</v>
      </c>
      <c r="B184" s="80">
        <f t="shared" si="2"/>
        <v>44722</v>
      </c>
      <c r="C184" s="82" t="s">
        <v>31</v>
      </c>
      <c r="D184" s="82" t="s">
        <v>31</v>
      </c>
      <c r="E184" s="76">
        <f>WEEKNUM(Planning2[[#This Row],[Date]],21)</f>
        <v>24</v>
      </c>
      <c r="F184" s="77" t="str">
        <f>VLOOKUP(A184,Annuaire_roster!B:C,2,0)</f>
        <v>Google Leads</v>
      </c>
      <c r="G184" s="73"/>
      <c r="H184" s="73"/>
    </row>
    <row r="185" spans="1:8" hidden="1" x14ac:dyDescent="0.25">
      <c r="A185" s="80" t="s">
        <v>209</v>
      </c>
      <c r="B185" s="80">
        <f t="shared" si="2"/>
        <v>44722</v>
      </c>
      <c r="C185" s="82" t="s">
        <v>31</v>
      </c>
      <c r="D185" s="82" t="s">
        <v>31</v>
      </c>
      <c r="E185" s="76">
        <f>WEEKNUM(Planning2[[#This Row],[Date]],21)</f>
        <v>24</v>
      </c>
      <c r="F185" s="77" t="str">
        <f>VLOOKUP(A185,Annuaire_roster!B:C,2,0)</f>
        <v>Google Leads</v>
      </c>
      <c r="G185" s="73"/>
      <c r="H185" s="73"/>
    </row>
    <row r="186" spans="1:8" hidden="1" x14ac:dyDescent="0.25">
      <c r="A186" s="80" t="s">
        <v>210</v>
      </c>
      <c r="B186" s="80">
        <f t="shared" si="2"/>
        <v>44722</v>
      </c>
      <c r="C186" s="82" t="s">
        <v>31</v>
      </c>
      <c r="D186" s="82" t="s">
        <v>31</v>
      </c>
      <c r="E186" s="76">
        <f>WEEKNUM(Planning2[[#This Row],[Date]],21)</f>
        <v>24</v>
      </c>
      <c r="F186" s="77" t="str">
        <f>VLOOKUP(A186,Annuaire_roster!B:C,2,0)</f>
        <v>Google Leads</v>
      </c>
      <c r="G186" s="73"/>
      <c r="H186" s="73"/>
    </row>
    <row r="187" spans="1:8" hidden="1" x14ac:dyDescent="0.25">
      <c r="A187" s="80" t="s">
        <v>212</v>
      </c>
      <c r="B187" s="80">
        <f t="shared" si="2"/>
        <v>44722</v>
      </c>
      <c r="C187" s="82">
        <v>0.29166666666666669</v>
      </c>
      <c r="D187" s="82">
        <v>0.66666666666666663</v>
      </c>
      <c r="E187" s="76">
        <f>WEEKNUM(Planning2[[#This Row],[Date]],21)</f>
        <v>24</v>
      </c>
      <c r="F187" s="77" t="str">
        <f>VLOOKUP(A187,Annuaire_roster!B:C,2,0)</f>
        <v>Google Leads</v>
      </c>
      <c r="G187" s="73"/>
      <c r="H187" s="73"/>
    </row>
    <row r="188" spans="1:8" hidden="1" x14ac:dyDescent="0.25">
      <c r="A188" s="80" t="s">
        <v>216</v>
      </c>
      <c r="B188" s="80">
        <f t="shared" si="2"/>
        <v>44722</v>
      </c>
      <c r="C188" s="82" t="s">
        <v>31</v>
      </c>
      <c r="D188" s="82" t="s">
        <v>31</v>
      </c>
      <c r="E188" s="76">
        <f>WEEKNUM(Planning2[[#This Row],[Date]],21)</f>
        <v>24</v>
      </c>
      <c r="F188" s="77" t="str">
        <f>VLOOKUP(A188,Annuaire_roster!B:C,2,0)</f>
        <v>Google Leads</v>
      </c>
      <c r="G188" s="73"/>
      <c r="H188" s="73"/>
    </row>
    <row r="189" spans="1:8" hidden="1" x14ac:dyDescent="0.25">
      <c r="A189" s="80" t="s">
        <v>217</v>
      </c>
      <c r="B189" s="80">
        <f t="shared" si="2"/>
        <v>44722</v>
      </c>
      <c r="C189" s="82">
        <v>0.45833333333333331</v>
      </c>
      <c r="D189" s="82">
        <v>0.83333333333333337</v>
      </c>
      <c r="E189" s="76">
        <f>WEEKNUM(Planning2[[#This Row],[Date]],21)</f>
        <v>24</v>
      </c>
      <c r="F189" s="77" t="str">
        <f>VLOOKUP(A189,Annuaire_roster!B:C,2,0)</f>
        <v>Google Leads</v>
      </c>
      <c r="G189" s="73"/>
      <c r="H189" s="73"/>
    </row>
    <row r="190" spans="1:8" hidden="1" x14ac:dyDescent="0.25">
      <c r="A190" s="80" t="s">
        <v>219</v>
      </c>
      <c r="B190" s="80">
        <f t="shared" si="2"/>
        <v>44722</v>
      </c>
      <c r="C190" s="82" t="s">
        <v>31</v>
      </c>
      <c r="D190" s="82" t="s">
        <v>31</v>
      </c>
      <c r="E190" s="76">
        <f>WEEKNUM(Planning2[[#This Row],[Date]],21)</f>
        <v>24</v>
      </c>
      <c r="F190" s="77" t="str">
        <f>VLOOKUP(A190,Annuaire_roster!B:C,2,0)</f>
        <v>Google Leads</v>
      </c>
      <c r="G190" s="73"/>
      <c r="H190" s="73"/>
    </row>
    <row r="191" spans="1:8" hidden="1" x14ac:dyDescent="0.25">
      <c r="A191" s="80" t="s">
        <v>220</v>
      </c>
      <c r="B191" s="80">
        <f t="shared" si="2"/>
        <v>44722</v>
      </c>
      <c r="C191" s="82">
        <v>0.41666666666666669</v>
      </c>
      <c r="D191" s="82">
        <v>0.83333333333333337</v>
      </c>
      <c r="E191" s="76">
        <f>WEEKNUM(Planning2[[#This Row],[Date]],21)</f>
        <v>24</v>
      </c>
      <c r="F191" s="77" t="str">
        <f>VLOOKUP(A191,Annuaire_roster!B:C,2,0)</f>
        <v>Google Leads</v>
      </c>
      <c r="G191" s="73"/>
      <c r="H191" s="73"/>
    </row>
    <row r="192" spans="1:8" hidden="1" x14ac:dyDescent="0.25">
      <c r="A192" s="80" t="s">
        <v>221</v>
      </c>
      <c r="B192" s="80">
        <f t="shared" si="2"/>
        <v>44722</v>
      </c>
      <c r="C192" s="82">
        <v>0.41666666666666669</v>
      </c>
      <c r="D192" s="82">
        <v>0.83333333333333337</v>
      </c>
      <c r="E192" s="76">
        <f>WEEKNUM(Planning2[[#This Row],[Date]],21)</f>
        <v>24</v>
      </c>
      <c r="F192" s="77" t="str">
        <f>VLOOKUP(A192,Annuaire_roster!B:C,2,0)</f>
        <v>Google Leads</v>
      </c>
      <c r="G192" s="73"/>
      <c r="H192" s="73"/>
    </row>
    <row r="193" spans="1:8" hidden="1" x14ac:dyDescent="0.25">
      <c r="A193" s="124" t="s">
        <v>224</v>
      </c>
      <c r="B193" s="80">
        <f t="shared" si="2"/>
        <v>44722</v>
      </c>
      <c r="C193" s="82" t="s">
        <v>31</v>
      </c>
      <c r="D193" s="82" t="s">
        <v>31</v>
      </c>
      <c r="E193" s="76">
        <f>WEEKNUM(Planning2[[#This Row],[Date]],21)</f>
        <v>24</v>
      </c>
      <c r="F193" s="77" t="str">
        <f>VLOOKUP(A193,Annuaire_roster!B:C,2,0)</f>
        <v>Google Leads</v>
      </c>
      <c r="G193" s="73"/>
      <c r="H193" s="73"/>
    </row>
    <row r="194" spans="1:8" hidden="1" x14ac:dyDescent="0.25">
      <c r="A194" s="80" t="s">
        <v>213</v>
      </c>
      <c r="B194" s="80">
        <f t="shared" si="2"/>
        <v>44723</v>
      </c>
      <c r="C194" s="82">
        <v>0.41666666666666669</v>
      </c>
      <c r="D194" s="82">
        <v>0.83333333333333337</v>
      </c>
      <c r="E194" s="76">
        <f>WEEKNUM(Planning2[[#This Row],[Date]],21)</f>
        <v>24</v>
      </c>
      <c r="F194" s="77" t="str">
        <f>VLOOKUP(A194,Annuaire_roster!B:C,2,0)</f>
        <v>Google Leads</v>
      </c>
      <c r="G194" s="73"/>
      <c r="H194" s="73"/>
    </row>
    <row r="195" spans="1:8" hidden="1" x14ac:dyDescent="0.25">
      <c r="A195" s="80" t="s">
        <v>80</v>
      </c>
      <c r="B195" s="80">
        <f t="shared" si="2"/>
        <v>44723</v>
      </c>
      <c r="C195" s="82" t="s">
        <v>226</v>
      </c>
      <c r="D195" s="82" t="s">
        <v>226</v>
      </c>
      <c r="E195" s="76">
        <f>WEEKNUM(Planning2[[#This Row],[Date]],21)</f>
        <v>24</v>
      </c>
      <c r="F195" s="77" t="str">
        <f>VLOOKUP(A195,Annuaire_roster!B:C,2,0)</f>
        <v>Google Leads</v>
      </c>
      <c r="G195" s="73"/>
      <c r="H195" s="73"/>
    </row>
    <row r="196" spans="1:8" hidden="1" x14ac:dyDescent="0.25">
      <c r="A196" s="80" t="s">
        <v>45</v>
      </c>
      <c r="B196" s="80">
        <f t="shared" si="2"/>
        <v>44723</v>
      </c>
      <c r="C196" s="82" t="s">
        <v>31</v>
      </c>
      <c r="D196" s="82" t="s">
        <v>31</v>
      </c>
      <c r="E196" s="76">
        <f>WEEKNUM(Planning2[[#This Row],[Date]],21)</f>
        <v>24</v>
      </c>
      <c r="F196" s="77" t="str">
        <f>VLOOKUP(A196,Annuaire_roster!B:C,2,0)</f>
        <v>Google Leads</v>
      </c>
      <c r="G196" s="73"/>
      <c r="H196" s="73"/>
    </row>
    <row r="197" spans="1:8" hidden="1" x14ac:dyDescent="0.25">
      <c r="A197" s="80" t="s">
        <v>76</v>
      </c>
      <c r="B197" s="80">
        <f t="shared" si="2"/>
        <v>44723</v>
      </c>
      <c r="C197" s="82" t="s">
        <v>31</v>
      </c>
      <c r="D197" s="82" t="s">
        <v>31</v>
      </c>
      <c r="E197" s="76">
        <f>WEEKNUM(Planning2[[#This Row],[Date]],21)</f>
        <v>24</v>
      </c>
      <c r="F197" s="77" t="str">
        <f>VLOOKUP(A197,Annuaire_roster!B:C,2,0)</f>
        <v>Google Leads</v>
      </c>
      <c r="G197" s="73"/>
      <c r="H197" s="73"/>
    </row>
    <row r="198" spans="1:8" hidden="1" x14ac:dyDescent="0.25">
      <c r="A198" s="80" t="s">
        <v>83</v>
      </c>
      <c r="B198" s="80">
        <f t="shared" si="2"/>
        <v>44723</v>
      </c>
      <c r="C198" s="82">
        <v>0.41666666666666669</v>
      </c>
      <c r="D198" s="82">
        <v>0.83333333333333337</v>
      </c>
      <c r="E198" s="76">
        <f>WEEKNUM(Planning2[[#This Row],[Date]],21)</f>
        <v>24</v>
      </c>
      <c r="F198" s="77" t="str">
        <f>VLOOKUP(A198,Annuaire_roster!B:C,2,0)</f>
        <v>Google Leads</v>
      </c>
      <c r="G198" s="73"/>
      <c r="H198" s="73"/>
    </row>
    <row r="199" spans="1:8" hidden="1" x14ac:dyDescent="0.25">
      <c r="A199" s="80" t="s">
        <v>87</v>
      </c>
      <c r="B199" s="80">
        <f t="shared" si="2"/>
        <v>44723</v>
      </c>
      <c r="C199" s="82" t="s">
        <v>31</v>
      </c>
      <c r="D199" s="82" t="s">
        <v>31</v>
      </c>
      <c r="E199" s="76">
        <f>WEEKNUM(Planning2[[#This Row],[Date]],21)</f>
        <v>24</v>
      </c>
      <c r="F199" s="77" t="str">
        <f>VLOOKUP(A199,Annuaire_roster!B:C,2,0)</f>
        <v>Google Leads</v>
      </c>
      <c r="G199" s="73"/>
      <c r="H199" s="73"/>
    </row>
    <row r="200" spans="1:8" hidden="1" x14ac:dyDescent="0.25">
      <c r="A200" s="80" t="s">
        <v>85</v>
      </c>
      <c r="B200" s="80">
        <f t="shared" si="2"/>
        <v>44723</v>
      </c>
      <c r="C200" s="82" t="s">
        <v>31</v>
      </c>
      <c r="D200" s="82" t="s">
        <v>31</v>
      </c>
      <c r="E200" s="76">
        <f>WEEKNUM(Planning2[[#This Row],[Date]],21)</f>
        <v>24</v>
      </c>
      <c r="F200" s="77" t="str">
        <f>VLOOKUP(A200,Annuaire_roster!B:C,2,0)</f>
        <v>Google Leads</v>
      </c>
      <c r="G200" s="73"/>
      <c r="H200" s="73"/>
    </row>
    <row r="201" spans="1:8" hidden="1" x14ac:dyDescent="0.25">
      <c r="A201" s="80" t="s">
        <v>89</v>
      </c>
      <c r="B201" s="80">
        <f t="shared" si="2"/>
        <v>44723</v>
      </c>
      <c r="C201" s="82" t="s">
        <v>31</v>
      </c>
      <c r="D201" s="82" t="s">
        <v>31</v>
      </c>
      <c r="E201" s="76">
        <f>WEEKNUM(Planning2[[#This Row],[Date]],21)</f>
        <v>24</v>
      </c>
      <c r="F201" s="77" t="str">
        <f>VLOOKUP(A201,Annuaire_roster!B:C,2,0)</f>
        <v>Google Leads</v>
      </c>
      <c r="G201" s="73"/>
      <c r="H201" s="73"/>
    </row>
    <row r="202" spans="1:8" hidden="1" x14ac:dyDescent="0.25">
      <c r="A202" s="80" t="s">
        <v>94</v>
      </c>
      <c r="B202" s="80">
        <f t="shared" si="2"/>
        <v>44723</v>
      </c>
      <c r="C202" s="82">
        <v>0.29166666666666669</v>
      </c>
      <c r="D202" s="82">
        <v>0.70833333333333337</v>
      </c>
      <c r="E202" s="76">
        <f>WEEKNUM(Planning2[[#This Row],[Date]],21)</f>
        <v>24</v>
      </c>
      <c r="F202" s="77" t="str">
        <f>VLOOKUP(A202,Annuaire_roster!B:C,2,0)</f>
        <v>Google Leads</v>
      </c>
      <c r="G202" s="73"/>
      <c r="H202" s="73"/>
    </row>
    <row r="203" spans="1:8" hidden="1" x14ac:dyDescent="0.25">
      <c r="A203" s="80" t="s">
        <v>91</v>
      </c>
      <c r="B203" s="80">
        <f t="shared" si="2"/>
        <v>44723</v>
      </c>
      <c r="C203" s="82">
        <v>0.41666666666666669</v>
      </c>
      <c r="D203" s="82">
        <v>0.83333333333333337</v>
      </c>
      <c r="E203" s="76">
        <f>WEEKNUM(Planning2[[#This Row],[Date]],21)</f>
        <v>24</v>
      </c>
      <c r="F203" s="77" t="str">
        <f>VLOOKUP(A203,Annuaire_roster!B:C,2,0)</f>
        <v>Google Leads</v>
      </c>
      <c r="G203" s="73"/>
      <c r="H203" s="73"/>
    </row>
    <row r="204" spans="1:8" hidden="1" x14ac:dyDescent="0.25">
      <c r="A204" s="80" t="s">
        <v>214</v>
      </c>
      <c r="B204" s="80">
        <f t="shared" si="2"/>
        <v>44723</v>
      </c>
      <c r="C204" s="82" t="s">
        <v>31</v>
      </c>
      <c r="D204" s="82" t="s">
        <v>31</v>
      </c>
      <c r="E204" s="76">
        <f>WEEKNUM(Planning2[[#This Row],[Date]],21)</f>
        <v>24</v>
      </c>
      <c r="F204" s="77" t="str">
        <f>VLOOKUP(A204,Annuaire_roster!B:C,2,0)</f>
        <v>Google Leads</v>
      </c>
      <c r="G204" s="73"/>
      <c r="H204" s="73"/>
    </row>
    <row r="205" spans="1:8" hidden="1" x14ac:dyDescent="0.25">
      <c r="A205" s="80" t="s">
        <v>102</v>
      </c>
      <c r="B205" s="80">
        <f t="shared" si="2"/>
        <v>44723</v>
      </c>
      <c r="C205" s="82">
        <v>0.41666666666666669</v>
      </c>
      <c r="D205" s="82">
        <v>0.83333333333333337</v>
      </c>
      <c r="E205" s="76">
        <f>WEEKNUM(Planning2[[#This Row],[Date]],21)</f>
        <v>24</v>
      </c>
      <c r="F205" s="77" t="str">
        <f>VLOOKUP(A205,Annuaire_roster!B:C,2,0)</f>
        <v>Google Leads</v>
      </c>
      <c r="G205" s="73"/>
      <c r="H205" s="73"/>
    </row>
    <row r="206" spans="1:8" hidden="1" x14ac:dyDescent="0.25">
      <c r="A206" s="80" t="s">
        <v>215</v>
      </c>
      <c r="B206" s="80">
        <f t="shared" si="2"/>
        <v>44723</v>
      </c>
      <c r="C206" s="82" t="s">
        <v>31</v>
      </c>
      <c r="D206" s="82" t="s">
        <v>31</v>
      </c>
      <c r="E206" s="76">
        <f>WEEKNUM(Planning2[[#This Row],[Date]],21)</f>
        <v>24</v>
      </c>
      <c r="F206" s="77" t="str">
        <f>VLOOKUP(A206,Annuaire_roster!B:C,2,0)</f>
        <v>Google Leads</v>
      </c>
      <c r="G206" s="73"/>
      <c r="H206" s="73"/>
    </row>
    <row r="207" spans="1:8" hidden="1" x14ac:dyDescent="0.25">
      <c r="A207" s="80" t="s">
        <v>88</v>
      </c>
      <c r="B207" s="80">
        <f t="shared" si="2"/>
        <v>44723</v>
      </c>
      <c r="C207" s="82">
        <v>0.41666666666666669</v>
      </c>
      <c r="D207" s="82">
        <v>0.83333333333333337</v>
      </c>
      <c r="E207" s="76">
        <f>WEEKNUM(Planning2[[#This Row],[Date]],21)</f>
        <v>24</v>
      </c>
      <c r="F207" s="77" t="str">
        <f>VLOOKUP(A207,Annuaire_roster!B:C,2,0)</f>
        <v>Google Leads</v>
      </c>
      <c r="G207" s="73"/>
      <c r="H207" s="73"/>
    </row>
    <row r="208" spans="1:8" hidden="1" x14ac:dyDescent="0.25">
      <c r="A208" s="80" t="s">
        <v>106</v>
      </c>
      <c r="B208" s="80">
        <f t="shared" si="2"/>
        <v>44723</v>
      </c>
      <c r="C208" s="82" t="s">
        <v>31</v>
      </c>
      <c r="D208" s="82" t="s">
        <v>31</v>
      </c>
      <c r="E208" s="76">
        <f>WEEKNUM(Planning2[[#This Row],[Date]],21)</f>
        <v>24</v>
      </c>
      <c r="F208" s="77" t="str">
        <f>VLOOKUP(A208,Annuaire_roster!B:C,2,0)</f>
        <v>Google Leads</v>
      </c>
      <c r="G208" s="73"/>
      <c r="H208" s="73"/>
    </row>
    <row r="209" spans="1:8" x14ac:dyDescent="0.25">
      <c r="A209" s="80" t="s">
        <v>110</v>
      </c>
      <c r="B209" s="80">
        <f t="shared" si="2"/>
        <v>44723</v>
      </c>
      <c r="C209" s="82">
        <v>0.29166666666666669</v>
      </c>
      <c r="D209" s="82">
        <v>0.70833333333333337</v>
      </c>
      <c r="E209" s="76">
        <f>WEEKNUM(Planning2[[#This Row],[Date]],21)</f>
        <v>24</v>
      </c>
      <c r="F209" s="77" t="str">
        <f>VLOOKUP(A209,Annuaire_roster!B:C,2,0)</f>
        <v>Google Leads</v>
      </c>
      <c r="G209" s="73"/>
      <c r="H209" s="73"/>
    </row>
    <row r="210" spans="1:8" hidden="1" x14ac:dyDescent="0.25">
      <c r="A210" s="80" t="s">
        <v>126</v>
      </c>
      <c r="B210" s="80">
        <f t="shared" si="2"/>
        <v>44723</v>
      </c>
      <c r="C210" s="82">
        <v>0.29166666666666669</v>
      </c>
      <c r="D210" s="82">
        <v>0.66666666666666663</v>
      </c>
      <c r="E210" s="76">
        <f>WEEKNUM(Planning2[[#This Row],[Date]],21)</f>
        <v>24</v>
      </c>
      <c r="F210" s="77" t="str">
        <f>VLOOKUP(A210,Annuaire_roster!B:C,2,0)</f>
        <v>Google Leads</v>
      </c>
      <c r="G210" s="73"/>
      <c r="H210" s="73"/>
    </row>
    <row r="211" spans="1:8" hidden="1" x14ac:dyDescent="0.25">
      <c r="A211" s="80" t="s">
        <v>141</v>
      </c>
      <c r="B211" s="80">
        <f t="shared" si="2"/>
        <v>44723</v>
      </c>
      <c r="C211" s="82" t="s">
        <v>31</v>
      </c>
      <c r="D211" s="82" t="s">
        <v>31</v>
      </c>
      <c r="E211" s="76">
        <f>WEEKNUM(Planning2[[#This Row],[Date]],21)</f>
        <v>24</v>
      </c>
      <c r="F211" s="77" t="str">
        <f>VLOOKUP(A211,Annuaire_roster!B:C,2,0)</f>
        <v>Google Leads</v>
      </c>
      <c r="G211" s="73"/>
      <c r="H211" s="73"/>
    </row>
    <row r="212" spans="1:8" hidden="1" x14ac:dyDescent="0.25">
      <c r="A212" s="80" t="s">
        <v>120</v>
      </c>
      <c r="B212" s="80">
        <f t="shared" si="2"/>
        <v>44723</v>
      </c>
      <c r="C212" s="82" t="s">
        <v>31</v>
      </c>
      <c r="D212" s="82" t="s">
        <v>31</v>
      </c>
      <c r="E212" s="76">
        <f>WEEKNUM(Planning2[[#This Row],[Date]],21)</f>
        <v>24</v>
      </c>
      <c r="F212" s="77" t="str">
        <f>VLOOKUP(A212,Annuaire_roster!B:C,2,0)</f>
        <v>Google Leads</v>
      </c>
      <c r="G212" s="73"/>
      <c r="H212" s="73"/>
    </row>
    <row r="213" spans="1:8" hidden="1" x14ac:dyDescent="0.25">
      <c r="A213" s="80" t="s">
        <v>144</v>
      </c>
      <c r="B213" s="80">
        <f t="shared" si="2"/>
        <v>44723</v>
      </c>
      <c r="C213" s="82" t="s">
        <v>31</v>
      </c>
      <c r="D213" s="82" t="s">
        <v>31</v>
      </c>
      <c r="E213" s="76">
        <f>WEEKNUM(Planning2[[#This Row],[Date]],21)</f>
        <v>24</v>
      </c>
      <c r="F213" s="77" t="str">
        <f>VLOOKUP(A213,Annuaire_roster!B:C,2,0)</f>
        <v>Google Leads</v>
      </c>
      <c r="G213" s="73"/>
      <c r="H213" s="73"/>
    </row>
    <row r="214" spans="1:8" hidden="1" x14ac:dyDescent="0.25">
      <c r="A214" s="80" t="s">
        <v>196</v>
      </c>
      <c r="B214" s="80">
        <f t="shared" si="2"/>
        <v>44723</v>
      </c>
      <c r="C214" s="82" t="s">
        <v>31</v>
      </c>
      <c r="D214" s="82" t="s">
        <v>31</v>
      </c>
      <c r="E214" s="76">
        <f>WEEKNUM(Planning2[[#This Row],[Date]],21)</f>
        <v>24</v>
      </c>
      <c r="F214" s="77" t="str">
        <f>VLOOKUP(A214,Annuaire_roster!B:C,2,0)</f>
        <v>Google Leads</v>
      </c>
      <c r="G214" s="73"/>
      <c r="H214" s="73"/>
    </row>
    <row r="215" spans="1:8" hidden="1" x14ac:dyDescent="0.25">
      <c r="A215" s="80" t="s">
        <v>197</v>
      </c>
      <c r="B215" s="80">
        <f t="shared" si="2"/>
        <v>44723</v>
      </c>
      <c r="C215" s="82" t="s">
        <v>31</v>
      </c>
      <c r="D215" s="82" t="s">
        <v>31</v>
      </c>
      <c r="E215" s="76">
        <f>WEEKNUM(Planning2[[#This Row],[Date]],21)</f>
        <v>24</v>
      </c>
      <c r="F215" s="77" t="str">
        <f>VLOOKUP(A215,Annuaire_roster!B:C,2,0)</f>
        <v>Google Leads</v>
      </c>
      <c r="G215" s="73"/>
      <c r="H215" s="73"/>
    </row>
    <row r="216" spans="1:8" hidden="1" x14ac:dyDescent="0.25">
      <c r="A216" s="80" t="s">
        <v>198</v>
      </c>
      <c r="B216" s="80">
        <f t="shared" si="2"/>
        <v>44723</v>
      </c>
      <c r="C216" s="82" t="s">
        <v>31</v>
      </c>
      <c r="D216" s="82" t="s">
        <v>31</v>
      </c>
      <c r="E216" s="76">
        <f>WEEKNUM(Planning2[[#This Row],[Date]],21)</f>
        <v>24</v>
      </c>
      <c r="F216" s="77" t="str">
        <f>VLOOKUP(A216,Annuaire_roster!B:C,2,0)</f>
        <v>Google Leads</v>
      </c>
      <c r="G216" s="73"/>
      <c r="H216" s="73"/>
    </row>
    <row r="217" spans="1:8" hidden="1" x14ac:dyDescent="0.25">
      <c r="A217" s="80" t="s">
        <v>209</v>
      </c>
      <c r="B217" s="80">
        <f t="shared" si="2"/>
        <v>44723</v>
      </c>
      <c r="C217" s="82" t="s">
        <v>31</v>
      </c>
      <c r="D217" s="82" t="s">
        <v>31</v>
      </c>
      <c r="E217" s="76">
        <f>WEEKNUM(Planning2[[#This Row],[Date]],21)</f>
        <v>24</v>
      </c>
      <c r="F217" s="77" t="str">
        <f>VLOOKUP(A217,Annuaire_roster!B:C,2,0)</f>
        <v>Google Leads</v>
      </c>
      <c r="G217" s="73"/>
      <c r="H217" s="73"/>
    </row>
    <row r="218" spans="1:8" hidden="1" x14ac:dyDescent="0.25">
      <c r="A218" s="80" t="s">
        <v>210</v>
      </c>
      <c r="B218" s="80">
        <f t="shared" si="2"/>
        <v>44723</v>
      </c>
      <c r="C218" s="82" t="s">
        <v>31</v>
      </c>
      <c r="D218" s="82" t="s">
        <v>31</v>
      </c>
      <c r="E218" s="76">
        <f>WEEKNUM(Planning2[[#This Row],[Date]],21)</f>
        <v>24</v>
      </c>
      <c r="F218" s="77" t="str">
        <f>VLOOKUP(A218,Annuaire_roster!B:C,2,0)</f>
        <v>Google Leads</v>
      </c>
      <c r="G218" s="73"/>
      <c r="H218" s="73"/>
    </row>
    <row r="219" spans="1:8" hidden="1" x14ac:dyDescent="0.25">
      <c r="A219" s="80" t="s">
        <v>212</v>
      </c>
      <c r="B219" s="80">
        <f t="shared" si="2"/>
        <v>44723</v>
      </c>
      <c r="C219" s="82">
        <v>0.29166666666666669</v>
      </c>
      <c r="D219" s="82">
        <v>0.70833333333333337</v>
      </c>
      <c r="E219" s="76">
        <f>WEEKNUM(Planning2[[#This Row],[Date]],21)</f>
        <v>24</v>
      </c>
      <c r="F219" s="77" t="str">
        <f>VLOOKUP(A219,Annuaire_roster!B:C,2,0)</f>
        <v>Google Leads</v>
      </c>
      <c r="G219" s="73"/>
      <c r="H219" s="73"/>
    </row>
    <row r="220" spans="1:8" hidden="1" x14ac:dyDescent="0.25">
      <c r="A220" s="80" t="s">
        <v>216</v>
      </c>
      <c r="B220" s="80">
        <f t="shared" si="2"/>
        <v>44723</v>
      </c>
      <c r="C220" s="82" t="s">
        <v>31</v>
      </c>
      <c r="D220" s="82" t="s">
        <v>31</v>
      </c>
      <c r="E220" s="76">
        <f>WEEKNUM(Planning2[[#This Row],[Date]],21)</f>
        <v>24</v>
      </c>
      <c r="F220" s="77" t="str">
        <f>VLOOKUP(A220,Annuaire_roster!B:C,2,0)</f>
        <v>Google Leads</v>
      </c>
      <c r="G220" s="73"/>
      <c r="H220" s="73"/>
    </row>
    <row r="221" spans="1:8" hidden="1" x14ac:dyDescent="0.25">
      <c r="A221" s="80" t="s">
        <v>217</v>
      </c>
      <c r="B221" s="80">
        <f t="shared" si="2"/>
        <v>44723</v>
      </c>
      <c r="C221" s="82" t="s">
        <v>31</v>
      </c>
      <c r="D221" s="82" t="s">
        <v>31</v>
      </c>
      <c r="E221" s="76">
        <f>WEEKNUM(Planning2[[#This Row],[Date]],21)</f>
        <v>24</v>
      </c>
      <c r="F221" s="77" t="str">
        <f>VLOOKUP(A221,Annuaire_roster!B:C,2,0)</f>
        <v>Google Leads</v>
      </c>
      <c r="G221" s="73"/>
      <c r="H221" s="73"/>
    </row>
    <row r="222" spans="1:8" hidden="1" x14ac:dyDescent="0.25">
      <c r="A222" s="80" t="s">
        <v>219</v>
      </c>
      <c r="B222" s="80">
        <f t="shared" si="2"/>
        <v>44723</v>
      </c>
      <c r="C222" s="82" t="s">
        <v>31</v>
      </c>
      <c r="D222" s="82" t="s">
        <v>31</v>
      </c>
      <c r="E222" s="76">
        <f>WEEKNUM(Planning2[[#This Row],[Date]],21)</f>
        <v>24</v>
      </c>
      <c r="F222" s="77" t="str">
        <f>VLOOKUP(A222,Annuaire_roster!B:C,2,0)</f>
        <v>Google Leads</v>
      </c>
      <c r="G222" s="73"/>
      <c r="H222" s="73"/>
    </row>
    <row r="223" spans="1:8" hidden="1" x14ac:dyDescent="0.25">
      <c r="A223" s="80" t="s">
        <v>220</v>
      </c>
      <c r="B223" s="80">
        <f t="shared" si="2"/>
        <v>44723</v>
      </c>
      <c r="C223" s="82">
        <v>0.29166666666666669</v>
      </c>
      <c r="D223" s="82">
        <v>0.66666666666666663</v>
      </c>
      <c r="E223" s="76">
        <f>WEEKNUM(Planning2[[#This Row],[Date]],21)</f>
        <v>24</v>
      </c>
      <c r="F223" s="77" t="str">
        <f>VLOOKUP(A223,Annuaire_roster!B:C,2,0)</f>
        <v>Google Leads</v>
      </c>
      <c r="G223" s="73"/>
      <c r="H223" s="73"/>
    </row>
    <row r="224" spans="1:8" hidden="1" x14ac:dyDescent="0.25">
      <c r="A224" s="80" t="s">
        <v>221</v>
      </c>
      <c r="B224" s="80">
        <f t="shared" si="2"/>
        <v>44723</v>
      </c>
      <c r="C224" s="82">
        <v>0.41666666666666669</v>
      </c>
      <c r="D224" s="82">
        <v>0.83333333333333337</v>
      </c>
      <c r="E224" s="76">
        <f>WEEKNUM(Planning2[[#This Row],[Date]],21)</f>
        <v>24</v>
      </c>
      <c r="F224" s="77" t="str">
        <f>VLOOKUP(A224,Annuaire_roster!B:C,2,0)</f>
        <v>Google Leads</v>
      </c>
      <c r="G224" s="73"/>
      <c r="H224" s="73"/>
    </row>
    <row r="225" spans="1:8" hidden="1" x14ac:dyDescent="0.25">
      <c r="A225" s="124" t="s">
        <v>224</v>
      </c>
      <c r="B225" s="80">
        <f t="shared" si="2"/>
        <v>44723</v>
      </c>
      <c r="C225" s="82" t="s">
        <v>31</v>
      </c>
      <c r="D225" s="82" t="s">
        <v>31</v>
      </c>
      <c r="E225" s="76">
        <f>WEEKNUM(Planning2[[#This Row],[Date]],21)</f>
        <v>24</v>
      </c>
      <c r="F225" s="77" t="str">
        <f>VLOOKUP(A225,Annuaire_roster!B:C,2,0)</f>
        <v>Google Leads</v>
      </c>
      <c r="G225" s="73"/>
      <c r="H225" s="73"/>
    </row>
  </sheetData>
  <mergeCells count="2">
    <mergeCell ref="K2:K3"/>
    <mergeCell ref="K6:K8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3" filterMode="1"/>
  <dimension ref="A1:M1006"/>
  <sheetViews>
    <sheetView zoomScale="85" zoomScaleNormal="85" workbookViewId="0">
      <pane ySplit="1" topLeftCell="A26" activePane="bottomLeft" state="frozen"/>
      <selection activeCell="C5463" sqref="C5463"/>
      <selection pane="bottomLeft" activeCell="A92" sqref="A92:XFD92"/>
    </sheetView>
  </sheetViews>
  <sheetFormatPr baseColWidth="10" defaultColWidth="11.42578125" defaultRowHeight="15" x14ac:dyDescent="0.25"/>
  <cols>
    <col min="1" max="1" width="10.42578125" style="135" customWidth="1"/>
    <col min="2" max="2" width="37.42578125" style="99" bestFit="1" customWidth="1"/>
    <col min="3" max="3" width="23.28515625" style="135" bestFit="1" customWidth="1"/>
    <col min="4" max="4" width="23.28515625" style="53" bestFit="1" customWidth="1"/>
    <col min="5" max="5" width="28.42578125" style="135" customWidth="1"/>
    <col min="6" max="7" width="10.42578125" style="135" customWidth="1"/>
    <col min="8" max="8" width="17.42578125" style="56" bestFit="1" customWidth="1"/>
    <col min="9" max="9" width="18.42578125" style="56" customWidth="1"/>
    <col min="10" max="10" width="41.5703125" style="135" customWidth="1"/>
    <col min="11" max="16384" width="11.42578125" style="135"/>
  </cols>
  <sheetData>
    <row r="1" spans="1:13" x14ac:dyDescent="0.25">
      <c r="A1" s="50" t="s">
        <v>28</v>
      </c>
      <c r="B1" s="156" t="s">
        <v>71</v>
      </c>
      <c r="C1" s="50" t="s">
        <v>24</v>
      </c>
      <c r="D1" s="50" t="s">
        <v>23</v>
      </c>
      <c r="E1" s="51" t="s">
        <v>22</v>
      </c>
      <c r="F1" s="50" t="s">
        <v>28</v>
      </c>
      <c r="G1" s="52" t="s">
        <v>3</v>
      </c>
      <c r="H1" s="55" t="s">
        <v>29</v>
      </c>
      <c r="I1" s="57" t="s">
        <v>30</v>
      </c>
    </row>
    <row r="2" spans="1:13" x14ac:dyDescent="0.25">
      <c r="A2" s="94">
        <v>364</v>
      </c>
      <c r="B2" s="168" t="s">
        <v>213</v>
      </c>
      <c r="C2" s="95" t="s">
        <v>73</v>
      </c>
      <c r="D2" s="95" t="s">
        <v>73</v>
      </c>
      <c r="E2" s="169" t="s">
        <v>82</v>
      </c>
      <c r="F2" s="94">
        <v>364</v>
      </c>
      <c r="G2" s="96" t="s">
        <v>61</v>
      </c>
      <c r="H2" s="98"/>
      <c r="I2" s="99"/>
    </row>
    <row r="3" spans="1:13" x14ac:dyDescent="0.25">
      <c r="A3" s="94">
        <v>555</v>
      </c>
      <c r="B3" s="168" t="s">
        <v>74</v>
      </c>
      <c r="C3" s="95" t="s">
        <v>73</v>
      </c>
      <c r="D3" s="95" t="s">
        <v>73</v>
      </c>
      <c r="E3" s="169" t="s">
        <v>82</v>
      </c>
      <c r="F3" s="94">
        <v>555</v>
      </c>
      <c r="G3" s="96" t="s">
        <v>61</v>
      </c>
      <c r="H3" s="98"/>
      <c r="I3" s="99"/>
    </row>
    <row r="4" spans="1:13" x14ac:dyDescent="0.25">
      <c r="A4" s="94">
        <v>973</v>
      </c>
      <c r="B4" s="168" t="s">
        <v>146</v>
      </c>
      <c r="C4" s="95" t="s">
        <v>73</v>
      </c>
      <c r="D4" s="95" t="s">
        <v>73</v>
      </c>
      <c r="E4" s="170" t="s">
        <v>82</v>
      </c>
      <c r="F4" s="94">
        <v>973</v>
      </c>
      <c r="G4" s="96" t="s">
        <v>61</v>
      </c>
      <c r="H4" s="98"/>
      <c r="I4" s="99"/>
    </row>
    <row r="5" spans="1:13" x14ac:dyDescent="0.25">
      <c r="A5" s="94">
        <v>952</v>
      </c>
      <c r="B5" s="168" t="s">
        <v>131</v>
      </c>
      <c r="C5" s="95" t="s">
        <v>73</v>
      </c>
      <c r="D5" s="95" t="s">
        <v>73</v>
      </c>
      <c r="E5" s="169" t="s">
        <v>82</v>
      </c>
      <c r="F5" s="94">
        <v>952</v>
      </c>
      <c r="G5" s="96" t="s">
        <v>61</v>
      </c>
      <c r="H5" s="98"/>
      <c r="I5" s="99"/>
    </row>
    <row r="6" spans="1:13" x14ac:dyDescent="0.25">
      <c r="A6" s="94">
        <v>1009</v>
      </c>
      <c r="B6" s="168" t="s">
        <v>91</v>
      </c>
      <c r="C6" s="95" t="s">
        <v>73</v>
      </c>
      <c r="D6" s="95" t="s">
        <v>73</v>
      </c>
      <c r="E6" s="169" t="s">
        <v>82</v>
      </c>
      <c r="F6" s="94">
        <v>1009</v>
      </c>
      <c r="G6" s="96" t="s">
        <v>61</v>
      </c>
      <c r="H6" s="98"/>
      <c r="I6" s="99"/>
    </row>
    <row r="7" spans="1:13" x14ac:dyDescent="0.25">
      <c r="A7" s="94">
        <v>1007</v>
      </c>
      <c r="B7" s="168" t="s">
        <v>89</v>
      </c>
      <c r="C7" s="95" t="s">
        <v>73</v>
      </c>
      <c r="D7" s="95" t="s">
        <v>73</v>
      </c>
      <c r="E7" s="169" t="s">
        <v>82</v>
      </c>
      <c r="F7" s="94">
        <v>1007</v>
      </c>
      <c r="G7" s="96" t="s">
        <v>61</v>
      </c>
      <c r="H7" s="98"/>
      <c r="I7" s="99"/>
    </row>
    <row r="8" spans="1:13" x14ac:dyDescent="0.25">
      <c r="A8" s="94">
        <v>366</v>
      </c>
      <c r="B8" s="168" t="s">
        <v>41</v>
      </c>
      <c r="C8" s="95" t="s">
        <v>73</v>
      </c>
      <c r="D8" s="95" t="s">
        <v>73</v>
      </c>
      <c r="E8" s="169" t="s">
        <v>82</v>
      </c>
      <c r="F8" s="94">
        <v>366</v>
      </c>
      <c r="G8" s="96" t="s">
        <v>61</v>
      </c>
      <c r="H8" s="98"/>
      <c r="I8" s="99"/>
    </row>
    <row r="9" spans="1:13" x14ac:dyDescent="0.25">
      <c r="A9" s="94">
        <v>894</v>
      </c>
      <c r="B9" s="168" t="s">
        <v>80</v>
      </c>
      <c r="C9" s="95" t="s">
        <v>73</v>
      </c>
      <c r="D9" s="95" t="s">
        <v>73</v>
      </c>
      <c r="E9" s="169" t="s">
        <v>82</v>
      </c>
      <c r="F9" s="94">
        <v>894</v>
      </c>
      <c r="G9" s="96" t="s">
        <v>61</v>
      </c>
      <c r="H9" s="98"/>
      <c r="I9" s="99"/>
    </row>
    <row r="10" spans="1:13" x14ac:dyDescent="0.25">
      <c r="A10" s="94">
        <v>742</v>
      </c>
      <c r="B10" s="168" t="s">
        <v>147</v>
      </c>
      <c r="C10" s="95" t="s">
        <v>73</v>
      </c>
      <c r="D10" s="95" t="s">
        <v>73</v>
      </c>
      <c r="E10" s="169" t="s">
        <v>82</v>
      </c>
      <c r="F10" s="94">
        <v>742</v>
      </c>
      <c r="G10" s="96" t="s">
        <v>61</v>
      </c>
      <c r="H10" s="98"/>
      <c r="I10" s="99"/>
      <c r="M10" s="101"/>
    </row>
    <row r="11" spans="1:13" x14ac:dyDescent="0.25">
      <c r="A11" s="94">
        <v>397</v>
      </c>
      <c r="B11" s="168" t="s">
        <v>215</v>
      </c>
      <c r="C11" s="95" t="s">
        <v>73</v>
      </c>
      <c r="D11" s="95" t="s">
        <v>73</v>
      </c>
      <c r="E11" s="170" t="s">
        <v>82</v>
      </c>
      <c r="F11" s="94">
        <v>397</v>
      </c>
      <c r="G11" s="96" t="s">
        <v>61</v>
      </c>
      <c r="H11" s="98"/>
      <c r="I11" s="99"/>
      <c r="M11" s="101"/>
    </row>
    <row r="12" spans="1:13" x14ac:dyDescent="0.25">
      <c r="A12" s="94">
        <v>1141</v>
      </c>
      <c r="B12" s="168" t="s">
        <v>111</v>
      </c>
      <c r="C12" s="95" t="s">
        <v>73</v>
      </c>
      <c r="D12" s="95" t="s">
        <v>73</v>
      </c>
      <c r="E12" s="170" t="s">
        <v>82</v>
      </c>
      <c r="F12" s="94">
        <v>1141</v>
      </c>
      <c r="G12" s="96" t="s">
        <v>61</v>
      </c>
      <c r="H12" s="98"/>
      <c r="I12" s="99"/>
      <c r="M12" s="101"/>
    </row>
    <row r="13" spans="1:13" x14ac:dyDescent="0.25">
      <c r="A13" s="94">
        <v>1167</v>
      </c>
      <c r="B13" s="168" t="s">
        <v>126</v>
      </c>
      <c r="C13" s="95" t="s">
        <v>73</v>
      </c>
      <c r="D13" s="95" t="s">
        <v>73</v>
      </c>
      <c r="E13" s="170" t="s">
        <v>82</v>
      </c>
      <c r="F13" s="94">
        <v>1167</v>
      </c>
      <c r="G13" s="96" t="s">
        <v>61</v>
      </c>
      <c r="H13" s="98"/>
      <c r="I13" s="99"/>
      <c r="M13" s="101"/>
    </row>
    <row r="14" spans="1:13" x14ac:dyDescent="0.25">
      <c r="A14" s="94">
        <v>1161</v>
      </c>
      <c r="B14" s="168" t="s">
        <v>113</v>
      </c>
      <c r="C14" s="95" t="s">
        <v>73</v>
      </c>
      <c r="D14" s="95" t="s">
        <v>73</v>
      </c>
      <c r="E14" s="171" t="s">
        <v>82</v>
      </c>
      <c r="F14" s="94">
        <v>1161</v>
      </c>
      <c r="G14" s="96" t="s">
        <v>61</v>
      </c>
      <c r="H14" s="98"/>
      <c r="I14" s="99"/>
      <c r="M14" s="101"/>
    </row>
    <row r="15" spans="1:13" x14ac:dyDescent="0.25">
      <c r="A15" s="94">
        <v>1165</v>
      </c>
      <c r="B15" s="172" t="s">
        <v>120</v>
      </c>
      <c r="C15" s="95" t="s">
        <v>73</v>
      </c>
      <c r="D15" s="95" t="s">
        <v>73</v>
      </c>
      <c r="E15" s="170" t="s">
        <v>82</v>
      </c>
      <c r="F15" s="94">
        <v>1165</v>
      </c>
      <c r="G15" s="96" t="s">
        <v>61</v>
      </c>
      <c r="H15" s="98"/>
      <c r="I15" s="99"/>
      <c r="M15" s="101"/>
    </row>
    <row r="16" spans="1:13" x14ac:dyDescent="0.25">
      <c r="A16" s="94">
        <v>1274</v>
      </c>
      <c r="B16" s="172" t="s">
        <v>141</v>
      </c>
      <c r="C16" s="95" t="s">
        <v>73</v>
      </c>
      <c r="D16" s="95" t="s">
        <v>73</v>
      </c>
      <c r="E16" s="173" t="s">
        <v>82</v>
      </c>
      <c r="F16" s="94">
        <v>1274</v>
      </c>
      <c r="G16" s="96" t="s">
        <v>61</v>
      </c>
      <c r="H16" s="98"/>
      <c r="I16" s="99"/>
    </row>
    <row r="17" spans="1:9" x14ac:dyDescent="0.25">
      <c r="A17" s="94">
        <v>1309</v>
      </c>
      <c r="B17" s="172" t="s">
        <v>143</v>
      </c>
      <c r="C17" s="95" t="s">
        <v>73</v>
      </c>
      <c r="D17" s="95" t="s">
        <v>73</v>
      </c>
      <c r="E17" s="173" t="s">
        <v>82</v>
      </c>
      <c r="F17" s="94">
        <v>1309</v>
      </c>
      <c r="G17" s="96" t="s">
        <v>61</v>
      </c>
      <c r="H17" s="98"/>
      <c r="I17" s="99"/>
    </row>
    <row r="18" spans="1:9" x14ac:dyDescent="0.25">
      <c r="A18" s="94">
        <v>1169</v>
      </c>
      <c r="B18" s="172" t="s">
        <v>125</v>
      </c>
      <c r="C18" s="95" t="s">
        <v>73</v>
      </c>
      <c r="D18" s="95" t="s">
        <v>73</v>
      </c>
      <c r="E18" s="170" t="s">
        <v>82</v>
      </c>
      <c r="F18" s="94"/>
      <c r="G18" s="96" t="s">
        <v>61</v>
      </c>
      <c r="H18" s="98"/>
      <c r="I18" s="99"/>
    </row>
    <row r="19" spans="1:9" x14ac:dyDescent="0.25">
      <c r="A19" s="94">
        <v>1283</v>
      </c>
      <c r="B19" s="168" t="s">
        <v>145</v>
      </c>
      <c r="C19" s="95" t="s">
        <v>73</v>
      </c>
      <c r="D19" s="95" t="s">
        <v>73</v>
      </c>
      <c r="E19" s="173" t="s">
        <v>82</v>
      </c>
      <c r="F19" s="94">
        <v>1283</v>
      </c>
      <c r="G19" s="96" t="s">
        <v>61</v>
      </c>
      <c r="H19" s="98"/>
      <c r="I19" s="99"/>
    </row>
    <row r="20" spans="1:9" x14ac:dyDescent="0.25">
      <c r="A20" s="94">
        <v>1008</v>
      </c>
      <c r="B20" s="174" t="s">
        <v>94</v>
      </c>
      <c r="C20" s="95" t="s">
        <v>73</v>
      </c>
      <c r="D20" s="95" t="s">
        <v>73</v>
      </c>
      <c r="E20" s="157" t="s">
        <v>107</v>
      </c>
      <c r="F20" s="94">
        <v>1008</v>
      </c>
      <c r="G20" s="96" t="s">
        <v>61</v>
      </c>
      <c r="H20" s="98"/>
      <c r="I20" s="99"/>
    </row>
    <row r="21" spans="1:9" x14ac:dyDescent="0.25">
      <c r="A21" s="94">
        <v>633</v>
      </c>
      <c r="B21" s="174" t="s">
        <v>109</v>
      </c>
      <c r="C21" s="95" t="s">
        <v>73</v>
      </c>
      <c r="D21" s="95" t="s">
        <v>73</v>
      </c>
      <c r="E21" s="175" t="s">
        <v>107</v>
      </c>
      <c r="F21" s="94">
        <v>633</v>
      </c>
      <c r="G21" s="96" t="s">
        <v>61</v>
      </c>
      <c r="H21" s="98"/>
      <c r="I21" s="98"/>
    </row>
    <row r="22" spans="1:9" x14ac:dyDescent="0.25">
      <c r="A22" s="94">
        <v>949</v>
      </c>
      <c r="B22" s="174" t="s">
        <v>135</v>
      </c>
      <c r="C22" s="95" t="s">
        <v>73</v>
      </c>
      <c r="D22" s="95" t="s">
        <v>73</v>
      </c>
      <c r="E22" s="157" t="s">
        <v>107</v>
      </c>
      <c r="F22" s="94">
        <v>949</v>
      </c>
      <c r="G22" s="96" t="s">
        <v>61</v>
      </c>
      <c r="H22" s="98"/>
      <c r="I22" s="98"/>
    </row>
    <row r="23" spans="1:9" x14ac:dyDescent="0.25">
      <c r="A23" s="94">
        <v>971</v>
      </c>
      <c r="B23" s="174" t="s">
        <v>83</v>
      </c>
      <c r="C23" s="95" t="s">
        <v>73</v>
      </c>
      <c r="D23" s="95" t="s">
        <v>73</v>
      </c>
      <c r="E23" s="175" t="s">
        <v>107</v>
      </c>
      <c r="F23" s="94">
        <v>971</v>
      </c>
      <c r="G23" s="96" t="s">
        <v>61</v>
      </c>
      <c r="H23" s="98"/>
      <c r="I23" s="98"/>
    </row>
    <row r="24" spans="1:9" x14ac:dyDescent="0.25">
      <c r="A24" s="94">
        <v>669</v>
      </c>
      <c r="B24" s="174" t="s">
        <v>137</v>
      </c>
      <c r="C24" s="95" t="s">
        <v>73</v>
      </c>
      <c r="D24" s="95" t="s">
        <v>73</v>
      </c>
      <c r="E24" s="157" t="s">
        <v>107</v>
      </c>
      <c r="F24" s="94">
        <v>669</v>
      </c>
      <c r="G24" s="96" t="s">
        <v>61</v>
      </c>
      <c r="H24" s="98"/>
      <c r="I24" s="99"/>
    </row>
    <row r="25" spans="1:9" x14ac:dyDescent="0.25">
      <c r="A25" s="94">
        <v>1125</v>
      </c>
      <c r="B25" s="174" t="s">
        <v>96</v>
      </c>
      <c r="C25" s="95" t="s">
        <v>73</v>
      </c>
      <c r="D25" s="95" t="s">
        <v>73</v>
      </c>
      <c r="E25" s="157" t="s">
        <v>107</v>
      </c>
      <c r="F25" s="94">
        <v>1125</v>
      </c>
      <c r="G25" s="96" t="s">
        <v>61</v>
      </c>
      <c r="H25" s="98"/>
      <c r="I25" s="98"/>
    </row>
    <row r="26" spans="1:9" x14ac:dyDescent="0.25">
      <c r="A26" s="94">
        <v>1131</v>
      </c>
      <c r="B26" s="174" t="s">
        <v>214</v>
      </c>
      <c r="C26" s="95" t="s">
        <v>73</v>
      </c>
      <c r="D26" s="95" t="s">
        <v>73</v>
      </c>
      <c r="E26" s="157" t="s">
        <v>107</v>
      </c>
      <c r="F26" s="94">
        <v>1131</v>
      </c>
      <c r="G26" s="96" t="s">
        <v>61</v>
      </c>
      <c r="H26" s="98"/>
      <c r="I26" s="98"/>
    </row>
    <row r="27" spans="1:9" x14ac:dyDescent="0.25">
      <c r="A27" s="94">
        <v>1145</v>
      </c>
      <c r="B27" s="174" t="s">
        <v>102</v>
      </c>
      <c r="C27" s="95" t="s">
        <v>73</v>
      </c>
      <c r="D27" s="95" t="s">
        <v>73</v>
      </c>
      <c r="E27" s="176" t="s">
        <v>107</v>
      </c>
      <c r="F27" s="94">
        <v>1145</v>
      </c>
      <c r="G27" s="96" t="s">
        <v>61</v>
      </c>
      <c r="H27" s="98"/>
      <c r="I27" s="99"/>
    </row>
    <row r="28" spans="1:9" x14ac:dyDescent="0.25">
      <c r="A28" s="94">
        <v>1148</v>
      </c>
      <c r="B28" s="174" t="s">
        <v>103</v>
      </c>
      <c r="C28" s="95" t="s">
        <v>73</v>
      </c>
      <c r="D28" s="95" t="s">
        <v>73</v>
      </c>
      <c r="E28" s="157" t="s">
        <v>107</v>
      </c>
      <c r="F28" s="94">
        <v>1148</v>
      </c>
      <c r="G28" s="96" t="s">
        <v>61</v>
      </c>
      <c r="H28" s="98"/>
      <c r="I28" s="99"/>
    </row>
    <row r="29" spans="1:9" x14ac:dyDescent="0.25">
      <c r="A29" s="94">
        <v>1152</v>
      </c>
      <c r="B29" s="174" t="s">
        <v>104</v>
      </c>
      <c r="C29" s="95" t="s">
        <v>73</v>
      </c>
      <c r="D29" s="95" t="s">
        <v>73</v>
      </c>
      <c r="E29" s="157" t="s">
        <v>107</v>
      </c>
      <c r="F29" s="94">
        <v>1152</v>
      </c>
      <c r="G29" s="96" t="s">
        <v>61</v>
      </c>
      <c r="H29" s="98"/>
      <c r="I29" s="99"/>
    </row>
    <row r="30" spans="1:9" x14ac:dyDescent="0.25">
      <c r="A30" s="94">
        <v>1132</v>
      </c>
      <c r="B30" s="174" t="s">
        <v>88</v>
      </c>
      <c r="C30" s="95" t="s">
        <v>73</v>
      </c>
      <c r="D30" s="95" t="s">
        <v>73</v>
      </c>
      <c r="E30" s="157" t="s">
        <v>107</v>
      </c>
      <c r="F30" s="94">
        <v>1132</v>
      </c>
      <c r="G30" s="96" t="s">
        <v>61</v>
      </c>
      <c r="H30" s="98"/>
      <c r="I30" s="99"/>
    </row>
    <row r="31" spans="1:9" x14ac:dyDescent="0.25">
      <c r="A31" s="96">
        <v>1170</v>
      </c>
      <c r="B31" s="174" t="s">
        <v>106</v>
      </c>
      <c r="C31" s="95" t="s">
        <v>73</v>
      </c>
      <c r="D31" s="95" t="s">
        <v>73</v>
      </c>
      <c r="E31" s="158" t="s">
        <v>107</v>
      </c>
      <c r="F31" s="96">
        <v>1170</v>
      </c>
      <c r="G31" s="96" t="s">
        <v>61</v>
      </c>
      <c r="H31" s="98"/>
      <c r="I31" s="99"/>
    </row>
    <row r="32" spans="1:9" x14ac:dyDescent="0.25">
      <c r="A32" s="94">
        <v>1154</v>
      </c>
      <c r="B32" s="177" t="s">
        <v>110</v>
      </c>
      <c r="C32" s="95" t="s">
        <v>73</v>
      </c>
      <c r="D32" s="95" t="s">
        <v>73</v>
      </c>
      <c r="E32" s="175" t="s">
        <v>107</v>
      </c>
      <c r="F32" s="94">
        <v>1154</v>
      </c>
      <c r="G32" s="96" t="s">
        <v>61</v>
      </c>
      <c r="H32" s="98"/>
      <c r="I32" s="99"/>
    </row>
    <row r="33" spans="1:9" x14ac:dyDescent="0.25">
      <c r="A33" s="96">
        <v>1146</v>
      </c>
      <c r="B33" s="174" t="s">
        <v>118</v>
      </c>
      <c r="C33" s="95" t="s">
        <v>73</v>
      </c>
      <c r="D33" s="95" t="s">
        <v>73</v>
      </c>
      <c r="E33" s="157" t="s">
        <v>107</v>
      </c>
      <c r="F33" s="96">
        <v>1146</v>
      </c>
      <c r="G33" s="96" t="s">
        <v>61</v>
      </c>
      <c r="H33" s="98"/>
      <c r="I33" s="99"/>
    </row>
    <row r="34" spans="1:9" x14ac:dyDescent="0.25">
      <c r="A34" s="94">
        <v>1189</v>
      </c>
      <c r="B34" s="174" t="s">
        <v>112</v>
      </c>
      <c r="C34" s="95" t="s">
        <v>73</v>
      </c>
      <c r="D34" s="95" t="s">
        <v>73</v>
      </c>
      <c r="E34" s="157" t="s">
        <v>107</v>
      </c>
      <c r="F34" s="94">
        <v>1189</v>
      </c>
      <c r="G34" s="96" t="s">
        <v>61</v>
      </c>
      <c r="H34" s="98"/>
      <c r="I34" s="99"/>
    </row>
    <row r="35" spans="1:9" x14ac:dyDescent="0.25">
      <c r="A35" s="94"/>
      <c r="B35" s="178" t="s">
        <v>180</v>
      </c>
      <c r="C35" s="95" t="s">
        <v>73</v>
      </c>
      <c r="D35" s="95" t="s">
        <v>73</v>
      </c>
      <c r="E35" s="157" t="s">
        <v>107</v>
      </c>
      <c r="F35" s="94"/>
      <c r="G35" s="96" t="s">
        <v>61</v>
      </c>
      <c r="H35" s="98"/>
      <c r="I35" s="99"/>
    </row>
    <row r="36" spans="1:9" x14ac:dyDescent="0.25">
      <c r="A36" s="94">
        <v>1174</v>
      </c>
      <c r="B36" s="174" t="s">
        <v>123</v>
      </c>
      <c r="C36" s="95" t="s">
        <v>73</v>
      </c>
      <c r="D36" s="95" t="s">
        <v>73</v>
      </c>
      <c r="E36" s="175" t="s">
        <v>107</v>
      </c>
      <c r="F36" s="94"/>
      <c r="G36" s="96" t="s">
        <v>61</v>
      </c>
      <c r="H36" s="98"/>
      <c r="I36" s="98"/>
    </row>
    <row r="37" spans="1:9" x14ac:dyDescent="0.25">
      <c r="A37" s="94">
        <v>895</v>
      </c>
      <c r="B37" s="174" t="s">
        <v>142</v>
      </c>
      <c r="C37" s="95" t="s">
        <v>73</v>
      </c>
      <c r="D37" s="95" t="s">
        <v>73</v>
      </c>
      <c r="E37" s="157" t="s">
        <v>107</v>
      </c>
      <c r="F37" s="94">
        <v>895</v>
      </c>
      <c r="G37" s="96" t="s">
        <v>61</v>
      </c>
      <c r="H37" s="98"/>
      <c r="I37" s="98"/>
    </row>
    <row r="38" spans="1:9" x14ac:dyDescent="0.25">
      <c r="A38" s="94">
        <v>1192</v>
      </c>
      <c r="B38" s="174" t="s">
        <v>144</v>
      </c>
      <c r="C38" s="95" t="s">
        <v>73</v>
      </c>
      <c r="D38" s="95" t="s">
        <v>73</v>
      </c>
      <c r="E38" s="157" t="s">
        <v>107</v>
      </c>
      <c r="F38" s="94"/>
      <c r="G38" s="96" t="s">
        <v>61</v>
      </c>
      <c r="H38" s="98"/>
      <c r="I38" s="99"/>
    </row>
    <row r="39" spans="1:9" hidden="1" x14ac:dyDescent="0.25">
      <c r="A39" s="94">
        <v>86</v>
      </c>
      <c r="B39" s="128" t="s">
        <v>148</v>
      </c>
      <c r="C39" s="95" t="s">
        <v>39</v>
      </c>
      <c r="D39" s="95" t="s">
        <v>39</v>
      </c>
      <c r="E39" s="117" t="s">
        <v>38</v>
      </c>
      <c r="F39" s="94">
        <v>86</v>
      </c>
      <c r="G39" s="96" t="s">
        <v>61</v>
      </c>
      <c r="H39" s="98"/>
      <c r="I39" s="99"/>
    </row>
    <row r="40" spans="1:9" hidden="1" x14ac:dyDescent="0.25">
      <c r="A40" s="94">
        <v>777</v>
      </c>
      <c r="B40" s="128" t="s">
        <v>79</v>
      </c>
      <c r="C40" s="95" t="s">
        <v>39</v>
      </c>
      <c r="D40" s="95" t="s">
        <v>39</v>
      </c>
      <c r="E40" s="117" t="s">
        <v>38</v>
      </c>
      <c r="F40" s="94">
        <v>777</v>
      </c>
      <c r="G40" s="96" t="s">
        <v>61</v>
      </c>
      <c r="H40" s="98"/>
      <c r="I40" s="99"/>
    </row>
    <row r="41" spans="1:9" hidden="1" x14ac:dyDescent="0.25">
      <c r="A41" s="94">
        <v>1006</v>
      </c>
      <c r="B41" s="179" t="s">
        <v>95</v>
      </c>
      <c r="C41" s="95" t="s">
        <v>39</v>
      </c>
      <c r="D41" s="95" t="s">
        <v>39</v>
      </c>
      <c r="E41" s="117" t="s">
        <v>38</v>
      </c>
      <c r="F41" s="94">
        <v>1006</v>
      </c>
      <c r="G41" s="96" t="s">
        <v>61</v>
      </c>
      <c r="H41" s="98"/>
      <c r="I41" s="99"/>
    </row>
    <row r="42" spans="1:9" hidden="1" x14ac:dyDescent="0.25">
      <c r="A42" s="94">
        <v>1183</v>
      </c>
      <c r="B42" s="128" t="s">
        <v>149</v>
      </c>
      <c r="C42" s="95" t="s">
        <v>39</v>
      </c>
      <c r="D42" s="95" t="s">
        <v>39</v>
      </c>
      <c r="E42" s="117" t="s">
        <v>38</v>
      </c>
      <c r="F42" s="94">
        <v>1183</v>
      </c>
      <c r="G42" s="96" t="s">
        <v>61</v>
      </c>
      <c r="H42" s="98"/>
      <c r="I42" s="99"/>
    </row>
    <row r="43" spans="1:9" hidden="1" x14ac:dyDescent="0.25">
      <c r="A43" s="94">
        <v>1180</v>
      </c>
      <c r="B43" s="128" t="s">
        <v>121</v>
      </c>
      <c r="C43" s="95" t="s">
        <v>39</v>
      </c>
      <c r="D43" s="95" t="s">
        <v>39</v>
      </c>
      <c r="E43" s="118" t="s">
        <v>38</v>
      </c>
      <c r="F43" s="94">
        <v>1180</v>
      </c>
      <c r="G43" s="96" t="s">
        <v>61</v>
      </c>
      <c r="H43" s="98"/>
      <c r="I43" s="99"/>
    </row>
    <row r="44" spans="1:9" hidden="1" x14ac:dyDescent="0.25">
      <c r="A44" s="94">
        <v>620</v>
      </c>
      <c r="B44" s="180" t="s">
        <v>117</v>
      </c>
      <c r="C44" s="95" t="s">
        <v>150</v>
      </c>
      <c r="D44" s="95" t="s">
        <v>150</v>
      </c>
      <c r="E44" s="181" t="s">
        <v>38</v>
      </c>
      <c r="F44" s="94">
        <v>620</v>
      </c>
      <c r="G44" s="96" t="s">
        <v>61</v>
      </c>
      <c r="H44" s="98"/>
      <c r="I44" s="99"/>
    </row>
    <row r="45" spans="1:9" hidden="1" x14ac:dyDescent="0.25">
      <c r="A45" s="94">
        <v>1283</v>
      </c>
      <c r="B45" s="180" t="s">
        <v>127</v>
      </c>
      <c r="C45" s="97" t="s">
        <v>150</v>
      </c>
      <c r="D45" s="95" t="s">
        <v>150</v>
      </c>
      <c r="E45" s="182" t="s">
        <v>38</v>
      </c>
      <c r="F45" s="94">
        <v>1283</v>
      </c>
      <c r="G45" s="96" t="s">
        <v>61</v>
      </c>
      <c r="H45" s="98"/>
      <c r="I45" s="99"/>
    </row>
    <row r="46" spans="1:9" hidden="1" x14ac:dyDescent="0.25">
      <c r="A46" s="94">
        <v>1252</v>
      </c>
      <c r="B46" s="180" t="s">
        <v>151</v>
      </c>
      <c r="C46" s="95" t="s">
        <v>150</v>
      </c>
      <c r="D46" s="95" t="s">
        <v>150</v>
      </c>
      <c r="E46" s="183" t="s">
        <v>38</v>
      </c>
      <c r="F46" s="94">
        <v>1252</v>
      </c>
      <c r="G46" s="96" t="s">
        <v>61</v>
      </c>
      <c r="H46" s="98"/>
      <c r="I46" s="99"/>
    </row>
    <row r="47" spans="1:9" hidden="1" x14ac:dyDescent="0.25">
      <c r="A47" s="94">
        <v>1149</v>
      </c>
      <c r="B47" s="180" t="s">
        <v>152</v>
      </c>
      <c r="C47" s="95" t="s">
        <v>150</v>
      </c>
      <c r="D47" s="95" t="s">
        <v>150</v>
      </c>
      <c r="E47" s="181" t="s">
        <v>38</v>
      </c>
      <c r="F47" s="94">
        <v>1149</v>
      </c>
      <c r="G47" s="96" t="s">
        <v>61</v>
      </c>
      <c r="H47" s="98"/>
      <c r="I47" s="99"/>
    </row>
    <row r="48" spans="1:9" x14ac:dyDescent="0.25">
      <c r="A48" s="94">
        <v>1155</v>
      </c>
      <c r="B48" s="180" t="s">
        <v>119</v>
      </c>
      <c r="C48" s="95" t="s">
        <v>73</v>
      </c>
      <c r="D48" s="95" t="s">
        <v>73</v>
      </c>
      <c r="E48" s="173" t="s">
        <v>82</v>
      </c>
      <c r="F48" s="94"/>
      <c r="G48" s="96" t="s">
        <v>61</v>
      </c>
      <c r="H48" s="98"/>
      <c r="I48" s="99"/>
    </row>
    <row r="49" spans="1:9" hidden="1" x14ac:dyDescent="0.25">
      <c r="A49" s="94">
        <v>1187</v>
      </c>
      <c r="B49" s="180" t="s">
        <v>124</v>
      </c>
      <c r="C49" s="105" t="s">
        <v>150</v>
      </c>
      <c r="D49" s="95" t="s">
        <v>150</v>
      </c>
      <c r="E49" s="181" t="s">
        <v>38</v>
      </c>
      <c r="F49" s="94">
        <v>1187</v>
      </c>
      <c r="G49" s="96" t="s">
        <v>61</v>
      </c>
      <c r="H49" s="98"/>
      <c r="I49" s="99"/>
    </row>
    <row r="50" spans="1:9" hidden="1" x14ac:dyDescent="0.25">
      <c r="A50" s="94">
        <v>1012</v>
      </c>
      <c r="B50" s="130" t="s">
        <v>181</v>
      </c>
      <c r="C50" s="95" t="s">
        <v>67</v>
      </c>
      <c r="D50" s="95" t="s">
        <v>67</v>
      </c>
      <c r="E50" s="184" t="s">
        <v>97</v>
      </c>
      <c r="F50" s="94">
        <v>1012</v>
      </c>
      <c r="G50" s="96" t="s">
        <v>61</v>
      </c>
      <c r="H50" s="98"/>
      <c r="I50" s="99"/>
    </row>
    <row r="51" spans="1:9" hidden="1" x14ac:dyDescent="0.25">
      <c r="A51" s="94">
        <v>987</v>
      </c>
      <c r="B51" s="130" t="s">
        <v>153</v>
      </c>
      <c r="C51" s="95" t="s">
        <v>67</v>
      </c>
      <c r="D51" s="95" t="s">
        <v>67</v>
      </c>
      <c r="E51" s="184" t="s">
        <v>97</v>
      </c>
      <c r="F51" s="94">
        <v>987</v>
      </c>
      <c r="G51" s="96" t="s">
        <v>61</v>
      </c>
      <c r="H51" s="98"/>
      <c r="I51" s="99"/>
    </row>
    <row r="52" spans="1:9" hidden="1" x14ac:dyDescent="0.25">
      <c r="A52" s="94">
        <v>983</v>
      </c>
      <c r="B52" s="130" t="s">
        <v>92</v>
      </c>
      <c r="C52" s="95" t="s">
        <v>67</v>
      </c>
      <c r="D52" s="95" t="s">
        <v>67</v>
      </c>
      <c r="E52" s="131" t="s">
        <v>97</v>
      </c>
      <c r="F52" s="94">
        <v>983</v>
      </c>
      <c r="G52" s="96" t="s">
        <v>61</v>
      </c>
      <c r="H52" s="98"/>
      <c r="I52" s="98"/>
    </row>
    <row r="53" spans="1:9" hidden="1" x14ac:dyDescent="0.25">
      <c r="A53" s="94">
        <v>1025</v>
      </c>
      <c r="B53" s="130" t="s">
        <v>182</v>
      </c>
      <c r="C53" s="95" t="s">
        <v>67</v>
      </c>
      <c r="D53" s="95" t="s">
        <v>67</v>
      </c>
      <c r="E53" s="185" t="s">
        <v>97</v>
      </c>
      <c r="F53" s="94">
        <v>1025</v>
      </c>
      <c r="G53" s="96" t="s">
        <v>61</v>
      </c>
      <c r="H53" s="98"/>
      <c r="I53" s="99"/>
    </row>
    <row r="54" spans="1:9" hidden="1" x14ac:dyDescent="0.25">
      <c r="A54" s="94">
        <v>1070</v>
      </c>
      <c r="B54" s="113" t="s">
        <v>154</v>
      </c>
      <c r="C54" s="95" t="s">
        <v>114</v>
      </c>
      <c r="D54" s="95" t="s">
        <v>114</v>
      </c>
      <c r="E54" s="116" t="s">
        <v>97</v>
      </c>
      <c r="F54" s="94">
        <v>1070</v>
      </c>
      <c r="G54" s="96" t="s">
        <v>61</v>
      </c>
      <c r="H54" s="98"/>
      <c r="I54" s="99"/>
    </row>
    <row r="55" spans="1:9" hidden="1" x14ac:dyDescent="0.25">
      <c r="A55" s="94">
        <v>1195</v>
      </c>
      <c r="B55" s="113" t="s">
        <v>115</v>
      </c>
      <c r="C55" s="95" t="s">
        <v>114</v>
      </c>
      <c r="D55" s="95" t="s">
        <v>114</v>
      </c>
      <c r="E55" s="116" t="s">
        <v>97</v>
      </c>
      <c r="F55" s="94">
        <v>1195</v>
      </c>
      <c r="G55" s="96" t="s">
        <v>61</v>
      </c>
      <c r="H55" s="98"/>
      <c r="I55" s="99"/>
    </row>
    <row r="56" spans="1:9" hidden="1" x14ac:dyDescent="0.25">
      <c r="A56" s="94">
        <v>1197</v>
      </c>
      <c r="B56" s="113" t="s">
        <v>116</v>
      </c>
      <c r="C56" s="95" t="s">
        <v>114</v>
      </c>
      <c r="D56" s="95" t="s">
        <v>114</v>
      </c>
      <c r="E56" s="116" t="s">
        <v>97</v>
      </c>
      <c r="F56" s="94">
        <v>1197</v>
      </c>
      <c r="G56" s="96" t="s">
        <v>61</v>
      </c>
      <c r="H56" s="98"/>
      <c r="I56" s="99"/>
    </row>
    <row r="57" spans="1:9" hidden="1" x14ac:dyDescent="0.25">
      <c r="A57" s="94">
        <v>1202</v>
      </c>
      <c r="B57" s="113" t="s">
        <v>183</v>
      </c>
      <c r="C57" s="95" t="s">
        <v>114</v>
      </c>
      <c r="D57" s="95" t="s">
        <v>114</v>
      </c>
      <c r="E57" s="116" t="s">
        <v>97</v>
      </c>
      <c r="F57" s="94">
        <v>1202</v>
      </c>
      <c r="G57" s="96" t="s">
        <v>61</v>
      </c>
      <c r="H57" s="98"/>
      <c r="I57" s="99"/>
    </row>
    <row r="58" spans="1:9" hidden="1" x14ac:dyDescent="0.25">
      <c r="A58" s="94">
        <v>1201</v>
      </c>
      <c r="B58" s="186" t="s">
        <v>184</v>
      </c>
      <c r="C58" s="95" t="s">
        <v>114</v>
      </c>
      <c r="D58" s="95" t="s">
        <v>114</v>
      </c>
      <c r="E58" s="116" t="s">
        <v>97</v>
      </c>
      <c r="F58" s="94">
        <v>1201</v>
      </c>
      <c r="G58" s="96" t="s">
        <v>61</v>
      </c>
      <c r="H58" s="98"/>
      <c r="I58" s="99"/>
    </row>
    <row r="59" spans="1:9" hidden="1" x14ac:dyDescent="0.25">
      <c r="A59" s="94">
        <v>1130</v>
      </c>
      <c r="B59" s="186" t="s">
        <v>185</v>
      </c>
      <c r="C59" s="97" t="s">
        <v>114</v>
      </c>
      <c r="D59" s="95" t="s">
        <v>114</v>
      </c>
      <c r="E59" s="116" t="s">
        <v>97</v>
      </c>
      <c r="F59" s="94">
        <v>1130</v>
      </c>
      <c r="G59" s="96" t="s">
        <v>61</v>
      </c>
      <c r="H59" s="98"/>
      <c r="I59" s="99"/>
    </row>
    <row r="60" spans="1:9" hidden="1" x14ac:dyDescent="0.25">
      <c r="A60" s="94">
        <v>1227</v>
      </c>
      <c r="B60" s="113" t="s">
        <v>155</v>
      </c>
      <c r="C60" s="97" t="s">
        <v>114</v>
      </c>
      <c r="D60" s="95" t="s">
        <v>114</v>
      </c>
      <c r="E60" s="115" t="s">
        <v>97</v>
      </c>
      <c r="F60" s="94">
        <v>1227</v>
      </c>
      <c r="G60" s="96" t="s">
        <v>61</v>
      </c>
      <c r="H60" s="98"/>
      <c r="I60" s="99"/>
    </row>
    <row r="61" spans="1:9" hidden="1" x14ac:dyDescent="0.25">
      <c r="A61" s="94">
        <v>1177</v>
      </c>
      <c r="B61" s="113" t="s">
        <v>122</v>
      </c>
      <c r="C61" s="95" t="s">
        <v>114</v>
      </c>
      <c r="D61" s="95" t="s">
        <v>114</v>
      </c>
      <c r="E61" s="116" t="s">
        <v>97</v>
      </c>
      <c r="F61" s="94">
        <v>1177</v>
      </c>
      <c r="G61" s="96" t="s">
        <v>61</v>
      </c>
      <c r="H61" s="98"/>
      <c r="I61" s="99"/>
    </row>
    <row r="62" spans="1:9" hidden="1" x14ac:dyDescent="0.25">
      <c r="A62" s="94">
        <v>1085</v>
      </c>
      <c r="B62" s="113" t="s">
        <v>156</v>
      </c>
      <c r="C62" s="95" t="s">
        <v>114</v>
      </c>
      <c r="D62" s="95" t="s">
        <v>114</v>
      </c>
      <c r="E62" s="114" t="s">
        <v>97</v>
      </c>
      <c r="F62" s="94">
        <v>1085</v>
      </c>
      <c r="G62" s="96" t="s">
        <v>61</v>
      </c>
      <c r="H62" s="98"/>
      <c r="I62" s="98"/>
    </row>
    <row r="63" spans="1:9" hidden="1" x14ac:dyDescent="0.25">
      <c r="A63" s="94">
        <v>1249</v>
      </c>
      <c r="B63" s="113" t="s">
        <v>157</v>
      </c>
      <c r="C63" s="95" t="s">
        <v>114</v>
      </c>
      <c r="D63" s="95" t="s">
        <v>114</v>
      </c>
      <c r="E63" s="116" t="s">
        <v>97</v>
      </c>
      <c r="F63" s="94">
        <v>1249</v>
      </c>
      <c r="G63" s="96" t="s">
        <v>61</v>
      </c>
      <c r="H63" s="98"/>
      <c r="I63" s="99"/>
    </row>
    <row r="64" spans="1:9" hidden="1" x14ac:dyDescent="0.25">
      <c r="A64" s="94">
        <v>1245</v>
      </c>
      <c r="B64" s="113" t="s">
        <v>158</v>
      </c>
      <c r="C64" s="95" t="s">
        <v>114</v>
      </c>
      <c r="D64" s="95" t="s">
        <v>114</v>
      </c>
      <c r="E64" s="116" t="s">
        <v>97</v>
      </c>
      <c r="F64" s="94">
        <v>1245</v>
      </c>
      <c r="G64" s="96" t="s">
        <v>61</v>
      </c>
      <c r="H64" s="98"/>
      <c r="I64" s="99"/>
    </row>
    <row r="65" spans="1:9" hidden="1" x14ac:dyDescent="0.25">
      <c r="A65" s="94">
        <v>1248</v>
      </c>
      <c r="B65" s="113" t="s">
        <v>159</v>
      </c>
      <c r="C65" s="95" t="s">
        <v>114</v>
      </c>
      <c r="D65" s="95" t="s">
        <v>114</v>
      </c>
      <c r="E65" s="116" t="s">
        <v>97</v>
      </c>
      <c r="F65" s="94">
        <v>1248</v>
      </c>
      <c r="G65" s="96" t="s">
        <v>61</v>
      </c>
      <c r="H65" s="98"/>
      <c r="I65" s="99"/>
    </row>
    <row r="66" spans="1:9" hidden="1" x14ac:dyDescent="0.25">
      <c r="A66" s="94">
        <v>1244</v>
      </c>
      <c r="B66" s="113" t="s">
        <v>160</v>
      </c>
      <c r="C66" s="95" t="s">
        <v>114</v>
      </c>
      <c r="D66" s="95" t="s">
        <v>114</v>
      </c>
      <c r="E66" s="116" t="s">
        <v>97</v>
      </c>
      <c r="F66" s="94">
        <v>1244</v>
      </c>
      <c r="G66" s="96" t="s">
        <v>61</v>
      </c>
      <c r="H66" s="98"/>
      <c r="I66" s="99"/>
    </row>
    <row r="67" spans="1:9" hidden="1" x14ac:dyDescent="0.25">
      <c r="A67" s="94">
        <v>948</v>
      </c>
      <c r="B67" s="187" t="s">
        <v>161</v>
      </c>
      <c r="C67" s="95" t="s">
        <v>99</v>
      </c>
      <c r="D67" s="95" t="s">
        <v>99</v>
      </c>
      <c r="E67" s="188" t="s">
        <v>100</v>
      </c>
      <c r="F67" s="94">
        <v>948</v>
      </c>
      <c r="G67" s="96" t="s">
        <v>61</v>
      </c>
      <c r="H67" s="98"/>
      <c r="I67" s="99"/>
    </row>
    <row r="68" spans="1:9" hidden="1" x14ac:dyDescent="0.25">
      <c r="A68" s="94">
        <v>1013</v>
      </c>
      <c r="B68" s="187" t="s">
        <v>93</v>
      </c>
      <c r="C68" s="95" t="s">
        <v>99</v>
      </c>
      <c r="D68" s="95" t="s">
        <v>99</v>
      </c>
      <c r="E68" s="188" t="s">
        <v>100</v>
      </c>
      <c r="F68" s="94">
        <v>1013</v>
      </c>
      <c r="G68" s="96" t="s">
        <v>61</v>
      </c>
      <c r="H68" s="98"/>
      <c r="I68" s="99"/>
    </row>
    <row r="69" spans="1:9" hidden="1" x14ac:dyDescent="0.25">
      <c r="A69" s="94">
        <v>1011</v>
      </c>
      <c r="B69" s="187" t="s">
        <v>90</v>
      </c>
      <c r="C69" s="95" t="s">
        <v>99</v>
      </c>
      <c r="D69" s="95" t="s">
        <v>99</v>
      </c>
      <c r="E69" s="188" t="s">
        <v>100</v>
      </c>
      <c r="F69" s="94">
        <v>1011</v>
      </c>
      <c r="G69" s="96" t="s">
        <v>61</v>
      </c>
      <c r="H69" s="98"/>
      <c r="I69" s="99"/>
    </row>
    <row r="70" spans="1:9" hidden="1" x14ac:dyDescent="0.25">
      <c r="A70" s="94">
        <v>1068</v>
      </c>
      <c r="B70" s="187" t="s">
        <v>162</v>
      </c>
      <c r="C70" s="95" t="s">
        <v>99</v>
      </c>
      <c r="D70" s="95" t="s">
        <v>99</v>
      </c>
      <c r="E70" s="188" t="s">
        <v>100</v>
      </c>
      <c r="F70" s="94">
        <v>1068</v>
      </c>
      <c r="G70" s="96" t="s">
        <v>61</v>
      </c>
      <c r="H70" s="98"/>
      <c r="I70" s="99"/>
    </row>
    <row r="71" spans="1:9" hidden="1" x14ac:dyDescent="0.25">
      <c r="A71" s="94">
        <v>1066</v>
      </c>
      <c r="B71" s="187" t="s">
        <v>163</v>
      </c>
      <c r="C71" s="97" t="s">
        <v>99</v>
      </c>
      <c r="D71" s="95" t="s">
        <v>99</v>
      </c>
      <c r="E71" s="188" t="s">
        <v>100</v>
      </c>
      <c r="F71" s="94">
        <v>1066</v>
      </c>
      <c r="G71" s="96" t="s">
        <v>61</v>
      </c>
      <c r="H71" s="98"/>
      <c r="I71" s="99"/>
    </row>
    <row r="72" spans="1:9" hidden="1" x14ac:dyDescent="0.25">
      <c r="A72" s="94">
        <v>1004</v>
      </c>
      <c r="B72" s="187" t="s">
        <v>164</v>
      </c>
      <c r="C72" s="97" t="s">
        <v>99</v>
      </c>
      <c r="D72" s="95" t="s">
        <v>99</v>
      </c>
      <c r="E72" s="188" t="s">
        <v>100</v>
      </c>
      <c r="F72" s="94">
        <v>1004</v>
      </c>
      <c r="G72" s="96" t="s">
        <v>61</v>
      </c>
      <c r="H72" s="98"/>
      <c r="I72" s="99"/>
    </row>
    <row r="73" spans="1:9" hidden="1" x14ac:dyDescent="0.25">
      <c r="A73" s="94">
        <v>1184</v>
      </c>
      <c r="B73" s="187" t="s">
        <v>165</v>
      </c>
      <c r="C73" s="97" t="s">
        <v>99</v>
      </c>
      <c r="D73" s="95" t="s">
        <v>99</v>
      </c>
      <c r="E73" s="188" t="s">
        <v>100</v>
      </c>
      <c r="F73" s="94">
        <v>1184</v>
      </c>
      <c r="G73" s="96" t="s">
        <v>61</v>
      </c>
      <c r="H73" s="98"/>
      <c r="I73" s="99"/>
    </row>
    <row r="74" spans="1:9" hidden="1" x14ac:dyDescent="0.25">
      <c r="A74" s="94">
        <v>1151</v>
      </c>
      <c r="B74" s="187" t="s">
        <v>105</v>
      </c>
      <c r="C74" s="95" t="s">
        <v>99</v>
      </c>
      <c r="D74" s="95" t="s">
        <v>99</v>
      </c>
      <c r="E74" s="188" t="s">
        <v>100</v>
      </c>
      <c r="F74" s="94">
        <v>1151</v>
      </c>
      <c r="G74" s="96" t="s">
        <v>61</v>
      </c>
      <c r="H74" s="98"/>
      <c r="I74" s="99"/>
    </row>
    <row r="75" spans="1:9" hidden="1" x14ac:dyDescent="0.25">
      <c r="A75" s="94">
        <v>1301</v>
      </c>
      <c r="B75" s="187" t="s">
        <v>166</v>
      </c>
      <c r="C75" s="97" t="s">
        <v>99</v>
      </c>
      <c r="D75" s="95" t="s">
        <v>99</v>
      </c>
      <c r="E75" s="188" t="s">
        <v>100</v>
      </c>
      <c r="F75" s="94">
        <v>1301</v>
      </c>
      <c r="G75" s="96" t="s">
        <v>61</v>
      </c>
      <c r="H75" s="98"/>
      <c r="I75" s="99"/>
    </row>
    <row r="76" spans="1:9" hidden="1" x14ac:dyDescent="0.25">
      <c r="A76" s="94">
        <v>1300</v>
      </c>
      <c r="B76" s="187" t="s">
        <v>167</v>
      </c>
      <c r="C76" s="97" t="s">
        <v>99</v>
      </c>
      <c r="D76" s="95" t="s">
        <v>99</v>
      </c>
      <c r="E76" s="188" t="s">
        <v>100</v>
      </c>
      <c r="F76" s="94">
        <v>1300</v>
      </c>
      <c r="G76" s="96" t="s">
        <v>61</v>
      </c>
      <c r="H76" s="98"/>
      <c r="I76" s="99"/>
    </row>
    <row r="77" spans="1:9" hidden="1" x14ac:dyDescent="0.25">
      <c r="A77" s="96">
        <v>1262</v>
      </c>
      <c r="B77" s="189" t="s">
        <v>168</v>
      </c>
      <c r="C77" s="72" t="s">
        <v>169</v>
      </c>
      <c r="D77" s="95" t="s">
        <v>169</v>
      </c>
      <c r="E77" s="190" t="s">
        <v>100</v>
      </c>
      <c r="F77" s="96">
        <v>1262</v>
      </c>
      <c r="G77" s="96" t="s">
        <v>61</v>
      </c>
      <c r="H77" s="98"/>
      <c r="I77" s="99"/>
    </row>
    <row r="78" spans="1:9" hidden="1" x14ac:dyDescent="0.25">
      <c r="A78" s="96">
        <v>1317</v>
      </c>
      <c r="B78" s="189" t="s">
        <v>170</v>
      </c>
      <c r="C78" s="72" t="s">
        <v>169</v>
      </c>
      <c r="D78" s="95" t="s">
        <v>169</v>
      </c>
      <c r="E78" s="190" t="s">
        <v>100</v>
      </c>
      <c r="F78" s="96">
        <v>1317</v>
      </c>
      <c r="G78" s="96" t="s">
        <v>61</v>
      </c>
      <c r="H78" s="98"/>
      <c r="I78" s="99"/>
    </row>
    <row r="79" spans="1:9" hidden="1" x14ac:dyDescent="0.25">
      <c r="A79" s="96">
        <v>1278</v>
      </c>
      <c r="B79" s="191" t="s">
        <v>171</v>
      </c>
      <c r="C79" s="72" t="s">
        <v>169</v>
      </c>
      <c r="D79" s="95" t="s">
        <v>169</v>
      </c>
      <c r="E79" s="190" t="s">
        <v>100</v>
      </c>
      <c r="F79" s="96">
        <v>1278</v>
      </c>
      <c r="G79" s="96" t="s">
        <v>61</v>
      </c>
      <c r="H79" s="98"/>
      <c r="I79" s="99"/>
    </row>
    <row r="80" spans="1:9" hidden="1" x14ac:dyDescent="0.25">
      <c r="A80" s="96">
        <v>1265</v>
      </c>
      <c r="B80" s="189" t="s">
        <v>172</v>
      </c>
      <c r="C80" s="72" t="s">
        <v>169</v>
      </c>
      <c r="D80" s="95" t="s">
        <v>169</v>
      </c>
      <c r="E80" s="190" t="s">
        <v>100</v>
      </c>
      <c r="F80" s="96">
        <v>1265</v>
      </c>
      <c r="G80" s="96" t="s">
        <v>61</v>
      </c>
      <c r="H80" s="98"/>
      <c r="I80" s="99"/>
    </row>
    <row r="81" spans="1:9" x14ac:dyDescent="0.25">
      <c r="A81" s="96"/>
      <c r="B81" s="197" t="s">
        <v>144</v>
      </c>
      <c r="C81" s="72" t="s">
        <v>73</v>
      </c>
      <c r="D81" s="72" t="s">
        <v>73</v>
      </c>
      <c r="E81" s="190"/>
      <c r="F81" s="96"/>
      <c r="G81" s="96"/>
      <c r="H81" s="98"/>
      <c r="I81" s="99"/>
    </row>
    <row r="82" spans="1:9" x14ac:dyDescent="0.25">
      <c r="A82" s="96"/>
      <c r="B82" s="197" t="s">
        <v>196</v>
      </c>
      <c r="C82" s="72" t="s">
        <v>73</v>
      </c>
      <c r="D82" s="72" t="s">
        <v>73</v>
      </c>
      <c r="E82" s="190"/>
      <c r="F82" s="96"/>
      <c r="G82" s="96"/>
      <c r="H82" s="98"/>
      <c r="I82" s="99"/>
    </row>
    <row r="83" spans="1:9" x14ac:dyDescent="0.25">
      <c r="A83" s="96"/>
      <c r="B83" s="197" t="s">
        <v>197</v>
      </c>
      <c r="C83" s="72" t="s">
        <v>73</v>
      </c>
      <c r="D83" s="72" t="s">
        <v>73</v>
      </c>
      <c r="E83" s="190"/>
      <c r="F83" s="96"/>
      <c r="G83" s="96"/>
      <c r="H83" s="98"/>
      <c r="I83" s="99"/>
    </row>
    <row r="84" spans="1:9" x14ac:dyDescent="0.25">
      <c r="A84" s="96"/>
      <c r="B84" s="197" t="s">
        <v>198</v>
      </c>
      <c r="C84" s="72" t="s">
        <v>73</v>
      </c>
      <c r="D84" s="72" t="s">
        <v>73</v>
      </c>
      <c r="E84" s="190"/>
      <c r="F84" s="96"/>
      <c r="G84" s="96"/>
      <c r="H84" s="98"/>
      <c r="I84" s="99"/>
    </row>
    <row r="85" spans="1:9" x14ac:dyDescent="0.25">
      <c r="A85" s="96"/>
      <c r="B85" s="197" t="s">
        <v>199</v>
      </c>
      <c r="C85" s="72" t="s">
        <v>73</v>
      </c>
      <c r="D85" s="72" t="s">
        <v>73</v>
      </c>
      <c r="E85" s="190"/>
      <c r="F85" s="96"/>
      <c r="G85" s="96"/>
      <c r="H85" s="98"/>
      <c r="I85" s="99"/>
    </row>
    <row r="86" spans="1:9" x14ac:dyDescent="0.25">
      <c r="A86" s="96"/>
      <c r="B86" s="197" t="s">
        <v>208</v>
      </c>
      <c r="C86" s="72" t="s">
        <v>73</v>
      </c>
      <c r="D86" s="72" t="s">
        <v>73</v>
      </c>
      <c r="E86" s="190"/>
      <c r="F86" s="96"/>
      <c r="G86" s="96"/>
      <c r="H86" s="98"/>
      <c r="I86" s="99"/>
    </row>
    <row r="87" spans="1:9" x14ac:dyDescent="0.25">
      <c r="A87" s="96"/>
      <c r="B87" s="197" t="s">
        <v>209</v>
      </c>
      <c r="C87" s="72" t="s">
        <v>73</v>
      </c>
      <c r="D87" s="72" t="s">
        <v>73</v>
      </c>
      <c r="E87" s="190"/>
      <c r="F87" s="96"/>
      <c r="G87" s="96"/>
      <c r="H87" s="98"/>
      <c r="I87" s="99"/>
    </row>
    <row r="88" spans="1:9" x14ac:dyDescent="0.25">
      <c r="A88" s="96"/>
      <c r="B88" s="197" t="s">
        <v>210</v>
      </c>
      <c r="C88" s="72" t="s">
        <v>73</v>
      </c>
      <c r="D88" s="72" t="s">
        <v>73</v>
      </c>
      <c r="E88" s="190"/>
      <c r="F88" s="96"/>
      <c r="G88" s="96"/>
      <c r="H88" s="98"/>
      <c r="I88" s="99"/>
    </row>
    <row r="89" spans="1:9" x14ac:dyDescent="0.25">
      <c r="A89" s="96"/>
      <c r="B89" s="197" t="s">
        <v>211</v>
      </c>
      <c r="C89" s="72" t="s">
        <v>73</v>
      </c>
      <c r="D89" s="72" t="s">
        <v>73</v>
      </c>
      <c r="E89" s="190"/>
      <c r="F89" s="96"/>
      <c r="G89" s="96"/>
      <c r="H89" s="98"/>
      <c r="I89" s="99"/>
    </row>
    <row r="90" spans="1:9" x14ac:dyDescent="0.25">
      <c r="A90" s="96"/>
      <c r="B90" s="197" t="s">
        <v>212</v>
      </c>
      <c r="C90" s="72" t="s">
        <v>73</v>
      </c>
      <c r="D90" s="72" t="s">
        <v>73</v>
      </c>
      <c r="E90" s="190"/>
      <c r="F90" s="96"/>
      <c r="G90" s="96"/>
      <c r="H90" s="98"/>
      <c r="I90" s="99"/>
    </row>
    <row r="91" spans="1:9" x14ac:dyDescent="0.25">
      <c r="A91" s="96"/>
      <c r="B91" s="197" t="s">
        <v>224</v>
      </c>
      <c r="C91" s="72" t="s">
        <v>73</v>
      </c>
      <c r="D91" s="72" t="s">
        <v>73</v>
      </c>
      <c r="E91" s="190"/>
      <c r="F91" s="96"/>
      <c r="G91" s="96"/>
      <c r="H91" s="98"/>
      <c r="I91" s="99"/>
    </row>
    <row r="92" spans="1:9" x14ac:dyDescent="0.25">
      <c r="A92" s="96"/>
      <c r="B92" s="197"/>
      <c r="C92" s="72"/>
      <c r="D92" s="72"/>
      <c r="E92" s="190"/>
      <c r="F92" s="96"/>
      <c r="G92" s="96"/>
      <c r="H92" s="98"/>
      <c r="I92" s="99"/>
    </row>
    <row r="93" spans="1:9" x14ac:dyDescent="0.25">
      <c r="A93" s="96">
        <v>214</v>
      </c>
      <c r="B93" s="99" t="s">
        <v>97</v>
      </c>
      <c r="C93" s="72" t="s">
        <v>173</v>
      </c>
      <c r="D93" s="95" t="s">
        <v>173</v>
      </c>
      <c r="E93" s="190"/>
      <c r="F93" s="96">
        <v>214</v>
      </c>
      <c r="G93" s="96"/>
      <c r="H93" s="98"/>
      <c r="I93" s="99"/>
    </row>
    <row r="94" spans="1:9" x14ac:dyDescent="0.25">
      <c r="A94" s="96">
        <v>369</v>
      </c>
      <c r="B94" s="99" t="s">
        <v>174</v>
      </c>
      <c r="C94" s="53" t="s">
        <v>175</v>
      </c>
      <c r="D94" s="53" t="s">
        <v>175</v>
      </c>
      <c r="E94" s="135" t="s">
        <v>176</v>
      </c>
      <c r="F94" s="96">
        <v>369</v>
      </c>
    </row>
    <row r="95" spans="1:9" x14ac:dyDescent="0.25">
      <c r="A95" s="96">
        <v>355</v>
      </c>
      <c r="B95" s="99" t="s">
        <v>100</v>
      </c>
      <c r="C95" s="53" t="s">
        <v>177</v>
      </c>
      <c r="D95" s="53" t="s">
        <v>177</v>
      </c>
      <c r="E95" s="135" t="s">
        <v>176</v>
      </c>
      <c r="F95" s="96">
        <v>355</v>
      </c>
    </row>
    <row r="96" spans="1:9" x14ac:dyDescent="0.25">
      <c r="A96" s="96">
        <v>164</v>
      </c>
      <c r="B96" s="99" t="s">
        <v>38</v>
      </c>
      <c r="C96" s="53" t="s">
        <v>177</v>
      </c>
      <c r="D96" s="53" t="s">
        <v>177</v>
      </c>
      <c r="E96" s="135" t="s">
        <v>176</v>
      </c>
      <c r="F96" s="96">
        <v>164</v>
      </c>
    </row>
    <row r="97" spans="1:6" x14ac:dyDescent="0.25">
      <c r="A97" s="96">
        <v>157</v>
      </c>
      <c r="B97" s="99" t="s">
        <v>178</v>
      </c>
      <c r="C97" s="53" t="s">
        <v>177</v>
      </c>
      <c r="D97" s="53" t="s">
        <v>177</v>
      </c>
      <c r="E97" s="135" t="s">
        <v>176</v>
      </c>
      <c r="F97" s="96">
        <v>157</v>
      </c>
    </row>
    <row r="98" spans="1:6" x14ac:dyDescent="0.25">
      <c r="A98" s="96">
        <v>1194</v>
      </c>
      <c r="B98" s="99" t="s">
        <v>179</v>
      </c>
      <c r="C98" s="53" t="s">
        <v>177</v>
      </c>
      <c r="D98" s="53" t="s">
        <v>177</v>
      </c>
      <c r="E98" s="135" t="s">
        <v>176</v>
      </c>
      <c r="F98" s="96">
        <v>1194</v>
      </c>
    </row>
    <row r="100" spans="1:6" x14ac:dyDescent="0.25">
      <c r="B100" s="166" t="s">
        <v>216</v>
      </c>
      <c r="C100" s="72" t="s">
        <v>73</v>
      </c>
      <c r="D100" s="72" t="s">
        <v>73</v>
      </c>
    </row>
    <row r="101" spans="1:6" x14ac:dyDescent="0.25">
      <c r="B101" s="166" t="s">
        <v>217</v>
      </c>
      <c r="C101" s="72" t="s">
        <v>73</v>
      </c>
      <c r="D101" s="72" t="s">
        <v>73</v>
      </c>
    </row>
    <row r="102" spans="1:6" x14ac:dyDescent="0.25">
      <c r="B102" s="166" t="s">
        <v>218</v>
      </c>
      <c r="C102" s="72" t="s">
        <v>73</v>
      </c>
      <c r="D102" s="72" t="s">
        <v>73</v>
      </c>
    </row>
    <row r="103" spans="1:6" x14ac:dyDescent="0.25">
      <c r="B103" s="166" t="s">
        <v>219</v>
      </c>
      <c r="C103" s="72" t="s">
        <v>73</v>
      </c>
      <c r="D103" s="72" t="s">
        <v>73</v>
      </c>
    </row>
    <row r="104" spans="1:6" x14ac:dyDescent="0.25">
      <c r="B104" s="166" t="s">
        <v>220</v>
      </c>
      <c r="C104" s="72" t="s">
        <v>73</v>
      </c>
      <c r="D104" s="72" t="s">
        <v>73</v>
      </c>
    </row>
    <row r="105" spans="1:6" x14ac:dyDescent="0.25">
      <c r="B105" s="166" t="s">
        <v>221</v>
      </c>
      <c r="C105" s="72" t="s">
        <v>73</v>
      </c>
      <c r="D105" s="72" t="s">
        <v>73</v>
      </c>
    </row>
    <row r="630" ht="17.100000000000001" customHeight="1" x14ac:dyDescent="0.25"/>
    <row r="1006" ht="14.25" customHeight="1" x14ac:dyDescent="0.25"/>
  </sheetData>
  <autoFilter ref="A1:I90" xr:uid="{00000000-0001-0000-0500-000000000000}">
    <filterColumn colId="2">
      <filters>
        <filter val="Google Leads"/>
      </filters>
    </filterColumn>
  </autoFilter>
  <sortState xmlns:xlrd2="http://schemas.microsoft.com/office/spreadsheetml/2017/richdata2" ref="O440:P467">
    <sortCondition ref="O440"/>
  </sortState>
  <conditionalFormatting sqref="B1">
    <cfRule type="duplicateValues" dxfId="106" priority="59"/>
  </conditionalFormatting>
  <conditionalFormatting sqref="B2">
    <cfRule type="duplicateValues" dxfId="105" priority="53"/>
  </conditionalFormatting>
  <conditionalFormatting sqref="A1">
    <cfRule type="duplicateValues" dxfId="104" priority="61"/>
  </conditionalFormatting>
  <conditionalFormatting sqref="B1">
    <cfRule type="duplicateValues" dxfId="103" priority="60"/>
  </conditionalFormatting>
  <conditionalFormatting sqref="B22 B2 B9 B29">
    <cfRule type="duplicateValues" dxfId="102" priority="55"/>
  </conditionalFormatting>
  <conditionalFormatting sqref="B23 B3:B6 B10 B17 B30:B34 B25 B8 B21 B19 B12:B15 B27:B28">
    <cfRule type="duplicateValues" dxfId="101" priority="56"/>
  </conditionalFormatting>
  <conditionalFormatting sqref="B2">
    <cfRule type="duplicateValues" dxfId="100" priority="54"/>
  </conditionalFormatting>
  <conditionalFormatting sqref="A23:A28 A3:A8 A10:A15 A17:A21 A30:A35 A37">
    <cfRule type="duplicateValues" dxfId="99" priority="57"/>
  </conditionalFormatting>
  <conditionalFormatting sqref="B25 B8:B10 B21:B23 B19 B17 B2:B6 B12:B15 B27:B34">
    <cfRule type="duplicateValues" dxfId="98" priority="58"/>
  </conditionalFormatting>
  <conditionalFormatting sqref="E54">
    <cfRule type="duplicateValues" dxfId="97" priority="52"/>
  </conditionalFormatting>
  <conditionalFormatting sqref="B94:B99 B106:B1048576">
    <cfRule type="duplicateValues" dxfId="96" priority="65"/>
  </conditionalFormatting>
  <conditionalFormatting sqref="A1">
    <cfRule type="duplicateValues" dxfId="95" priority="62"/>
    <cfRule type="duplicateValues" dxfId="94" priority="63"/>
  </conditionalFormatting>
  <conditionalFormatting sqref="A1">
    <cfRule type="duplicateValues" dxfId="93" priority="64"/>
  </conditionalFormatting>
  <conditionalFormatting sqref="B24">
    <cfRule type="duplicateValues" dxfId="92" priority="51"/>
  </conditionalFormatting>
  <conditionalFormatting sqref="M10:M15">
    <cfRule type="cellIs" dxfId="91" priority="50" operator="equal">
      <formula>"OFF"</formula>
    </cfRule>
  </conditionalFormatting>
  <conditionalFormatting sqref="F1">
    <cfRule type="duplicateValues" dxfId="90" priority="46"/>
  </conditionalFormatting>
  <conditionalFormatting sqref="F23:F28 F3:F8 F10:F15 F17:F21 F30:F35 F37">
    <cfRule type="duplicateValues" dxfId="89" priority="45"/>
  </conditionalFormatting>
  <conditionalFormatting sqref="F1">
    <cfRule type="duplicateValues" dxfId="88" priority="47"/>
    <cfRule type="duplicateValues" dxfId="87" priority="48"/>
  </conditionalFormatting>
  <conditionalFormatting sqref="F1">
    <cfRule type="duplicateValues" dxfId="86" priority="49"/>
  </conditionalFormatting>
  <conditionalFormatting sqref="A2:A37">
    <cfRule type="duplicateValues" dxfId="85" priority="66"/>
  </conditionalFormatting>
  <conditionalFormatting sqref="F2:F37">
    <cfRule type="duplicateValues" dxfId="84" priority="67"/>
  </conditionalFormatting>
  <conditionalFormatting sqref="A39:A93">
    <cfRule type="duplicateValues" dxfId="83" priority="68"/>
  </conditionalFormatting>
  <conditionalFormatting sqref="A38:A93">
    <cfRule type="duplicateValues" dxfId="82" priority="69"/>
  </conditionalFormatting>
  <conditionalFormatting sqref="B39:B40 B42:B49 B51:B52 B54:B56 B60:B92">
    <cfRule type="duplicateValues" dxfId="81" priority="70"/>
  </conditionalFormatting>
  <conditionalFormatting sqref="B39:B40">
    <cfRule type="duplicateValues" dxfId="80" priority="71"/>
  </conditionalFormatting>
  <conditionalFormatting sqref="F39:F93">
    <cfRule type="duplicateValues" dxfId="79" priority="72"/>
  </conditionalFormatting>
  <conditionalFormatting sqref="F38:F93">
    <cfRule type="duplicateValues" dxfId="78" priority="73"/>
  </conditionalFormatting>
  <conditionalFormatting sqref="B93">
    <cfRule type="duplicateValues" dxfId="77" priority="44"/>
  </conditionalFormatting>
  <conditionalFormatting sqref="A94:A98">
    <cfRule type="duplicateValues" dxfId="76" priority="42"/>
  </conditionalFormatting>
  <conditionalFormatting sqref="A94:A98">
    <cfRule type="duplicateValues" dxfId="75" priority="43"/>
  </conditionalFormatting>
  <conditionalFormatting sqref="F94:F98">
    <cfRule type="duplicateValues" dxfId="74" priority="40"/>
  </conditionalFormatting>
  <conditionalFormatting sqref="F94:F98">
    <cfRule type="duplicateValues" dxfId="73" priority="41"/>
  </conditionalFormatting>
  <conditionalFormatting sqref="B41">
    <cfRule type="cellIs" dxfId="72" priority="39" operator="equal">
      <formula>"OFF"</formula>
    </cfRule>
  </conditionalFormatting>
  <conditionalFormatting sqref="B7">
    <cfRule type="duplicateValues" dxfId="71" priority="37"/>
  </conditionalFormatting>
  <conditionalFormatting sqref="B7">
    <cfRule type="duplicateValues" dxfId="70" priority="38"/>
  </conditionalFormatting>
  <conditionalFormatting sqref="B50">
    <cfRule type="duplicateValues" dxfId="69" priority="35"/>
  </conditionalFormatting>
  <conditionalFormatting sqref="B50">
    <cfRule type="duplicateValues" dxfId="68" priority="36"/>
  </conditionalFormatting>
  <conditionalFormatting sqref="B53">
    <cfRule type="duplicateValues" dxfId="67" priority="33"/>
  </conditionalFormatting>
  <conditionalFormatting sqref="B53">
    <cfRule type="duplicateValues" dxfId="66" priority="34"/>
  </conditionalFormatting>
  <conditionalFormatting sqref="B38">
    <cfRule type="duplicateValues" dxfId="65" priority="31"/>
  </conditionalFormatting>
  <conditionalFormatting sqref="B38">
    <cfRule type="duplicateValues" dxfId="64" priority="32"/>
  </conditionalFormatting>
  <conditionalFormatting sqref="B20">
    <cfRule type="duplicateValues" dxfId="63" priority="29"/>
  </conditionalFormatting>
  <conditionalFormatting sqref="B20">
    <cfRule type="duplicateValues" dxfId="62" priority="30"/>
  </conditionalFormatting>
  <conditionalFormatting sqref="B36">
    <cfRule type="duplicateValues" dxfId="61" priority="27"/>
  </conditionalFormatting>
  <conditionalFormatting sqref="B36">
    <cfRule type="duplicateValues" dxfId="60" priority="28"/>
  </conditionalFormatting>
  <conditionalFormatting sqref="B35">
    <cfRule type="duplicateValues" dxfId="59" priority="25"/>
  </conditionalFormatting>
  <conditionalFormatting sqref="B35">
    <cfRule type="duplicateValues" dxfId="58" priority="26"/>
  </conditionalFormatting>
  <conditionalFormatting sqref="B18">
    <cfRule type="duplicateValues" dxfId="57" priority="23"/>
  </conditionalFormatting>
  <conditionalFormatting sqref="B18">
    <cfRule type="duplicateValues" dxfId="56" priority="24"/>
  </conditionalFormatting>
  <conditionalFormatting sqref="B37">
    <cfRule type="duplicateValues" dxfId="55" priority="21"/>
  </conditionalFormatting>
  <conditionalFormatting sqref="B37">
    <cfRule type="duplicateValues" dxfId="54" priority="22"/>
  </conditionalFormatting>
  <conditionalFormatting sqref="B58">
    <cfRule type="duplicateValues" dxfId="53" priority="19"/>
  </conditionalFormatting>
  <conditionalFormatting sqref="B58">
    <cfRule type="duplicateValues" dxfId="52" priority="20"/>
  </conditionalFormatting>
  <conditionalFormatting sqref="B57">
    <cfRule type="duplicateValues" dxfId="51" priority="17"/>
  </conditionalFormatting>
  <conditionalFormatting sqref="B57">
    <cfRule type="duplicateValues" dxfId="50" priority="18"/>
  </conditionalFormatting>
  <conditionalFormatting sqref="B59">
    <cfRule type="duplicateValues" dxfId="49" priority="15"/>
  </conditionalFormatting>
  <conditionalFormatting sqref="B59">
    <cfRule type="duplicateValues" dxfId="48" priority="16"/>
  </conditionalFormatting>
  <conditionalFormatting sqref="B16">
    <cfRule type="duplicateValues" dxfId="47" priority="10"/>
  </conditionalFormatting>
  <conditionalFormatting sqref="B16">
    <cfRule type="duplicateValues" dxfId="46" priority="11"/>
  </conditionalFormatting>
  <conditionalFormatting sqref="B2">
    <cfRule type="duplicateValues" dxfId="45" priority="9"/>
  </conditionalFormatting>
  <conditionalFormatting sqref="B11">
    <cfRule type="duplicateValues" dxfId="44" priority="6"/>
  </conditionalFormatting>
  <conditionalFormatting sqref="B11">
    <cfRule type="duplicateValues" dxfId="43" priority="7"/>
  </conditionalFormatting>
  <conditionalFormatting sqref="B26">
    <cfRule type="duplicateValues" dxfId="42" priority="3"/>
  </conditionalFormatting>
  <conditionalFormatting sqref="B26">
    <cfRule type="duplicateValues" dxfId="41" priority="4"/>
  </conditionalFormatting>
  <conditionalFormatting sqref="B100:B104">
    <cfRule type="cellIs" dxfId="40" priority="2" operator="equal">
      <formula>"OFF"</formula>
    </cfRule>
  </conditionalFormatting>
  <conditionalFormatting sqref="B105">
    <cfRule type="cellIs" dxfId="39" priority="1" operator="equal">
      <formula>"OFF"</formula>
    </cfRule>
  </conditionalFormatting>
  <dataValidations disablePrompts="1" count="2">
    <dataValidation type="list" allowBlank="1" showInputMessage="1" showErrorMessage="1" sqref="D71:D75 D69 D77 C6:D6 C41:D41 D45 D64:D67 D79:D80 D93" xr:uid="{00000000-0002-0000-0500-000000000000}">
      <formula1>"Credit Mutuel,FLOA,COFIDIS"</formula1>
    </dataValidation>
    <dataValidation type="list" allowBlank="1" showInputMessage="1" showErrorMessage="1" sqref="G2:G93" xr:uid="{00000000-0002-0000-0500-000001000000}">
      <formula1>"FT,PT,Mission,Forfaitaire,Sortie"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5"/>
  <dimension ref="A1:Q2725"/>
  <sheetViews>
    <sheetView showGridLines="0" zoomScale="85" zoomScaleNormal="85" workbookViewId="0">
      <selection activeCell="I36" sqref="G36:I37"/>
    </sheetView>
  </sheetViews>
  <sheetFormatPr baseColWidth="10" defaultRowHeight="15" x14ac:dyDescent="0.25"/>
  <cols>
    <col min="1" max="3" width="10.5703125" style="15"/>
    <col min="4" max="4" width="9.5703125" style="15" customWidth="1"/>
    <col min="5" max="6" width="3.42578125" style="15" customWidth="1"/>
    <col min="7" max="7" width="32.42578125" style="15" bestFit="1" customWidth="1"/>
    <col min="8" max="8" width="9.5703125" style="15" bestFit="1" customWidth="1"/>
    <col min="9" max="9" width="20.140625" style="15" bestFit="1" customWidth="1"/>
    <col min="10" max="10" width="10.5703125" style="26" customWidth="1"/>
    <col min="11" max="11" width="10.5703125" style="15" customWidth="1"/>
    <col min="12" max="13" width="10.5703125" customWidth="1"/>
    <col min="14" max="14" width="33.42578125" customWidth="1"/>
    <col min="15" max="15" width="11.5703125" bestFit="1" customWidth="1"/>
    <col min="16" max="16" width="21.28515625" customWidth="1"/>
    <col min="17" max="17" width="76.42578125" customWidth="1"/>
    <col min="18" max="18" width="37.42578125" bestFit="1" customWidth="1"/>
  </cols>
  <sheetData>
    <row r="1" spans="7:17" x14ac:dyDescent="0.25">
      <c r="G1" s="137" t="s">
        <v>3</v>
      </c>
      <c r="H1" s="135" t="s">
        <v>47</v>
      </c>
      <c r="J1" s="15"/>
    </row>
    <row r="2" spans="7:17" x14ac:dyDescent="0.25">
      <c r="G2" s="138" t="s">
        <v>22</v>
      </c>
      <c r="H2" s="135" t="s">
        <v>47</v>
      </c>
      <c r="I2"/>
      <c r="J2"/>
      <c r="K2"/>
    </row>
    <row r="3" spans="7:17" x14ac:dyDescent="0.25">
      <c r="G3"/>
      <c r="H3"/>
      <c r="I3"/>
      <c r="J3"/>
      <c r="K3"/>
    </row>
    <row r="4" spans="7:17" x14ac:dyDescent="0.25">
      <c r="G4" s="138" t="s">
        <v>12</v>
      </c>
      <c r="H4" s="137" t="s">
        <v>4</v>
      </c>
      <c r="I4" t="s">
        <v>48</v>
      </c>
      <c r="J4"/>
      <c r="K4"/>
    </row>
    <row r="5" spans="7:17" x14ac:dyDescent="0.25">
      <c r="G5" s="135" t="s">
        <v>196</v>
      </c>
      <c r="H5"/>
      <c r="I5" s="139">
        <v>1.8333333333333333</v>
      </c>
      <c r="J5"/>
      <c r="K5"/>
      <c r="N5" s="14" t="s">
        <v>12</v>
      </c>
      <c r="O5" s="14" t="s">
        <v>4</v>
      </c>
      <c r="P5" s="14" t="s">
        <v>48</v>
      </c>
      <c r="Q5" s="14" t="s">
        <v>59</v>
      </c>
    </row>
    <row r="6" spans="7:17" x14ac:dyDescent="0.25">
      <c r="G6" s="135" t="s">
        <v>217</v>
      </c>
      <c r="H6"/>
      <c r="I6" s="139">
        <v>1.8333333333333333</v>
      </c>
      <c r="J6"/>
      <c r="K6"/>
      <c r="N6" s="135"/>
      <c r="O6" s="14"/>
      <c r="P6" s="132"/>
      <c r="Q6" s="141"/>
    </row>
    <row r="7" spans="7:17" x14ac:dyDescent="0.25">
      <c r="G7" s="135" t="s">
        <v>212</v>
      </c>
      <c r="H7"/>
      <c r="I7" s="139">
        <v>1.8333333333333333</v>
      </c>
      <c r="J7"/>
      <c r="K7"/>
      <c r="N7" s="135"/>
      <c r="O7" s="135"/>
      <c r="P7" s="132"/>
      <c r="Q7" s="54"/>
    </row>
    <row r="8" spans="7:17" x14ac:dyDescent="0.25">
      <c r="G8" s="135" t="s">
        <v>80</v>
      </c>
      <c r="H8"/>
      <c r="I8" s="139">
        <v>1.8333333333333333</v>
      </c>
      <c r="J8"/>
      <c r="K8"/>
      <c r="N8" s="135"/>
      <c r="O8" s="135"/>
      <c r="P8" s="132"/>
      <c r="Q8" s="141"/>
    </row>
    <row r="9" spans="7:17" x14ac:dyDescent="0.25">
      <c r="G9" s="135" t="s">
        <v>221</v>
      </c>
      <c r="H9"/>
      <c r="I9" s="139">
        <v>1.8333333333333333</v>
      </c>
      <c r="J9"/>
      <c r="K9"/>
      <c r="N9" s="135"/>
      <c r="O9" s="135"/>
      <c r="P9" s="132"/>
      <c r="Q9" s="141"/>
    </row>
    <row r="10" spans="7:17" x14ac:dyDescent="0.25">
      <c r="G10" s="135" t="s">
        <v>76</v>
      </c>
      <c r="H10"/>
      <c r="I10" s="139">
        <v>1.8333333333333333</v>
      </c>
      <c r="J10"/>
      <c r="K10"/>
      <c r="N10" s="135"/>
      <c r="O10" s="135"/>
      <c r="P10" s="132"/>
      <c r="Q10" s="54"/>
    </row>
    <row r="11" spans="7:17" x14ac:dyDescent="0.25">
      <c r="G11" s="135" t="s">
        <v>209</v>
      </c>
      <c r="H11"/>
      <c r="I11" s="139">
        <v>1.8333333333333333</v>
      </c>
      <c r="J11"/>
      <c r="K11"/>
      <c r="N11" s="104"/>
      <c r="O11" s="14"/>
      <c r="P11" s="132"/>
      <c r="Q11" s="54"/>
    </row>
    <row r="12" spans="7:17" x14ac:dyDescent="0.25">
      <c r="G12" s="135" t="s">
        <v>83</v>
      </c>
      <c r="H12"/>
      <c r="I12" s="139">
        <v>1.8333333333333333</v>
      </c>
      <c r="J12"/>
      <c r="K12"/>
      <c r="N12" s="104"/>
      <c r="O12" s="14"/>
      <c r="P12" s="132"/>
      <c r="Q12" s="54"/>
    </row>
    <row r="13" spans="7:17" x14ac:dyDescent="0.25">
      <c r="G13" s="135" t="s">
        <v>215</v>
      </c>
      <c r="H13"/>
      <c r="I13" s="139">
        <v>1.8333333333333333</v>
      </c>
      <c r="J13"/>
      <c r="K13"/>
      <c r="N13" s="104"/>
      <c r="O13" s="14"/>
      <c r="P13" s="132"/>
      <c r="Q13" s="54"/>
    </row>
    <row r="14" spans="7:17" x14ac:dyDescent="0.25">
      <c r="G14" s="135" t="s">
        <v>87</v>
      </c>
      <c r="H14"/>
      <c r="I14" s="139">
        <v>1.8333333333333333</v>
      </c>
      <c r="J14"/>
      <c r="K14"/>
      <c r="N14" s="49"/>
      <c r="O14" s="49"/>
      <c r="P14" s="40"/>
      <c r="Q14" s="42"/>
    </row>
    <row r="15" spans="7:17" x14ac:dyDescent="0.25">
      <c r="G15" s="135" t="s">
        <v>219</v>
      </c>
      <c r="H15"/>
      <c r="I15" s="139">
        <v>1.8333333333333333</v>
      </c>
      <c r="J15"/>
      <c r="K15"/>
      <c r="N15" s="49"/>
      <c r="O15" s="49"/>
      <c r="P15" s="40"/>
      <c r="Q15" s="42"/>
    </row>
    <row r="16" spans="7:17" x14ac:dyDescent="0.25">
      <c r="G16" s="135" t="s">
        <v>85</v>
      </c>
      <c r="H16"/>
      <c r="I16" s="139">
        <v>1.8333333333333333</v>
      </c>
      <c r="J16"/>
      <c r="K16"/>
      <c r="N16" s="49"/>
      <c r="O16" s="49"/>
      <c r="P16" s="40"/>
      <c r="Q16" s="42"/>
    </row>
    <row r="17" spans="7:11" x14ac:dyDescent="0.25">
      <c r="G17" s="135" t="s">
        <v>197</v>
      </c>
      <c r="H17"/>
      <c r="I17" s="139">
        <v>1.8333333333333333</v>
      </c>
      <c r="J17"/>
      <c r="K17"/>
    </row>
    <row r="18" spans="7:11" x14ac:dyDescent="0.25">
      <c r="G18" s="135" t="s">
        <v>91</v>
      </c>
      <c r="H18"/>
      <c r="I18" s="139">
        <v>1.8333333333333333</v>
      </c>
      <c r="J18"/>
      <c r="K18"/>
    </row>
    <row r="19" spans="7:11" x14ac:dyDescent="0.25">
      <c r="G19" s="135" t="s">
        <v>198</v>
      </c>
      <c r="H19"/>
      <c r="I19" s="139">
        <v>1.8333333333333333</v>
      </c>
      <c r="J19"/>
      <c r="K19"/>
    </row>
    <row r="20" spans="7:11" x14ac:dyDescent="0.25">
      <c r="G20" s="135" t="s">
        <v>89</v>
      </c>
      <c r="H20"/>
      <c r="I20" s="139">
        <v>1.8333333333333333</v>
      </c>
      <c r="J20"/>
      <c r="K20"/>
    </row>
    <row r="21" spans="7:11" x14ac:dyDescent="0.25">
      <c r="G21" s="135" t="s">
        <v>210</v>
      </c>
      <c r="H21"/>
      <c r="I21" s="139">
        <v>1.8333333333333333</v>
      </c>
      <c r="J21"/>
      <c r="K21"/>
    </row>
    <row r="22" spans="7:11" x14ac:dyDescent="0.25">
      <c r="G22" s="135" t="s">
        <v>94</v>
      </c>
      <c r="H22"/>
      <c r="I22" s="139">
        <v>1.8333333333333333</v>
      </c>
      <c r="J22"/>
      <c r="K22"/>
    </row>
    <row r="23" spans="7:11" x14ac:dyDescent="0.25">
      <c r="G23" s="135" t="s">
        <v>213</v>
      </c>
      <c r="H23"/>
      <c r="I23" s="139">
        <v>1.8333333333333333</v>
      </c>
      <c r="J23"/>
      <c r="K23"/>
    </row>
    <row r="24" spans="7:11" x14ac:dyDescent="0.25">
      <c r="G24" s="135" t="s">
        <v>102</v>
      </c>
      <c r="H24"/>
      <c r="I24" s="139">
        <v>1.8333333333333333</v>
      </c>
      <c r="J24"/>
      <c r="K24"/>
    </row>
    <row r="25" spans="7:11" x14ac:dyDescent="0.25">
      <c r="G25" s="135" t="s">
        <v>216</v>
      </c>
      <c r="H25"/>
      <c r="I25" s="139">
        <v>1.8333333333333333</v>
      </c>
      <c r="J25"/>
      <c r="K25"/>
    </row>
    <row r="26" spans="7:11" x14ac:dyDescent="0.25">
      <c r="G26" s="135" t="s">
        <v>88</v>
      </c>
      <c r="H26"/>
      <c r="I26" s="139">
        <v>1.8333333333333333</v>
      </c>
      <c r="J26"/>
      <c r="K26"/>
    </row>
    <row r="27" spans="7:11" x14ac:dyDescent="0.25">
      <c r="G27" s="135" t="s">
        <v>218</v>
      </c>
      <c r="H27"/>
      <c r="I27" s="139">
        <v>1.8333333333333333</v>
      </c>
      <c r="J27"/>
      <c r="K27"/>
    </row>
    <row r="28" spans="7:11" x14ac:dyDescent="0.25">
      <c r="G28" s="135" t="s">
        <v>141</v>
      </c>
      <c r="H28"/>
      <c r="I28" s="139">
        <v>1.8333333333333333</v>
      </c>
      <c r="J28"/>
      <c r="K28"/>
    </row>
    <row r="29" spans="7:11" x14ac:dyDescent="0.25">
      <c r="G29" s="135" t="s">
        <v>220</v>
      </c>
      <c r="H29"/>
      <c r="I29" s="139">
        <v>1.8333333333333333</v>
      </c>
      <c r="J29"/>
      <c r="K29"/>
    </row>
    <row r="30" spans="7:11" x14ac:dyDescent="0.25">
      <c r="G30" s="135" t="s">
        <v>120</v>
      </c>
      <c r="H30"/>
      <c r="I30" s="139">
        <v>1.8333333333333333</v>
      </c>
      <c r="J30"/>
      <c r="K30"/>
    </row>
    <row r="31" spans="7:11" x14ac:dyDescent="0.25">
      <c r="G31" s="135" t="s">
        <v>224</v>
      </c>
      <c r="H31"/>
      <c r="I31" s="139">
        <v>1.8333333333333333</v>
      </c>
      <c r="J31"/>
      <c r="K31"/>
    </row>
    <row r="32" spans="7:11" x14ac:dyDescent="0.25">
      <c r="G32" s="135" t="s">
        <v>45</v>
      </c>
      <c r="H32"/>
      <c r="I32" s="139">
        <v>1.8333333333333333</v>
      </c>
      <c r="J32"/>
      <c r="K32"/>
    </row>
    <row r="33" spans="7:11" x14ac:dyDescent="0.25">
      <c r="G33" s="135" t="s">
        <v>144</v>
      </c>
      <c r="H33"/>
      <c r="I33" s="139">
        <v>1.8333333333333333</v>
      </c>
      <c r="J33"/>
      <c r="K33"/>
    </row>
    <row r="34" spans="7:11" x14ac:dyDescent="0.25">
      <c r="G34" s="135" t="s">
        <v>214</v>
      </c>
      <c r="H34"/>
      <c r="I34" s="139">
        <v>1.6666666666666665</v>
      </c>
      <c r="J34"/>
      <c r="K34"/>
    </row>
    <row r="35" spans="7:11" x14ac:dyDescent="0.25">
      <c r="G35" s="135" t="s">
        <v>106</v>
      </c>
      <c r="H35"/>
      <c r="I35" s="139">
        <v>1.6666666666666665</v>
      </c>
      <c r="J35"/>
      <c r="K35"/>
    </row>
    <row r="36" spans="7:11" x14ac:dyDescent="0.25">
      <c r="G36" s="135" t="s">
        <v>110</v>
      </c>
      <c r="H36"/>
      <c r="I36" s="139">
        <v>1.5416666666666665</v>
      </c>
      <c r="J36"/>
      <c r="K36"/>
    </row>
    <row r="37" spans="7:11" x14ac:dyDescent="0.25">
      <c r="G37" s="135" t="s">
        <v>126</v>
      </c>
      <c r="H37"/>
      <c r="I37" s="139">
        <v>1.25</v>
      </c>
      <c r="J37"/>
      <c r="K37"/>
    </row>
    <row r="38" spans="7:11" x14ac:dyDescent="0.25">
      <c r="G38" s="135" t="s">
        <v>46</v>
      </c>
      <c r="H38"/>
      <c r="I38" s="139">
        <v>59.291666666666686</v>
      </c>
      <c r="J38"/>
      <c r="K38"/>
    </row>
    <row r="39" spans="7:11" x14ac:dyDescent="0.25">
      <c r="G39"/>
      <c r="H39"/>
      <c r="I39"/>
      <c r="J39"/>
      <c r="K39"/>
    </row>
    <row r="40" spans="7:11" x14ac:dyDescent="0.25">
      <c r="G40"/>
      <c r="H40"/>
      <c r="I40"/>
      <c r="J40"/>
      <c r="K40"/>
    </row>
    <row r="41" spans="7:11" x14ac:dyDescent="0.25">
      <c r="G41"/>
      <c r="H41"/>
      <c r="I41"/>
      <c r="J41"/>
      <c r="K41"/>
    </row>
    <row r="42" spans="7:11" x14ac:dyDescent="0.25">
      <c r="G42"/>
      <c r="H42"/>
      <c r="I42"/>
      <c r="J42"/>
      <c r="K42"/>
    </row>
    <row r="43" spans="7:11" x14ac:dyDescent="0.25">
      <c r="G43"/>
      <c r="H43"/>
      <c r="I43"/>
      <c r="J43"/>
      <c r="K43"/>
    </row>
    <row r="44" spans="7:11" x14ac:dyDescent="0.25">
      <c r="G44"/>
      <c r="H44"/>
      <c r="I44"/>
      <c r="J44"/>
      <c r="K44"/>
    </row>
    <row r="45" spans="7:11" x14ac:dyDescent="0.25">
      <c r="G45"/>
      <c r="H45"/>
      <c r="I45"/>
      <c r="J45"/>
      <c r="K45"/>
    </row>
    <row r="46" spans="7:11" x14ac:dyDescent="0.25">
      <c r="G46"/>
      <c r="H46"/>
      <c r="I46"/>
      <c r="J46"/>
      <c r="K46"/>
    </row>
    <row r="47" spans="7:11" x14ac:dyDescent="0.25">
      <c r="G47"/>
      <c r="H47"/>
      <c r="I47"/>
      <c r="J47"/>
      <c r="K47"/>
    </row>
    <row r="48" spans="7:11" x14ac:dyDescent="0.25">
      <c r="G48"/>
      <c r="H48"/>
      <c r="I48"/>
      <c r="J48"/>
      <c r="K48"/>
    </row>
    <row r="49" spans="7:11" x14ac:dyDescent="0.25">
      <c r="G49"/>
      <c r="H49"/>
      <c r="I49"/>
      <c r="J49"/>
      <c r="K49"/>
    </row>
    <row r="50" spans="7:11" x14ac:dyDescent="0.25">
      <c r="G50"/>
      <c r="H50"/>
      <c r="I50"/>
      <c r="J50"/>
      <c r="K50"/>
    </row>
    <row r="51" spans="7:11" x14ac:dyDescent="0.25">
      <c r="G51"/>
      <c r="H51"/>
      <c r="I51"/>
      <c r="J51"/>
      <c r="K51"/>
    </row>
    <row r="52" spans="7:11" x14ac:dyDescent="0.25">
      <c r="G52"/>
      <c r="H52"/>
      <c r="I52"/>
      <c r="J52"/>
      <c r="K52"/>
    </row>
    <row r="53" spans="7:11" x14ac:dyDescent="0.25">
      <c r="G53"/>
      <c r="H53"/>
      <c r="I53"/>
      <c r="J53"/>
      <c r="K53"/>
    </row>
    <row r="54" spans="7:11" x14ac:dyDescent="0.25">
      <c r="G54"/>
      <c r="H54"/>
      <c r="I54"/>
      <c r="J54"/>
      <c r="K54"/>
    </row>
    <row r="55" spans="7:11" x14ac:dyDescent="0.25">
      <c r="G55"/>
      <c r="H55"/>
      <c r="I55"/>
      <c r="J55"/>
      <c r="K55"/>
    </row>
    <row r="56" spans="7:11" x14ac:dyDescent="0.25">
      <c r="G56"/>
      <c r="H56"/>
      <c r="I56"/>
      <c r="J56"/>
      <c r="K56"/>
    </row>
    <row r="57" spans="7:11" x14ac:dyDescent="0.25">
      <c r="G57"/>
      <c r="H57"/>
      <c r="I57"/>
      <c r="J57"/>
      <c r="K57"/>
    </row>
    <row r="58" spans="7:11" x14ac:dyDescent="0.25">
      <c r="G58"/>
      <c r="H58"/>
      <c r="I58"/>
      <c r="J58"/>
      <c r="K58"/>
    </row>
    <row r="59" spans="7:11" x14ac:dyDescent="0.25">
      <c r="G59"/>
      <c r="H59"/>
      <c r="I59"/>
      <c r="J59"/>
      <c r="K59"/>
    </row>
    <row r="60" spans="7:11" x14ac:dyDescent="0.25">
      <c r="G60"/>
      <c r="H60"/>
      <c r="I60"/>
      <c r="J60"/>
      <c r="K60"/>
    </row>
    <row r="61" spans="7:11" x14ac:dyDescent="0.25">
      <c r="G61"/>
      <c r="H61"/>
      <c r="I61"/>
      <c r="J61"/>
      <c r="K61"/>
    </row>
    <row r="62" spans="7:11" x14ac:dyDescent="0.25">
      <c r="G62"/>
      <c r="H62"/>
      <c r="I62"/>
      <c r="J62"/>
      <c r="K62"/>
    </row>
    <row r="63" spans="7:11" x14ac:dyDescent="0.25">
      <c r="G63"/>
      <c r="H63"/>
      <c r="I63"/>
      <c r="J63"/>
      <c r="K63"/>
    </row>
    <row r="64" spans="7:11" x14ac:dyDescent="0.25">
      <c r="G64"/>
      <c r="H64"/>
      <c r="I64"/>
      <c r="J64"/>
      <c r="K64"/>
    </row>
    <row r="65" spans="7:11" x14ac:dyDescent="0.25">
      <c r="G65"/>
      <c r="H65"/>
      <c r="I65"/>
      <c r="J65"/>
      <c r="K65"/>
    </row>
    <row r="66" spans="7:11" x14ac:dyDescent="0.25">
      <c r="G66"/>
      <c r="H66"/>
      <c r="I66"/>
      <c r="J66"/>
      <c r="K66"/>
    </row>
    <row r="67" spans="7:11" x14ac:dyDescent="0.25">
      <c r="G67"/>
      <c r="H67"/>
      <c r="I67"/>
      <c r="J67"/>
      <c r="K67"/>
    </row>
    <row r="68" spans="7:11" x14ac:dyDescent="0.25">
      <c r="G68"/>
      <c r="H68"/>
      <c r="I68"/>
      <c r="J68"/>
      <c r="K68"/>
    </row>
    <row r="69" spans="7:11" x14ac:dyDescent="0.25">
      <c r="G69"/>
      <c r="H69"/>
      <c r="I69"/>
      <c r="J69"/>
      <c r="K69"/>
    </row>
    <row r="70" spans="7:11" x14ac:dyDescent="0.25">
      <c r="G70"/>
      <c r="H70"/>
      <c r="I70"/>
      <c r="J70"/>
      <c r="K70"/>
    </row>
    <row r="71" spans="7:11" x14ac:dyDescent="0.25">
      <c r="G71"/>
      <c r="H71"/>
      <c r="I71"/>
      <c r="J71"/>
      <c r="K71"/>
    </row>
    <row r="72" spans="7:11" x14ac:dyDescent="0.25">
      <c r="G72"/>
      <c r="H72"/>
      <c r="I72"/>
      <c r="J72"/>
    </row>
    <row r="73" spans="7:11" x14ac:dyDescent="0.25">
      <c r="G73"/>
      <c r="H73"/>
      <c r="I73"/>
      <c r="J73"/>
    </row>
    <row r="74" spans="7:11" x14ac:dyDescent="0.25">
      <c r="G74"/>
      <c r="H74"/>
      <c r="I74"/>
      <c r="J74"/>
    </row>
    <row r="75" spans="7:11" x14ac:dyDescent="0.25">
      <c r="G75"/>
      <c r="H75"/>
      <c r="I75"/>
      <c r="J75"/>
    </row>
    <row r="76" spans="7:11" x14ac:dyDescent="0.25">
      <c r="G76"/>
      <c r="H76"/>
      <c r="I76"/>
      <c r="J76"/>
    </row>
    <row r="77" spans="7:11" x14ac:dyDescent="0.25">
      <c r="G77"/>
      <c r="H77"/>
      <c r="I77"/>
      <c r="J77"/>
    </row>
    <row r="78" spans="7:11" x14ac:dyDescent="0.25">
      <c r="G78"/>
      <c r="H78"/>
      <c r="I78"/>
      <c r="J78"/>
    </row>
    <row r="79" spans="7:11" x14ac:dyDescent="0.25">
      <c r="G79"/>
      <c r="H79"/>
      <c r="I79"/>
      <c r="J79"/>
    </row>
    <row r="80" spans="7:11" x14ac:dyDescent="0.25">
      <c r="G80"/>
      <c r="H80"/>
      <c r="I80"/>
      <c r="J80"/>
    </row>
    <row r="81" spans="7:10" x14ac:dyDescent="0.25">
      <c r="G81"/>
      <c r="H81"/>
      <c r="I81"/>
      <c r="J81"/>
    </row>
    <row r="82" spans="7:10" x14ac:dyDescent="0.25">
      <c r="G82"/>
      <c r="H82"/>
      <c r="I82"/>
      <c r="J82"/>
    </row>
    <row r="83" spans="7:10" x14ac:dyDescent="0.25">
      <c r="G83"/>
      <c r="H83"/>
      <c r="I83"/>
      <c r="J83"/>
    </row>
    <row r="84" spans="7:10" x14ac:dyDescent="0.25">
      <c r="G84"/>
      <c r="H84"/>
      <c r="I84"/>
      <c r="J84"/>
    </row>
    <row r="85" spans="7:10" x14ac:dyDescent="0.25">
      <c r="G85"/>
      <c r="H85"/>
      <c r="I85"/>
      <c r="J85"/>
    </row>
    <row r="86" spans="7:10" x14ac:dyDescent="0.25">
      <c r="G86"/>
      <c r="H86"/>
      <c r="I86"/>
      <c r="J86"/>
    </row>
    <row r="87" spans="7:10" x14ac:dyDescent="0.25">
      <c r="G87"/>
      <c r="H87"/>
      <c r="I87"/>
      <c r="J87"/>
    </row>
    <row r="88" spans="7:10" x14ac:dyDescent="0.25">
      <c r="G88"/>
      <c r="H88"/>
      <c r="I88"/>
      <c r="J88"/>
    </row>
    <row r="89" spans="7:10" x14ac:dyDescent="0.25">
      <c r="G89"/>
      <c r="H89"/>
      <c r="I89"/>
      <c r="J89"/>
    </row>
    <row r="90" spans="7:10" x14ac:dyDescent="0.25">
      <c r="G90"/>
      <c r="H90"/>
      <c r="I90"/>
      <c r="J90"/>
    </row>
    <row r="91" spans="7:10" x14ac:dyDescent="0.25">
      <c r="G91"/>
      <c r="H91"/>
      <c r="I91"/>
      <c r="J91"/>
    </row>
    <row r="92" spans="7:10" x14ac:dyDescent="0.25">
      <c r="G92"/>
      <c r="H92"/>
      <c r="I92"/>
      <c r="J92"/>
    </row>
    <row r="93" spans="7:10" x14ac:dyDescent="0.25">
      <c r="G93"/>
      <c r="H93"/>
      <c r="I93"/>
      <c r="J93"/>
    </row>
    <row r="94" spans="7:10" x14ac:dyDescent="0.25">
      <c r="G94"/>
      <c r="H94"/>
      <c r="I94"/>
      <c r="J94"/>
    </row>
    <row r="95" spans="7:10" x14ac:dyDescent="0.25">
      <c r="G95"/>
      <c r="H95"/>
      <c r="I95"/>
      <c r="J95"/>
    </row>
    <row r="96" spans="7:10" x14ac:dyDescent="0.25">
      <c r="G96"/>
      <c r="H96"/>
      <c r="I96"/>
      <c r="J96"/>
    </row>
    <row r="97" spans="7:10" x14ac:dyDescent="0.25">
      <c r="G97"/>
      <c r="H97"/>
      <c r="I97"/>
      <c r="J97"/>
    </row>
    <row r="98" spans="7:10" x14ac:dyDescent="0.25">
      <c r="G98"/>
      <c r="H98"/>
      <c r="I98"/>
      <c r="J98"/>
    </row>
    <row r="99" spans="7:10" x14ac:dyDescent="0.25">
      <c r="G99"/>
      <c r="H99"/>
      <c r="I99"/>
      <c r="J99"/>
    </row>
    <row r="100" spans="7:10" x14ac:dyDescent="0.25">
      <c r="G100"/>
      <c r="H100"/>
      <c r="I100"/>
      <c r="J100"/>
    </row>
    <row r="101" spans="7:10" x14ac:dyDescent="0.25">
      <c r="G101"/>
      <c r="H101"/>
      <c r="I101"/>
      <c r="J101"/>
    </row>
    <row r="102" spans="7:10" x14ac:dyDescent="0.25">
      <c r="G102"/>
      <c r="H102"/>
      <c r="I102"/>
      <c r="J102"/>
    </row>
    <row r="103" spans="7:10" x14ac:dyDescent="0.25">
      <c r="G103"/>
      <c r="H103"/>
      <c r="I103"/>
      <c r="J103"/>
    </row>
    <row r="104" spans="7:10" x14ac:dyDescent="0.25">
      <c r="G104"/>
      <c r="H104"/>
      <c r="I104"/>
      <c r="J104"/>
    </row>
    <row r="105" spans="7:10" x14ac:dyDescent="0.25">
      <c r="G105"/>
      <c r="H105"/>
      <c r="I105"/>
      <c r="J105"/>
    </row>
    <row r="106" spans="7:10" x14ac:dyDescent="0.25">
      <c r="G106"/>
      <c r="H106"/>
      <c r="I106"/>
      <c r="J106"/>
    </row>
    <row r="107" spans="7:10" x14ac:dyDescent="0.25">
      <c r="G107"/>
      <c r="H107"/>
      <c r="I107"/>
      <c r="J107"/>
    </row>
    <row r="108" spans="7:10" x14ac:dyDescent="0.25">
      <c r="G108"/>
      <c r="H108"/>
      <c r="I108"/>
      <c r="J108"/>
    </row>
    <row r="109" spans="7:10" x14ac:dyDescent="0.25">
      <c r="G109"/>
      <c r="H109"/>
      <c r="I109"/>
      <c r="J109"/>
    </row>
    <row r="110" spans="7:10" x14ac:dyDescent="0.25">
      <c r="G110"/>
      <c r="H110"/>
      <c r="I110"/>
      <c r="J110"/>
    </row>
    <row r="111" spans="7:10" x14ac:dyDescent="0.25">
      <c r="G111"/>
      <c r="H111"/>
      <c r="I111"/>
      <c r="J111"/>
    </row>
    <row r="112" spans="7:10" x14ac:dyDescent="0.25">
      <c r="G112"/>
      <c r="H112"/>
      <c r="I112"/>
      <c r="J112"/>
    </row>
    <row r="113" spans="7:10" x14ac:dyDescent="0.25">
      <c r="G113"/>
      <c r="H113"/>
      <c r="I113"/>
      <c r="J113"/>
    </row>
    <row r="114" spans="7:10" x14ac:dyDescent="0.25">
      <c r="G114"/>
      <c r="H114"/>
      <c r="I114"/>
      <c r="J114"/>
    </row>
    <row r="115" spans="7:10" x14ac:dyDescent="0.25">
      <c r="G115"/>
      <c r="H115"/>
      <c r="I115"/>
      <c r="J115"/>
    </row>
    <row r="116" spans="7:10" x14ac:dyDescent="0.25">
      <c r="G116"/>
      <c r="H116"/>
      <c r="I116"/>
      <c r="J116"/>
    </row>
    <row r="117" spans="7:10" x14ac:dyDescent="0.25">
      <c r="G117"/>
      <c r="H117"/>
      <c r="I117"/>
      <c r="J117"/>
    </row>
    <row r="118" spans="7:10" x14ac:dyDescent="0.25">
      <c r="G118"/>
      <c r="H118"/>
      <c r="I118"/>
      <c r="J118"/>
    </row>
    <row r="119" spans="7:10" x14ac:dyDescent="0.25">
      <c r="G119"/>
      <c r="H119"/>
      <c r="I119"/>
      <c r="J119"/>
    </row>
    <row r="120" spans="7:10" x14ac:dyDescent="0.25">
      <c r="G120"/>
      <c r="H120"/>
      <c r="I120"/>
      <c r="J120"/>
    </row>
    <row r="121" spans="7:10" x14ac:dyDescent="0.25">
      <c r="G121"/>
      <c r="H121"/>
      <c r="I121"/>
      <c r="J121"/>
    </row>
    <row r="122" spans="7:10" x14ac:dyDescent="0.25">
      <c r="G122"/>
      <c r="H122"/>
      <c r="I122"/>
      <c r="J122"/>
    </row>
    <row r="123" spans="7:10" x14ac:dyDescent="0.25">
      <c r="G123"/>
      <c r="H123"/>
      <c r="I123"/>
      <c r="J123"/>
    </row>
    <row r="124" spans="7:10" x14ac:dyDescent="0.25">
      <c r="G124"/>
      <c r="H124"/>
      <c r="I124"/>
      <c r="J124"/>
    </row>
    <row r="125" spans="7:10" x14ac:dyDescent="0.25">
      <c r="G125"/>
      <c r="H125"/>
      <c r="I125"/>
      <c r="J125"/>
    </row>
    <row r="126" spans="7:10" x14ac:dyDescent="0.25">
      <c r="G126"/>
      <c r="H126"/>
      <c r="I126"/>
      <c r="J126"/>
    </row>
    <row r="127" spans="7:10" x14ac:dyDescent="0.25">
      <c r="G127"/>
      <c r="H127"/>
      <c r="I127"/>
      <c r="J127"/>
    </row>
    <row r="128" spans="7:10" x14ac:dyDescent="0.25">
      <c r="G128"/>
      <c r="H128"/>
      <c r="I128"/>
      <c r="J128"/>
    </row>
    <row r="129" spans="7:10" x14ac:dyDescent="0.25">
      <c r="G129"/>
      <c r="H129"/>
      <c r="I129"/>
      <c r="J129"/>
    </row>
    <row r="130" spans="7:10" x14ac:dyDescent="0.25">
      <c r="G130"/>
      <c r="H130"/>
      <c r="I130"/>
      <c r="J130"/>
    </row>
    <row r="131" spans="7:10" x14ac:dyDescent="0.25">
      <c r="G131"/>
      <c r="H131"/>
      <c r="I131"/>
      <c r="J131"/>
    </row>
    <row r="132" spans="7:10" x14ac:dyDescent="0.25">
      <c r="G132"/>
      <c r="H132"/>
      <c r="I132"/>
      <c r="J132"/>
    </row>
    <row r="133" spans="7:10" x14ac:dyDescent="0.25">
      <c r="G133"/>
      <c r="H133"/>
      <c r="I133"/>
      <c r="J133"/>
    </row>
    <row r="134" spans="7:10" x14ac:dyDescent="0.25">
      <c r="G134"/>
      <c r="H134"/>
      <c r="I134"/>
      <c r="J134"/>
    </row>
    <row r="135" spans="7:10" x14ac:dyDescent="0.25">
      <c r="G135"/>
      <c r="H135"/>
      <c r="I135"/>
      <c r="J135"/>
    </row>
    <row r="136" spans="7:10" x14ac:dyDescent="0.25">
      <c r="G136"/>
      <c r="H136"/>
      <c r="I136"/>
      <c r="J136" s="15"/>
    </row>
    <row r="137" spans="7:10" x14ac:dyDescent="0.25">
      <c r="G137"/>
      <c r="H137"/>
      <c r="I137"/>
      <c r="J137" s="15"/>
    </row>
    <row r="138" spans="7:10" x14ac:dyDescent="0.25">
      <c r="G138"/>
      <c r="H138"/>
      <c r="I138"/>
      <c r="J138" s="15"/>
    </row>
    <row r="139" spans="7:10" x14ac:dyDescent="0.25">
      <c r="G139"/>
      <c r="H139"/>
      <c r="I139"/>
      <c r="J139" s="15"/>
    </row>
    <row r="140" spans="7:10" x14ac:dyDescent="0.25">
      <c r="G140"/>
      <c r="H140"/>
      <c r="I140"/>
      <c r="J140" s="15"/>
    </row>
    <row r="141" spans="7:10" x14ac:dyDescent="0.25">
      <c r="G141"/>
      <c r="H141"/>
      <c r="I141"/>
      <c r="J141" s="15"/>
    </row>
    <row r="142" spans="7:10" x14ac:dyDescent="0.25">
      <c r="G142"/>
      <c r="H142"/>
      <c r="I142"/>
      <c r="J142" s="15"/>
    </row>
    <row r="143" spans="7:10" x14ac:dyDescent="0.25">
      <c r="G143"/>
      <c r="H143"/>
      <c r="I143"/>
      <c r="J143" s="15"/>
    </row>
    <row r="144" spans="7:10" x14ac:dyDescent="0.25">
      <c r="G144"/>
      <c r="H144"/>
      <c r="I144"/>
      <c r="J144" s="15"/>
    </row>
    <row r="145" spans="7:10" x14ac:dyDescent="0.25">
      <c r="G145"/>
      <c r="H145"/>
      <c r="I145"/>
      <c r="J145" s="15"/>
    </row>
    <row r="146" spans="7:10" x14ac:dyDescent="0.25">
      <c r="G146"/>
      <c r="H146"/>
      <c r="I146"/>
      <c r="J146" s="15"/>
    </row>
    <row r="147" spans="7:10" x14ac:dyDescent="0.25">
      <c r="G147"/>
      <c r="H147"/>
      <c r="I147"/>
      <c r="J147" s="15"/>
    </row>
    <row r="148" spans="7:10" x14ac:dyDescent="0.25">
      <c r="G148"/>
      <c r="H148"/>
      <c r="I148"/>
      <c r="J148" s="15"/>
    </row>
    <row r="149" spans="7:10" x14ac:dyDescent="0.25">
      <c r="G149"/>
      <c r="H149"/>
      <c r="I149"/>
      <c r="J149" s="15"/>
    </row>
    <row r="150" spans="7:10" x14ac:dyDescent="0.25">
      <c r="G150"/>
      <c r="H150"/>
      <c r="I150"/>
      <c r="J150" s="15"/>
    </row>
    <row r="151" spans="7:10" x14ac:dyDescent="0.25">
      <c r="G151"/>
      <c r="H151"/>
      <c r="I151"/>
      <c r="J151" s="15"/>
    </row>
    <row r="152" spans="7:10" x14ac:dyDescent="0.25">
      <c r="G152"/>
      <c r="H152"/>
      <c r="I152"/>
      <c r="J152" s="15"/>
    </row>
    <row r="153" spans="7:10" x14ac:dyDescent="0.25">
      <c r="G153"/>
      <c r="H153"/>
      <c r="I153"/>
      <c r="J153" s="15"/>
    </row>
    <row r="154" spans="7:10" x14ac:dyDescent="0.25">
      <c r="G154"/>
      <c r="H154"/>
      <c r="I154"/>
      <c r="J154" s="15"/>
    </row>
    <row r="155" spans="7:10" x14ac:dyDescent="0.25">
      <c r="G155"/>
      <c r="H155"/>
      <c r="I155"/>
      <c r="J155" s="15"/>
    </row>
    <row r="156" spans="7:10" x14ac:dyDescent="0.25">
      <c r="G156"/>
      <c r="H156"/>
      <c r="I156"/>
      <c r="J156" s="15"/>
    </row>
    <row r="157" spans="7:10" x14ac:dyDescent="0.25">
      <c r="G157"/>
      <c r="H157"/>
      <c r="I157"/>
      <c r="J157" s="15"/>
    </row>
    <row r="158" spans="7:10" x14ac:dyDescent="0.25">
      <c r="G158"/>
      <c r="H158"/>
      <c r="I158"/>
      <c r="J158" s="15"/>
    </row>
    <row r="159" spans="7:10" x14ac:dyDescent="0.25">
      <c r="G159"/>
      <c r="H159"/>
      <c r="I159"/>
      <c r="J159" s="15"/>
    </row>
    <row r="160" spans="7:10" x14ac:dyDescent="0.25">
      <c r="G160"/>
      <c r="H160"/>
      <c r="I160"/>
      <c r="J160" s="15"/>
    </row>
    <row r="161" spans="7:10" x14ac:dyDescent="0.25">
      <c r="G161"/>
      <c r="H161"/>
      <c r="I161"/>
      <c r="J161" s="15"/>
    </row>
    <row r="162" spans="7:10" x14ac:dyDescent="0.25">
      <c r="G162"/>
      <c r="H162"/>
      <c r="I162"/>
      <c r="J162" s="15"/>
    </row>
    <row r="163" spans="7:10" x14ac:dyDescent="0.25">
      <c r="G163"/>
      <c r="H163"/>
      <c r="I163"/>
      <c r="J163" s="15"/>
    </row>
    <row r="164" spans="7:10" x14ac:dyDescent="0.25">
      <c r="G164"/>
      <c r="H164"/>
      <c r="I164"/>
      <c r="J164" s="15"/>
    </row>
    <row r="165" spans="7:10" x14ac:dyDescent="0.25">
      <c r="G165"/>
      <c r="H165"/>
      <c r="I165"/>
      <c r="J165" s="15"/>
    </row>
    <row r="166" spans="7:10" x14ac:dyDescent="0.25">
      <c r="G166"/>
      <c r="H166"/>
      <c r="I166"/>
      <c r="J166" s="15"/>
    </row>
    <row r="167" spans="7:10" x14ac:dyDescent="0.25">
      <c r="G167"/>
      <c r="H167"/>
      <c r="I167"/>
      <c r="J167" s="15"/>
    </row>
    <row r="168" spans="7:10" x14ac:dyDescent="0.25">
      <c r="G168"/>
      <c r="H168"/>
      <c r="I168"/>
      <c r="J168" s="15"/>
    </row>
    <row r="169" spans="7:10" x14ac:dyDescent="0.25">
      <c r="G169"/>
      <c r="H169"/>
      <c r="I169"/>
      <c r="J169" s="15"/>
    </row>
    <row r="170" spans="7:10" x14ac:dyDescent="0.25">
      <c r="G170"/>
      <c r="H170"/>
      <c r="I170"/>
      <c r="J170" s="15"/>
    </row>
    <row r="171" spans="7:10" x14ac:dyDescent="0.25">
      <c r="G171"/>
      <c r="H171"/>
      <c r="I171"/>
      <c r="J171" s="15"/>
    </row>
    <row r="172" spans="7:10" x14ac:dyDescent="0.25">
      <c r="G172"/>
      <c r="H172"/>
      <c r="I172"/>
      <c r="J172" s="15"/>
    </row>
    <row r="173" spans="7:10" x14ac:dyDescent="0.25">
      <c r="G173"/>
      <c r="H173"/>
      <c r="I173"/>
      <c r="J173" s="15"/>
    </row>
    <row r="174" spans="7:10" x14ac:dyDescent="0.25">
      <c r="G174"/>
      <c r="H174"/>
      <c r="I174"/>
      <c r="J174" s="15"/>
    </row>
    <row r="175" spans="7:10" x14ac:dyDescent="0.25">
      <c r="G175"/>
      <c r="H175"/>
      <c r="I175"/>
      <c r="J175" s="15"/>
    </row>
    <row r="176" spans="7:10" x14ac:dyDescent="0.25">
      <c r="G176"/>
      <c r="H176"/>
      <c r="I176"/>
      <c r="J176" s="15"/>
    </row>
    <row r="177" spans="7:10" x14ac:dyDescent="0.25">
      <c r="G177"/>
      <c r="H177"/>
      <c r="I177"/>
      <c r="J177" s="15"/>
    </row>
    <row r="178" spans="7:10" x14ac:dyDescent="0.25">
      <c r="G178"/>
      <c r="H178"/>
      <c r="I178"/>
      <c r="J178" s="15"/>
    </row>
    <row r="179" spans="7:10" x14ac:dyDescent="0.25">
      <c r="G179"/>
      <c r="H179"/>
      <c r="I179"/>
      <c r="J179" s="15"/>
    </row>
    <row r="180" spans="7:10" x14ac:dyDescent="0.25">
      <c r="G180"/>
      <c r="H180"/>
      <c r="I180"/>
      <c r="J180" s="15"/>
    </row>
    <row r="181" spans="7:10" x14ac:dyDescent="0.25">
      <c r="G181"/>
      <c r="H181"/>
      <c r="I181"/>
      <c r="J181" s="15"/>
    </row>
    <row r="182" spans="7:10" x14ac:dyDescent="0.25">
      <c r="G182"/>
      <c r="H182"/>
      <c r="I182"/>
      <c r="J182" s="15"/>
    </row>
    <row r="183" spans="7:10" x14ac:dyDescent="0.25">
      <c r="G183"/>
      <c r="H183"/>
      <c r="I183"/>
      <c r="J183" s="15"/>
    </row>
    <row r="184" spans="7:10" x14ac:dyDescent="0.25">
      <c r="G184"/>
      <c r="H184"/>
      <c r="I184"/>
      <c r="J184" s="15"/>
    </row>
    <row r="185" spans="7:10" x14ac:dyDescent="0.25">
      <c r="G185"/>
      <c r="H185"/>
      <c r="I185"/>
      <c r="J185" s="15"/>
    </row>
    <row r="186" spans="7:10" x14ac:dyDescent="0.25">
      <c r="G186"/>
      <c r="H186"/>
      <c r="I186"/>
      <c r="J186" s="15"/>
    </row>
    <row r="187" spans="7:10" x14ac:dyDescent="0.25">
      <c r="G187"/>
      <c r="H187"/>
      <c r="I187"/>
      <c r="J187" s="15"/>
    </row>
    <row r="188" spans="7:10" x14ac:dyDescent="0.25">
      <c r="G188"/>
      <c r="H188"/>
      <c r="I188"/>
      <c r="J188" s="15"/>
    </row>
    <row r="189" spans="7:10" x14ac:dyDescent="0.25">
      <c r="G189"/>
      <c r="H189"/>
      <c r="I189"/>
      <c r="J189" s="15"/>
    </row>
    <row r="190" spans="7:10" x14ac:dyDescent="0.25">
      <c r="G190"/>
      <c r="H190"/>
      <c r="I190"/>
      <c r="J190" s="15"/>
    </row>
    <row r="191" spans="7:10" x14ac:dyDescent="0.25">
      <c r="G191"/>
      <c r="H191"/>
      <c r="I191"/>
      <c r="J191" s="15"/>
    </row>
    <row r="192" spans="7:10" x14ac:dyDescent="0.25">
      <c r="G192"/>
      <c r="H192"/>
      <c r="I192"/>
      <c r="J192" s="15"/>
    </row>
    <row r="193" spans="7:10" x14ac:dyDescent="0.25">
      <c r="G193"/>
      <c r="H193"/>
      <c r="I193"/>
      <c r="J193" s="15"/>
    </row>
    <row r="194" spans="7:10" x14ac:dyDescent="0.25">
      <c r="G194"/>
      <c r="H194"/>
      <c r="I194"/>
      <c r="J194" s="15"/>
    </row>
    <row r="195" spans="7:10" x14ac:dyDescent="0.25">
      <c r="G195"/>
      <c r="H195"/>
      <c r="I195"/>
      <c r="J195" s="15"/>
    </row>
    <row r="196" spans="7:10" x14ac:dyDescent="0.25">
      <c r="G196"/>
      <c r="H196"/>
      <c r="I196"/>
      <c r="J196" s="15"/>
    </row>
    <row r="197" spans="7:10" x14ac:dyDescent="0.25">
      <c r="G197"/>
      <c r="H197"/>
      <c r="I197"/>
      <c r="J197" s="15"/>
    </row>
    <row r="198" spans="7:10" x14ac:dyDescent="0.25">
      <c r="J198" s="15"/>
    </row>
    <row r="199" spans="7:10" x14ac:dyDescent="0.25">
      <c r="J199" s="15"/>
    </row>
    <row r="200" spans="7:10" x14ac:dyDescent="0.25">
      <c r="J200" s="15"/>
    </row>
    <row r="201" spans="7:10" x14ac:dyDescent="0.25">
      <c r="J201" s="15"/>
    </row>
    <row r="202" spans="7:10" x14ac:dyDescent="0.25">
      <c r="J202" s="15"/>
    </row>
    <row r="203" spans="7:10" x14ac:dyDescent="0.25">
      <c r="J203" s="15"/>
    </row>
    <row r="204" spans="7:10" x14ac:dyDescent="0.25">
      <c r="J204" s="15"/>
    </row>
    <row r="205" spans="7:10" x14ac:dyDescent="0.25">
      <c r="J205" s="15"/>
    </row>
    <row r="206" spans="7:10" x14ac:dyDescent="0.25">
      <c r="J206" s="15"/>
    </row>
    <row r="207" spans="7:10" x14ac:dyDescent="0.25">
      <c r="J207" s="15"/>
    </row>
    <row r="208" spans="7:10" x14ac:dyDescent="0.25">
      <c r="J208" s="15"/>
    </row>
    <row r="209" spans="10:10" x14ac:dyDescent="0.25">
      <c r="J209" s="15"/>
    </row>
    <row r="210" spans="10:10" x14ac:dyDescent="0.25">
      <c r="J210" s="15"/>
    </row>
    <row r="211" spans="10:10" x14ac:dyDescent="0.25">
      <c r="J211" s="15"/>
    </row>
    <row r="212" spans="10:10" x14ac:dyDescent="0.25">
      <c r="J212" s="15"/>
    </row>
    <row r="213" spans="10:10" x14ac:dyDescent="0.25">
      <c r="J213" s="15"/>
    </row>
    <row r="214" spans="10:10" x14ac:dyDescent="0.25">
      <c r="J214" s="15"/>
    </row>
    <row r="215" spans="10:10" x14ac:dyDescent="0.25">
      <c r="J215" s="15"/>
    </row>
    <row r="216" spans="10:10" x14ac:dyDescent="0.25">
      <c r="J216" s="15"/>
    </row>
    <row r="217" spans="10:10" x14ac:dyDescent="0.25">
      <c r="J217" s="15"/>
    </row>
    <row r="218" spans="10:10" x14ac:dyDescent="0.25">
      <c r="J218" s="15"/>
    </row>
    <row r="219" spans="10:10" x14ac:dyDescent="0.25">
      <c r="J219" s="15"/>
    </row>
    <row r="220" spans="10:10" x14ac:dyDescent="0.25">
      <c r="J220" s="15"/>
    </row>
    <row r="221" spans="10:10" x14ac:dyDescent="0.25">
      <c r="J221" s="15"/>
    </row>
    <row r="222" spans="10:10" x14ac:dyDescent="0.25">
      <c r="J222" s="15"/>
    </row>
    <row r="223" spans="10:10" x14ac:dyDescent="0.25">
      <c r="J223" s="15"/>
    </row>
    <row r="224" spans="10:10" x14ac:dyDescent="0.25">
      <c r="J224" s="15"/>
    </row>
    <row r="225" spans="10:10" x14ac:dyDescent="0.25">
      <c r="J225" s="15"/>
    </row>
    <row r="226" spans="10:10" x14ac:dyDescent="0.25">
      <c r="J226" s="15"/>
    </row>
    <row r="227" spans="10:10" x14ac:dyDescent="0.25">
      <c r="J227" s="15"/>
    </row>
    <row r="228" spans="10:10" x14ac:dyDescent="0.25">
      <c r="J228" s="15"/>
    </row>
    <row r="229" spans="10:10" x14ac:dyDescent="0.25">
      <c r="J229" s="15"/>
    </row>
    <row r="230" spans="10:10" x14ac:dyDescent="0.25">
      <c r="J230" s="15"/>
    </row>
    <row r="231" spans="10:10" x14ac:dyDescent="0.25">
      <c r="J231" s="15"/>
    </row>
    <row r="232" spans="10:10" x14ac:dyDescent="0.25">
      <c r="J232" s="15"/>
    </row>
    <row r="233" spans="10:10" x14ac:dyDescent="0.25">
      <c r="J233" s="15"/>
    </row>
    <row r="234" spans="10:10" x14ac:dyDescent="0.25">
      <c r="J234" s="15"/>
    </row>
    <row r="235" spans="10:10" x14ac:dyDescent="0.25">
      <c r="J235" s="15"/>
    </row>
    <row r="236" spans="10:10" x14ac:dyDescent="0.25">
      <c r="J236" s="15"/>
    </row>
    <row r="237" spans="10:10" x14ac:dyDescent="0.25">
      <c r="J237" s="15"/>
    </row>
    <row r="238" spans="10:10" x14ac:dyDescent="0.25">
      <c r="J238" s="15"/>
    </row>
    <row r="239" spans="10:10" x14ac:dyDescent="0.25">
      <c r="J239" s="15"/>
    </row>
    <row r="240" spans="10:10" x14ac:dyDescent="0.25">
      <c r="J240" s="15"/>
    </row>
    <row r="241" spans="10:10" x14ac:dyDescent="0.25">
      <c r="J241" s="15"/>
    </row>
    <row r="242" spans="10:10" x14ac:dyDescent="0.25">
      <c r="J242" s="15"/>
    </row>
    <row r="243" spans="10:10" x14ac:dyDescent="0.25">
      <c r="J243" s="15"/>
    </row>
    <row r="244" spans="10:10" x14ac:dyDescent="0.25">
      <c r="J244" s="15"/>
    </row>
    <row r="245" spans="10:10" x14ac:dyDescent="0.25">
      <c r="J245" s="15"/>
    </row>
    <row r="246" spans="10:10" x14ac:dyDescent="0.25">
      <c r="J246" s="15"/>
    </row>
    <row r="247" spans="10:10" x14ac:dyDescent="0.25">
      <c r="J247" s="15"/>
    </row>
    <row r="248" spans="10:10" x14ac:dyDescent="0.25">
      <c r="J248" s="15"/>
    </row>
    <row r="249" spans="10:10" x14ac:dyDescent="0.25">
      <c r="J249" s="15"/>
    </row>
    <row r="250" spans="10:10" x14ac:dyDescent="0.25">
      <c r="J250" s="15"/>
    </row>
    <row r="251" spans="10:10" x14ac:dyDescent="0.25">
      <c r="J251" s="15"/>
    </row>
    <row r="252" spans="10:10" x14ac:dyDescent="0.25">
      <c r="J252" s="15"/>
    </row>
    <row r="253" spans="10:10" x14ac:dyDescent="0.25">
      <c r="J253" s="15"/>
    </row>
    <row r="254" spans="10:10" x14ac:dyDescent="0.25">
      <c r="J254" s="15"/>
    </row>
    <row r="255" spans="10:10" x14ac:dyDescent="0.25">
      <c r="J255" s="15"/>
    </row>
    <row r="256" spans="10:10" x14ac:dyDescent="0.25">
      <c r="J256" s="15"/>
    </row>
    <row r="257" spans="10:10" x14ac:dyDescent="0.25">
      <c r="J257" s="15"/>
    </row>
    <row r="258" spans="10:10" x14ac:dyDescent="0.25">
      <c r="J258" s="15"/>
    </row>
    <row r="259" spans="10:10" x14ac:dyDescent="0.25">
      <c r="J259" s="15"/>
    </row>
    <row r="260" spans="10:10" x14ac:dyDescent="0.25">
      <c r="J260" s="15"/>
    </row>
    <row r="261" spans="10:10" x14ac:dyDescent="0.25">
      <c r="J261" s="15"/>
    </row>
    <row r="262" spans="10:10" x14ac:dyDescent="0.25">
      <c r="J262" s="15"/>
    </row>
    <row r="263" spans="10:10" x14ac:dyDescent="0.25">
      <c r="J263" s="15"/>
    </row>
    <row r="264" spans="10:10" x14ac:dyDescent="0.25">
      <c r="J264" s="15"/>
    </row>
    <row r="265" spans="10:10" x14ac:dyDescent="0.25">
      <c r="J265" s="15"/>
    </row>
    <row r="266" spans="10:10" x14ac:dyDescent="0.25">
      <c r="J266" s="15"/>
    </row>
    <row r="267" spans="10:10" x14ac:dyDescent="0.25">
      <c r="J267" s="15"/>
    </row>
    <row r="268" spans="10:10" x14ac:dyDescent="0.25">
      <c r="J268" s="15"/>
    </row>
    <row r="269" spans="10:10" x14ac:dyDescent="0.25">
      <c r="J269" s="15"/>
    </row>
    <row r="270" spans="10:10" x14ac:dyDescent="0.25">
      <c r="J270" s="15"/>
    </row>
    <row r="271" spans="10:10" x14ac:dyDescent="0.25">
      <c r="J271" s="15"/>
    </row>
    <row r="272" spans="10:10" x14ac:dyDescent="0.25">
      <c r="J272" s="15"/>
    </row>
    <row r="273" spans="10:10" x14ac:dyDescent="0.25">
      <c r="J273" s="15"/>
    </row>
    <row r="274" spans="10:10" x14ac:dyDescent="0.25">
      <c r="J274" s="15"/>
    </row>
    <row r="275" spans="10:10" x14ac:dyDescent="0.25">
      <c r="J275" s="15"/>
    </row>
    <row r="276" spans="10:10" x14ac:dyDescent="0.25">
      <c r="J276" s="15"/>
    </row>
    <row r="277" spans="10:10" x14ac:dyDescent="0.25">
      <c r="J277" s="15"/>
    </row>
    <row r="278" spans="10:10" x14ac:dyDescent="0.25">
      <c r="J278" s="15"/>
    </row>
    <row r="279" spans="10:10" x14ac:dyDescent="0.25">
      <c r="J279" s="15"/>
    </row>
    <row r="280" spans="10:10" x14ac:dyDescent="0.25">
      <c r="J280" s="15"/>
    </row>
    <row r="281" spans="10:10" x14ac:dyDescent="0.25">
      <c r="J281" s="15"/>
    </row>
    <row r="282" spans="10:10" x14ac:dyDescent="0.25">
      <c r="J282" s="15"/>
    </row>
    <row r="283" spans="10:10" x14ac:dyDescent="0.25">
      <c r="J283" s="15"/>
    </row>
    <row r="284" spans="10:10" x14ac:dyDescent="0.25">
      <c r="J284" s="15"/>
    </row>
    <row r="285" spans="10:10" x14ac:dyDescent="0.25">
      <c r="J285" s="15"/>
    </row>
    <row r="286" spans="10:10" x14ac:dyDescent="0.25">
      <c r="J286" s="15"/>
    </row>
    <row r="287" spans="10:10" x14ac:dyDescent="0.25">
      <c r="J287" s="15"/>
    </row>
    <row r="288" spans="10:10" x14ac:dyDescent="0.25">
      <c r="J288" s="15"/>
    </row>
    <row r="289" spans="10:10" x14ac:dyDescent="0.25">
      <c r="J289" s="15"/>
    </row>
    <row r="290" spans="10:10" x14ac:dyDescent="0.25">
      <c r="J290" s="15"/>
    </row>
    <row r="291" spans="10:10" x14ac:dyDescent="0.25">
      <c r="J291" s="15"/>
    </row>
    <row r="292" spans="10:10" x14ac:dyDescent="0.25">
      <c r="J292" s="15"/>
    </row>
    <row r="293" spans="10:10" x14ac:dyDescent="0.25">
      <c r="J293" s="15"/>
    </row>
    <row r="294" spans="10:10" x14ac:dyDescent="0.25">
      <c r="J294" s="15"/>
    </row>
    <row r="295" spans="10:10" x14ac:dyDescent="0.25">
      <c r="J295" s="15"/>
    </row>
    <row r="296" spans="10:10" x14ac:dyDescent="0.25">
      <c r="J296" s="15"/>
    </row>
    <row r="297" spans="10:10" x14ac:dyDescent="0.25">
      <c r="J297" s="15"/>
    </row>
    <row r="298" spans="10:10" x14ac:dyDescent="0.25">
      <c r="J298" s="15"/>
    </row>
    <row r="299" spans="10:10" x14ac:dyDescent="0.25">
      <c r="J299" s="15"/>
    </row>
    <row r="300" spans="10:10" x14ac:dyDescent="0.25">
      <c r="J300" s="15"/>
    </row>
    <row r="301" spans="10:10" x14ac:dyDescent="0.25">
      <c r="J301" s="15"/>
    </row>
    <row r="302" spans="10:10" x14ac:dyDescent="0.25">
      <c r="J302" s="15"/>
    </row>
    <row r="303" spans="10:10" x14ac:dyDescent="0.25">
      <c r="J303" s="15"/>
    </row>
    <row r="304" spans="10:10" x14ac:dyDescent="0.25">
      <c r="J304" s="15"/>
    </row>
    <row r="305" spans="10:10" x14ac:dyDescent="0.25">
      <c r="J305" s="15"/>
    </row>
    <row r="306" spans="10:10" x14ac:dyDescent="0.25">
      <c r="J306" s="15"/>
    </row>
    <row r="307" spans="10:10" x14ac:dyDescent="0.25">
      <c r="J307" s="15"/>
    </row>
    <row r="308" spans="10:10" x14ac:dyDescent="0.25">
      <c r="J308" s="15"/>
    </row>
    <row r="309" spans="10:10" x14ac:dyDescent="0.25">
      <c r="J309" s="15"/>
    </row>
    <row r="310" spans="10:10" x14ac:dyDescent="0.25">
      <c r="J310" s="15"/>
    </row>
    <row r="311" spans="10:10" x14ac:dyDescent="0.25">
      <c r="J311" s="15"/>
    </row>
    <row r="312" spans="10:10" x14ac:dyDescent="0.25">
      <c r="J312" s="15"/>
    </row>
    <row r="313" spans="10:10" x14ac:dyDescent="0.25">
      <c r="J313" s="15"/>
    </row>
    <row r="314" spans="10:10" x14ac:dyDescent="0.25">
      <c r="J314" s="15"/>
    </row>
    <row r="315" spans="10:10" x14ac:dyDescent="0.25">
      <c r="J315" s="15"/>
    </row>
    <row r="316" spans="10:10" x14ac:dyDescent="0.25">
      <c r="J316" s="15"/>
    </row>
    <row r="317" spans="10:10" x14ac:dyDescent="0.25">
      <c r="J317" s="15"/>
    </row>
    <row r="318" spans="10:10" x14ac:dyDescent="0.25">
      <c r="J318" s="15"/>
    </row>
    <row r="319" spans="10:10" x14ac:dyDescent="0.25">
      <c r="J319" s="15"/>
    </row>
    <row r="320" spans="10:10" x14ac:dyDescent="0.25">
      <c r="J320" s="15"/>
    </row>
    <row r="321" spans="10:10" x14ac:dyDescent="0.25">
      <c r="J321" s="15"/>
    </row>
    <row r="322" spans="10:10" x14ac:dyDescent="0.25">
      <c r="J322" s="15"/>
    </row>
    <row r="323" spans="10:10" x14ac:dyDescent="0.25">
      <c r="J323" s="15"/>
    </row>
    <row r="324" spans="10:10" x14ac:dyDescent="0.25">
      <c r="J324" s="15"/>
    </row>
    <row r="325" spans="10:10" x14ac:dyDescent="0.25">
      <c r="J325" s="15"/>
    </row>
    <row r="326" spans="10:10" x14ac:dyDescent="0.25">
      <c r="J326" s="15"/>
    </row>
    <row r="327" spans="10:10" x14ac:dyDescent="0.25">
      <c r="J327" s="15"/>
    </row>
    <row r="328" spans="10:10" x14ac:dyDescent="0.25">
      <c r="J328" s="15"/>
    </row>
    <row r="329" spans="10:10" x14ac:dyDescent="0.25">
      <c r="J329" s="15"/>
    </row>
    <row r="330" spans="10:10" x14ac:dyDescent="0.25">
      <c r="J330" s="15"/>
    </row>
    <row r="331" spans="10:10" x14ac:dyDescent="0.25">
      <c r="J331" s="15"/>
    </row>
    <row r="332" spans="10:10" x14ac:dyDescent="0.25">
      <c r="J332" s="15"/>
    </row>
    <row r="333" spans="10:10" x14ac:dyDescent="0.25">
      <c r="J333" s="15"/>
    </row>
    <row r="334" spans="10:10" x14ac:dyDescent="0.25">
      <c r="J334" s="15"/>
    </row>
    <row r="335" spans="10:10" x14ac:dyDescent="0.25">
      <c r="J335" s="15"/>
    </row>
    <row r="336" spans="10:10" x14ac:dyDescent="0.25">
      <c r="J336" s="15"/>
    </row>
    <row r="337" spans="10:10" x14ac:dyDescent="0.25">
      <c r="J337" s="15"/>
    </row>
    <row r="338" spans="10:10" x14ac:dyDescent="0.25">
      <c r="J338" s="15"/>
    </row>
    <row r="339" spans="10:10" x14ac:dyDescent="0.25">
      <c r="J339" s="15"/>
    </row>
    <row r="340" spans="10:10" x14ac:dyDescent="0.25">
      <c r="J340" s="15"/>
    </row>
    <row r="341" spans="10:10" x14ac:dyDescent="0.25">
      <c r="J341" s="15"/>
    </row>
    <row r="342" spans="10:10" x14ac:dyDescent="0.25">
      <c r="J342" s="15"/>
    </row>
    <row r="343" spans="10:10" x14ac:dyDescent="0.25">
      <c r="J343" s="15"/>
    </row>
    <row r="344" spans="10:10" x14ac:dyDescent="0.25">
      <c r="J344" s="15"/>
    </row>
    <row r="345" spans="10:10" x14ac:dyDescent="0.25">
      <c r="J345" s="15"/>
    </row>
    <row r="346" spans="10:10" x14ac:dyDescent="0.25">
      <c r="J346" s="15"/>
    </row>
    <row r="347" spans="10:10" x14ac:dyDescent="0.25">
      <c r="J347" s="15"/>
    </row>
    <row r="348" spans="10:10" x14ac:dyDescent="0.25">
      <c r="J348" s="15"/>
    </row>
    <row r="349" spans="10:10" x14ac:dyDescent="0.25">
      <c r="J349" s="15"/>
    </row>
    <row r="350" spans="10:10" x14ac:dyDescent="0.25">
      <c r="J350" s="15"/>
    </row>
    <row r="351" spans="10:10" x14ac:dyDescent="0.25">
      <c r="J351" s="15"/>
    </row>
    <row r="352" spans="10:10" x14ac:dyDescent="0.25">
      <c r="J352" s="15"/>
    </row>
    <row r="353" spans="10:10" x14ac:dyDescent="0.25">
      <c r="J353" s="15"/>
    </row>
    <row r="354" spans="10:10" x14ac:dyDescent="0.25">
      <c r="J354" s="15"/>
    </row>
    <row r="355" spans="10:10" x14ac:dyDescent="0.25">
      <c r="J355" s="15"/>
    </row>
    <row r="356" spans="10:10" x14ac:dyDescent="0.25">
      <c r="J356" s="15"/>
    </row>
    <row r="357" spans="10:10" x14ac:dyDescent="0.25">
      <c r="J357" s="15"/>
    </row>
    <row r="358" spans="10:10" x14ac:dyDescent="0.25">
      <c r="J358" s="15"/>
    </row>
    <row r="359" spans="10:10" x14ac:dyDescent="0.25">
      <c r="J359" s="15"/>
    </row>
    <row r="360" spans="10:10" x14ac:dyDescent="0.25">
      <c r="J360" s="15"/>
    </row>
    <row r="361" spans="10:10" x14ac:dyDescent="0.25">
      <c r="J361" s="15"/>
    </row>
    <row r="362" spans="10:10" x14ac:dyDescent="0.25">
      <c r="J362" s="15"/>
    </row>
    <row r="363" spans="10:10" x14ac:dyDescent="0.25">
      <c r="J363" s="15"/>
    </row>
    <row r="364" spans="10:10" x14ac:dyDescent="0.25">
      <c r="J364" s="15"/>
    </row>
    <row r="365" spans="10:10" x14ac:dyDescent="0.25">
      <c r="J365" s="15"/>
    </row>
    <row r="366" spans="10:10" x14ac:dyDescent="0.25">
      <c r="J366" s="15"/>
    </row>
    <row r="367" spans="10:10" x14ac:dyDescent="0.25">
      <c r="J367" s="15"/>
    </row>
    <row r="368" spans="10:10" x14ac:dyDescent="0.25">
      <c r="J368" s="15"/>
    </row>
    <row r="369" spans="10:10" x14ac:dyDescent="0.25">
      <c r="J369" s="15"/>
    </row>
    <row r="370" spans="10:10" x14ac:dyDescent="0.25">
      <c r="J370" s="15"/>
    </row>
    <row r="371" spans="10:10" x14ac:dyDescent="0.25">
      <c r="J371" s="15"/>
    </row>
    <row r="372" spans="10:10" x14ac:dyDescent="0.25">
      <c r="J372" s="15"/>
    </row>
    <row r="373" spans="10:10" x14ac:dyDescent="0.25">
      <c r="J373" s="15"/>
    </row>
    <row r="374" spans="10:10" x14ac:dyDescent="0.25">
      <c r="J374" s="15"/>
    </row>
    <row r="375" spans="10:10" x14ac:dyDescent="0.25">
      <c r="J375" s="15"/>
    </row>
    <row r="376" spans="10:10" x14ac:dyDescent="0.25">
      <c r="J376" s="15"/>
    </row>
    <row r="377" spans="10:10" x14ac:dyDescent="0.25">
      <c r="J377" s="15"/>
    </row>
    <row r="378" spans="10:10" x14ac:dyDescent="0.25">
      <c r="J378" s="15"/>
    </row>
    <row r="379" spans="10:10" x14ac:dyDescent="0.25">
      <c r="J379" s="15"/>
    </row>
    <row r="380" spans="10:10" x14ac:dyDescent="0.25">
      <c r="J380" s="15"/>
    </row>
    <row r="381" spans="10:10" x14ac:dyDescent="0.25">
      <c r="J381" s="15"/>
    </row>
    <row r="382" spans="10:10" x14ac:dyDescent="0.25">
      <c r="J382" s="15"/>
    </row>
    <row r="383" spans="10:10" x14ac:dyDescent="0.25">
      <c r="J383" s="15"/>
    </row>
    <row r="384" spans="10:10" x14ac:dyDescent="0.25">
      <c r="J384" s="15"/>
    </row>
    <row r="385" spans="10:10" x14ac:dyDescent="0.25">
      <c r="J385" s="15"/>
    </row>
    <row r="386" spans="10:10" x14ac:dyDescent="0.25">
      <c r="J386" s="15"/>
    </row>
    <row r="387" spans="10:10" x14ac:dyDescent="0.25">
      <c r="J387" s="15"/>
    </row>
    <row r="388" spans="10:10" x14ac:dyDescent="0.25">
      <c r="J388" s="15"/>
    </row>
    <row r="389" spans="10:10" x14ac:dyDescent="0.25">
      <c r="J389" s="15"/>
    </row>
    <row r="390" spans="10:10" x14ac:dyDescent="0.25">
      <c r="J390" s="15"/>
    </row>
    <row r="391" spans="10:10" x14ac:dyDescent="0.25">
      <c r="J391" s="15"/>
    </row>
    <row r="392" spans="10:10" x14ac:dyDescent="0.25">
      <c r="J392" s="15"/>
    </row>
    <row r="393" spans="10:10" x14ac:dyDescent="0.25">
      <c r="J393" s="15"/>
    </row>
    <row r="394" spans="10:10" x14ac:dyDescent="0.25">
      <c r="J394" s="15"/>
    </row>
    <row r="395" spans="10:10" x14ac:dyDescent="0.25">
      <c r="J395" s="15"/>
    </row>
    <row r="396" spans="10:10" x14ac:dyDescent="0.25">
      <c r="J396" s="15"/>
    </row>
    <row r="397" spans="10:10" x14ac:dyDescent="0.25">
      <c r="J397" s="15"/>
    </row>
    <row r="398" spans="10:10" x14ac:dyDescent="0.25">
      <c r="J398" s="15"/>
    </row>
    <row r="399" spans="10:10" x14ac:dyDescent="0.25">
      <c r="J399" s="15"/>
    </row>
    <row r="400" spans="10:10" x14ac:dyDescent="0.25">
      <c r="J400" s="15"/>
    </row>
    <row r="401" spans="10:10" x14ac:dyDescent="0.25">
      <c r="J401" s="15"/>
    </row>
    <row r="402" spans="10:10" x14ac:dyDescent="0.25">
      <c r="J402" s="15"/>
    </row>
    <row r="403" spans="10:10" x14ac:dyDescent="0.25">
      <c r="J403" s="15"/>
    </row>
    <row r="404" spans="10:10" x14ac:dyDescent="0.25">
      <c r="J404" s="15"/>
    </row>
    <row r="405" spans="10:10" x14ac:dyDescent="0.25">
      <c r="J405" s="15"/>
    </row>
    <row r="406" spans="10:10" x14ac:dyDescent="0.25">
      <c r="J406" s="15"/>
    </row>
    <row r="407" spans="10:10" x14ac:dyDescent="0.25">
      <c r="J407" s="15"/>
    </row>
    <row r="408" spans="10:10" x14ac:dyDescent="0.25">
      <c r="J408" s="15"/>
    </row>
    <row r="409" spans="10:10" x14ac:dyDescent="0.25">
      <c r="J409" s="15"/>
    </row>
    <row r="410" spans="10:10" x14ac:dyDescent="0.25">
      <c r="J410" s="15"/>
    </row>
    <row r="411" spans="10:10" x14ac:dyDescent="0.25">
      <c r="J411" s="15"/>
    </row>
    <row r="412" spans="10:10" x14ac:dyDescent="0.25">
      <c r="J412" s="15"/>
    </row>
    <row r="413" spans="10:10" x14ac:dyDescent="0.25">
      <c r="J413" s="15"/>
    </row>
    <row r="414" spans="10:10" x14ac:dyDescent="0.25">
      <c r="J414" s="15"/>
    </row>
    <row r="415" spans="10:10" x14ac:dyDescent="0.25">
      <c r="J415" s="15"/>
    </row>
    <row r="416" spans="10:10" x14ac:dyDescent="0.25">
      <c r="J416" s="15"/>
    </row>
    <row r="417" spans="10:10" x14ac:dyDescent="0.25">
      <c r="J417" s="15"/>
    </row>
    <row r="418" spans="10:10" x14ac:dyDescent="0.25">
      <c r="J418" s="15"/>
    </row>
    <row r="419" spans="10:10" x14ac:dyDescent="0.25">
      <c r="J419" s="15"/>
    </row>
    <row r="420" spans="10:10" x14ac:dyDescent="0.25">
      <c r="J420" s="15"/>
    </row>
    <row r="421" spans="10:10" x14ac:dyDescent="0.25">
      <c r="J421" s="15"/>
    </row>
    <row r="422" spans="10:10" x14ac:dyDescent="0.25">
      <c r="J422" s="15"/>
    </row>
    <row r="423" spans="10:10" x14ac:dyDescent="0.25">
      <c r="J423" s="15"/>
    </row>
    <row r="424" spans="10:10" x14ac:dyDescent="0.25">
      <c r="J424" s="15"/>
    </row>
    <row r="425" spans="10:10" x14ac:dyDescent="0.25">
      <c r="J425" s="15"/>
    </row>
    <row r="426" spans="10:10" x14ac:dyDescent="0.25">
      <c r="J426" s="15"/>
    </row>
    <row r="427" spans="10:10" x14ac:dyDescent="0.25">
      <c r="J427" s="15"/>
    </row>
    <row r="428" spans="10:10" x14ac:dyDescent="0.25">
      <c r="J428" s="15"/>
    </row>
    <row r="429" spans="10:10" x14ac:dyDescent="0.25">
      <c r="J429" s="15"/>
    </row>
    <row r="430" spans="10:10" x14ac:dyDescent="0.25">
      <c r="J430" s="15"/>
    </row>
    <row r="431" spans="10:10" x14ac:dyDescent="0.25">
      <c r="J431" s="15"/>
    </row>
    <row r="432" spans="10:10" x14ac:dyDescent="0.25">
      <c r="J432" s="15"/>
    </row>
    <row r="433" spans="10:10" x14ac:dyDescent="0.25">
      <c r="J433" s="15"/>
    </row>
    <row r="434" spans="10:10" x14ac:dyDescent="0.25">
      <c r="J434" s="15"/>
    </row>
    <row r="435" spans="10:10" x14ac:dyDescent="0.25">
      <c r="J435" s="15"/>
    </row>
    <row r="436" spans="10:10" x14ac:dyDescent="0.25">
      <c r="J436" s="15"/>
    </row>
    <row r="437" spans="10:10" x14ac:dyDescent="0.25">
      <c r="J437" s="15"/>
    </row>
    <row r="438" spans="10:10" x14ac:dyDescent="0.25">
      <c r="J438" s="15"/>
    </row>
    <row r="439" spans="10:10" x14ac:dyDescent="0.25">
      <c r="J439" s="15"/>
    </row>
    <row r="440" spans="10:10" x14ac:dyDescent="0.25">
      <c r="J440" s="15"/>
    </row>
    <row r="441" spans="10:10" x14ac:dyDescent="0.25">
      <c r="J441" s="15"/>
    </row>
    <row r="442" spans="10:10" x14ac:dyDescent="0.25">
      <c r="J442" s="15"/>
    </row>
    <row r="443" spans="10:10" x14ac:dyDescent="0.25">
      <c r="J443" s="15"/>
    </row>
    <row r="444" spans="10:10" x14ac:dyDescent="0.25">
      <c r="J444" s="15"/>
    </row>
    <row r="445" spans="10:10" x14ac:dyDescent="0.25">
      <c r="J445" s="15"/>
    </row>
    <row r="446" spans="10:10" x14ac:dyDescent="0.25">
      <c r="J446" s="15"/>
    </row>
    <row r="447" spans="10:10" x14ac:dyDescent="0.25">
      <c r="J447" s="15"/>
    </row>
    <row r="448" spans="10:10" x14ac:dyDescent="0.25">
      <c r="J448" s="15"/>
    </row>
    <row r="449" spans="10:10" x14ac:dyDescent="0.25">
      <c r="J449" s="15"/>
    </row>
    <row r="450" spans="10:10" x14ac:dyDescent="0.25">
      <c r="J450" s="15"/>
    </row>
    <row r="451" spans="10:10" x14ac:dyDescent="0.25">
      <c r="J451" s="15"/>
    </row>
    <row r="452" spans="10:10" x14ac:dyDescent="0.25">
      <c r="J452" s="15"/>
    </row>
    <row r="453" spans="10:10" x14ac:dyDescent="0.25">
      <c r="J453" s="15"/>
    </row>
    <row r="454" spans="10:10" x14ac:dyDescent="0.25">
      <c r="J454" s="15"/>
    </row>
    <row r="455" spans="10:10" x14ac:dyDescent="0.25">
      <c r="J455" s="15"/>
    </row>
    <row r="456" spans="10:10" x14ac:dyDescent="0.25">
      <c r="J456" s="15"/>
    </row>
    <row r="457" spans="10:10" x14ac:dyDescent="0.25">
      <c r="J457" s="15"/>
    </row>
    <row r="458" spans="10:10" x14ac:dyDescent="0.25">
      <c r="J458" s="15"/>
    </row>
    <row r="459" spans="10:10" x14ac:dyDescent="0.25">
      <c r="J459" s="15"/>
    </row>
    <row r="460" spans="10:10" x14ac:dyDescent="0.25">
      <c r="J460" s="15"/>
    </row>
    <row r="461" spans="10:10" x14ac:dyDescent="0.25">
      <c r="J461" s="15"/>
    </row>
    <row r="462" spans="10:10" x14ac:dyDescent="0.25">
      <c r="J462" s="15"/>
    </row>
    <row r="463" spans="10:10" x14ac:dyDescent="0.25">
      <c r="J463" s="15"/>
    </row>
    <row r="464" spans="10:10" x14ac:dyDescent="0.25">
      <c r="J464" s="15"/>
    </row>
    <row r="465" spans="10:10" x14ac:dyDescent="0.25">
      <c r="J465" s="15"/>
    </row>
    <row r="466" spans="10:10" x14ac:dyDescent="0.25">
      <c r="J466" s="15"/>
    </row>
    <row r="467" spans="10:10" x14ac:dyDescent="0.25">
      <c r="J467" s="15"/>
    </row>
    <row r="468" spans="10:10" x14ac:dyDescent="0.25">
      <c r="J468" s="15"/>
    </row>
    <row r="469" spans="10:10" x14ac:dyDescent="0.25">
      <c r="J469" s="15"/>
    </row>
    <row r="470" spans="10:10" x14ac:dyDescent="0.25">
      <c r="J470" s="15"/>
    </row>
    <row r="471" spans="10:10" x14ac:dyDescent="0.25">
      <c r="J471" s="15"/>
    </row>
    <row r="472" spans="10:10" x14ac:dyDescent="0.25">
      <c r="J472" s="15"/>
    </row>
    <row r="473" spans="10:10" x14ac:dyDescent="0.25">
      <c r="J473" s="15"/>
    </row>
    <row r="474" spans="10:10" x14ac:dyDescent="0.25">
      <c r="J474" s="15"/>
    </row>
    <row r="475" spans="10:10" x14ac:dyDescent="0.25">
      <c r="J475" s="15"/>
    </row>
    <row r="476" spans="10:10" x14ac:dyDescent="0.25">
      <c r="J476" s="15"/>
    </row>
    <row r="477" spans="10:10" x14ac:dyDescent="0.25">
      <c r="J477" s="15"/>
    </row>
    <row r="478" spans="10:10" x14ac:dyDescent="0.25">
      <c r="J478" s="15"/>
    </row>
    <row r="479" spans="10:10" x14ac:dyDescent="0.25">
      <c r="J479" s="15"/>
    </row>
    <row r="480" spans="10:10" x14ac:dyDescent="0.25">
      <c r="J480" s="15"/>
    </row>
    <row r="481" spans="10:10" x14ac:dyDescent="0.25">
      <c r="J481" s="15"/>
    </row>
    <row r="482" spans="10:10" x14ac:dyDescent="0.25">
      <c r="J482" s="15"/>
    </row>
    <row r="483" spans="10:10" x14ac:dyDescent="0.25">
      <c r="J483" s="15"/>
    </row>
    <row r="484" spans="10:10" x14ac:dyDescent="0.25">
      <c r="J484" s="15"/>
    </row>
    <row r="485" spans="10:10" x14ac:dyDescent="0.25">
      <c r="J485" s="15"/>
    </row>
    <row r="486" spans="10:10" x14ac:dyDescent="0.25">
      <c r="J486" s="15"/>
    </row>
    <row r="487" spans="10:10" x14ac:dyDescent="0.25">
      <c r="J487" s="15"/>
    </row>
    <row r="488" spans="10:10" x14ac:dyDescent="0.25">
      <c r="J488" s="15"/>
    </row>
    <row r="489" spans="10:10" x14ac:dyDescent="0.25">
      <c r="J489" s="15"/>
    </row>
    <row r="490" spans="10:10" x14ac:dyDescent="0.25">
      <c r="J490" s="15"/>
    </row>
    <row r="491" spans="10:10" x14ac:dyDescent="0.25">
      <c r="J491" s="15"/>
    </row>
    <row r="492" spans="10:10" x14ac:dyDescent="0.25">
      <c r="J492" s="15"/>
    </row>
    <row r="493" spans="10:10" x14ac:dyDescent="0.25">
      <c r="J493" s="15"/>
    </row>
    <row r="494" spans="10:10" x14ac:dyDescent="0.25">
      <c r="J494" s="15"/>
    </row>
    <row r="495" spans="10:10" x14ac:dyDescent="0.25">
      <c r="J495" s="15"/>
    </row>
    <row r="496" spans="10:10" x14ac:dyDescent="0.25">
      <c r="J496" s="15"/>
    </row>
    <row r="497" spans="10:10" x14ac:dyDescent="0.25">
      <c r="J497" s="15"/>
    </row>
    <row r="498" spans="10:10" x14ac:dyDescent="0.25">
      <c r="J498" s="15"/>
    </row>
    <row r="499" spans="10:10" x14ac:dyDescent="0.25">
      <c r="J499" s="15"/>
    </row>
    <row r="500" spans="10:10" x14ac:dyDescent="0.25">
      <c r="J500" s="15"/>
    </row>
    <row r="501" spans="10:10" x14ac:dyDescent="0.25">
      <c r="J501" s="15"/>
    </row>
    <row r="502" spans="10:10" x14ac:dyDescent="0.25">
      <c r="J502" s="15"/>
    </row>
    <row r="503" spans="10:10" x14ac:dyDescent="0.25">
      <c r="J503" s="15"/>
    </row>
    <row r="504" spans="10:10" x14ac:dyDescent="0.25">
      <c r="J504" s="15"/>
    </row>
    <row r="505" spans="10:10" x14ac:dyDescent="0.25">
      <c r="J505" s="15"/>
    </row>
    <row r="506" spans="10:10" x14ac:dyDescent="0.25">
      <c r="J506" s="15"/>
    </row>
    <row r="507" spans="10:10" x14ac:dyDescent="0.25">
      <c r="J507" s="15"/>
    </row>
    <row r="508" spans="10:10" x14ac:dyDescent="0.25">
      <c r="J508" s="15"/>
    </row>
    <row r="509" spans="10:10" x14ac:dyDescent="0.25">
      <c r="J509" s="15"/>
    </row>
    <row r="510" spans="10:10" x14ac:dyDescent="0.25">
      <c r="J510" s="15"/>
    </row>
    <row r="511" spans="10:10" x14ac:dyDescent="0.25">
      <c r="J511" s="15"/>
    </row>
    <row r="512" spans="10:10" x14ac:dyDescent="0.25">
      <c r="J512" s="15"/>
    </row>
    <row r="513" spans="10:10" x14ac:dyDescent="0.25">
      <c r="J513" s="15"/>
    </row>
    <row r="514" spans="10:10" x14ac:dyDescent="0.25">
      <c r="J514" s="15"/>
    </row>
    <row r="515" spans="10:10" x14ac:dyDescent="0.25">
      <c r="J515" s="15"/>
    </row>
    <row r="516" spans="10:10" x14ac:dyDescent="0.25">
      <c r="J516" s="15"/>
    </row>
    <row r="517" spans="10:10" x14ac:dyDescent="0.25">
      <c r="J517" s="15"/>
    </row>
    <row r="518" spans="10:10" x14ac:dyDescent="0.25">
      <c r="J518" s="15"/>
    </row>
    <row r="519" spans="10:10" x14ac:dyDescent="0.25">
      <c r="J519" s="15"/>
    </row>
    <row r="520" spans="10:10" x14ac:dyDescent="0.25">
      <c r="J520" s="15"/>
    </row>
    <row r="521" spans="10:10" x14ac:dyDescent="0.25">
      <c r="J521" s="15"/>
    </row>
    <row r="522" spans="10:10" x14ac:dyDescent="0.25">
      <c r="J522" s="15"/>
    </row>
    <row r="523" spans="10:10" x14ac:dyDescent="0.25">
      <c r="J523" s="15"/>
    </row>
    <row r="524" spans="10:10" x14ac:dyDescent="0.25">
      <c r="J524" s="15"/>
    </row>
    <row r="525" spans="10:10" x14ac:dyDescent="0.25">
      <c r="J525" s="15"/>
    </row>
    <row r="526" spans="10:10" x14ac:dyDescent="0.25">
      <c r="J526" s="15"/>
    </row>
    <row r="527" spans="10:10" x14ac:dyDescent="0.25">
      <c r="J527" s="15"/>
    </row>
    <row r="528" spans="10:10" x14ac:dyDescent="0.25">
      <c r="J528" s="15"/>
    </row>
    <row r="529" spans="10:10" x14ac:dyDescent="0.25">
      <c r="J529" s="15"/>
    </row>
    <row r="530" spans="10:10" x14ac:dyDescent="0.25">
      <c r="J530" s="15"/>
    </row>
    <row r="531" spans="10:10" x14ac:dyDescent="0.25">
      <c r="J531" s="15"/>
    </row>
    <row r="532" spans="10:10" x14ac:dyDescent="0.25">
      <c r="J532" s="15"/>
    </row>
    <row r="533" spans="10:10" x14ac:dyDescent="0.25">
      <c r="J533" s="15"/>
    </row>
    <row r="534" spans="10:10" x14ac:dyDescent="0.25">
      <c r="J534" s="15"/>
    </row>
    <row r="535" spans="10:10" x14ac:dyDescent="0.25">
      <c r="J535" s="15"/>
    </row>
    <row r="536" spans="10:10" x14ac:dyDescent="0.25">
      <c r="J536" s="15"/>
    </row>
    <row r="537" spans="10:10" x14ac:dyDescent="0.25">
      <c r="J537" s="15"/>
    </row>
    <row r="538" spans="10:10" x14ac:dyDescent="0.25">
      <c r="J538" s="15"/>
    </row>
    <row r="539" spans="10:10" x14ac:dyDescent="0.25">
      <c r="J539" s="15"/>
    </row>
    <row r="540" spans="10:10" x14ac:dyDescent="0.25">
      <c r="J540" s="15"/>
    </row>
    <row r="541" spans="10:10" x14ac:dyDescent="0.25">
      <c r="J541" s="15"/>
    </row>
    <row r="542" spans="10:10" x14ac:dyDescent="0.25">
      <c r="J542" s="15"/>
    </row>
    <row r="543" spans="10:10" x14ac:dyDescent="0.25">
      <c r="J543" s="15"/>
    </row>
    <row r="544" spans="10:10" x14ac:dyDescent="0.25">
      <c r="J544" s="15"/>
    </row>
    <row r="545" spans="10:10" x14ac:dyDescent="0.25">
      <c r="J545" s="15"/>
    </row>
    <row r="546" spans="10:10" x14ac:dyDescent="0.25">
      <c r="J546" s="15"/>
    </row>
    <row r="547" spans="10:10" x14ac:dyDescent="0.25">
      <c r="J547" s="15"/>
    </row>
    <row r="548" spans="10:10" x14ac:dyDescent="0.25">
      <c r="J548" s="15"/>
    </row>
    <row r="549" spans="10:10" x14ac:dyDescent="0.25">
      <c r="J549" s="15"/>
    </row>
    <row r="550" spans="10:10" x14ac:dyDescent="0.25">
      <c r="J550" s="15"/>
    </row>
    <row r="551" spans="10:10" x14ac:dyDescent="0.25">
      <c r="J551" s="15"/>
    </row>
    <row r="552" spans="10:10" x14ac:dyDescent="0.25">
      <c r="J552" s="15"/>
    </row>
    <row r="553" spans="10:10" x14ac:dyDescent="0.25">
      <c r="J553" s="15"/>
    </row>
    <row r="554" spans="10:10" x14ac:dyDescent="0.25">
      <c r="J554" s="15"/>
    </row>
    <row r="555" spans="10:10" x14ac:dyDescent="0.25">
      <c r="J555" s="15"/>
    </row>
    <row r="556" spans="10:10" x14ac:dyDescent="0.25">
      <c r="J556" s="15"/>
    </row>
    <row r="557" spans="10:10" x14ac:dyDescent="0.25">
      <c r="J557" s="15"/>
    </row>
    <row r="558" spans="10:10" x14ac:dyDescent="0.25">
      <c r="J558" s="15"/>
    </row>
    <row r="559" spans="10:10" x14ac:dyDescent="0.25">
      <c r="J559" s="15"/>
    </row>
    <row r="560" spans="10:10" x14ac:dyDescent="0.25">
      <c r="J560" s="15"/>
    </row>
    <row r="561" spans="10:10" x14ac:dyDescent="0.25">
      <c r="J561" s="15"/>
    </row>
    <row r="562" spans="10:10" x14ac:dyDescent="0.25">
      <c r="J562" s="15"/>
    </row>
    <row r="563" spans="10:10" x14ac:dyDescent="0.25">
      <c r="J563" s="15"/>
    </row>
    <row r="564" spans="10:10" x14ac:dyDescent="0.25">
      <c r="J564" s="15"/>
    </row>
    <row r="565" spans="10:10" x14ac:dyDescent="0.25">
      <c r="J565" s="15"/>
    </row>
    <row r="566" spans="10:10" x14ac:dyDescent="0.25">
      <c r="J566" s="15"/>
    </row>
    <row r="567" spans="10:10" x14ac:dyDescent="0.25">
      <c r="J567" s="15"/>
    </row>
    <row r="568" spans="10:10" x14ac:dyDescent="0.25">
      <c r="J568" s="15"/>
    </row>
    <row r="569" spans="10:10" x14ac:dyDescent="0.25">
      <c r="J569" s="15"/>
    </row>
    <row r="570" spans="10:10" x14ac:dyDescent="0.25">
      <c r="J570" s="15"/>
    </row>
    <row r="571" spans="10:10" x14ac:dyDescent="0.25">
      <c r="J571" s="15"/>
    </row>
    <row r="572" spans="10:10" x14ac:dyDescent="0.25">
      <c r="J572" s="15"/>
    </row>
    <row r="573" spans="10:10" x14ac:dyDescent="0.25">
      <c r="J573" s="15"/>
    </row>
    <row r="574" spans="10:10" x14ac:dyDescent="0.25">
      <c r="J574" s="15"/>
    </row>
    <row r="575" spans="10:10" x14ac:dyDescent="0.25">
      <c r="J575" s="15"/>
    </row>
    <row r="576" spans="10:10" x14ac:dyDescent="0.25">
      <c r="J576" s="15"/>
    </row>
    <row r="577" spans="10:10" x14ac:dyDescent="0.25">
      <c r="J577" s="15"/>
    </row>
    <row r="578" spans="10:10" x14ac:dyDescent="0.25">
      <c r="J578" s="15"/>
    </row>
    <row r="579" spans="10:10" x14ac:dyDescent="0.25">
      <c r="J579" s="15"/>
    </row>
    <row r="580" spans="10:10" x14ac:dyDescent="0.25">
      <c r="J580" s="15"/>
    </row>
    <row r="581" spans="10:10" x14ac:dyDescent="0.25">
      <c r="J581" s="15"/>
    </row>
    <row r="582" spans="10:10" x14ac:dyDescent="0.25">
      <c r="J582" s="15"/>
    </row>
    <row r="583" spans="10:10" x14ac:dyDescent="0.25">
      <c r="J583" s="15"/>
    </row>
    <row r="584" spans="10:10" x14ac:dyDescent="0.25">
      <c r="J584" s="15"/>
    </row>
    <row r="585" spans="10:10" x14ac:dyDescent="0.25">
      <c r="J585" s="15"/>
    </row>
    <row r="586" spans="10:10" x14ac:dyDescent="0.25">
      <c r="J586" s="15"/>
    </row>
    <row r="587" spans="10:10" x14ac:dyDescent="0.25">
      <c r="J587" s="15"/>
    </row>
    <row r="588" spans="10:10" x14ac:dyDescent="0.25">
      <c r="J588" s="15"/>
    </row>
    <row r="589" spans="10:10" x14ac:dyDescent="0.25">
      <c r="J589" s="15"/>
    </row>
    <row r="590" spans="10:10" x14ac:dyDescent="0.25">
      <c r="J590" s="15"/>
    </row>
    <row r="591" spans="10:10" x14ac:dyDescent="0.25">
      <c r="J591" s="15"/>
    </row>
    <row r="592" spans="10:10" x14ac:dyDescent="0.25">
      <c r="J592" s="15"/>
    </row>
    <row r="593" spans="10:10" x14ac:dyDescent="0.25">
      <c r="J593" s="15"/>
    </row>
    <row r="594" spans="10:10" x14ac:dyDescent="0.25">
      <c r="J594" s="15"/>
    </row>
    <row r="595" spans="10:10" x14ac:dyDescent="0.25">
      <c r="J595" s="15"/>
    </row>
    <row r="596" spans="10:10" x14ac:dyDescent="0.25">
      <c r="J596" s="15"/>
    </row>
    <row r="597" spans="10:10" x14ac:dyDescent="0.25">
      <c r="J597" s="15"/>
    </row>
    <row r="598" spans="10:10" x14ac:dyDescent="0.25">
      <c r="J598" s="15"/>
    </row>
    <row r="599" spans="10:10" x14ac:dyDescent="0.25">
      <c r="J599" s="15"/>
    </row>
    <row r="600" spans="10:10" x14ac:dyDescent="0.25">
      <c r="J600" s="15"/>
    </row>
    <row r="601" spans="10:10" x14ac:dyDescent="0.25">
      <c r="J601" s="15"/>
    </row>
    <row r="602" spans="10:10" x14ac:dyDescent="0.25">
      <c r="J602" s="15"/>
    </row>
    <row r="603" spans="10:10" x14ac:dyDescent="0.25">
      <c r="J603" s="15"/>
    </row>
    <row r="604" spans="10:10" x14ac:dyDescent="0.25">
      <c r="J604" s="15"/>
    </row>
    <row r="605" spans="10:10" x14ac:dyDescent="0.25">
      <c r="J605" s="15"/>
    </row>
    <row r="606" spans="10:10" x14ac:dyDescent="0.25">
      <c r="J606" s="15"/>
    </row>
    <row r="607" spans="10:10" x14ac:dyDescent="0.25">
      <c r="J607" s="15"/>
    </row>
    <row r="608" spans="10:10" x14ac:dyDescent="0.25">
      <c r="J608" s="15"/>
    </row>
    <row r="609" spans="10:10" x14ac:dyDescent="0.25">
      <c r="J609" s="15"/>
    </row>
    <row r="610" spans="10:10" x14ac:dyDescent="0.25">
      <c r="J610" s="15"/>
    </row>
    <row r="611" spans="10:10" x14ac:dyDescent="0.25">
      <c r="J611" s="15"/>
    </row>
    <row r="612" spans="10:10" x14ac:dyDescent="0.25">
      <c r="J612" s="15"/>
    </row>
    <row r="613" spans="10:10" x14ac:dyDescent="0.25">
      <c r="J613" s="15"/>
    </row>
    <row r="614" spans="10:10" x14ac:dyDescent="0.25">
      <c r="J614" s="15"/>
    </row>
    <row r="615" spans="10:10" x14ac:dyDescent="0.25">
      <c r="J615" s="15"/>
    </row>
    <row r="616" spans="10:10" x14ac:dyDescent="0.25">
      <c r="J616" s="15"/>
    </row>
    <row r="617" spans="10:10" x14ac:dyDescent="0.25">
      <c r="J617" s="15"/>
    </row>
    <row r="618" spans="10:10" x14ac:dyDescent="0.25">
      <c r="J618" s="15"/>
    </row>
    <row r="619" spans="10:10" x14ac:dyDescent="0.25">
      <c r="J619" s="15"/>
    </row>
    <row r="620" spans="10:10" x14ac:dyDescent="0.25">
      <c r="J620" s="15"/>
    </row>
    <row r="621" spans="10:10" x14ac:dyDescent="0.25">
      <c r="J621" s="15"/>
    </row>
    <row r="622" spans="10:10" x14ac:dyDescent="0.25">
      <c r="J622" s="15"/>
    </row>
    <row r="623" spans="10:10" x14ac:dyDescent="0.25">
      <c r="J623" s="15"/>
    </row>
    <row r="624" spans="10:10" x14ac:dyDescent="0.25">
      <c r="J624" s="15"/>
    </row>
    <row r="625" spans="10:10" x14ac:dyDescent="0.25">
      <c r="J625" s="15"/>
    </row>
    <row r="626" spans="10:10" x14ac:dyDescent="0.25">
      <c r="J626" s="15"/>
    </row>
    <row r="627" spans="10:10" x14ac:dyDescent="0.25">
      <c r="J627" s="15"/>
    </row>
    <row r="628" spans="10:10" x14ac:dyDescent="0.25">
      <c r="J628" s="15"/>
    </row>
    <row r="629" spans="10:10" x14ac:dyDescent="0.25">
      <c r="J629" s="15"/>
    </row>
    <row r="630" spans="10:10" x14ac:dyDescent="0.25">
      <c r="J630" s="15"/>
    </row>
    <row r="631" spans="10:10" x14ac:dyDescent="0.25">
      <c r="J631" s="15"/>
    </row>
    <row r="632" spans="10:10" x14ac:dyDescent="0.25">
      <c r="J632" s="15"/>
    </row>
    <row r="633" spans="10:10" x14ac:dyDescent="0.25">
      <c r="J633" s="15"/>
    </row>
    <row r="634" spans="10:10" x14ac:dyDescent="0.25">
      <c r="J634" s="15"/>
    </row>
    <row r="635" spans="10:10" x14ac:dyDescent="0.25">
      <c r="J635" s="15"/>
    </row>
    <row r="636" spans="10:10" x14ac:dyDescent="0.25">
      <c r="J636" s="15"/>
    </row>
    <row r="637" spans="10:10" x14ac:dyDescent="0.25">
      <c r="J637" s="15"/>
    </row>
    <row r="638" spans="10:10" x14ac:dyDescent="0.25">
      <c r="J638" s="15"/>
    </row>
    <row r="639" spans="10:10" x14ac:dyDescent="0.25">
      <c r="J639" s="15"/>
    </row>
    <row r="640" spans="10:10" x14ac:dyDescent="0.25">
      <c r="J640" s="15"/>
    </row>
    <row r="641" spans="10:10" x14ac:dyDescent="0.25">
      <c r="J641" s="15"/>
    </row>
    <row r="642" spans="10:10" x14ac:dyDescent="0.25">
      <c r="J642" s="15"/>
    </row>
    <row r="643" spans="10:10" x14ac:dyDescent="0.25">
      <c r="J643" s="15"/>
    </row>
    <row r="644" spans="10:10" x14ac:dyDescent="0.25">
      <c r="J644" s="15"/>
    </row>
    <row r="645" spans="10:10" x14ac:dyDescent="0.25">
      <c r="J645" s="15"/>
    </row>
    <row r="646" spans="10:10" x14ac:dyDescent="0.25">
      <c r="J646" s="15"/>
    </row>
    <row r="647" spans="10:10" x14ac:dyDescent="0.25">
      <c r="J647" s="15"/>
    </row>
    <row r="648" spans="10:10" x14ac:dyDescent="0.25">
      <c r="J648" s="15"/>
    </row>
    <row r="649" spans="10:10" x14ac:dyDescent="0.25">
      <c r="J649" s="15"/>
    </row>
    <row r="650" spans="10:10" x14ac:dyDescent="0.25">
      <c r="J650" s="15"/>
    </row>
    <row r="651" spans="10:10" x14ac:dyDescent="0.25">
      <c r="J651" s="15"/>
    </row>
    <row r="652" spans="10:10" x14ac:dyDescent="0.25">
      <c r="J652" s="15"/>
    </row>
    <row r="653" spans="10:10" x14ac:dyDescent="0.25">
      <c r="J653" s="15"/>
    </row>
    <row r="654" spans="10:10" x14ac:dyDescent="0.25">
      <c r="J654" s="15"/>
    </row>
    <row r="655" spans="10:10" x14ac:dyDescent="0.25">
      <c r="J655" s="15"/>
    </row>
    <row r="656" spans="10:10" x14ac:dyDescent="0.25">
      <c r="J656" s="15"/>
    </row>
    <row r="657" spans="10:10" x14ac:dyDescent="0.25">
      <c r="J657" s="15"/>
    </row>
    <row r="658" spans="10:10" x14ac:dyDescent="0.25">
      <c r="J658" s="15"/>
    </row>
    <row r="659" spans="10:10" x14ac:dyDescent="0.25">
      <c r="J659" s="15"/>
    </row>
    <row r="660" spans="10:10" x14ac:dyDescent="0.25">
      <c r="J660" s="15"/>
    </row>
    <row r="661" spans="10:10" x14ac:dyDescent="0.25">
      <c r="J661" s="15"/>
    </row>
    <row r="662" spans="10:10" x14ac:dyDescent="0.25">
      <c r="J662" s="15"/>
    </row>
    <row r="663" spans="10:10" x14ac:dyDescent="0.25">
      <c r="J663" s="15"/>
    </row>
    <row r="664" spans="10:10" x14ac:dyDescent="0.25">
      <c r="J664" s="15"/>
    </row>
    <row r="665" spans="10:10" x14ac:dyDescent="0.25">
      <c r="J665" s="15"/>
    </row>
    <row r="666" spans="10:10" x14ac:dyDescent="0.25">
      <c r="J666" s="15"/>
    </row>
    <row r="667" spans="10:10" x14ac:dyDescent="0.25">
      <c r="J667" s="15"/>
    </row>
    <row r="668" spans="10:10" x14ac:dyDescent="0.25">
      <c r="J668" s="15"/>
    </row>
    <row r="669" spans="10:10" x14ac:dyDescent="0.25">
      <c r="J669" s="15"/>
    </row>
    <row r="670" spans="10:10" x14ac:dyDescent="0.25">
      <c r="J670" s="15"/>
    </row>
    <row r="671" spans="10:10" x14ac:dyDescent="0.25">
      <c r="J671" s="15"/>
    </row>
    <row r="672" spans="10:10" x14ac:dyDescent="0.25">
      <c r="J672" s="15"/>
    </row>
    <row r="673" spans="10:10" x14ac:dyDescent="0.25">
      <c r="J673" s="15"/>
    </row>
    <row r="674" spans="10:10" x14ac:dyDescent="0.25">
      <c r="J674" s="15"/>
    </row>
    <row r="675" spans="10:10" x14ac:dyDescent="0.25">
      <c r="J675" s="15"/>
    </row>
    <row r="676" spans="10:10" x14ac:dyDescent="0.25">
      <c r="J676" s="15"/>
    </row>
    <row r="677" spans="10:10" x14ac:dyDescent="0.25">
      <c r="J677" s="15"/>
    </row>
    <row r="678" spans="10:10" x14ac:dyDescent="0.25">
      <c r="J678" s="15"/>
    </row>
    <row r="679" spans="10:10" x14ac:dyDescent="0.25">
      <c r="J679" s="15"/>
    </row>
    <row r="680" spans="10:10" x14ac:dyDescent="0.25">
      <c r="J680" s="15"/>
    </row>
    <row r="681" spans="10:10" x14ac:dyDescent="0.25">
      <c r="J681" s="15"/>
    </row>
    <row r="682" spans="10:10" x14ac:dyDescent="0.25">
      <c r="J682" s="15"/>
    </row>
    <row r="683" spans="10:10" x14ac:dyDescent="0.25">
      <c r="J683" s="15"/>
    </row>
    <row r="684" spans="10:10" x14ac:dyDescent="0.25">
      <c r="J684" s="15"/>
    </row>
    <row r="685" spans="10:10" x14ac:dyDescent="0.25">
      <c r="J685" s="15"/>
    </row>
    <row r="686" spans="10:10" x14ac:dyDescent="0.25">
      <c r="J686" s="15"/>
    </row>
    <row r="687" spans="10:10" x14ac:dyDescent="0.25">
      <c r="J687" s="15"/>
    </row>
    <row r="688" spans="10:10" x14ac:dyDescent="0.25">
      <c r="J688" s="15"/>
    </row>
    <row r="689" spans="10:10" x14ac:dyDescent="0.25">
      <c r="J689" s="15"/>
    </row>
    <row r="690" spans="10:10" x14ac:dyDescent="0.25">
      <c r="J690" s="15"/>
    </row>
    <row r="691" spans="10:10" x14ac:dyDescent="0.25">
      <c r="J691" s="15"/>
    </row>
    <row r="692" spans="10:10" x14ac:dyDescent="0.25">
      <c r="J692" s="15"/>
    </row>
    <row r="693" spans="10:10" x14ac:dyDescent="0.25">
      <c r="J693" s="15"/>
    </row>
    <row r="694" spans="10:10" x14ac:dyDescent="0.25">
      <c r="J694" s="15"/>
    </row>
    <row r="695" spans="10:10" x14ac:dyDescent="0.25">
      <c r="J695" s="15"/>
    </row>
    <row r="696" spans="10:10" x14ac:dyDescent="0.25">
      <c r="J696" s="15"/>
    </row>
    <row r="697" spans="10:10" x14ac:dyDescent="0.25">
      <c r="J697" s="15"/>
    </row>
    <row r="698" spans="10:10" x14ac:dyDescent="0.25">
      <c r="J698" s="15"/>
    </row>
    <row r="699" spans="10:10" x14ac:dyDescent="0.25">
      <c r="J699" s="15"/>
    </row>
    <row r="700" spans="10:10" x14ac:dyDescent="0.25">
      <c r="J700" s="15"/>
    </row>
    <row r="701" spans="10:10" x14ac:dyDescent="0.25">
      <c r="J701" s="15"/>
    </row>
    <row r="702" spans="10:10" x14ac:dyDescent="0.25">
      <c r="J702" s="15"/>
    </row>
    <row r="703" spans="10:10" x14ac:dyDescent="0.25">
      <c r="J703" s="15"/>
    </row>
    <row r="704" spans="10:10" x14ac:dyDescent="0.25">
      <c r="J704" s="15"/>
    </row>
    <row r="705" spans="10:10" x14ac:dyDescent="0.25">
      <c r="J705" s="15"/>
    </row>
    <row r="706" spans="10:10" x14ac:dyDescent="0.25">
      <c r="J706" s="15"/>
    </row>
    <row r="707" spans="10:10" x14ac:dyDescent="0.25">
      <c r="J707" s="15"/>
    </row>
    <row r="708" spans="10:10" x14ac:dyDescent="0.25">
      <c r="J708" s="15"/>
    </row>
    <row r="709" spans="10:10" x14ac:dyDescent="0.25">
      <c r="J709" s="15"/>
    </row>
    <row r="710" spans="10:10" x14ac:dyDescent="0.25">
      <c r="J710" s="15"/>
    </row>
    <row r="711" spans="10:10" x14ac:dyDescent="0.25">
      <c r="J711" s="15"/>
    </row>
    <row r="712" spans="10:10" x14ac:dyDescent="0.25">
      <c r="J712" s="15"/>
    </row>
    <row r="713" spans="10:10" x14ac:dyDescent="0.25">
      <c r="J713" s="15"/>
    </row>
    <row r="714" spans="10:10" x14ac:dyDescent="0.25">
      <c r="J714" s="15"/>
    </row>
    <row r="715" spans="10:10" x14ac:dyDescent="0.25">
      <c r="J715" s="15"/>
    </row>
    <row r="716" spans="10:10" x14ac:dyDescent="0.25">
      <c r="J716" s="15"/>
    </row>
    <row r="717" spans="10:10" x14ac:dyDescent="0.25">
      <c r="J717" s="15"/>
    </row>
    <row r="718" spans="10:10" x14ac:dyDescent="0.25">
      <c r="J718" s="15"/>
    </row>
    <row r="719" spans="10:10" x14ac:dyDescent="0.25">
      <c r="J719" s="15"/>
    </row>
    <row r="720" spans="10:10" x14ac:dyDescent="0.25">
      <c r="J720" s="15"/>
    </row>
    <row r="721" spans="10:10" x14ac:dyDescent="0.25">
      <c r="J721" s="15"/>
    </row>
    <row r="722" spans="10:10" x14ac:dyDescent="0.25">
      <c r="J722" s="15"/>
    </row>
    <row r="723" spans="10:10" x14ac:dyDescent="0.25">
      <c r="J723" s="15"/>
    </row>
    <row r="724" spans="10:10" x14ac:dyDescent="0.25">
      <c r="J724" s="15"/>
    </row>
    <row r="725" spans="10:10" x14ac:dyDescent="0.25">
      <c r="J725" s="15"/>
    </row>
    <row r="726" spans="10:10" x14ac:dyDescent="0.25">
      <c r="J726" s="15"/>
    </row>
    <row r="727" spans="10:10" x14ac:dyDescent="0.25">
      <c r="J727" s="15"/>
    </row>
    <row r="728" spans="10:10" x14ac:dyDescent="0.25">
      <c r="J728" s="15"/>
    </row>
    <row r="729" spans="10:10" x14ac:dyDescent="0.25">
      <c r="J729" s="15"/>
    </row>
    <row r="730" spans="10:10" x14ac:dyDescent="0.25">
      <c r="J730" s="15"/>
    </row>
    <row r="731" spans="10:10" x14ac:dyDescent="0.25">
      <c r="J731" s="15"/>
    </row>
    <row r="732" spans="10:10" x14ac:dyDescent="0.25">
      <c r="J732" s="15"/>
    </row>
    <row r="733" spans="10:10" x14ac:dyDescent="0.25">
      <c r="J733" s="15"/>
    </row>
    <row r="734" spans="10:10" x14ac:dyDescent="0.25">
      <c r="J734" s="15"/>
    </row>
    <row r="735" spans="10:10" x14ac:dyDescent="0.25">
      <c r="J735" s="15"/>
    </row>
    <row r="736" spans="10:10" x14ac:dyDescent="0.25">
      <c r="J736" s="15"/>
    </row>
    <row r="737" spans="10:10" x14ac:dyDescent="0.25">
      <c r="J737" s="15"/>
    </row>
    <row r="738" spans="10:10" x14ac:dyDescent="0.25">
      <c r="J738" s="15"/>
    </row>
    <row r="739" spans="10:10" x14ac:dyDescent="0.25">
      <c r="J739" s="15"/>
    </row>
    <row r="740" spans="10:10" x14ac:dyDescent="0.25">
      <c r="J740" s="15"/>
    </row>
    <row r="741" spans="10:10" x14ac:dyDescent="0.25">
      <c r="J741" s="15"/>
    </row>
    <row r="742" spans="10:10" x14ac:dyDescent="0.25">
      <c r="J742" s="15"/>
    </row>
    <row r="743" spans="10:10" x14ac:dyDescent="0.25">
      <c r="J743" s="15"/>
    </row>
    <row r="744" spans="10:10" x14ac:dyDescent="0.25">
      <c r="J744" s="15"/>
    </row>
    <row r="745" spans="10:10" x14ac:dyDescent="0.25">
      <c r="J745" s="15"/>
    </row>
    <row r="746" spans="10:10" x14ac:dyDescent="0.25">
      <c r="J746" s="15"/>
    </row>
    <row r="747" spans="10:10" x14ac:dyDescent="0.25">
      <c r="J747" s="15"/>
    </row>
    <row r="748" spans="10:10" x14ac:dyDescent="0.25">
      <c r="J748" s="15"/>
    </row>
    <row r="749" spans="10:10" x14ac:dyDescent="0.25">
      <c r="J749" s="15"/>
    </row>
    <row r="750" spans="10:10" x14ac:dyDescent="0.25">
      <c r="J750" s="15"/>
    </row>
    <row r="751" spans="10:10" x14ac:dyDescent="0.25">
      <c r="J751" s="15"/>
    </row>
    <row r="752" spans="10:10" x14ac:dyDescent="0.25">
      <c r="J752" s="15"/>
    </row>
    <row r="753" spans="10:10" x14ac:dyDescent="0.25">
      <c r="J753" s="15"/>
    </row>
    <row r="754" spans="10:10" x14ac:dyDescent="0.25">
      <c r="J754" s="15"/>
    </row>
    <row r="755" spans="10:10" x14ac:dyDescent="0.25">
      <c r="J755" s="15"/>
    </row>
    <row r="756" spans="10:10" x14ac:dyDescent="0.25">
      <c r="J756" s="15"/>
    </row>
    <row r="757" spans="10:10" x14ac:dyDescent="0.25">
      <c r="J757" s="15"/>
    </row>
    <row r="758" spans="10:10" x14ac:dyDescent="0.25">
      <c r="J758" s="15"/>
    </row>
    <row r="759" spans="10:10" x14ac:dyDescent="0.25">
      <c r="J759" s="15"/>
    </row>
    <row r="760" spans="10:10" x14ac:dyDescent="0.25">
      <c r="J760" s="15"/>
    </row>
    <row r="761" spans="10:10" x14ac:dyDescent="0.25">
      <c r="J761" s="15"/>
    </row>
    <row r="762" spans="10:10" x14ac:dyDescent="0.25">
      <c r="J762" s="15"/>
    </row>
    <row r="763" spans="10:10" x14ac:dyDescent="0.25">
      <c r="J763" s="15"/>
    </row>
    <row r="764" spans="10:10" x14ac:dyDescent="0.25">
      <c r="J764" s="15"/>
    </row>
    <row r="765" spans="10:10" x14ac:dyDescent="0.25">
      <c r="J765" s="15"/>
    </row>
    <row r="766" spans="10:10" x14ac:dyDescent="0.25">
      <c r="J766" s="15"/>
    </row>
    <row r="767" spans="10:10" x14ac:dyDescent="0.25">
      <c r="J767" s="15"/>
    </row>
    <row r="768" spans="10:10" x14ac:dyDescent="0.25">
      <c r="J768" s="15"/>
    </row>
    <row r="769" spans="10:10" x14ac:dyDescent="0.25">
      <c r="J769" s="15"/>
    </row>
    <row r="770" spans="10:10" x14ac:dyDescent="0.25">
      <c r="J770" s="15"/>
    </row>
    <row r="771" spans="10:10" x14ac:dyDescent="0.25">
      <c r="J771" s="15"/>
    </row>
    <row r="772" spans="10:10" x14ac:dyDescent="0.25">
      <c r="J772" s="15"/>
    </row>
    <row r="773" spans="10:10" x14ac:dyDescent="0.25">
      <c r="J773" s="15"/>
    </row>
    <row r="774" spans="10:10" x14ac:dyDescent="0.25">
      <c r="J774" s="15"/>
    </row>
    <row r="775" spans="10:10" x14ac:dyDescent="0.25">
      <c r="J775" s="15"/>
    </row>
    <row r="776" spans="10:10" x14ac:dyDescent="0.25">
      <c r="J776" s="15"/>
    </row>
    <row r="777" spans="10:10" x14ac:dyDescent="0.25">
      <c r="J777" s="15"/>
    </row>
    <row r="778" spans="10:10" x14ac:dyDescent="0.25">
      <c r="J778" s="15"/>
    </row>
    <row r="779" spans="10:10" x14ac:dyDescent="0.25">
      <c r="J779" s="15"/>
    </row>
    <row r="780" spans="10:10" x14ac:dyDescent="0.25">
      <c r="J780" s="15"/>
    </row>
    <row r="781" spans="10:10" x14ac:dyDescent="0.25">
      <c r="J781" s="15"/>
    </row>
    <row r="782" spans="10:10" x14ac:dyDescent="0.25">
      <c r="J782" s="15"/>
    </row>
    <row r="783" spans="10:10" x14ac:dyDescent="0.25">
      <c r="J783" s="15"/>
    </row>
    <row r="784" spans="10:10" x14ac:dyDescent="0.25">
      <c r="J784" s="15"/>
    </row>
    <row r="785" spans="10:10" x14ac:dyDescent="0.25">
      <c r="J785" s="15"/>
    </row>
    <row r="786" spans="10:10" x14ac:dyDescent="0.25">
      <c r="J786" s="15"/>
    </row>
    <row r="787" spans="10:10" x14ac:dyDescent="0.25">
      <c r="J787" s="15"/>
    </row>
    <row r="788" spans="10:10" x14ac:dyDescent="0.25">
      <c r="J788" s="15"/>
    </row>
    <row r="789" spans="10:10" x14ac:dyDescent="0.25">
      <c r="J789" s="15"/>
    </row>
    <row r="790" spans="10:10" x14ac:dyDescent="0.25">
      <c r="J790" s="15"/>
    </row>
    <row r="791" spans="10:10" x14ac:dyDescent="0.25">
      <c r="J791" s="15"/>
    </row>
    <row r="792" spans="10:10" x14ac:dyDescent="0.25">
      <c r="J792" s="15"/>
    </row>
    <row r="793" spans="10:10" x14ac:dyDescent="0.25">
      <c r="J793" s="15"/>
    </row>
    <row r="794" spans="10:10" x14ac:dyDescent="0.25">
      <c r="J794" s="15"/>
    </row>
    <row r="795" spans="10:10" x14ac:dyDescent="0.25">
      <c r="J795" s="15"/>
    </row>
    <row r="796" spans="10:10" x14ac:dyDescent="0.25">
      <c r="J796" s="15"/>
    </row>
    <row r="797" spans="10:10" x14ac:dyDescent="0.25">
      <c r="J797" s="15"/>
    </row>
    <row r="798" spans="10:10" x14ac:dyDescent="0.25">
      <c r="J798" s="15"/>
    </row>
    <row r="799" spans="10:10" x14ac:dyDescent="0.25">
      <c r="J799" s="15"/>
    </row>
    <row r="800" spans="10:10" x14ac:dyDescent="0.25">
      <c r="J800" s="15"/>
    </row>
    <row r="801" spans="10:10" x14ac:dyDescent="0.25">
      <c r="J801" s="15"/>
    </row>
    <row r="802" spans="10:10" x14ac:dyDescent="0.25">
      <c r="J802" s="15"/>
    </row>
    <row r="803" spans="10:10" x14ac:dyDescent="0.25">
      <c r="J803" s="15"/>
    </row>
    <row r="804" spans="10:10" x14ac:dyDescent="0.25">
      <c r="J804" s="15"/>
    </row>
    <row r="805" spans="10:10" x14ac:dyDescent="0.25">
      <c r="J805" s="15"/>
    </row>
    <row r="806" spans="10:10" x14ac:dyDescent="0.25">
      <c r="J806" s="15"/>
    </row>
    <row r="807" spans="10:10" x14ac:dyDescent="0.25">
      <c r="J807" s="15"/>
    </row>
    <row r="808" spans="10:10" x14ac:dyDescent="0.25">
      <c r="J808" s="15"/>
    </row>
    <row r="809" spans="10:10" x14ac:dyDescent="0.25">
      <c r="J809" s="15"/>
    </row>
    <row r="810" spans="10:10" x14ac:dyDescent="0.25">
      <c r="J810" s="15"/>
    </row>
    <row r="811" spans="10:10" x14ac:dyDescent="0.25">
      <c r="J811" s="15"/>
    </row>
    <row r="812" spans="10:10" x14ac:dyDescent="0.25">
      <c r="J812" s="15"/>
    </row>
    <row r="813" spans="10:10" x14ac:dyDescent="0.25">
      <c r="J813" s="15"/>
    </row>
    <row r="814" spans="10:10" x14ac:dyDescent="0.25">
      <c r="J814" s="15"/>
    </row>
    <row r="815" spans="10:10" x14ac:dyDescent="0.25">
      <c r="J815" s="15"/>
    </row>
    <row r="816" spans="10:10" x14ac:dyDescent="0.25">
      <c r="J816" s="15"/>
    </row>
    <row r="817" spans="10:10" x14ac:dyDescent="0.25">
      <c r="J817" s="15"/>
    </row>
    <row r="818" spans="10:10" x14ac:dyDescent="0.25">
      <c r="J818" s="15"/>
    </row>
    <row r="819" spans="10:10" x14ac:dyDescent="0.25">
      <c r="J819" s="15"/>
    </row>
    <row r="820" spans="10:10" x14ac:dyDescent="0.25">
      <c r="J820" s="15"/>
    </row>
    <row r="821" spans="10:10" x14ac:dyDescent="0.25">
      <c r="J821" s="15"/>
    </row>
    <row r="822" spans="10:10" x14ac:dyDescent="0.25">
      <c r="J822" s="15"/>
    </row>
    <row r="823" spans="10:10" x14ac:dyDescent="0.25">
      <c r="J823" s="15"/>
    </row>
    <row r="824" spans="10:10" x14ac:dyDescent="0.25">
      <c r="J824" s="15"/>
    </row>
    <row r="825" spans="10:10" x14ac:dyDescent="0.25">
      <c r="J825" s="15"/>
    </row>
    <row r="826" spans="10:10" x14ac:dyDescent="0.25">
      <c r="J826" s="15"/>
    </row>
    <row r="827" spans="10:10" x14ac:dyDescent="0.25">
      <c r="J827" s="15"/>
    </row>
    <row r="828" spans="10:10" x14ac:dyDescent="0.25">
      <c r="J828" s="15"/>
    </row>
    <row r="829" spans="10:10" x14ac:dyDescent="0.25">
      <c r="J829" s="15"/>
    </row>
    <row r="830" spans="10:10" x14ac:dyDescent="0.25">
      <c r="J830" s="15"/>
    </row>
    <row r="831" spans="10:10" x14ac:dyDescent="0.25">
      <c r="J831" s="15"/>
    </row>
    <row r="832" spans="10:10" x14ac:dyDescent="0.25">
      <c r="J832" s="15"/>
    </row>
    <row r="833" spans="10:10" x14ac:dyDescent="0.25">
      <c r="J833" s="15"/>
    </row>
    <row r="834" spans="10:10" x14ac:dyDescent="0.25">
      <c r="J834" s="15"/>
    </row>
    <row r="835" spans="10:10" x14ac:dyDescent="0.25">
      <c r="J835" s="15"/>
    </row>
    <row r="836" spans="10:10" x14ac:dyDescent="0.25">
      <c r="J836" s="15"/>
    </row>
    <row r="837" spans="10:10" x14ac:dyDescent="0.25">
      <c r="J837" s="15"/>
    </row>
    <row r="838" spans="10:10" x14ac:dyDescent="0.25">
      <c r="J838" s="15"/>
    </row>
    <row r="839" spans="10:10" x14ac:dyDescent="0.25">
      <c r="J839" s="15"/>
    </row>
    <row r="840" spans="10:10" x14ac:dyDescent="0.25">
      <c r="J840" s="15"/>
    </row>
    <row r="841" spans="10:10" x14ac:dyDescent="0.25">
      <c r="J841" s="15"/>
    </row>
    <row r="842" spans="10:10" x14ac:dyDescent="0.25">
      <c r="J842" s="15"/>
    </row>
    <row r="843" spans="10:10" x14ac:dyDescent="0.25">
      <c r="J843" s="15"/>
    </row>
    <row r="844" spans="10:10" x14ac:dyDescent="0.25">
      <c r="J844" s="15"/>
    </row>
    <row r="845" spans="10:10" x14ac:dyDescent="0.25">
      <c r="J845" s="15"/>
    </row>
    <row r="846" spans="10:10" x14ac:dyDescent="0.25">
      <c r="J846" s="15"/>
    </row>
    <row r="847" spans="10:10" x14ac:dyDescent="0.25">
      <c r="J847" s="15"/>
    </row>
    <row r="848" spans="10:10" x14ac:dyDescent="0.25">
      <c r="J848" s="15"/>
    </row>
    <row r="849" spans="10:10" x14ac:dyDescent="0.25">
      <c r="J849" s="15"/>
    </row>
    <row r="850" spans="10:10" x14ac:dyDescent="0.25">
      <c r="J850" s="15"/>
    </row>
    <row r="851" spans="10:10" x14ac:dyDescent="0.25">
      <c r="J851" s="15"/>
    </row>
    <row r="852" spans="10:10" x14ac:dyDescent="0.25">
      <c r="J852" s="15"/>
    </row>
    <row r="853" spans="10:10" x14ac:dyDescent="0.25">
      <c r="J853" s="15"/>
    </row>
    <row r="854" spans="10:10" x14ac:dyDescent="0.25">
      <c r="J854" s="15"/>
    </row>
    <row r="855" spans="10:10" x14ac:dyDescent="0.25">
      <c r="J855" s="15"/>
    </row>
    <row r="856" spans="10:10" x14ac:dyDescent="0.25">
      <c r="J856" s="15"/>
    </row>
    <row r="857" spans="10:10" x14ac:dyDescent="0.25">
      <c r="J857" s="15"/>
    </row>
    <row r="858" spans="10:10" x14ac:dyDescent="0.25">
      <c r="J858" s="15"/>
    </row>
    <row r="859" spans="10:10" x14ac:dyDescent="0.25">
      <c r="J859" s="15"/>
    </row>
    <row r="860" spans="10:10" x14ac:dyDescent="0.25">
      <c r="J860" s="15"/>
    </row>
    <row r="861" spans="10:10" x14ac:dyDescent="0.25">
      <c r="J861" s="15"/>
    </row>
    <row r="862" spans="10:10" x14ac:dyDescent="0.25">
      <c r="J862" s="15"/>
    </row>
    <row r="863" spans="10:10" x14ac:dyDescent="0.25">
      <c r="J863" s="15"/>
    </row>
    <row r="864" spans="10:10" x14ac:dyDescent="0.25">
      <c r="J864" s="15"/>
    </row>
    <row r="865" spans="10:10" x14ac:dyDescent="0.25">
      <c r="J865" s="15"/>
    </row>
    <row r="866" spans="10:10" x14ac:dyDescent="0.25">
      <c r="J866" s="15"/>
    </row>
    <row r="867" spans="10:10" x14ac:dyDescent="0.25">
      <c r="J867" s="15"/>
    </row>
    <row r="868" spans="10:10" x14ac:dyDescent="0.25">
      <c r="J868" s="15"/>
    </row>
    <row r="869" spans="10:10" x14ac:dyDescent="0.25">
      <c r="J869" s="15"/>
    </row>
    <row r="870" spans="10:10" x14ac:dyDescent="0.25">
      <c r="J870" s="15"/>
    </row>
    <row r="871" spans="10:10" x14ac:dyDescent="0.25">
      <c r="J871" s="15"/>
    </row>
    <row r="872" spans="10:10" x14ac:dyDescent="0.25">
      <c r="J872" s="15"/>
    </row>
    <row r="873" spans="10:10" x14ac:dyDescent="0.25">
      <c r="J873" s="15"/>
    </row>
    <row r="874" spans="10:10" x14ac:dyDescent="0.25">
      <c r="J874" s="15"/>
    </row>
    <row r="875" spans="10:10" x14ac:dyDescent="0.25">
      <c r="J875" s="15"/>
    </row>
    <row r="876" spans="10:10" x14ac:dyDescent="0.25">
      <c r="J876" s="15"/>
    </row>
    <row r="877" spans="10:10" x14ac:dyDescent="0.25">
      <c r="J877" s="15"/>
    </row>
    <row r="878" spans="10:10" x14ac:dyDescent="0.25">
      <c r="J878" s="15"/>
    </row>
    <row r="879" spans="10:10" x14ac:dyDescent="0.25">
      <c r="J879" s="15"/>
    </row>
    <row r="880" spans="10:10" x14ac:dyDescent="0.25">
      <c r="J880" s="15"/>
    </row>
    <row r="881" spans="10:10" x14ac:dyDescent="0.25">
      <c r="J881" s="15"/>
    </row>
    <row r="882" spans="10:10" x14ac:dyDescent="0.25">
      <c r="J882" s="15"/>
    </row>
    <row r="883" spans="10:10" x14ac:dyDescent="0.25">
      <c r="J883" s="15"/>
    </row>
    <row r="884" spans="10:10" x14ac:dyDescent="0.25">
      <c r="J884" s="15"/>
    </row>
    <row r="885" spans="10:10" x14ac:dyDescent="0.25">
      <c r="J885" s="15"/>
    </row>
    <row r="886" spans="10:10" x14ac:dyDescent="0.25">
      <c r="J886" s="15"/>
    </row>
    <row r="887" spans="10:10" x14ac:dyDescent="0.25">
      <c r="J887" s="15"/>
    </row>
    <row r="888" spans="10:10" x14ac:dyDescent="0.25">
      <c r="J888" s="15"/>
    </row>
    <row r="889" spans="10:10" x14ac:dyDescent="0.25">
      <c r="J889" s="15"/>
    </row>
    <row r="890" spans="10:10" x14ac:dyDescent="0.25">
      <c r="J890" s="15"/>
    </row>
    <row r="891" spans="10:10" x14ac:dyDescent="0.25">
      <c r="J891" s="15"/>
    </row>
    <row r="892" spans="10:10" x14ac:dyDescent="0.25">
      <c r="J892" s="15"/>
    </row>
    <row r="893" spans="10:10" x14ac:dyDescent="0.25">
      <c r="J893" s="15"/>
    </row>
    <row r="894" spans="10:10" x14ac:dyDescent="0.25">
      <c r="J894" s="15"/>
    </row>
    <row r="895" spans="10:10" x14ac:dyDescent="0.25">
      <c r="J895" s="15"/>
    </row>
    <row r="896" spans="10:10" x14ac:dyDescent="0.25">
      <c r="J896" s="15"/>
    </row>
    <row r="897" spans="10:10" x14ac:dyDescent="0.25">
      <c r="J897" s="15"/>
    </row>
    <row r="898" spans="10:10" x14ac:dyDescent="0.25">
      <c r="J898" s="15"/>
    </row>
    <row r="899" spans="10:10" x14ac:dyDescent="0.25">
      <c r="J899" s="15"/>
    </row>
    <row r="900" spans="10:10" x14ac:dyDescent="0.25">
      <c r="J900" s="15"/>
    </row>
    <row r="901" spans="10:10" x14ac:dyDescent="0.25">
      <c r="J901" s="15"/>
    </row>
    <row r="902" spans="10:10" x14ac:dyDescent="0.25">
      <c r="J902" s="15"/>
    </row>
    <row r="903" spans="10:10" x14ac:dyDescent="0.25">
      <c r="J903" s="15"/>
    </row>
    <row r="904" spans="10:10" x14ac:dyDescent="0.25">
      <c r="J904" s="15"/>
    </row>
    <row r="905" spans="10:10" x14ac:dyDescent="0.25">
      <c r="J905" s="15"/>
    </row>
    <row r="906" spans="10:10" x14ac:dyDescent="0.25">
      <c r="J906" s="15"/>
    </row>
    <row r="907" spans="10:10" x14ac:dyDescent="0.25">
      <c r="J907" s="15"/>
    </row>
    <row r="908" spans="10:10" x14ac:dyDescent="0.25">
      <c r="J908" s="15"/>
    </row>
    <row r="909" spans="10:10" x14ac:dyDescent="0.25">
      <c r="J909" s="15"/>
    </row>
    <row r="910" spans="10:10" x14ac:dyDescent="0.25">
      <c r="J910" s="15"/>
    </row>
    <row r="911" spans="10:10" x14ac:dyDescent="0.25">
      <c r="J911" s="15"/>
    </row>
    <row r="912" spans="10:10" x14ac:dyDescent="0.25">
      <c r="J912" s="15"/>
    </row>
    <row r="913" spans="10:10" x14ac:dyDescent="0.25">
      <c r="J913" s="15"/>
    </row>
    <row r="914" spans="10:10" x14ac:dyDescent="0.25">
      <c r="J914" s="15"/>
    </row>
    <row r="915" spans="10:10" x14ac:dyDescent="0.25">
      <c r="J915" s="15"/>
    </row>
    <row r="916" spans="10:10" x14ac:dyDescent="0.25">
      <c r="J916" s="15"/>
    </row>
    <row r="917" spans="10:10" x14ac:dyDescent="0.25">
      <c r="J917" s="15"/>
    </row>
    <row r="918" spans="10:10" x14ac:dyDescent="0.25">
      <c r="J918" s="15"/>
    </row>
    <row r="919" spans="10:10" x14ac:dyDescent="0.25">
      <c r="J919" s="15"/>
    </row>
    <row r="920" spans="10:10" x14ac:dyDescent="0.25">
      <c r="J920" s="15"/>
    </row>
    <row r="921" spans="10:10" x14ac:dyDescent="0.25">
      <c r="J921" s="15"/>
    </row>
    <row r="922" spans="10:10" x14ac:dyDescent="0.25">
      <c r="J922" s="15"/>
    </row>
    <row r="923" spans="10:10" x14ac:dyDescent="0.25">
      <c r="J923" s="15"/>
    </row>
    <row r="924" spans="10:10" x14ac:dyDescent="0.25">
      <c r="J924" s="15"/>
    </row>
    <row r="925" spans="10:10" x14ac:dyDescent="0.25">
      <c r="J925" s="15"/>
    </row>
    <row r="926" spans="10:10" x14ac:dyDescent="0.25">
      <c r="J926" s="15"/>
    </row>
    <row r="927" spans="10:10" x14ac:dyDescent="0.25">
      <c r="J927" s="15"/>
    </row>
    <row r="928" spans="10:10" x14ac:dyDescent="0.25">
      <c r="J928" s="15"/>
    </row>
    <row r="929" spans="10:10" x14ac:dyDescent="0.25">
      <c r="J929" s="15"/>
    </row>
    <row r="930" spans="10:10" x14ac:dyDescent="0.25">
      <c r="J930" s="15"/>
    </row>
    <row r="931" spans="10:10" x14ac:dyDescent="0.25">
      <c r="J931" s="15"/>
    </row>
    <row r="932" spans="10:10" x14ac:dyDescent="0.25">
      <c r="J932" s="15"/>
    </row>
    <row r="933" spans="10:10" x14ac:dyDescent="0.25">
      <c r="J933" s="15"/>
    </row>
    <row r="934" spans="10:10" x14ac:dyDescent="0.25">
      <c r="J934" s="15"/>
    </row>
    <row r="935" spans="10:10" x14ac:dyDescent="0.25">
      <c r="J935" s="15"/>
    </row>
    <row r="936" spans="10:10" x14ac:dyDescent="0.25">
      <c r="J936" s="15"/>
    </row>
    <row r="937" spans="10:10" x14ac:dyDescent="0.25">
      <c r="J937" s="15"/>
    </row>
    <row r="938" spans="10:10" x14ac:dyDescent="0.25">
      <c r="J938" s="15"/>
    </row>
    <row r="939" spans="10:10" x14ac:dyDescent="0.25">
      <c r="J939" s="15"/>
    </row>
    <row r="940" spans="10:10" x14ac:dyDescent="0.25">
      <c r="J940" s="15"/>
    </row>
    <row r="941" spans="10:10" x14ac:dyDescent="0.25">
      <c r="J941" s="15"/>
    </row>
    <row r="942" spans="10:10" x14ac:dyDescent="0.25">
      <c r="J942" s="15"/>
    </row>
    <row r="943" spans="10:10" x14ac:dyDescent="0.25">
      <c r="J943" s="15"/>
    </row>
    <row r="944" spans="10:10" x14ac:dyDescent="0.25">
      <c r="J944" s="15"/>
    </row>
    <row r="945" spans="10:10" x14ac:dyDescent="0.25">
      <c r="J945" s="15"/>
    </row>
    <row r="946" spans="10:10" x14ac:dyDescent="0.25">
      <c r="J946" s="15"/>
    </row>
    <row r="947" spans="10:10" x14ac:dyDescent="0.25">
      <c r="J947" s="15"/>
    </row>
    <row r="948" spans="10:10" x14ac:dyDescent="0.25">
      <c r="J948" s="15"/>
    </row>
    <row r="949" spans="10:10" x14ac:dyDescent="0.25">
      <c r="J949" s="15"/>
    </row>
    <row r="950" spans="10:10" x14ac:dyDescent="0.25">
      <c r="J950" s="15"/>
    </row>
    <row r="951" spans="10:10" x14ac:dyDescent="0.25">
      <c r="J951" s="15"/>
    </row>
    <row r="952" spans="10:10" x14ac:dyDescent="0.25">
      <c r="J952" s="15"/>
    </row>
    <row r="953" spans="10:10" x14ac:dyDescent="0.25">
      <c r="J953" s="15"/>
    </row>
    <row r="954" spans="10:10" x14ac:dyDescent="0.25">
      <c r="J954" s="15"/>
    </row>
    <row r="955" spans="10:10" x14ac:dyDescent="0.25">
      <c r="J955" s="15"/>
    </row>
    <row r="956" spans="10:10" x14ac:dyDescent="0.25">
      <c r="J956" s="15"/>
    </row>
    <row r="957" spans="10:10" x14ac:dyDescent="0.25">
      <c r="J957" s="15"/>
    </row>
    <row r="958" spans="10:10" x14ac:dyDescent="0.25">
      <c r="J958" s="15"/>
    </row>
    <row r="959" spans="10:10" x14ac:dyDescent="0.25">
      <c r="J959" s="15"/>
    </row>
    <row r="960" spans="10:10" x14ac:dyDescent="0.25">
      <c r="J960" s="15"/>
    </row>
    <row r="961" spans="10:10" x14ac:dyDescent="0.25">
      <c r="J961" s="15"/>
    </row>
    <row r="962" spans="10:10" x14ac:dyDescent="0.25">
      <c r="J962" s="15"/>
    </row>
    <row r="963" spans="10:10" x14ac:dyDescent="0.25">
      <c r="J963" s="15"/>
    </row>
    <row r="964" spans="10:10" x14ac:dyDescent="0.25">
      <c r="J964" s="15"/>
    </row>
    <row r="965" spans="10:10" x14ac:dyDescent="0.25">
      <c r="J965" s="15"/>
    </row>
    <row r="966" spans="10:10" x14ac:dyDescent="0.25">
      <c r="J966" s="15"/>
    </row>
    <row r="967" spans="10:10" x14ac:dyDescent="0.25">
      <c r="J967" s="15"/>
    </row>
    <row r="968" spans="10:10" x14ac:dyDescent="0.25">
      <c r="J968" s="15"/>
    </row>
    <row r="969" spans="10:10" x14ac:dyDescent="0.25">
      <c r="J969" s="15"/>
    </row>
    <row r="970" spans="10:10" x14ac:dyDescent="0.25">
      <c r="J970" s="15"/>
    </row>
    <row r="971" spans="10:10" x14ac:dyDescent="0.25">
      <c r="J971" s="15"/>
    </row>
    <row r="972" spans="10:10" x14ac:dyDescent="0.25">
      <c r="J972" s="15"/>
    </row>
    <row r="973" spans="10:10" x14ac:dyDescent="0.25">
      <c r="J973" s="15"/>
    </row>
    <row r="974" spans="10:10" x14ac:dyDescent="0.25">
      <c r="J974" s="15"/>
    </row>
    <row r="975" spans="10:10" x14ac:dyDescent="0.25">
      <c r="J975" s="15"/>
    </row>
    <row r="976" spans="10:10" x14ac:dyDescent="0.25">
      <c r="J976" s="15"/>
    </row>
    <row r="977" spans="10:10" x14ac:dyDescent="0.25">
      <c r="J977" s="15"/>
    </row>
    <row r="978" spans="10:10" x14ac:dyDescent="0.25">
      <c r="J978" s="15"/>
    </row>
    <row r="979" spans="10:10" x14ac:dyDescent="0.25">
      <c r="J979" s="15"/>
    </row>
    <row r="980" spans="10:10" x14ac:dyDescent="0.25">
      <c r="J980" s="15"/>
    </row>
    <row r="981" spans="10:10" x14ac:dyDescent="0.25">
      <c r="J981" s="15"/>
    </row>
    <row r="982" spans="10:10" x14ac:dyDescent="0.25">
      <c r="J982" s="15"/>
    </row>
    <row r="983" spans="10:10" x14ac:dyDescent="0.25">
      <c r="J983" s="15"/>
    </row>
    <row r="984" spans="10:10" x14ac:dyDescent="0.25">
      <c r="J984" s="15"/>
    </row>
    <row r="985" spans="10:10" x14ac:dyDescent="0.25">
      <c r="J985" s="15"/>
    </row>
    <row r="986" spans="10:10" x14ac:dyDescent="0.25">
      <c r="J986" s="15"/>
    </row>
    <row r="987" spans="10:10" x14ac:dyDescent="0.25">
      <c r="J987" s="15"/>
    </row>
    <row r="988" spans="10:10" x14ac:dyDescent="0.25">
      <c r="J988" s="15"/>
    </row>
    <row r="989" spans="10:10" x14ac:dyDescent="0.25">
      <c r="J989" s="15"/>
    </row>
    <row r="990" spans="10:10" x14ac:dyDescent="0.25">
      <c r="J990" s="15"/>
    </row>
    <row r="991" spans="10:10" x14ac:dyDescent="0.25">
      <c r="J991" s="15"/>
    </row>
    <row r="992" spans="10:10" x14ac:dyDescent="0.25">
      <c r="J992" s="15"/>
    </row>
    <row r="993" spans="10:10" x14ac:dyDescent="0.25">
      <c r="J993" s="15"/>
    </row>
    <row r="994" spans="10:10" x14ac:dyDescent="0.25">
      <c r="J994" s="15"/>
    </row>
    <row r="995" spans="10:10" x14ac:dyDescent="0.25">
      <c r="J995" s="15"/>
    </row>
    <row r="996" spans="10:10" x14ac:dyDescent="0.25">
      <c r="J996" s="15"/>
    </row>
    <row r="997" spans="10:10" x14ac:dyDescent="0.25">
      <c r="J997" s="15"/>
    </row>
    <row r="998" spans="10:10" x14ac:dyDescent="0.25">
      <c r="J998" s="15"/>
    </row>
    <row r="999" spans="10:10" x14ac:dyDescent="0.25">
      <c r="J999" s="15"/>
    </row>
    <row r="1000" spans="10:10" x14ac:dyDescent="0.25">
      <c r="J1000" s="15"/>
    </row>
    <row r="1001" spans="10:10" x14ac:dyDescent="0.25">
      <c r="J1001" s="15"/>
    </row>
    <row r="1002" spans="10:10" x14ac:dyDescent="0.25">
      <c r="J1002" s="15"/>
    </row>
    <row r="1003" spans="10:10" x14ac:dyDescent="0.25">
      <c r="J1003" s="15"/>
    </row>
    <row r="1004" spans="10:10" x14ac:dyDescent="0.25">
      <c r="J1004" s="15"/>
    </row>
    <row r="1005" spans="10:10" x14ac:dyDescent="0.25">
      <c r="J1005" s="15"/>
    </row>
    <row r="1006" spans="10:10" x14ac:dyDescent="0.25">
      <c r="J1006" s="15"/>
    </row>
    <row r="1007" spans="10:10" x14ac:dyDescent="0.25">
      <c r="J1007" s="15"/>
    </row>
    <row r="1008" spans="10:10" x14ac:dyDescent="0.25">
      <c r="J1008" s="15"/>
    </row>
    <row r="1009" spans="10:10" x14ac:dyDescent="0.25">
      <c r="J1009" s="15"/>
    </row>
    <row r="1010" spans="10:10" x14ac:dyDescent="0.25">
      <c r="J1010" s="15"/>
    </row>
    <row r="1011" spans="10:10" x14ac:dyDescent="0.25">
      <c r="J1011" s="15"/>
    </row>
    <row r="1012" spans="10:10" x14ac:dyDescent="0.25">
      <c r="J1012" s="15"/>
    </row>
    <row r="1013" spans="10:10" x14ac:dyDescent="0.25">
      <c r="J1013" s="15"/>
    </row>
    <row r="1014" spans="10:10" x14ac:dyDescent="0.25">
      <c r="J1014" s="15"/>
    </row>
    <row r="1015" spans="10:10" x14ac:dyDescent="0.25">
      <c r="J1015" s="15"/>
    </row>
    <row r="1016" spans="10:10" x14ac:dyDescent="0.25">
      <c r="J1016" s="15"/>
    </row>
    <row r="1017" spans="10:10" x14ac:dyDescent="0.25">
      <c r="J1017" s="15"/>
    </row>
    <row r="1018" spans="10:10" x14ac:dyDescent="0.25">
      <c r="J1018" s="15"/>
    </row>
    <row r="1019" spans="10:10" x14ac:dyDescent="0.25">
      <c r="J1019" s="15"/>
    </row>
    <row r="1020" spans="10:10" x14ac:dyDescent="0.25">
      <c r="J1020" s="15"/>
    </row>
    <row r="1021" spans="10:10" x14ac:dyDescent="0.25">
      <c r="J1021" s="15"/>
    </row>
    <row r="1022" spans="10:10" x14ac:dyDescent="0.25">
      <c r="J1022" s="15"/>
    </row>
    <row r="1023" spans="10:10" x14ac:dyDescent="0.25">
      <c r="J1023" s="15"/>
    </row>
    <row r="1024" spans="10:10" x14ac:dyDescent="0.25">
      <c r="J1024" s="15"/>
    </row>
    <row r="1025" spans="10:10" x14ac:dyDescent="0.25">
      <c r="J1025" s="15"/>
    </row>
    <row r="1026" spans="10:10" x14ac:dyDescent="0.25">
      <c r="J1026" s="15"/>
    </row>
    <row r="1027" spans="10:10" x14ac:dyDescent="0.25">
      <c r="J1027" s="15"/>
    </row>
    <row r="1028" spans="10:10" x14ac:dyDescent="0.25">
      <c r="J1028" s="15"/>
    </row>
    <row r="1029" spans="10:10" x14ac:dyDescent="0.25">
      <c r="J1029" s="15"/>
    </row>
    <row r="1030" spans="10:10" x14ac:dyDescent="0.25">
      <c r="J1030" s="15"/>
    </row>
    <row r="1031" spans="10:10" x14ac:dyDescent="0.25">
      <c r="J1031" s="15"/>
    </row>
    <row r="1032" spans="10:10" x14ac:dyDescent="0.25">
      <c r="J1032" s="15"/>
    </row>
    <row r="1033" spans="10:10" x14ac:dyDescent="0.25">
      <c r="J1033" s="15"/>
    </row>
    <row r="1034" spans="10:10" x14ac:dyDescent="0.25">
      <c r="J1034" s="15"/>
    </row>
    <row r="1035" spans="10:10" x14ac:dyDescent="0.25">
      <c r="J1035" s="15"/>
    </row>
    <row r="1036" spans="10:10" x14ac:dyDescent="0.25">
      <c r="J1036" s="15"/>
    </row>
    <row r="1037" spans="10:10" x14ac:dyDescent="0.25">
      <c r="J1037" s="15"/>
    </row>
    <row r="1038" spans="10:10" x14ac:dyDescent="0.25">
      <c r="J1038" s="15"/>
    </row>
    <row r="1039" spans="10:10" x14ac:dyDescent="0.25">
      <c r="J1039" s="15"/>
    </row>
    <row r="1040" spans="10:10" x14ac:dyDescent="0.25">
      <c r="J1040" s="15"/>
    </row>
    <row r="1041" spans="10:10" x14ac:dyDescent="0.25">
      <c r="J1041" s="15"/>
    </row>
    <row r="1042" spans="10:10" x14ac:dyDescent="0.25">
      <c r="J1042" s="15"/>
    </row>
    <row r="1043" spans="10:10" x14ac:dyDescent="0.25">
      <c r="J1043" s="15"/>
    </row>
    <row r="1044" spans="10:10" x14ac:dyDescent="0.25">
      <c r="J1044" s="15"/>
    </row>
    <row r="1045" spans="10:10" x14ac:dyDescent="0.25">
      <c r="J1045" s="15"/>
    </row>
    <row r="1046" spans="10:10" x14ac:dyDescent="0.25">
      <c r="J1046" s="15"/>
    </row>
    <row r="1047" spans="10:10" x14ac:dyDescent="0.25">
      <c r="J1047" s="15"/>
    </row>
    <row r="1048" spans="10:10" x14ac:dyDescent="0.25">
      <c r="J1048" s="15"/>
    </row>
    <row r="1049" spans="10:10" x14ac:dyDescent="0.25">
      <c r="J1049" s="15"/>
    </row>
    <row r="1050" spans="10:10" x14ac:dyDescent="0.25">
      <c r="J1050" s="15"/>
    </row>
    <row r="1051" spans="10:10" x14ac:dyDescent="0.25">
      <c r="J1051" s="15"/>
    </row>
    <row r="1052" spans="10:10" x14ac:dyDescent="0.25">
      <c r="J1052" s="15"/>
    </row>
    <row r="1053" spans="10:10" x14ac:dyDescent="0.25">
      <c r="J1053" s="15"/>
    </row>
    <row r="1054" spans="10:10" x14ac:dyDescent="0.25">
      <c r="J1054" s="15"/>
    </row>
    <row r="1055" spans="10:10" x14ac:dyDescent="0.25">
      <c r="J1055" s="15"/>
    </row>
    <row r="1056" spans="10:10" x14ac:dyDescent="0.25">
      <c r="J1056" s="15"/>
    </row>
    <row r="1057" spans="10:10" x14ac:dyDescent="0.25">
      <c r="J1057" s="15"/>
    </row>
    <row r="1058" spans="10:10" x14ac:dyDescent="0.25">
      <c r="J1058" s="15"/>
    </row>
    <row r="1059" spans="10:10" x14ac:dyDescent="0.25">
      <c r="J1059" s="15"/>
    </row>
    <row r="1060" spans="10:10" x14ac:dyDescent="0.25">
      <c r="J1060" s="15"/>
    </row>
    <row r="1061" spans="10:10" x14ac:dyDescent="0.25">
      <c r="J1061" s="15"/>
    </row>
    <row r="1062" spans="10:10" x14ac:dyDescent="0.25">
      <c r="J1062" s="15"/>
    </row>
    <row r="1063" spans="10:10" x14ac:dyDescent="0.25">
      <c r="J1063" s="15"/>
    </row>
    <row r="1064" spans="10:10" x14ac:dyDescent="0.25">
      <c r="J1064" s="15"/>
    </row>
    <row r="1065" spans="10:10" x14ac:dyDescent="0.25">
      <c r="J1065" s="15"/>
    </row>
    <row r="1066" spans="10:10" x14ac:dyDescent="0.25">
      <c r="J1066" s="15"/>
    </row>
    <row r="1067" spans="10:10" x14ac:dyDescent="0.25">
      <c r="J1067" s="15"/>
    </row>
    <row r="1068" spans="10:10" x14ac:dyDescent="0.25">
      <c r="J1068" s="15"/>
    </row>
    <row r="1069" spans="10:10" x14ac:dyDescent="0.25">
      <c r="J1069" s="15"/>
    </row>
    <row r="1070" spans="10:10" x14ac:dyDescent="0.25">
      <c r="J1070" s="15"/>
    </row>
    <row r="1071" spans="10:10" x14ac:dyDescent="0.25">
      <c r="J1071" s="15"/>
    </row>
    <row r="1072" spans="10:10" x14ac:dyDescent="0.25">
      <c r="J1072" s="15"/>
    </row>
    <row r="1073" spans="10:10" x14ac:dyDescent="0.25">
      <c r="J1073" s="15"/>
    </row>
    <row r="1074" spans="10:10" x14ac:dyDescent="0.25">
      <c r="J1074" s="15"/>
    </row>
    <row r="1075" spans="10:10" x14ac:dyDescent="0.25">
      <c r="J1075" s="15"/>
    </row>
    <row r="1076" spans="10:10" x14ac:dyDescent="0.25">
      <c r="J1076" s="15"/>
    </row>
    <row r="1077" spans="10:10" x14ac:dyDescent="0.25">
      <c r="J1077" s="15"/>
    </row>
    <row r="1078" spans="10:10" x14ac:dyDescent="0.25">
      <c r="J1078" s="15"/>
    </row>
    <row r="1079" spans="10:10" x14ac:dyDescent="0.25">
      <c r="J1079" s="15"/>
    </row>
    <row r="1080" spans="10:10" x14ac:dyDescent="0.25">
      <c r="J1080" s="15"/>
    </row>
    <row r="1081" spans="10:10" x14ac:dyDescent="0.25">
      <c r="J1081" s="15"/>
    </row>
    <row r="1082" spans="10:10" x14ac:dyDescent="0.25">
      <c r="J1082" s="15"/>
    </row>
    <row r="1083" spans="10:10" x14ac:dyDescent="0.25">
      <c r="J1083" s="15"/>
    </row>
    <row r="1084" spans="10:10" x14ac:dyDescent="0.25">
      <c r="J1084" s="15"/>
    </row>
    <row r="1085" spans="10:10" x14ac:dyDescent="0.25">
      <c r="J1085" s="15"/>
    </row>
    <row r="1086" spans="10:10" x14ac:dyDescent="0.25">
      <c r="J1086" s="15"/>
    </row>
    <row r="1087" spans="10:10" x14ac:dyDescent="0.25">
      <c r="J1087" s="15"/>
    </row>
    <row r="1088" spans="10:10" x14ac:dyDescent="0.25">
      <c r="J1088" s="15"/>
    </row>
    <row r="1089" spans="10:10" x14ac:dyDescent="0.25">
      <c r="J1089" s="15"/>
    </row>
    <row r="1090" spans="10:10" x14ac:dyDescent="0.25">
      <c r="J1090" s="15"/>
    </row>
    <row r="1091" spans="10:10" x14ac:dyDescent="0.25">
      <c r="J1091" s="15"/>
    </row>
    <row r="1092" spans="10:10" x14ac:dyDescent="0.25">
      <c r="J1092" s="15"/>
    </row>
    <row r="1093" spans="10:10" x14ac:dyDescent="0.25">
      <c r="J1093" s="15"/>
    </row>
    <row r="1094" spans="10:10" x14ac:dyDescent="0.25">
      <c r="J1094" s="15"/>
    </row>
    <row r="1095" spans="10:10" x14ac:dyDescent="0.25">
      <c r="J1095" s="15"/>
    </row>
    <row r="1096" spans="10:10" x14ac:dyDescent="0.25">
      <c r="J1096" s="15"/>
    </row>
    <row r="1097" spans="10:10" x14ac:dyDescent="0.25">
      <c r="J1097" s="15"/>
    </row>
    <row r="1098" spans="10:10" x14ac:dyDescent="0.25">
      <c r="J1098" s="15"/>
    </row>
    <row r="1099" spans="10:10" x14ac:dyDescent="0.25">
      <c r="J1099" s="15"/>
    </row>
    <row r="1100" spans="10:10" x14ac:dyDescent="0.25">
      <c r="J1100" s="15"/>
    </row>
    <row r="1101" spans="10:10" x14ac:dyDescent="0.25">
      <c r="J1101" s="15"/>
    </row>
    <row r="1102" spans="10:10" x14ac:dyDescent="0.25">
      <c r="J1102" s="15"/>
    </row>
    <row r="1103" spans="10:10" x14ac:dyDescent="0.25">
      <c r="J1103" s="15"/>
    </row>
    <row r="1104" spans="10:10" x14ac:dyDescent="0.25">
      <c r="J1104" s="15"/>
    </row>
    <row r="1105" spans="10:10" x14ac:dyDescent="0.25">
      <c r="J1105" s="15"/>
    </row>
    <row r="1106" spans="10:10" x14ac:dyDescent="0.25">
      <c r="J1106" s="15"/>
    </row>
    <row r="1107" spans="10:10" x14ac:dyDescent="0.25">
      <c r="J1107" s="15"/>
    </row>
    <row r="1108" spans="10:10" x14ac:dyDescent="0.25">
      <c r="J1108" s="15"/>
    </row>
    <row r="1109" spans="10:10" x14ac:dyDescent="0.25">
      <c r="J1109" s="15"/>
    </row>
    <row r="1110" spans="10:10" x14ac:dyDescent="0.25">
      <c r="J1110" s="15"/>
    </row>
    <row r="1111" spans="10:10" x14ac:dyDescent="0.25">
      <c r="J1111" s="15"/>
    </row>
    <row r="1112" spans="10:10" x14ac:dyDescent="0.25">
      <c r="J1112" s="15"/>
    </row>
    <row r="1113" spans="10:10" x14ac:dyDescent="0.25">
      <c r="J1113" s="15"/>
    </row>
    <row r="1114" spans="10:10" x14ac:dyDescent="0.25">
      <c r="J1114" s="15"/>
    </row>
    <row r="1115" spans="10:10" x14ac:dyDescent="0.25">
      <c r="J1115" s="15"/>
    </row>
    <row r="1116" spans="10:10" x14ac:dyDescent="0.25">
      <c r="J1116" s="15"/>
    </row>
    <row r="1117" spans="10:10" x14ac:dyDescent="0.25">
      <c r="J1117" s="15"/>
    </row>
    <row r="1118" spans="10:10" x14ac:dyDescent="0.25">
      <c r="J1118" s="15"/>
    </row>
    <row r="1119" spans="10:10" x14ac:dyDescent="0.25">
      <c r="J1119" s="15"/>
    </row>
    <row r="1120" spans="10:10" x14ac:dyDescent="0.25">
      <c r="J1120" s="15"/>
    </row>
    <row r="1121" spans="10:10" x14ac:dyDescent="0.25">
      <c r="J1121" s="15"/>
    </row>
    <row r="1122" spans="10:10" x14ac:dyDescent="0.25">
      <c r="J1122" s="15"/>
    </row>
    <row r="1123" spans="10:10" x14ac:dyDescent="0.25">
      <c r="J1123" s="15"/>
    </row>
    <row r="1124" spans="10:10" x14ac:dyDescent="0.25">
      <c r="J1124" s="15"/>
    </row>
    <row r="1125" spans="10:10" x14ac:dyDescent="0.25">
      <c r="J1125" s="15"/>
    </row>
    <row r="1126" spans="10:10" x14ac:dyDescent="0.25">
      <c r="J1126" s="15"/>
    </row>
    <row r="1127" spans="10:10" x14ac:dyDescent="0.25">
      <c r="J1127" s="15"/>
    </row>
    <row r="1128" spans="10:10" x14ac:dyDescent="0.25">
      <c r="J1128" s="15"/>
    </row>
    <row r="1129" spans="10:10" x14ac:dyDescent="0.25">
      <c r="J1129" s="15"/>
    </row>
    <row r="1130" spans="10:10" x14ac:dyDescent="0.25">
      <c r="J1130" s="15"/>
    </row>
    <row r="1131" spans="10:10" x14ac:dyDescent="0.25">
      <c r="J1131" s="15"/>
    </row>
    <row r="1132" spans="10:10" x14ac:dyDescent="0.25">
      <c r="J1132" s="15"/>
    </row>
    <row r="1133" spans="10:10" x14ac:dyDescent="0.25">
      <c r="J1133" s="15"/>
    </row>
    <row r="1134" spans="10:10" x14ac:dyDescent="0.25">
      <c r="J1134" s="15"/>
    </row>
    <row r="1135" spans="10:10" x14ac:dyDescent="0.25">
      <c r="J1135" s="15"/>
    </row>
    <row r="1136" spans="10:10" x14ac:dyDescent="0.25">
      <c r="J1136" s="15"/>
    </row>
    <row r="1137" spans="10:10" x14ac:dyDescent="0.25">
      <c r="J1137" s="15"/>
    </row>
    <row r="1138" spans="10:10" x14ac:dyDescent="0.25">
      <c r="J1138" s="15"/>
    </row>
    <row r="1139" spans="10:10" x14ac:dyDescent="0.25">
      <c r="J1139" s="15"/>
    </row>
    <row r="1140" spans="10:10" x14ac:dyDescent="0.25">
      <c r="J1140" s="15"/>
    </row>
    <row r="1141" spans="10:10" x14ac:dyDescent="0.25">
      <c r="J1141" s="15"/>
    </row>
    <row r="1142" spans="10:10" x14ac:dyDescent="0.25">
      <c r="J1142" s="15"/>
    </row>
    <row r="1143" spans="10:10" x14ac:dyDescent="0.25">
      <c r="J1143" s="15"/>
    </row>
    <row r="1144" spans="10:10" x14ac:dyDescent="0.25">
      <c r="J1144" s="15"/>
    </row>
    <row r="1145" spans="10:10" x14ac:dyDescent="0.25">
      <c r="J1145" s="15"/>
    </row>
    <row r="1146" spans="10:10" x14ac:dyDescent="0.25">
      <c r="J1146" s="15"/>
    </row>
    <row r="1147" spans="10:10" x14ac:dyDescent="0.25">
      <c r="J1147" s="15"/>
    </row>
    <row r="1148" spans="10:10" x14ac:dyDescent="0.25">
      <c r="J1148" s="15"/>
    </row>
    <row r="1149" spans="10:10" x14ac:dyDescent="0.25">
      <c r="J1149" s="15"/>
    </row>
    <row r="1150" spans="10:10" x14ac:dyDescent="0.25">
      <c r="J1150" s="15"/>
    </row>
    <row r="1151" spans="10:10" x14ac:dyDescent="0.25">
      <c r="J1151" s="15"/>
    </row>
    <row r="1152" spans="10:10" x14ac:dyDescent="0.25">
      <c r="J1152" s="15"/>
    </row>
    <row r="1153" spans="10:10" x14ac:dyDescent="0.25">
      <c r="J1153" s="15"/>
    </row>
    <row r="1154" spans="10:10" x14ac:dyDescent="0.25">
      <c r="J1154" s="15"/>
    </row>
    <row r="1155" spans="10:10" x14ac:dyDescent="0.25">
      <c r="J1155" s="15"/>
    </row>
    <row r="1156" spans="10:10" x14ac:dyDescent="0.25">
      <c r="J1156" s="15"/>
    </row>
    <row r="1157" spans="10:10" x14ac:dyDescent="0.25">
      <c r="J1157" s="15"/>
    </row>
    <row r="1158" spans="10:10" x14ac:dyDescent="0.25">
      <c r="J1158" s="15"/>
    </row>
    <row r="1159" spans="10:10" x14ac:dyDescent="0.25">
      <c r="J1159" s="15"/>
    </row>
    <row r="1160" spans="10:10" x14ac:dyDescent="0.25">
      <c r="J1160" s="15"/>
    </row>
    <row r="1161" spans="10:10" x14ac:dyDescent="0.25">
      <c r="J1161" s="15"/>
    </row>
    <row r="1162" spans="10:10" x14ac:dyDescent="0.25">
      <c r="J1162" s="15"/>
    </row>
    <row r="1163" spans="10:10" x14ac:dyDescent="0.25">
      <c r="J1163" s="15"/>
    </row>
    <row r="1164" spans="10:10" x14ac:dyDescent="0.25">
      <c r="J1164" s="15"/>
    </row>
    <row r="1165" spans="10:10" x14ac:dyDescent="0.25">
      <c r="J1165" s="15"/>
    </row>
    <row r="1166" spans="10:10" x14ac:dyDescent="0.25">
      <c r="J1166" s="15"/>
    </row>
    <row r="1167" spans="10:10" x14ac:dyDescent="0.25">
      <c r="J1167" s="15"/>
    </row>
    <row r="1168" spans="10:10" x14ac:dyDescent="0.25">
      <c r="J1168" s="15"/>
    </row>
    <row r="1169" spans="10:10" x14ac:dyDescent="0.25">
      <c r="J1169" s="15"/>
    </row>
    <row r="1170" spans="10:10" x14ac:dyDescent="0.25">
      <c r="J1170" s="15"/>
    </row>
    <row r="1171" spans="10:10" x14ac:dyDescent="0.25">
      <c r="J1171" s="15"/>
    </row>
    <row r="1172" spans="10:10" x14ac:dyDescent="0.25">
      <c r="J1172" s="15"/>
    </row>
    <row r="1173" spans="10:10" x14ac:dyDescent="0.25">
      <c r="J1173" s="15"/>
    </row>
    <row r="1174" spans="10:10" x14ac:dyDescent="0.25">
      <c r="J1174" s="15"/>
    </row>
    <row r="1175" spans="10:10" x14ac:dyDescent="0.25">
      <c r="J1175" s="15"/>
    </row>
    <row r="1176" spans="10:10" x14ac:dyDescent="0.25">
      <c r="J1176" s="15"/>
    </row>
    <row r="1177" spans="10:10" x14ac:dyDescent="0.25">
      <c r="J1177" s="15"/>
    </row>
    <row r="1178" spans="10:10" x14ac:dyDescent="0.25">
      <c r="J1178" s="15"/>
    </row>
    <row r="1179" spans="10:10" x14ac:dyDescent="0.25">
      <c r="J1179" s="15"/>
    </row>
    <row r="1180" spans="10:10" x14ac:dyDescent="0.25">
      <c r="J1180" s="15"/>
    </row>
    <row r="1181" spans="10:10" x14ac:dyDescent="0.25">
      <c r="J1181" s="15"/>
    </row>
    <row r="1182" spans="10:10" x14ac:dyDescent="0.25">
      <c r="J1182" s="15"/>
    </row>
    <row r="1183" spans="10:10" x14ac:dyDescent="0.25">
      <c r="J1183" s="15"/>
    </row>
    <row r="1184" spans="10:10" x14ac:dyDescent="0.25">
      <c r="J1184" s="15"/>
    </row>
    <row r="1185" spans="10:10" x14ac:dyDescent="0.25">
      <c r="J1185" s="15"/>
    </row>
    <row r="1186" spans="10:10" x14ac:dyDescent="0.25">
      <c r="J1186" s="15"/>
    </row>
    <row r="1187" spans="10:10" x14ac:dyDescent="0.25">
      <c r="J1187" s="15"/>
    </row>
    <row r="1188" spans="10:10" x14ac:dyDescent="0.25">
      <c r="J1188" s="15"/>
    </row>
    <row r="1189" spans="10:10" x14ac:dyDescent="0.25">
      <c r="J1189" s="15"/>
    </row>
    <row r="1190" spans="10:10" x14ac:dyDescent="0.25">
      <c r="J1190" s="15"/>
    </row>
    <row r="1191" spans="10:10" x14ac:dyDescent="0.25">
      <c r="J1191" s="15"/>
    </row>
    <row r="1192" spans="10:10" x14ac:dyDescent="0.25">
      <c r="J1192" s="15"/>
    </row>
    <row r="1193" spans="10:10" x14ac:dyDescent="0.25">
      <c r="J1193" s="15"/>
    </row>
    <row r="1194" spans="10:10" x14ac:dyDescent="0.25">
      <c r="J1194" s="15"/>
    </row>
    <row r="1195" spans="10:10" x14ac:dyDescent="0.25">
      <c r="J1195" s="15"/>
    </row>
    <row r="1196" spans="10:10" x14ac:dyDescent="0.25">
      <c r="J1196" s="15"/>
    </row>
    <row r="1197" spans="10:10" x14ac:dyDescent="0.25">
      <c r="J1197" s="15"/>
    </row>
    <row r="1198" spans="10:10" x14ac:dyDescent="0.25">
      <c r="J1198" s="15"/>
    </row>
    <row r="1199" spans="10:10" x14ac:dyDescent="0.25">
      <c r="J1199" s="15"/>
    </row>
    <row r="1200" spans="10:10" x14ac:dyDescent="0.25">
      <c r="J1200" s="15"/>
    </row>
    <row r="1201" spans="10:10" x14ac:dyDescent="0.25">
      <c r="J1201" s="15"/>
    </row>
    <row r="1202" spans="10:10" x14ac:dyDescent="0.25">
      <c r="J1202" s="15"/>
    </row>
    <row r="1203" spans="10:10" x14ac:dyDescent="0.25">
      <c r="J1203" s="15"/>
    </row>
    <row r="1204" spans="10:10" x14ac:dyDescent="0.25">
      <c r="J1204" s="15"/>
    </row>
    <row r="1205" spans="10:10" x14ac:dyDescent="0.25">
      <c r="J1205" s="15"/>
    </row>
    <row r="1206" spans="10:10" x14ac:dyDescent="0.25">
      <c r="J1206" s="15"/>
    </row>
    <row r="1207" spans="10:10" x14ac:dyDescent="0.25">
      <c r="J1207" s="15"/>
    </row>
    <row r="1208" spans="10:10" x14ac:dyDescent="0.25">
      <c r="J1208" s="15"/>
    </row>
    <row r="1209" spans="10:10" x14ac:dyDescent="0.25">
      <c r="J1209" s="15"/>
    </row>
    <row r="1210" spans="10:10" x14ac:dyDescent="0.25">
      <c r="J1210" s="15"/>
    </row>
    <row r="1211" spans="10:10" x14ac:dyDescent="0.25">
      <c r="J1211" s="15"/>
    </row>
    <row r="1212" spans="10:10" x14ac:dyDescent="0.25">
      <c r="J1212" s="15"/>
    </row>
    <row r="1213" spans="10:10" x14ac:dyDescent="0.25">
      <c r="J1213" s="15"/>
    </row>
    <row r="1214" spans="10:10" x14ac:dyDescent="0.25">
      <c r="J1214" s="15"/>
    </row>
    <row r="1215" spans="10:10" x14ac:dyDescent="0.25">
      <c r="J1215" s="15"/>
    </row>
    <row r="1216" spans="10:10" x14ac:dyDescent="0.25">
      <c r="J1216" s="15"/>
    </row>
    <row r="1217" spans="10:10" x14ac:dyDescent="0.25">
      <c r="J1217" s="15"/>
    </row>
    <row r="1218" spans="10:10" x14ac:dyDescent="0.25">
      <c r="J1218" s="15"/>
    </row>
    <row r="1219" spans="10:10" x14ac:dyDescent="0.25">
      <c r="J1219" s="15"/>
    </row>
    <row r="1220" spans="10:10" x14ac:dyDescent="0.25">
      <c r="J1220" s="15"/>
    </row>
    <row r="1221" spans="10:10" x14ac:dyDescent="0.25">
      <c r="J1221" s="15"/>
    </row>
    <row r="1222" spans="10:10" x14ac:dyDescent="0.25">
      <c r="J1222" s="15"/>
    </row>
    <row r="1223" spans="10:10" x14ac:dyDescent="0.25">
      <c r="J1223" s="15"/>
    </row>
    <row r="1224" spans="10:10" x14ac:dyDescent="0.25">
      <c r="J1224" s="15"/>
    </row>
    <row r="1225" spans="10:10" x14ac:dyDescent="0.25">
      <c r="J1225" s="15"/>
    </row>
    <row r="1226" spans="10:10" x14ac:dyDescent="0.25">
      <c r="J1226" s="15"/>
    </row>
    <row r="1227" spans="10:10" x14ac:dyDescent="0.25">
      <c r="J1227" s="15"/>
    </row>
    <row r="1228" spans="10:10" x14ac:dyDescent="0.25">
      <c r="J1228" s="15"/>
    </row>
    <row r="1229" spans="10:10" x14ac:dyDescent="0.25">
      <c r="J1229" s="15"/>
    </row>
    <row r="1230" spans="10:10" x14ac:dyDescent="0.25">
      <c r="J1230" s="15"/>
    </row>
    <row r="1231" spans="10:10" x14ac:dyDescent="0.25">
      <c r="J1231" s="15"/>
    </row>
    <row r="1232" spans="10:10" x14ac:dyDescent="0.25">
      <c r="J1232" s="15"/>
    </row>
    <row r="1233" spans="10:10" x14ac:dyDescent="0.25">
      <c r="J1233" s="15"/>
    </row>
    <row r="1234" spans="10:10" x14ac:dyDescent="0.25">
      <c r="J1234" s="15"/>
    </row>
    <row r="1235" spans="10:10" x14ac:dyDescent="0.25">
      <c r="J1235" s="15"/>
    </row>
    <row r="1236" spans="10:10" x14ac:dyDescent="0.25">
      <c r="J1236" s="15"/>
    </row>
    <row r="1237" spans="10:10" x14ac:dyDescent="0.25">
      <c r="J1237" s="15"/>
    </row>
    <row r="1238" spans="10:10" x14ac:dyDescent="0.25">
      <c r="J1238" s="15"/>
    </row>
    <row r="1239" spans="10:10" x14ac:dyDescent="0.25">
      <c r="J1239" s="15"/>
    </row>
    <row r="1240" spans="10:10" x14ac:dyDescent="0.25">
      <c r="J1240" s="15"/>
    </row>
    <row r="1241" spans="10:10" x14ac:dyDescent="0.25">
      <c r="J1241" s="15"/>
    </row>
    <row r="1242" spans="10:10" x14ac:dyDescent="0.25">
      <c r="J1242" s="15"/>
    </row>
    <row r="1243" spans="10:10" x14ac:dyDescent="0.25">
      <c r="J1243" s="15"/>
    </row>
    <row r="1244" spans="10:10" x14ac:dyDescent="0.25">
      <c r="J1244" s="15"/>
    </row>
    <row r="1245" spans="10:10" x14ac:dyDescent="0.25">
      <c r="J1245" s="15"/>
    </row>
    <row r="1246" spans="10:10" x14ac:dyDescent="0.25">
      <c r="J1246" s="15"/>
    </row>
    <row r="1247" spans="10:10" x14ac:dyDescent="0.25">
      <c r="J1247" s="15"/>
    </row>
    <row r="1248" spans="10:10" x14ac:dyDescent="0.25">
      <c r="J1248" s="15"/>
    </row>
    <row r="1249" spans="10:10" x14ac:dyDescent="0.25">
      <c r="J1249" s="15"/>
    </row>
    <row r="1250" spans="10:10" x14ac:dyDescent="0.25">
      <c r="J1250" s="15"/>
    </row>
    <row r="1251" spans="10:10" x14ac:dyDescent="0.25">
      <c r="J1251" s="15"/>
    </row>
    <row r="1252" spans="10:10" x14ac:dyDescent="0.25">
      <c r="J1252" s="15"/>
    </row>
    <row r="1253" spans="10:10" x14ac:dyDescent="0.25">
      <c r="J1253" s="15"/>
    </row>
    <row r="1254" spans="10:10" x14ac:dyDescent="0.25">
      <c r="J1254" s="15"/>
    </row>
    <row r="1255" spans="10:10" x14ac:dyDescent="0.25">
      <c r="J1255" s="15"/>
    </row>
    <row r="1256" spans="10:10" x14ac:dyDescent="0.25">
      <c r="J1256" s="15"/>
    </row>
    <row r="1257" spans="10:10" x14ac:dyDescent="0.25">
      <c r="J1257" s="15"/>
    </row>
    <row r="1258" spans="10:10" x14ac:dyDescent="0.25">
      <c r="J1258" s="15"/>
    </row>
    <row r="1259" spans="10:10" x14ac:dyDescent="0.25">
      <c r="J1259" s="15"/>
    </row>
    <row r="1260" spans="10:10" x14ac:dyDescent="0.25">
      <c r="J1260" s="15"/>
    </row>
    <row r="1261" spans="10:10" x14ac:dyDescent="0.25">
      <c r="J1261" s="15"/>
    </row>
    <row r="1262" spans="10:10" x14ac:dyDescent="0.25">
      <c r="J1262" s="15"/>
    </row>
    <row r="1263" spans="10:10" x14ac:dyDescent="0.25">
      <c r="J1263" s="15"/>
    </row>
    <row r="1264" spans="10:10" x14ac:dyDescent="0.25">
      <c r="J1264" s="15"/>
    </row>
    <row r="1265" spans="10:10" x14ac:dyDescent="0.25">
      <c r="J1265" s="15"/>
    </row>
    <row r="1266" spans="10:10" x14ac:dyDescent="0.25">
      <c r="J1266" s="15"/>
    </row>
    <row r="1267" spans="10:10" x14ac:dyDescent="0.25">
      <c r="J1267" s="15"/>
    </row>
    <row r="1268" spans="10:10" x14ac:dyDescent="0.25">
      <c r="J1268" s="15"/>
    </row>
    <row r="1269" spans="10:10" x14ac:dyDescent="0.25">
      <c r="J1269" s="15"/>
    </row>
    <row r="1270" spans="10:10" x14ac:dyDescent="0.25">
      <c r="J1270" s="15"/>
    </row>
    <row r="1271" spans="10:10" x14ac:dyDescent="0.25">
      <c r="J1271" s="15"/>
    </row>
    <row r="1272" spans="10:10" x14ac:dyDescent="0.25">
      <c r="J1272" s="15"/>
    </row>
    <row r="1273" spans="10:10" x14ac:dyDescent="0.25">
      <c r="J1273" s="15"/>
    </row>
    <row r="1274" spans="10:10" x14ac:dyDescent="0.25">
      <c r="J1274" s="15"/>
    </row>
    <row r="1275" spans="10:10" x14ac:dyDescent="0.25">
      <c r="J1275" s="15"/>
    </row>
    <row r="1276" spans="10:10" x14ac:dyDescent="0.25">
      <c r="J1276" s="15"/>
    </row>
    <row r="1277" spans="10:10" x14ac:dyDescent="0.25">
      <c r="J1277" s="15"/>
    </row>
    <row r="1278" spans="10:10" x14ac:dyDescent="0.25">
      <c r="J1278" s="15"/>
    </row>
    <row r="1279" spans="10:10" x14ac:dyDescent="0.25">
      <c r="J1279" s="15"/>
    </row>
    <row r="1280" spans="10:10" x14ac:dyDescent="0.25">
      <c r="J1280" s="15"/>
    </row>
    <row r="1281" spans="10:10" x14ac:dyDescent="0.25">
      <c r="J1281" s="15"/>
    </row>
    <row r="1282" spans="10:10" x14ac:dyDescent="0.25">
      <c r="J1282" s="15"/>
    </row>
    <row r="1283" spans="10:10" x14ac:dyDescent="0.25">
      <c r="J1283" s="15"/>
    </row>
    <row r="1284" spans="10:10" x14ac:dyDescent="0.25">
      <c r="J1284" s="15"/>
    </row>
    <row r="1285" spans="10:10" x14ac:dyDescent="0.25">
      <c r="J1285" s="15"/>
    </row>
    <row r="1286" spans="10:10" x14ac:dyDescent="0.25">
      <c r="J1286" s="15"/>
    </row>
    <row r="1287" spans="10:10" x14ac:dyDescent="0.25">
      <c r="J1287" s="15"/>
    </row>
    <row r="1288" spans="10:10" x14ac:dyDescent="0.25">
      <c r="J1288" s="15"/>
    </row>
    <row r="1289" spans="10:10" x14ac:dyDescent="0.25">
      <c r="J1289" s="15"/>
    </row>
    <row r="1290" spans="10:10" x14ac:dyDescent="0.25">
      <c r="J1290" s="15"/>
    </row>
    <row r="1291" spans="10:10" x14ac:dyDescent="0.25">
      <c r="J1291" s="15"/>
    </row>
    <row r="1292" spans="10:10" x14ac:dyDescent="0.25">
      <c r="J1292" s="15"/>
    </row>
    <row r="1293" spans="10:10" x14ac:dyDescent="0.25">
      <c r="J1293" s="15"/>
    </row>
    <row r="1294" spans="10:10" x14ac:dyDescent="0.25">
      <c r="J1294" s="15"/>
    </row>
    <row r="1295" spans="10:10" x14ac:dyDescent="0.25">
      <c r="J1295" s="15"/>
    </row>
    <row r="1296" spans="10:10" x14ac:dyDescent="0.25">
      <c r="J1296" s="15"/>
    </row>
    <row r="1297" spans="10:10" x14ac:dyDescent="0.25">
      <c r="J1297" s="15"/>
    </row>
    <row r="1298" spans="10:10" x14ac:dyDescent="0.25">
      <c r="J1298" s="15"/>
    </row>
    <row r="1299" spans="10:10" x14ac:dyDescent="0.25">
      <c r="J1299" s="15"/>
    </row>
    <row r="1300" spans="10:10" x14ac:dyDescent="0.25">
      <c r="J1300" s="15"/>
    </row>
    <row r="1301" spans="10:10" x14ac:dyDescent="0.25">
      <c r="J1301" s="15"/>
    </row>
    <row r="1302" spans="10:10" x14ac:dyDescent="0.25">
      <c r="J1302" s="15"/>
    </row>
    <row r="1303" spans="10:10" x14ac:dyDescent="0.25">
      <c r="J1303" s="15"/>
    </row>
    <row r="1304" spans="10:10" x14ac:dyDescent="0.25">
      <c r="J1304" s="15"/>
    </row>
    <row r="1305" spans="10:10" x14ac:dyDescent="0.25">
      <c r="J1305" s="15"/>
    </row>
    <row r="1306" spans="10:10" x14ac:dyDescent="0.25">
      <c r="J1306" s="15"/>
    </row>
    <row r="1307" spans="10:10" x14ac:dyDescent="0.25">
      <c r="J1307" s="15"/>
    </row>
    <row r="1308" spans="10:10" x14ac:dyDescent="0.25">
      <c r="J1308" s="15"/>
    </row>
    <row r="1309" spans="10:10" x14ac:dyDescent="0.25">
      <c r="J1309" s="15"/>
    </row>
    <row r="1310" spans="10:10" x14ac:dyDescent="0.25">
      <c r="J1310" s="15"/>
    </row>
    <row r="1311" spans="10:10" x14ac:dyDescent="0.25">
      <c r="J1311" s="15"/>
    </row>
    <row r="1312" spans="10:10" x14ac:dyDescent="0.25">
      <c r="J1312" s="15"/>
    </row>
    <row r="1313" spans="10:10" x14ac:dyDescent="0.25">
      <c r="J1313" s="15"/>
    </row>
    <row r="1314" spans="10:10" x14ac:dyDescent="0.25">
      <c r="J1314" s="15"/>
    </row>
    <row r="1315" spans="10:10" x14ac:dyDescent="0.25">
      <c r="J1315" s="15"/>
    </row>
    <row r="1316" spans="10:10" x14ac:dyDescent="0.25">
      <c r="J1316" s="15"/>
    </row>
    <row r="1317" spans="10:10" x14ac:dyDescent="0.25">
      <c r="J1317" s="15"/>
    </row>
    <row r="1318" spans="10:10" x14ac:dyDescent="0.25">
      <c r="J1318" s="15"/>
    </row>
    <row r="1319" spans="10:10" x14ac:dyDescent="0.25">
      <c r="J1319" s="15"/>
    </row>
    <row r="1320" spans="10:10" x14ac:dyDescent="0.25">
      <c r="J1320" s="15"/>
    </row>
    <row r="1321" spans="10:10" x14ac:dyDescent="0.25">
      <c r="J1321" s="15"/>
    </row>
    <row r="1322" spans="10:10" x14ac:dyDescent="0.25">
      <c r="J1322" s="15"/>
    </row>
    <row r="1323" spans="10:10" x14ac:dyDescent="0.25">
      <c r="J1323" s="15"/>
    </row>
    <row r="1324" spans="10:10" x14ac:dyDescent="0.25">
      <c r="J1324" s="15"/>
    </row>
    <row r="1325" spans="10:10" x14ac:dyDescent="0.25">
      <c r="J1325" s="15"/>
    </row>
    <row r="1326" spans="10:10" x14ac:dyDescent="0.25">
      <c r="J1326" s="15"/>
    </row>
    <row r="1327" spans="10:10" x14ac:dyDescent="0.25">
      <c r="J1327" s="15"/>
    </row>
    <row r="1328" spans="10:10" x14ac:dyDescent="0.25">
      <c r="J1328" s="15"/>
    </row>
    <row r="1329" spans="10:10" x14ac:dyDescent="0.25">
      <c r="J1329" s="15"/>
    </row>
    <row r="1330" spans="10:10" x14ac:dyDescent="0.25">
      <c r="J1330" s="15"/>
    </row>
    <row r="1331" spans="10:10" x14ac:dyDescent="0.25">
      <c r="J1331" s="15"/>
    </row>
    <row r="1332" spans="10:10" x14ac:dyDescent="0.25">
      <c r="J1332" s="15"/>
    </row>
    <row r="1333" spans="10:10" x14ac:dyDescent="0.25">
      <c r="J1333" s="15"/>
    </row>
    <row r="1334" spans="10:10" x14ac:dyDescent="0.25">
      <c r="J1334" s="15"/>
    </row>
    <row r="1335" spans="10:10" x14ac:dyDescent="0.25">
      <c r="J1335" s="15"/>
    </row>
    <row r="1336" spans="10:10" x14ac:dyDescent="0.25">
      <c r="J1336" s="15"/>
    </row>
    <row r="1337" spans="10:10" x14ac:dyDescent="0.25">
      <c r="J1337" s="15"/>
    </row>
    <row r="1338" spans="10:10" x14ac:dyDescent="0.25">
      <c r="J1338" s="15"/>
    </row>
    <row r="1339" spans="10:10" x14ac:dyDescent="0.25">
      <c r="J1339" s="15"/>
    </row>
    <row r="1340" spans="10:10" x14ac:dyDescent="0.25">
      <c r="J1340" s="15"/>
    </row>
    <row r="1341" spans="10:10" x14ac:dyDescent="0.25">
      <c r="J1341" s="15"/>
    </row>
    <row r="1342" spans="10:10" x14ac:dyDescent="0.25">
      <c r="J1342" s="15"/>
    </row>
    <row r="1343" spans="10:10" x14ac:dyDescent="0.25">
      <c r="J1343" s="15"/>
    </row>
    <row r="1344" spans="10:10" x14ac:dyDescent="0.25">
      <c r="J1344" s="15"/>
    </row>
    <row r="1345" spans="10:10" x14ac:dyDescent="0.25">
      <c r="J1345" s="15"/>
    </row>
    <row r="1346" spans="10:10" x14ac:dyDescent="0.25">
      <c r="J1346" s="15"/>
    </row>
    <row r="1347" spans="10:10" x14ac:dyDescent="0.25">
      <c r="J1347" s="15"/>
    </row>
    <row r="1348" spans="10:10" x14ac:dyDescent="0.25">
      <c r="J1348" s="15"/>
    </row>
    <row r="1349" spans="10:10" x14ac:dyDescent="0.25">
      <c r="J1349" s="15"/>
    </row>
    <row r="1350" spans="10:10" x14ac:dyDescent="0.25">
      <c r="J1350" s="15"/>
    </row>
    <row r="1351" spans="10:10" x14ac:dyDescent="0.25">
      <c r="J1351" s="15"/>
    </row>
    <row r="1352" spans="10:10" x14ac:dyDescent="0.25">
      <c r="J1352" s="15"/>
    </row>
    <row r="1353" spans="10:10" x14ac:dyDescent="0.25">
      <c r="J1353" s="15"/>
    </row>
    <row r="1354" spans="10:10" x14ac:dyDescent="0.25">
      <c r="J1354" s="15"/>
    </row>
    <row r="1355" spans="10:10" x14ac:dyDescent="0.25">
      <c r="J1355" s="15"/>
    </row>
    <row r="1356" spans="10:10" x14ac:dyDescent="0.25">
      <c r="J1356" s="15"/>
    </row>
    <row r="1357" spans="10:10" x14ac:dyDescent="0.25">
      <c r="J1357" s="15"/>
    </row>
    <row r="1358" spans="10:10" x14ac:dyDescent="0.25">
      <c r="J1358" s="15"/>
    </row>
    <row r="1359" spans="10:10" x14ac:dyDescent="0.25">
      <c r="J1359" s="15"/>
    </row>
    <row r="1360" spans="10:10" x14ac:dyDescent="0.25">
      <c r="J1360" s="15"/>
    </row>
    <row r="1361" spans="10:10" x14ac:dyDescent="0.25">
      <c r="J1361" s="15"/>
    </row>
    <row r="1362" spans="10:10" x14ac:dyDescent="0.25">
      <c r="J1362" s="15"/>
    </row>
    <row r="1363" spans="10:10" x14ac:dyDescent="0.25">
      <c r="J1363" s="15"/>
    </row>
    <row r="1364" spans="10:10" x14ac:dyDescent="0.25">
      <c r="J1364" s="15"/>
    </row>
    <row r="1365" spans="10:10" x14ac:dyDescent="0.25">
      <c r="J1365" s="15"/>
    </row>
    <row r="1366" spans="10:10" x14ac:dyDescent="0.25">
      <c r="J1366" s="15"/>
    </row>
    <row r="1367" spans="10:10" x14ac:dyDescent="0.25">
      <c r="J1367" s="15"/>
    </row>
    <row r="1368" spans="10:10" x14ac:dyDescent="0.25">
      <c r="J1368" s="15"/>
    </row>
    <row r="1369" spans="10:10" x14ac:dyDescent="0.25">
      <c r="J1369" s="15"/>
    </row>
    <row r="1370" spans="10:10" x14ac:dyDescent="0.25">
      <c r="J1370" s="15"/>
    </row>
    <row r="1371" spans="10:10" x14ac:dyDescent="0.25">
      <c r="J1371" s="15"/>
    </row>
    <row r="1372" spans="10:10" x14ac:dyDescent="0.25">
      <c r="J1372" s="15"/>
    </row>
    <row r="1373" spans="10:10" x14ac:dyDescent="0.25">
      <c r="J1373" s="15"/>
    </row>
    <row r="1374" spans="10:10" x14ac:dyDescent="0.25">
      <c r="J1374" s="15"/>
    </row>
    <row r="1375" spans="10:10" x14ac:dyDescent="0.25">
      <c r="J1375" s="15"/>
    </row>
    <row r="1376" spans="10:10" x14ac:dyDescent="0.25">
      <c r="J1376" s="15"/>
    </row>
    <row r="1377" spans="10:10" x14ac:dyDescent="0.25">
      <c r="J1377" s="15"/>
    </row>
    <row r="1378" spans="10:10" x14ac:dyDescent="0.25">
      <c r="J1378" s="15"/>
    </row>
    <row r="1379" spans="10:10" x14ac:dyDescent="0.25">
      <c r="J1379" s="15"/>
    </row>
    <row r="1380" spans="10:10" x14ac:dyDescent="0.25">
      <c r="J1380" s="15"/>
    </row>
    <row r="1381" spans="10:10" x14ac:dyDescent="0.25">
      <c r="J1381" s="15"/>
    </row>
    <row r="1382" spans="10:10" x14ac:dyDescent="0.25">
      <c r="J1382" s="15"/>
    </row>
    <row r="1383" spans="10:10" x14ac:dyDescent="0.25">
      <c r="J1383" s="15"/>
    </row>
    <row r="1384" spans="10:10" x14ac:dyDescent="0.25">
      <c r="J1384" s="15"/>
    </row>
    <row r="1385" spans="10:10" x14ac:dyDescent="0.25">
      <c r="J1385" s="15"/>
    </row>
    <row r="1386" spans="10:10" x14ac:dyDescent="0.25">
      <c r="J1386" s="15"/>
    </row>
    <row r="1387" spans="10:10" x14ac:dyDescent="0.25">
      <c r="J1387" s="15"/>
    </row>
    <row r="1388" spans="10:10" x14ac:dyDescent="0.25">
      <c r="J1388" s="15"/>
    </row>
    <row r="1389" spans="10:10" x14ac:dyDescent="0.25">
      <c r="J1389" s="15"/>
    </row>
    <row r="1390" spans="10:10" x14ac:dyDescent="0.25">
      <c r="J1390" s="15"/>
    </row>
    <row r="1391" spans="10:10" x14ac:dyDescent="0.25">
      <c r="J1391" s="15"/>
    </row>
    <row r="1392" spans="10:10" x14ac:dyDescent="0.25">
      <c r="J1392" s="15"/>
    </row>
    <row r="1393" spans="10:10" x14ac:dyDescent="0.25">
      <c r="J1393" s="15"/>
    </row>
    <row r="1394" spans="10:10" x14ac:dyDescent="0.25">
      <c r="J1394" s="15"/>
    </row>
    <row r="1395" spans="10:10" x14ac:dyDescent="0.25">
      <c r="J1395" s="15"/>
    </row>
    <row r="1396" spans="10:10" x14ac:dyDescent="0.25">
      <c r="J1396" s="15"/>
    </row>
    <row r="1397" spans="10:10" x14ac:dyDescent="0.25">
      <c r="J1397" s="15"/>
    </row>
    <row r="1398" spans="10:10" x14ac:dyDescent="0.25">
      <c r="J1398" s="15"/>
    </row>
    <row r="1399" spans="10:10" x14ac:dyDescent="0.25">
      <c r="J1399" s="15"/>
    </row>
    <row r="1400" spans="10:10" x14ac:dyDescent="0.25">
      <c r="J1400" s="15"/>
    </row>
    <row r="1401" spans="10:10" x14ac:dyDescent="0.25">
      <c r="J1401" s="15"/>
    </row>
    <row r="1402" spans="10:10" x14ac:dyDescent="0.25">
      <c r="J1402" s="15"/>
    </row>
    <row r="1403" spans="10:10" x14ac:dyDescent="0.25">
      <c r="J1403" s="15"/>
    </row>
    <row r="1404" spans="10:10" x14ac:dyDescent="0.25">
      <c r="J1404" s="15"/>
    </row>
    <row r="1405" spans="10:10" x14ac:dyDescent="0.25">
      <c r="J1405" s="15"/>
    </row>
    <row r="1406" spans="10:10" x14ac:dyDescent="0.25">
      <c r="J1406" s="15"/>
    </row>
    <row r="1407" spans="10:10" x14ac:dyDescent="0.25">
      <c r="J1407" s="15"/>
    </row>
    <row r="1408" spans="10:10" x14ac:dyDescent="0.25">
      <c r="J1408" s="15"/>
    </row>
    <row r="1409" spans="10:10" x14ac:dyDescent="0.25">
      <c r="J1409" s="15"/>
    </row>
    <row r="1410" spans="10:10" x14ac:dyDescent="0.25">
      <c r="J1410" s="15"/>
    </row>
    <row r="1411" spans="10:10" x14ac:dyDescent="0.25">
      <c r="J1411" s="15"/>
    </row>
    <row r="1412" spans="10:10" x14ac:dyDescent="0.25">
      <c r="J1412" s="15"/>
    </row>
    <row r="1413" spans="10:10" x14ac:dyDescent="0.25">
      <c r="J1413" s="15"/>
    </row>
    <row r="1414" spans="10:10" x14ac:dyDescent="0.25">
      <c r="J1414" s="15"/>
    </row>
    <row r="1415" spans="10:10" x14ac:dyDescent="0.25">
      <c r="J1415" s="15"/>
    </row>
    <row r="1416" spans="10:10" x14ac:dyDescent="0.25">
      <c r="J1416" s="15"/>
    </row>
    <row r="1417" spans="10:10" x14ac:dyDescent="0.25">
      <c r="J1417" s="15"/>
    </row>
    <row r="1418" spans="10:10" x14ac:dyDescent="0.25">
      <c r="J1418" s="15"/>
    </row>
    <row r="1419" spans="10:10" x14ac:dyDescent="0.25">
      <c r="J1419" s="15"/>
    </row>
    <row r="1420" spans="10:10" x14ac:dyDescent="0.25">
      <c r="J1420" s="15"/>
    </row>
    <row r="1421" spans="10:10" x14ac:dyDescent="0.25">
      <c r="J1421" s="15"/>
    </row>
    <row r="1422" spans="10:10" x14ac:dyDescent="0.25">
      <c r="J1422" s="15"/>
    </row>
    <row r="1423" spans="10:10" x14ac:dyDescent="0.25">
      <c r="J1423" s="15"/>
    </row>
    <row r="1424" spans="10:10" x14ac:dyDescent="0.25">
      <c r="J1424" s="15"/>
    </row>
    <row r="1425" spans="10:10" x14ac:dyDescent="0.25">
      <c r="J1425" s="15"/>
    </row>
    <row r="1426" spans="10:10" x14ac:dyDescent="0.25">
      <c r="J1426" s="15"/>
    </row>
    <row r="1427" spans="10:10" x14ac:dyDescent="0.25">
      <c r="J1427" s="15"/>
    </row>
    <row r="1428" spans="10:10" x14ac:dyDescent="0.25">
      <c r="J1428" s="15"/>
    </row>
    <row r="1429" spans="10:10" x14ac:dyDescent="0.25">
      <c r="J1429" s="15"/>
    </row>
    <row r="1430" spans="10:10" x14ac:dyDescent="0.25">
      <c r="J1430" s="15"/>
    </row>
    <row r="1431" spans="10:10" x14ac:dyDescent="0.25">
      <c r="J1431" s="15"/>
    </row>
    <row r="1432" spans="10:10" x14ac:dyDescent="0.25">
      <c r="J1432" s="15"/>
    </row>
    <row r="1433" spans="10:10" x14ac:dyDescent="0.25">
      <c r="J1433" s="15"/>
    </row>
    <row r="1434" spans="10:10" x14ac:dyDescent="0.25">
      <c r="J1434" s="15"/>
    </row>
    <row r="1435" spans="10:10" x14ac:dyDescent="0.25">
      <c r="J1435" s="15"/>
    </row>
    <row r="1436" spans="10:10" x14ac:dyDescent="0.25">
      <c r="J1436" s="15"/>
    </row>
    <row r="1437" spans="10:10" x14ac:dyDescent="0.25">
      <c r="J1437" s="15"/>
    </row>
    <row r="1438" spans="10:10" x14ac:dyDescent="0.25">
      <c r="J1438" s="15"/>
    </row>
    <row r="1439" spans="10:10" x14ac:dyDescent="0.25">
      <c r="J1439" s="15"/>
    </row>
    <row r="1440" spans="10:10" x14ac:dyDescent="0.25">
      <c r="J1440" s="15"/>
    </row>
    <row r="1441" spans="10:10" x14ac:dyDescent="0.25">
      <c r="J1441" s="15"/>
    </row>
    <row r="1442" spans="10:10" x14ac:dyDescent="0.25">
      <c r="J1442" s="15"/>
    </row>
    <row r="1443" spans="10:10" x14ac:dyDescent="0.25">
      <c r="J1443" s="15"/>
    </row>
    <row r="1444" spans="10:10" x14ac:dyDescent="0.25">
      <c r="J1444" s="15"/>
    </row>
    <row r="1445" spans="10:10" x14ac:dyDescent="0.25">
      <c r="J1445" s="15"/>
    </row>
    <row r="1446" spans="10:10" x14ac:dyDescent="0.25">
      <c r="J1446" s="15"/>
    </row>
    <row r="1447" spans="10:10" x14ac:dyDescent="0.25">
      <c r="J1447" s="15"/>
    </row>
    <row r="1448" spans="10:10" x14ac:dyDescent="0.25">
      <c r="J1448" s="15"/>
    </row>
    <row r="1449" spans="10:10" x14ac:dyDescent="0.25">
      <c r="J1449" s="15"/>
    </row>
    <row r="1450" spans="10:10" x14ac:dyDescent="0.25">
      <c r="J1450" s="15"/>
    </row>
    <row r="1451" spans="10:10" x14ac:dyDescent="0.25">
      <c r="J1451" s="15"/>
    </row>
    <row r="1452" spans="10:10" x14ac:dyDescent="0.25">
      <c r="J1452" s="15"/>
    </row>
    <row r="1453" spans="10:10" x14ac:dyDescent="0.25">
      <c r="J1453" s="15"/>
    </row>
    <row r="1454" spans="10:10" x14ac:dyDescent="0.25">
      <c r="J1454" s="15"/>
    </row>
    <row r="1455" spans="10:10" x14ac:dyDescent="0.25">
      <c r="J1455" s="15"/>
    </row>
    <row r="1456" spans="10:10" x14ac:dyDescent="0.25">
      <c r="J1456" s="15"/>
    </row>
    <row r="1457" spans="10:10" x14ac:dyDescent="0.25">
      <c r="J1457" s="15"/>
    </row>
    <row r="1458" spans="10:10" x14ac:dyDescent="0.25">
      <c r="J1458" s="15"/>
    </row>
    <row r="1459" spans="10:10" x14ac:dyDescent="0.25">
      <c r="J1459" s="15"/>
    </row>
    <row r="1460" spans="10:10" x14ac:dyDescent="0.25">
      <c r="J1460" s="15"/>
    </row>
    <row r="1461" spans="10:10" x14ac:dyDescent="0.25">
      <c r="J1461" s="15"/>
    </row>
    <row r="1462" spans="10:10" x14ac:dyDescent="0.25">
      <c r="J1462" s="15"/>
    </row>
    <row r="1463" spans="10:10" x14ac:dyDescent="0.25">
      <c r="J1463" s="15"/>
    </row>
    <row r="1464" spans="10:10" x14ac:dyDescent="0.25">
      <c r="J1464" s="15"/>
    </row>
    <row r="1465" spans="10:10" x14ac:dyDescent="0.25">
      <c r="J1465" s="15"/>
    </row>
    <row r="1466" spans="10:10" x14ac:dyDescent="0.25">
      <c r="J1466" s="15"/>
    </row>
    <row r="1467" spans="10:10" x14ac:dyDescent="0.25">
      <c r="J1467" s="15"/>
    </row>
    <row r="1468" spans="10:10" x14ac:dyDescent="0.25">
      <c r="J1468" s="15"/>
    </row>
    <row r="1469" spans="10:10" x14ac:dyDescent="0.25">
      <c r="J1469" s="15"/>
    </row>
    <row r="1470" spans="10:10" x14ac:dyDescent="0.25">
      <c r="J1470" s="15"/>
    </row>
    <row r="1471" spans="10:10" x14ac:dyDescent="0.25">
      <c r="J1471" s="15"/>
    </row>
    <row r="1472" spans="10:10" x14ac:dyDescent="0.25">
      <c r="J1472" s="15"/>
    </row>
    <row r="1473" spans="10:10" x14ac:dyDescent="0.25">
      <c r="J1473" s="15"/>
    </row>
    <row r="1474" spans="10:10" x14ac:dyDescent="0.25">
      <c r="J1474" s="15"/>
    </row>
    <row r="1475" spans="10:10" x14ac:dyDescent="0.25">
      <c r="J1475" s="15"/>
    </row>
    <row r="1476" spans="10:10" x14ac:dyDescent="0.25">
      <c r="J1476" s="15"/>
    </row>
    <row r="1477" spans="10:10" x14ac:dyDescent="0.25">
      <c r="J1477" s="15"/>
    </row>
    <row r="1478" spans="10:10" x14ac:dyDescent="0.25">
      <c r="J1478" s="15"/>
    </row>
    <row r="1479" spans="10:10" x14ac:dyDescent="0.25">
      <c r="J1479" s="15"/>
    </row>
    <row r="1480" spans="10:10" x14ac:dyDescent="0.25">
      <c r="J1480" s="15"/>
    </row>
    <row r="1481" spans="10:10" x14ac:dyDescent="0.25">
      <c r="J1481" s="15"/>
    </row>
    <row r="1482" spans="10:10" x14ac:dyDescent="0.25">
      <c r="J1482" s="15"/>
    </row>
    <row r="1483" spans="10:10" x14ac:dyDescent="0.25">
      <c r="J1483" s="15"/>
    </row>
    <row r="1484" spans="10:10" x14ac:dyDescent="0.25">
      <c r="J1484" s="15"/>
    </row>
    <row r="1485" spans="10:10" x14ac:dyDescent="0.25">
      <c r="J1485" s="15"/>
    </row>
    <row r="1486" spans="10:10" x14ac:dyDescent="0.25">
      <c r="J1486" s="15"/>
    </row>
    <row r="1487" spans="10:10" x14ac:dyDescent="0.25">
      <c r="J1487" s="15"/>
    </row>
    <row r="1488" spans="10:10" x14ac:dyDescent="0.25">
      <c r="J1488" s="15"/>
    </row>
    <row r="1489" spans="10:10" x14ac:dyDescent="0.25">
      <c r="J1489" s="15"/>
    </row>
    <row r="1490" spans="10:10" x14ac:dyDescent="0.25">
      <c r="J1490" s="15"/>
    </row>
    <row r="1491" spans="10:10" x14ac:dyDescent="0.25">
      <c r="J1491" s="15"/>
    </row>
    <row r="1492" spans="10:10" x14ac:dyDescent="0.25">
      <c r="J1492" s="15"/>
    </row>
    <row r="1493" spans="10:10" x14ac:dyDescent="0.25">
      <c r="J1493" s="15"/>
    </row>
    <row r="1494" spans="10:10" x14ac:dyDescent="0.25">
      <c r="J1494" s="15"/>
    </row>
    <row r="1495" spans="10:10" x14ac:dyDescent="0.25">
      <c r="J1495" s="15"/>
    </row>
    <row r="1496" spans="10:10" x14ac:dyDescent="0.25">
      <c r="J1496" s="15"/>
    </row>
    <row r="1497" spans="10:10" x14ac:dyDescent="0.25">
      <c r="J1497" s="15"/>
    </row>
    <row r="1498" spans="10:10" x14ac:dyDescent="0.25">
      <c r="J1498" s="15"/>
    </row>
    <row r="1499" spans="10:10" x14ac:dyDescent="0.25">
      <c r="J1499" s="15"/>
    </row>
    <row r="1500" spans="10:10" x14ac:dyDescent="0.25">
      <c r="J1500" s="15"/>
    </row>
    <row r="1501" spans="10:10" x14ac:dyDescent="0.25">
      <c r="J1501" s="15"/>
    </row>
    <row r="1502" spans="10:10" x14ac:dyDescent="0.25">
      <c r="J1502" s="15"/>
    </row>
    <row r="1503" spans="10:10" x14ac:dyDescent="0.25">
      <c r="J1503" s="15"/>
    </row>
    <row r="1504" spans="10:10" x14ac:dyDescent="0.25">
      <c r="J1504" s="15"/>
    </row>
    <row r="1505" spans="10:10" x14ac:dyDescent="0.25">
      <c r="J1505" s="15"/>
    </row>
    <row r="1506" spans="10:10" x14ac:dyDescent="0.25">
      <c r="J1506" s="15"/>
    </row>
    <row r="1507" spans="10:10" x14ac:dyDescent="0.25">
      <c r="J1507" s="15"/>
    </row>
    <row r="1508" spans="10:10" x14ac:dyDescent="0.25">
      <c r="J1508" s="15"/>
    </row>
    <row r="1509" spans="10:10" x14ac:dyDescent="0.25">
      <c r="J1509" s="15"/>
    </row>
    <row r="1510" spans="10:10" x14ac:dyDescent="0.25">
      <c r="J1510" s="15"/>
    </row>
    <row r="1511" spans="10:10" x14ac:dyDescent="0.25">
      <c r="J1511" s="15"/>
    </row>
    <row r="1512" spans="10:10" x14ac:dyDescent="0.25">
      <c r="J1512" s="15"/>
    </row>
    <row r="1513" spans="10:10" x14ac:dyDescent="0.25">
      <c r="J1513" s="15"/>
    </row>
    <row r="1514" spans="10:10" x14ac:dyDescent="0.25">
      <c r="J1514" s="15"/>
    </row>
    <row r="1515" spans="10:10" x14ac:dyDescent="0.25">
      <c r="J1515" s="15"/>
    </row>
    <row r="1516" spans="10:10" x14ac:dyDescent="0.25">
      <c r="J1516" s="15"/>
    </row>
    <row r="1517" spans="10:10" x14ac:dyDescent="0.25">
      <c r="J1517" s="15"/>
    </row>
    <row r="1518" spans="10:10" x14ac:dyDescent="0.25">
      <c r="J1518" s="15"/>
    </row>
    <row r="1519" spans="10:10" x14ac:dyDescent="0.25">
      <c r="J1519" s="15"/>
    </row>
    <row r="1520" spans="10:10" x14ac:dyDescent="0.25">
      <c r="J1520" s="15"/>
    </row>
    <row r="1521" spans="10:10" x14ac:dyDescent="0.25">
      <c r="J1521" s="15"/>
    </row>
    <row r="1522" spans="10:10" x14ac:dyDescent="0.25">
      <c r="J1522" s="15"/>
    </row>
    <row r="1523" spans="10:10" x14ac:dyDescent="0.25">
      <c r="J1523" s="15"/>
    </row>
    <row r="1524" spans="10:10" x14ac:dyDescent="0.25">
      <c r="J1524" s="15"/>
    </row>
    <row r="1525" spans="10:10" x14ac:dyDescent="0.25">
      <c r="J1525" s="15"/>
    </row>
    <row r="1526" spans="10:10" x14ac:dyDescent="0.25">
      <c r="J1526" s="15"/>
    </row>
    <row r="1527" spans="10:10" x14ac:dyDescent="0.25">
      <c r="J1527" s="15"/>
    </row>
    <row r="1528" spans="10:10" x14ac:dyDescent="0.25">
      <c r="J1528" s="15"/>
    </row>
    <row r="1529" spans="10:10" x14ac:dyDescent="0.25">
      <c r="J1529" s="15"/>
    </row>
    <row r="1530" spans="10:10" x14ac:dyDescent="0.25">
      <c r="J1530" s="15"/>
    </row>
    <row r="1531" spans="10:10" x14ac:dyDescent="0.25">
      <c r="J1531" s="15"/>
    </row>
    <row r="1532" spans="10:10" x14ac:dyDescent="0.25">
      <c r="J1532" s="15"/>
    </row>
    <row r="1533" spans="10:10" x14ac:dyDescent="0.25">
      <c r="J1533" s="15"/>
    </row>
    <row r="1534" spans="10:10" x14ac:dyDescent="0.25">
      <c r="J1534" s="15"/>
    </row>
    <row r="1535" spans="10:10" x14ac:dyDescent="0.25">
      <c r="J1535" s="15"/>
    </row>
    <row r="1536" spans="10:10" x14ac:dyDescent="0.25">
      <c r="J1536" s="15"/>
    </row>
    <row r="1537" spans="10:10" x14ac:dyDescent="0.25">
      <c r="J1537" s="15"/>
    </row>
    <row r="1538" spans="10:10" x14ac:dyDescent="0.25">
      <c r="J1538" s="15"/>
    </row>
    <row r="1539" spans="10:10" x14ac:dyDescent="0.25">
      <c r="J1539" s="15"/>
    </row>
    <row r="1540" spans="10:10" x14ac:dyDescent="0.25">
      <c r="J1540" s="15"/>
    </row>
    <row r="1541" spans="10:10" x14ac:dyDescent="0.25">
      <c r="J1541" s="15"/>
    </row>
    <row r="1542" spans="10:10" x14ac:dyDescent="0.25">
      <c r="J1542" s="15"/>
    </row>
    <row r="1543" spans="10:10" x14ac:dyDescent="0.25">
      <c r="J1543" s="15"/>
    </row>
    <row r="1544" spans="10:10" x14ac:dyDescent="0.25">
      <c r="J1544" s="15"/>
    </row>
    <row r="1545" spans="10:10" x14ac:dyDescent="0.25">
      <c r="J1545" s="15"/>
    </row>
    <row r="1546" spans="10:10" x14ac:dyDescent="0.25">
      <c r="J1546" s="15"/>
    </row>
    <row r="1547" spans="10:10" x14ac:dyDescent="0.25">
      <c r="J1547" s="15"/>
    </row>
    <row r="1548" spans="10:10" x14ac:dyDescent="0.25">
      <c r="J1548" s="15"/>
    </row>
    <row r="1549" spans="10:10" x14ac:dyDescent="0.25">
      <c r="J1549" s="15"/>
    </row>
    <row r="1550" spans="10:10" x14ac:dyDescent="0.25">
      <c r="J1550" s="15"/>
    </row>
    <row r="1551" spans="10:10" x14ac:dyDescent="0.25">
      <c r="J1551" s="15"/>
    </row>
    <row r="1552" spans="10:10" x14ac:dyDescent="0.25">
      <c r="J1552" s="15"/>
    </row>
    <row r="1553" spans="10:10" x14ac:dyDescent="0.25">
      <c r="J1553" s="15"/>
    </row>
    <row r="1554" spans="10:10" x14ac:dyDescent="0.25">
      <c r="J1554" s="15"/>
    </row>
    <row r="1555" spans="10:10" x14ac:dyDescent="0.25">
      <c r="J1555" s="15"/>
    </row>
    <row r="1556" spans="10:10" x14ac:dyDescent="0.25">
      <c r="J1556" s="15"/>
    </row>
    <row r="1557" spans="10:10" x14ac:dyDescent="0.25">
      <c r="J1557" s="15"/>
    </row>
    <row r="1558" spans="10:10" x14ac:dyDescent="0.25">
      <c r="J1558" s="15"/>
    </row>
    <row r="1559" spans="10:10" x14ac:dyDescent="0.25">
      <c r="J1559" s="15"/>
    </row>
    <row r="1560" spans="10:10" x14ac:dyDescent="0.25">
      <c r="J1560" s="15"/>
    </row>
    <row r="1561" spans="10:10" x14ac:dyDescent="0.25">
      <c r="J1561" s="15"/>
    </row>
    <row r="1562" spans="10:10" x14ac:dyDescent="0.25">
      <c r="J1562" s="15"/>
    </row>
    <row r="1563" spans="10:10" x14ac:dyDescent="0.25">
      <c r="J1563" s="15"/>
    </row>
    <row r="1564" spans="10:10" x14ac:dyDescent="0.25">
      <c r="J1564" s="15"/>
    </row>
    <row r="1565" spans="10:10" x14ac:dyDescent="0.25">
      <c r="J1565" s="15"/>
    </row>
    <row r="1566" spans="10:10" x14ac:dyDescent="0.25">
      <c r="J1566" s="15"/>
    </row>
    <row r="1567" spans="10:10" x14ac:dyDescent="0.25">
      <c r="J1567" s="15"/>
    </row>
    <row r="1568" spans="10:10" x14ac:dyDescent="0.25">
      <c r="J1568" s="15"/>
    </row>
    <row r="1569" spans="10:10" x14ac:dyDescent="0.25">
      <c r="J1569" s="15"/>
    </row>
    <row r="1570" spans="10:10" x14ac:dyDescent="0.25">
      <c r="J1570" s="15"/>
    </row>
    <row r="1571" spans="10:10" x14ac:dyDescent="0.25">
      <c r="J1571" s="15"/>
    </row>
    <row r="1572" spans="10:10" x14ac:dyDescent="0.25">
      <c r="J1572" s="15"/>
    </row>
    <row r="1573" spans="10:10" x14ac:dyDescent="0.25">
      <c r="J1573" s="15"/>
    </row>
    <row r="1574" spans="10:10" x14ac:dyDescent="0.25">
      <c r="J1574" s="15"/>
    </row>
    <row r="1575" spans="10:10" x14ac:dyDescent="0.25">
      <c r="J1575" s="15"/>
    </row>
    <row r="1576" spans="10:10" x14ac:dyDescent="0.25">
      <c r="J1576" s="15"/>
    </row>
    <row r="1577" spans="10:10" x14ac:dyDescent="0.25">
      <c r="J1577" s="15"/>
    </row>
    <row r="1578" spans="10:10" x14ac:dyDescent="0.25">
      <c r="J1578" s="15"/>
    </row>
    <row r="1579" spans="10:10" x14ac:dyDescent="0.25">
      <c r="J1579" s="15"/>
    </row>
    <row r="1580" spans="10:10" x14ac:dyDescent="0.25">
      <c r="J1580" s="15"/>
    </row>
    <row r="1581" spans="10:10" x14ac:dyDescent="0.25">
      <c r="J1581" s="15"/>
    </row>
    <row r="1582" spans="10:10" x14ac:dyDescent="0.25">
      <c r="J1582" s="15"/>
    </row>
    <row r="1583" spans="10:10" x14ac:dyDescent="0.25">
      <c r="J1583" s="15"/>
    </row>
    <row r="1584" spans="10:10" x14ac:dyDescent="0.25">
      <c r="J1584" s="15"/>
    </row>
    <row r="1585" spans="10:10" x14ac:dyDescent="0.25">
      <c r="J1585" s="15"/>
    </row>
    <row r="1586" spans="10:10" x14ac:dyDescent="0.25">
      <c r="J1586" s="15"/>
    </row>
    <row r="1587" spans="10:10" x14ac:dyDescent="0.25">
      <c r="J1587" s="15"/>
    </row>
    <row r="1588" spans="10:10" x14ac:dyDescent="0.25">
      <c r="J1588" s="15"/>
    </row>
    <row r="1589" spans="10:10" x14ac:dyDescent="0.25">
      <c r="J1589" s="15"/>
    </row>
    <row r="1590" spans="10:10" x14ac:dyDescent="0.25">
      <c r="J1590" s="15"/>
    </row>
    <row r="1591" spans="10:10" x14ac:dyDescent="0.25">
      <c r="J1591" s="15"/>
    </row>
    <row r="1592" spans="10:10" x14ac:dyDescent="0.25">
      <c r="J1592" s="15"/>
    </row>
    <row r="1593" spans="10:10" x14ac:dyDescent="0.25">
      <c r="J1593" s="15"/>
    </row>
    <row r="1594" spans="10:10" x14ac:dyDescent="0.25">
      <c r="J1594" s="15"/>
    </row>
    <row r="1595" spans="10:10" x14ac:dyDescent="0.25">
      <c r="J1595" s="15"/>
    </row>
    <row r="1596" spans="10:10" x14ac:dyDescent="0.25">
      <c r="J1596" s="15"/>
    </row>
    <row r="1597" spans="10:10" x14ac:dyDescent="0.25">
      <c r="J1597" s="15"/>
    </row>
    <row r="1598" spans="10:10" x14ac:dyDescent="0.25">
      <c r="J1598" s="15"/>
    </row>
    <row r="1599" spans="10:10" x14ac:dyDescent="0.25">
      <c r="J1599" s="15"/>
    </row>
    <row r="1600" spans="10:10" x14ac:dyDescent="0.25">
      <c r="J1600" s="15"/>
    </row>
    <row r="1601" spans="10:10" x14ac:dyDescent="0.25">
      <c r="J1601" s="15"/>
    </row>
    <row r="1602" spans="10:10" x14ac:dyDescent="0.25">
      <c r="J1602" s="15"/>
    </row>
    <row r="1603" spans="10:10" x14ac:dyDescent="0.25">
      <c r="J1603" s="15"/>
    </row>
    <row r="1604" spans="10:10" x14ac:dyDescent="0.25">
      <c r="J1604" s="15"/>
    </row>
    <row r="1605" spans="10:10" x14ac:dyDescent="0.25">
      <c r="J1605" s="15"/>
    </row>
    <row r="1606" spans="10:10" x14ac:dyDescent="0.25">
      <c r="J1606" s="15"/>
    </row>
    <row r="1607" spans="10:10" x14ac:dyDescent="0.25">
      <c r="J1607" s="15"/>
    </row>
    <row r="1608" spans="10:10" x14ac:dyDescent="0.25">
      <c r="J1608" s="15"/>
    </row>
    <row r="1609" spans="10:10" x14ac:dyDescent="0.25">
      <c r="J1609" s="15"/>
    </row>
    <row r="1610" spans="10:10" x14ac:dyDescent="0.25">
      <c r="J1610" s="15"/>
    </row>
    <row r="1611" spans="10:10" x14ac:dyDescent="0.25">
      <c r="J1611" s="15"/>
    </row>
    <row r="1612" spans="10:10" x14ac:dyDescent="0.25">
      <c r="J1612" s="15"/>
    </row>
    <row r="1613" spans="10:10" x14ac:dyDescent="0.25">
      <c r="J1613" s="15"/>
    </row>
    <row r="1614" spans="10:10" x14ac:dyDescent="0.25">
      <c r="J1614" s="15"/>
    </row>
    <row r="1615" spans="10:10" x14ac:dyDescent="0.25">
      <c r="J1615" s="15"/>
    </row>
    <row r="1616" spans="10:10" x14ac:dyDescent="0.25">
      <c r="J1616" s="15"/>
    </row>
    <row r="1617" spans="10:10" x14ac:dyDescent="0.25">
      <c r="J1617" s="15"/>
    </row>
    <row r="1618" spans="10:10" x14ac:dyDescent="0.25">
      <c r="J1618" s="15"/>
    </row>
    <row r="1619" spans="10:10" x14ac:dyDescent="0.25">
      <c r="J1619" s="15"/>
    </row>
    <row r="1620" spans="10:10" x14ac:dyDescent="0.25">
      <c r="J1620" s="15"/>
    </row>
    <row r="1621" spans="10:10" x14ac:dyDescent="0.25">
      <c r="J1621" s="15"/>
    </row>
    <row r="1622" spans="10:10" x14ac:dyDescent="0.25">
      <c r="J1622" s="15"/>
    </row>
    <row r="1623" spans="10:10" x14ac:dyDescent="0.25">
      <c r="J1623" s="15"/>
    </row>
    <row r="1624" spans="10:10" x14ac:dyDescent="0.25">
      <c r="J1624" s="15"/>
    </row>
    <row r="1625" spans="10:10" x14ac:dyDescent="0.25">
      <c r="J1625" s="15"/>
    </row>
    <row r="1626" spans="10:10" x14ac:dyDescent="0.25">
      <c r="J1626" s="15"/>
    </row>
    <row r="1627" spans="10:10" x14ac:dyDescent="0.25">
      <c r="J1627" s="15"/>
    </row>
    <row r="1628" spans="10:10" x14ac:dyDescent="0.25">
      <c r="J1628" s="15"/>
    </row>
    <row r="1629" spans="10:10" x14ac:dyDescent="0.25">
      <c r="J1629" s="15"/>
    </row>
    <row r="1630" spans="10:10" x14ac:dyDescent="0.25">
      <c r="J1630" s="15"/>
    </row>
    <row r="1631" spans="10:10" x14ac:dyDescent="0.25">
      <c r="J1631" s="15"/>
    </row>
    <row r="1632" spans="10:10" x14ac:dyDescent="0.25">
      <c r="J1632" s="15"/>
    </row>
    <row r="1633" spans="10:10" x14ac:dyDescent="0.25">
      <c r="J1633" s="15"/>
    </row>
    <row r="1634" spans="10:10" x14ac:dyDescent="0.25">
      <c r="J1634" s="15"/>
    </row>
    <row r="1635" spans="10:10" x14ac:dyDescent="0.25">
      <c r="J1635" s="15"/>
    </row>
    <row r="1636" spans="10:10" x14ac:dyDescent="0.25">
      <c r="J1636" s="15"/>
    </row>
    <row r="1637" spans="10:10" x14ac:dyDescent="0.25">
      <c r="J1637" s="15"/>
    </row>
    <row r="1638" spans="10:10" x14ac:dyDescent="0.25">
      <c r="J1638" s="15"/>
    </row>
    <row r="1639" spans="10:10" x14ac:dyDescent="0.25">
      <c r="J1639" s="15"/>
    </row>
    <row r="1640" spans="10:10" x14ac:dyDescent="0.25">
      <c r="J1640" s="15"/>
    </row>
    <row r="1641" spans="10:10" x14ac:dyDescent="0.25">
      <c r="J1641" s="15"/>
    </row>
    <row r="1642" spans="10:10" x14ac:dyDescent="0.25">
      <c r="J1642" s="15"/>
    </row>
    <row r="1643" spans="10:10" x14ac:dyDescent="0.25">
      <c r="J1643" s="15"/>
    </row>
    <row r="1644" spans="10:10" x14ac:dyDescent="0.25">
      <c r="J1644" s="15"/>
    </row>
    <row r="1645" spans="10:10" x14ac:dyDescent="0.25">
      <c r="J1645" s="15"/>
    </row>
    <row r="1646" spans="10:10" x14ac:dyDescent="0.25">
      <c r="J1646" s="15"/>
    </row>
    <row r="1647" spans="10:10" x14ac:dyDescent="0.25">
      <c r="J1647" s="15"/>
    </row>
    <row r="1648" spans="10:10" x14ac:dyDescent="0.25">
      <c r="J1648" s="15"/>
    </row>
    <row r="1649" spans="10:10" x14ac:dyDescent="0.25">
      <c r="J1649" s="15"/>
    </row>
    <row r="1650" spans="10:10" x14ac:dyDescent="0.25">
      <c r="J1650" s="15"/>
    </row>
    <row r="1651" spans="10:10" x14ac:dyDescent="0.25">
      <c r="J1651" s="15"/>
    </row>
    <row r="1652" spans="10:10" x14ac:dyDescent="0.25">
      <c r="J1652" s="15"/>
    </row>
    <row r="1653" spans="10:10" x14ac:dyDescent="0.25">
      <c r="J1653" s="15"/>
    </row>
    <row r="1654" spans="10:10" x14ac:dyDescent="0.25">
      <c r="J1654" s="15"/>
    </row>
    <row r="1655" spans="10:10" x14ac:dyDescent="0.25">
      <c r="J1655" s="15"/>
    </row>
    <row r="1656" spans="10:10" x14ac:dyDescent="0.25">
      <c r="J1656" s="15"/>
    </row>
    <row r="1657" spans="10:10" x14ac:dyDescent="0.25">
      <c r="J1657" s="15"/>
    </row>
    <row r="1658" spans="10:10" x14ac:dyDescent="0.25">
      <c r="J1658" s="15"/>
    </row>
    <row r="1659" spans="10:10" x14ac:dyDescent="0.25">
      <c r="J1659" s="15"/>
    </row>
    <row r="1660" spans="10:10" x14ac:dyDescent="0.25">
      <c r="J1660" s="15"/>
    </row>
    <row r="1661" spans="10:10" x14ac:dyDescent="0.25">
      <c r="J1661" s="15"/>
    </row>
    <row r="1662" spans="10:10" x14ac:dyDescent="0.25">
      <c r="J1662" s="15"/>
    </row>
    <row r="1663" spans="10:10" x14ac:dyDescent="0.25">
      <c r="J1663" s="15"/>
    </row>
    <row r="1664" spans="10:10" x14ac:dyDescent="0.25">
      <c r="J1664" s="15"/>
    </row>
    <row r="1665" spans="10:10" x14ac:dyDescent="0.25">
      <c r="J1665" s="15"/>
    </row>
    <row r="1666" spans="10:10" x14ac:dyDescent="0.25">
      <c r="J1666" s="15"/>
    </row>
    <row r="1667" spans="10:10" x14ac:dyDescent="0.25">
      <c r="J1667" s="15"/>
    </row>
    <row r="1668" spans="10:10" x14ac:dyDescent="0.25">
      <c r="J1668" s="15"/>
    </row>
    <row r="1669" spans="10:10" x14ac:dyDescent="0.25">
      <c r="J1669" s="15"/>
    </row>
    <row r="1670" spans="10:10" x14ac:dyDescent="0.25">
      <c r="J1670" s="15"/>
    </row>
    <row r="1671" spans="10:10" x14ac:dyDescent="0.25">
      <c r="J1671" s="15"/>
    </row>
    <row r="1672" spans="10:10" x14ac:dyDescent="0.25">
      <c r="J1672" s="15"/>
    </row>
    <row r="1673" spans="10:10" x14ac:dyDescent="0.25">
      <c r="J1673" s="15"/>
    </row>
    <row r="1674" spans="10:10" x14ac:dyDescent="0.25">
      <c r="J1674" s="15"/>
    </row>
    <row r="1675" spans="10:10" x14ac:dyDescent="0.25">
      <c r="J1675" s="15"/>
    </row>
    <row r="1676" spans="10:10" x14ac:dyDescent="0.25">
      <c r="J1676" s="15"/>
    </row>
    <row r="1677" spans="10:10" x14ac:dyDescent="0.25">
      <c r="J1677" s="15"/>
    </row>
    <row r="1678" spans="10:10" x14ac:dyDescent="0.25">
      <c r="J1678" s="15"/>
    </row>
    <row r="1679" spans="10:10" x14ac:dyDescent="0.25">
      <c r="J1679" s="15"/>
    </row>
    <row r="1680" spans="10:10" x14ac:dyDescent="0.25">
      <c r="J1680" s="15"/>
    </row>
    <row r="1681" spans="10:10" x14ac:dyDescent="0.25">
      <c r="J1681" s="15"/>
    </row>
    <row r="1682" spans="10:10" x14ac:dyDescent="0.25">
      <c r="J1682" s="15"/>
    </row>
    <row r="1683" spans="10:10" x14ac:dyDescent="0.25">
      <c r="J1683" s="15"/>
    </row>
    <row r="1684" spans="10:10" x14ac:dyDescent="0.25">
      <c r="J1684" s="15"/>
    </row>
    <row r="1685" spans="10:10" x14ac:dyDescent="0.25">
      <c r="J1685" s="15"/>
    </row>
    <row r="1686" spans="10:10" x14ac:dyDescent="0.25">
      <c r="J1686" s="15"/>
    </row>
    <row r="1687" spans="10:10" x14ac:dyDescent="0.25">
      <c r="J1687" s="15"/>
    </row>
    <row r="1688" spans="10:10" x14ac:dyDescent="0.25">
      <c r="J1688" s="15"/>
    </row>
    <row r="1689" spans="10:10" x14ac:dyDescent="0.25">
      <c r="J1689" s="15"/>
    </row>
    <row r="1690" spans="10:10" x14ac:dyDescent="0.25">
      <c r="J1690" s="15"/>
    </row>
    <row r="1691" spans="10:10" x14ac:dyDescent="0.25">
      <c r="J1691" s="15"/>
    </row>
    <row r="1692" spans="10:10" x14ac:dyDescent="0.25">
      <c r="J1692" s="15"/>
    </row>
    <row r="1693" spans="10:10" x14ac:dyDescent="0.25">
      <c r="J1693" s="15"/>
    </row>
    <row r="1694" spans="10:10" x14ac:dyDescent="0.25">
      <c r="J1694" s="15"/>
    </row>
    <row r="1695" spans="10:10" x14ac:dyDescent="0.25">
      <c r="J1695" s="15"/>
    </row>
    <row r="1696" spans="10:10" x14ac:dyDescent="0.25">
      <c r="J1696" s="15"/>
    </row>
    <row r="1697" spans="10:10" x14ac:dyDescent="0.25">
      <c r="J1697" s="15"/>
    </row>
    <row r="1698" spans="10:10" x14ac:dyDescent="0.25">
      <c r="J1698" s="15"/>
    </row>
    <row r="1699" spans="10:10" x14ac:dyDescent="0.25">
      <c r="J1699" s="15"/>
    </row>
    <row r="1700" spans="10:10" x14ac:dyDescent="0.25">
      <c r="J1700" s="15"/>
    </row>
    <row r="1701" spans="10:10" x14ac:dyDescent="0.25">
      <c r="J1701" s="15"/>
    </row>
    <row r="1702" spans="10:10" x14ac:dyDescent="0.25">
      <c r="J1702" s="15"/>
    </row>
    <row r="1703" spans="10:10" x14ac:dyDescent="0.25">
      <c r="J1703" s="15"/>
    </row>
    <row r="1704" spans="10:10" x14ac:dyDescent="0.25">
      <c r="J1704" s="15"/>
    </row>
    <row r="1705" spans="10:10" x14ac:dyDescent="0.25">
      <c r="J1705" s="15"/>
    </row>
    <row r="1706" spans="10:10" x14ac:dyDescent="0.25">
      <c r="J1706" s="15"/>
    </row>
    <row r="1707" spans="10:10" x14ac:dyDescent="0.25">
      <c r="J1707" s="15"/>
    </row>
    <row r="1708" spans="10:10" x14ac:dyDescent="0.25">
      <c r="J1708" s="15"/>
    </row>
    <row r="1709" spans="10:10" x14ac:dyDescent="0.25">
      <c r="J1709" s="15"/>
    </row>
    <row r="1710" spans="10:10" x14ac:dyDescent="0.25">
      <c r="J1710" s="15"/>
    </row>
    <row r="1711" spans="10:10" x14ac:dyDescent="0.25">
      <c r="J1711" s="15"/>
    </row>
    <row r="1712" spans="10:10" x14ac:dyDescent="0.25">
      <c r="J1712" s="15"/>
    </row>
    <row r="1713" spans="10:10" x14ac:dyDescent="0.25">
      <c r="J1713" s="15"/>
    </row>
    <row r="1714" spans="10:10" x14ac:dyDescent="0.25">
      <c r="J1714" s="15"/>
    </row>
    <row r="1715" spans="10:10" x14ac:dyDescent="0.25">
      <c r="J1715" s="15"/>
    </row>
    <row r="1716" spans="10:10" x14ac:dyDescent="0.25">
      <c r="J1716" s="15"/>
    </row>
    <row r="1717" spans="10:10" x14ac:dyDescent="0.25">
      <c r="J1717" s="15"/>
    </row>
    <row r="1718" spans="10:10" x14ac:dyDescent="0.25">
      <c r="J1718" s="15"/>
    </row>
    <row r="1719" spans="10:10" x14ac:dyDescent="0.25">
      <c r="J1719" s="15"/>
    </row>
    <row r="1720" spans="10:10" x14ac:dyDescent="0.25">
      <c r="J1720" s="15"/>
    </row>
    <row r="1721" spans="10:10" x14ac:dyDescent="0.25">
      <c r="J1721" s="15"/>
    </row>
    <row r="1722" spans="10:10" x14ac:dyDescent="0.25">
      <c r="J1722" s="15"/>
    </row>
    <row r="1723" spans="10:10" x14ac:dyDescent="0.25">
      <c r="J1723" s="15"/>
    </row>
    <row r="1724" spans="10:10" x14ac:dyDescent="0.25">
      <c r="J1724" s="15"/>
    </row>
    <row r="1725" spans="10:10" x14ac:dyDescent="0.25">
      <c r="J1725" s="15"/>
    </row>
    <row r="1726" spans="10:10" x14ac:dyDescent="0.25">
      <c r="J1726" s="15"/>
    </row>
    <row r="1727" spans="10:10" x14ac:dyDescent="0.25">
      <c r="J1727" s="15"/>
    </row>
    <row r="1728" spans="10:10" x14ac:dyDescent="0.25">
      <c r="J1728" s="15"/>
    </row>
    <row r="1729" spans="10:10" x14ac:dyDescent="0.25">
      <c r="J1729" s="15"/>
    </row>
    <row r="1730" spans="10:10" x14ac:dyDescent="0.25">
      <c r="J1730" s="15"/>
    </row>
    <row r="1731" spans="10:10" x14ac:dyDescent="0.25">
      <c r="J1731" s="15"/>
    </row>
    <row r="1732" spans="10:10" x14ac:dyDescent="0.25">
      <c r="J1732" s="15"/>
    </row>
    <row r="1733" spans="10:10" x14ac:dyDescent="0.25">
      <c r="J1733" s="15"/>
    </row>
    <row r="1734" spans="10:10" x14ac:dyDescent="0.25">
      <c r="J1734" s="15"/>
    </row>
    <row r="1735" spans="10:10" x14ac:dyDescent="0.25">
      <c r="J1735" s="15"/>
    </row>
    <row r="1736" spans="10:10" x14ac:dyDescent="0.25">
      <c r="J1736" s="15"/>
    </row>
    <row r="1737" spans="10:10" x14ac:dyDescent="0.25">
      <c r="J1737" s="15"/>
    </row>
    <row r="1738" spans="10:10" x14ac:dyDescent="0.25">
      <c r="J1738" s="15"/>
    </row>
    <row r="1739" spans="10:10" x14ac:dyDescent="0.25">
      <c r="J1739" s="15"/>
    </row>
    <row r="1740" spans="10:10" x14ac:dyDescent="0.25">
      <c r="J1740" s="15"/>
    </row>
    <row r="1741" spans="10:10" x14ac:dyDescent="0.25">
      <c r="J1741" s="15"/>
    </row>
    <row r="1742" spans="10:10" x14ac:dyDescent="0.25">
      <c r="J1742" s="15"/>
    </row>
    <row r="1743" spans="10:10" x14ac:dyDescent="0.25">
      <c r="J1743" s="15"/>
    </row>
    <row r="1744" spans="10:10" x14ac:dyDescent="0.25">
      <c r="J1744" s="15"/>
    </row>
    <row r="1745" spans="10:10" x14ac:dyDescent="0.25">
      <c r="J1745" s="15"/>
    </row>
    <row r="1746" spans="10:10" x14ac:dyDescent="0.25">
      <c r="J1746" s="15"/>
    </row>
    <row r="1747" spans="10:10" x14ac:dyDescent="0.25">
      <c r="J1747" s="15"/>
    </row>
    <row r="1748" spans="10:10" x14ac:dyDescent="0.25">
      <c r="J1748" s="15"/>
    </row>
    <row r="1749" spans="10:10" x14ac:dyDescent="0.25">
      <c r="J1749" s="15"/>
    </row>
    <row r="1750" spans="10:10" x14ac:dyDescent="0.25">
      <c r="J1750" s="15"/>
    </row>
    <row r="1751" spans="10:10" x14ac:dyDescent="0.25">
      <c r="J1751" s="15"/>
    </row>
    <row r="1752" spans="10:10" x14ac:dyDescent="0.25">
      <c r="J1752" s="15"/>
    </row>
    <row r="1753" spans="10:10" x14ac:dyDescent="0.25">
      <c r="J1753" s="15"/>
    </row>
    <row r="1754" spans="10:10" x14ac:dyDescent="0.25">
      <c r="J1754" s="15"/>
    </row>
    <row r="1755" spans="10:10" x14ac:dyDescent="0.25">
      <c r="J1755" s="15"/>
    </row>
    <row r="1756" spans="10:10" x14ac:dyDescent="0.25">
      <c r="J1756" s="15"/>
    </row>
    <row r="1757" spans="10:10" x14ac:dyDescent="0.25">
      <c r="J1757" s="15"/>
    </row>
    <row r="1758" spans="10:10" x14ac:dyDescent="0.25">
      <c r="J1758" s="15"/>
    </row>
    <row r="1759" spans="10:10" x14ac:dyDescent="0.25">
      <c r="J1759" s="15"/>
    </row>
    <row r="1760" spans="10:10" x14ac:dyDescent="0.25">
      <c r="J1760" s="15"/>
    </row>
    <row r="1761" spans="10:10" x14ac:dyDescent="0.25">
      <c r="J1761" s="15"/>
    </row>
    <row r="1762" spans="10:10" x14ac:dyDescent="0.25">
      <c r="J1762" s="15"/>
    </row>
    <row r="1763" spans="10:10" x14ac:dyDescent="0.25">
      <c r="J1763" s="15"/>
    </row>
    <row r="1764" spans="10:10" x14ac:dyDescent="0.25">
      <c r="J1764" s="15"/>
    </row>
    <row r="1765" spans="10:10" x14ac:dyDescent="0.25">
      <c r="J1765" s="15"/>
    </row>
    <row r="1766" spans="10:10" x14ac:dyDescent="0.25">
      <c r="J1766" s="15"/>
    </row>
    <row r="1767" spans="10:10" x14ac:dyDescent="0.25">
      <c r="J1767" s="15"/>
    </row>
    <row r="1768" spans="10:10" x14ac:dyDescent="0.25">
      <c r="J1768" s="15"/>
    </row>
    <row r="1769" spans="10:10" x14ac:dyDescent="0.25">
      <c r="J1769" s="15"/>
    </row>
    <row r="1770" spans="10:10" x14ac:dyDescent="0.25">
      <c r="J1770" s="15"/>
    </row>
    <row r="1771" spans="10:10" x14ac:dyDescent="0.25">
      <c r="J1771" s="15"/>
    </row>
    <row r="1772" spans="10:10" x14ac:dyDescent="0.25">
      <c r="J1772" s="15"/>
    </row>
    <row r="1773" spans="10:10" x14ac:dyDescent="0.25">
      <c r="J1773" s="15"/>
    </row>
    <row r="1774" spans="10:10" x14ac:dyDescent="0.25">
      <c r="J1774" s="15"/>
    </row>
    <row r="1775" spans="10:10" x14ac:dyDescent="0.25">
      <c r="J1775" s="15"/>
    </row>
    <row r="1776" spans="10:10" x14ac:dyDescent="0.25">
      <c r="J1776" s="15"/>
    </row>
    <row r="1777" spans="10:10" x14ac:dyDescent="0.25">
      <c r="J1777" s="15"/>
    </row>
    <row r="1778" spans="10:10" x14ac:dyDescent="0.25">
      <c r="J1778" s="15"/>
    </row>
    <row r="1779" spans="10:10" x14ac:dyDescent="0.25">
      <c r="J1779" s="15"/>
    </row>
    <row r="1780" spans="10:10" x14ac:dyDescent="0.25">
      <c r="J1780" s="15"/>
    </row>
    <row r="1781" spans="10:10" x14ac:dyDescent="0.25">
      <c r="J1781" s="15"/>
    </row>
    <row r="1782" spans="10:10" x14ac:dyDescent="0.25">
      <c r="J1782" s="15"/>
    </row>
    <row r="1783" spans="10:10" x14ac:dyDescent="0.25">
      <c r="J1783" s="15"/>
    </row>
    <row r="1784" spans="10:10" x14ac:dyDescent="0.25">
      <c r="J1784" s="15"/>
    </row>
    <row r="1785" spans="10:10" x14ac:dyDescent="0.25">
      <c r="J1785" s="15"/>
    </row>
    <row r="1786" spans="10:10" x14ac:dyDescent="0.25">
      <c r="J1786" s="15"/>
    </row>
    <row r="1787" spans="10:10" x14ac:dyDescent="0.25">
      <c r="J1787" s="15"/>
    </row>
    <row r="1788" spans="10:10" x14ac:dyDescent="0.25">
      <c r="J1788" s="15"/>
    </row>
    <row r="1789" spans="10:10" x14ac:dyDescent="0.25">
      <c r="J1789" s="15"/>
    </row>
    <row r="1790" spans="10:10" x14ac:dyDescent="0.25">
      <c r="J1790" s="15"/>
    </row>
    <row r="1791" spans="10:10" x14ac:dyDescent="0.25">
      <c r="J1791" s="15"/>
    </row>
    <row r="1792" spans="10:10" x14ac:dyDescent="0.25">
      <c r="J1792" s="15"/>
    </row>
    <row r="1793" spans="10:10" x14ac:dyDescent="0.25">
      <c r="J1793" s="15"/>
    </row>
    <row r="1794" spans="10:10" x14ac:dyDescent="0.25">
      <c r="J1794" s="15"/>
    </row>
    <row r="1795" spans="10:10" x14ac:dyDescent="0.25">
      <c r="J1795" s="15"/>
    </row>
    <row r="1796" spans="10:10" x14ac:dyDescent="0.25">
      <c r="J1796" s="15"/>
    </row>
    <row r="1797" spans="10:10" x14ac:dyDescent="0.25">
      <c r="J1797" s="15"/>
    </row>
    <row r="1798" spans="10:10" x14ac:dyDescent="0.25">
      <c r="J1798" s="15"/>
    </row>
    <row r="1799" spans="10:10" x14ac:dyDescent="0.25">
      <c r="J1799" s="15"/>
    </row>
    <row r="1800" spans="10:10" x14ac:dyDescent="0.25">
      <c r="J1800" s="15"/>
    </row>
    <row r="1801" spans="10:10" x14ac:dyDescent="0.25">
      <c r="J1801" s="15"/>
    </row>
    <row r="1802" spans="10:10" x14ac:dyDescent="0.25">
      <c r="J1802" s="15"/>
    </row>
    <row r="1803" spans="10:10" x14ac:dyDescent="0.25">
      <c r="J1803" s="15"/>
    </row>
    <row r="1804" spans="10:10" x14ac:dyDescent="0.25">
      <c r="J1804" s="15"/>
    </row>
    <row r="1805" spans="10:10" x14ac:dyDescent="0.25">
      <c r="J1805" s="15"/>
    </row>
    <row r="1806" spans="10:10" x14ac:dyDescent="0.25">
      <c r="J1806" s="15"/>
    </row>
    <row r="1807" spans="10:10" x14ac:dyDescent="0.25">
      <c r="J1807" s="15"/>
    </row>
    <row r="1808" spans="10:10" x14ac:dyDescent="0.25">
      <c r="J1808" s="15"/>
    </row>
    <row r="1809" spans="10:10" x14ac:dyDescent="0.25">
      <c r="J1809" s="15"/>
    </row>
    <row r="1810" spans="10:10" x14ac:dyDescent="0.25">
      <c r="J1810" s="15"/>
    </row>
    <row r="1811" spans="10:10" x14ac:dyDescent="0.25">
      <c r="J1811" s="15"/>
    </row>
    <row r="1812" spans="10:10" x14ac:dyDescent="0.25">
      <c r="J1812" s="15"/>
    </row>
    <row r="1813" spans="10:10" x14ac:dyDescent="0.25">
      <c r="J1813" s="15"/>
    </row>
    <row r="1814" spans="10:10" x14ac:dyDescent="0.25">
      <c r="J1814" s="15"/>
    </row>
    <row r="1815" spans="10:10" x14ac:dyDescent="0.25">
      <c r="J1815" s="15"/>
    </row>
    <row r="1816" spans="10:10" x14ac:dyDescent="0.25">
      <c r="J1816" s="15"/>
    </row>
    <row r="1817" spans="10:10" x14ac:dyDescent="0.25">
      <c r="J1817" s="15"/>
    </row>
    <row r="1818" spans="10:10" x14ac:dyDescent="0.25">
      <c r="J1818" s="15"/>
    </row>
    <row r="1819" spans="10:10" x14ac:dyDescent="0.25">
      <c r="J1819" s="15"/>
    </row>
    <row r="1820" spans="10:10" x14ac:dyDescent="0.25">
      <c r="J1820" s="15"/>
    </row>
    <row r="1821" spans="10:10" x14ac:dyDescent="0.25">
      <c r="J1821" s="15"/>
    </row>
    <row r="1822" spans="10:10" x14ac:dyDescent="0.25">
      <c r="J1822" s="15"/>
    </row>
    <row r="1823" spans="10:10" x14ac:dyDescent="0.25">
      <c r="J1823" s="15"/>
    </row>
    <row r="1824" spans="10:10" x14ac:dyDescent="0.25">
      <c r="J1824" s="15"/>
    </row>
    <row r="1825" spans="10:10" x14ac:dyDescent="0.25">
      <c r="J1825" s="15"/>
    </row>
    <row r="1826" spans="10:10" x14ac:dyDescent="0.25">
      <c r="J1826" s="15"/>
    </row>
    <row r="1827" spans="10:10" x14ac:dyDescent="0.25">
      <c r="J1827" s="15"/>
    </row>
    <row r="1828" spans="10:10" x14ac:dyDescent="0.25">
      <c r="J1828" s="15"/>
    </row>
    <row r="1829" spans="10:10" x14ac:dyDescent="0.25">
      <c r="J1829" s="15"/>
    </row>
    <row r="1830" spans="10:10" x14ac:dyDescent="0.25">
      <c r="J1830" s="15"/>
    </row>
    <row r="1831" spans="10:10" x14ac:dyDescent="0.25">
      <c r="J1831" s="15"/>
    </row>
    <row r="1832" spans="10:10" x14ac:dyDescent="0.25">
      <c r="J1832" s="15"/>
    </row>
    <row r="1833" spans="10:10" x14ac:dyDescent="0.25">
      <c r="J1833" s="15"/>
    </row>
    <row r="1834" spans="10:10" x14ac:dyDescent="0.25">
      <c r="J1834" s="15"/>
    </row>
    <row r="1835" spans="10:10" x14ac:dyDescent="0.25">
      <c r="J1835" s="15"/>
    </row>
    <row r="1836" spans="10:10" x14ac:dyDescent="0.25">
      <c r="J1836" s="15"/>
    </row>
    <row r="1837" spans="10:10" x14ac:dyDescent="0.25">
      <c r="J1837" s="15"/>
    </row>
    <row r="1838" spans="10:10" x14ac:dyDescent="0.25">
      <c r="J1838" s="15"/>
    </row>
    <row r="1839" spans="10:10" x14ac:dyDescent="0.25">
      <c r="J1839" s="15"/>
    </row>
    <row r="1840" spans="10:10" x14ac:dyDescent="0.25">
      <c r="J1840" s="15"/>
    </row>
    <row r="1841" spans="10:10" x14ac:dyDescent="0.25">
      <c r="J1841" s="15"/>
    </row>
    <row r="1842" spans="10:10" x14ac:dyDescent="0.25">
      <c r="J1842" s="15"/>
    </row>
    <row r="1843" spans="10:10" x14ac:dyDescent="0.25">
      <c r="J1843" s="15"/>
    </row>
    <row r="1844" spans="10:10" x14ac:dyDescent="0.25">
      <c r="J1844" s="15"/>
    </row>
    <row r="1845" spans="10:10" x14ac:dyDescent="0.25">
      <c r="J1845" s="15"/>
    </row>
    <row r="1846" spans="10:10" x14ac:dyDescent="0.25">
      <c r="J1846" s="15"/>
    </row>
    <row r="1847" spans="10:10" x14ac:dyDescent="0.25">
      <c r="J1847" s="15"/>
    </row>
    <row r="1848" spans="10:10" x14ac:dyDescent="0.25">
      <c r="J1848" s="15"/>
    </row>
    <row r="1849" spans="10:10" x14ac:dyDescent="0.25">
      <c r="J1849" s="15"/>
    </row>
    <row r="1850" spans="10:10" x14ac:dyDescent="0.25">
      <c r="J1850" s="15"/>
    </row>
    <row r="1851" spans="10:10" x14ac:dyDescent="0.25">
      <c r="J1851" s="15"/>
    </row>
    <row r="1852" spans="10:10" x14ac:dyDescent="0.25">
      <c r="J1852" s="15"/>
    </row>
    <row r="1853" spans="10:10" x14ac:dyDescent="0.25">
      <c r="J1853" s="15"/>
    </row>
    <row r="1854" spans="10:10" x14ac:dyDescent="0.25">
      <c r="J1854" s="15"/>
    </row>
    <row r="1855" spans="10:10" x14ac:dyDescent="0.25">
      <c r="J1855" s="15"/>
    </row>
    <row r="1856" spans="10:10" x14ac:dyDescent="0.25">
      <c r="J1856" s="15"/>
    </row>
    <row r="1857" spans="10:10" x14ac:dyDescent="0.25">
      <c r="J1857" s="15"/>
    </row>
    <row r="1858" spans="10:10" x14ac:dyDescent="0.25">
      <c r="J1858" s="15"/>
    </row>
    <row r="1859" spans="10:10" x14ac:dyDescent="0.25">
      <c r="J1859" s="15"/>
    </row>
    <row r="1860" spans="10:10" x14ac:dyDescent="0.25">
      <c r="J1860" s="15"/>
    </row>
    <row r="1861" spans="10:10" x14ac:dyDescent="0.25">
      <c r="J1861" s="15"/>
    </row>
    <row r="1862" spans="10:10" x14ac:dyDescent="0.25">
      <c r="J1862" s="15"/>
    </row>
    <row r="1863" spans="10:10" x14ac:dyDescent="0.25">
      <c r="J1863" s="15"/>
    </row>
    <row r="1864" spans="10:10" x14ac:dyDescent="0.25">
      <c r="J1864" s="15"/>
    </row>
    <row r="1865" spans="10:10" x14ac:dyDescent="0.25">
      <c r="J1865" s="15"/>
    </row>
    <row r="1866" spans="10:10" x14ac:dyDescent="0.25">
      <c r="J1866" s="15"/>
    </row>
    <row r="1867" spans="10:10" x14ac:dyDescent="0.25">
      <c r="J1867" s="15"/>
    </row>
    <row r="1868" spans="10:10" x14ac:dyDescent="0.25">
      <c r="J1868" s="15"/>
    </row>
    <row r="1869" spans="10:10" x14ac:dyDescent="0.25">
      <c r="J1869" s="15"/>
    </row>
    <row r="1870" spans="10:10" x14ac:dyDescent="0.25">
      <c r="J1870" s="15"/>
    </row>
    <row r="1871" spans="10:10" x14ac:dyDescent="0.25">
      <c r="J1871" s="15"/>
    </row>
    <row r="1872" spans="10:10" x14ac:dyDescent="0.25">
      <c r="J1872" s="15"/>
    </row>
    <row r="1873" spans="10:10" x14ac:dyDescent="0.25">
      <c r="J1873" s="15"/>
    </row>
    <row r="1874" spans="10:10" x14ac:dyDescent="0.25">
      <c r="J1874" s="15"/>
    </row>
    <row r="1875" spans="10:10" x14ac:dyDescent="0.25">
      <c r="J1875" s="15"/>
    </row>
    <row r="1876" spans="10:10" x14ac:dyDescent="0.25">
      <c r="J1876" s="15"/>
    </row>
    <row r="1877" spans="10:10" x14ac:dyDescent="0.25">
      <c r="J1877" s="15"/>
    </row>
    <row r="1878" spans="10:10" x14ac:dyDescent="0.25">
      <c r="J1878" s="15"/>
    </row>
    <row r="1879" spans="10:10" x14ac:dyDescent="0.25">
      <c r="J1879" s="15"/>
    </row>
    <row r="1880" spans="10:10" x14ac:dyDescent="0.25">
      <c r="J1880" s="15"/>
    </row>
    <row r="1881" spans="10:10" x14ac:dyDescent="0.25">
      <c r="J1881" s="15"/>
    </row>
    <row r="1882" spans="10:10" x14ac:dyDescent="0.25">
      <c r="J1882" s="15"/>
    </row>
    <row r="1883" spans="10:10" x14ac:dyDescent="0.25">
      <c r="J1883" s="15"/>
    </row>
    <row r="1884" spans="10:10" x14ac:dyDescent="0.25">
      <c r="J1884" s="15"/>
    </row>
    <row r="1885" spans="10:10" x14ac:dyDescent="0.25">
      <c r="J1885" s="15"/>
    </row>
    <row r="1886" spans="10:10" x14ac:dyDescent="0.25">
      <c r="J1886" s="15"/>
    </row>
    <row r="1887" spans="10:10" x14ac:dyDescent="0.25">
      <c r="J1887" s="15"/>
    </row>
    <row r="1888" spans="10:10" x14ac:dyDescent="0.25">
      <c r="J1888" s="15"/>
    </row>
    <row r="1889" spans="10:10" x14ac:dyDescent="0.25">
      <c r="J1889" s="15"/>
    </row>
    <row r="1890" spans="10:10" x14ac:dyDescent="0.25">
      <c r="J1890" s="15"/>
    </row>
    <row r="1891" spans="10:10" x14ac:dyDescent="0.25">
      <c r="J1891" s="15"/>
    </row>
    <row r="1892" spans="10:10" x14ac:dyDescent="0.25">
      <c r="J1892" s="15"/>
    </row>
    <row r="1893" spans="10:10" x14ac:dyDescent="0.25">
      <c r="J1893" s="15"/>
    </row>
    <row r="1894" spans="10:10" x14ac:dyDescent="0.25">
      <c r="J1894" s="15"/>
    </row>
    <row r="1895" spans="10:10" x14ac:dyDescent="0.25">
      <c r="J1895" s="15"/>
    </row>
    <row r="1896" spans="10:10" x14ac:dyDescent="0.25">
      <c r="J1896" s="15"/>
    </row>
    <row r="1897" spans="10:10" x14ac:dyDescent="0.25">
      <c r="J1897" s="15"/>
    </row>
    <row r="1898" spans="10:10" x14ac:dyDescent="0.25">
      <c r="J1898" s="15"/>
    </row>
    <row r="1899" spans="10:10" x14ac:dyDescent="0.25">
      <c r="J1899" s="15"/>
    </row>
    <row r="1900" spans="10:10" x14ac:dyDescent="0.25">
      <c r="J1900" s="15"/>
    </row>
    <row r="1901" spans="10:10" x14ac:dyDescent="0.25">
      <c r="J1901" s="15"/>
    </row>
    <row r="1902" spans="10:10" x14ac:dyDescent="0.25">
      <c r="J1902" s="15"/>
    </row>
    <row r="1903" spans="10:10" x14ac:dyDescent="0.25">
      <c r="J1903" s="15"/>
    </row>
    <row r="1904" spans="10:10" x14ac:dyDescent="0.25">
      <c r="J1904" s="15"/>
    </row>
    <row r="1905" spans="10:10" x14ac:dyDescent="0.25">
      <c r="J1905" s="15"/>
    </row>
    <row r="1906" spans="10:10" x14ac:dyDescent="0.25">
      <c r="J1906" s="15"/>
    </row>
    <row r="1907" spans="10:10" x14ac:dyDescent="0.25">
      <c r="J1907" s="15"/>
    </row>
    <row r="1908" spans="10:10" x14ac:dyDescent="0.25">
      <c r="J1908" s="15"/>
    </row>
    <row r="1909" spans="10:10" x14ac:dyDescent="0.25">
      <c r="J1909" s="15"/>
    </row>
    <row r="1910" spans="10:10" x14ac:dyDescent="0.25">
      <c r="J1910" s="15"/>
    </row>
    <row r="1911" spans="10:10" x14ac:dyDescent="0.25">
      <c r="J1911" s="15"/>
    </row>
    <row r="1912" spans="10:10" x14ac:dyDescent="0.25">
      <c r="J1912" s="15"/>
    </row>
    <row r="1913" spans="10:10" x14ac:dyDescent="0.25">
      <c r="J1913" s="15"/>
    </row>
    <row r="1914" spans="10:10" x14ac:dyDescent="0.25">
      <c r="J1914" s="15"/>
    </row>
    <row r="1915" spans="10:10" x14ac:dyDescent="0.25">
      <c r="J1915" s="15"/>
    </row>
    <row r="1916" spans="10:10" x14ac:dyDescent="0.25">
      <c r="J1916" s="15"/>
    </row>
    <row r="1917" spans="10:10" x14ac:dyDescent="0.25">
      <c r="J1917" s="15"/>
    </row>
    <row r="1918" spans="10:10" x14ac:dyDescent="0.25">
      <c r="J1918" s="15"/>
    </row>
    <row r="1919" spans="10:10" x14ac:dyDescent="0.25">
      <c r="J1919" s="15"/>
    </row>
    <row r="1920" spans="10:10" x14ac:dyDescent="0.25">
      <c r="J1920" s="15"/>
    </row>
    <row r="1921" spans="10:10" x14ac:dyDescent="0.25">
      <c r="J1921" s="15"/>
    </row>
    <row r="1922" spans="10:10" x14ac:dyDescent="0.25">
      <c r="J1922" s="15"/>
    </row>
    <row r="1923" spans="10:10" x14ac:dyDescent="0.25">
      <c r="J1923" s="15"/>
    </row>
    <row r="1924" spans="10:10" x14ac:dyDescent="0.25">
      <c r="J1924" s="15"/>
    </row>
    <row r="1925" spans="10:10" x14ac:dyDescent="0.25">
      <c r="J1925" s="15"/>
    </row>
    <row r="1926" spans="10:10" x14ac:dyDescent="0.25">
      <c r="J1926" s="15"/>
    </row>
    <row r="1927" spans="10:10" x14ac:dyDescent="0.25">
      <c r="J1927" s="15"/>
    </row>
    <row r="1928" spans="10:10" x14ac:dyDescent="0.25">
      <c r="J1928" s="15"/>
    </row>
    <row r="1929" spans="10:10" x14ac:dyDescent="0.25">
      <c r="J1929" s="15"/>
    </row>
    <row r="1930" spans="10:10" x14ac:dyDescent="0.25">
      <c r="J1930" s="15"/>
    </row>
    <row r="1931" spans="10:10" x14ac:dyDescent="0.25">
      <c r="J1931" s="15"/>
    </row>
    <row r="1932" spans="10:10" x14ac:dyDescent="0.25">
      <c r="J1932" s="15"/>
    </row>
    <row r="1933" spans="10:10" x14ac:dyDescent="0.25">
      <c r="J1933" s="15"/>
    </row>
    <row r="1934" spans="10:10" x14ac:dyDescent="0.25">
      <c r="J1934" s="15"/>
    </row>
    <row r="1935" spans="10:10" x14ac:dyDescent="0.25">
      <c r="J1935" s="15"/>
    </row>
    <row r="1936" spans="10:10" x14ac:dyDescent="0.25">
      <c r="J1936" s="15"/>
    </row>
    <row r="1937" spans="10:10" x14ac:dyDescent="0.25">
      <c r="J1937" s="15"/>
    </row>
    <row r="1938" spans="10:10" x14ac:dyDescent="0.25">
      <c r="J1938" s="15"/>
    </row>
    <row r="1939" spans="10:10" x14ac:dyDescent="0.25">
      <c r="J1939" s="15"/>
    </row>
    <row r="1940" spans="10:10" x14ac:dyDescent="0.25">
      <c r="J1940" s="15"/>
    </row>
    <row r="1941" spans="10:10" x14ac:dyDescent="0.25">
      <c r="J1941" s="15"/>
    </row>
    <row r="1942" spans="10:10" x14ac:dyDescent="0.25">
      <c r="J1942" s="15"/>
    </row>
    <row r="1943" spans="10:10" x14ac:dyDescent="0.25">
      <c r="J1943" s="15"/>
    </row>
    <row r="1944" spans="10:10" x14ac:dyDescent="0.25">
      <c r="J1944" s="15"/>
    </row>
    <row r="1945" spans="10:10" x14ac:dyDescent="0.25">
      <c r="J1945" s="15"/>
    </row>
    <row r="1946" spans="10:10" x14ac:dyDescent="0.25">
      <c r="J1946" s="15"/>
    </row>
    <row r="1947" spans="10:10" x14ac:dyDescent="0.25">
      <c r="J1947" s="15"/>
    </row>
    <row r="1948" spans="10:10" x14ac:dyDescent="0.25">
      <c r="J1948" s="15"/>
    </row>
    <row r="1949" spans="10:10" x14ac:dyDescent="0.25">
      <c r="J1949" s="15"/>
    </row>
    <row r="1950" spans="10:10" x14ac:dyDescent="0.25">
      <c r="J1950" s="15"/>
    </row>
    <row r="1951" spans="10:10" x14ac:dyDescent="0.25">
      <c r="J1951" s="15"/>
    </row>
    <row r="1952" spans="10:10" x14ac:dyDescent="0.25">
      <c r="J1952" s="15"/>
    </row>
    <row r="1953" spans="10:10" x14ac:dyDescent="0.25">
      <c r="J1953" s="15"/>
    </row>
    <row r="1954" spans="10:10" x14ac:dyDescent="0.25">
      <c r="J1954" s="15"/>
    </row>
    <row r="1955" spans="10:10" x14ac:dyDescent="0.25">
      <c r="J1955" s="15"/>
    </row>
    <row r="1956" spans="10:10" x14ac:dyDescent="0.25">
      <c r="J1956" s="15"/>
    </row>
    <row r="1957" spans="10:10" x14ac:dyDescent="0.25">
      <c r="J1957" s="15"/>
    </row>
    <row r="1958" spans="10:10" x14ac:dyDescent="0.25">
      <c r="J1958" s="15"/>
    </row>
    <row r="1959" spans="10:10" x14ac:dyDescent="0.25">
      <c r="J1959" s="15"/>
    </row>
    <row r="1960" spans="10:10" x14ac:dyDescent="0.25">
      <c r="J1960" s="15"/>
    </row>
    <row r="1961" spans="10:10" x14ac:dyDescent="0.25">
      <c r="J1961" s="15"/>
    </row>
    <row r="1962" spans="10:10" x14ac:dyDescent="0.25">
      <c r="J1962" s="15"/>
    </row>
    <row r="1963" spans="10:10" x14ac:dyDescent="0.25">
      <c r="J1963" s="15"/>
    </row>
    <row r="1964" spans="10:10" x14ac:dyDescent="0.25">
      <c r="J1964" s="15"/>
    </row>
    <row r="1965" spans="10:10" x14ac:dyDescent="0.25">
      <c r="J1965" s="15"/>
    </row>
    <row r="1966" spans="10:10" x14ac:dyDescent="0.25">
      <c r="J1966" s="15"/>
    </row>
    <row r="1967" spans="10:10" x14ac:dyDescent="0.25">
      <c r="J1967" s="15"/>
    </row>
    <row r="1968" spans="10:10" x14ac:dyDescent="0.25">
      <c r="J1968" s="15"/>
    </row>
    <row r="1969" spans="10:10" x14ac:dyDescent="0.25">
      <c r="J1969" s="15"/>
    </row>
    <row r="1970" spans="10:10" x14ac:dyDescent="0.25">
      <c r="J1970" s="15"/>
    </row>
    <row r="1971" spans="10:10" x14ac:dyDescent="0.25">
      <c r="J1971" s="15"/>
    </row>
    <row r="1972" spans="10:10" x14ac:dyDescent="0.25">
      <c r="J1972" s="15"/>
    </row>
    <row r="1973" spans="10:10" x14ac:dyDescent="0.25">
      <c r="J1973" s="15"/>
    </row>
    <row r="1974" spans="10:10" x14ac:dyDescent="0.25">
      <c r="J1974" s="15"/>
    </row>
    <row r="1975" spans="10:10" x14ac:dyDescent="0.25">
      <c r="J1975" s="15"/>
    </row>
    <row r="1976" spans="10:10" x14ac:dyDescent="0.25">
      <c r="J1976" s="15"/>
    </row>
    <row r="1977" spans="10:10" x14ac:dyDescent="0.25">
      <c r="J1977" s="15"/>
    </row>
    <row r="1978" spans="10:10" x14ac:dyDescent="0.25">
      <c r="J1978" s="15"/>
    </row>
    <row r="1979" spans="10:10" x14ac:dyDescent="0.25">
      <c r="J1979" s="15"/>
    </row>
    <row r="1980" spans="10:10" x14ac:dyDescent="0.25">
      <c r="J1980" s="15"/>
    </row>
    <row r="1981" spans="10:10" x14ac:dyDescent="0.25">
      <c r="J1981" s="15"/>
    </row>
    <row r="1982" spans="10:10" x14ac:dyDescent="0.25">
      <c r="J1982" s="15"/>
    </row>
    <row r="1983" spans="10:10" x14ac:dyDescent="0.25">
      <c r="J1983" s="15"/>
    </row>
    <row r="1984" spans="10:10" x14ac:dyDescent="0.25">
      <c r="J1984" s="15"/>
    </row>
    <row r="1985" spans="10:10" x14ac:dyDescent="0.25">
      <c r="J1985" s="15"/>
    </row>
    <row r="1986" spans="10:10" x14ac:dyDescent="0.25">
      <c r="J1986" s="15"/>
    </row>
    <row r="1987" spans="10:10" x14ac:dyDescent="0.25">
      <c r="J1987" s="15"/>
    </row>
    <row r="1988" spans="10:10" x14ac:dyDescent="0.25">
      <c r="J1988" s="15"/>
    </row>
    <row r="1989" spans="10:10" x14ac:dyDescent="0.25">
      <c r="J1989" s="15"/>
    </row>
    <row r="1990" spans="10:10" x14ac:dyDescent="0.25">
      <c r="J1990" s="15"/>
    </row>
    <row r="1991" spans="10:10" x14ac:dyDescent="0.25">
      <c r="J1991" s="15"/>
    </row>
    <row r="1992" spans="10:10" x14ac:dyDescent="0.25">
      <c r="J1992" s="15"/>
    </row>
    <row r="1993" spans="10:10" x14ac:dyDescent="0.25">
      <c r="J1993" s="15"/>
    </row>
    <row r="1994" spans="10:10" x14ac:dyDescent="0.25">
      <c r="J1994" s="15"/>
    </row>
    <row r="1995" spans="10:10" x14ac:dyDescent="0.25">
      <c r="J1995" s="15"/>
    </row>
    <row r="1996" spans="10:10" x14ac:dyDescent="0.25">
      <c r="J1996" s="15"/>
    </row>
    <row r="1997" spans="10:10" x14ac:dyDescent="0.25">
      <c r="J1997" s="15"/>
    </row>
    <row r="1998" spans="10:10" x14ac:dyDescent="0.25">
      <c r="J1998" s="15"/>
    </row>
    <row r="1999" spans="10:10" x14ac:dyDescent="0.25">
      <c r="J1999" s="15"/>
    </row>
    <row r="2000" spans="10:10" x14ac:dyDescent="0.25">
      <c r="J2000" s="15"/>
    </row>
    <row r="2001" spans="10:10" x14ac:dyDescent="0.25">
      <c r="J2001" s="15"/>
    </row>
    <row r="2002" spans="10:10" x14ac:dyDescent="0.25">
      <c r="J2002" s="15"/>
    </row>
    <row r="2003" spans="10:10" x14ac:dyDescent="0.25">
      <c r="J2003" s="15"/>
    </row>
    <row r="2004" spans="10:10" x14ac:dyDescent="0.25">
      <c r="J2004" s="15"/>
    </row>
    <row r="2005" spans="10:10" x14ac:dyDescent="0.25">
      <c r="J2005" s="15"/>
    </row>
    <row r="2006" spans="10:10" x14ac:dyDescent="0.25">
      <c r="J2006" s="15"/>
    </row>
    <row r="2007" spans="10:10" x14ac:dyDescent="0.25">
      <c r="J2007" s="15"/>
    </row>
    <row r="2008" spans="10:10" x14ac:dyDescent="0.25">
      <c r="J2008" s="15"/>
    </row>
    <row r="2009" spans="10:10" x14ac:dyDescent="0.25">
      <c r="J2009" s="15"/>
    </row>
    <row r="2010" spans="10:10" x14ac:dyDescent="0.25">
      <c r="J2010" s="15"/>
    </row>
    <row r="2011" spans="10:10" x14ac:dyDescent="0.25">
      <c r="J2011" s="15"/>
    </row>
    <row r="2012" spans="10:10" x14ac:dyDescent="0.25">
      <c r="J2012" s="15"/>
    </row>
    <row r="2013" spans="10:10" x14ac:dyDescent="0.25">
      <c r="J2013" s="15"/>
    </row>
    <row r="2014" spans="10:10" x14ac:dyDescent="0.25">
      <c r="J2014" s="15"/>
    </row>
    <row r="2015" spans="10:10" x14ac:dyDescent="0.25">
      <c r="J2015" s="15"/>
    </row>
    <row r="2016" spans="10:10" x14ac:dyDescent="0.25">
      <c r="J2016" s="15"/>
    </row>
    <row r="2017" spans="10:10" x14ac:dyDescent="0.25">
      <c r="J2017" s="15"/>
    </row>
    <row r="2018" spans="10:10" x14ac:dyDescent="0.25">
      <c r="J2018" s="15"/>
    </row>
    <row r="2019" spans="10:10" x14ac:dyDescent="0.25">
      <c r="J2019" s="15"/>
    </row>
    <row r="2020" spans="10:10" x14ac:dyDescent="0.25">
      <c r="J2020" s="15"/>
    </row>
    <row r="2021" spans="10:10" x14ac:dyDescent="0.25">
      <c r="J2021" s="15"/>
    </row>
    <row r="2022" spans="10:10" x14ac:dyDescent="0.25">
      <c r="J2022" s="15"/>
    </row>
    <row r="2023" spans="10:10" x14ac:dyDescent="0.25">
      <c r="J2023" s="15"/>
    </row>
    <row r="2024" spans="10:10" x14ac:dyDescent="0.25">
      <c r="J2024" s="15"/>
    </row>
    <row r="2025" spans="10:10" x14ac:dyDescent="0.25">
      <c r="J2025" s="15"/>
    </row>
    <row r="2026" spans="10:10" x14ac:dyDescent="0.25">
      <c r="J2026" s="15"/>
    </row>
    <row r="2027" spans="10:10" x14ac:dyDescent="0.25">
      <c r="J2027" s="15"/>
    </row>
    <row r="2028" spans="10:10" x14ac:dyDescent="0.25">
      <c r="J2028" s="15"/>
    </row>
    <row r="2029" spans="10:10" x14ac:dyDescent="0.25">
      <c r="J2029" s="15"/>
    </row>
    <row r="2030" spans="10:10" x14ac:dyDescent="0.25">
      <c r="J2030" s="15"/>
    </row>
    <row r="2031" spans="10:10" x14ac:dyDescent="0.25">
      <c r="J2031" s="15"/>
    </row>
    <row r="2032" spans="10:10" x14ac:dyDescent="0.25">
      <c r="J2032" s="15"/>
    </row>
    <row r="2033" spans="10:10" x14ac:dyDescent="0.25">
      <c r="J2033" s="15"/>
    </row>
    <row r="2034" spans="10:10" x14ac:dyDescent="0.25">
      <c r="J2034" s="15"/>
    </row>
    <row r="2035" spans="10:10" x14ac:dyDescent="0.25">
      <c r="J2035" s="15"/>
    </row>
    <row r="2036" spans="10:10" x14ac:dyDescent="0.25">
      <c r="J2036" s="15"/>
    </row>
    <row r="2037" spans="10:10" x14ac:dyDescent="0.25">
      <c r="J2037" s="15"/>
    </row>
    <row r="2038" spans="10:10" x14ac:dyDescent="0.25">
      <c r="J2038" s="15"/>
    </row>
    <row r="2039" spans="10:10" x14ac:dyDescent="0.25">
      <c r="J2039" s="15"/>
    </row>
    <row r="2040" spans="10:10" x14ac:dyDescent="0.25">
      <c r="J2040" s="15"/>
    </row>
    <row r="2041" spans="10:10" x14ac:dyDescent="0.25">
      <c r="J2041" s="15"/>
    </row>
    <row r="2042" spans="10:10" x14ac:dyDescent="0.25">
      <c r="J2042" s="15"/>
    </row>
    <row r="2043" spans="10:10" x14ac:dyDescent="0.25">
      <c r="J2043" s="15"/>
    </row>
    <row r="2044" spans="10:10" x14ac:dyDescent="0.25">
      <c r="J2044" s="15"/>
    </row>
    <row r="2045" spans="10:10" x14ac:dyDescent="0.25">
      <c r="J2045" s="15"/>
    </row>
    <row r="2046" spans="10:10" x14ac:dyDescent="0.25">
      <c r="J2046" s="15"/>
    </row>
    <row r="2047" spans="10:10" x14ac:dyDescent="0.25">
      <c r="J2047" s="15"/>
    </row>
    <row r="2048" spans="10:10" x14ac:dyDescent="0.25">
      <c r="J2048" s="15"/>
    </row>
    <row r="2049" spans="10:10" x14ac:dyDescent="0.25">
      <c r="J2049" s="15"/>
    </row>
    <row r="2050" spans="10:10" x14ac:dyDescent="0.25">
      <c r="J2050" s="15"/>
    </row>
    <row r="2051" spans="10:10" x14ac:dyDescent="0.25">
      <c r="J2051" s="15"/>
    </row>
    <row r="2052" spans="10:10" x14ac:dyDescent="0.25">
      <c r="J2052" s="15"/>
    </row>
    <row r="2053" spans="10:10" x14ac:dyDescent="0.25">
      <c r="J2053" s="15"/>
    </row>
    <row r="2054" spans="10:10" x14ac:dyDescent="0.25">
      <c r="J2054" s="15"/>
    </row>
    <row r="2055" spans="10:10" x14ac:dyDescent="0.25">
      <c r="J2055" s="15"/>
    </row>
    <row r="2056" spans="10:10" x14ac:dyDescent="0.25">
      <c r="J2056" s="15"/>
    </row>
    <row r="2057" spans="10:10" x14ac:dyDescent="0.25">
      <c r="J2057" s="15"/>
    </row>
    <row r="2058" spans="10:10" x14ac:dyDescent="0.25">
      <c r="J2058" s="15"/>
    </row>
    <row r="2059" spans="10:10" x14ac:dyDescent="0.25">
      <c r="J2059" s="15"/>
    </row>
    <row r="2060" spans="10:10" x14ac:dyDescent="0.25">
      <c r="J2060" s="15"/>
    </row>
    <row r="2061" spans="10:10" x14ac:dyDescent="0.25">
      <c r="J2061" s="15"/>
    </row>
    <row r="2062" spans="10:10" x14ac:dyDescent="0.25">
      <c r="J2062" s="15"/>
    </row>
    <row r="2063" spans="10:10" x14ac:dyDescent="0.25">
      <c r="J2063" s="15"/>
    </row>
    <row r="2064" spans="10:10" x14ac:dyDescent="0.25">
      <c r="J2064" s="15"/>
    </row>
    <row r="2065" spans="10:10" x14ac:dyDescent="0.25">
      <c r="J2065" s="15"/>
    </row>
    <row r="2066" spans="10:10" x14ac:dyDescent="0.25">
      <c r="J2066" s="15"/>
    </row>
    <row r="2067" spans="10:10" x14ac:dyDescent="0.25">
      <c r="J2067" s="15"/>
    </row>
    <row r="2068" spans="10:10" x14ac:dyDescent="0.25">
      <c r="J2068" s="15"/>
    </row>
    <row r="2069" spans="10:10" x14ac:dyDescent="0.25">
      <c r="J2069" s="15"/>
    </row>
    <row r="2070" spans="10:10" x14ac:dyDescent="0.25">
      <c r="J2070" s="15"/>
    </row>
    <row r="2071" spans="10:10" x14ac:dyDescent="0.25">
      <c r="J2071" s="15"/>
    </row>
    <row r="2072" spans="10:10" x14ac:dyDescent="0.25">
      <c r="J2072" s="15"/>
    </row>
    <row r="2073" spans="10:10" x14ac:dyDescent="0.25">
      <c r="J2073" s="15"/>
    </row>
    <row r="2074" spans="10:10" x14ac:dyDescent="0.25">
      <c r="J2074" s="15"/>
    </row>
    <row r="2075" spans="10:10" x14ac:dyDescent="0.25">
      <c r="J2075" s="15"/>
    </row>
    <row r="2076" spans="10:10" x14ac:dyDescent="0.25">
      <c r="J2076" s="15"/>
    </row>
    <row r="2077" spans="10:10" x14ac:dyDescent="0.25">
      <c r="J2077" s="15"/>
    </row>
    <row r="2078" spans="10:10" x14ac:dyDescent="0.25">
      <c r="J2078" s="15"/>
    </row>
    <row r="2079" spans="10:10" x14ac:dyDescent="0.25">
      <c r="J2079" s="15"/>
    </row>
    <row r="2080" spans="10:10" x14ac:dyDescent="0.25">
      <c r="J2080" s="15"/>
    </row>
    <row r="2081" spans="10:10" x14ac:dyDescent="0.25">
      <c r="J2081" s="15"/>
    </row>
    <row r="2082" spans="10:10" x14ac:dyDescent="0.25">
      <c r="J2082" s="15"/>
    </row>
    <row r="2083" spans="10:10" x14ac:dyDescent="0.25">
      <c r="J2083" s="15"/>
    </row>
    <row r="2084" spans="10:10" x14ac:dyDescent="0.25">
      <c r="J2084" s="15"/>
    </row>
    <row r="2085" spans="10:10" x14ac:dyDescent="0.25">
      <c r="J2085" s="15"/>
    </row>
    <row r="2086" spans="10:10" x14ac:dyDescent="0.25">
      <c r="J2086" s="15"/>
    </row>
    <row r="2087" spans="10:10" x14ac:dyDescent="0.25">
      <c r="J2087" s="15"/>
    </row>
    <row r="2088" spans="10:10" x14ac:dyDescent="0.25">
      <c r="J2088" s="15"/>
    </row>
    <row r="2089" spans="10:10" x14ac:dyDescent="0.25">
      <c r="J2089" s="15"/>
    </row>
    <row r="2090" spans="10:10" x14ac:dyDescent="0.25">
      <c r="J2090" s="15"/>
    </row>
    <row r="2091" spans="10:10" x14ac:dyDescent="0.25">
      <c r="J2091" s="15"/>
    </row>
    <row r="2092" spans="10:10" x14ac:dyDescent="0.25">
      <c r="J2092" s="15"/>
    </row>
    <row r="2093" spans="10:10" x14ac:dyDescent="0.25">
      <c r="J2093" s="15"/>
    </row>
    <row r="2094" spans="10:10" x14ac:dyDescent="0.25">
      <c r="J2094" s="15"/>
    </row>
    <row r="2095" spans="10:10" x14ac:dyDescent="0.25">
      <c r="J2095" s="15"/>
    </row>
    <row r="2096" spans="10:10" x14ac:dyDescent="0.25">
      <c r="J2096" s="15"/>
    </row>
    <row r="2097" spans="10:10" x14ac:dyDescent="0.25">
      <c r="J2097" s="15"/>
    </row>
    <row r="2098" spans="10:10" x14ac:dyDescent="0.25">
      <c r="J2098" s="15"/>
    </row>
    <row r="2099" spans="10:10" x14ac:dyDescent="0.25">
      <c r="J2099" s="15"/>
    </row>
    <row r="2100" spans="10:10" x14ac:dyDescent="0.25">
      <c r="J2100" s="15"/>
    </row>
    <row r="2101" spans="10:10" x14ac:dyDescent="0.25">
      <c r="J2101" s="15"/>
    </row>
    <row r="2102" spans="10:10" x14ac:dyDescent="0.25">
      <c r="J2102" s="15"/>
    </row>
    <row r="2103" spans="10:10" x14ac:dyDescent="0.25">
      <c r="J2103" s="15"/>
    </row>
    <row r="2104" spans="10:10" x14ac:dyDescent="0.25">
      <c r="J2104" s="15"/>
    </row>
    <row r="2105" spans="10:10" x14ac:dyDescent="0.25">
      <c r="J2105" s="15"/>
    </row>
    <row r="2106" spans="10:10" x14ac:dyDescent="0.25">
      <c r="J2106" s="15"/>
    </row>
    <row r="2107" spans="10:10" x14ac:dyDescent="0.25">
      <c r="J2107" s="15"/>
    </row>
    <row r="2108" spans="10:10" x14ac:dyDescent="0.25">
      <c r="J2108" s="15"/>
    </row>
    <row r="2109" spans="10:10" x14ac:dyDescent="0.25">
      <c r="J2109" s="15"/>
    </row>
    <row r="2110" spans="10:10" x14ac:dyDescent="0.25">
      <c r="J2110" s="15"/>
    </row>
    <row r="2111" spans="10:10" x14ac:dyDescent="0.25">
      <c r="J2111" s="15"/>
    </row>
    <row r="2112" spans="10:10" x14ac:dyDescent="0.25">
      <c r="J2112" s="15"/>
    </row>
    <row r="2113" spans="10:10" x14ac:dyDescent="0.25">
      <c r="J2113" s="15"/>
    </row>
    <row r="2114" spans="10:10" x14ac:dyDescent="0.25">
      <c r="J2114" s="15"/>
    </row>
    <row r="2115" spans="10:10" x14ac:dyDescent="0.25">
      <c r="J2115" s="15"/>
    </row>
    <row r="2116" spans="10:10" x14ac:dyDescent="0.25">
      <c r="J2116" s="15"/>
    </row>
    <row r="2117" spans="10:10" x14ac:dyDescent="0.25">
      <c r="J2117" s="15"/>
    </row>
    <row r="2118" spans="10:10" x14ac:dyDescent="0.25">
      <c r="J2118" s="15"/>
    </row>
    <row r="2119" spans="10:10" x14ac:dyDescent="0.25">
      <c r="J2119" s="15"/>
    </row>
    <row r="2120" spans="10:10" x14ac:dyDescent="0.25">
      <c r="J2120" s="15"/>
    </row>
    <row r="2121" spans="10:10" x14ac:dyDescent="0.25">
      <c r="J2121" s="15"/>
    </row>
    <row r="2122" spans="10:10" x14ac:dyDescent="0.25">
      <c r="J2122" s="15"/>
    </row>
    <row r="2123" spans="10:10" x14ac:dyDescent="0.25">
      <c r="J2123" s="15"/>
    </row>
    <row r="2124" spans="10:10" x14ac:dyDescent="0.25">
      <c r="J2124" s="15"/>
    </row>
    <row r="2125" spans="10:10" x14ac:dyDescent="0.25">
      <c r="J2125" s="15"/>
    </row>
    <row r="2126" spans="10:10" x14ac:dyDescent="0.25">
      <c r="J2126" s="15"/>
    </row>
    <row r="2127" spans="10:10" x14ac:dyDescent="0.25">
      <c r="J2127" s="15"/>
    </row>
    <row r="2128" spans="10:10" x14ac:dyDescent="0.25">
      <c r="J2128" s="15"/>
    </row>
    <row r="2129" spans="10:10" x14ac:dyDescent="0.25">
      <c r="J2129" s="15"/>
    </row>
    <row r="2130" spans="10:10" x14ac:dyDescent="0.25">
      <c r="J2130" s="15"/>
    </row>
    <row r="2131" spans="10:10" x14ac:dyDescent="0.25">
      <c r="J2131" s="15"/>
    </row>
    <row r="2132" spans="10:10" x14ac:dyDescent="0.25">
      <c r="J2132" s="15"/>
    </row>
    <row r="2133" spans="10:10" x14ac:dyDescent="0.25">
      <c r="J2133" s="15"/>
    </row>
    <row r="2134" spans="10:10" x14ac:dyDescent="0.25">
      <c r="J2134" s="15"/>
    </row>
    <row r="2135" spans="10:10" x14ac:dyDescent="0.25">
      <c r="J2135" s="15"/>
    </row>
    <row r="2136" spans="10:10" x14ac:dyDescent="0.25">
      <c r="J2136" s="15"/>
    </row>
    <row r="2137" spans="10:10" x14ac:dyDescent="0.25">
      <c r="J2137" s="15"/>
    </row>
    <row r="2138" spans="10:10" x14ac:dyDescent="0.25">
      <c r="J2138" s="15"/>
    </row>
    <row r="2139" spans="10:10" x14ac:dyDescent="0.25">
      <c r="J2139" s="15"/>
    </row>
    <row r="2140" spans="10:10" x14ac:dyDescent="0.25">
      <c r="J2140" s="15"/>
    </row>
    <row r="2141" spans="10:10" x14ac:dyDescent="0.25">
      <c r="J2141" s="15"/>
    </row>
    <row r="2142" spans="10:10" x14ac:dyDescent="0.25">
      <c r="J2142" s="15"/>
    </row>
    <row r="2143" spans="10:10" x14ac:dyDescent="0.25">
      <c r="J2143" s="15"/>
    </row>
    <row r="2144" spans="10:10" x14ac:dyDescent="0.25">
      <c r="J2144" s="15"/>
    </row>
    <row r="2145" spans="10:10" x14ac:dyDescent="0.25">
      <c r="J2145" s="15"/>
    </row>
    <row r="2146" spans="10:10" x14ac:dyDescent="0.25">
      <c r="J2146" s="15"/>
    </row>
    <row r="2147" spans="10:10" x14ac:dyDescent="0.25">
      <c r="J2147" s="15"/>
    </row>
    <row r="2148" spans="10:10" x14ac:dyDescent="0.25">
      <c r="J2148" s="15"/>
    </row>
    <row r="2149" spans="10:10" x14ac:dyDescent="0.25">
      <c r="J2149" s="15"/>
    </row>
    <row r="2150" spans="10:10" x14ac:dyDescent="0.25">
      <c r="J2150" s="15"/>
    </row>
    <row r="2151" spans="10:10" x14ac:dyDescent="0.25">
      <c r="J2151" s="15"/>
    </row>
    <row r="2152" spans="10:10" x14ac:dyDescent="0.25">
      <c r="J2152" s="15"/>
    </row>
    <row r="2153" spans="10:10" x14ac:dyDescent="0.25">
      <c r="J2153" s="15"/>
    </row>
    <row r="2154" spans="10:10" x14ac:dyDescent="0.25">
      <c r="J2154" s="15"/>
    </row>
    <row r="2155" spans="10:10" x14ac:dyDescent="0.25">
      <c r="J2155" s="15"/>
    </row>
    <row r="2156" spans="10:10" x14ac:dyDescent="0.25">
      <c r="J2156" s="15"/>
    </row>
    <row r="2157" spans="10:10" x14ac:dyDescent="0.25">
      <c r="J2157" s="15"/>
    </row>
    <row r="2158" spans="10:10" x14ac:dyDescent="0.25">
      <c r="J2158" s="15"/>
    </row>
    <row r="2159" spans="10:10" x14ac:dyDescent="0.25">
      <c r="J2159" s="15"/>
    </row>
    <row r="2160" spans="10:10" x14ac:dyDescent="0.25">
      <c r="J2160" s="15"/>
    </row>
    <row r="2161" spans="10:10" x14ac:dyDescent="0.25">
      <c r="J2161" s="15"/>
    </row>
    <row r="2162" spans="10:10" x14ac:dyDescent="0.25">
      <c r="J2162" s="15"/>
    </row>
    <row r="2163" spans="10:10" x14ac:dyDescent="0.25">
      <c r="J2163" s="15"/>
    </row>
    <row r="2164" spans="10:10" x14ac:dyDescent="0.25">
      <c r="J2164" s="15"/>
    </row>
    <row r="2165" spans="10:10" x14ac:dyDescent="0.25">
      <c r="J2165" s="15"/>
    </row>
    <row r="2166" spans="10:10" x14ac:dyDescent="0.25">
      <c r="J2166" s="15"/>
    </row>
    <row r="2167" spans="10:10" x14ac:dyDescent="0.25">
      <c r="J2167" s="15"/>
    </row>
    <row r="2168" spans="10:10" x14ac:dyDescent="0.25">
      <c r="J2168" s="15"/>
    </row>
    <row r="2169" spans="10:10" x14ac:dyDescent="0.25">
      <c r="J2169" s="15"/>
    </row>
    <row r="2170" spans="10:10" x14ac:dyDescent="0.25">
      <c r="J2170" s="15"/>
    </row>
    <row r="2171" spans="10:10" x14ac:dyDescent="0.25">
      <c r="J2171" s="15"/>
    </row>
    <row r="2172" spans="10:10" x14ac:dyDescent="0.25">
      <c r="J2172" s="15"/>
    </row>
    <row r="2173" spans="10:10" x14ac:dyDescent="0.25">
      <c r="J2173" s="15"/>
    </row>
    <row r="2174" spans="10:10" x14ac:dyDescent="0.25">
      <c r="J2174" s="15"/>
    </row>
    <row r="2175" spans="10:10" x14ac:dyDescent="0.25">
      <c r="J2175" s="15"/>
    </row>
    <row r="2176" spans="10:10" x14ac:dyDescent="0.25">
      <c r="J2176" s="15"/>
    </row>
    <row r="2177" spans="10:10" x14ac:dyDescent="0.25">
      <c r="J2177" s="15"/>
    </row>
    <row r="2178" spans="10:10" x14ac:dyDescent="0.25">
      <c r="J2178" s="15"/>
    </row>
    <row r="2179" spans="10:10" x14ac:dyDescent="0.25">
      <c r="J2179" s="15"/>
    </row>
    <row r="2180" spans="10:10" x14ac:dyDescent="0.25">
      <c r="J2180" s="15"/>
    </row>
    <row r="2181" spans="10:10" x14ac:dyDescent="0.25">
      <c r="J2181" s="15"/>
    </row>
    <row r="2182" spans="10:10" x14ac:dyDescent="0.25">
      <c r="J2182" s="15"/>
    </row>
    <row r="2183" spans="10:10" x14ac:dyDescent="0.25">
      <c r="J2183" s="15"/>
    </row>
    <row r="2184" spans="10:10" x14ac:dyDescent="0.25">
      <c r="J2184" s="15"/>
    </row>
    <row r="2185" spans="10:10" x14ac:dyDescent="0.25">
      <c r="J2185" s="15"/>
    </row>
    <row r="2186" spans="10:10" x14ac:dyDescent="0.25">
      <c r="J2186" s="15"/>
    </row>
    <row r="2187" spans="10:10" x14ac:dyDescent="0.25">
      <c r="J2187" s="15"/>
    </row>
    <row r="2188" spans="10:10" x14ac:dyDescent="0.25">
      <c r="J2188" s="15"/>
    </row>
    <row r="2189" spans="10:10" x14ac:dyDescent="0.25">
      <c r="J2189" s="15"/>
    </row>
    <row r="2190" spans="10:10" x14ac:dyDescent="0.25">
      <c r="J2190" s="15"/>
    </row>
    <row r="2191" spans="10:10" x14ac:dyDescent="0.25">
      <c r="J2191" s="15"/>
    </row>
    <row r="2192" spans="10:10" x14ac:dyDescent="0.25">
      <c r="J2192" s="15"/>
    </row>
    <row r="2193" spans="10:10" x14ac:dyDescent="0.25">
      <c r="J2193" s="15"/>
    </row>
    <row r="2194" spans="10:10" x14ac:dyDescent="0.25">
      <c r="J2194" s="15"/>
    </row>
    <row r="2195" spans="10:10" x14ac:dyDescent="0.25">
      <c r="J2195" s="15"/>
    </row>
    <row r="2196" spans="10:10" x14ac:dyDescent="0.25">
      <c r="J2196" s="15"/>
    </row>
    <row r="2197" spans="10:10" x14ac:dyDescent="0.25">
      <c r="J2197" s="15"/>
    </row>
    <row r="2198" spans="10:10" x14ac:dyDescent="0.25">
      <c r="J2198" s="15"/>
    </row>
    <row r="2199" spans="10:10" x14ac:dyDescent="0.25">
      <c r="J2199" s="15"/>
    </row>
    <row r="2200" spans="10:10" x14ac:dyDescent="0.25">
      <c r="J2200" s="15"/>
    </row>
    <row r="2201" spans="10:10" x14ac:dyDescent="0.25">
      <c r="J2201" s="15"/>
    </row>
    <row r="2202" spans="10:10" x14ac:dyDescent="0.25">
      <c r="J2202" s="15"/>
    </row>
    <row r="2203" spans="10:10" x14ac:dyDescent="0.25">
      <c r="J2203" s="15"/>
    </row>
    <row r="2204" spans="10:10" x14ac:dyDescent="0.25">
      <c r="J2204" s="15"/>
    </row>
    <row r="2205" spans="10:10" x14ac:dyDescent="0.25">
      <c r="J2205" s="15"/>
    </row>
    <row r="2206" spans="10:10" x14ac:dyDescent="0.25">
      <c r="J2206" s="15"/>
    </row>
    <row r="2207" spans="10:10" x14ac:dyDescent="0.25">
      <c r="J2207" s="15"/>
    </row>
    <row r="2208" spans="10:10" x14ac:dyDescent="0.25">
      <c r="J2208" s="15"/>
    </row>
    <row r="2209" spans="10:10" x14ac:dyDescent="0.25">
      <c r="J2209" s="15"/>
    </row>
    <row r="2210" spans="10:10" x14ac:dyDescent="0.25">
      <c r="J2210" s="15"/>
    </row>
    <row r="2211" spans="10:10" x14ac:dyDescent="0.25">
      <c r="J2211" s="15"/>
    </row>
    <row r="2212" spans="10:10" x14ac:dyDescent="0.25">
      <c r="J2212" s="15"/>
    </row>
    <row r="2213" spans="10:10" x14ac:dyDescent="0.25">
      <c r="J2213" s="15"/>
    </row>
    <row r="2214" spans="10:10" x14ac:dyDescent="0.25">
      <c r="J2214" s="15"/>
    </row>
    <row r="2215" spans="10:10" x14ac:dyDescent="0.25">
      <c r="J2215" s="15"/>
    </row>
    <row r="2216" spans="10:10" x14ac:dyDescent="0.25">
      <c r="J2216" s="15"/>
    </row>
    <row r="2217" spans="10:10" x14ac:dyDescent="0.25">
      <c r="J2217" s="15"/>
    </row>
    <row r="2218" spans="10:10" x14ac:dyDescent="0.25">
      <c r="J2218" s="15"/>
    </row>
    <row r="2219" spans="10:10" x14ac:dyDescent="0.25">
      <c r="J2219" s="15"/>
    </row>
    <row r="2220" spans="10:10" x14ac:dyDescent="0.25">
      <c r="J2220" s="15"/>
    </row>
    <row r="2221" spans="10:10" x14ac:dyDescent="0.25">
      <c r="J2221" s="15"/>
    </row>
    <row r="2222" spans="10:10" x14ac:dyDescent="0.25">
      <c r="J2222" s="15"/>
    </row>
    <row r="2223" spans="10:10" x14ac:dyDescent="0.25">
      <c r="J2223" s="15"/>
    </row>
    <row r="2224" spans="10:10" x14ac:dyDescent="0.25">
      <c r="J2224" s="15"/>
    </row>
    <row r="2225" spans="10:10" x14ac:dyDescent="0.25">
      <c r="J2225" s="15"/>
    </row>
    <row r="2226" spans="10:10" x14ac:dyDescent="0.25">
      <c r="J2226" s="15"/>
    </row>
    <row r="2227" spans="10:10" x14ac:dyDescent="0.25">
      <c r="J2227" s="15"/>
    </row>
    <row r="2228" spans="10:10" x14ac:dyDescent="0.25">
      <c r="J2228" s="15"/>
    </row>
    <row r="2229" spans="10:10" x14ac:dyDescent="0.25">
      <c r="J2229" s="15"/>
    </row>
    <row r="2230" spans="10:10" x14ac:dyDescent="0.25">
      <c r="J2230" s="15"/>
    </row>
    <row r="2231" spans="10:10" x14ac:dyDescent="0.25">
      <c r="J2231" s="15"/>
    </row>
    <row r="2232" spans="10:10" x14ac:dyDescent="0.25">
      <c r="J2232" s="15"/>
    </row>
    <row r="2233" spans="10:10" x14ac:dyDescent="0.25">
      <c r="J2233" s="15"/>
    </row>
    <row r="2234" spans="10:10" x14ac:dyDescent="0.25">
      <c r="J2234" s="15"/>
    </row>
    <row r="2235" spans="10:10" x14ac:dyDescent="0.25">
      <c r="J2235" s="15"/>
    </row>
    <row r="2236" spans="10:10" x14ac:dyDescent="0.25">
      <c r="J2236" s="15"/>
    </row>
    <row r="2237" spans="10:10" x14ac:dyDescent="0.25">
      <c r="J2237" s="15"/>
    </row>
    <row r="2238" spans="10:10" x14ac:dyDescent="0.25">
      <c r="J2238" s="15"/>
    </row>
    <row r="2239" spans="10:10" x14ac:dyDescent="0.25">
      <c r="J2239" s="15"/>
    </row>
    <row r="2240" spans="10:10" x14ac:dyDescent="0.25">
      <c r="J2240" s="15"/>
    </row>
    <row r="2241" spans="10:10" x14ac:dyDescent="0.25">
      <c r="J2241" s="15"/>
    </row>
    <row r="2242" spans="10:10" x14ac:dyDescent="0.25">
      <c r="J2242" s="15"/>
    </row>
    <row r="2243" spans="10:10" x14ac:dyDescent="0.25">
      <c r="J2243" s="15"/>
    </row>
    <row r="2244" spans="10:10" x14ac:dyDescent="0.25">
      <c r="J2244" s="15"/>
    </row>
    <row r="2245" spans="10:10" x14ac:dyDescent="0.25">
      <c r="J2245" s="15"/>
    </row>
    <row r="2246" spans="10:10" x14ac:dyDescent="0.25">
      <c r="J2246" s="15"/>
    </row>
    <row r="2247" spans="10:10" x14ac:dyDescent="0.25">
      <c r="J2247" s="15"/>
    </row>
    <row r="2248" spans="10:10" x14ac:dyDescent="0.25">
      <c r="J2248" s="15"/>
    </row>
    <row r="2249" spans="10:10" x14ac:dyDescent="0.25">
      <c r="J2249" s="15"/>
    </row>
    <row r="2250" spans="10:10" x14ac:dyDescent="0.25">
      <c r="J2250" s="15"/>
    </row>
    <row r="2251" spans="10:10" x14ac:dyDescent="0.25">
      <c r="J2251" s="15"/>
    </row>
    <row r="2252" spans="10:10" x14ac:dyDescent="0.25">
      <c r="J2252" s="15"/>
    </row>
    <row r="2253" spans="10:10" x14ac:dyDescent="0.25">
      <c r="J2253" s="15"/>
    </row>
    <row r="2254" spans="10:10" x14ac:dyDescent="0.25">
      <c r="J2254" s="15"/>
    </row>
    <row r="2255" spans="10:10" x14ac:dyDescent="0.25">
      <c r="J2255" s="15"/>
    </row>
    <row r="2256" spans="10:10" x14ac:dyDescent="0.25">
      <c r="J2256" s="15"/>
    </row>
    <row r="2257" spans="10:10" x14ac:dyDescent="0.25">
      <c r="J2257" s="15"/>
    </row>
    <row r="2258" spans="10:10" x14ac:dyDescent="0.25">
      <c r="J2258" s="15"/>
    </row>
    <row r="2259" spans="10:10" x14ac:dyDescent="0.25">
      <c r="J2259" s="15"/>
    </row>
    <row r="2260" spans="10:10" x14ac:dyDescent="0.25">
      <c r="J2260" s="15"/>
    </row>
    <row r="2261" spans="10:10" x14ac:dyDescent="0.25">
      <c r="J2261" s="15"/>
    </row>
    <row r="2262" spans="10:10" x14ac:dyDescent="0.25">
      <c r="J2262" s="15"/>
    </row>
    <row r="2263" spans="10:10" x14ac:dyDescent="0.25">
      <c r="J2263" s="15"/>
    </row>
    <row r="2264" spans="10:10" x14ac:dyDescent="0.25">
      <c r="J2264" s="15"/>
    </row>
    <row r="2265" spans="10:10" x14ac:dyDescent="0.25">
      <c r="J2265" s="15"/>
    </row>
    <row r="2266" spans="10:10" x14ac:dyDescent="0.25">
      <c r="J2266" s="15"/>
    </row>
    <row r="2267" spans="10:10" x14ac:dyDescent="0.25">
      <c r="J2267" s="15"/>
    </row>
    <row r="2268" spans="10:10" x14ac:dyDescent="0.25">
      <c r="J2268" s="15"/>
    </row>
    <row r="2269" spans="10:10" x14ac:dyDescent="0.25">
      <c r="J2269" s="15"/>
    </row>
    <row r="2270" spans="10:10" x14ac:dyDescent="0.25">
      <c r="J2270" s="15"/>
    </row>
    <row r="2271" spans="10:10" x14ac:dyDescent="0.25">
      <c r="J2271" s="15"/>
    </row>
    <row r="2272" spans="10:10" x14ac:dyDescent="0.25">
      <c r="J2272" s="15"/>
    </row>
    <row r="2273" spans="10:10" x14ac:dyDescent="0.25">
      <c r="J2273" s="15"/>
    </row>
    <row r="2274" spans="10:10" x14ac:dyDescent="0.25">
      <c r="J2274" s="15"/>
    </row>
    <row r="2275" spans="10:10" x14ac:dyDescent="0.25">
      <c r="J2275" s="15"/>
    </row>
    <row r="2276" spans="10:10" x14ac:dyDescent="0.25">
      <c r="J2276" s="15"/>
    </row>
    <row r="2277" spans="10:10" x14ac:dyDescent="0.25">
      <c r="J2277" s="15"/>
    </row>
    <row r="2278" spans="10:10" x14ac:dyDescent="0.25">
      <c r="J2278" s="15"/>
    </row>
    <row r="2279" spans="10:10" x14ac:dyDescent="0.25">
      <c r="J2279" s="15"/>
    </row>
    <row r="2280" spans="10:10" x14ac:dyDescent="0.25">
      <c r="J2280" s="15"/>
    </row>
    <row r="2281" spans="10:10" x14ac:dyDescent="0.25">
      <c r="J2281" s="15"/>
    </row>
    <row r="2282" spans="10:10" x14ac:dyDescent="0.25">
      <c r="J2282" s="15"/>
    </row>
    <row r="2283" spans="10:10" x14ac:dyDescent="0.25">
      <c r="J2283" s="15"/>
    </row>
    <row r="2284" spans="10:10" x14ac:dyDescent="0.25">
      <c r="J2284" s="15"/>
    </row>
    <row r="2285" spans="10:10" x14ac:dyDescent="0.25">
      <c r="J2285" s="15"/>
    </row>
    <row r="2286" spans="10:10" x14ac:dyDescent="0.25">
      <c r="J2286" s="15"/>
    </row>
    <row r="2287" spans="10:10" x14ac:dyDescent="0.25">
      <c r="J2287" s="15"/>
    </row>
    <row r="2288" spans="10:10" x14ac:dyDescent="0.25">
      <c r="J2288" s="15"/>
    </row>
    <row r="2289" spans="10:10" x14ac:dyDescent="0.25">
      <c r="J2289" s="15"/>
    </row>
    <row r="2290" spans="10:10" x14ac:dyDescent="0.25">
      <c r="J2290" s="15"/>
    </row>
    <row r="2291" spans="10:10" x14ac:dyDescent="0.25">
      <c r="J2291" s="15"/>
    </row>
    <row r="2292" spans="10:10" x14ac:dyDescent="0.25">
      <c r="J2292" s="15"/>
    </row>
    <row r="2293" spans="10:10" x14ac:dyDescent="0.25">
      <c r="J2293" s="15"/>
    </row>
    <row r="2294" spans="10:10" x14ac:dyDescent="0.25">
      <c r="J2294" s="15"/>
    </row>
    <row r="2295" spans="10:10" x14ac:dyDescent="0.25">
      <c r="J2295" s="15"/>
    </row>
    <row r="2296" spans="10:10" x14ac:dyDescent="0.25">
      <c r="J2296" s="15"/>
    </row>
    <row r="2297" spans="10:10" x14ac:dyDescent="0.25">
      <c r="J2297" s="15"/>
    </row>
    <row r="2298" spans="10:10" x14ac:dyDescent="0.25">
      <c r="J2298" s="15"/>
    </row>
    <row r="2299" spans="10:10" x14ac:dyDescent="0.25">
      <c r="J2299" s="15"/>
    </row>
    <row r="2300" spans="10:10" x14ac:dyDescent="0.25">
      <c r="J2300" s="15"/>
    </row>
    <row r="2301" spans="10:10" x14ac:dyDescent="0.25">
      <c r="J2301" s="15"/>
    </row>
    <row r="2302" spans="10:10" x14ac:dyDescent="0.25">
      <c r="J2302" s="15"/>
    </row>
    <row r="2303" spans="10:10" x14ac:dyDescent="0.25">
      <c r="J2303" s="15"/>
    </row>
    <row r="2304" spans="10:10" x14ac:dyDescent="0.25">
      <c r="J2304" s="15"/>
    </row>
    <row r="2305" spans="10:10" x14ac:dyDescent="0.25">
      <c r="J2305" s="15"/>
    </row>
    <row r="2306" spans="10:10" x14ac:dyDescent="0.25">
      <c r="J2306" s="15"/>
    </row>
    <row r="2307" spans="10:10" x14ac:dyDescent="0.25">
      <c r="J2307" s="15"/>
    </row>
    <row r="2308" spans="10:10" x14ac:dyDescent="0.25">
      <c r="J2308" s="15"/>
    </row>
    <row r="2309" spans="10:10" x14ac:dyDescent="0.25">
      <c r="J2309" s="15"/>
    </row>
    <row r="2310" spans="10:10" x14ac:dyDescent="0.25">
      <c r="J2310" s="15"/>
    </row>
    <row r="2311" spans="10:10" x14ac:dyDescent="0.25">
      <c r="J2311" s="15"/>
    </row>
    <row r="2312" spans="10:10" x14ac:dyDescent="0.25">
      <c r="J2312" s="15"/>
    </row>
    <row r="2313" spans="10:10" x14ac:dyDescent="0.25">
      <c r="J2313" s="15"/>
    </row>
    <row r="2314" spans="10:10" x14ac:dyDescent="0.25">
      <c r="J2314" s="15"/>
    </row>
    <row r="2315" spans="10:10" x14ac:dyDescent="0.25">
      <c r="J2315" s="15"/>
    </row>
    <row r="2316" spans="10:10" x14ac:dyDescent="0.25">
      <c r="J2316" s="15"/>
    </row>
    <row r="2317" spans="10:10" x14ac:dyDescent="0.25">
      <c r="J2317" s="15"/>
    </row>
    <row r="2318" spans="10:10" x14ac:dyDescent="0.25">
      <c r="J2318" s="15"/>
    </row>
    <row r="2319" spans="10:10" x14ac:dyDescent="0.25">
      <c r="J2319" s="15"/>
    </row>
    <row r="2320" spans="10:10" x14ac:dyDescent="0.25">
      <c r="J2320" s="15"/>
    </row>
    <row r="2321" spans="10:10" x14ac:dyDescent="0.25">
      <c r="J2321" s="15"/>
    </row>
    <row r="2322" spans="10:10" x14ac:dyDescent="0.25">
      <c r="J2322" s="15"/>
    </row>
    <row r="2323" spans="10:10" x14ac:dyDescent="0.25">
      <c r="J2323" s="15"/>
    </row>
    <row r="2324" spans="10:10" x14ac:dyDescent="0.25">
      <c r="J2324" s="15"/>
    </row>
    <row r="2325" spans="10:10" x14ac:dyDescent="0.25">
      <c r="J2325" s="15"/>
    </row>
    <row r="2326" spans="10:10" x14ac:dyDescent="0.25">
      <c r="J2326" s="15"/>
    </row>
    <row r="2327" spans="10:10" x14ac:dyDescent="0.25">
      <c r="J2327" s="15"/>
    </row>
    <row r="2328" spans="10:10" x14ac:dyDescent="0.25">
      <c r="J2328" s="15"/>
    </row>
    <row r="2329" spans="10:10" x14ac:dyDescent="0.25">
      <c r="J2329" s="15"/>
    </row>
    <row r="2330" spans="10:10" x14ac:dyDescent="0.25">
      <c r="J2330" s="15"/>
    </row>
    <row r="2331" spans="10:10" x14ac:dyDescent="0.25">
      <c r="J2331" s="15"/>
    </row>
    <row r="2332" spans="10:10" x14ac:dyDescent="0.25">
      <c r="J2332" s="15"/>
    </row>
    <row r="2333" spans="10:10" x14ac:dyDescent="0.25">
      <c r="J2333" s="15"/>
    </row>
    <row r="2334" spans="10:10" x14ac:dyDescent="0.25">
      <c r="J2334" s="15"/>
    </row>
    <row r="2335" spans="10:10" x14ac:dyDescent="0.25">
      <c r="J2335" s="15"/>
    </row>
    <row r="2336" spans="10:10" x14ac:dyDescent="0.25">
      <c r="J2336" s="15"/>
    </row>
    <row r="2337" spans="10:10" x14ac:dyDescent="0.25">
      <c r="J2337" s="15"/>
    </row>
    <row r="2338" spans="10:10" x14ac:dyDescent="0.25">
      <c r="J2338" s="15"/>
    </row>
    <row r="2339" spans="10:10" x14ac:dyDescent="0.25">
      <c r="J2339" s="15"/>
    </row>
    <row r="2340" spans="10:10" x14ac:dyDescent="0.25">
      <c r="J2340" s="15"/>
    </row>
    <row r="2341" spans="10:10" x14ac:dyDescent="0.25">
      <c r="J2341" s="15"/>
    </row>
    <row r="2342" spans="10:10" x14ac:dyDescent="0.25">
      <c r="J2342" s="15"/>
    </row>
    <row r="2343" spans="10:10" x14ac:dyDescent="0.25">
      <c r="J2343" s="15"/>
    </row>
    <row r="2344" spans="10:10" x14ac:dyDescent="0.25">
      <c r="J2344" s="15"/>
    </row>
    <row r="2345" spans="10:10" x14ac:dyDescent="0.25">
      <c r="J2345" s="15"/>
    </row>
    <row r="2346" spans="10:10" x14ac:dyDescent="0.25">
      <c r="J2346" s="15"/>
    </row>
    <row r="2347" spans="10:10" x14ac:dyDescent="0.25">
      <c r="J2347" s="15"/>
    </row>
    <row r="2348" spans="10:10" x14ac:dyDescent="0.25">
      <c r="J2348" s="15"/>
    </row>
    <row r="2349" spans="10:10" x14ac:dyDescent="0.25">
      <c r="J2349" s="15"/>
    </row>
    <row r="2350" spans="10:10" x14ac:dyDescent="0.25">
      <c r="J2350" s="15"/>
    </row>
    <row r="2351" spans="10:10" x14ac:dyDescent="0.25">
      <c r="J2351" s="15"/>
    </row>
    <row r="2352" spans="10:10" x14ac:dyDescent="0.25">
      <c r="J2352" s="15"/>
    </row>
    <row r="2353" spans="10:10" x14ac:dyDescent="0.25">
      <c r="J2353" s="15"/>
    </row>
    <row r="2354" spans="10:10" x14ac:dyDescent="0.25">
      <c r="J2354" s="15"/>
    </row>
    <row r="2355" spans="10:10" x14ac:dyDescent="0.25">
      <c r="J2355" s="15"/>
    </row>
    <row r="2356" spans="10:10" x14ac:dyDescent="0.25">
      <c r="J2356" s="15"/>
    </row>
    <row r="2357" spans="10:10" x14ac:dyDescent="0.25">
      <c r="J2357" s="15"/>
    </row>
    <row r="2358" spans="10:10" x14ac:dyDescent="0.25">
      <c r="J2358" s="15"/>
    </row>
    <row r="2359" spans="10:10" x14ac:dyDescent="0.25">
      <c r="J2359" s="15"/>
    </row>
    <row r="2360" spans="10:10" x14ac:dyDescent="0.25">
      <c r="J2360" s="15"/>
    </row>
    <row r="2361" spans="10:10" x14ac:dyDescent="0.25">
      <c r="J2361" s="15"/>
    </row>
    <row r="2362" spans="10:10" x14ac:dyDescent="0.25">
      <c r="J2362" s="15"/>
    </row>
    <row r="2363" spans="10:10" x14ac:dyDescent="0.25">
      <c r="J2363" s="15"/>
    </row>
    <row r="2364" spans="10:10" x14ac:dyDescent="0.25">
      <c r="J2364" s="15"/>
    </row>
    <row r="2365" spans="10:10" x14ac:dyDescent="0.25">
      <c r="J2365" s="15"/>
    </row>
    <row r="2366" spans="10:10" x14ac:dyDescent="0.25">
      <c r="J2366" s="15"/>
    </row>
    <row r="2367" spans="10:10" x14ac:dyDescent="0.25">
      <c r="J2367" s="15"/>
    </row>
    <row r="2368" spans="10:10" x14ac:dyDescent="0.25">
      <c r="J2368" s="15"/>
    </row>
    <row r="2369" spans="10:10" x14ac:dyDescent="0.25">
      <c r="J2369" s="15"/>
    </row>
    <row r="2370" spans="10:10" x14ac:dyDescent="0.25">
      <c r="J2370" s="15"/>
    </row>
    <row r="2371" spans="10:10" x14ac:dyDescent="0.25">
      <c r="J2371" s="15"/>
    </row>
    <row r="2372" spans="10:10" x14ac:dyDescent="0.25">
      <c r="J2372" s="15"/>
    </row>
    <row r="2373" spans="10:10" x14ac:dyDescent="0.25">
      <c r="J2373" s="15"/>
    </row>
    <row r="2374" spans="10:10" x14ac:dyDescent="0.25">
      <c r="J2374" s="15"/>
    </row>
    <row r="2375" spans="10:10" x14ac:dyDescent="0.25">
      <c r="J2375" s="15"/>
    </row>
    <row r="2376" spans="10:10" x14ac:dyDescent="0.25">
      <c r="J2376" s="15"/>
    </row>
    <row r="2377" spans="10:10" x14ac:dyDescent="0.25">
      <c r="J2377" s="15"/>
    </row>
    <row r="2378" spans="10:10" x14ac:dyDescent="0.25">
      <c r="J2378" s="15"/>
    </row>
    <row r="2379" spans="10:10" x14ac:dyDescent="0.25">
      <c r="J2379" s="15"/>
    </row>
    <row r="2380" spans="10:10" x14ac:dyDescent="0.25">
      <c r="J2380" s="15"/>
    </row>
    <row r="2381" spans="10:10" x14ac:dyDescent="0.25">
      <c r="J2381" s="15"/>
    </row>
    <row r="2382" spans="10:10" x14ac:dyDescent="0.25">
      <c r="J2382" s="15"/>
    </row>
    <row r="2383" spans="10:10" x14ac:dyDescent="0.25">
      <c r="J2383" s="15"/>
    </row>
    <row r="2384" spans="10:10" x14ac:dyDescent="0.25">
      <c r="J2384" s="15"/>
    </row>
    <row r="2385" spans="10:10" x14ac:dyDescent="0.25">
      <c r="J2385" s="15"/>
    </row>
    <row r="2386" spans="10:10" x14ac:dyDescent="0.25">
      <c r="J2386" s="15"/>
    </row>
    <row r="2387" spans="10:10" x14ac:dyDescent="0.25">
      <c r="J2387" s="15"/>
    </row>
    <row r="2388" spans="10:10" x14ac:dyDescent="0.25">
      <c r="J2388" s="15"/>
    </row>
    <row r="2389" spans="10:10" x14ac:dyDescent="0.25">
      <c r="J2389" s="15"/>
    </row>
    <row r="2390" spans="10:10" x14ac:dyDescent="0.25">
      <c r="J2390" s="15"/>
    </row>
    <row r="2391" spans="10:10" x14ac:dyDescent="0.25">
      <c r="J2391" s="15"/>
    </row>
    <row r="2392" spans="10:10" x14ac:dyDescent="0.25">
      <c r="J2392" s="15"/>
    </row>
    <row r="2393" spans="10:10" x14ac:dyDescent="0.25">
      <c r="J2393" s="15"/>
    </row>
    <row r="2394" spans="10:10" x14ac:dyDescent="0.25">
      <c r="J2394" s="15"/>
    </row>
    <row r="2395" spans="10:10" x14ac:dyDescent="0.25">
      <c r="J2395" s="15"/>
    </row>
    <row r="2396" spans="10:10" x14ac:dyDescent="0.25">
      <c r="J2396" s="15"/>
    </row>
    <row r="2397" spans="10:10" x14ac:dyDescent="0.25">
      <c r="J2397" s="15"/>
    </row>
    <row r="2398" spans="10:10" x14ac:dyDescent="0.25">
      <c r="J2398" s="15"/>
    </row>
    <row r="2399" spans="10:10" x14ac:dyDescent="0.25">
      <c r="J2399" s="15"/>
    </row>
    <row r="2400" spans="10:10" x14ac:dyDescent="0.25">
      <c r="J2400" s="15"/>
    </row>
    <row r="2401" spans="10:10" x14ac:dyDescent="0.25">
      <c r="J2401" s="15"/>
    </row>
    <row r="2402" spans="10:10" x14ac:dyDescent="0.25">
      <c r="J2402" s="15"/>
    </row>
    <row r="2403" spans="10:10" x14ac:dyDescent="0.25">
      <c r="J2403" s="15"/>
    </row>
    <row r="2404" spans="10:10" x14ac:dyDescent="0.25">
      <c r="J2404" s="15"/>
    </row>
    <row r="2405" spans="10:10" x14ac:dyDescent="0.25">
      <c r="J2405" s="15"/>
    </row>
    <row r="2406" spans="10:10" x14ac:dyDescent="0.25">
      <c r="J2406" s="15"/>
    </row>
    <row r="2407" spans="10:10" x14ac:dyDescent="0.25">
      <c r="J2407" s="15"/>
    </row>
    <row r="2408" spans="10:10" x14ac:dyDescent="0.25">
      <c r="J2408" s="15"/>
    </row>
    <row r="2409" spans="10:10" x14ac:dyDescent="0.25">
      <c r="J2409" s="15"/>
    </row>
    <row r="2410" spans="10:10" x14ac:dyDescent="0.25">
      <c r="J2410" s="15"/>
    </row>
    <row r="2411" spans="10:10" x14ac:dyDescent="0.25">
      <c r="J2411" s="15"/>
    </row>
    <row r="2412" spans="10:10" x14ac:dyDescent="0.25">
      <c r="J2412" s="15"/>
    </row>
    <row r="2413" spans="10:10" x14ac:dyDescent="0.25">
      <c r="J2413" s="15"/>
    </row>
    <row r="2414" spans="10:10" x14ac:dyDescent="0.25">
      <c r="J2414" s="15"/>
    </row>
    <row r="2415" spans="10:10" x14ac:dyDescent="0.25">
      <c r="J2415" s="15"/>
    </row>
    <row r="2416" spans="10:10" x14ac:dyDescent="0.25">
      <c r="J2416" s="15"/>
    </row>
    <row r="2417" spans="10:10" x14ac:dyDescent="0.25">
      <c r="J2417" s="15"/>
    </row>
    <row r="2418" spans="10:10" x14ac:dyDescent="0.25">
      <c r="J2418" s="15"/>
    </row>
    <row r="2419" spans="10:10" x14ac:dyDescent="0.25">
      <c r="J2419" s="15"/>
    </row>
    <row r="2420" spans="10:10" x14ac:dyDescent="0.25">
      <c r="J2420" s="15"/>
    </row>
    <row r="2421" spans="10:10" x14ac:dyDescent="0.25">
      <c r="J2421" s="15"/>
    </row>
    <row r="2422" spans="10:10" x14ac:dyDescent="0.25">
      <c r="J2422" s="15"/>
    </row>
    <row r="2423" spans="10:10" x14ac:dyDescent="0.25">
      <c r="J2423" s="15"/>
    </row>
    <row r="2424" spans="10:10" x14ac:dyDescent="0.25">
      <c r="J2424" s="15"/>
    </row>
    <row r="2425" spans="10:10" x14ac:dyDescent="0.25">
      <c r="J2425" s="15"/>
    </row>
    <row r="2426" spans="10:10" x14ac:dyDescent="0.25">
      <c r="J2426" s="15"/>
    </row>
    <row r="2427" spans="10:10" x14ac:dyDescent="0.25">
      <c r="J2427" s="15"/>
    </row>
    <row r="2428" spans="10:10" x14ac:dyDescent="0.25">
      <c r="J2428" s="15"/>
    </row>
    <row r="2429" spans="10:10" x14ac:dyDescent="0.25">
      <c r="J2429" s="15"/>
    </row>
    <row r="2430" spans="10:10" x14ac:dyDescent="0.25">
      <c r="J2430" s="15"/>
    </row>
    <row r="2431" spans="10:10" x14ac:dyDescent="0.25">
      <c r="J2431" s="15"/>
    </row>
    <row r="2432" spans="10:10" x14ac:dyDescent="0.25">
      <c r="J2432" s="15"/>
    </row>
    <row r="2433" spans="10:10" x14ac:dyDescent="0.25">
      <c r="J2433" s="15"/>
    </row>
    <row r="2434" spans="10:10" x14ac:dyDescent="0.25">
      <c r="J2434" s="15"/>
    </row>
    <row r="2435" spans="10:10" x14ac:dyDescent="0.25">
      <c r="J2435" s="15"/>
    </row>
    <row r="2436" spans="10:10" x14ac:dyDescent="0.25">
      <c r="J2436" s="15"/>
    </row>
    <row r="2437" spans="10:10" x14ac:dyDescent="0.25">
      <c r="J2437" s="15"/>
    </row>
    <row r="2438" spans="10:10" x14ac:dyDescent="0.25">
      <c r="J2438" s="15"/>
    </row>
    <row r="2439" spans="10:10" x14ac:dyDescent="0.25">
      <c r="J2439" s="15"/>
    </row>
    <row r="2440" spans="10:10" x14ac:dyDescent="0.25">
      <c r="J2440" s="15"/>
    </row>
    <row r="2441" spans="10:10" x14ac:dyDescent="0.25">
      <c r="J2441" s="15"/>
    </row>
    <row r="2442" spans="10:10" x14ac:dyDescent="0.25">
      <c r="J2442" s="15"/>
    </row>
    <row r="2443" spans="10:10" x14ac:dyDescent="0.25">
      <c r="J2443" s="15"/>
    </row>
    <row r="2444" spans="10:10" x14ac:dyDescent="0.25">
      <c r="J2444" s="15"/>
    </row>
    <row r="2445" spans="10:10" x14ac:dyDescent="0.25">
      <c r="J2445" s="15"/>
    </row>
    <row r="2446" spans="10:10" x14ac:dyDescent="0.25">
      <c r="J2446" s="15"/>
    </row>
    <row r="2447" spans="10:10" x14ac:dyDescent="0.25">
      <c r="J2447" s="15"/>
    </row>
    <row r="2448" spans="10:10" x14ac:dyDescent="0.25">
      <c r="J2448" s="15"/>
    </row>
    <row r="2449" spans="10:10" x14ac:dyDescent="0.25">
      <c r="J2449" s="15"/>
    </row>
    <row r="2450" spans="10:10" x14ac:dyDescent="0.25">
      <c r="J2450" s="15"/>
    </row>
    <row r="2451" spans="10:10" x14ac:dyDescent="0.25">
      <c r="J2451" s="15"/>
    </row>
    <row r="2452" spans="10:10" x14ac:dyDescent="0.25">
      <c r="J2452" s="15"/>
    </row>
    <row r="2453" spans="10:10" x14ac:dyDescent="0.25">
      <c r="J2453" s="15"/>
    </row>
    <row r="2454" spans="10:10" x14ac:dyDescent="0.25">
      <c r="J2454" s="15"/>
    </row>
    <row r="2455" spans="10:10" x14ac:dyDescent="0.25">
      <c r="J2455" s="15"/>
    </row>
    <row r="2456" spans="10:10" x14ac:dyDescent="0.25">
      <c r="J2456" s="15"/>
    </row>
    <row r="2457" spans="10:10" x14ac:dyDescent="0.25">
      <c r="J2457" s="15"/>
    </row>
    <row r="2458" spans="10:10" x14ac:dyDescent="0.25">
      <c r="J2458" s="15"/>
    </row>
    <row r="2459" spans="10:10" x14ac:dyDescent="0.25">
      <c r="J2459" s="15"/>
    </row>
    <row r="2460" spans="10:10" x14ac:dyDescent="0.25">
      <c r="J2460" s="15"/>
    </row>
    <row r="2461" spans="10:10" x14ac:dyDescent="0.25">
      <c r="J2461" s="15"/>
    </row>
    <row r="2462" spans="10:10" x14ac:dyDescent="0.25">
      <c r="J2462" s="15"/>
    </row>
    <row r="2463" spans="10:10" x14ac:dyDescent="0.25">
      <c r="J2463" s="15"/>
    </row>
    <row r="2464" spans="10:10" x14ac:dyDescent="0.25">
      <c r="J2464" s="15"/>
    </row>
    <row r="2465" spans="10:10" x14ac:dyDescent="0.25">
      <c r="J2465" s="15"/>
    </row>
    <row r="2466" spans="10:10" x14ac:dyDescent="0.25">
      <c r="J2466" s="15"/>
    </row>
    <row r="2467" spans="10:10" x14ac:dyDescent="0.25">
      <c r="J2467" s="15"/>
    </row>
    <row r="2468" spans="10:10" x14ac:dyDescent="0.25">
      <c r="J2468" s="15"/>
    </row>
    <row r="2469" spans="10:10" x14ac:dyDescent="0.25">
      <c r="J2469" s="15"/>
    </row>
    <row r="2470" spans="10:10" x14ac:dyDescent="0.25">
      <c r="J2470" s="15"/>
    </row>
    <row r="2471" spans="10:10" x14ac:dyDescent="0.25">
      <c r="J2471" s="15"/>
    </row>
    <row r="2472" spans="10:10" x14ac:dyDescent="0.25">
      <c r="J2472" s="15"/>
    </row>
    <row r="2473" spans="10:10" x14ac:dyDescent="0.25">
      <c r="J2473" s="15"/>
    </row>
    <row r="2474" spans="10:10" x14ac:dyDescent="0.25">
      <c r="J2474" s="15"/>
    </row>
    <row r="2475" spans="10:10" x14ac:dyDescent="0.25">
      <c r="J2475" s="15"/>
    </row>
    <row r="2476" spans="10:10" x14ac:dyDescent="0.25">
      <c r="J2476" s="15"/>
    </row>
    <row r="2477" spans="10:10" x14ac:dyDescent="0.25">
      <c r="J2477" s="15"/>
    </row>
    <row r="2478" spans="10:10" x14ac:dyDescent="0.25">
      <c r="J2478" s="15"/>
    </row>
    <row r="2479" spans="10:10" x14ac:dyDescent="0.25">
      <c r="J2479" s="15"/>
    </row>
    <row r="2480" spans="10:10" x14ac:dyDescent="0.25">
      <c r="J2480" s="15"/>
    </row>
    <row r="2481" spans="10:10" x14ac:dyDescent="0.25">
      <c r="J2481" s="15"/>
    </row>
    <row r="2482" spans="10:10" x14ac:dyDescent="0.25">
      <c r="J2482" s="15"/>
    </row>
    <row r="2483" spans="10:10" x14ac:dyDescent="0.25">
      <c r="J2483" s="15"/>
    </row>
    <row r="2484" spans="10:10" x14ac:dyDescent="0.25">
      <c r="J2484" s="15"/>
    </row>
    <row r="2485" spans="10:10" x14ac:dyDescent="0.25">
      <c r="J2485" s="15"/>
    </row>
    <row r="2486" spans="10:10" x14ac:dyDescent="0.25">
      <c r="J2486" s="15"/>
    </row>
    <row r="2487" spans="10:10" x14ac:dyDescent="0.25">
      <c r="J2487" s="15"/>
    </row>
    <row r="2488" spans="10:10" x14ac:dyDescent="0.25">
      <c r="J2488" s="15"/>
    </row>
    <row r="2489" spans="10:10" x14ac:dyDescent="0.25">
      <c r="J2489" s="15"/>
    </row>
    <row r="2490" spans="10:10" x14ac:dyDescent="0.25">
      <c r="J2490" s="15"/>
    </row>
    <row r="2491" spans="10:10" x14ac:dyDescent="0.25">
      <c r="J2491" s="15"/>
    </row>
    <row r="2492" spans="10:10" x14ac:dyDescent="0.25">
      <c r="J2492" s="15"/>
    </row>
    <row r="2493" spans="10:10" x14ac:dyDescent="0.25">
      <c r="J2493" s="15"/>
    </row>
    <row r="2494" spans="10:10" x14ac:dyDescent="0.25">
      <c r="J2494" s="15"/>
    </row>
    <row r="2495" spans="10:10" x14ac:dyDescent="0.25">
      <c r="J2495" s="15"/>
    </row>
    <row r="2496" spans="10:10" x14ac:dyDescent="0.25">
      <c r="J2496" s="15"/>
    </row>
    <row r="2497" spans="10:10" x14ac:dyDescent="0.25">
      <c r="J2497" s="15"/>
    </row>
    <row r="2498" spans="10:10" x14ac:dyDescent="0.25">
      <c r="J2498" s="15"/>
    </row>
    <row r="2499" spans="10:10" x14ac:dyDescent="0.25">
      <c r="J2499" s="15"/>
    </row>
    <row r="2500" spans="10:10" x14ac:dyDescent="0.25">
      <c r="J2500" s="15"/>
    </row>
    <row r="2501" spans="10:10" x14ac:dyDescent="0.25">
      <c r="J2501" s="15"/>
    </row>
    <row r="2502" spans="10:10" x14ac:dyDescent="0.25">
      <c r="J2502" s="15"/>
    </row>
    <row r="2503" spans="10:10" x14ac:dyDescent="0.25">
      <c r="J2503" s="15"/>
    </row>
    <row r="2504" spans="10:10" x14ac:dyDescent="0.25">
      <c r="J2504" s="15"/>
    </row>
    <row r="2505" spans="10:10" x14ac:dyDescent="0.25">
      <c r="J2505" s="15"/>
    </row>
    <row r="2506" spans="10:10" x14ac:dyDescent="0.25">
      <c r="J2506" s="15"/>
    </row>
    <row r="2507" spans="10:10" x14ac:dyDescent="0.25">
      <c r="J2507" s="15"/>
    </row>
    <row r="2508" spans="10:10" x14ac:dyDescent="0.25">
      <c r="J2508" s="15"/>
    </row>
    <row r="2509" spans="10:10" x14ac:dyDescent="0.25">
      <c r="J2509" s="15"/>
    </row>
    <row r="2510" spans="10:10" x14ac:dyDescent="0.25">
      <c r="J2510" s="15"/>
    </row>
    <row r="2511" spans="10:10" x14ac:dyDescent="0.25">
      <c r="J2511" s="15"/>
    </row>
    <row r="2512" spans="10:10" x14ac:dyDescent="0.25">
      <c r="J2512" s="15"/>
    </row>
    <row r="2513" spans="10:10" x14ac:dyDescent="0.25">
      <c r="J2513" s="15"/>
    </row>
    <row r="2514" spans="10:10" x14ac:dyDescent="0.25">
      <c r="J2514" s="15"/>
    </row>
    <row r="2515" spans="10:10" x14ac:dyDescent="0.25">
      <c r="J2515" s="15"/>
    </row>
    <row r="2516" spans="10:10" x14ac:dyDescent="0.25">
      <c r="J2516" s="15"/>
    </row>
    <row r="2517" spans="10:10" x14ac:dyDescent="0.25">
      <c r="J2517" s="15"/>
    </row>
    <row r="2518" spans="10:10" x14ac:dyDescent="0.25">
      <c r="J2518" s="15"/>
    </row>
    <row r="2519" spans="10:10" x14ac:dyDescent="0.25">
      <c r="J2519" s="15"/>
    </row>
    <row r="2520" spans="10:10" x14ac:dyDescent="0.25">
      <c r="J2520" s="15"/>
    </row>
    <row r="2521" spans="10:10" x14ac:dyDescent="0.25">
      <c r="J2521" s="15"/>
    </row>
    <row r="2522" spans="10:10" x14ac:dyDescent="0.25">
      <c r="J2522" s="15"/>
    </row>
    <row r="2523" spans="10:10" x14ac:dyDescent="0.25">
      <c r="J2523" s="15"/>
    </row>
    <row r="2524" spans="10:10" x14ac:dyDescent="0.25">
      <c r="J2524" s="15"/>
    </row>
    <row r="2525" spans="10:10" x14ac:dyDescent="0.25">
      <c r="J2525" s="15"/>
    </row>
    <row r="2526" spans="10:10" x14ac:dyDescent="0.25">
      <c r="J2526" s="15"/>
    </row>
    <row r="2527" spans="10:10" x14ac:dyDescent="0.25">
      <c r="J2527" s="15"/>
    </row>
    <row r="2528" spans="10:10" x14ac:dyDescent="0.25">
      <c r="J2528" s="15"/>
    </row>
    <row r="2529" spans="10:10" x14ac:dyDescent="0.25">
      <c r="J2529" s="15"/>
    </row>
    <row r="2530" spans="10:10" x14ac:dyDescent="0.25">
      <c r="J2530" s="15"/>
    </row>
    <row r="2531" spans="10:10" x14ac:dyDescent="0.25">
      <c r="J2531" s="15"/>
    </row>
    <row r="2532" spans="10:10" x14ac:dyDescent="0.25">
      <c r="J2532" s="15"/>
    </row>
    <row r="2533" spans="10:10" x14ac:dyDescent="0.25">
      <c r="J2533" s="15"/>
    </row>
    <row r="2534" spans="10:10" x14ac:dyDescent="0.25">
      <c r="J2534" s="15"/>
    </row>
    <row r="2535" spans="10:10" x14ac:dyDescent="0.25">
      <c r="J2535" s="15"/>
    </row>
    <row r="2536" spans="10:10" x14ac:dyDescent="0.25">
      <c r="J2536" s="15"/>
    </row>
    <row r="2537" spans="10:10" x14ac:dyDescent="0.25">
      <c r="J2537" s="15"/>
    </row>
    <row r="2538" spans="10:10" x14ac:dyDescent="0.25">
      <c r="J2538" s="15"/>
    </row>
    <row r="2539" spans="10:10" x14ac:dyDescent="0.25">
      <c r="J2539" s="15"/>
    </row>
    <row r="2540" spans="10:10" x14ac:dyDescent="0.25">
      <c r="J2540" s="15"/>
    </row>
    <row r="2541" spans="10:10" x14ac:dyDescent="0.25">
      <c r="J2541" s="15"/>
    </row>
    <row r="2542" spans="10:10" x14ac:dyDescent="0.25">
      <c r="J2542" s="15"/>
    </row>
    <row r="2543" spans="10:10" x14ac:dyDescent="0.25">
      <c r="J2543" s="15"/>
    </row>
    <row r="2544" spans="10:10" x14ac:dyDescent="0.25">
      <c r="J2544" s="15"/>
    </row>
    <row r="2545" spans="10:10" x14ac:dyDescent="0.25">
      <c r="J2545" s="15"/>
    </row>
    <row r="2546" spans="10:10" x14ac:dyDescent="0.25">
      <c r="J2546" s="15"/>
    </row>
    <row r="2547" spans="10:10" x14ac:dyDescent="0.25">
      <c r="J2547" s="15"/>
    </row>
    <row r="2548" spans="10:10" x14ac:dyDescent="0.25">
      <c r="J2548" s="15"/>
    </row>
    <row r="2549" spans="10:10" x14ac:dyDescent="0.25">
      <c r="J2549" s="15"/>
    </row>
    <row r="2550" spans="10:10" x14ac:dyDescent="0.25">
      <c r="J2550" s="15"/>
    </row>
    <row r="2551" spans="10:10" x14ac:dyDescent="0.25">
      <c r="J2551" s="15"/>
    </row>
    <row r="2552" spans="10:10" x14ac:dyDescent="0.25">
      <c r="J2552" s="15"/>
    </row>
    <row r="2553" spans="10:10" x14ac:dyDescent="0.25">
      <c r="J2553" s="15"/>
    </row>
    <row r="2554" spans="10:10" x14ac:dyDescent="0.25">
      <c r="J2554" s="15"/>
    </row>
    <row r="2555" spans="10:10" x14ac:dyDescent="0.25">
      <c r="J2555" s="15"/>
    </row>
    <row r="2556" spans="10:10" x14ac:dyDescent="0.25">
      <c r="J2556" s="15"/>
    </row>
    <row r="2557" spans="10:10" x14ac:dyDescent="0.25">
      <c r="J2557" s="15"/>
    </row>
    <row r="2558" spans="10:10" x14ac:dyDescent="0.25">
      <c r="J2558" s="15"/>
    </row>
    <row r="2559" spans="10:10" x14ac:dyDescent="0.25">
      <c r="J2559" s="15"/>
    </row>
    <row r="2560" spans="10:10" x14ac:dyDescent="0.25">
      <c r="J2560" s="15"/>
    </row>
    <row r="2561" spans="10:10" x14ac:dyDescent="0.25">
      <c r="J2561" s="15"/>
    </row>
    <row r="2562" spans="10:10" x14ac:dyDescent="0.25">
      <c r="J2562" s="15"/>
    </row>
    <row r="2563" spans="10:10" x14ac:dyDescent="0.25">
      <c r="J2563" s="15"/>
    </row>
    <row r="2564" spans="10:10" x14ac:dyDescent="0.25">
      <c r="J2564" s="15"/>
    </row>
    <row r="2565" spans="10:10" x14ac:dyDescent="0.25">
      <c r="J2565" s="15"/>
    </row>
    <row r="2566" spans="10:10" x14ac:dyDescent="0.25">
      <c r="J2566" s="15"/>
    </row>
    <row r="2567" spans="10:10" x14ac:dyDescent="0.25">
      <c r="J2567" s="15"/>
    </row>
    <row r="2568" spans="10:10" x14ac:dyDescent="0.25">
      <c r="J2568" s="15"/>
    </row>
    <row r="2569" spans="10:10" x14ac:dyDescent="0.25">
      <c r="J2569" s="15"/>
    </row>
    <row r="2570" spans="10:10" x14ac:dyDescent="0.25">
      <c r="J2570" s="15"/>
    </row>
    <row r="2571" spans="10:10" x14ac:dyDescent="0.25">
      <c r="J2571" s="15"/>
    </row>
    <row r="2572" spans="10:10" x14ac:dyDescent="0.25">
      <c r="J2572" s="15"/>
    </row>
    <row r="2573" spans="10:10" x14ac:dyDescent="0.25">
      <c r="J2573" s="15"/>
    </row>
    <row r="2574" spans="10:10" x14ac:dyDescent="0.25">
      <c r="J2574" s="15"/>
    </row>
    <row r="2575" spans="10:10" x14ac:dyDescent="0.25">
      <c r="J2575" s="15"/>
    </row>
    <row r="2576" spans="10:10" x14ac:dyDescent="0.25">
      <c r="J2576" s="15"/>
    </row>
    <row r="2577" spans="10:10" x14ac:dyDescent="0.25">
      <c r="J2577" s="15"/>
    </row>
    <row r="2578" spans="10:10" x14ac:dyDescent="0.25">
      <c r="J2578" s="15"/>
    </row>
    <row r="2579" spans="10:10" x14ac:dyDescent="0.25">
      <c r="J2579" s="15"/>
    </row>
    <row r="2580" spans="10:10" x14ac:dyDescent="0.25">
      <c r="J2580" s="15"/>
    </row>
    <row r="2581" spans="10:10" x14ac:dyDescent="0.25">
      <c r="J2581" s="15"/>
    </row>
    <row r="2582" spans="10:10" x14ac:dyDescent="0.25">
      <c r="J2582" s="15"/>
    </row>
    <row r="2583" spans="10:10" x14ac:dyDescent="0.25">
      <c r="J2583" s="15"/>
    </row>
    <row r="2584" spans="10:10" x14ac:dyDescent="0.25">
      <c r="J2584" s="15"/>
    </row>
    <row r="2585" spans="10:10" x14ac:dyDescent="0.25">
      <c r="J2585" s="15"/>
    </row>
    <row r="2586" spans="10:10" x14ac:dyDescent="0.25">
      <c r="J2586" s="15"/>
    </row>
    <row r="2587" spans="10:10" x14ac:dyDescent="0.25">
      <c r="J2587" s="15"/>
    </row>
    <row r="2588" spans="10:10" x14ac:dyDescent="0.25">
      <c r="J2588" s="15"/>
    </row>
    <row r="2589" spans="10:10" x14ac:dyDescent="0.25">
      <c r="J2589" s="15"/>
    </row>
    <row r="2590" spans="10:10" x14ac:dyDescent="0.25">
      <c r="J2590" s="15"/>
    </row>
    <row r="2591" spans="10:10" x14ac:dyDescent="0.25">
      <c r="J2591" s="15"/>
    </row>
    <row r="2592" spans="10:10" x14ac:dyDescent="0.25">
      <c r="J2592" s="15"/>
    </row>
    <row r="2593" spans="10:10" x14ac:dyDescent="0.25">
      <c r="J2593" s="15"/>
    </row>
    <row r="2594" spans="10:10" x14ac:dyDescent="0.25">
      <c r="J2594" s="15"/>
    </row>
    <row r="2595" spans="10:10" x14ac:dyDescent="0.25">
      <c r="J2595" s="15"/>
    </row>
    <row r="2596" spans="10:10" x14ac:dyDescent="0.25">
      <c r="J2596" s="15"/>
    </row>
    <row r="2597" spans="10:10" x14ac:dyDescent="0.25">
      <c r="J2597" s="15"/>
    </row>
    <row r="2598" spans="10:10" x14ac:dyDescent="0.25">
      <c r="J2598" s="15"/>
    </row>
    <row r="2599" spans="10:10" x14ac:dyDescent="0.25">
      <c r="J2599" s="15"/>
    </row>
    <row r="2600" spans="10:10" x14ac:dyDescent="0.25">
      <c r="J2600" s="15"/>
    </row>
    <row r="2601" spans="10:10" x14ac:dyDescent="0.25">
      <c r="J2601" s="15"/>
    </row>
    <row r="2602" spans="10:10" x14ac:dyDescent="0.25">
      <c r="J2602" s="15"/>
    </row>
    <row r="2603" spans="10:10" x14ac:dyDescent="0.25">
      <c r="J2603" s="15"/>
    </row>
    <row r="2604" spans="10:10" x14ac:dyDescent="0.25">
      <c r="J2604" s="15"/>
    </row>
    <row r="2605" spans="10:10" x14ac:dyDescent="0.25">
      <c r="J2605" s="15"/>
    </row>
    <row r="2606" spans="10:10" x14ac:dyDescent="0.25">
      <c r="J2606" s="15"/>
    </row>
    <row r="2607" spans="10:10" x14ac:dyDescent="0.25">
      <c r="J2607" s="15"/>
    </row>
    <row r="2608" spans="10:10" x14ac:dyDescent="0.25">
      <c r="J2608" s="15"/>
    </row>
    <row r="2609" spans="10:10" x14ac:dyDescent="0.25">
      <c r="J2609" s="15"/>
    </row>
    <row r="2610" spans="10:10" x14ac:dyDescent="0.25">
      <c r="J2610" s="15"/>
    </row>
    <row r="2611" spans="10:10" x14ac:dyDescent="0.25">
      <c r="J2611" s="15"/>
    </row>
    <row r="2612" spans="10:10" x14ac:dyDescent="0.25">
      <c r="J2612" s="15"/>
    </row>
    <row r="2613" spans="10:10" x14ac:dyDescent="0.25">
      <c r="J2613" s="15"/>
    </row>
    <row r="2614" spans="10:10" x14ac:dyDescent="0.25">
      <c r="J2614" s="15"/>
    </row>
    <row r="2615" spans="10:10" x14ac:dyDescent="0.25">
      <c r="J2615" s="15"/>
    </row>
    <row r="2616" spans="10:10" x14ac:dyDescent="0.25">
      <c r="J2616" s="15"/>
    </row>
    <row r="2617" spans="10:10" x14ac:dyDescent="0.25">
      <c r="J2617" s="15"/>
    </row>
    <row r="2618" spans="10:10" x14ac:dyDescent="0.25">
      <c r="J2618" s="15"/>
    </row>
    <row r="2619" spans="10:10" x14ac:dyDescent="0.25">
      <c r="J2619" s="15"/>
    </row>
    <row r="2620" spans="10:10" x14ac:dyDescent="0.25">
      <c r="J2620" s="15"/>
    </row>
    <row r="2621" spans="10:10" x14ac:dyDescent="0.25">
      <c r="J2621" s="15"/>
    </row>
    <row r="2622" spans="10:10" x14ac:dyDescent="0.25">
      <c r="J2622" s="15"/>
    </row>
    <row r="2623" spans="10:10" x14ac:dyDescent="0.25">
      <c r="J2623" s="15"/>
    </row>
    <row r="2624" spans="10:10" x14ac:dyDescent="0.25">
      <c r="J2624" s="15"/>
    </row>
    <row r="2625" spans="10:10" x14ac:dyDescent="0.25">
      <c r="J2625" s="15"/>
    </row>
    <row r="2626" spans="10:10" x14ac:dyDescent="0.25">
      <c r="J2626" s="15"/>
    </row>
    <row r="2627" spans="10:10" x14ac:dyDescent="0.25">
      <c r="J2627" s="15"/>
    </row>
    <row r="2628" spans="10:10" x14ac:dyDescent="0.25">
      <c r="J2628" s="15"/>
    </row>
    <row r="2629" spans="10:10" x14ac:dyDescent="0.25">
      <c r="J2629" s="15"/>
    </row>
    <row r="2630" spans="10:10" x14ac:dyDescent="0.25">
      <c r="J2630" s="15"/>
    </row>
    <row r="2631" spans="10:10" x14ac:dyDescent="0.25">
      <c r="J2631" s="15"/>
    </row>
    <row r="2632" spans="10:10" x14ac:dyDescent="0.25">
      <c r="J2632" s="15"/>
    </row>
    <row r="2633" spans="10:10" x14ac:dyDescent="0.25">
      <c r="J2633" s="15"/>
    </row>
    <row r="2634" spans="10:10" x14ac:dyDescent="0.25">
      <c r="J2634" s="15"/>
    </row>
    <row r="2635" spans="10:10" x14ac:dyDescent="0.25">
      <c r="J2635" s="15"/>
    </row>
    <row r="2636" spans="10:10" x14ac:dyDescent="0.25">
      <c r="J2636" s="15"/>
    </row>
    <row r="2637" spans="10:10" x14ac:dyDescent="0.25">
      <c r="J2637" s="15"/>
    </row>
    <row r="2638" spans="10:10" x14ac:dyDescent="0.25">
      <c r="J2638" s="15"/>
    </row>
    <row r="2639" spans="10:10" x14ac:dyDescent="0.25">
      <c r="J2639" s="15"/>
    </row>
    <row r="2640" spans="10:10" x14ac:dyDescent="0.25">
      <c r="J2640" s="15"/>
    </row>
    <row r="2641" spans="10:10" x14ac:dyDescent="0.25">
      <c r="J2641" s="15"/>
    </row>
    <row r="2642" spans="10:10" x14ac:dyDescent="0.25">
      <c r="J2642" s="15"/>
    </row>
    <row r="2643" spans="10:10" x14ac:dyDescent="0.25">
      <c r="J2643" s="15"/>
    </row>
    <row r="2644" spans="10:10" x14ac:dyDescent="0.25">
      <c r="J2644" s="15"/>
    </row>
    <row r="2645" spans="10:10" x14ac:dyDescent="0.25">
      <c r="J2645" s="15"/>
    </row>
    <row r="2646" spans="10:10" x14ac:dyDescent="0.25">
      <c r="J2646" s="15"/>
    </row>
    <row r="2647" spans="10:10" x14ac:dyDescent="0.25">
      <c r="J2647" s="15"/>
    </row>
    <row r="2648" spans="10:10" x14ac:dyDescent="0.25">
      <c r="J2648" s="15"/>
    </row>
    <row r="2649" spans="10:10" x14ac:dyDescent="0.25">
      <c r="J2649" s="15"/>
    </row>
    <row r="2650" spans="10:10" x14ac:dyDescent="0.25">
      <c r="J2650" s="15"/>
    </row>
    <row r="2651" spans="10:10" x14ac:dyDescent="0.25">
      <c r="J2651" s="15"/>
    </row>
    <row r="2652" spans="10:10" x14ac:dyDescent="0.25">
      <c r="J2652" s="15"/>
    </row>
    <row r="2653" spans="10:10" x14ac:dyDescent="0.25">
      <c r="J2653" s="15"/>
    </row>
    <row r="2654" spans="10:10" x14ac:dyDescent="0.25">
      <c r="J2654" s="15"/>
    </row>
    <row r="2655" spans="10:10" x14ac:dyDescent="0.25">
      <c r="J2655" s="15"/>
    </row>
    <row r="2656" spans="10:10" x14ac:dyDescent="0.25">
      <c r="J2656" s="15"/>
    </row>
    <row r="2657" spans="10:10" x14ac:dyDescent="0.25">
      <c r="J2657" s="15"/>
    </row>
    <row r="2658" spans="10:10" x14ac:dyDescent="0.25">
      <c r="J2658" s="15"/>
    </row>
    <row r="2659" spans="10:10" x14ac:dyDescent="0.25">
      <c r="J2659" s="15"/>
    </row>
    <row r="2660" spans="10:10" x14ac:dyDescent="0.25">
      <c r="J2660" s="15"/>
    </row>
    <row r="2661" spans="10:10" x14ac:dyDescent="0.25">
      <c r="J2661" s="15"/>
    </row>
    <row r="2662" spans="10:10" x14ac:dyDescent="0.25">
      <c r="J2662" s="15"/>
    </row>
    <row r="2663" spans="10:10" x14ac:dyDescent="0.25">
      <c r="J2663" s="15"/>
    </row>
    <row r="2664" spans="10:10" x14ac:dyDescent="0.25">
      <c r="J2664" s="15"/>
    </row>
    <row r="2665" spans="10:10" x14ac:dyDescent="0.25">
      <c r="J2665" s="15"/>
    </row>
    <row r="2666" spans="10:10" x14ac:dyDescent="0.25">
      <c r="J2666" s="15"/>
    </row>
    <row r="2667" spans="10:10" x14ac:dyDescent="0.25">
      <c r="J2667" s="15"/>
    </row>
    <row r="2668" spans="10:10" x14ac:dyDescent="0.25">
      <c r="J2668" s="15"/>
    </row>
    <row r="2669" spans="10:10" x14ac:dyDescent="0.25">
      <c r="J2669" s="15"/>
    </row>
    <row r="2670" spans="10:10" x14ac:dyDescent="0.25">
      <c r="J2670" s="15"/>
    </row>
    <row r="2671" spans="10:10" x14ac:dyDescent="0.25">
      <c r="J2671" s="15"/>
    </row>
    <row r="2672" spans="10:10" x14ac:dyDescent="0.25">
      <c r="J2672" s="15"/>
    </row>
    <row r="2673" spans="10:10" x14ac:dyDescent="0.25">
      <c r="J2673" s="15"/>
    </row>
    <row r="2674" spans="10:10" x14ac:dyDescent="0.25">
      <c r="J2674" s="15"/>
    </row>
    <row r="2675" spans="10:10" x14ac:dyDescent="0.25">
      <c r="J2675" s="15"/>
    </row>
    <row r="2676" spans="10:10" x14ac:dyDescent="0.25">
      <c r="J2676" s="15"/>
    </row>
    <row r="2677" spans="10:10" x14ac:dyDescent="0.25">
      <c r="J2677" s="15"/>
    </row>
    <row r="2678" spans="10:10" x14ac:dyDescent="0.25">
      <c r="J2678" s="15"/>
    </row>
    <row r="2679" spans="10:10" x14ac:dyDescent="0.25">
      <c r="J2679" s="15"/>
    </row>
    <row r="2680" spans="10:10" x14ac:dyDescent="0.25">
      <c r="J2680" s="15"/>
    </row>
    <row r="2681" spans="10:10" x14ac:dyDescent="0.25">
      <c r="J2681" s="15"/>
    </row>
    <row r="2682" spans="10:10" x14ac:dyDescent="0.25">
      <c r="J2682" s="15"/>
    </row>
    <row r="2683" spans="10:10" x14ac:dyDescent="0.25">
      <c r="J2683" s="15"/>
    </row>
    <row r="2684" spans="10:10" x14ac:dyDescent="0.25">
      <c r="J2684" s="15"/>
    </row>
    <row r="2685" spans="10:10" x14ac:dyDescent="0.25">
      <c r="J2685" s="15"/>
    </row>
    <row r="2686" spans="10:10" x14ac:dyDescent="0.25">
      <c r="J2686" s="15"/>
    </row>
    <row r="2687" spans="10:10" x14ac:dyDescent="0.25">
      <c r="J2687" s="15"/>
    </row>
    <row r="2688" spans="10:10" x14ac:dyDescent="0.25">
      <c r="J2688" s="15"/>
    </row>
    <row r="2689" spans="10:10" x14ac:dyDescent="0.25">
      <c r="J2689" s="15"/>
    </row>
    <row r="2690" spans="10:10" x14ac:dyDescent="0.25">
      <c r="J2690" s="15"/>
    </row>
    <row r="2691" spans="10:10" x14ac:dyDescent="0.25">
      <c r="J2691" s="15"/>
    </row>
    <row r="2692" spans="10:10" x14ac:dyDescent="0.25">
      <c r="J2692" s="15"/>
    </row>
    <row r="2693" spans="10:10" x14ac:dyDescent="0.25">
      <c r="J2693" s="15"/>
    </row>
    <row r="2694" spans="10:10" x14ac:dyDescent="0.25">
      <c r="J2694" s="15"/>
    </row>
    <row r="2695" spans="10:10" x14ac:dyDescent="0.25">
      <c r="J2695" s="15"/>
    </row>
    <row r="2696" spans="10:10" x14ac:dyDescent="0.25">
      <c r="J2696" s="15"/>
    </row>
    <row r="2697" spans="10:10" x14ac:dyDescent="0.25">
      <c r="J2697" s="15"/>
    </row>
    <row r="2698" spans="10:10" x14ac:dyDescent="0.25">
      <c r="J2698" s="15"/>
    </row>
    <row r="2699" spans="10:10" x14ac:dyDescent="0.25">
      <c r="J2699" s="15"/>
    </row>
    <row r="2700" spans="10:10" x14ac:dyDescent="0.25">
      <c r="J2700" s="15"/>
    </row>
    <row r="2701" spans="10:10" x14ac:dyDescent="0.25">
      <c r="J2701" s="15"/>
    </row>
    <row r="2702" spans="10:10" x14ac:dyDescent="0.25">
      <c r="J2702" s="15"/>
    </row>
    <row r="2703" spans="10:10" x14ac:dyDescent="0.25">
      <c r="J2703" s="15"/>
    </row>
    <row r="2704" spans="10:10" x14ac:dyDescent="0.25">
      <c r="J2704" s="15"/>
    </row>
    <row r="2705" spans="10:10" x14ac:dyDescent="0.25">
      <c r="J2705" s="15"/>
    </row>
    <row r="2706" spans="10:10" x14ac:dyDescent="0.25">
      <c r="J2706" s="15"/>
    </row>
    <row r="2707" spans="10:10" x14ac:dyDescent="0.25">
      <c r="J2707" s="15"/>
    </row>
    <row r="2708" spans="10:10" x14ac:dyDescent="0.25">
      <c r="J2708" s="15"/>
    </row>
    <row r="2709" spans="10:10" x14ac:dyDescent="0.25">
      <c r="J2709" s="15"/>
    </row>
    <row r="2710" spans="10:10" x14ac:dyDescent="0.25">
      <c r="J2710" s="15"/>
    </row>
    <row r="2711" spans="10:10" x14ac:dyDescent="0.25">
      <c r="J2711" s="15"/>
    </row>
    <row r="2712" spans="10:10" x14ac:dyDescent="0.25">
      <c r="J2712" s="15"/>
    </row>
    <row r="2713" spans="10:10" x14ac:dyDescent="0.25">
      <c r="J2713" s="15"/>
    </row>
    <row r="2714" spans="10:10" x14ac:dyDescent="0.25">
      <c r="J2714" s="15"/>
    </row>
    <row r="2715" spans="10:10" x14ac:dyDescent="0.25">
      <c r="J2715" s="15"/>
    </row>
    <row r="2716" spans="10:10" x14ac:dyDescent="0.25">
      <c r="J2716" s="15"/>
    </row>
    <row r="2717" spans="10:10" x14ac:dyDescent="0.25">
      <c r="J2717" s="15"/>
    </row>
    <row r="2718" spans="10:10" x14ac:dyDescent="0.25">
      <c r="J2718" s="15"/>
    </row>
    <row r="2719" spans="10:10" x14ac:dyDescent="0.25">
      <c r="J2719" s="15"/>
    </row>
    <row r="2720" spans="10:10" x14ac:dyDescent="0.25">
      <c r="J2720" s="15"/>
    </row>
    <row r="2721" spans="10:10" x14ac:dyDescent="0.25">
      <c r="J2721" s="15"/>
    </row>
    <row r="2722" spans="10:10" x14ac:dyDescent="0.25">
      <c r="J2722" s="15"/>
    </row>
    <row r="2723" spans="10:10" x14ac:dyDescent="0.25">
      <c r="J2723" s="15"/>
    </row>
    <row r="2724" spans="10:10" x14ac:dyDescent="0.25">
      <c r="J2724" s="15"/>
    </row>
    <row r="2725" spans="10:10" x14ac:dyDescent="0.25">
      <c r="J2725" s="15"/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4"/>
  <dimension ref="G1:DZ3843"/>
  <sheetViews>
    <sheetView showGridLines="0" zoomScale="80" zoomScaleNormal="80" workbookViewId="0">
      <selection activeCell="P43" sqref="P43"/>
    </sheetView>
  </sheetViews>
  <sheetFormatPr baseColWidth="10" defaultColWidth="10.5703125" defaultRowHeight="15" x14ac:dyDescent="0.25"/>
  <cols>
    <col min="1" max="3" width="10.5703125" style="15"/>
    <col min="4" max="4" width="4.5703125" style="15" customWidth="1"/>
    <col min="5" max="6" width="3.42578125" style="15" customWidth="1"/>
    <col min="7" max="7" width="28.7109375" style="15" customWidth="1"/>
    <col min="8" max="9" width="11.5703125" style="15" bestFit="1" customWidth="1"/>
    <col min="10" max="10" width="11.5703125" style="26" bestFit="1" customWidth="1"/>
    <col min="11" max="14" width="11.5703125" style="15" bestFit="1" customWidth="1"/>
    <col min="15" max="15" width="12.85546875" style="24" bestFit="1" customWidth="1"/>
    <col min="16" max="17" width="12.7109375" style="15" customWidth="1"/>
    <col min="18" max="20" width="11.5703125" style="15" customWidth="1"/>
    <col min="21" max="21" width="11.5703125" style="13" customWidth="1"/>
    <col min="22" max="22" width="11.5703125" style="15" customWidth="1"/>
    <col min="23" max="23" width="12.7109375" style="15" customWidth="1"/>
    <col min="24" max="28" width="11.5703125" style="15" customWidth="1"/>
    <col min="29" max="29" width="12.7109375" style="15" customWidth="1"/>
    <col min="30" max="37" width="11.5703125" style="15" customWidth="1"/>
    <col min="38" max="38" width="12.7109375" style="15" customWidth="1"/>
    <col min="39" max="97" width="11.5703125" style="15" customWidth="1"/>
    <col min="98" max="98" width="11.5703125" style="25" customWidth="1"/>
    <col min="99" max="129" width="11.5703125" style="15" customWidth="1"/>
    <col min="130" max="130" width="12.7109375" style="15" customWidth="1"/>
    <col min="131" max="160" width="11.5703125" style="15" customWidth="1"/>
    <col min="161" max="161" width="12.5703125" style="15" customWidth="1"/>
    <col min="162" max="218" width="11.5703125" style="15" customWidth="1"/>
    <col min="219" max="219" width="11.5703125" style="15" bestFit="1" customWidth="1"/>
    <col min="220" max="220" width="11.5703125" style="15" customWidth="1"/>
    <col min="221" max="221" width="11.5703125" style="15" bestFit="1" customWidth="1"/>
    <col min="222" max="222" width="11.5703125" style="15" customWidth="1"/>
    <col min="223" max="223" width="11.5703125" style="15" bestFit="1" customWidth="1"/>
    <col min="224" max="224" width="11.5703125" style="15" customWidth="1"/>
    <col min="225" max="225" width="11.5703125" style="15" bestFit="1" customWidth="1"/>
    <col min="226" max="226" width="11.5703125" style="15" customWidth="1"/>
    <col min="227" max="227" width="11.5703125" style="15" bestFit="1" customWidth="1"/>
    <col min="228" max="230" width="11.5703125" style="15" customWidth="1"/>
    <col min="231" max="231" width="11.5703125" style="15" bestFit="1" customWidth="1"/>
    <col min="232" max="232" width="11.5703125" style="15" customWidth="1"/>
    <col min="233" max="233" width="11.5703125" style="15" bestFit="1" customWidth="1"/>
    <col min="234" max="234" width="11.5703125" style="15" customWidth="1"/>
    <col min="235" max="235" width="11.5703125" style="15" bestFit="1" customWidth="1"/>
    <col min="236" max="236" width="11.5703125" style="15" customWidth="1"/>
    <col min="237" max="237" width="11.5703125" style="15" bestFit="1" customWidth="1"/>
    <col min="238" max="238" width="11.5703125" style="15" customWidth="1"/>
    <col min="239" max="239" width="11.5703125" style="15" bestFit="1" customWidth="1"/>
    <col min="240" max="240" width="11.5703125" style="15" customWidth="1"/>
    <col min="241" max="241" width="11.5703125" style="15" bestFit="1" customWidth="1"/>
    <col min="242" max="242" width="11.5703125" style="15" customWidth="1"/>
    <col min="243" max="243" width="11.5703125" style="15" bestFit="1" customWidth="1"/>
    <col min="244" max="244" width="11.5703125" style="15" customWidth="1"/>
    <col min="245" max="245" width="11.5703125" style="15" bestFit="1" customWidth="1"/>
    <col min="246" max="246" width="11.5703125" style="15" customWidth="1"/>
    <col min="247" max="247" width="11.5703125" style="15" bestFit="1" customWidth="1"/>
    <col min="248" max="248" width="11.5703125" style="15" customWidth="1"/>
    <col min="249" max="249" width="11.5703125" style="15" bestFit="1" customWidth="1"/>
    <col min="250" max="250" width="11.5703125" style="15" customWidth="1"/>
    <col min="251" max="251" width="11.5703125" style="15" bestFit="1" customWidth="1"/>
    <col min="252" max="252" width="11.5703125" style="15" customWidth="1"/>
    <col min="253" max="253" width="11.5703125" style="15" bestFit="1" customWidth="1"/>
    <col min="254" max="254" width="11.5703125" style="15" customWidth="1"/>
    <col min="255" max="255" width="11.5703125" style="15" bestFit="1" customWidth="1"/>
    <col min="256" max="256" width="11.5703125" style="15" customWidth="1"/>
    <col min="257" max="257" width="11.5703125" style="15" bestFit="1" customWidth="1"/>
    <col min="258" max="258" width="11.5703125" style="15" customWidth="1"/>
    <col min="259" max="259" width="11.5703125" style="15" bestFit="1" customWidth="1"/>
    <col min="260" max="260" width="11.5703125" style="15" customWidth="1"/>
    <col min="261" max="261" width="11.5703125" style="15" bestFit="1" customWidth="1"/>
    <col min="262" max="262" width="11.5703125" style="15" customWidth="1"/>
    <col min="263" max="263" width="11.5703125" style="15" bestFit="1" customWidth="1"/>
    <col min="264" max="264" width="11.5703125" style="15" customWidth="1"/>
    <col min="265" max="265" width="11.5703125" style="15" bestFit="1" customWidth="1"/>
    <col min="266" max="266" width="11.5703125" style="15" customWidth="1"/>
    <col min="267" max="267" width="11.5703125" style="15" bestFit="1" customWidth="1"/>
    <col min="268" max="268" width="11.5703125" style="15" customWidth="1"/>
    <col min="269" max="319" width="11.5703125" style="15" bestFit="1" customWidth="1"/>
    <col min="320" max="320" width="11.5703125" style="15" customWidth="1"/>
    <col min="321" max="322" width="11.5703125" style="15" bestFit="1" customWidth="1"/>
    <col min="323" max="323" width="11.5703125" style="15" customWidth="1"/>
    <col min="324" max="324" width="11.5703125" style="15" bestFit="1" customWidth="1"/>
    <col min="325" max="325" width="11.5703125" style="15" customWidth="1"/>
    <col min="326" max="326" width="11.5703125" style="15" bestFit="1" customWidth="1"/>
    <col min="327" max="327" width="11.5703125" style="15" customWidth="1"/>
    <col min="328" max="328" width="11.5703125" style="15" bestFit="1" customWidth="1"/>
    <col min="329" max="329" width="11.5703125" style="15" customWidth="1"/>
    <col min="330" max="330" width="11.5703125" style="15" bestFit="1" customWidth="1"/>
    <col min="331" max="331" width="11.5703125" style="15" customWidth="1"/>
    <col min="332" max="332" width="11.5703125" style="15" bestFit="1" customWidth="1"/>
    <col min="333" max="333" width="11.5703125" style="15" customWidth="1"/>
    <col min="334" max="334" width="11.5703125" style="15" bestFit="1" customWidth="1"/>
    <col min="335" max="335" width="11.5703125" style="15" customWidth="1"/>
    <col min="336" max="336" width="11.5703125" style="15" bestFit="1" customWidth="1"/>
    <col min="337" max="337" width="11.5703125" style="15" customWidth="1"/>
    <col min="338" max="338" width="11.5703125" style="15" bestFit="1" customWidth="1"/>
    <col min="339" max="339" width="11.5703125" style="15" customWidth="1"/>
    <col min="340" max="340" width="11.5703125" style="15" bestFit="1" customWidth="1"/>
    <col min="341" max="341" width="12.5703125" style="15" customWidth="1"/>
    <col min="342" max="342" width="10.42578125" style="15" bestFit="1" customWidth="1"/>
    <col min="343" max="343" width="13.5703125" style="15" bestFit="1" customWidth="1"/>
    <col min="344" max="344" width="10.42578125" style="15" bestFit="1" customWidth="1"/>
    <col min="345" max="345" width="13.5703125" style="15" bestFit="1" customWidth="1"/>
    <col min="346" max="346" width="10.42578125" style="15" bestFit="1" customWidth="1"/>
    <col min="347" max="347" width="13.5703125" style="15" bestFit="1" customWidth="1"/>
    <col min="348" max="348" width="10.42578125" style="15" bestFit="1" customWidth="1"/>
    <col min="349" max="349" width="13.5703125" style="15" bestFit="1" customWidth="1"/>
    <col min="350" max="350" width="10.42578125" style="15" bestFit="1" customWidth="1"/>
    <col min="351" max="351" width="13.5703125" style="15" bestFit="1" customWidth="1"/>
    <col min="352" max="352" width="10.42578125" style="15" bestFit="1" customWidth="1"/>
    <col min="353" max="353" width="13.5703125" style="15" bestFit="1" customWidth="1"/>
    <col min="354" max="354" width="10.42578125" style="15" bestFit="1" customWidth="1"/>
    <col min="355" max="355" width="13.5703125" style="15" bestFit="1" customWidth="1"/>
    <col min="356" max="356" width="10.42578125" style="15" bestFit="1" customWidth="1"/>
    <col min="357" max="357" width="13.5703125" style="15" bestFit="1" customWidth="1"/>
    <col min="358" max="358" width="10.42578125" style="15" bestFit="1" customWidth="1"/>
    <col min="359" max="359" width="13.5703125" style="15" bestFit="1" customWidth="1"/>
    <col min="360" max="360" width="10.42578125" style="15" bestFit="1" customWidth="1"/>
    <col min="361" max="361" width="13.5703125" style="15" bestFit="1" customWidth="1"/>
    <col min="362" max="362" width="10.42578125" style="15" bestFit="1" customWidth="1"/>
    <col min="363" max="363" width="13.5703125" style="15" bestFit="1" customWidth="1"/>
    <col min="364" max="364" width="10.42578125" style="15" bestFit="1" customWidth="1"/>
    <col min="365" max="365" width="13.5703125" style="15" bestFit="1" customWidth="1"/>
    <col min="366" max="366" width="10.42578125" style="15" bestFit="1" customWidth="1"/>
    <col min="367" max="367" width="13.5703125" style="15" bestFit="1" customWidth="1"/>
    <col min="368" max="368" width="10.42578125" style="15" bestFit="1" customWidth="1"/>
    <col min="369" max="369" width="13.5703125" style="15" bestFit="1" customWidth="1"/>
    <col min="370" max="370" width="10.42578125" style="15" bestFit="1" customWidth="1"/>
    <col min="371" max="371" width="13.5703125" style="15" bestFit="1" customWidth="1"/>
    <col min="372" max="372" width="10.42578125" style="15" bestFit="1" customWidth="1"/>
    <col min="373" max="373" width="13.5703125" style="15" bestFit="1" customWidth="1"/>
    <col min="374" max="421" width="8.5703125" style="15" bestFit="1" customWidth="1"/>
    <col min="422" max="423" width="10.5703125" style="15"/>
    <col min="424" max="424" width="13.5703125" style="15" bestFit="1" customWidth="1"/>
    <col min="425" max="425" width="17.42578125" style="15" bestFit="1" customWidth="1"/>
    <col min="426" max="426" width="12.42578125" style="15" bestFit="1" customWidth="1"/>
    <col min="427" max="427" width="16.42578125" style="15" bestFit="1" customWidth="1"/>
    <col min="428" max="16384" width="10.5703125" style="15"/>
  </cols>
  <sheetData>
    <row r="1" spans="7:130" x14ac:dyDescent="0.25">
      <c r="I1" s="13">
        <v>43910</v>
      </c>
      <c r="J1" s="13">
        <v>44007</v>
      </c>
      <c r="CP1" s="13"/>
      <c r="CQ1" s="13"/>
    </row>
    <row r="2" spans="7:130" x14ac:dyDescent="0.25">
      <c r="G2" s="137" t="s">
        <v>3</v>
      </c>
      <c r="H2" s="135" t="s">
        <v>47</v>
      </c>
      <c r="DF2" s="25"/>
    </row>
    <row r="3" spans="7:130" x14ac:dyDescent="0.25">
      <c r="G3" s="137" t="s">
        <v>1</v>
      </c>
      <c r="H3" s="135" t="s">
        <v>47</v>
      </c>
      <c r="J3" s="15"/>
      <c r="DF3" s="27"/>
    </row>
    <row r="4" spans="7:130" x14ac:dyDescent="0.25">
      <c r="J4" s="15"/>
      <c r="DF4" s="27"/>
    </row>
    <row r="5" spans="7:130" x14ac:dyDescent="0.25">
      <c r="G5" s="137" t="s">
        <v>62</v>
      </c>
      <c r="H5" s="137" t="s">
        <v>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</row>
    <row r="6" spans="7:130" x14ac:dyDescent="0.25">
      <c r="G6" s="138" t="s">
        <v>12</v>
      </c>
      <c r="H6" s="136">
        <v>44726</v>
      </c>
      <c r="I6" s="136">
        <v>44727</v>
      </c>
      <c r="J6" s="136">
        <v>44728</v>
      </c>
      <c r="K6" s="136">
        <v>44729</v>
      </c>
      <c r="L6" s="136">
        <v>44730</v>
      </c>
      <c r="M6" s="136">
        <v>44731</v>
      </c>
      <c r="N6" s="136">
        <v>44732</v>
      </c>
      <c r="O6" s="135" t="s">
        <v>46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</row>
    <row r="7" spans="7:130" x14ac:dyDescent="0.25">
      <c r="G7" s="135" t="s">
        <v>45</v>
      </c>
      <c r="H7" s="140">
        <v>1</v>
      </c>
      <c r="I7" s="140">
        <v>1</v>
      </c>
      <c r="J7" s="140">
        <v>1</v>
      </c>
      <c r="K7" s="140">
        <v>1</v>
      </c>
      <c r="L7" s="140">
        <v>1</v>
      </c>
      <c r="M7" s="140">
        <v>1</v>
      </c>
      <c r="N7" s="140">
        <v>1</v>
      </c>
      <c r="O7" s="140">
        <v>7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</row>
    <row r="8" spans="7:130" x14ac:dyDescent="0.25">
      <c r="G8" s="135" t="s">
        <v>80</v>
      </c>
      <c r="H8" s="140">
        <v>1</v>
      </c>
      <c r="I8" s="140">
        <v>1</v>
      </c>
      <c r="J8" s="140">
        <v>1</v>
      </c>
      <c r="K8" s="140">
        <v>1</v>
      </c>
      <c r="L8" s="140">
        <v>1</v>
      </c>
      <c r="M8" s="140">
        <v>1</v>
      </c>
      <c r="N8" s="140">
        <v>1</v>
      </c>
      <c r="O8" s="140">
        <v>7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</row>
    <row r="9" spans="7:130" x14ac:dyDescent="0.25">
      <c r="G9" s="135" t="s">
        <v>76</v>
      </c>
      <c r="H9" s="140">
        <v>1</v>
      </c>
      <c r="I9" s="140">
        <v>1</v>
      </c>
      <c r="J9" s="140">
        <v>1</v>
      </c>
      <c r="K9" s="140">
        <v>1</v>
      </c>
      <c r="L9" s="140">
        <v>1</v>
      </c>
      <c r="M9" s="140">
        <v>1</v>
      </c>
      <c r="N9" s="140">
        <v>1</v>
      </c>
      <c r="O9" s="140">
        <v>7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</row>
    <row r="10" spans="7:130" x14ac:dyDescent="0.25">
      <c r="G10" s="135" t="s">
        <v>83</v>
      </c>
      <c r="H10" s="140">
        <v>1</v>
      </c>
      <c r="I10" s="140">
        <v>1</v>
      </c>
      <c r="J10" s="140">
        <v>1</v>
      </c>
      <c r="K10" s="140">
        <v>1</v>
      </c>
      <c r="L10" s="140">
        <v>1</v>
      </c>
      <c r="M10" s="140">
        <v>1</v>
      </c>
      <c r="N10" s="140">
        <v>1</v>
      </c>
      <c r="O10" s="140">
        <v>7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</row>
    <row r="11" spans="7:130" x14ac:dyDescent="0.25">
      <c r="G11" s="135" t="s">
        <v>87</v>
      </c>
      <c r="H11" s="140">
        <v>1</v>
      </c>
      <c r="I11" s="140">
        <v>1</v>
      </c>
      <c r="J11" s="140">
        <v>1</v>
      </c>
      <c r="K11" s="140">
        <v>1</v>
      </c>
      <c r="L11" s="140">
        <v>1</v>
      </c>
      <c r="M11" s="140">
        <v>1</v>
      </c>
      <c r="N11" s="140">
        <v>1</v>
      </c>
      <c r="O11" s="140">
        <v>7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</row>
    <row r="12" spans="7:130" x14ac:dyDescent="0.25">
      <c r="G12" s="135" t="s">
        <v>85</v>
      </c>
      <c r="H12" s="140">
        <v>1</v>
      </c>
      <c r="I12" s="140">
        <v>1</v>
      </c>
      <c r="J12" s="140">
        <v>1</v>
      </c>
      <c r="K12" s="140">
        <v>1</v>
      </c>
      <c r="L12" s="140">
        <v>1</v>
      </c>
      <c r="M12" s="140">
        <v>1</v>
      </c>
      <c r="N12" s="140">
        <v>1</v>
      </c>
      <c r="O12" s="140">
        <v>7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</row>
    <row r="13" spans="7:130" ht="15.75" customHeight="1" x14ac:dyDescent="0.25">
      <c r="G13" s="135" t="s">
        <v>91</v>
      </c>
      <c r="H13" s="140">
        <v>1</v>
      </c>
      <c r="I13" s="140">
        <v>1</v>
      </c>
      <c r="J13" s="140">
        <v>1</v>
      </c>
      <c r="K13" s="140">
        <v>1</v>
      </c>
      <c r="L13" s="140">
        <v>1</v>
      </c>
      <c r="M13" s="140">
        <v>1</v>
      </c>
      <c r="N13" s="140">
        <v>1</v>
      </c>
      <c r="O13" s="140">
        <v>7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</row>
    <row r="14" spans="7:130" x14ac:dyDescent="0.25">
      <c r="G14" s="135" t="s">
        <v>89</v>
      </c>
      <c r="H14" s="140">
        <v>1</v>
      </c>
      <c r="I14" s="140">
        <v>1</v>
      </c>
      <c r="J14" s="140">
        <v>1</v>
      </c>
      <c r="K14" s="140">
        <v>1</v>
      </c>
      <c r="L14" s="140">
        <v>1</v>
      </c>
      <c r="M14" s="140">
        <v>1</v>
      </c>
      <c r="N14" s="140">
        <v>1</v>
      </c>
      <c r="O14" s="140">
        <v>7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</row>
    <row r="15" spans="7:130" x14ac:dyDescent="0.25">
      <c r="G15" s="135" t="s">
        <v>94</v>
      </c>
      <c r="H15" s="140">
        <v>1</v>
      </c>
      <c r="I15" s="140">
        <v>1</v>
      </c>
      <c r="J15" s="140">
        <v>1</v>
      </c>
      <c r="K15" s="140">
        <v>1</v>
      </c>
      <c r="L15" s="140">
        <v>1</v>
      </c>
      <c r="M15" s="140">
        <v>1</v>
      </c>
      <c r="N15" s="140">
        <v>1</v>
      </c>
      <c r="O15" s="140">
        <v>7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</row>
    <row r="16" spans="7:130" x14ac:dyDescent="0.25">
      <c r="G16" s="135" t="s">
        <v>102</v>
      </c>
      <c r="H16" s="140">
        <v>1</v>
      </c>
      <c r="I16" s="140">
        <v>1</v>
      </c>
      <c r="J16" s="140">
        <v>1</v>
      </c>
      <c r="K16" s="140">
        <v>1</v>
      </c>
      <c r="L16" s="140">
        <v>1</v>
      </c>
      <c r="M16" s="140">
        <v>1</v>
      </c>
      <c r="N16" s="140">
        <v>1</v>
      </c>
      <c r="O16" s="140">
        <v>7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</row>
    <row r="17" spans="7:130" x14ac:dyDescent="0.25">
      <c r="G17" s="135" t="s">
        <v>88</v>
      </c>
      <c r="H17" s="140">
        <v>1</v>
      </c>
      <c r="I17" s="140">
        <v>1</v>
      </c>
      <c r="J17" s="140">
        <v>1</v>
      </c>
      <c r="K17" s="140">
        <v>1</v>
      </c>
      <c r="L17" s="140">
        <v>1</v>
      </c>
      <c r="M17" s="140">
        <v>1</v>
      </c>
      <c r="N17" s="140">
        <v>1</v>
      </c>
      <c r="O17" s="140">
        <v>7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7:130" x14ac:dyDescent="0.25">
      <c r="G18" s="135" t="s">
        <v>106</v>
      </c>
      <c r="H18" s="140">
        <v>1</v>
      </c>
      <c r="I18" s="140">
        <v>1</v>
      </c>
      <c r="J18" s="140">
        <v>1</v>
      </c>
      <c r="K18" s="140">
        <v>1</v>
      </c>
      <c r="L18" s="140">
        <v>1</v>
      </c>
      <c r="M18" s="140">
        <v>1</v>
      </c>
      <c r="N18" s="140">
        <v>1</v>
      </c>
      <c r="O18" s="140">
        <v>7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7:130" x14ac:dyDescent="0.25">
      <c r="G19" s="135" t="s">
        <v>110</v>
      </c>
      <c r="H19" s="140">
        <v>1</v>
      </c>
      <c r="I19" s="140">
        <v>1</v>
      </c>
      <c r="J19" s="140">
        <v>1</v>
      </c>
      <c r="K19" s="140">
        <v>1</v>
      </c>
      <c r="L19" s="140">
        <v>1</v>
      </c>
      <c r="M19" s="140">
        <v>1</v>
      </c>
      <c r="N19" s="140">
        <v>1</v>
      </c>
      <c r="O19" s="140">
        <v>7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7:130" x14ac:dyDescent="0.25">
      <c r="G20" s="135" t="s">
        <v>126</v>
      </c>
      <c r="H20" s="140">
        <v>1</v>
      </c>
      <c r="I20" s="140">
        <v>1</v>
      </c>
      <c r="J20" s="140">
        <v>1</v>
      </c>
      <c r="K20" s="140">
        <v>1</v>
      </c>
      <c r="L20" s="140">
        <v>1</v>
      </c>
      <c r="M20" s="140">
        <v>1</v>
      </c>
      <c r="N20" s="140">
        <v>1</v>
      </c>
      <c r="O20" s="140">
        <v>7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7:130" x14ac:dyDescent="0.25">
      <c r="G21" s="135" t="s">
        <v>141</v>
      </c>
      <c r="H21" s="140">
        <v>1</v>
      </c>
      <c r="I21" s="140">
        <v>1</v>
      </c>
      <c r="J21" s="140">
        <v>1</v>
      </c>
      <c r="K21" s="140">
        <v>1</v>
      </c>
      <c r="L21" s="140">
        <v>1</v>
      </c>
      <c r="M21" s="140">
        <v>1</v>
      </c>
      <c r="N21" s="140">
        <v>1</v>
      </c>
      <c r="O21" s="140">
        <v>7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7:130" x14ac:dyDescent="0.25">
      <c r="G22" s="135" t="s">
        <v>120</v>
      </c>
      <c r="H22" s="140">
        <v>1</v>
      </c>
      <c r="I22" s="140">
        <v>1</v>
      </c>
      <c r="J22" s="140">
        <v>1</v>
      </c>
      <c r="K22" s="140">
        <v>1</v>
      </c>
      <c r="L22" s="140">
        <v>1</v>
      </c>
      <c r="M22" s="140">
        <v>1</v>
      </c>
      <c r="N22" s="140">
        <v>1</v>
      </c>
      <c r="O22" s="140">
        <v>7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7:130" x14ac:dyDescent="0.25">
      <c r="G23" s="135" t="s">
        <v>144</v>
      </c>
      <c r="H23" s="140">
        <v>1</v>
      </c>
      <c r="I23" s="140">
        <v>1</v>
      </c>
      <c r="J23" s="140">
        <v>1</v>
      </c>
      <c r="K23" s="140">
        <v>1</v>
      </c>
      <c r="L23" s="140">
        <v>1</v>
      </c>
      <c r="M23" s="140">
        <v>1</v>
      </c>
      <c r="N23" s="140">
        <v>1</v>
      </c>
      <c r="O23" s="140">
        <v>7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7:130" x14ac:dyDescent="0.25">
      <c r="G24" s="135" t="s">
        <v>197</v>
      </c>
      <c r="H24" s="140">
        <v>1</v>
      </c>
      <c r="I24" s="140">
        <v>1</v>
      </c>
      <c r="J24" s="140">
        <v>1</v>
      </c>
      <c r="K24" s="140">
        <v>1</v>
      </c>
      <c r="L24" s="140">
        <v>1</v>
      </c>
      <c r="M24" s="140">
        <v>1</v>
      </c>
      <c r="N24" s="140">
        <v>1</v>
      </c>
      <c r="O24" s="140">
        <v>7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7:130" x14ac:dyDescent="0.25">
      <c r="G25" s="135" t="s">
        <v>196</v>
      </c>
      <c r="H25" s="140">
        <v>1</v>
      </c>
      <c r="I25" s="140">
        <v>1</v>
      </c>
      <c r="J25" s="140">
        <v>1</v>
      </c>
      <c r="K25" s="140">
        <v>1</v>
      </c>
      <c r="L25" s="140">
        <v>1</v>
      </c>
      <c r="M25" s="140">
        <v>1</v>
      </c>
      <c r="N25" s="140">
        <v>1</v>
      </c>
      <c r="O25" s="140">
        <v>7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7:130" x14ac:dyDescent="0.25">
      <c r="G26" s="135" t="s">
        <v>198</v>
      </c>
      <c r="H26" s="140">
        <v>1</v>
      </c>
      <c r="I26" s="140">
        <v>1</v>
      </c>
      <c r="J26" s="140">
        <v>1</v>
      </c>
      <c r="K26" s="140">
        <v>1</v>
      </c>
      <c r="L26" s="140">
        <v>1</v>
      </c>
      <c r="M26" s="140">
        <v>1</v>
      </c>
      <c r="N26" s="140">
        <v>1</v>
      </c>
      <c r="O26" s="140">
        <v>7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7:130" x14ac:dyDescent="0.25">
      <c r="G27" s="135" t="s">
        <v>209</v>
      </c>
      <c r="H27" s="140">
        <v>1</v>
      </c>
      <c r="I27" s="140">
        <v>1</v>
      </c>
      <c r="J27" s="140">
        <v>1</v>
      </c>
      <c r="K27" s="140">
        <v>1</v>
      </c>
      <c r="L27" s="140">
        <v>1</v>
      </c>
      <c r="M27" s="140">
        <v>1</v>
      </c>
      <c r="N27" s="140">
        <v>1</v>
      </c>
      <c r="O27" s="140">
        <v>7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7:130" x14ac:dyDescent="0.25">
      <c r="G28" s="135" t="s">
        <v>210</v>
      </c>
      <c r="H28" s="140">
        <v>1</v>
      </c>
      <c r="I28" s="140">
        <v>1</v>
      </c>
      <c r="J28" s="140">
        <v>1</v>
      </c>
      <c r="K28" s="140">
        <v>1</v>
      </c>
      <c r="L28" s="140">
        <v>1</v>
      </c>
      <c r="M28" s="140">
        <v>1</v>
      </c>
      <c r="N28" s="140">
        <v>1</v>
      </c>
      <c r="O28" s="140">
        <v>7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7:130" x14ac:dyDescent="0.25">
      <c r="G29" s="135" t="s">
        <v>212</v>
      </c>
      <c r="H29" s="140">
        <v>1</v>
      </c>
      <c r="I29" s="140">
        <v>1</v>
      </c>
      <c r="J29" s="140">
        <v>1</v>
      </c>
      <c r="K29" s="140">
        <v>1</v>
      </c>
      <c r="L29" s="140">
        <v>1</v>
      </c>
      <c r="M29" s="140">
        <v>1</v>
      </c>
      <c r="N29" s="140">
        <v>1</v>
      </c>
      <c r="O29" s="140">
        <v>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CT29" s="15"/>
    </row>
    <row r="30" spans="7:130" x14ac:dyDescent="0.25">
      <c r="G30" s="135" t="s">
        <v>213</v>
      </c>
      <c r="H30" s="140">
        <v>1</v>
      </c>
      <c r="I30" s="140">
        <v>1</v>
      </c>
      <c r="J30" s="140">
        <v>1</v>
      </c>
      <c r="K30" s="140">
        <v>1</v>
      </c>
      <c r="L30" s="140">
        <v>1</v>
      </c>
      <c r="M30" s="140">
        <v>1</v>
      </c>
      <c r="N30" s="140">
        <v>1</v>
      </c>
      <c r="O30" s="140">
        <v>7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CT30" s="15"/>
    </row>
    <row r="31" spans="7:130" x14ac:dyDescent="0.25">
      <c r="G31" s="135" t="s">
        <v>214</v>
      </c>
      <c r="H31" s="140">
        <v>1</v>
      </c>
      <c r="I31" s="140">
        <v>1</v>
      </c>
      <c r="J31" s="140">
        <v>1</v>
      </c>
      <c r="K31" s="140">
        <v>1</v>
      </c>
      <c r="L31" s="140">
        <v>1</v>
      </c>
      <c r="M31" s="140">
        <v>1</v>
      </c>
      <c r="N31" s="140">
        <v>1</v>
      </c>
      <c r="O31" s="140">
        <v>7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CT31" s="15"/>
    </row>
    <row r="32" spans="7:130" x14ac:dyDescent="0.25">
      <c r="G32" s="135" t="s">
        <v>215</v>
      </c>
      <c r="H32" s="140">
        <v>1</v>
      </c>
      <c r="I32" s="140">
        <v>1</v>
      </c>
      <c r="J32" s="140">
        <v>1</v>
      </c>
      <c r="K32" s="140">
        <v>1</v>
      </c>
      <c r="L32" s="140">
        <v>1</v>
      </c>
      <c r="M32" s="140">
        <v>1</v>
      </c>
      <c r="N32" s="140">
        <v>1</v>
      </c>
      <c r="O32" s="140">
        <v>7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CT32" s="15"/>
    </row>
    <row r="33" spans="7:98" x14ac:dyDescent="0.25">
      <c r="G33" s="135" t="s">
        <v>216</v>
      </c>
      <c r="H33" s="140">
        <v>1</v>
      </c>
      <c r="I33" s="140">
        <v>1</v>
      </c>
      <c r="J33" s="140">
        <v>1</v>
      </c>
      <c r="K33" s="140">
        <v>1</v>
      </c>
      <c r="L33" s="140">
        <v>1</v>
      </c>
      <c r="M33" s="140">
        <v>1</v>
      </c>
      <c r="N33" s="140">
        <v>1</v>
      </c>
      <c r="O33" s="140">
        <v>7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CT33" s="15"/>
    </row>
    <row r="34" spans="7:98" x14ac:dyDescent="0.25">
      <c r="G34" s="135" t="s">
        <v>217</v>
      </c>
      <c r="H34" s="140">
        <v>1</v>
      </c>
      <c r="I34" s="140">
        <v>1</v>
      </c>
      <c r="J34" s="140">
        <v>1</v>
      </c>
      <c r="K34" s="140">
        <v>1</v>
      </c>
      <c r="L34" s="140">
        <v>1</v>
      </c>
      <c r="M34" s="140">
        <v>1</v>
      </c>
      <c r="N34" s="140">
        <v>1</v>
      </c>
      <c r="O34" s="140">
        <v>7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CT34" s="15"/>
    </row>
    <row r="35" spans="7:98" x14ac:dyDescent="0.25">
      <c r="G35" s="135" t="s">
        <v>218</v>
      </c>
      <c r="H35" s="140">
        <v>1</v>
      </c>
      <c r="I35" s="140">
        <v>1</v>
      </c>
      <c r="J35" s="140">
        <v>1</v>
      </c>
      <c r="K35" s="140">
        <v>1</v>
      </c>
      <c r="L35" s="140">
        <v>1</v>
      </c>
      <c r="M35" s="140">
        <v>1</v>
      </c>
      <c r="N35" s="140">
        <v>1</v>
      </c>
      <c r="O35" s="140">
        <v>7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CT35" s="15"/>
    </row>
    <row r="36" spans="7:98" x14ac:dyDescent="0.25">
      <c r="G36" s="135" t="s">
        <v>219</v>
      </c>
      <c r="H36" s="140">
        <v>1</v>
      </c>
      <c r="I36" s="140">
        <v>1</v>
      </c>
      <c r="J36" s="140">
        <v>1</v>
      </c>
      <c r="K36" s="140">
        <v>1</v>
      </c>
      <c r="L36" s="140">
        <v>1</v>
      </c>
      <c r="M36" s="140">
        <v>1</v>
      </c>
      <c r="N36" s="140">
        <v>1</v>
      </c>
      <c r="O36" s="140">
        <v>7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CT36" s="15"/>
    </row>
    <row r="37" spans="7:98" x14ac:dyDescent="0.25">
      <c r="G37" s="135" t="s">
        <v>220</v>
      </c>
      <c r="H37" s="140">
        <v>1</v>
      </c>
      <c r="I37" s="140">
        <v>1</v>
      </c>
      <c r="J37" s="140">
        <v>1</v>
      </c>
      <c r="K37" s="140">
        <v>1</v>
      </c>
      <c r="L37" s="140">
        <v>1</v>
      </c>
      <c r="M37" s="140">
        <v>1</v>
      </c>
      <c r="N37" s="140">
        <v>1</v>
      </c>
      <c r="O37" s="140">
        <v>7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CT37" s="15"/>
    </row>
    <row r="38" spans="7:98" x14ac:dyDescent="0.25">
      <c r="G38" s="135" t="s">
        <v>221</v>
      </c>
      <c r="H38" s="140">
        <v>1</v>
      </c>
      <c r="I38" s="140">
        <v>1</v>
      </c>
      <c r="J38" s="140">
        <v>1</v>
      </c>
      <c r="K38" s="140">
        <v>1</v>
      </c>
      <c r="L38" s="140">
        <v>1</v>
      </c>
      <c r="M38" s="140">
        <v>1</v>
      </c>
      <c r="N38" s="140">
        <v>1</v>
      </c>
      <c r="O38" s="140">
        <v>7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CT38" s="15"/>
    </row>
    <row r="39" spans="7:98" x14ac:dyDescent="0.25">
      <c r="G39" s="135" t="s">
        <v>224</v>
      </c>
      <c r="H39" s="140">
        <v>1</v>
      </c>
      <c r="I39" s="140">
        <v>1</v>
      </c>
      <c r="J39" s="140">
        <v>1</v>
      </c>
      <c r="K39" s="140">
        <v>1</v>
      </c>
      <c r="L39" s="140">
        <v>1</v>
      </c>
      <c r="M39" s="140">
        <v>1</v>
      </c>
      <c r="N39" s="140">
        <v>1</v>
      </c>
      <c r="O39" s="140">
        <v>7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CT39" s="15"/>
    </row>
    <row r="40" spans="7:98" x14ac:dyDescent="0.25">
      <c r="G40" s="135" t="s">
        <v>46</v>
      </c>
      <c r="H40" s="140">
        <v>33</v>
      </c>
      <c r="I40" s="140">
        <v>33</v>
      </c>
      <c r="J40" s="140">
        <v>33</v>
      </c>
      <c r="K40" s="140">
        <v>33</v>
      </c>
      <c r="L40" s="140">
        <v>33</v>
      </c>
      <c r="M40" s="140">
        <v>33</v>
      </c>
      <c r="N40" s="140">
        <v>33</v>
      </c>
      <c r="O40" s="140">
        <v>231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CT40" s="15"/>
    </row>
    <row r="41" spans="7:98" x14ac:dyDescent="0.25"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CT41" s="15"/>
    </row>
    <row r="42" spans="7:98" x14ac:dyDescent="0.25"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CT42" s="15"/>
    </row>
    <row r="43" spans="7:98" x14ac:dyDescent="0.25"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CT43" s="15"/>
    </row>
    <row r="44" spans="7:98" x14ac:dyDescent="0.25"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CT44" s="15"/>
    </row>
    <row r="45" spans="7:98" x14ac:dyDescent="0.25"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CT45" s="15"/>
    </row>
    <row r="46" spans="7:98" x14ac:dyDescent="0.25"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CT46" s="15"/>
    </row>
    <row r="47" spans="7:98" x14ac:dyDescent="0.25"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CT47" s="15"/>
    </row>
    <row r="48" spans="7:98" x14ac:dyDescent="0.25"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CT48" s="15"/>
    </row>
    <row r="49" spans="7:98" x14ac:dyDescent="0.25"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CT49" s="15"/>
    </row>
    <row r="50" spans="7:98" x14ac:dyDescent="0.25"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CT50" s="15"/>
    </row>
    <row r="51" spans="7:98" x14ac:dyDescent="0.25"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CT51" s="15"/>
    </row>
    <row r="52" spans="7:98" x14ac:dyDescent="0.25"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CT52" s="15"/>
    </row>
    <row r="53" spans="7:98" x14ac:dyDescent="0.25"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CT53" s="15"/>
    </row>
    <row r="54" spans="7:98" x14ac:dyDescent="0.25"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CT54" s="15"/>
    </row>
    <row r="55" spans="7:98" x14ac:dyDescent="0.25"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CT55" s="15"/>
    </row>
    <row r="56" spans="7:98" x14ac:dyDescent="0.25"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CT56" s="15"/>
    </row>
    <row r="57" spans="7:98" x14ac:dyDescent="0.25"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CT57" s="15"/>
    </row>
    <row r="58" spans="7:98" x14ac:dyDescent="0.25"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CT58" s="15"/>
    </row>
    <row r="59" spans="7:98" x14ac:dyDescent="0.25"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CT59" s="15"/>
    </row>
    <row r="60" spans="7:98" x14ac:dyDescent="0.25"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CT60" s="15"/>
    </row>
    <row r="61" spans="7:98" x14ac:dyDescent="0.25"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CT61" s="15"/>
    </row>
    <row r="62" spans="7:98" x14ac:dyDescent="0.25"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CT62" s="15"/>
    </row>
    <row r="63" spans="7:98" x14ac:dyDescent="0.25"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CT63" s="15"/>
    </row>
    <row r="64" spans="7:98" x14ac:dyDescent="0.25"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CT64" s="15"/>
    </row>
    <row r="65" spans="7:98" x14ac:dyDescent="0.25"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CT65" s="15"/>
    </row>
    <row r="66" spans="7:98" x14ac:dyDescent="0.25"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CT66" s="15"/>
    </row>
    <row r="67" spans="7:98" x14ac:dyDescent="0.25"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CT67" s="15"/>
    </row>
    <row r="68" spans="7:98" x14ac:dyDescent="0.25"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CT68" s="15"/>
    </row>
    <row r="69" spans="7:98" x14ac:dyDescent="0.25"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CT69" s="15"/>
    </row>
    <row r="70" spans="7:98" x14ac:dyDescent="0.25"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CT70" s="15"/>
    </row>
    <row r="71" spans="7:98" x14ac:dyDescent="0.25"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CT71" s="15"/>
    </row>
    <row r="72" spans="7:98" x14ac:dyDescent="0.25"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CT72" s="15"/>
    </row>
    <row r="73" spans="7:98" x14ac:dyDescent="0.25"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CT73" s="15"/>
    </row>
    <row r="74" spans="7:98" x14ac:dyDescent="0.25"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CT74" s="15"/>
    </row>
    <row r="75" spans="7:98" x14ac:dyDescent="0.25"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CT75" s="15"/>
    </row>
    <row r="76" spans="7:98" x14ac:dyDescent="0.25"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CT76" s="15"/>
    </row>
    <row r="77" spans="7:98" x14ac:dyDescent="0.25"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CT77" s="15"/>
    </row>
    <row r="78" spans="7:98" x14ac:dyDescent="0.25"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CT78" s="15"/>
    </row>
    <row r="79" spans="7:98" x14ac:dyDescent="0.25"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CT79" s="15"/>
    </row>
    <row r="80" spans="7:98" x14ac:dyDescent="0.25"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CT80" s="15"/>
    </row>
    <row r="81" spans="7:98" x14ac:dyDescent="0.25"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CT81" s="15"/>
    </row>
    <row r="82" spans="7:98" x14ac:dyDescent="0.25"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CT82" s="15"/>
    </row>
    <row r="83" spans="7:98" x14ac:dyDescent="0.25"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CT83" s="15"/>
    </row>
    <row r="84" spans="7:98" x14ac:dyDescent="0.25">
      <c r="J84" s="15"/>
      <c r="O84" s="15"/>
      <c r="U84" s="15"/>
      <c r="CT84" s="15"/>
    </row>
    <row r="85" spans="7:98" x14ac:dyDescent="0.25">
      <c r="J85" s="15"/>
      <c r="O85" s="15"/>
      <c r="U85" s="15"/>
      <c r="CT85" s="15"/>
    </row>
    <row r="86" spans="7:98" x14ac:dyDescent="0.25">
      <c r="J86" s="15"/>
      <c r="O86" s="15"/>
      <c r="U86" s="15"/>
      <c r="CT86" s="15"/>
    </row>
    <row r="87" spans="7:98" x14ac:dyDescent="0.25">
      <c r="J87" s="15"/>
      <c r="O87" s="15"/>
      <c r="U87" s="15"/>
      <c r="CT87" s="15"/>
    </row>
    <row r="88" spans="7:98" x14ac:dyDescent="0.25">
      <c r="J88" s="15"/>
      <c r="O88" s="15"/>
      <c r="U88" s="15"/>
      <c r="CT88" s="15"/>
    </row>
    <row r="89" spans="7:98" x14ac:dyDescent="0.25">
      <c r="J89" s="15"/>
      <c r="O89" s="15"/>
      <c r="U89" s="15"/>
      <c r="CT89" s="15"/>
    </row>
    <row r="90" spans="7:98" x14ac:dyDescent="0.25">
      <c r="J90" s="15"/>
      <c r="O90" s="15"/>
      <c r="U90" s="15"/>
      <c r="CT90" s="15"/>
    </row>
    <row r="91" spans="7:98" x14ac:dyDescent="0.25">
      <c r="J91" s="15"/>
      <c r="O91" s="15"/>
      <c r="U91" s="15"/>
      <c r="CT91" s="15"/>
    </row>
    <row r="92" spans="7:98" x14ac:dyDescent="0.25">
      <c r="J92" s="15"/>
      <c r="O92" s="15"/>
      <c r="U92" s="15"/>
      <c r="CT92" s="15"/>
    </row>
    <row r="93" spans="7:98" x14ac:dyDescent="0.25">
      <c r="J93" s="15"/>
      <c r="O93" s="15"/>
      <c r="U93" s="15"/>
      <c r="CT93" s="15"/>
    </row>
    <row r="94" spans="7:98" x14ac:dyDescent="0.25">
      <c r="J94" s="15"/>
      <c r="O94" s="15"/>
      <c r="U94" s="15"/>
      <c r="CT94" s="15"/>
    </row>
    <row r="95" spans="7:98" x14ac:dyDescent="0.25">
      <c r="J95" s="15"/>
      <c r="O95" s="15"/>
      <c r="U95" s="15"/>
      <c r="CT95" s="15"/>
    </row>
    <row r="96" spans="7:98" x14ac:dyDescent="0.25">
      <c r="J96" s="15"/>
      <c r="O96" s="15"/>
      <c r="U96" s="15"/>
      <c r="CT96" s="15"/>
    </row>
    <row r="97" s="15" customFormat="1" x14ac:dyDescent="0.25"/>
    <row r="98" s="15" customFormat="1" x14ac:dyDescent="0.25"/>
    <row r="99" s="15" customFormat="1" x14ac:dyDescent="0.25"/>
    <row r="100" s="15" customFormat="1" x14ac:dyDescent="0.25"/>
    <row r="101" s="15" customFormat="1" x14ac:dyDescent="0.25"/>
    <row r="102" s="15" customFormat="1" x14ac:dyDescent="0.25"/>
    <row r="103" s="15" customFormat="1" x14ac:dyDescent="0.25"/>
    <row r="104" s="15" customFormat="1" x14ac:dyDescent="0.25"/>
    <row r="105" s="15" customFormat="1" x14ac:dyDescent="0.25"/>
    <row r="106" s="15" customFormat="1" x14ac:dyDescent="0.25"/>
    <row r="107" s="15" customFormat="1" x14ac:dyDescent="0.25"/>
    <row r="108" s="15" customFormat="1" x14ac:dyDescent="0.25"/>
    <row r="109" s="15" customFormat="1" x14ac:dyDescent="0.25"/>
    <row r="110" s="15" customFormat="1" x14ac:dyDescent="0.25"/>
    <row r="111" s="15" customFormat="1" x14ac:dyDescent="0.25"/>
    <row r="112" s="15" customFormat="1" x14ac:dyDescent="0.25"/>
    <row r="113" s="15" customFormat="1" x14ac:dyDescent="0.25"/>
    <row r="114" s="15" customFormat="1" x14ac:dyDescent="0.25"/>
    <row r="115" s="15" customFormat="1" x14ac:dyDescent="0.25"/>
    <row r="116" s="15" customFormat="1" x14ac:dyDescent="0.25"/>
    <row r="117" s="15" customFormat="1" x14ac:dyDescent="0.25"/>
    <row r="118" s="15" customFormat="1" x14ac:dyDescent="0.25"/>
    <row r="119" s="15" customFormat="1" x14ac:dyDescent="0.25"/>
    <row r="120" s="15" customFormat="1" x14ac:dyDescent="0.25"/>
    <row r="121" s="15" customFormat="1" x14ac:dyDescent="0.25"/>
    <row r="122" s="15" customFormat="1" x14ac:dyDescent="0.25"/>
    <row r="123" s="15" customFormat="1" x14ac:dyDescent="0.25"/>
    <row r="124" s="15" customFormat="1" x14ac:dyDescent="0.25"/>
    <row r="125" s="15" customFormat="1" x14ac:dyDescent="0.25"/>
    <row r="126" s="15" customFormat="1" x14ac:dyDescent="0.25"/>
    <row r="127" s="15" customFormat="1" x14ac:dyDescent="0.25"/>
    <row r="128" s="15" customFormat="1" x14ac:dyDescent="0.25"/>
    <row r="129" s="15" customFormat="1" x14ac:dyDescent="0.25"/>
    <row r="130" s="15" customFormat="1" x14ac:dyDescent="0.25"/>
    <row r="131" s="15" customFormat="1" x14ac:dyDescent="0.25"/>
    <row r="132" s="15" customFormat="1" x14ac:dyDescent="0.25"/>
    <row r="133" s="15" customFormat="1" x14ac:dyDescent="0.25"/>
    <row r="134" s="15" customFormat="1" x14ac:dyDescent="0.25"/>
    <row r="135" s="15" customFormat="1" x14ac:dyDescent="0.25"/>
    <row r="136" s="15" customFormat="1" x14ac:dyDescent="0.25"/>
    <row r="137" s="15" customFormat="1" x14ac:dyDescent="0.25"/>
    <row r="138" s="15" customFormat="1" x14ac:dyDescent="0.25"/>
    <row r="139" s="15" customFormat="1" x14ac:dyDescent="0.25"/>
    <row r="140" s="15" customFormat="1" x14ac:dyDescent="0.25"/>
    <row r="141" s="15" customFormat="1" x14ac:dyDescent="0.25"/>
    <row r="142" s="15" customFormat="1" x14ac:dyDescent="0.25"/>
    <row r="143" s="15" customFormat="1" x14ac:dyDescent="0.25"/>
    <row r="144" s="15" customFormat="1" x14ac:dyDescent="0.25"/>
    <row r="145" s="15" customFormat="1" x14ac:dyDescent="0.25"/>
    <row r="146" s="15" customFormat="1" x14ac:dyDescent="0.25"/>
    <row r="147" s="15" customFormat="1" x14ac:dyDescent="0.25"/>
    <row r="148" s="15" customFormat="1" x14ac:dyDescent="0.25"/>
    <row r="149" s="15" customFormat="1" x14ac:dyDescent="0.25"/>
    <row r="150" s="15" customFormat="1" x14ac:dyDescent="0.25"/>
    <row r="151" s="15" customFormat="1" x14ac:dyDescent="0.25"/>
    <row r="152" s="15" customFormat="1" x14ac:dyDescent="0.25"/>
    <row r="153" s="15" customFormat="1" x14ac:dyDescent="0.25"/>
    <row r="154" s="15" customFormat="1" x14ac:dyDescent="0.25"/>
    <row r="155" s="15" customFormat="1" x14ac:dyDescent="0.25"/>
    <row r="156" s="15" customFormat="1" x14ac:dyDescent="0.25"/>
    <row r="157" s="15" customFormat="1" x14ac:dyDescent="0.25"/>
    <row r="158" s="15" customFormat="1" x14ac:dyDescent="0.25"/>
    <row r="159" s="15" customFormat="1" x14ac:dyDescent="0.25"/>
    <row r="160" s="15" customFormat="1" x14ac:dyDescent="0.25"/>
    <row r="161" spans="10:98" x14ac:dyDescent="0.25">
      <c r="J161" s="15"/>
      <c r="O161" s="15"/>
      <c r="U161" s="15"/>
      <c r="CT161" s="15"/>
    </row>
    <row r="162" spans="10:98" x14ac:dyDescent="0.25">
      <c r="J162" s="15"/>
      <c r="O162" s="15"/>
      <c r="U162" s="15"/>
      <c r="CT162" s="15"/>
    </row>
    <row r="163" spans="10:98" x14ac:dyDescent="0.25">
      <c r="J163" s="15"/>
      <c r="O163" s="15"/>
      <c r="U163" s="15"/>
      <c r="CT163" s="15"/>
    </row>
    <row r="164" spans="10:98" x14ac:dyDescent="0.25">
      <c r="J164" s="15"/>
      <c r="O164" s="15"/>
      <c r="U164" s="15"/>
      <c r="CT164" s="15"/>
    </row>
    <row r="165" spans="10:98" x14ac:dyDescent="0.25">
      <c r="J165" s="15"/>
      <c r="O165" s="15"/>
      <c r="U165" s="15"/>
      <c r="CT165" s="15"/>
    </row>
    <row r="166" spans="10:98" x14ac:dyDescent="0.25">
      <c r="J166" s="15"/>
      <c r="O166" s="15"/>
      <c r="U166" s="15"/>
      <c r="CT166" s="15"/>
    </row>
    <row r="167" spans="10:98" x14ac:dyDescent="0.25">
      <c r="J167" s="15"/>
      <c r="O167" s="15"/>
      <c r="U167" s="15"/>
      <c r="CT167" s="15"/>
    </row>
    <row r="168" spans="10:98" x14ac:dyDescent="0.25">
      <c r="J168" s="15"/>
      <c r="O168" s="15"/>
      <c r="U168" s="15"/>
    </row>
    <row r="169" spans="10:98" x14ac:dyDescent="0.25">
      <c r="J169" s="15"/>
      <c r="O169" s="15"/>
      <c r="U169" s="15"/>
    </row>
    <row r="170" spans="10:98" x14ac:dyDescent="0.25">
      <c r="J170" s="15"/>
      <c r="O170" s="15"/>
      <c r="U170" s="15"/>
    </row>
    <row r="171" spans="10:98" x14ac:dyDescent="0.25">
      <c r="J171" s="15"/>
      <c r="O171" s="15"/>
      <c r="U171" s="15"/>
    </row>
    <row r="172" spans="10:98" x14ac:dyDescent="0.25">
      <c r="J172" s="15"/>
      <c r="O172" s="15"/>
      <c r="U172" s="15"/>
    </row>
    <row r="173" spans="10:98" x14ac:dyDescent="0.25">
      <c r="J173" s="15"/>
      <c r="O173" s="15"/>
      <c r="U173" s="15"/>
    </row>
    <row r="174" spans="10:98" x14ac:dyDescent="0.25">
      <c r="J174" s="15"/>
      <c r="O174" s="15"/>
      <c r="U174" s="15"/>
    </row>
    <row r="175" spans="10:98" x14ac:dyDescent="0.25">
      <c r="J175" s="15"/>
      <c r="O175" s="15"/>
      <c r="U175" s="15"/>
    </row>
    <row r="176" spans="10:98" x14ac:dyDescent="0.25">
      <c r="J176" s="15"/>
      <c r="O176" s="15"/>
      <c r="U176" s="15"/>
    </row>
    <row r="177" spans="10:21" x14ac:dyDescent="0.25">
      <c r="J177" s="15"/>
      <c r="O177" s="15"/>
      <c r="U177" s="15"/>
    </row>
    <row r="178" spans="10:21" x14ac:dyDescent="0.25">
      <c r="J178" s="15"/>
      <c r="O178" s="15"/>
      <c r="U178" s="15"/>
    </row>
    <row r="179" spans="10:21" x14ac:dyDescent="0.25">
      <c r="J179" s="15"/>
      <c r="O179" s="15"/>
      <c r="U179" s="15"/>
    </row>
    <row r="180" spans="10:21" x14ac:dyDescent="0.25">
      <c r="J180" s="15"/>
      <c r="O180" s="15"/>
      <c r="U180" s="15"/>
    </row>
    <row r="181" spans="10:21" x14ac:dyDescent="0.25">
      <c r="J181" s="15"/>
      <c r="O181" s="15"/>
      <c r="U181" s="15"/>
    </row>
    <row r="182" spans="10:21" x14ac:dyDescent="0.25">
      <c r="J182" s="15"/>
      <c r="O182" s="15"/>
      <c r="U182" s="15"/>
    </row>
    <row r="183" spans="10:21" x14ac:dyDescent="0.25">
      <c r="J183" s="15"/>
      <c r="O183" s="15"/>
      <c r="U183" s="15"/>
    </row>
    <row r="184" spans="10:21" x14ac:dyDescent="0.25">
      <c r="J184" s="15"/>
      <c r="O184" s="15"/>
      <c r="U184" s="15"/>
    </row>
    <row r="185" spans="10:21" x14ac:dyDescent="0.25">
      <c r="J185" s="15"/>
      <c r="O185" s="15"/>
      <c r="U185" s="15"/>
    </row>
    <row r="186" spans="10:21" x14ac:dyDescent="0.25">
      <c r="J186" s="15"/>
      <c r="O186" s="15"/>
      <c r="U186" s="15"/>
    </row>
    <row r="187" spans="10:21" x14ac:dyDescent="0.25">
      <c r="J187" s="15"/>
      <c r="O187" s="15"/>
      <c r="U187" s="15"/>
    </row>
    <row r="188" spans="10:21" x14ac:dyDescent="0.25">
      <c r="J188" s="15"/>
      <c r="O188" s="15"/>
      <c r="U188" s="15"/>
    </row>
    <row r="189" spans="10:21" x14ac:dyDescent="0.25">
      <c r="J189" s="15"/>
    </row>
    <row r="190" spans="10:21" x14ac:dyDescent="0.25">
      <c r="J190" s="15"/>
    </row>
    <row r="191" spans="10:21" x14ac:dyDescent="0.25">
      <c r="J191" s="15"/>
    </row>
    <row r="192" spans="10:21" x14ac:dyDescent="0.25">
      <c r="J192" s="15"/>
    </row>
    <row r="193" spans="10:10" x14ac:dyDescent="0.25">
      <c r="J193" s="15"/>
    </row>
    <row r="194" spans="10:10" x14ac:dyDescent="0.25">
      <c r="J194" s="15"/>
    </row>
    <row r="195" spans="10:10" x14ac:dyDescent="0.25">
      <c r="J195" s="15"/>
    </row>
    <row r="196" spans="10:10" x14ac:dyDescent="0.25">
      <c r="J196" s="15"/>
    </row>
    <row r="197" spans="10:10" x14ac:dyDescent="0.25">
      <c r="J197" s="15"/>
    </row>
    <row r="198" spans="10:10" x14ac:dyDescent="0.25">
      <c r="J198" s="15"/>
    </row>
    <row r="199" spans="10:10" x14ac:dyDescent="0.25">
      <c r="J199" s="15"/>
    </row>
    <row r="200" spans="10:10" x14ac:dyDescent="0.25">
      <c r="J200" s="15"/>
    </row>
    <row r="201" spans="10:10" x14ac:dyDescent="0.25">
      <c r="J201" s="15"/>
    </row>
    <row r="202" spans="10:10" x14ac:dyDescent="0.25">
      <c r="J202" s="15"/>
    </row>
    <row r="203" spans="10:10" x14ac:dyDescent="0.25">
      <c r="J203" s="15"/>
    </row>
    <row r="204" spans="10:10" x14ac:dyDescent="0.25">
      <c r="J204" s="15"/>
    </row>
    <row r="205" spans="10:10" x14ac:dyDescent="0.25">
      <c r="J205" s="15"/>
    </row>
    <row r="206" spans="10:10" x14ac:dyDescent="0.25">
      <c r="J206" s="15"/>
    </row>
    <row r="207" spans="10:10" x14ac:dyDescent="0.25">
      <c r="J207" s="15"/>
    </row>
    <row r="208" spans="10:10" x14ac:dyDescent="0.25">
      <c r="J208" s="15"/>
    </row>
    <row r="209" spans="10:10" x14ac:dyDescent="0.25">
      <c r="J209" s="15"/>
    </row>
    <row r="210" spans="10:10" x14ac:dyDescent="0.25">
      <c r="J210" s="15"/>
    </row>
    <row r="211" spans="10:10" x14ac:dyDescent="0.25">
      <c r="J211" s="15"/>
    </row>
    <row r="212" spans="10:10" x14ac:dyDescent="0.25">
      <c r="J212" s="15"/>
    </row>
    <row r="213" spans="10:10" x14ac:dyDescent="0.25">
      <c r="J213" s="15"/>
    </row>
    <row r="214" spans="10:10" x14ac:dyDescent="0.25">
      <c r="J214" s="15"/>
    </row>
    <row r="215" spans="10:10" x14ac:dyDescent="0.25">
      <c r="J215" s="15"/>
    </row>
    <row r="216" spans="10:10" x14ac:dyDescent="0.25">
      <c r="J216" s="15"/>
    </row>
    <row r="217" spans="10:10" x14ac:dyDescent="0.25">
      <c r="J217" s="15"/>
    </row>
    <row r="218" spans="10:10" x14ac:dyDescent="0.25">
      <c r="J218" s="15"/>
    </row>
    <row r="219" spans="10:10" x14ac:dyDescent="0.25">
      <c r="J219" s="15"/>
    </row>
    <row r="220" spans="10:10" x14ac:dyDescent="0.25">
      <c r="J220" s="15"/>
    </row>
    <row r="221" spans="10:10" x14ac:dyDescent="0.25">
      <c r="J221" s="15"/>
    </row>
    <row r="222" spans="10:10" x14ac:dyDescent="0.25">
      <c r="J222" s="15"/>
    </row>
    <row r="223" spans="10:10" x14ac:dyDescent="0.25">
      <c r="J223" s="15"/>
    </row>
    <row r="224" spans="10:10" x14ac:dyDescent="0.25">
      <c r="J224" s="15"/>
    </row>
    <row r="225" spans="10:10" x14ac:dyDescent="0.25">
      <c r="J225" s="15"/>
    </row>
    <row r="226" spans="10:10" x14ac:dyDescent="0.25">
      <c r="J226" s="15"/>
    </row>
    <row r="227" spans="10:10" x14ac:dyDescent="0.25">
      <c r="J227" s="15"/>
    </row>
    <row r="228" spans="10:10" x14ac:dyDescent="0.25">
      <c r="J228" s="15"/>
    </row>
    <row r="229" spans="10:10" x14ac:dyDescent="0.25">
      <c r="J229" s="15"/>
    </row>
    <row r="230" spans="10:10" x14ac:dyDescent="0.25">
      <c r="J230" s="15"/>
    </row>
    <row r="231" spans="10:10" x14ac:dyDescent="0.25">
      <c r="J231" s="15"/>
    </row>
    <row r="232" spans="10:10" x14ac:dyDescent="0.25">
      <c r="J232" s="15"/>
    </row>
    <row r="233" spans="10:10" x14ac:dyDescent="0.25">
      <c r="J233" s="15"/>
    </row>
    <row r="234" spans="10:10" x14ac:dyDescent="0.25">
      <c r="J234" s="15"/>
    </row>
    <row r="235" spans="10:10" x14ac:dyDescent="0.25">
      <c r="J235" s="15"/>
    </row>
    <row r="236" spans="10:10" x14ac:dyDescent="0.25">
      <c r="J236" s="15"/>
    </row>
    <row r="237" spans="10:10" x14ac:dyDescent="0.25">
      <c r="J237" s="15"/>
    </row>
    <row r="238" spans="10:10" x14ac:dyDescent="0.25">
      <c r="J238" s="15"/>
    </row>
    <row r="239" spans="10:10" x14ac:dyDescent="0.25">
      <c r="J239" s="15"/>
    </row>
    <row r="240" spans="10:10" x14ac:dyDescent="0.25">
      <c r="J240" s="15"/>
    </row>
    <row r="241" spans="10:10" x14ac:dyDescent="0.25">
      <c r="J241" s="15"/>
    </row>
    <row r="242" spans="10:10" x14ac:dyDescent="0.25">
      <c r="J242" s="15"/>
    </row>
    <row r="243" spans="10:10" x14ac:dyDescent="0.25">
      <c r="J243" s="15"/>
    </row>
    <row r="244" spans="10:10" x14ac:dyDescent="0.25">
      <c r="J244" s="15"/>
    </row>
    <row r="245" spans="10:10" x14ac:dyDescent="0.25">
      <c r="J245" s="15"/>
    </row>
    <row r="246" spans="10:10" x14ac:dyDescent="0.25">
      <c r="J246" s="15"/>
    </row>
    <row r="247" spans="10:10" x14ac:dyDescent="0.25">
      <c r="J247" s="15"/>
    </row>
    <row r="248" spans="10:10" x14ac:dyDescent="0.25">
      <c r="J248" s="15"/>
    </row>
    <row r="249" spans="10:10" x14ac:dyDescent="0.25">
      <c r="J249" s="15"/>
    </row>
    <row r="250" spans="10:10" x14ac:dyDescent="0.25">
      <c r="J250" s="15"/>
    </row>
    <row r="251" spans="10:10" x14ac:dyDescent="0.25">
      <c r="J251" s="15"/>
    </row>
    <row r="252" spans="10:10" x14ac:dyDescent="0.25">
      <c r="J252" s="15"/>
    </row>
    <row r="253" spans="10:10" x14ac:dyDescent="0.25">
      <c r="J253" s="15"/>
    </row>
    <row r="254" spans="10:10" x14ac:dyDescent="0.25">
      <c r="J254" s="15"/>
    </row>
    <row r="255" spans="10:10" x14ac:dyDescent="0.25">
      <c r="J255" s="15"/>
    </row>
    <row r="256" spans="10:10" x14ac:dyDescent="0.25">
      <c r="J256" s="15"/>
    </row>
    <row r="257" spans="10:10" x14ac:dyDescent="0.25">
      <c r="J257" s="15"/>
    </row>
    <row r="258" spans="10:10" x14ac:dyDescent="0.25">
      <c r="J258" s="15"/>
    </row>
    <row r="259" spans="10:10" x14ac:dyDescent="0.25">
      <c r="J259" s="15"/>
    </row>
    <row r="260" spans="10:10" x14ac:dyDescent="0.25">
      <c r="J260" s="15"/>
    </row>
    <row r="261" spans="10:10" x14ac:dyDescent="0.25">
      <c r="J261" s="15"/>
    </row>
    <row r="262" spans="10:10" x14ac:dyDescent="0.25">
      <c r="J262" s="15"/>
    </row>
    <row r="263" spans="10:10" x14ac:dyDescent="0.25">
      <c r="J263" s="15"/>
    </row>
    <row r="264" spans="10:10" x14ac:dyDescent="0.25">
      <c r="J264" s="15"/>
    </row>
    <row r="265" spans="10:10" x14ac:dyDescent="0.25">
      <c r="J265" s="15"/>
    </row>
    <row r="266" spans="10:10" x14ac:dyDescent="0.25">
      <c r="J266" s="15"/>
    </row>
    <row r="267" spans="10:10" x14ac:dyDescent="0.25">
      <c r="J267" s="15"/>
    </row>
    <row r="268" spans="10:10" x14ac:dyDescent="0.25">
      <c r="J268" s="15"/>
    </row>
    <row r="269" spans="10:10" x14ac:dyDescent="0.25">
      <c r="J269" s="15"/>
    </row>
    <row r="270" spans="10:10" x14ac:dyDescent="0.25">
      <c r="J270" s="15"/>
    </row>
    <row r="271" spans="10:10" x14ac:dyDescent="0.25">
      <c r="J271" s="15"/>
    </row>
    <row r="272" spans="10:10" x14ac:dyDescent="0.25">
      <c r="J272" s="15"/>
    </row>
    <row r="273" spans="10:10" x14ac:dyDescent="0.25">
      <c r="J273" s="15"/>
    </row>
    <row r="274" spans="10:10" x14ac:dyDescent="0.25">
      <c r="J274" s="15"/>
    </row>
    <row r="275" spans="10:10" x14ac:dyDescent="0.25">
      <c r="J275" s="15"/>
    </row>
    <row r="276" spans="10:10" x14ac:dyDescent="0.25">
      <c r="J276" s="15"/>
    </row>
    <row r="277" spans="10:10" x14ac:dyDescent="0.25">
      <c r="J277" s="15"/>
    </row>
    <row r="278" spans="10:10" x14ac:dyDescent="0.25">
      <c r="J278" s="15"/>
    </row>
    <row r="279" spans="10:10" x14ac:dyDescent="0.25">
      <c r="J279" s="15"/>
    </row>
    <row r="280" spans="10:10" x14ac:dyDescent="0.25">
      <c r="J280" s="15"/>
    </row>
    <row r="281" spans="10:10" x14ac:dyDescent="0.25">
      <c r="J281" s="15"/>
    </row>
    <row r="282" spans="10:10" x14ac:dyDescent="0.25">
      <c r="J282" s="15"/>
    </row>
    <row r="283" spans="10:10" x14ac:dyDescent="0.25">
      <c r="J283" s="15"/>
    </row>
    <row r="284" spans="10:10" x14ac:dyDescent="0.25">
      <c r="J284" s="15"/>
    </row>
    <row r="285" spans="10:10" x14ac:dyDescent="0.25">
      <c r="J285" s="15"/>
    </row>
    <row r="286" spans="10:10" x14ac:dyDescent="0.25">
      <c r="J286" s="15"/>
    </row>
    <row r="287" spans="10:10" x14ac:dyDescent="0.25">
      <c r="J287" s="15"/>
    </row>
    <row r="288" spans="10:10" x14ac:dyDescent="0.25">
      <c r="J288" s="15"/>
    </row>
    <row r="289" spans="10:10" x14ac:dyDescent="0.25">
      <c r="J289" s="15"/>
    </row>
    <row r="290" spans="10:10" x14ac:dyDescent="0.25">
      <c r="J290" s="15"/>
    </row>
    <row r="291" spans="10:10" x14ac:dyDescent="0.25">
      <c r="J291" s="15"/>
    </row>
    <row r="292" spans="10:10" x14ac:dyDescent="0.25">
      <c r="J292" s="15"/>
    </row>
    <row r="293" spans="10:10" x14ac:dyDescent="0.25">
      <c r="J293" s="15"/>
    </row>
    <row r="294" spans="10:10" x14ac:dyDescent="0.25">
      <c r="J294" s="15"/>
    </row>
    <row r="295" spans="10:10" x14ac:dyDescent="0.25">
      <c r="J295" s="15"/>
    </row>
    <row r="296" spans="10:10" x14ac:dyDescent="0.25">
      <c r="J296" s="15"/>
    </row>
    <row r="297" spans="10:10" x14ac:dyDescent="0.25">
      <c r="J297" s="15"/>
    </row>
    <row r="298" spans="10:10" x14ac:dyDescent="0.25">
      <c r="J298" s="15"/>
    </row>
    <row r="299" spans="10:10" x14ac:dyDescent="0.25">
      <c r="J299" s="15"/>
    </row>
    <row r="300" spans="10:10" x14ac:dyDescent="0.25">
      <c r="J300" s="15"/>
    </row>
    <row r="301" spans="10:10" x14ac:dyDescent="0.25">
      <c r="J301" s="15"/>
    </row>
    <row r="302" spans="10:10" x14ac:dyDescent="0.25">
      <c r="J302" s="15"/>
    </row>
    <row r="303" spans="10:10" x14ac:dyDescent="0.25">
      <c r="J303" s="15"/>
    </row>
    <row r="304" spans="10:10" x14ac:dyDescent="0.25">
      <c r="J304" s="15"/>
    </row>
    <row r="305" spans="10:10" x14ac:dyDescent="0.25">
      <c r="J305" s="15"/>
    </row>
    <row r="306" spans="10:10" x14ac:dyDescent="0.25">
      <c r="J306" s="15"/>
    </row>
    <row r="307" spans="10:10" x14ac:dyDescent="0.25">
      <c r="J307" s="15"/>
    </row>
    <row r="308" spans="10:10" x14ac:dyDescent="0.25">
      <c r="J308" s="15"/>
    </row>
    <row r="309" spans="10:10" x14ac:dyDescent="0.25">
      <c r="J309" s="15"/>
    </row>
    <row r="310" spans="10:10" x14ac:dyDescent="0.25">
      <c r="J310" s="15"/>
    </row>
    <row r="311" spans="10:10" x14ac:dyDescent="0.25">
      <c r="J311" s="15"/>
    </row>
    <row r="312" spans="10:10" x14ac:dyDescent="0.25">
      <c r="J312" s="15"/>
    </row>
    <row r="313" spans="10:10" x14ac:dyDescent="0.25">
      <c r="J313" s="15"/>
    </row>
    <row r="314" spans="10:10" x14ac:dyDescent="0.25">
      <c r="J314" s="15"/>
    </row>
    <row r="315" spans="10:10" x14ac:dyDescent="0.25">
      <c r="J315" s="15"/>
    </row>
    <row r="316" spans="10:10" x14ac:dyDescent="0.25">
      <c r="J316" s="15"/>
    </row>
    <row r="317" spans="10:10" x14ac:dyDescent="0.25">
      <c r="J317" s="15"/>
    </row>
    <row r="318" spans="10:10" x14ac:dyDescent="0.25">
      <c r="J318" s="15"/>
    </row>
    <row r="319" spans="10:10" x14ac:dyDescent="0.25">
      <c r="J319" s="15"/>
    </row>
    <row r="320" spans="10:10" x14ac:dyDescent="0.25">
      <c r="J320" s="15"/>
    </row>
    <row r="321" spans="10:10" x14ac:dyDescent="0.25">
      <c r="J321" s="15"/>
    </row>
    <row r="322" spans="10:10" x14ac:dyDescent="0.25">
      <c r="J322" s="15"/>
    </row>
    <row r="323" spans="10:10" x14ac:dyDescent="0.25">
      <c r="J323" s="15"/>
    </row>
    <row r="324" spans="10:10" x14ac:dyDescent="0.25">
      <c r="J324" s="15"/>
    </row>
    <row r="325" spans="10:10" x14ac:dyDescent="0.25">
      <c r="J325" s="15"/>
    </row>
    <row r="326" spans="10:10" x14ac:dyDescent="0.25">
      <c r="J326" s="15"/>
    </row>
    <row r="327" spans="10:10" x14ac:dyDescent="0.25">
      <c r="J327" s="15"/>
    </row>
    <row r="328" spans="10:10" x14ac:dyDescent="0.25">
      <c r="J328" s="15"/>
    </row>
    <row r="329" spans="10:10" x14ac:dyDescent="0.25">
      <c r="J329" s="15"/>
    </row>
    <row r="330" spans="10:10" x14ac:dyDescent="0.25">
      <c r="J330" s="15"/>
    </row>
    <row r="331" spans="10:10" x14ac:dyDescent="0.25">
      <c r="J331" s="15"/>
    </row>
    <row r="332" spans="10:10" x14ac:dyDescent="0.25">
      <c r="J332" s="15"/>
    </row>
    <row r="333" spans="10:10" x14ac:dyDescent="0.25">
      <c r="J333" s="15"/>
    </row>
    <row r="334" spans="10:10" x14ac:dyDescent="0.25">
      <c r="J334" s="15"/>
    </row>
    <row r="335" spans="10:10" x14ac:dyDescent="0.25">
      <c r="J335" s="15"/>
    </row>
    <row r="336" spans="10:10" x14ac:dyDescent="0.25">
      <c r="J336" s="15"/>
    </row>
    <row r="337" spans="10:10" x14ac:dyDescent="0.25">
      <c r="J337" s="15"/>
    </row>
    <row r="338" spans="10:10" x14ac:dyDescent="0.25">
      <c r="J338" s="15"/>
    </row>
    <row r="339" spans="10:10" x14ac:dyDescent="0.25">
      <c r="J339" s="15"/>
    </row>
    <row r="340" spans="10:10" x14ac:dyDescent="0.25">
      <c r="J340" s="15"/>
    </row>
    <row r="341" spans="10:10" x14ac:dyDescent="0.25">
      <c r="J341" s="15"/>
    </row>
    <row r="342" spans="10:10" x14ac:dyDescent="0.25">
      <c r="J342" s="15"/>
    </row>
    <row r="343" spans="10:10" x14ac:dyDescent="0.25">
      <c r="J343" s="15"/>
    </row>
    <row r="344" spans="10:10" x14ac:dyDescent="0.25">
      <c r="J344" s="15"/>
    </row>
    <row r="345" spans="10:10" x14ac:dyDescent="0.25">
      <c r="J345" s="15"/>
    </row>
    <row r="346" spans="10:10" x14ac:dyDescent="0.25">
      <c r="J346" s="15"/>
    </row>
    <row r="347" spans="10:10" x14ac:dyDescent="0.25">
      <c r="J347" s="15"/>
    </row>
    <row r="348" spans="10:10" x14ac:dyDescent="0.25">
      <c r="J348" s="15"/>
    </row>
    <row r="349" spans="10:10" x14ac:dyDescent="0.25">
      <c r="J349" s="15"/>
    </row>
    <row r="350" spans="10:10" x14ac:dyDescent="0.25">
      <c r="J350" s="15"/>
    </row>
    <row r="351" spans="10:10" x14ac:dyDescent="0.25">
      <c r="J351" s="15"/>
    </row>
    <row r="352" spans="10:10" x14ac:dyDescent="0.25">
      <c r="J352" s="15"/>
    </row>
    <row r="353" spans="10:10" x14ac:dyDescent="0.25">
      <c r="J353" s="15"/>
    </row>
    <row r="354" spans="10:10" x14ac:dyDescent="0.25">
      <c r="J354" s="15"/>
    </row>
    <row r="355" spans="10:10" x14ac:dyDescent="0.25">
      <c r="J355" s="15"/>
    </row>
    <row r="356" spans="10:10" x14ac:dyDescent="0.25">
      <c r="J356" s="15"/>
    </row>
    <row r="357" spans="10:10" x14ac:dyDescent="0.25">
      <c r="J357" s="15"/>
    </row>
    <row r="358" spans="10:10" x14ac:dyDescent="0.25">
      <c r="J358" s="15"/>
    </row>
    <row r="359" spans="10:10" x14ac:dyDescent="0.25">
      <c r="J359" s="15"/>
    </row>
    <row r="360" spans="10:10" x14ac:dyDescent="0.25">
      <c r="J360" s="15"/>
    </row>
    <row r="361" spans="10:10" x14ac:dyDescent="0.25">
      <c r="J361" s="15"/>
    </row>
    <row r="362" spans="10:10" x14ac:dyDescent="0.25">
      <c r="J362" s="15"/>
    </row>
    <row r="363" spans="10:10" x14ac:dyDescent="0.25">
      <c r="J363" s="15"/>
    </row>
    <row r="364" spans="10:10" x14ac:dyDescent="0.25">
      <c r="J364" s="15"/>
    </row>
    <row r="365" spans="10:10" x14ac:dyDescent="0.25">
      <c r="J365" s="15"/>
    </row>
    <row r="366" spans="10:10" x14ac:dyDescent="0.25">
      <c r="J366" s="15"/>
    </row>
    <row r="367" spans="10:10" x14ac:dyDescent="0.25">
      <c r="J367" s="15"/>
    </row>
    <row r="368" spans="10:10" x14ac:dyDescent="0.25">
      <c r="J368" s="15"/>
    </row>
    <row r="369" spans="10:10" x14ac:dyDescent="0.25">
      <c r="J369" s="15"/>
    </row>
    <row r="370" spans="10:10" x14ac:dyDescent="0.25">
      <c r="J370" s="15"/>
    </row>
    <row r="371" spans="10:10" x14ac:dyDescent="0.25">
      <c r="J371" s="15"/>
    </row>
    <row r="372" spans="10:10" x14ac:dyDescent="0.25">
      <c r="J372" s="15"/>
    </row>
    <row r="373" spans="10:10" x14ac:dyDescent="0.25">
      <c r="J373" s="15"/>
    </row>
    <row r="374" spans="10:10" x14ac:dyDescent="0.25">
      <c r="J374" s="15"/>
    </row>
    <row r="375" spans="10:10" x14ac:dyDescent="0.25">
      <c r="J375" s="15"/>
    </row>
    <row r="376" spans="10:10" x14ac:dyDescent="0.25">
      <c r="J376" s="15"/>
    </row>
    <row r="377" spans="10:10" x14ac:dyDescent="0.25">
      <c r="J377" s="15"/>
    </row>
    <row r="378" spans="10:10" x14ac:dyDescent="0.25">
      <c r="J378" s="15"/>
    </row>
    <row r="379" spans="10:10" x14ac:dyDescent="0.25">
      <c r="J379" s="15"/>
    </row>
    <row r="380" spans="10:10" x14ac:dyDescent="0.25">
      <c r="J380" s="15"/>
    </row>
    <row r="381" spans="10:10" x14ac:dyDescent="0.25">
      <c r="J381" s="15"/>
    </row>
    <row r="382" spans="10:10" x14ac:dyDescent="0.25">
      <c r="J382" s="15"/>
    </row>
    <row r="383" spans="10:10" x14ac:dyDescent="0.25">
      <c r="J383" s="15"/>
    </row>
    <row r="384" spans="10:10" x14ac:dyDescent="0.25">
      <c r="J384" s="15"/>
    </row>
    <row r="385" spans="10:10" x14ac:dyDescent="0.25">
      <c r="J385" s="15"/>
    </row>
    <row r="386" spans="10:10" x14ac:dyDescent="0.25">
      <c r="J386" s="15"/>
    </row>
    <row r="387" spans="10:10" x14ac:dyDescent="0.25">
      <c r="J387" s="15"/>
    </row>
    <row r="388" spans="10:10" x14ac:dyDescent="0.25">
      <c r="J388" s="15"/>
    </row>
    <row r="389" spans="10:10" x14ac:dyDescent="0.25">
      <c r="J389" s="15"/>
    </row>
    <row r="390" spans="10:10" x14ac:dyDescent="0.25">
      <c r="J390" s="15"/>
    </row>
    <row r="391" spans="10:10" x14ac:dyDescent="0.25">
      <c r="J391" s="15"/>
    </row>
    <row r="392" spans="10:10" x14ac:dyDescent="0.25">
      <c r="J392" s="15"/>
    </row>
    <row r="393" spans="10:10" x14ac:dyDescent="0.25">
      <c r="J393" s="15"/>
    </row>
    <row r="394" spans="10:10" x14ac:dyDescent="0.25">
      <c r="J394" s="15"/>
    </row>
    <row r="395" spans="10:10" x14ac:dyDescent="0.25">
      <c r="J395" s="15"/>
    </row>
    <row r="396" spans="10:10" x14ac:dyDescent="0.25">
      <c r="J396" s="15"/>
    </row>
    <row r="397" spans="10:10" x14ac:dyDescent="0.25">
      <c r="J397" s="15"/>
    </row>
    <row r="398" spans="10:10" x14ac:dyDescent="0.25">
      <c r="J398" s="15"/>
    </row>
    <row r="399" spans="10:10" x14ac:dyDescent="0.25">
      <c r="J399" s="15"/>
    </row>
    <row r="400" spans="10:10" x14ac:dyDescent="0.25">
      <c r="J400" s="15"/>
    </row>
    <row r="401" spans="10:10" x14ac:dyDescent="0.25">
      <c r="J401" s="15"/>
    </row>
    <row r="402" spans="10:10" x14ac:dyDescent="0.25">
      <c r="J402" s="15"/>
    </row>
    <row r="403" spans="10:10" x14ac:dyDescent="0.25">
      <c r="J403" s="15"/>
    </row>
    <row r="404" spans="10:10" x14ac:dyDescent="0.25">
      <c r="J404" s="15"/>
    </row>
    <row r="405" spans="10:10" x14ac:dyDescent="0.25">
      <c r="J405" s="15"/>
    </row>
    <row r="406" spans="10:10" x14ac:dyDescent="0.25">
      <c r="J406" s="15"/>
    </row>
    <row r="407" spans="10:10" x14ac:dyDescent="0.25">
      <c r="J407" s="15"/>
    </row>
    <row r="408" spans="10:10" x14ac:dyDescent="0.25">
      <c r="J408" s="15"/>
    </row>
    <row r="409" spans="10:10" x14ac:dyDescent="0.25">
      <c r="J409" s="15"/>
    </row>
    <row r="410" spans="10:10" x14ac:dyDescent="0.25">
      <c r="J410" s="15"/>
    </row>
    <row r="411" spans="10:10" x14ac:dyDescent="0.25">
      <c r="J411" s="15"/>
    </row>
    <row r="412" spans="10:10" x14ac:dyDescent="0.25">
      <c r="J412" s="15"/>
    </row>
    <row r="413" spans="10:10" x14ac:dyDescent="0.25">
      <c r="J413" s="15"/>
    </row>
    <row r="414" spans="10:10" x14ac:dyDescent="0.25">
      <c r="J414" s="15"/>
    </row>
    <row r="415" spans="10:10" x14ac:dyDescent="0.25">
      <c r="J415" s="15"/>
    </row>
    <row r="416" spans="10:10" x14ac:dyDescent="0.25">
      <c r="J416" s="15"/>
    </row>
    <row r="417" spans="10:10" x14ac:dyDescent="0.25">
      <c r="J417" s="15"/>
    </row>
    <row r="418" spans="10:10" x14ac:dyDescent="0.25">
      <c r="J418" s="15"/>
    </row>
    <row r="419" spans="10:10" x14ac:dyDescent="0.25">
      <c r="J419" s="15"/>
    </row>
    <row r="420" spans="10:10" x14ac:dyDescent="0.25">
      <c r="J420" s="15"/>
    </row>
    <row r="421" spans="10:10" x14ac:dyDescent="0.25">
      <c r="J421" s="15"/>
    </row>
    <row r="422" spans="10:10" x14ac:dyDescent="0.25">
      <c r="J422" s="15"/>
    </row>
    <row r="423" spans="10:10" x14ac:dyDescent="0.25">
      <c r="J423" s="15"/>
    </row>
    <row r="424" spans="10:10" x14ac:dyDescent="0.25">
      <c r="J424" s="15"/>
    </row>
    <row r="425" spans="10:10" x14ac:dyDescent="0.25">
      <c r="J425" s="15"/>
    </row>
    <row r="426" spans="10:10" x14ac:dyDescent="0.25">
      <c r="J426" s="15"/>
    </row>
    <row r="427" spans="10:10" x14ac:dyDescent="0.25">
      <c r="J427" s="15"/>
    </row>
    <row r="428" spans="10:10" x14ac:dyDescent="0.25">
      <c r="J428" s="15"/>
    </row>
    <row r="429" spans="10:10" x14ac:dyDescent="0.25">
      <c r="J429" s="15"/>
    </row>
    <row r="430" spans="10:10" x14ac:dyDescent="0.25">
      <c r="J430" s="15"/>
    </row>
    <row r="431" spans="10:10" x14ac:dyDescent="0.25">
      <c r="J431" s="15"/>
    </row>
    <row r="432" spans="10:10" x14ac:dyDescent="0.25">
      <c r="J432" s="15"/>
    </row>
    <row r="433" spans="10:10" x14ac:dyDescent="0.25">
      <c r="J433" s="15"/>
    </row>
    <row r="434" spans="10:10" x14ac:dyDescent="0.25">
      <c r="J434" s="15"/>
    </row>
    <row r="435" spans="10:10" x14ac:dyDescent="0.25">
      <c r="J435" s="15"/>
    </row>
    <row r="436" spans="10:10" x14ac:dyDescent="0.25">
      <c r="J436" s="15"/>
    </row>
    <row r="437" spans="10:10" x14ac:dyDescent="0.25">
      <c r="J437" s="15"/>
    </row>
    <row r="438" spans="10:10" x14ac:dyDescent="0.25">
      <c r="J438" s="15"/>
    </row>
    <row r="439" spans="10:10" x14ac:dyDescent="0.25">
      <c r="J439" s="15"/>
    </row>
    <row r="440" spans="10:10" x14ac:dyDescent="0.25">
      <c r="J440" s="15"/>
    </row>
    <row r="441" spans="10:10" x14ac:dyDescent="0.25">
      <c r="J441" s="15"/>
    </row>
    <row r="442" spans="10:10" x14ac:dyDescent="0.25">
      <c r="J442" s="15"/>
    </row>
    <row r="443" spans="10:10" x14ac:dyDescent="0.25">
      <c r="J443" s="15"/>
    </row>
    <row r="444" spans="10:10" x14ac:dyDescent="0.25">
      <c r="J444" s="15"/>
    </row>
    <row r="445" spans="10:10" x14ac:dyDescent="0.25">
      <c r="J445" s="15"/>
    </row>
    <row r="446" spans="10:10" x14ac:dyDescent="0.25">
      <c r="J446" s="15"/>
    </row>
    <row r="447" spans="10:10" x14ac:dyDescent="0.25">
      <c r="J447" s="15"/>
    </row>
    <row r="448" spans="10:10" x14ac:dyDescent="0.25">
      <c r="J448" s="15"/>
    </row>
    <row r="449" spans="10:10" x14ac:dyDescent="0.25">
      <c r="J449" s="15"/>
    </row>
    <row r="450" spans="10:10" x14ac:dyDescent="0.25">
      <c r="J450" s="15"/>
    </row>
    <row r="451" spans="10:10" x14ac:dyDescent="0.25">
      <c r="J451" s="15"/>
    </row>
    <row r="452" spans="10:10" x14ac:dyDescent="0.25">
      <c r="J452" s="15"/>
    </row>
    <row r="453" spans="10:10" x14ac:dyDescent="0.25">
      <c r="J453" s="15"/>
    </row>
    <row r="454" spans="10:10" x14ac:dyDescent="0.25">
      <c r="J454" s="15"/>
    </row>
    <row r="455" spans="10:10" x14ac:dyDescent="0.25">
      <c r="J455" s="15"/>
    </row>
    <row r="456" spans="10:10" x14ac:dyDescent="0.25">
      <c r="J456" s="15"/>
    </row>
    <row r="457" spans="10:10" x14ac:dyDescent="0.25">
      <c r="J457" s="15"/>
    </row>
    <row r="458" spans="10:10" x14ac:dyDescent="0.25">
      <c r="J458" s="15"/>
    </row>
    <row r="459" spans="10:10" x14ac:dyDescent="0.25">
      <c r="J459" s="15"/>
    </row>
    <row r="460" spans="10:10" x14ac:dyDescent="0.25">
      <c r="J460" s="15"/>
    </row>
    <row r="461" spans="10:10" x14ac:dyDescent="0.25">
      <c r="J461" s="15"/>
    </row>
    <row r="462" spans="10:10" x14ac:dyDescent="0.25">
      <c r="J462" s="15"/>
    </row>
    <row r="463" spans="10:10" x14ac:dyDescent="0.25">
      <c r="J463" s="15"/>
    </row>
    <row r="464" spans="10:10" x14ac:dyDescent="0.25">
      <c r="J464" s="15"/>
    </row>
    <row r="465" spans="10:10" x14ac:dyDescent="0.25">
      <c r="J465" s="15"/>
    </row>
    <row r="466" spans="10:10" x14ac:dyDescent="0.25">
      <c r="J466" s="15"/>
    </row>
    <row r="467" spans="10:10" x14ac:dyDescent="0.25">
      <c r="J467" s="15"/>
    </row>
    <row r="468" spans="10:10" x14ac:dyDescent="0.25">
      <c r="J468" s="15"/>
    </row>
    <row r="469" spans="10:10" x14ac:dyDescent="0.25">
      <c r="J469" s="15"/>
    </row>
    <row r="470" spans="10:10" x14ac:dyDescent="0.25">
      <c r="J470" s="15"/>
    </row>
    <row r="471" spans="10:10" x14ac:dyDescent="0.25">
      <c r="J471" s="15"/>
    </row>
    <row r="472" spans="10:10" x14ac:dyDescent="0.25">
      <c r="J472" s="15"/>
    </row>
    <row r="473" spans="10:10" x14ac:dyDescent="0.25">
      <c r="J473" s="15"/>
    </row>
    <row r="474" spans="10:10" x14ac:dyDescent="0.25">
      <c r="J474" s="15"/>
    </row>
    <row r="475" spans="10:10" x14ac:dyDescent="0.25">
      <c r="J475" s="15"/>
    </row>
    <row r="476" spans="10:10" x14ac:dyDescent="0.25">
      <c r="J476" s="15"/>
    </row>
    <row r="477" spans="10:10" x14ac:dyDescent="0.25">
      <c r="J477" s="15"/>
    </row>
    <row r="478" spans="10:10" x14ac:dyDescent="0.25">
      <c r="J478" s="15"/>
    </row>
    <row r="479" spans="10:10" x14ac:dyDescent="0.25">
      <c r="J479" s="15"/>
    </row>
    <row r="480" spans="10:10" x14ac:dyDescent="0.25">
      <c r="J480" s="15"/>
    </row>
    <row r="481" spans="10:10" x14ac:dyDescent="0.25">
      <c r="J481" s="15"/>
    </row>
    <row r="482" spans="10:10" x14ac:dyDescent="0.25">
      <c r="J482" s="15"/>
    </row>
    <row r="483" spans="10:10" x14ac:dyDescent="0.25">
      <c r="J483" s="15"/>
    </row>
    <row r="484" spans="10:10" x14ac:dyDescent="0.25">
      <c r="J484" s="15"/>
    </row>
    <row r="485" spans="10:10" x14ac:dyDescent="0.25">
      <c r="J485" s="15"/>
    </row>
    <row r="486" spans="10:10" x14ac:dyDescent="0.25">
      <c r="J486" s="15"/>
    </row>
    <row r="487" spans="10:10" x14ac:dyDescent="0.25">
      <c r="J487" s="15"/>
    </row>
    <row r="488" spans="10:10" x14ac:dyDescent="0.25">
      <c r="J488" s="15"/>
    </row>
    <row r="489" spans="10:10" x14ac:dyDescent="0.25">
      <c r="J489" s="15"/>
    </row>
    <row r="490" spans="10:10" x14ac:dyDescent="0.25">
      <c r="J490" s="15"/>
    </row>
    <row r="491" spans="10:10" x14ac:dyDescent="0.25">
      <c r="J491" s="15"/>
    </row>
    <row r="492" spans="10:10" x14ac:dyDescent="0.25">
      <c r="J492" s="15"/>
    </row>
    <row r="493" spans="10:10" x14ac:dyDescent="0.25">
      <c r="J493" s="15"/>
    </row>
    <row r="494" spans="10:10" x14ac:dyDescent="0.25">
      <c r="J494" s="15"/>
    </row>
    <row r="495" spans="10:10" x14ac:dyDescent="0.25">
      <c r="J495" s="15"/>
    </row>
    <row r="496" spans="10:10" x14ac:dyDescent="0.25">
      <c r="J496" s="15"/>
    </row>
    <row r="497" spans="10:10" x14ac:dyDescent="0.25">
      <c r="J497" s="15"/>
    </row>
    <row r="498" spans="10:10" x14ac:dyDescent="0.25">
      <c r="J498" s="15"/>
    </row>
    <row r="499" spans="10:10" x14ac:dyDescent="0.25">
      <c r="J499" s="15"/>
    </row>
    <row r="500" spans="10:10" x14ac:dyDescent="0.25">
      <c r="J500" s="15"/>
    </row>
    <row r="501" spans="10:10" x14ac:dyDescent="0.25">
      <c r="J501" s="15"/>
    </row>
    <row r="502" spans="10:10" x14ac:dyDescent="0.25">
      <c r="J502" s="15"/>
    </row>
    <row r="503" spans="10:10" x14ac:dyDescent="0.25">
      <c r="J503" s="15"/>
    </row>
    <row r="504" spans="10:10" x14ac:dyDescent="0.25">
      <c r="J504" s="15"/>
    </row>
    <row r="505" spans="10:10" x14ac:dyDescent="0.25">
      <c r="J505" s="15"/>
    </row>
    <row r="506" spans="10:10" x14ac:dyDescent="0.25">
      <c r="J506" s="15"/>
    </row>
    <row r="507" spans="10:10" x14ac:dyDescent="0.25">
      <c r="J507" s="15"/>
    </row>
    <row r="508" spans="10:10" x14ac:dyDescent="0.25">
      <c r="J508" s="15"/>
    </row>
    <row r="509" spans="10:10" x14ac:dyDescent="0.25">
      <c r="J509" s="15"/>
    </row>
    <row r="510" spans="10:10" x14ac:dyDescent="0.25">
      <c r="J510" s="15"/>
    </row>
    <row r="511" spans="10:10" x14ac:dyDescent="0.25">
      <c r="J511" s="15"/>
    </row>
    <row r="512" spans="10:10" x14ac:dyDescent="0.25">
      <c r="J512" s="15"/>
    </row>
    <row r="513" spans="10:10" x14ac:dyDescent="0.25">
      <c r="J513" s="15"/>
    </row>
    <row r="514" spans="10:10" x14ac:dyDescent="0.25">
      <c r="J514" s="15"/>
    </row>
    <row r="515" spans="10:10" x14ac:dyDescent="0.25">
      <c r="J515" s="15"/>
    </row>
    <row r="516" spans="10:10" x14ac:dyDescent="0.25">
      <c r="J516" s="15"/>
    </row>
    <row r="517" spans="10:10" x14ac:dyDescent="0.25">
      <c r="J517" s="15"/>
    </row>
    <row r="518" spans="10:10" x14ac:dyDescent="0.25">
      <c r="J518" s="15"/>
    </row>
    <row r="519" spans="10:10" x14ac:dyDescent="0.25">
      <c r="J519" s="15"/>
    </row>
    <row r="520" spans="10:10" x14ac:dyDescent="0.25">
      <c r="J520" s="15"/>
    </row>
    <row r="521" spans="10:10" x14ac:dyDescent="0.25">
      <c r="J521" s="15"/>
    </row>
    <row r="522" spans="10:10" x14ac:dyDescent="0.25">
      <c r="J522" s="15"/>
    </row>
    <row r="523" spans="10:10" x14ac:dyDescent="0.25">
      <c r="J523" s="15"/>
    </row>
    <row r="524" spans="10:10" x14ac:dyDescent="0.25">
      <c r="J524" s="15"/>
    </row>
    <row r="525" spans="10:10" x14ac:dyDescent="0.25">
      <c r="J525" s="15"/>
    </row>
    <row r="526" spans="10:10" x14ac:dyDescent="0.25">
      <c r="J526" s="15"/>
    </row>
    <row r="527" spans="10:10" x14ac:dyDescent="0.25">
      <c r="J527" s="15"/>
    </row>
    <row r="528" spans="10:10" x14ac:dyDescent="0.25">
      <c r="J528" s="15"/>
    </row>
    <row r="529" spans="10:10" x14ac:dyDescent="0.25">
      <c r="J529" s="15"/>
    </row>
    <row r="530" spans="10:10" x14ac:dyDescent="0.25">
      <c r="J530" s="15"/>
    </row>
    <row r="531" spans="10:10" x14ac:dyDescent="0.25">
      <c r="J531" s="15"/>
    </row>
    <row r="532" spans="10:10" x14ac:dyDescent="0.25">
      <c r="J532" s="15"/>
    </row>
    <row r="533" spans="10:10" x14ac:dyDescent="0.25">
      <c r="J533" s="15"/>
    </row>
    <row r="534" spans="10:10" x14ac:dyDescent="0.25">
      <c r="J534" s="15"/>
    </row>
    <row r="535" spans="10:10" x14ac:dyDescent="0.25">
      <c r="J535" s="15"/>
    </row>
    <row r="536" spans="10:10" x14ac:dyDescent="0.25">
      <c r="J536" s="15"/>
    </row>
    <row r="537" spans="10:10" x14ac:dyDescent="0.25">
      <c r="J537" s="15"/>
    </row>
    <row r="538" spans="10:10" x14ac:dyDescent="0.25">
      <c r="J538" s="15"/>
    </row>
    <row r="539" spans="10:10" x14ac:dyDescent="0.25">
      <c r="J539" s="15"/>
    </row>
    <row r="540" spans="10:10" x14ac:dyDescent="0.25">
      <c r="J540" s="15"/>
    </row>
    <row r="541" spans="10:10" x14ac:dyDescent="0.25">
      <c r="J541" s="15"/>
    </row>
    <row r="542" spans="10:10" x14ac:dyDescent="0.25">
      <c r="J542" s="15"/>
    </row>
    <row r="543" spans="10:10" x14ac:dyDescent="0.25">
      <c r="J543" s="15"/>
    </row>
    <row r="544" spans="10:10" x14ac:dyDescent="0.25">
      <c r="J544" s="15"/>
    </row>
    <row r="545" spans="10:10" x14ac:dyDescent="0.25">
      <c r="J545" s="15"/>
    </row>
    <row r="546" spans="10:10" x14ac:dyDescent="0.25">
      <c r="J546" s="15"/>
    </row>
    <row r="547" spans="10:10" x14ac:dyDescent="0.25">
      <c r="J547" s="15"/>
    </row>
    <row r="548" spans="10:10" x14ac:dyDescent="0.25">
      <c r="J548" s="15"/>
    </row>
    <row r="549" spans="10:10" x14ac:dyDescent="0.25">
      <c r="J549" s="15"/>
    </row>
    <row r="550" spans="10:10" x14ac:dyDescent="0.25">
      <c r="J550" s="15"/>
    </row>
    <row r="551" spans="10:10" x14ac:dyDescent="0.25">
      <c r="J551" s="15"/>
    </row>
    <row r="552" spans="10:10" x14ac:dyDescent="0.25">
      <c r="J552" s="15"/>
    </row>
    <row r="553" spans="10:10" x14ac:dyDescent="0.25">
      <c r="J553" s="15"/>
    </row>
    <row r="554" spans="10:10" x14ac:dyDescent="0.25">
      <c r="J554" s="15"/>
    </row>
    <row r="555" spans="10:10" x14ac:dyDescent="0.25">
      <c r="J555" s="15"/>
    </row>
    <row r="556" spans="10:10" x14ac:dyDescent="0.25">
      <c r="J556" s="15"/>
    </row>
    <row r="557" spans="10:10" x14ac:dyDescent="0.25">
      <c r="J557" s="15"/>
    </row>
    <row r="558" spans="10:10" x14ac:dyDescent="0.25">
      <c r="J558" s="15"/>
    </row>
    <row r="559" spans="10:10" x14ac:dyDescent="0.25">
      <c r="J559" s="15"/>
    </row>
    <row r="560" spans="10:10" x14ac:dyDescent="0.25">
      <c r="J560" s="15"/>
    </row>
    <row r="561" spans="10:10" x14ac:dyDescent="0.25">
      <c r="J561" s="15"/>
    </row>
    <row r="562" spans="10:10" x14ac:dyDescent="0.25">
      <c r="J562" s="15"/>
    </row>
    <row r="563" spans="10:10" x14ac:dyDescent="0.25">
      <c r="J563" s="15"/>
    </row>
    <row r="564" spans="10:10" x14ac:dyDescent="0.25">
      <c r="J564" s="15"/>
    </row>
    <row r="565" spans="10:10" x14ac:dyDescent="0.25">
      <c r="J565" s="15"/>
    </row>
    <row r="566" spans="10:10" x14ac:dyDescent="0.25">
      <c r="J566" s="15"/>
    </row>
    <row r="567" spans="10:10" x14ac:dyDescent="0.25">
      <c r="J567" s="15"/>
    </row>
    <row r="568" spans="10:10" x14ac:dyDescent="0.25">
      <c r="J568" s="15"/>
    </row>
    <row r="569" spans="10:10" x14ac:dyDescent="0.25">
      <c r="J569" s="15"/>
    </row>
    <row r="570" spans="10:10" x14ac:dyDescent="0.25">
      <c r="J570" s="15"/>
    </row>
    <row r="571" spans="10:10" x14ac:dyDescent="0.25">
      <c r="J571" s="15"/>
    </row>
    <row r="572" spans="10:10" x14ac:dyDescent="0.25">
      <c r="J572" s="15"/>
    </row>
    <row r="573" spans="10:10" x14ac:dyDescent="0.25">
      <c r="J573" s="15"/>
    </row>
    <row r="574" spans="10:10" x14ac:dyDescent="0.25">
      <c r="J574" s="15"/>
    </row>
    <row r="575" spans="10:10" x14ac:dyDescent="0.25">
      <c r="J575" s="15"/>
    </row>
    <row r="576" spans="10:10" x14ac:dyDescent="0.25">
      <c r="J576" s="15"/>
    </row>
    <row r="577" spans="10:10" x14ac:dyDescent="0.25">
      <c r="J577" s="15"/>
    </row>
    <row r="578" spans="10:10" x14ac:dyDescent="0.25">
      <c r="J578" s="15"/>
    </row>
    <row r="579" spans="10:10" x14ac:dyDescent="0.25">
      <c r="J579" s="15"/>
    </row>
    <row r="580" spans="10:10" x14ac:dyDescent="0.25">
      <c r="J580" s="15"/>
    </row>
    <row r="581" spans="10:10" x14ac:dyDescent="0.25">
      <c r="J581" s="15"/>
    </row>
    <row r="582" spans="10:10" x14ac:dyDescent="0.25">
      <c r="J582" s="15"/>
    </row>
    <row r="583" spans="10:10" x14ac:dyDescent="0.25">
      <c r="J583" s="15"/>
    </row>
    <row r="584" spans="10:10" x14ac:dyDescent="0.25">
      <c r="J584" s="15"/>
    </row>
    <row r="585" spans="10:10" x14ac:dyDescent="0.25">
      <c r="J585" s="15"/>
    </row>
    <row r="586" spans="10:10" x14ac:dyDescent="0.25">
      <c r="J586" s="15"/>
    </row>
    <row r="587" spans="10:10" x14ac:dyDescent="0.25">
      <c r="J587" s="15"/>
    </row>
    <row r="588" spans="10:10" x14ac:dyDescent="0.25">
      <c r="J588" s="15"/>
    </row>
    <row r="589" spans="10:10" x14ac:dyDescent="0.25">
      <c r="J589" s="15"/>
    </row>
    <row r="590" spans="10:10" x14ac:dyDescent="0.25">
      <c r="J590" s="15"/>
    </row>
    <row r="591" spans="10:10" x14ac:dyDescent="0.25">
      <c r="J591" s="15"/>
    </row>
    <row r="592" spans="10:10" x14ac:dyDescent="0.25">
      <c r="J592" s="15"/>
    </row>
    <row r="593" spans="10:10" x14ac:dyDescent="0.25">
      <c r="J593" s="15"/>
    </row>
    <row r="594" spans="10:10" x14ac:dyDescent="0.25">
      <c r="J594" s="15"/>
    </row>
    <row r="595" spans="10:10" x14ac:dyDescent="0.25">
      <c r="J595" s="15"/>
    </row>
    <row r="596" spans="10:10" x14ac:dyDescent="0.25">
      <c r="J596" s="15"/>
    </row>
    <row r="597" spans="10:10" x14ac:dyDescent="0.25">
      <c r="J597" s="15"/>
    </row>
    <row r="598" spans="10:10" x14ac:dyDescent="0.25">
      <c r="J598" s="15"/>
    </row>
    <row r="599" spans="10:10" x14ac:dyDescent="0.25">
      <c r="J599" s="15"/>
    </row>
    <row r="600" spans="10:10" x14ac:dyDescent="0.25">
      <c r="J600" s="15"/>
    </row>
    <row r="601" spans="10:10" x14ac:dyDescent="0.25">
      <c r="J601" s="15"/>
    </row>
    <row r="602" spans="10:10" x14ac:dyDescent="0.25">
      <c r="J602" s="15"/>
    </row>
    <row r="603" spans="10:10" x14ac:dyDescent="0.25">
      <c r="J603" s="15"/>
    </row>
    <row r="604" spans="10:10" x14ac:dyDescent="0.25">
      <c r="J604" s="15"/>
    </row>
    <row r="605" spans="10:10" x14ac:dyDescent="0.25">
      <c r="J605" s="15"/>
    </row>
    <row r="606" spans="10:10" x14ac:dyDescent="0.25">
      <c r="J606" s="15"/>
    </row>
    <row r="607" spans="10:10" x14ac:dyDescent="0.25">
      <c r="J607" s="15"/>
    </row>
    <row r="608" spans="10:10" x14ac:dyDescent="0.25">
      <c r="J608" s="15"/>
    </row>
    <row r="609" spans="10:10" x14ac:dyDescent="0.25">
      <c r="J609" s="15"/>
    </row>
    <row r="610" spans="10:10" x14ac:dyDescent="0.25">
      <c r="J610" s="15"/>
    </row>
    <row r="611" spans="10:10" x14ac:dyDescent="0.25">
      <c r="J611" s="15"/>
    </row>
    <row r="612" spans="10:10" x14ac:dyDescent="0.25">
      <c r="J612" s="15"/>
    </row>
    <row r="613" spans="10:10" x14ac:dyDescent="0.25">
      <c r="J613" s="15"/>
    </row>
    <row r="614" spans="10:10" x14ac:dyDescent="0.25">
      <c r="J614" s="15"/>
    </row>
    <row r="615" spans="10:10" x14ac:dyDescent="0.25">
      <c r="J615" s="15"/>
    </row>
    <row r="616" spans="10:10" x14ac:dyDescent="0.25">
      <c r="J616" s="15"/>
    </row>
    <row r="617" spans="10:10" x14ac:dyDescent="0.25">
      <c r="J617" s="15"/>
    </row>
    <row r="618" spans="10:10" x14ac:dyDescent="0.25">
      <c r="J618" s="15"/>
    </row>
    <row r="619" spans="10:10" x14ac:dyDescent="0.25">
      <c r="J619" s="15"/>
    </row>
    <row r="620" spans="10:10" x14ac:dyDescent="0.25">
      <c r="J620" s="15"/>
    </row>
    <row r="621" spans="10:10" x14ac:dyDescent="0.25">
      <c r="J621" s="15"/>
    </row>
    <row r="622" spans="10:10" x14ac:dyDescent="0.25">
      <c r="J622" s="15"/>
    </row>
    <row r="623" spans="10:10" x14ac:dyDescent="0.25">
      <c r="J623" s="15"/>
    </row>
    <row r="624" spans="10:10" x14ac:dyDescent="0.25">
      <c r="J624" s="15"/>
    </row>
    <row r="625" spans="10:10" x14ac:dyDescent="0.25">
      <c r="J625" s="15"/>
    </row>
    <row r="626" spans="10:10" x14ac:dyDescent="0.25">
      <c r="J626" s="15"/>
    </row>
    <row r="627" spans="10:10" x14ac:dyDescent="0.25">
      <c r="J627" s="15"/>
    </row>
    <row r="628" spans="10:10" x14ac:dyDescent="0.25">
      <c r="J628" s="15"/>
    </row>
    <row r="629" spans="10:10" x14ac:dyDescent="0.25">
      <c r="J629" s="15"/>
    </row>
    <row r="630" spans="10:10" x14ac:dyDescent="0.25">
      <c r="J630" s="15"/>
    </row>
    <row r="631" spans="10:10" x14ac:dyDescent="0.25">
      <c r="J631" s="15"/>
    </row>
    <row r="632" spans="10:10" x14ac:dyDescent="0.25">
      <c r="J632" s="15"/>
    </row>
    <row r="633" spans="10:10" x14ac:dyDescent="0.25">
      <c r="J633" s="15"/>
    </row>
    <row r="634" spans="10:10" x14ac:dyDescent="0.25">
      <c r="J634" s="15"/>
    </row>
    <row r="635" spans="10:10" x14ac:dyDescent="0.25">
      <c r="J635" s="15"/>
    </row>
    <row r="636" spans="10:10" x14ac:dyDescent="0.25">
      <c r="J636" s="15"/>
    </row>
    <row r="637" spans="10:10" x14ac:dyDescent="0.25">
      <c r="J637" s="15"/>
    </row>
    <row r="638" spans="10:10" x14ac:dyDescent="0.25">
      <c r="J638" s="15"/>
    </row>
    <row r="639" spans="10:10" x14ac:dyDescent="0.25">
      <c r="J639" s="15"/>
    </row>
    <row r="640" spans="10:10" x14ac:dyDescent="0.25">
      <c r="J640" s="15"/>
    </row>
    <row r="641" spans="10:10" x14ac:dyDescent="0.25">
      <c r="J641" s="15"/>
    </row>
    <row r="642" spans="10:10" x14ac:dyDescent="0.25">
      <c r="J642" s="15"/>
    </row>
    <row r="643" spans="10:10" x14ac:dyDescent="0.25">
      <c r="J643" s="15"/>
    </row>
    <row r="644" spans="10:10" x14ac:dyDescent="0.25">
      <c r="J644" s="15"/>
    </row>
    <row r="645" spans="10:10" x14ac:dyDescent="0.25">
      <c r="J645" s="15"/>
    </row>
    <row r="646" spans="10:10" x14ac:dyDescent="0.25">
      <c r="J646" s="15"/>
    </row>
    <row r="647" spans="10:10" x14ac:dyDescent="0.25">
      <c r="J647" s="15"/>
    </row>
    <row r="648" spans="10:10" x14ac:dyDescent="0.25">
      <c r="J648" s="15"/>
    </row>
    <row r="649" spans="10:10" x14ac:dyDescent="0.25">
      <c r="J649" s="15"/>
    </row>
    <row r="650" spans="10:10" x14ac:dyDescent="0.25">
      <c r="J650" s="15"/>
    </row>
    <row r="651" spans="10:10" x14ac:dyDescent="0.25">
      <c r="J651" s="15"/>
    </row>
    <row r="652" spans="10:10" x14ac:dyDescent="0.25">
      <c r="J652" s="15"/>
    </row>
    <row r="653" spans="10:10" x14ac:dyDescent="0.25">
      <c r="J653" s="15"/>
    </row>
    <row r="654" spans="10:10" x14ac:dyDescent="0.25">
      <c r="J654" s="15"/>
    </row>
    <row r="655" spans="10:10" x14ac:dyDescent="0.25">
      <c r="J655" s="15"/>
    </row>
    <row r="656" spans="10:10" x14ac:dyDescent="0.25">
      <c r="J656" s="15"/>
    </row>
    <row r="657" spans="10:10" x14ac:dyDescent="0.25">
      <c r="J657" s="15"/>
    </row>
    <row r="658" spans="10:10" x14ac:dyDescent="0.25">
      <c r="J658" s="15"/>
    </row>
    <row r="659" spans="10:10" x14ac:dyDescent="0.25">
      <c r="J659" s="15"/>
    </row>
    <row r="660" spans="10:10" x14ac:dyDescent="0.25">
      <c r="J660" s="15"/>
    </row>
    <row r="661" spans="10:10" x14ac:dyDescent="0.25">
      <c r="J661" s="15"/>
    </row>
    <row r="662" spans="10:10" x14ac:dyDescent="0.25">
      <c r="J662" s="15"/>
    </row>
    <row r="663" spans="10:10" x14ac:dyDescent="0.25">
      <c r="J663" s="15"/>
    </row>
    <row r="664" spans="10:10" x14ac:dyDescent="0.25">
      <c r="J664" s="15"/>
    </row>
    <row r="665" spans="10:10" x14ac:dyDescent="0.25">
      <c r="J665" s="15"/>
    </row>
    <row r="666" spans="10:10" x14ac:dyDescent="0.25">
      <c r="J666" s="15"/>
    </row>
    <row r="667" spans="10:10" x14ac:dyDescent="0.25">
      <c r="J667" s="15"/>
    </row>
    <row r="668" spans="10:10" x14ac:dyDescent="0.25">
      <c r="J668" s="15"/>
    </row>
    <row r="669" spans="10:10" x14ac:dyDescent="0.25">
      <c r="J669" s="15"/>
    </row>
    <row r="670" spans="10:10" x14ac:dyDescent="0.25">
      <c r="J670" s="15"/>
    </row>
    <row r="671" spans="10:10" x14ac:dyDescent="0.25">
      <c r="J671" s="15"/>
    </row>
    <row r="672" spans="10:10" x14ac:dyDescent="0.25">
      <c r="J672" s="15"/>
    </row>
    <row r="673" spans="10:10" x14ac:dyDescent="0.25">
      <c r="J673" s="15"/>
    </row>
    <row r="674" spans="10:10" x14ac:dyDescent="0.25">
      <c r="J674" s="15"/>
    </row>
    <row r="675" spans="10:10" x14ac:dyDescent="0.25">
      <c r="J675" s="15"/>
    </row>
    <row r="676" spans="10:10" x14ac:dyDescent="0.25">
      <c r="J676" s="15"/>
    </row>
    <row r="677" spans="10:10" x14ac:dyDescent="0.25">
      <c r="J677" s="15"/>
    </row>
    <row r="678" spans="10:10" x14ac:dyDescent="0.25">
      <c r="J678" s="15"/>
    </row>
    <row r="679" spans="10:10" x14ac:dyDescent="0.25">
      <c r="J679" s="15"/>
    </row>
    <row r="680" spans="10:10" x14ac:dyDescent="0.25">
      <c r="J680" s="15"/>
    </row>
    <row r="681" spans="10:10" x14ac:dyDescent="0.25">
      <c r="J681" s="15"/>
    </row>
    <row r="682" spans="10:10" x14ac:dyDescent="0.25">
      <c r="J682" s="15"/>
    </row>
    <row r="683" spans="10:10" x14ac:dyDescent="0.25">
      <c r="J683" s="15"/>
    </row>
    <row r="684" spans="10:10" x14ac:dyDescent="0.25">
      <c r="J684" s="15"/>
    </row>
    <row r="685" spans="10:10" x14ac:dyDescent="0.25">
      <c r="J685" s="15"/>
    </row>
    <row r="686" spans="10:10" x14ac:dyDescent="0.25">
      <c r="J686" s="15"/>
    </row>
    <row r="687" spans="10:10" x14ac:dyDescent="0.25">
      <c r="J687" s="15"/>
    </row>
    <row r="688" spans="10:10" x14ac:dyDescent="0.25">
      <c r="J688" s="15"/>
    </row>
    <row r="689" spans="10:10" x14ac:dyDescent="0.25">
      <c r="J689" s="15"/>
    </row>
    <row r="690" spans="10:10" x14ac:dyDescent="0.25">
      <c r="J690" s="15"/>
    </row>
    <row r="691" spans="10:10" x14ac:dyDescent="0.25">
      <c r="J691" s="15"/>
    </row>
    <row r="692" spans="10:10" x14ac:dyDescent="0.25">
      <c r="J692" s="15"/>
    </row>
    <row r="693" spans="10:10" x14ac:dyDescent="0.25">
      <c r="J693" s="15"/>
    </row>
    <row r="694" spans="10:10" x14ac:dyDescent="0.25">
      <c r="J694" s="15"/>
    </row>
    <row r="695" spans="10:10" x14ac:dyDescent="0.25">
      <c r="J695" s="15"/>
    </row>
    <row r="696" spans="10:10" x14ac:dyDescent="0.25">
      <c r="J696" s="15"/>
    </row>
    <row r="697" spans="10:10" x14ac:dyDescent="0.25">
      <c r="J697" s="15"/>
    </row>
    <row r="698" spans="10:10" x14ac:dyDescent="0.25">
      <c r="J698" s="15"/>
    </row>
    <row r="699" spans="10:10" x14ac:dyDescent="0.25">
      <c r="J699" s="15"/>
    </row>
    <row r="700" spans="10:10" x14ac:dyDescent="0.25">
      <c r="J700" s="15"/>
    </row>
    <row r="701" spans="10:10" x14ac:dyDescent="0.25">
      <c r="J701" s="15"/>
    </row>
    <row r="702" spans="10:10" x14ac:dyDescent="0.25">
      <c r="J702" s="15"/>
    </row>
    <row r="703" spans="10:10" x14ac:dyDescent="0.25">
      <c r="J703" s="15"/>
    </row>
    <row r="704" spans="10:10" x14ac:dyDescent="0.25">
      <c r="J704" s="15"/>
    </row>
    <row r="705" spans="10:10" x14ac:dyDescent="0.25">
      <c r="J705" s="15"/>
    </row>
    <row r="706" spans="10:10" x14ac:dyDescent="0.25">
      <c r="J706" s="15"/>
    </row>
    <row r="707" spans="10:10" x14ac:dyDescent="0.25">
      <c r="J707" s="15"/>
    </row>
    <row r="708" spans="10:10" x14ac:dyDescent="0.25">
      <c r="J708" s="15"/>
    </row>
    <row r="709" spans="10:10" x14ac:dyDescent="0.25">
      <c r="J709" s="15"/>
    </row>
    <row r="710" spans="10:10" x14ac:dyDescent="0.25">
      <c r="J710" s="15"/>
    </row>
    <row r="711" spans="10:10" x14ac:dyDescent="0.25">
      <c r="J711" s="15"/>
    </row>
    <row r="712" spans="10:10" x14ac:dyDescent="0.25">
      <c r="J712" s="15"/>
    </row>
    <row r="713" spans="10:10" x14ac:dyDescent="0.25">
      <c r="J713" s="15"/>
    </row>
    <row r="714" spans="10:10" x14ac:dyDescent="0.25">
      <c r="J714" s="15"/>
    </row>
    <row r="715" spans="10:10" x14ac:dyDescent="0.25">
      <c r="J715" s="15"/>
    </row>
    <row r="716" spans="10:10" x14ac:dyDescent="0.25">
      <c r="J716" s="15"/>
    </row>
    <row r="717" spans="10:10" x14ac:dyDescent="0.25">
      <c r="J717" s="15"/>
    </row>
    <row r="718" spans="10:10" x14ac:dyDescent="0.25">
      <c r="J718" s="15"/>
    </row>
    <row r="719" spans="10:10" x14ac:dyDescent="0.25">
      <c r="J719" s="15"/>
    </row>
    <row r="720" spans="10:10" x14ac:dyDescent="0.25">
      <c r="J720" s="15"/>
    </row>
    <row r="721" spans="10:10" x14ac:dyDescent="0.25">
      <c r="J721" s="15"/>
    </row>
    <row r="722" spans="10:10" x14ac:dyDescent="0.25">
      <c r="J722" s="15"/>
    </row>
    <row r="723" spans="10:10" x14ac:dyDescent="0.25">
      <c r="J723" s="15"/>
    </row>
    <row r="724" spans="10:10" x14ac:dyDescent="0.25">
      <c r="J724" s="15"/>
    </row>
    <row r="725" spans="10:10" x14ac:dyDescent="0.25">
      <c r="J725" s="15"/>
    </row>
    <row r="726" spans="10:10" x14ac:dyDescent="0.25">
      <c r="J726" s="15"/>
    </row>
    <row r="727" spans="10:10" x14ac:dyDescent="0.25">
      <c r="J727" s="15"/>
    </row>
    <row r="728" spans="10:10" x14ac:dyDescent="0.25">
      <c r="J728" s="15"/>
    </row>
    <row r="729" spans="10:10" x14ac:dyDescent="0.25">
      <c r="J729" s="15"/>
    </row>
    <row r="730" spans="10:10" x14ac:dyDescent="0.25">
      <c r="J730" s="15"/>
    </row>
    <row r="731" spans="10:10" x14ac:dyDescent="0.25">
      <c r="J731" s="15"/>
    </row>
    <row r="732" spans="10:10" x14ac:dyDescent="0.25">
      <c r="J732" s="15"/>
    </row>
    <row r="733" spans="10:10" x14ac:dyDescent="0.25">
      <c r="J733" s="15"/>
    </row>
    <row r="734" spans="10:10" x14ac:dyDescent="0.25">
      <c r="J734" s="15"/>
    </row>
    <row r="735" spans="10:10" x14ac:dyDescent="0.25">
      <c r="J735" s="15"/>
    </row>
    <row r="736" spans="10:10" x14ac:dyDescent="0.25">
      <c r="J736" s="15"/>
    </row>
    <row r="737" spans="10:10" x14ac:dyDescent="0.25">
      <c r="J737" s="15"/>
    </row>
    <row r="738" spans="10:10" x14ac:dyDescent="0.25">
      <c r="J738" s="15"/>
    </row>
    <row r="739" spans="10:10" x14ac:dyDescent="0.25">
      <c r="J739" s="15"/>
    </row>
    <row r="740" spans="10:10" x14ac:dyDescent="0.25">
      <c r="J740" s="15"/>
    </row>
    <row r="741" spans="10:10" x14ac:dyDescent="0.25">
      <c r="J741" s="15"/>
    </row>
    <row r="742" spans="10:10" x14ac:dyDescent="0.25">
      <c r="J742" s="15"/>
    </row>
    <row r="743" spans="10:10" x14ac:dyDescent="0.25">
      <c r="J743" s="15"/>
    </row>
    <row r="744" spans="10:10" x14ac:dyDescent="0.25">
      <c r="J744" s="15"/>
    </row>
    <row r="745" spans="10:10" x14ac:dyDescent="0.25">
      <c r="J745" s="15"/>
    </row>
    <row r="746" spans="10:10" x14ac:dyDescent="0.25">
      <c r="J746" s="15"/>
    </row>
    <row r="747" spans="10:10" x14ac:dyDescent="0.25">
      <c r="J747" s="15"/>
    </row>
    <row r="748" spans="10:10" x14ac:dyDescent="0.25">
      <c r="J748" s="15"/>
    </row>
    <row r="749" spans="10:10" x14ac:dyDescent="0.25">
      <c r="J749" s="15"/>
    </row>
    <row r="750" spans="10:10" x14ac:dyDescent="0.25">
      <c r="J750" s="15"/>
    </row>
    <row r="751" spans="10:10" x14ac:dyDescent="0.25">
      <c r="J751" s="15"/>
    </row>
    <row r="752" spans="10:10" x14ac:dyDescent="0.25">
      <c r="J752" s="15"/>
    </row>
    <row r="753" spans="10:10" x14ac:dyDescent="0.25">
      <c r="J753" s="15"/>
    </row>
    <row r="754" spans="10:10" x14ac:dyDescent="0.25">
      <c r="J754" s="15"/>
    </row>
    <row r="755" spans="10:10" x14ac:dyDescent="0.25">
      <c r="J755" s="15"/>
    </row>
    <row r="756" spans="10:10" x14ac:dyDescent="0.25">
      <c r="J756" s="15"/>
    </row>
    <row r="757" spans="10:10" x14ac:dyDescent="0.25">
      <c r="J757" s="15"/>
    </row>
    <row r="758" spans="10:10" x14ac:dyDescent="0.25">
      <c r="J758" s="15"/>
    </row>
    <row r="759" spans="10:10" x14ac:dyDescent="0.25">
      <c r="J759" s="15"/>
    </row>
    <row r="760" spans="10:10" x14ac:dyDescent="0.25">
      <c r="J760" s="15"/>
    </row>
    <row r="761" spans="10:10" x14ac:dyDescent="0.25">
      <c r="J761" s="15"/>
    </row>
    <row r="762" spans="10:10" x14ac:dyDescent="0.25">
      <c r="J762" s="15"/>
    </row>
    <row r="763" spans="10:10" x14ac:dyDescent="0.25">
      <c r="J763" s="15"/>
    </row>
    <row r="764" spans="10:10" x14ac:dyDescent="0.25">
      <c r="J764" s="15"/>
    </row>
    <row r="765" spans="10:10" x14ac:dyDescent="0.25">
      <c r="J765" s="15"/>
    </row>
    <row r="766" spans="10:10" x14ac:dyDescent="0.25">
      <c r="J766" s="15"/>
    </row>
    <row r="767" spans="10:10" x14ac:dyDescent="0.25">
      <c r="J767" s="15"/>
    </row>
    <row r="768" spans="10:10" x14ac:dyDescent="0.25">
      <c r="J768" s="15"/>
    </row>
    <row r="769" spans="10:10" x14ac:dyDescent="0.25">
      <c r="J769" s="15"/>
    </row>
    <row r="770" spans="10:10" x14ac:dyDescent="0.25">
      <c r="J770" s="15"/>
    </row>
    <row r="771" spans="10:10" x14ac:dyDescent="0.25">
      <c r="J771" s="15"/>
    </row>
    <row r="772" spans="10:10" x14ac:dyDescent="0.25">
      <c r="J772" s="15"/>
    </row>
    <row r="773" spans="10:10" x14ac:dyDescent="0.25">
      <c r="J773" s="15"/>
    </row>
    <row r="774" spans="10:10" x14ac:dyDescent="0.25">
      <c r="J774" s="15"/>
    </row>
    <row r="775" spans="10:10" x14ac:dyDescent="0.25">
      <c r="J775" s="15"/>
    </row>
    <row r="776" spans="10:10" x14ac:dyDescent="0.25">
      <c r="J776" s="15"/>
    </row>
    <row r="777" spans="10:10" x14ac:dyDescent="0.25">
      <c r="J777" s="15"/>
    </row>
    <row r="778" spans="10:10" x14ac:dyDescent="0.25">
      <c r="J778" s="15"/>
    </row>
    <row r="779" spans="10:10" x14ac:dyDescent="0.25">
      <c r="J779" s="15"/>
    </row>
    <row r="780" spans="10:10" x14ac:dyDescent="0.25">
      <c r="J780" s="15"/>
    </row>
    <row r="781" spans="10:10" x14ac:dyDescent="0.25">
      <c r="J781" s="15"/>
    </row>
    <row r="782" spans="10:10" x14ac:dyDescent="0.25">
      <c r="J782" s="15"/>
    </row>
    <row r="783" spans="10:10" x14ac:dyDescent="0.25">
      <c r="J783" s="15"/>
    </row>
    <row r="784" spans="10:10" x14ac:dyDescent="0.25">
      <c r="J784" s="15"/>
    </row>
    <row r="785" spans="10:10" x14ac:dyDescent="0.25">
      <c r="J785" s="15"/>
    </row>
    <row r="786" spans="10:10" x14ac:dyDescent="0.25">
      <c r="J786" s="15"/>
    </row>
    <row r="787" spans="10:10" x14ac:dyDescent="0.25">
      <c r="J787" s="15"/>
    </row>
    <row r="788" spans="10:10" x14ac:dyDescent="0.25">
      <c r="J788" s="15"/>
    </row>
    <row r="789" spans="10:10" x14ac:dyDescent="0.25">
      <c r="J789" s="15"/>
    </row>
    <row r="790" spans="10:10" x14ac:dyDescent="0.25">
      <c r="J790" s="15"/>
    </row>
    <row r="791" spans="10:10" x14ac:dyDescent="0.25">
      <c r="J791" s="15"/>
    </row>
    <row r="792" spans="10:10" x14ac:dyDescent="0.25">
      <c r="J792" s="15"/>
    </row>
    <row r="793" spans="10:10" x14ac:dyDescent="0.25">
      <c r="J793" s="15"/>
    </row>
    <row r="794" spans="10:10" x14ac:dyDescent="0.25">
      <c r="J794" s="15"/>
    </row>
    <row r="795" spans="10:10" x14ac:dyDescent="0.25">
      <c r="J795" s="15"/>
    </row>
    <row r="796" spans="10:10" x14ac:dyDescent="0.25">
      <c r="J796" s="15"/>
    </row>
    <row r="797" spans="10:10" x14ac:dyDescent="0.25">
      <c r="J797" s="15"/>
    </row>
    <row r="798" spans="10:10" x14ac:dyDescent="0.25">
      <c r="J798" s="15"/>
    </row>
    <row r="799" spans="10:10" x14ac:dyDescent="0.25">
      <c r="J799" s="15"/>
    </row>
    <row r="800" spans="10:10" x14ac:dyDescent="0.25">
      <c r="J800" s="15"/>
    </row>
    <row r="801" spans="10:10" x14ac:dyDescent="0.25">
      <c r="J801" s="15"/>
    </row>
    <row r="802" spans="10:10" x14ac:dyDescent="0.25">
      <c r="J802" s="15"/>
    </row>
    <row r="803" spans="10:10" x14ac:dyDescent="0.25">
      <c r="J803" s="15"/>
    </row>
    <row r="804" spans="10:10" x14ac:dyDescent="0.25">
      <c r="J804" s="15"/>
    </row>
    <row r="805" spans="10:10" x14ac:dyDescent="0.25">
      <c r="J805" s="15"/>
    </row>
    <row r="806" spans="10:10" x14ac:dyDescent="0.25">
      <c r="J806" s="15"/>
    </row>
    <row r="807" spans="10:10" x14ac:dyDescent="0.25">
      <c r="J807" s="15"/>
    </row>
    <row r="808" spans="10:10" x14ac:dyDescent="0.25">
      <c r="J808" s="15"/>
    </row>
    <row r="809" spans="10:10" x14ac:dyDescent="0.25">
      <c r="J809" s="15"/>
    </row>
    <row r="810" spans="10:10" x14ac:dyDescent="0.25">
      <c r="J810" s="15"/>
    </row>
    <row r="811" spans="10:10" x14ac:dyDescent="0.25">
      <c r="J811" s="15"/>
    </row>
    <row r="812" spans="10:10" x14ac:dyDescent="0.25">
      <c r="J812" s="15"/>
    </row>
    <row r="813" spans="10:10" x14ac:dyDescent="0.25">
      <c r="J813" s="15"/>
    </row>
    <row r="814" spans="10:10" x14ac:dyDescent="0.25">
      <c r="J814" s="15"/>
    </row>
    <row r="815" spans="10:10" x14ac:dyDescent="0.25">
      <c r="J815" s="15"/>
    </row>
    <row r="816" spans="10:10" x14ac:dyDescent="0.25">
      <c r="J816" s="15"/>
    </row>
    <row r="817" spans="10:10" x14ac:dyDescent="0.25">
      <c r="J817" s="15"/>
    </row>
    <row r="818" spans="10:10" x14ac:dyDescent="0.25">
      <c r="J818" s="15"/>
    </row>
    <row r="819" spans="10:10" x14ac:dyDescent="0.25">
      <c r="J819" s="15"/>
    </row>
    <row r="820" spans="10:10" x14ac:dyDescent="0.25">
      <c r="J820" s="15"/>
    </row>
    <row r="821" spans="10:10" x14ac:dyDescent="0.25">
      <c r="J821" s="15"/>
    </row>
    <row r="822" spans="10:10" x14ac:dyDescent="0.25">
      <c r="J822" s="15"/>
    </row>
    <row r="823" spans="10:10" x14ac:dyDescent="0.25">
      <c r="J823" s="15"/>
    </row>
    <row r="824" spans="10:10" x14ac:dyDescent="0.25">
      <c r="J824" s="15"/>
    </row>
    <row r="825" spans="10:10" x14ac:dyDescent="0.25">
      <c r="J825" s="15"/>
    </row>
    <row r="826" spans="10:10" x14ac:dyDescent="0.25">
      <c r="J826" s="15"/>
    </row>
    <row r="827" spans="10:10" x14ac:dyDescent="0.25">
      <c r="J827" s="15"/>
    </row>
    <row r="828" spans="10:10" x14ac:dyDescent="0.25">
      <c r="J828" s="15"/>
    </row>
    <row r="829" spans="10:10" x14ac:dyDescent="0.25">
      <c r="J829" s="15"/>
    </row>
    <row r="830" spans="10:10" x14ac:dyDescent="0.25">
      <c r="J830" s="15"/>
    </row>
    <row r="831" spans="10:10" x14ac:dyDescent="0.25">
      <c r="J831" s="15"/>
    </row>
    <row r="832" spans="10:10" x14ac:dyDescent="0.25">
      <c r="J832" s="15"/>
    </row>
    <row r="833" spans="10:10" x14ac:dyDescent="0.25">
      <c r="J833" s="15"/>
    </row>
    <row r="834" spans="10:10" x14ac:dyDescent="0.25">
      <c r="J834" s="15"/>
    </row>
    <row r="835" spans="10:10" x14ac:dyDescent="0.25">
      <c r="J835" s="15"/>
    </row>
    <row r="836" spans="10:10" x14ac:dyDescent="0.25">
      <c r="J836" s="15"/>
    </row>
    <row r="837" spans="10:10" x14ac:dyDescent="0.25">
      <c r="J837" s="15"/>
    </row>
    <row r="838" spans="10:10" x14ac:dyDescent="0.25">
      <c r="J838" s="15"/>
    </row>
    <row r="839" spans="10:10" x14ac:dyDescent="0.25">
      <c r="J839" s="15"/>
    </row>
    <row r="840" spans="10:10" x14ac:dyDescent="0.25">
      <c r="J840" s="15"/>
    </row>
    <row r="841" spans="10:10" x14ac:dyDescent="0.25">
      <c r="J841" s="15"/>
    </row>
    <row r="842" spans="10:10" x14ac:dyDescent="0.25">
      <c r="J842" s="15"/>
    </row>
    <row r="843" spans="10:10" x14ac:dyDescent="0.25">
      <c r="J843" s="15"/>
    </row>
    <row r="844" spans="10:10" x14ac:dyDescent="0.25">
      <c r="J844" s="15"/>
    </row>
    <row r="845" spans="10:10" x14ac:dyDescent="0.25">
      <c r="J845" s="15"/>
    </row>
    <row r="846" spans="10:10" x14ac:dyDescent="0.25">
      <c r="J846" s="15"/>
    </row>
    <row r="847" spans="10:10" x14ac:dyDescent="0.25">
      <c r="J847" s="15"/>
    </row>
    <row r="848" spans="10:10" x14ac:dyDescent="0.25">
      <c r="J848" s="15"/>
    </row>
    <row r="849" spans="10:10" x14ac:dyDescent="0.25">
      <c r="J849" s="15"/>
    </row>
    <row r="850" spans="10:10" x14ac:dyDescent="0.25">
      <c r="J850" s="15"/>
    </row>
    <row r="851" spans="10:10" x14ac:dyDescent="0.25">
      <c r="J851" s="15"/>
    </row>
    <row r="852" spans="10:10" x14ac:dyDescent="0.25">
      <c r="J852" s="15"/>
    </row>
    <row r="853" spans="10:10" x14ac:dyDescent="0.25">
      <c r="J853" s="15"/>
    </row>
    <row r="854" spans="10:10" x14ac:dyDescent="0.25">
      <c r="J854" s="15"/>
    </row>
    <row r="855" spans="10:10" x14ac:dyDescent="0.25">
      <c r="J855" s="15"/>
    </row>
    <row r="856" spans="10:10" x14ac:dyDescent="0.25">
      <c r="J856" s="15"/>
    </row>
    <row r="857" spans="10:10" x14ac:dyDescent="0.25">
      <c r="J857" s="15"/>
    </row>
    <row r="858" spans="10:10" x14ac:dyDescent="0.25">
      <c r="J858" s="15"/>
    </row>
    <row r="859" spans="10:10" x14ac:dyDescent="0.25">
      <c r="J859" s="15"/>
    </row>
    <row r="860" spans="10:10" x14ac:dyDescent="0.25">
      <c r="J860" s="15"/>
    </row>
    <row r="861" spans="10:10" x14ac:dyDescent="0.25">
      <c r="J861" s="15"/>
    </row>
    <row r="862" spans="10:10" x14ac:dyDescent="0.25">
      <c r="J862" s="15"/>
    </row>
    <row r="863" spans="10:10" x14ac:dyDescent="0.25">
      <c r="J863" s="15"/>
    </row>
    <row r="864" spans="10:10" x14ac:dyDescent="0.25">
      <c r="J864" s="15"/>
    </row>
    <row r="865" spans="10:10" x14ac:dyDescent="0.25">
      <c r="J865" s="15"/>
    </row>
    <row r="866" spans="10:10" x14ac:dyDescent="0.25">
      <c r="J866" s="15"/>
    </row>
    <row r="867" spans="10:10" x14ac:dyDescent="0.25">
      <c r="J867" s="15"/>
    </row>
    <row r="868" spans="10:10" x14ac:dyDescent="0.25">
      <c r="J868" s="15"/>
    </row>
    <row r="869" spans="10:10" x14ac:dyDescent="0.25">
      <c r="J869" s="15"/>
    </row>
    <row r="870" spans="10:10" x14ac:dyDescent="0.25">
      <c r="J870" s="15"/>
    </row>
    <row r="871" spans="10:10" x14ac:dyDescent="0.25">
      <c r="J871" s="15"/>
    </row>
    <row r="872" spans="10:10" x14ac:dyDescent="0.25">
      <c r="J872" s="15"/>
    </row>
    <row r="873" spans="10:10" x14ac:dyDescent="0.25">
      <c r="J873" s="15"/>
    </row>
    <row r="874" spans="10:10" x14ac:dyDescent="0.25">
      <c r="J874" s="15"/>
    </row>
    <row r="875" spans="10:10" x14ac:dyDescent="0.25">
      <c r="J875" s="15"/>
    </row>
    <row r="876" spans="10:10" x14ac:dyDescent="0.25">
      <c r="J876" s="15"/>
    </row>
    <row r="877" spans="10:10" x14ac:dyDescent="0.25">
      <c r="J877" s="15"/>
    </row>
    <row r="878" spans="10:10" x14ac:dyDescent="0.25">
      <c r="J878" s="15"/>
    </row>
    <row r="879" spans="10:10" x14ac:dyDescent="0.25">
      <c r="J879" s="15"/>
    </row>
    <row r="880" spans="10:10" x14ac:dyDescent="0.25">
      <c r="J880" s="15"/>
    </row>
    <row r="881" spans="10:10" x14ac:dyDescent="0.25">
      <c r="J881" s="15"/>
    </row>
    <row r="882" spans="10:10" x14ac:dyDescent="0.25">
      <c r="J882" s="15"/>
    </row>
    <row r="883" spans="10:10" x14ac:dyDescent="0.25">
      <c r="J883" s="15"/>
    </row>
    <row r="884" spans="10:10" x14ac:dyDescent="0.25">
      <c r="J884" s="15"/>
    </row>
    <row r="885" spans="10:10" x14ac:dyDescent="0.25">
      <c r="J885" s="15"/>
    </row>
    <row r="886" spans="10:10" x14ac:dyDescent="0.25">
      <c r="J886" s="15"/>
    </row>
    <row r="887" spans="10:10" x14ac:dyDescent="0.25">
      <c r="J887" s="15"/>
    </row>
    <row r="888" spans="10:10" x14ac:dyDescent="0.25">
      <c r="J888" s="15"/>
    </row>
    <row r="889" spans="10:10" x14ac:dyDescent="0.25">
      <c r="J889" s="15"/>
    </row>
    <row r="890" spans="10:10" x14ac:dyDescent="0.25">
      <c r="J890" s="15"/>
    </row>
    <row r="891" spans="10:10" x14ac:dyDescent="0.25">
      <c r="J891" s="15"/>
    </row>
    <row r="892" spans="10:10" x14ac:dyDescent="0.25">
      <c r="J892" s="15"/>
    </row>
    <row r="893" spans="10:10" x14ac:dyDescent="0.25">
      <c r="J893" s="15"/>
    </row>
    <row r="894" spans="10:10" x14ac:dyDescent="0.25">
      <c r="J894" s="15"/>
    </row>
    <row r="895" spans="10:10" x14ac:dyDescent="0.25">
      <c r="J895" s="15"/>
    </row>
    <row r="896" spans="10:10" x14ac:dyDescent="0.25">
      <c r="J896" s="15"/>
    </row>
    <row r="897" spans="10:10" x14ac:dyDescent="0.25">
      <c r="J897" s="15"/>
    </row>
    <row r="898" spans="10:10" x14ac:dyDescent="0.25">
      <c r="J898" s="15"/>
    </row>
    <row r="899" spans="10:10" x14ac:dyDescent="0.25">
      <c r="J899" s="15"/>
    </row>
    <row r="900" spans="10:10" x14ac:dyDescent="0.25">
      <c r="J900" s="15"/>
    </row>
    <row r="901" spans="10:10" x14ac:dyDescent="0.25">
      <c r="J901" s="15"/>
    </row>
    <row r="902" spans="10:10" x14ac:dyDescent="0.25">
      <c r="J902" s="15"/>
    </row>
    <row r="903" spans="10:10" x14ac:dyDescent="0.25">
      <c r="J903" s="15"/>
    </row>
    <row r="904" spans="10:10" x14ac:dyDescent="0.25">
      <c r="J904" s="15"/>
    </row>
    <row r="905" spans="10:10" x14ac:dyDescent="0.25">
      <c r="J905" s="15"/>
    </row>
    <row r="906" spans="10:10" x14ac:dyDescent="0.25">
      <c r="J906" s="15"/>
    </row>
    <row r="907" spans="10:10" x14ac:dyDescent="0.25">
      <c r="J907" s="15"/>
    </row>
    <row r="908" spans="10:10" x14ac:dyDescent="0.25">
      <c r="J908" s="15"/>
    </row>
    <row r="909" spans="10:10" x14ac:dyDescent="0.25">
      <c r="J909" s="15"/>
    </row>
    <row r="910" spans="10:10" x14ac:dyDescent="0.25">
      <c r="J910" s="15"/>
    </row>
    <row r="911" spans="10:10" x14ac:dyDescent="0.25">
      <c r="J911" s="15"/>
    </row>
    <row r="912" spans="10:10" x14ac:dyDescent="0.25">
      <c r="J912" s="15"/>
    </row>
    <row r="913" spans="10:10" x14ac:dyDescent="0.25">
      <c r="J913" s="15"/>
    </row>
    <row r="914" spans="10:10" x14ac:dyDescent="0.25">
      <c r="J914" s="15"/>
    </row>
    <row r="915" spans="10:10" x14ac:dyDescent="0.25">
      <c r="J915" s="15"/>
    </row>
    <row r="916" spans="10:10" x14ac:dyDescent="0.25">
      <c r="J916" s="15"/>
    </row>
    <row r="917" spans="10:10" x14ac:dyDescent="0.25">
      <c r="J917" s="15"/>
    </row>
    <row r="918" spans="10:10" x14ac:dyDescent="0.25">
      <c r="J918" s="15"/>
    </row>
    <row r="919" spans="10:10" x14ac:dyDescent="0.25">
      <c r="J919" s="15"/>
    </row>
    <row r="920" spans="10:10" x14ac:dyDescent="0.25">
      <c r="J920" s="15"/>
    </row>
    <row r="921" spans="10:10" x14ac:dyDescent="0.25">
      <c r="J921" s="15"/>
    </row>
    <row r="922" spans="10:10" x14ac:dyDescent="0.25">
      <c r="J922" s="15"/>
    </row>
    <row r="923" spans="10:10" x14ac:dyDescent="0.25">
      <c r="J923" s="15"/>
    </row>
    <row r="924" spans="10:10" x14ac:dyDescent="0.25">
      <c r="J924" s="15"/>
    </row>
    <row r="925" spans="10:10" x14ac:dyDescent="0.25">
      <c r="J925" s="15"/>
    </row>
    <row r="926" spans="10:10" x14ac:dyDescent="0.25">
      <c r="J926" s="15"/>
    </row>
    <row r="927" spans="10:10" x14ac:dyDescent="0.25">
      <c r="J927" s="15"/>
    </row>
    <row r="928" spans="10:10" x14ac:dyDescent="0.25">
      <c r="J928" s="15"/>
    </row>
    <row r="929" spans="10:10" x14ac:dyDescent="0.25">
      <c r="J929" s="15"/>
    </row>
    <row r="930" spans="10:10" x14ac:dyDescent="0.25">
      <c r="J930" s="15"/>
    </row>
    <row r="931" spans="10:10" x14ac:dyDescent="0.25">
      <c r="J931" s="15"/>
    </row>
    <row r="932" spans="10:10" x14ac:dyDescent="0.25">
      <c r="J932" s="15"/>
    </row>
    <row r="933" spans="10:10" x14ac:dyDescent="0.25">
      <c r="J933" s="15"/>
    </row>
    <row r="934" spans="10:10" x14ac:dyDescent="0.25">
      <c r="J934" s="15"/>
    </row>
    <row r="935" spans="10:10" x14ac:dyDescent="0.25">
      <c r="J935" s="15"/>
    </row>
    <row r="936" spans="10:10" x14ac:dyDescent="0.25">
      <c r="J936" s="15"/>
    </row>
    <row r="937" spans="10:10" x14ac:dyDescent="0.25">
      <c r="J937" s="15"/>
    </row>
    <row r="938" spans="10:10" x14ac:dyDescent="0.25">
      <c r="J938" s="15"/>
    </row>
    <row r="939" spans="10:10" x14ac:dyDescent="0.25">
      <c r="J939" s="15"/>
    </row>
    <row r="940" spans="10:10" x14ac:dyDescent="0.25">
      <c r="J940" s="15"/>
    </row>
    <row r="941" spans="10:10" x14ac:dyDescent="0.25">
      <c r="J941" s="15"/>
    </row>
    <row r="942" spans="10:10" x14ac:dyDescent="0.25">
      <c r="J942" s="15"/>
    </row>
    <row r="943" spans="10:10" x14ac:dyDescent="0.25">
      <c r="J943" s="15"/>
    </row>
    <row r="944" spans="10:10" x14ac:dyDescent="0.25">
      <c r="J944" s="15"/>
    </row>
    <row r="945" spans="10:10" x14ac:dyDescent="0.25">
      <c r="J945" s="15"/>
    </row>
    <row r="946" spans="10:10" x14ac:dyDescent="0.25">
      <c r="J946" s="15"/>
    </row>
    <row r="947" spans="10:10" x14ac:dyDescent="0.25">
      <c r="J947" s="15"/>
    </row>
    <row r="948" spans="10:10" x14ac:dyDescent="0.25">
      <c r="J948" s="15"/>
    </row>
    <row r="949" spans="10:10" x14ac:dyDescent="0.25">
      <c r="J949" s="15"/>
    </row>
    <row r="950" spans="10:10" x14ac:dyDescent="0.25">
      <c r="J950" s="15"/>
    </row>
    <row r="951" spans="10:10" x14ac:dyDescent="0.25">
      <c r="J951" s="15"/>
    </row>
    <row r="952" spans="10:10" x14ac:dyDescent="0.25">
      <c r="J952" s="15"/>
    </row>
    <row r="953" spans="10:10" x14ac:dyDescent="0.25">
      <c r="J953" s="15"/>
    </row>
    <row r="954" spans="10:10" x14ac:dyDescent="0.25">
      <c r="J954" s="15"/>
    </row>
    <row r="955" spans="10:10" x14ac:dyDescent="0.25">
      <c r="J955" s="15"/>
    </row>
    <row r="956" spans="10:10" x14ac:dyDescent="0.25">
      <c r="J956" s="15"/>
    </row>
    <row r="957" spans="10:10" x14ac:dyDescent="0.25">
      <c r="J957" s="15"/>
    </row>
    <row r="958" spans="10:10" x14ac:dyDescent="0.25">
      <c r="J958" s="15"/>
    </row>
    <row r="959" spans="10:10" x14ac:dyDescent="0.25">
      <c r="J959" s="15"/>
    </row>
    <row r="960" spans="10:10" x14ac:dyDescent="0.25">
      <c r="J960" s="15"/>
    </row>
    <row r="961" spans="10:10" x14ac:dyDescent="0.25">
      <c r="J961" s="15"/>
    </row>
    <row r="962" spans="10:10" x14ac:dyDescent="0.25">
      <c r="J962" s="15"/>
    </row>
    <row r="963" spans="10:10" x14ac:dyDescent="0.25">
      <c r="J963" s="15"/>
    </row>
    <row r="964" spans="10:10" x14ac:dyDescent="0.25">
      <c r="J964" s="15"/>
    </row>
    <row r="965" spans="10:10" x14ac:dyDescent="0.25">
      <c r="J965" s="15"/>
    </row>
    <row r="966" spans="10:10" x14ac:dyDescent="0.25">
      <c r="J966" s="15"/>
    </row>
    <row r="967" spans="10:10" x14ac:dyDescent="0.25">
      <c r="J967" s="15"/>
    </row>
    <row r="968" spans="10:10" x14ac:dyDescent="0.25">
      <c r="J968" s="15"/>
    </row>
    <row r="969" spans="10:10" x14ac:dyDescent="0.25">
      <c r="J969" s="15"/>
    </row>
    <row r="970" spans="10:10" x14ac:dyDescent="0.25">
      <c r="J970" s="15"/>
    </row>
    <row r="971" spans="10:10" x14ac:dyDescent="0.25">
      <c r="J971" s="15"/>
    </row>
    <row r="972" spans="10:10" x14ac:dyDescent="0.25">
      <c r="J972" s="15"/>
    </row>
    <row r="973" spans="10:10" x14ac:dyDescent="0.25">
      <c r="J973" s="15"/>
    </row>
    <row r="974" spans="10:10" x14ac:dyDescent="0.25">
      <c r="J974" s="15"/>
    </row>
    <row r="975" spans="10:10" x14ac:dyDescent="0.25">
      <c r="J975" s="15"/>
    </row>
    <row r="976" spans="10:10" x14ac:dyDescent="0.25">
      <c r="J976" s="15"/>
    </row>
    <row r="977" spans="10:10" x14ac:dyDescent="0.25">
      <c r="J977" s="15"/>
    </row>
    <row r="978" spans="10:10" x14ac:dyDescent="0.25">
      <c r="J978" s="15"/>
    </row>
    <row r="979" spans="10:10" x14ac:dyDescent="0.25">
      <c r="J979" s="15"/>
    </row>
    <row r="980" spans="10:10" x14ac:dyDescent="0.25">
      <c r="J980" s="15"/>
    </row>
    <row r="981" spans="10:10" x14ac:dyDescent="0.25">
      <c r="J981" s="15"/>
    </row>
    <row r="982" spans="10:10" x14ac:dyDescent="0.25">
      <c r="J982" s="15"/>
    </row>
    <row r="983" spans="10:10" x14ac:dyDescent="0.25">
      <c r="J983" s="15"/>
    </row>
    <row r="984" spans="10:10" x14ac:dyDescent="0.25">
      <c r="J984" s="15"/>
    </row>
    <row r="985" spans="10:10" x14ac:dyDescent="0.25">
      <c r="J985" s="15"/>
    </row>
    <row r="986" spans="10:10" x14ac:dyDescent="0.25">
      <c r="J986" s="15"/>
    </row>
    <row r="987" spans="10:10" x14ac:dyDescent="0.25">
      <c r="J987" s="15"/>
    </row>
    <row r="988" spans="10:10" x14ac:dyDescent="0.25">
      <c r="J988" s="15"/>
    </row>
    <row r="989" spans="10:10" x14ac:dyDescent="0.25">
      <c r="J989" s="15"/>
    </row>
    <row r="990" spans="10:10" x14ac:dyDescent="0.25">
      <c r="J990" s="15"/>
    </row>
    <row r="991" spans="10:10" x14ac:dyDescent="0.25">
      <c r="J991" s="15"/>
    </row>
    <row r="992" spans="10:10" x14ac:dyDescent="0.25">
      <c r="J992" s="15"/>
    </row>
    <row r="993" spans="10:10" x14ac:dyDescent="0.25">
      <c r="J993" s="15"/>
    </row>
    <row r="994" spans="10:10" x14ac:dyDescent="0.25">
      <c r="J994" s="15"/>
    </row>
    <row r="995" spans="10:10" x14ac:dyDescent="0.25">
      <c r="J995" s="15"/>
    </row>
    <row r="996" spans="10:10" x14ac:dyDescent="0.25">
      <c r="J996" s="15"/>
    </row>
    <row r="997" spans="10:10" x14ac:dyDescent="0.25">
      <c r="J997" s="15"/>
    </row>
    <row r="998" spans="10:10" x14ac:dyDescent="0.25">
      <c r="J998" s="15"/>
    </row>
    <row r="999" spans="10:10" x14ac:dyDescent="0.25">
      <c r="J999" s="15"/>
    </row>
    <row r="1000" spans="10:10" x14ac:dyDescent="0.25">
      <c r="J1000" s="15"/>
    </row>
    <row r="1001" spans="10:10" x14ac:dyDescent="0.25">
      <c r="J1001" s="15"/>
    </row>
    <row r="1002" spans="10:10" x14ac:dyDescent="0.25">
      <c r="J1002" s="15"/>
    </row>
    <row r="1003" spans="10:10" x14ac:dyDescent="0.25">
      <c r="J1003" s="15"/>
    </row>
    <row r="1004" spans="10:10" x14ac:dyDescent="0.25">
      <c r="J1004" s="15"/>
    </row>
    <row r="1005" spans="10:10" x14ac:dyDescent="0.25">
      <c r="J1005" s="15"/>
    </row>
    <row r="1006" spans="10:10" x14ac:dyDescent="0.25">
      <c r="J1006" s="15"/>
    </row>
    <row r="1007" spans="10:10" x14ac:dyDescent="0.25">
      <c r="J1007" s="15"/>
    </row>
    <row r="1008" spans="10:10" x14ac:dyDescent="0.25">
      <c r="J1008" s="15"/>
    </row>
    <row r="1009" spans="10:10" x14ac:dyDescent="0.25">
      <c r="J1009" s="15"/>
    </row>
    <row r="1010" spans="10:10" x14ac:dyDescent="0.25">
      <c r="J1010" s="15"/>
    </row>
    <row r="1011" spans="10:10" x14ac:dyDescent="0.25">
      <c r="J1011" s="15"/>
    </row>
    <row r="1012" spans="10:10" x14ac:dyDescent="0.25">
      <c r="J1012" s="15"/>
    </row>
    <row r="1013" spans="10:10" x14ac:dyDescent="0.25">
      <c r="J1013" s="15"/>
    </row>
    <row r="1014" spans="10:10" x14ac:dyDescent="0.25">
      <c r="J1014" s="15"/>
    </row>
    <row r="1015" spans="10:10" x14ac:dyDescent="0.25">
      <c r="J1015" s="15"/>
    </row>
    <row r="1016" spans="10:10" x14ac:dyDescent="0.25">
      <c r="J1016" s="15"/>
    </row>
    <row r="1017" spans="10:10" x14ac:dyDescent="0.25">
      <c r="J1017" s="15"/>
    </row>
    <row r="1018" spans="10:10" x14ac:dyDescent="0.25">
      <c r="J1018" s="15"/>
    </row>
    <row r="1019" spans="10:10" x14ac:dyDescent="0.25">
      <c r="J1019" s="15"/>
    </row>
    <row r="1020" spans="10:10" x14ac:dyDescent="0.25">
      <c r="J1020" s="15"/>
    </row>
    <row r="1021" spans="10:10" x14ac:dyDescent="0.25">
      <c r="J1021" s="15"/>
    </row>
    <row r="1022" spans="10:10" x14ac:dyDescent="0.25">
      <c r="J1022" s="15"/>
    </row>
    <row r="1023" spans="10:10" x14ac:dyDescent="0.25">
      <c r="J1023" s="15"/>
    </row>
    <row r="1024" spans="10:10" x14ac:dyDescent="0.25">
      <c r="J1024" s="15"/>
    </row>
    <row r="1025" spans="10:10" x14ac:dyDescent="0.25">
      <c r="J1025" s="15"/>
    </row>
    <row r="1026" spans="10:10" x14ac:dyDescent="0.25">
      <c r="J1026" s="15"/>
    </row>
    <row r="1027" spans="10:10" x14ac:dyDescent="0.25">
      <c r="J1027" s="15"/>
    </row>
    <row r="1028" spans="10:10" x14ac:dyDescent="0.25">
      <c r="J1028" s="15"/>
    </row>
    <row r="1029" spans="10:10" x14ac:dyDescent="0.25">
      <c r="J1029" s="15"/>
    </row>
    <row r="1030" spans="10:10" x14ac:dyDescent="0.25">
      <c r="J1030" s="15"/>
    </row>
    <row r="1031" spans="10:10" x14ac:dyDescent="0.25">
      <c r="J1031" s="15"/>
    </row>
    <row r="1032" spans="10:10" x14ac:dyDescent="0.25">
      <c r="J1032" s="15"/>
    </row>
    <row r="1033" spans="10:10" x14ac:dyDescent="0.25">
      <c r="J1033" s="15"/>
    </row>
    <row r="1034" spans="10:10" x14ac:dyDescent="0.25">
      <c r="J1034" s="15"/>
    </row>
    <row r="1035" spans="10:10" x14ac:dyDescent="0.25">
      <c r="J1035" s="15"/>
    </row>
    <row r="1036" spans="10:10" x14ac:dyDescent="0.25">
      <c r="J1036" s="15"/>
    </row>
    <row r="1037" spans="10:10" x14ac:dyDescent="0.25">
      <c r="J1037" s="15"/>
    </row>
    <row r="1038" spans="10:10" x14ac:dyDescent="0.25">
      <c r="J1038" s="15"/>
    </row>
    <row r="1039" spans="10:10" x14ac:dyDescent="0.25">
      <c r="J1039" s="15"/>
    </row>
    <row r="1040" spans="10:10" x14ac:dyDescent="0.25">
      <c r="J1040" s="15"/>
    </row>
    <row r="1041" spans="10:10" x14ac:dyDescent="0.25">
      <c r="J1041" s="15"/>
    </row>
    <row r="1042" spans="10:10" x14ac:dyDescent="0.25">
      <c r="J1042" s="15"/>
    </row>
    <row r="1043" spans="10:10" x14ac:dyDescent="0.25">
      <c r="J1043" s="15"/>
    </row>
    <row r="1044" spans="10:10" x14ac:dyDescent="0.25">
      <c r="J1044" s="15"/>
    </row>
    <row r="1045" spans="10:10" x14ac:dyDescent="0.25">
      <c r="J1045" s="15"/>
    </row>
    <row r="1046" spans="10:10" x14ac:dyDescent="0.25">
      <c r="J1046" s="15"/>
    </row>
    <row r="1047" spans="10:10" x14ac:dyDescent="0.25">
      <c r="J1047" s="15"/>
    </row>
    <row r="1048" spans="10:10" x14ac:dyDescent="0.25">
      <c r="J1048" s="15"/>
    </row>
    <row r="1049" spans="10:10" x14ac:dyDescent="0.25">
      <c r="J1049" s="15"/>
    </row>
    <row r="1050" spans="10:10" x14ac:dyDescent="0.25">
      <c r="J1050" s="15"/>
    </row>
    <row r="1051" spans="10:10" x14ac:dyDescent="0.25">
      <c r="J1051" s="15"/>
    </row>
    <row r="1052" spans="10:10" x14ac:dyDescent="0.25">
      <c r="J1052" s="15"/>
    </row>
    <row r="1053" spans="10:10" x14ac:dyDescent="0.25">
      <c r="J1053" s="15"/>
    </row>
    <row r="1054" spans="10:10" x14ac:dyDescent="0.25">
      <c r="J1054" s="15"/>
    </row>
    <row r="1055" spans="10:10" x14ac:dyDescent="0.25">
      <c r="J1055" s="15"/>
    </row>
    <row r="1056" spans="10:10" x14ac:dyDescent="0.25">
      <c r="J1056" s="15"/>
    </row>
    <row r="1057" spans="10:10" x14ac:dyDescent="0.25">
      <c r="J1057" s="15"/>
    </row>
    <row r="1058" spans="10:10" x14ac:dyDescent="0.25">
      <c r="J1058" s="15"/>
    </row>
    <row r="1059" spans="10:10" x14ac:dyDescent="0.25">
      <c r="J1059" s="15"/>
    </row>
    <row r="1060" spans="10:10" x14ac:dyDescent="0.25">
      <c r="J1060" s="15"/>
    </row>
    <row r="1061" spans="10:10" x14ac:dyDescent="0.25">
      <c r="J1061" s="15"/>
    </row>
    <row r="1062" spans="10:10" x14ac:dyDescent="0.25">
      <c r="J1062" s="15"/>
    </row>
    <row r="1063" spans="10:10" x14ac:dyDescent="0.25">
      <c r="J1063" s="15"/>
    </row>
    <row r="1064" spans="10:10" x14ac:dyDescent="0.25">
      <c r="J1064" s="15"/>
    </row>
    <row r="1065" spans="10:10" x14ac:dyDescent="0.25">
      <c r="J1065" s="15"/>
    </row>
    <row r="1066" spans="10:10" x14ac:dyDescent="0.25">
      <c r="J1066" s="15"/>
    </row>
    <row r="1067" spans="10:10" x14ac:dyDescent="0.25">
      <c r="J1067" s="15"/>
    </row>
    <row r="1068" spans="10:10" x14ac:dyDescent="0.25">
      <c r="J1068" s="15"/>
    </row>
    <row r="1069" spans="10:10" x14ac:dyDescent="0.25">
      <c r="J1069" s="15"/>
    </row>
    <row r="1070" spans="10:10" x14ac:dyDescent="0.25">
      <c r="J1070" s="15"/>
    </row>
    <row r="1071" spans="10:10" x14ac:dyDescent="0.25">
      <c r="J1071" s="15"/>
    </row>
    <row r="1072" spans="10:10" x14ac:dyDescent="0.25">
      <c r="J1072" s="15"/>
    </row>
    <row r="1073" spans="10:10" x14ac:dyDescent="0.25">
      <c r="J1073" s="15"/>
    </row>
    <row r="1074" spans="10:10" x14ac:dyDescent="0.25">
      <c r="J1074" s="15"/>
    </row>
    <row r="1075" spans="10:10" x14ac:dyDescent="0.25">
      <c r="J1075" s="15"/>
    </row>
    <row r="1076" spans="10:10" x14ac:dyDescent="0.25">
      <c r="J1076" s="15"/>
    </row>
    <row r="1077" spans="10:10" x14ac:dyDescent="0.25">
      <c r="J1077" s="15"/>
    </row>
    <row r="1078" spans="10:10" x14ac:dyDescent="0.25">
      <c r="J1078" s="15"/>
    </row>
    <row r="1079" spans="10:10" x14ac:dyDescent="0.25">
      <c r="J1079" s="15"/>
    </row>
    <row r="1080" spans="10:10" x14ac:dyDescent="0.25">
      <c r="J1080" s="15"/>
    </row>
    <row r="1081" spans="10:10" x14ac:dyDescent="0.25">
      <c r="J1081" s="15"/>
    </row>
    <row r="1082" spans="10:10" x14ac:dyDescent="0.25">
      <c r="J1082" s="15"/>
    </row>
    <row r="1083" spans="10:10" x14ac:dyDescent="0.25">
      <c r="J1083" s="15"/>
    </row>
    <row r="1084" spans="10:10" x14ac:dyDescent="0.25">
      <c r="J1084" s="15"/>
    </row>
    <row r="1085" spans="10:10" x14ac:dyDescent="0.25">
      <c r="J1085" s="15"/>
    </row>
    <row r="1086" spans="10:10" x14ac:dyDescent="0.25">
      <c r="J1086" s="15"/>
    </row>
    <row r="1087" spans="10:10" x14ac:dyDescent="0.25">
      <c r="J1087" s="15"/>
    </row>
    <row r="1088" spans="10:10" x14ac:dyDescent="0.25">
      <c r="J1088" s="15"/>
    </row>
    <row r="1089" spans="10:10" x14ac:dyDescent="0.25">
      <c r="J1089" s="15"/>
    </row>
    <row r="1090" spans="10:10" x14ac:dyDescent="0.25">
      <c r="J1090" s="15"/>
    </row>
    <row r="1091" spans="10:10" x14ac:dyDescent="0.25">
      <c r="J1091" s="15"/>
    </row>
    <row r="1092" spans="10:10" x14ac:dyDescent="0.25">
      <c r="J1092" s="15"/>
    </row>
    <row r="1093" spans="10:10" x14ac:dyDescent="0.25">
      <c r="J1093" s="15"/>
    </row>
    <row r="1094" spans="10:10" x14ac:dyDescent="0.25">
      <c r="J1094" s="15"/>
    </row>
    <row r="1095" spans="10:10" x14ac:dyDescent="0.25">
      <c r="J1095" s="15"/>
    </row>
    <row r="1096" spans="10:10" x14ac:dyDescent="0.25">
      <c r="J1096" s="15"/>
    </row>
    <row r="1097" spans="10:10" x14ac:dyDescent="0.25">
      <c r="J1097" s="15"/>
    </row>
    <row r="1098" spans="10:10" x14ac:dyDescent="0.25">
      <c r="J1098" s="15"/>
    </row>
    <row r="1099" spans="10:10" x14ac:dyDescent="0.25">
      <c r="J1099" s="15"/>
    </row>
    <row r="1100" spans="10:10" x14ac:dyDescent="0.25">
      <c r="J1100" s="15"/>
    </row>
    <row r="1101" spans="10:10" x14ac:dyDescent="0.25">
      <c r="J1101" s="15"/>
    </row>
    <row r="1102" spans="10:10" x14ac:dyDescent="0.25">
      <c r="J1102" s="15"/>
    </row>
    <row r="1103" spans="10:10" x14ac:dyDescent="0.25">
      <c r="J1103" s="15"/>
    </row>
    <row r="1104" spans="10:10" x14ac:dyDescent="0.25">
      <c r="J1104" s="15"/>
    </row>
    <row r="1105" spans="10:10" x14ac:dyDescent="0.25">
      <c r="J1105" s="15"/>
    </row>
    <row r="1106" spans="10:10" x14ac:dyDescent="0.25">
      <c r="J1106" s="15"/>
    </row>
    <row r="1107" spans="10:10" x14ac:dyDescent="0.25">
      <c r="J1107" s="15"/>
    </row>
    <row r="1108" spans="10:10" x14ac:dyDescent="0.25">
      <c r="J1108" s="15"/>
    </row>
    <row r="1109" spans="10:10" x14ac:dyDescent="0.25">
      <c r="J1109" s="15"/>
    </row>
    <row r="1110" spans="10:10" x14ac:dyDescent="0.25">
      <c r="J1110" s="15"/>
    </row>
    <row r="1111" spans="10:10" x14ac:dyDescent="0.25">
      <c r="J1111" s="15"/>
    </row>
    <row r="1112" spans="10:10" x14ac:dyDescent="0.25">
      <c r="J1112" s="15"/>
    </row>
    <row r="1113" spans="10:10" x14ac:dyDescent="0.25">
      <c r="J1113" s="15"/>
    </row>
    <row r="1114" spans="10:10" x14ac:dyDescent="0.25">
      <c r="J1114" s="15"/>
    </row>
    <row r="1115" spans="10:10" x14ac:dyDescent="0.25">
      <c r="J1115" s="15"/>
    </row>
    <row r="1116" spans="10:10" x14ac:dyDescent="0.25">
      <c r="J1116" s="15"/>
    </row>
    <row r="1117" spans="10:10" x14ac:dyDescent="0.25">
      <c r="J1117" s="15"/>
    </row>
    <row r="1118" spans="10:10" x14ac:dyDescent="0.25">
      <c r="J1118" s="15"/>
    </row>
    <row r="1119" spans="10:10" x14ac:dyDescent="0.25">
      <c r="J1119" s="15"/>
    </row>
    <row r="1120" spans="10:10" x14ac:dyDescent="0.25">
      <c r="J1120" s="15"/>
    </row>
    <row r="1121" spans="10:10" x14ac:dyDescent="0.25">
      <c r="J1121" s="15"/>
    </row>
    <row r="1122" spans="10:10" x14ac:dyDescent="0.25">
      <c r="J1122" s="15"/>
    </row>
    <row r="1123" spans="10:10" x14ac:dyDescent="0.25">
      <c r="J1123" s="15"/>
    </row>
    <row r="1124" spans="10:10" x14ac:dyDescent="0.25">
      <c r="J1124" s="15"/>
    </row>
    <row r="1125" spans="10:10" x14ac:dyDescent="0.25">
      <c r="J1125" s="15"/>
    </row>
    <row r="1126" spans="10:10" x14ac:dyDescent="0.25">
      <c r="J1126" s="15"/>
    </row>
    <row r="1127" spans="10:10" x14ac:dyDescent="0.25">
      <c r="J1127" s="15"/>
    </row>
    <row r="1128" spans="10:10" x14ac:dyDescent="0.25">
      <c r="J1128" s="15"/>
    </row>
    <row r="1129" spans="10:10" x14ac:dyDescent="0.25">
      <c r="J1129" s="15"/>
    </row>
    <row r="1130" spans="10:10" x14ac:dyDescent="0.25">
      <c r="J1130" s="15"/>
    </row>
    <row r="1131" spans="10:10" x14ac:dyDescent="0.25">
      <c r="J1131" s="15"/>
    </row>
    <row r="1132" spans="10:10" x14ac:dyDescent="0.25">
      <c r="J1132" s="15"/>
    </row>
    <row r="1133" spans="10:10" x14ac:dyDescent="0.25">
      <c r="J1133" s="15"/>
    </row>
    <row r="1134" spans="10:10" x14ac:dyDescent="0.25">
      <c r="J1134" s="15"/>
    </row>
    <row r="1135" spans="10:10" x14ac:dyDescent="0.25">
      <c r="J1135" s="15"/>
    </row>
    <row r="1136" spans="10:10" x14ac:dyDescent="0.25">
      <c r="J1136" s="15"/>
    </row>
    <row r="1137" spans="10:10" x14ac:dyDescent="0.25">
      <c r="J1137" s="15"/>
    </row>
    <row r="1138" spans="10:10" x14ac:dyDescent="0.25">
      <c r="J1138" s="15"/>
    </row>
    <row r="1139" spans="10:10" x14ac:dyDescent="0.25">
      <c r="J1139" s="15"/>
    </row>
    <row r="1140" spans="10:10" x14ac:dyDescent="0.25">
      <c r="J1140" s="15"/>
    </row>
    <row r="1141" spans="10:10" x14ac:dyDescent="0.25">
      <c r="J1141" s="15"/>
    </row>
    <row r="1142" spans="10:10" x14ac:dyDescent="0.25">
      <c r="J1142" s="15"/>
    </row>
    <row r="1143" spans="10:10" x14ac:dyDescent="0.25">
      <c r="J1143" s="15"/>
    </row>
    <row r="1144" spans="10:10" x14ac:dyDescent="0.25">
      <c r="J1144" s="15"/>
    </row>
    <row r="1145" spans="10:10" x14ac:dyDescent="0.25">
      <c r="J1145" s="15"/>
    </row>
    <row r="1146" spans="10:10" x14ac:dyDescent="0.25">
      <c r="J1146" s="15"/>
    </row>
    <row r="1147" spans="10:10" x14ac:dyDescent="0.25">
      <c r="J1147" s="15"/>
    </row>
    <row r="1148" spans="10:10" x14ac:dyDescent="0.25">
      <c r="J1148" s="15"/>
    </row>
    <row r="1149" spans="10:10" x14ac:dyDescent="0.25">
      <c r="J1149" s="15"/>
    </row>
    <row r="1150" spans="10:10" x14ac:dyDescent="0.25">
      <c r="J1150" s="15"/>
    </row>
    <row r="1151" spans="10:10" x14ac:dyDescent="0.25">
      <c r="J1151" s="15"/>
    </row>
    <row r="1152" spans="10:10" x14ac:dyDescent="0.25">
      <c r="J1152" s="15"/>
    </row>
    <row r="1153" spans="10:10" x14ac:dyDescent="0.25">
      <c r="J1153" s="15"/>
    </row>
    <row r="1154" spans="10:10" x14ac:dyDescent="0.25">
      <c r="J1154" s="15"/>
    </row>
    <row r="1155" spans="10:10" x14ac:dyDescent="0.25">
      <c r="J1155" s="15"/>
    </row>
    <row r="1156" spans="10:10" x14ac:dyDescent="0.25">
      <c r="J1156" s="15"/>
    </row>
    <row r="1157" spans="10:10" x14ac:dyDescent="0.25">
      <c r="J1157" s="15"/>
    </row>
    <row r="1158" spans="10:10" x14ac:dyDescent="0.25">
      <c r="J1158" s="15"/>
    </row>
    <row r="1159" spans="10:10" x14ac:dyDescent="0.25">
      <c r="J1159" s="15"/>
    </row>
    <row r="1160" spans="10:10" x14ac:dyDescent="0.25">
      <c r="J1160" s="15"/>
    </row>
    <row r="1161" spans="10:10" x14ac:dyDescent="0.25">
      <c r="J1161" s="15"/>
    </row>
    <row r="1162" spans="10:10" x14ac:dyDescent="0.25">
      <c r="J1162" s="15"/>
    </row>
    <row r="1163" spans="10:10" x14ac:dyDescent="0.25">
      <c r="J1163" s="15"/>
    </row>
    <row r="1164" spans="10:10" x14ac:dyDescent="0.25">
      <c r="J1164" s="15"/>
    </row>
    <row r="1165" spans="10:10" x14ac:dyDescent="0.25">
      <c r="J1165" s="15"/>
    </row>
    <row r="1166" spans="10:10" x14ac:dyDescent="0.25">
      <c r="J1166" s="15"/>
    </row>
    <row r="1167" spans="10:10" x14ac:dyDescent="0.25">
      <c r="J1167" s="15"/>
    </row>
    <row r="1168" spans="10:10" x14ac:dyDescent="0.25">
      <c r="J1168" s="15"/>
    </row>
    <row r="1169" spans="10:10" x14ac:dyDescent="0.25">
      <c r="J1169" s="15"/>
    </row>
    <row r="1170" spans="10:10" x14ac:dyDescent="0.25">
      <c r="J1170" s="15"/>
    </row>
    <row r="1171" spans="10:10" x14ac:dyDescent="0.25">
      <c r="J1171" s="15"/>
    </row>
    <row r="1172" spans="10:10" x14ac:dyDescent="0.25">
      <c r="J1172" s="15"/>
    </row>
    <row r="1173" spans="10:10" x14ac:dyDescent="0.25">
      <c r="J1173" s="15"/>
    </row>
    <row r="1174" spans="10:10" x14ac:dyDescent="0.25">
      <c r="J1174" s="15"/>
    </row>
    <row r="1175" spans="10:10" x14ac:dyDescent="0.25">
      <c r="J1175" s="15"/>
    </row>
    <row r="1176" spans="10:10" x14ac:dyDescent="0.25">
      <c r="J1176" s="15"/>
    </row>
    <row r="1177" spans="10:10" x14ac:dyDescent="0.25">
      <c r="J1177" s="15"/>
    </row>
    <row r="1178" spans="10:10" x14ac:dyDescent="0.25">
      <c r="J1178" s="15"/>
    </row>
    <row r="1179" spans="10:10" x14ac:dyDescent="0.25">
      <c r="J1179" s="15"/>
    </row>
    <row r="1180" spans="10:10" x14ac:dyDescent="0.25">
      <c r="J1180" s="15"/>
    </row>
    <row r="1181" spans="10:10" x14ac:dyDescent="0.25">
      <c r="J1181" s="15"/>
    </row>
    <row r="1182" spans="10:10" x14ac:dyDescent="0.25">
      <c r="J1182" s="15"/>
    </row>
    <row r="1183" spans="10:10" x14ac:dyDescent="0.25">
      <c r="J1183" s="15"/>
    </row>
    <row r="1184" spans="10:10" x14ac:dyDescent="0.25">
      <c r="J1184" s="15"/>
    </row>
    <row r="1185" spans="10:10" x14ac:dyDescent="0.25">
      <c r="J1185" s="15"/>
    </row>
    <row r="1186" spans="10:10" x14ac:dyDescent="0.25">
      <c r="J1186" s="15"/>
    </row>
    <row r="1187" spans="10:10" x14ac:dyDescent="0.25">
      <c r="J1187" s="15"/>
    </row>
    <row r="1188" spans="10:10" x14ac:dyDescent="0.25">
      <c r="J1188" s="15"/>
    </row>
    <row r="1189" spans="10:10" x14ac:dyDescent="0.25">
      <c r="J1189" s="15"/>
    </row>
    <row r="1190" spans="10:10" x14ac:dyDescent="0.25">
      <c r="J1190" s="15"/>
    </row>
    <row r="1191" spans="10:10" x14ac:dyDescent="0.25">
      <c r="J1191" s="15"/>
    </row>
    <row r="1192" spans="10:10" x14ac:dyDescent="0.25">
      <c r="J1192" s="15"/>
    </row>
    <row r="1193" spans="10:10" x14ac:dyDescent="0.25">
      <c r="J1193" s="15"/>
    </row>
    <row r="1194" spans="10:10" x14ac:dyDescent="0.25">
      <c r="J1194" s="15"/>
    </row>
    <row r="1195" spans="10:10" x14ac:dyDescent="0.25">
      <c r="J1195" s="15"/>
    </row>
    <row r="1196" spans="10:10" x14ac:dyDescent="0.25">
      <c r="J1196" s="15"/>
    </row>
    <row r="1197" spans="10:10" x14ac:dyDescent="0.25">
      <c r="J1197" s="15"/>
    </row>
    <row r="1198" spans="10:10" x14ac:dyDescent="0.25">
      <c r="J1198" s="15"/>
    </row>
    <row r="1199" spans="10:10" x14ac:dyDescent="0.25">
      <c r="J1199" s="15"/>
    </row>
    <row r="1200" spans="10:10" x14ac:dyDescent="0.25">
      <c r="J1200" s="15"/>
    </row>
    <row r="1201" spans="10:10" x14ac:dyDescent="0.25">
      <c r="J1201" s="15"/>
    </row>
    <row r="1202" spans="10:10" x14ac:dyDescent="0.25">
      <c r="J1202" s="15"/>
    </row>
    <row r="1203" spans="10:10" x14ac:dyDescent="0.25">
      <c r="J1203" s="15"/>
    </row>
    <row r="1204" spans="10:10" x14ac:dyDescent="0.25">
      <c r="J1204" s="15"/>
    </row>
    <row r="1205" spans="10:10" x14ac:dyDescent="0.25">
      <c r="J1205" s="15"/>
    </row>
    <row r="1206" spans="10:10" x14ac:dyDescent="0.25">
      <c r="J1206" s="15"/>
    </row>
    <row r="1207" spans="10:10" x14ac:dyDescent="0.25">
      <c r="J1207" s="15"/>
    </row>
    <row r="1208" spans="10:10" x14ac:dyDescent="0.25">
      <c r="J1208" s="15"/>
    </row>
    <row r="1209" spans="10:10" x14ac:dyDescent="0.25">
      <c r="J1209" s="15"/>
    </row>
    <row r="1210" spans="10:10" x14ac:dyDescent="0.25">
      <c r="J1210" s="15"/>
    </row>
    <row r="1211" spans="10:10" x14ac:dyDescent="0.25">
      <c r="J1211" s="15"/>
    </row>
    <row r="1212" spans="10:10" x14ac:dyDescent="0.25">
      <c r="J1212" s="15"/>
    </row>
    <row r="1213" spans="10:10" x14ac:dyDescent="0.25">
      <c r="J1213" s="15"/>
    </row>
    <row r="1214" spans="10:10" x14ac:dyDescent="0.25">
      <c r="J1214" s="15"/>
    </row>
    <row r="1215" spans="10:10" x14ac:dyDescent="0.25">
      <c r="J1215" s="15"/>
    </row>
    <row r="1216" spans="10:10" x14ac:dyDescent="0.25">
      <c r="J1216" s="15"/>
    </row>
    <row r="1217" spans="10:10" x14ac:dyDescent="0.25">
      <c r="J1217" s="15"/>
    </row>
    <row r="1218" spans="10:10" x14ac:dyDescent="0.25">
      <c r="J1218" s="15"/>
    </row>
    <row r="1219" spans="10:10" x14ac:dyDescent="0.25">
      <c r="J1219" s="15"/>
    </row>
    <row r="1220" spans="10:10" x14ac:dyDescent="0.25">
      <c r="J1220" s="15"/>
    </row>
    <row r="1221" spans="10:10" x14ac:dyDescent="0.25">
      <c r="J1221" s="15"/>
    </row>
    <row r="1222" spans="10:10" x14ac:dyDescent="0.25">
      <c r="J1222" s="15"/>
    </row>
    <row r="1223" spans="10:10" x14ac:dyDescent="0.25">
      <c r="J1223" s="15"/>
    </row>
    <row r="1224" spans="10:10" x14ac:dyDescent="0.25">
      <c r="J1224" s="15"/>
    </row>
    <row r="1225" spans="10:10" x14ac:dyDescent="0.25">
      <c r="J1225" s="15"/>
    </row>
    <row r="1226" spans="10:10" x14ac:dyDescent="0.25">
      <c r="J1226" s="15"/>
    </row>
    <row r="1227" spans="10:10" x14ac:dyDescent="0.25">
      <c r="J1227" s="15"/>
    </row>
    <row r="1228" spans="10:10" x14ac:dyDescent="0.25">
      <c r="J1228" s="15"/>
    </row>
    <row r="1229" spans="10:10" x14ac:dyDescent="0.25">
      <c r="J1229" s="15"/>
    </row>
    <row r="1230" spans="10:10" x14ac:dyDescent="0.25">
      <c r="J1230" s="15"/>
    </row>
    <row r="1231" spans="10:10" x14ac:dyDescent="0.25">
      <c r="J1231" s="15"/>
    </row>
    <row r="1232" spans="10:10" x14ac:dyDescent="0.25">
      <c r="J1232" s="15"/>
    </row>
    <row r="1233" spans="10:10" x14ac:dyDescent="0.25">
      <c r="J1233" s="15"/>
    </row>
    <row r="1234" spans="10:10" x14ac:dyDescent="0.25">
      <c r="J1234" s="15"/>
    </row>
    <row r="1235" spans="10:10" x14ac:dyDescent="0.25">
      <c r="J1235" s="15"/>
    </row>
    <row r="1236" spans="10:10" x14ac:dyDescent="0.25">
      <c r="J1236" s="15"/>
    </row>
    <row r="1237" spans="10:10" x14ac:dyDescent="0.25">
      <c r="J1237" s="15"/>
    </row>
    <row r="1238" spans="10:10" x14ac:dyDescent="0.25">
      <c r="J1238" s="15"/>
    </row>
    <row r="1239" spans="10:10" x14ac:dyDescent="0.25">
      <c r="J1239" s="15"/>
    </row>
    <row r="1240" spans="10:10" x14ac:dyDescent="0.25">
      <c r="J1240" s="15"/>
    </row>
    <row r="1241" spans="10:10" x14ac:dyDescent="0.25">
      <c r="J1241" s="15"/>
    </row>
    <row r="1242" spans="10:10" x14ac:dyDescent="0.25">
      <c r="J1242" s="15"/>
    </row>
    <row r="1243" spans="10:10" x14ac:dyDescent="0.25">
      <c r="J1243" s="15"/>
    </row>
    <row r="1244" spans="10:10" x14ac:dyDescent="0.25">
      <c r="J1244" s="15"/>
    </row>
    <row r="1245" spans="10:10" x14ac:dyDescent="0.25">
      <c r="J1245" s="15"/>
    </row>
    <row r="1246" spans="10:10" x14ac:dyDescent="0.25">
      <c r="J1246" s="15"/>
    </row>
    <row r="1247" spans="10:10" x14ac:dyDescent="0.25">
      <c r="J1247" s="15"/>
    </row>
    <row r="1248" spans="10:10" x14ac:dyDescent="0.25">
      <c r="J1248" s="15"/>
    </row>
    <row r="1249" spans="10:10" x14ac:dyDescent="0.25">
      <c r="J1249" s="15"/>
    </row>
    <row r="1250" spans="10:10" x14ac:dyDescent="0.25">
      <c r="J1250" s="15"/>
    </row>
    <row r="1251" spans="10:10" x14ac:dyDescent="0.25">
      <c r="J1251" s="15"/>
    </row>
    <row r="1252" spans="10:10" x14ac:dyDescent="0.25">
      <c r="J1252" s="15"/>
    </row>
    <row r="1253" spans="10:10" x14ac:dyDescent="0.25">
      <c r="J1253" s="15"/>
    </row>
    <row r="1254" spans="10:10" x14ac:dyDescent="0.25">
      <c r="J1254" s="15"/>
    </row>
    <row r="1255" spans="10:10" x14ac:dyDescent="0.25">
      <c r="J1255" s="15"/>
    </row>
    <row r="1256" spans="10:10" x14ac:dyDescent="0.25">
      <c r="J1256" s="15"/>
    </row>
    <row r="1257" spans="10:10" x14ac:dyDescent="0.25">
      <c r="J1257" s="15"/>
    </row>
    <row r="1258" spans="10:10" x14ac:dyDescent="0.25">
      <c r="J1258" s="15"/>
    </row>
    <row r="1259" spans="10:10" x14ac:dyDescent="0.25">
      <c r="J1259" s="15"/>
    </row>
    <row r="1260" spans="10:10" x14ac:dyDescent="0.25">
      <c r="J1260" s="15"/>
    </row>
    <row r="1261" spans="10:10" x14ac:dyDescent="0.25">
      <c r="J1261" s="15"/>
    </row>
    <row r="1262" spans="10:10" x14ac:dyDescent="0.25">
      <c r="J1262" s="15"/>
    </row>
    <row r="1263" spans="10:10" x14ac:dyDescent="0.25">
      <c r="J1263" s="15"/>
    </row>
    <row r="1264" spans="10:10" x14ac:dyDescent="0.25">
      <c r="J1264" s="15"/>
    </row>
    <row r="1265" spans="10:10" x14ac:dyDescent="0.25">
      <c r="J1265" s="15"/>
    </row>
    <row r="1266" spans="10:10" x14ac:dyDescent="0.25">
      <c r="J1266" s="15"/>
    </row>
    <row r="1267" spans="10:10" x14ac:dyDescent="0.25">
      <c r="J1267" s="15"/>
    </row>
    <row r="1268" spans="10:10" x14ac:dyDescent="0.25">
      <c r="J1268" s="15"/>
    </row>
    <row r="1269" spans="10:10" x14ac:dyDescent="0.25">
      <c r="J1269" s="15"/>
    </row>
    <row r="1270" spans="10:10" x14ac:dyDescent="0.25">
      <c r="J1270" s="15"/>
    </row>
    <row r="1271" spans="10:10" x14ac:dyDescent="0.25">
      <c r="J1271" s="15"/>
    </row>
    <row r="1272" spans="10:10" x14ac:dyDescent="0.25">
      <c r="J1272" s="15"/>
    </row>
    <row r="1273" spans="10:10" x14ac:dyDescent="0.25">
      <c r="J1273" s="15"/>
    </row>
    <row r="1274" spans="10:10" x14ac:dyDescent="0.25">
      <c r="J1274" s="15"/>
    </row>
    <row r="1275" spans="10:10" x14ac:dyDescent="0.25">
      <c r="J1275" s="15"/>
    </row>
    <row r="1276" spans="10:10" x14ac:dyDescent="0.25">
      <c r="J1276" s="15"/>
    </row>
    <row r="1277" spans="10:10" x14ac:dyDescent="0.25">
      <c r="J1277" s="15"/>
    </row>
    <row r="1278" spans="10:10" x14ac:dyDescent="0.25">
      <c r="J1278" s="15"/>
    </row>
    <row r="1279" spans="10:10" x14ac:dyDescent="0.25">
      <c r="J1279" s="15"/>
    </row>
    <row r="1280" spans="10:10" x14ac:dyDescent="0.25">
      <c r="J1280" s="15"/>
    </row>
    <row r="1281" spans="10:10" x14ac:dyDescent="0.25">
      <c r="J1281" s="15"/>
    </row>
    <row r="1282" spans="10:10" x14ac:dyDescent="0.25">
      <c r="J1282" s="15"/>
    </row>
    <row r="1283" spans="10:10" x14ac:dyDescent="0.25">
      <c r="J1283" s="15"/>
    </row>
    <row r="1284" spans="10:10" x14ac:dyDescent="0.25">
      <c r="J1284" s="15"/>
    </row>
    <row r="1285" spans="10:10" x14ac:dyDescent="0.25">
      <c r="J1285" s="15"/>
    </row>
    <row r="1286" spans="10:10" x14ac:dyDescent="0.25">
      <c r="J1286" s="15"/>
    </row>
    <row r="1287" spans="10:10" x14ac:dyDescent="0.25">
      <c r="J1287" s="15"/>
    </row>
    <row r="1288" spans="10:10" x14ac:dyDescent="0.25">
      <c r="J1288" s="15"/>
    </row>
    <row r="1289" spans="10:10" x14ac:dyDescent="0.25">
      <c r="J1289" s="15"/>
    </row>
    <row r="1290" spans="10:10" x14ac:dyDescent="0.25">
      <c r="J1290" s="15"/>
    </row>
    <row r="1291" spans="10:10" x14ac:dyDescent="0.25">
      <c r="J1291" s="15"/>
    </row>
    <row r="1292" spans="10:10" x14ac:dyDescent="0.25">
      <c r="J1292" s="15"/>
    </row>
    <row r="1293" spans="10:10" x14ac:dyDescent="0.25">
      <c r="J1293" s="15"/>
    </row>
    <row r="1294" spans="10:10" x14ac:dyDescent="0.25">
      <c r="J1294" s="15"/>
    </row>
    <row r="1295" spans="10:10" x14ac:dyDescent="0.25">
      <c r="J1295" s="15"/>
    </row>
    <row r="1296" spans="10:10" x14ac:dyDescent="0.25">
      <c r="J1296" s="15"/>
    </row>
    <row r="1297" spans="10:10" x14ac:dyDescent="0.25">
      <c r="J1297" s="15"/>
    </row>
    <row r="1298" spans="10:10" x14ac:dyDescent="0.25">
      <c r="J1298" s="15"/>
    </row>
    <row r="1299" spans="10:10" x14ac:dyDescent="0.25">
      <c r="J1299" s="15"/>
    </row>
    <row r="1300" spans="10:10" x14ac:dyDescent="0.25">
      <c r="J1300" s="15"/>
    </row>
    <row r="1301" spans="10:10" x14ac:dyDescent="0.25">
      <c r="J1301" s="15"/>
    </row>
    <row r="1302" spans="10:10" x14ac:dyDescent="0.25">
      <c r="J1302" s="15"/>
    </row>
    <row r="1303" spans="10:10" x14ac:dyDescent="0.25">
      <c r="J1303" s="15"/>
    </row>
    <row r="1304" spans="10:10" x14ac:dyDescent="0.25">
      <c r="J1304" s="15"/>
    </row>
    <row r="1305" spans="10:10" x14ac:dyDescent="0.25">
      <c r="J1305" s="15"/>
    </row>
    <row r="1306" spans="10:10" x14ac:dyDescent="0.25">
      <c r="J1306" s="15"/>
    </row>
    <row r="1307" spans="10:10" x14ac:dyDescent="0.25">
      <c r="J1307" s="15"/>
    </row>
    <row r="1308" spans="10:10" x14ac:dyDescent="0.25">
      <c r="J1308" s="15"/>
    </row>
    <row r="1309" spans="10:10" x14ac:dyDescent="0.25">
      <c r="J1309" s="15"/>
    </row>
    <row r="1310" spans="10:10" x14ac:dyDescent="0.25">
      <c r="J1310" s="15"/>
    </row>
    <row r="1311" spans="10:10" x14ac:dyDescent="0.25">
      <c r="J1311" s="15"/>
    </row>
    <row r="1312" spans="10:10" x14ac:dyDescent="0.25">
      <c r="J1312" s="15"/>
    </row>
    <row r="1313" spans="10:10" x14ac:dyDescent="0.25">
      <c r="J1313" s="15"/>
    </row>
    <row r="1314" spans="10:10" x14ac:dyDescent="0.25">
      <c r="J1314" s="15"/>
    </row>
    <row r="1315" spans="10:10" x14ac:dyDescent="0.25">
      <c r="J1315" s="15"/>
    </row>
    <row r="1316" spans="10:10" x14ac:dyDescent="0.25">
      <c r="J1316" s="15"/>
    </row>
    <row r="1317" spans="10:10" x14ac:dyDescent="0.25">
      <c r="J1317" s="15"/>
    </row>
    <row r="1318" spans="10:10" x14ac:dyDescent="0.25">
      <c r="J1318" s="15"/>
    </row>
    <row r="1319" spans="10:10" x14ac:dyDescent="0.25">
      <c r="J1319" s="15"/>
    </row>
    <row r="1320" spans="10:10" x14ac:dyDescent="0.25">
      <c r="J1320" s="15"/>
    </row>
    <row r="1321" spans="10:10" x14ac:dyDescent="0.25">
      <c r="J1321" s="15"/>
    </row>
    <row r="1322" spans="10:10" x14ac:dyDescent="0.25">
      <c r="J1322" s="15"/>
    </row>
    <row r="1323" spans="10:10" x14ac:dyDescent="0.25">
      <c r="J1323" s="15"/>
    </row>
    <row r="1324" spans="10:10" x14ac:dyDescent="0.25">
      <c r="J1324" s="15"/>
    </row>
    <row r="1325" spans="10:10" x14ac:dyDescent="0.25">
      <c r="J1325" s="15"/>
    </row>
    <row r="1326" spans="10:10" x14ac:dyDescent="0.25">
      <c r="J1326" s="15"/>
    </row>
    <row r="1327" spans="10:10" x14ac:dyDescent="0.25">
      <c r="J1327" s="15"/>
    </row>
    <row r="1328" spans="10:10" x14ac:dyDescent="0.25">
      <c r="J1328" s="15"/>
    </row>
    <row r="1329" spans="10:10" x14ac:dyDescent="0.25">
      <c r="J1329" s="15"/>
    </row>
    <row r="1330" spans="10:10" x14ac:dyDescent="0.25">
      <c r="J1330" s="15"/>
    </row>
    <row r="1331" spans="10:10" x14ac:dyDescent="0.25">
      <c r="J1331" s="15"/>
    </row>
    <row r="1332" spans="10:10" x14ac:dyDescent="0.25">
      <c r="J1332" s="15"/>
    </row>
    <row r="1333" spans="10:10" x14ac:dyDescent="0.25">
      <c r="J1333" s="15"/>
    </row>
    <row r="1334" spans="10:10" x14ac:dyDescent="0.25">
      <c r="J1334" s="15"/>
    </row>
    <row r="1335" spans="10:10" x14ac:dyDescent="0.25">
      <c r="J1335" s="15"/>
    </row>
    <row r="1336" spans="10:10" x14ac:dyDescent="0.25">
      <c r="J1336" s="15"/>
    </row>
    <row r="1337" spans="10:10" x14ac:dyDescent="0.25">
      <c r="J1337" s="15"/>
    </row>
    <row r="1338" spans="10:10" x14ac:dyDescent="0.25">
      <c r="J1338" s="15"/>
    </row>
    <row r="1339" spans="10:10" x14ac:dyDescent="0.25">
      <c r="J1339" s="15"/>
    </row>
    <row r="1340" spans="10:10" x14ac:dyDescent="0.25">
      <c r="J1340" s="15"/>
    </row>
    <row r="1341" spans="10:10" x14ac:dyDescent="0.25">
      <c r="J1341" s="15"/>
    </row>
    <row r="1342" spans="10:10" x14ac:dyDescent="0.25">
      <c r="J1342" s="15"/>
    </row>
    <row r="1343" spans="10:10" x14ac:dyDescent="0.25">
      <c r="J1343" s="15"/>
    </row>
    <row r="1344" spans="10:10" x14ac:dyDescent="0.25">
      <c r="J1344" s="15"/>
    </row>
    <row r="1345" spans="10:10" x14ac:dyDescent="0.25">
      <c r="J1345" s="15"/>
    </row>
    <row r="1346" spans="10:10" x14ac:dyDescent="0.25">
      <c r="J1346" s="15"/>
    </row>
    <row r="1347" spans="10:10" x14ac:dyDescent="0.25">
      <c r="J1347" s="15"/>
    </row>
    <row r="1348" spans="10:10" x14ac:dyDescent="0.25">
      <c r="J1348" s="15"/>
    </row>
    <row r="1349" spans="10:10" x14ac:dyDescent="0.25">
      <c r="J1349" s="15"/>
    </row>
    <row r="1350" spans="10:10" x14ac:dyDescent="0.25">
      <c r="J1350" s="15"/>
    </row>
    <row r="1351" spans="10:10" x14ac:dyDescent="0.25">
      <c r="J1351" s="15"/>
    </row>
    <row r="1352" spans="10:10" x14ac:dyDescent="0.25">
      <c r="J1352" s="15"/>
    </row>
    <row r="1353" spans="10:10" x14ac:dyDescent="0.25">
      <c r="J1353" s="15"/>
    </row>
    <row r="1354" spans="10:10" x14ac:dyDescent="0.25">
      <c r="J1354" s="15"/>
    </row>
    <row r="1355" spans="10:10" x14ac:dyDescent="0.25">
      <c r="J1355" s="15"/>
    </row>
    <row r="1356" spans="10:10" x14ac:dyDescent="0.25">
      <c r="J1356" s="15"/>
    </row>
    <row r="1357" spans="10:10" x14ac:dyDescent="0.25">
      <c r="J1357" s="15"/>
    </row>
    <row r="1358" spans="10:10" x14ac:dyDescent="0.25">
      <c r="J1358" s="15"/>
    </row>
    <row r="1359" spans="10:10" x14ac:dyDescent="0.25">
      <c r="J1359" s="15"/>
    </row>
    <row r="1360" spans="10:10" x14ac:dyDescent="0.25">
      <c r="J1360" s="15"/>
    </row>
    <row r="1361" spans="10:10" x14ac:dyDescent="0.25">
      <c r="J1361" s="15"/>
    </row>
    <row r="1362" spans="10:10" x14ac:dyDescent="0.25">
      <c r="J1362" s="15"/>
    </row>
    <row r="1363" spans="10:10" x14ac:dyDescent="0.25">
      <c r="J1363" s="15"/>
    </row>
    <row r="1364" spans="10:10" x14ac:dyDescent="0.25">
      <c r="J1364" s="15"/>
    </row>
    <row r="1365" spans="10:10" x14ac:dyDescent="0.25">
      <c r="J1365" s="15"/>
    </row>
    <row r="1366" spans="10:10" x14ac:dyDescent="0.25">
      <c r="J1366" s="15"/>
    </row>
    <row r="1367" spans="10:10" x14ac:dyDescent="0.25">
      <c r="J1367" s="15"/>
    </row>
    <row r="1368" spans="10:10" x14ac:dyDescent="0.25">
      <c r="J1368" s="15"/>
    </row>
    <row r="1369" spans="10:10" x14ac:dyDescent="0.25">
      <c r="J1369" s="15"/>
    </row>
    <row r="1370" spans="10:10" x14ac:dyDescent="0.25">
      <c r="J1370" s="15"/>
    </row>
    <row r="1371" spans="10:10" x14ac:dyDescent="0.25">
      <c r="J1371" s="15"/>
    </row>
    <row r="1372" spans="10:10" x14ac:dyDescent="0.25">
      <c r="J1372" s="15"/>
    </row>
    <row r="1373" spans="10:10" x14ac:dyDescent="0.25">
      <c r="J1373" s="15"/>
    </row>
    <row r="1374" spans="10:10" x14ac:dyDescent="0.25">
      <c r="J1374" s="15"/>
    </row>
    <row r="1375" spans="10:10" x14ac:dyDescent="0.25">
      <c r="J1375" s="15"/>
    </row>
    <row r="1376" spans="10:10" x14ac:dyDescent="0.25">
      <c r="J1376" s="15"/>
    </row>
    <row r="1377" spans="10:10" x14ac:dyDescent="0.25">
      <c r="J1377" s="15"/>
    </row>
    <row r="1378" spans="10:10" x14ac:dyDescent="0.25">
      <c r="J1378" s="15"/>
    </row>
    <row r="1379" spans="10:10" x14ac:dyDescent="0.25">
      <c r="J1379" s="15"/>
    </row>
    <row r="1380" spans="10:10" x14ac:dyDescent="0.25">
      <c r="J1380" s="15"/>
    </row>
    <row r="1381" spans="10:10" x14ac:dyDescent="0.25">
      <c r="J1381" s="15"/>
    </row>
    <row r="1382" spans="10:10" x14ac:dyDescent="0.25">
      <c r="J1382" s="15"/>
    </row>
    <row r="1383" spans="10:10" x14ac:dyDescent="0.25">
      <c r="J1383" s="15"/>
    </row>
    <row r="1384" spans="10:10" x14ac:dyDescent="0.25">
      <c r="J1384" s="15"/>
    </row>
    <row r="1385" spans="10:10" x14ac:dyDescent="0.25">
      <c r="J1385" s="15"/>
    </row>
    <row r="1386" spans="10:10" x14ac:dyDescent="0.25">
      <c r="J1386" s="15"/>
    </row>
    <row r="1387" spans="10:10" x14ac:dyDescent="0.25">
      <c r="J1387" s="15"/>
    </row>
    <row r="1388" spans="10:10" x14ac:dyDescent="0.25">
      <c r="J1388" s="15"/>
    </row>
    <row r="1389" spans="10:10" x14ac:dyDescent="0.25">
      <c r="J1389" s="15"/>
    </row>
    <row r="1390" spans="10:10" x14ac:dyDescent="0.25">
      <c r="J1390" s="15"/>
    </row>
    <row r="1391" spans="10:10" x14ac:dyDescent="0.25">
      <c r="J1391" s="15"/>
    </row>
    <row r="1392" spans="10:10" x14ac:dyDescent="0.25">
      <c r="J1392" s="15"/>
    </row>
    <row r="1393" spans="10:10" x14ac:dyDescent="0.25">
      <c r="J1393" s="15"/>
    </row>
    <row r="1394" spans="10:10" x14ac:dyDescent="0.25">
      <c r="J1394" s="15"/>
    </row>
    <row r="1395" spans="10:10" x14ac:dyDescent="0.25">
      <c r="J1395" s="15"/>
    </row>
    <row r="1396" spans="10:10" x14ac:dyDescent="0.25">
      <c r="J1396" s="15"/>
    </row>
    <row r="1397" spans="10:10" x14ac:dyDescent="0.25">
      <c r="J1397" s="15"/>
    </row>
    <row r="1398" spans="10:10" x14ac:dyDescent="0.25">
      <c r="J1398" s="15"/>
    </row>
    <row r="1399" spans="10:10" x14ac:dyDescent="0.25">
      <c r="J1399" s="15"/>
    </row>
    <row r="1400" spans="10:10" x14ac:dyDescent="0.25">
      <c r="J1400" s="15"/>
    </row>
    <row r="1401" spans="10:10" x14ac:dyDescent="0.25">
      <c r="J1401" s="15"/>
    </row>
    <row r="1402" spans="10:10" x14ac:dyDescent="0.25">
      <c r="J1402" s="15"/>
    </row>
    <row r="1403" spans="10:10" x14ac:dyDescent="0.25">
      <c r="J1403" s="15"/>
    </row>
    <row r="1404" spans="10:10" x14ac:dyDescent="0.25">
      <c r="J1404" s="15"/>
    </row>
    <row r="1405" spans="10:10" x14ac:dyDescent="0.25">
      <c r="J1405" s="15"/>
    </row>
    <row r="1406" spans="10:10" x14ac:dyDescent="0.25">
      <c r="J1406" s="15"/>
    </row>
    <row r="1407" spans="10:10" x14ac:dyDescent="0.25">
      <c r="J1407" s="15"/>
    </row>
    <row r="1408" spans="10:10" x14ac:dyDescent="0.25">
      <c r="J1408" s="15"/>
    </row>
    <row r="1409" spans="10:10" x14ac:dyDescent="0.25">
      <c r="J1409" s="15"/>
    </row>
    <row r="1410" spans="10:10" x14ac:dyDescent="0.25">
      <c r="J1410" s="15"/>
    </row>
    <row r="1411" spans="10:10" x14ac:dyDescent="0.25">
      <c r="J1411" s="15"/>
    </row>
    <row r="1412" spans="10:10" x14ac:dyDescent="0.25">
      <c r="J1412" s="15"/>
    </row>
    <row r="1413" spans="10:10" x14ac:dyDescent="0.25">
      <c r="J1413" s="15"/>
    </row>
    <row r="1414" spans="10:10" x14ac:dyDescent="0.25">
      <c r="J1414" s="15"/>
    </row>
    <row r="1415" spans="10:10" x14ac:dyDescent="0.25">
      <c r="J1415" s="15"/>
    </row>
    <row r="1416" spans="10:10" x14ac:dyDescent="0.25">
      <c r="J1416" s="15"/>
    </row>
    <row r="1417" spans="10:10" x14ac:dyDescent="0.25">
      <c r="J1417" s="15"/>
    </row>
    <row r="1418" spans="10:10" x14ac:dyDescent="0.25">
      <c r="J1418" s="15"/>
    </row>
    <row r="1419" spans="10:10" x14ac:dyDescent="0.25">
      <c r="J1419" s="15"/>
    </row>
    <row r="1420" spans="10:10" x14ac:dyDescent="0.25">
      <c r="J1420" s="15"/>
    </row>
    <row r="1421" spans="10:10" x14ac:dyDescent="0.25">
      <c r="J1421" s="15"/>
    </row>
    <row r="1422" spans="10:10" x14ac:dyDescent="0.25">
      <c r="J1422" s="15"/>
    </row>
    <row r="1423" spans="10:10" x14ac:dyDescent="0.25">
      <c r="J1423" s="15"/>
    </row>
    <row r="1424" spans="10:10" x14ac:dyDescent="0.25">
      <c r="J1424" s="15"/>
    </row>
    <row r="1425" spans="10:10" x14ac:dyDescent="0.25">
      <c r="J1425" s="15"/>
    </row>
    <row r="1426" spans="10:10" x14ac:dyDescent="0.25">
      <c r="J1426" s="15"/>
    </row>
    <row r="1427" spans="10:10" x14ac:dyDescent="0.25">
      <c r="J1427" s="15"/>
    </row>
    <row r="1428" spans="10:10" x14ac:dyDescent="0.25">
      <c r="J1428" s="15"/>
    </row>
    <row r="1429" spans="10:10" x14ac:dyDescent="0.25">
      <c r="J1429" s="15"/>
    </row>
    <row r="1430" spans="10:10" x14ac:dyDescent="0.25">
      <c r="J1430" s="15"/>
    </row>
    <row r="1431" spans="10:10" x14ac:dyDescent="0.25">
      <c r="J1431" s="15"/>
    </row>
    <row r="1432" spans="10:10" x14ac:dyDescent="0.25">
      <c r="J1432" s="15"/>
    </row>
    <row r="1433" spans="10:10" x14ac:dyDescent="0.25">
      <c r="J1433" s="15"/>
    </row>
    <row r="1434" spans="10:10" x14ac:dyDescent="0.25">
      <c r="J1434" s="15"/>
    </row>
    <row r="1435" spans="10:10" x14ac:dyDescent="0.25">
      <c r="J1435" s="15"/>
    </row>
    <row r="1436" spans="10:10" x14ac:dyDescent="0.25">
      <c r="J1436" s="15"/>
    </row>
    <row r="1437" spans="10:10" x14ac:dyDescent="0.25">
      <c r="J1437" s="15"/>
    </row>
    <row r="1438" spans="10:10" x14ac:dyDescent="0.25">
      <c r="J1438" s="15"/>
    </row>
    <row r="1439" spans="10:10" x14ac:dyDescent="0.25">
      <c r="J1439" s="15"/>
    </row>
    <row r="1440" spans="10:10" x14ac:dyDescent="0.25">
      <c r="J1440" s="15"/>
    </row>
    <row r="1441" spans="10:10" x14ac:dyDescent="0.25">
      <c r="J1441" s="15"/>
    </row>
    <row r="1442" spans="10:10" x14ac:dyDescent="0.25">
      <c r="J1442" s="15"/>
    </row>
    <row r="1443" spans="10:10" x14ac:dyDescent="0.25">
      <c r="J1443" s="15"/>
    </row>
    <row r="1444" spans="10:10" x14ac:dyDescent="0.25">
      <c r="J1444" s="15"/>
    </row>
    <row r="1445" spans="10:10" x14ac:dyDescent="0.25">
      <c r="J1445" s="15"/>
    </row>
    <row r="1446" spans="10:10" x14ac:dyDescent="0.25">
      <c r="J1446" s="15"/>
    </row>
    <row r="1447" spans="10:10" x14ac:dyDescent="0.25">
      <c r="J1447" s="15"/>
    </row>
    <row r="1448" spans="10:10" x14ac:dyDescent="0.25">
      <c r="J1448" s="15"/>
    </row>
    <row r="1449" spans="10:10" x14ac:dyDescent="0.25">
      <c r="J1449" s="15"/>
    </row>
    <row r="1450" spans="10:10" x14ac:dyDescent="0.25">
      <c r="J1450" s="15"/>
    </row>
    <row r="1451" spans="10:10" x14ac:dyDescent="0.25">
      <c r="J1451" s="15"/>
    </row>
    <row r="1452" spans="10:10" x14ac:dyDescent="0.25">
      <c r="J1452" s="15"/>
    </row>
    <row r="1453" spans="10:10" x14ac:dyDescent="0.25">
      <c r="J1453" s="15"/>
    </row>
    <row r="1454" spans="10:10" x14ac:dyDescent="0.25">
      <c r="J1454" s="15"/>
    </row>
    <row r="1455" spans="10:10" x14ac:dyDescent="0.25">
      <c r="J1455" s="15"/>
    </row>
    <row r="1456" spans="10:10" x14ac:dyDescent="0.25">
      <c r="J1456" s="15"/>
    </row>
    <row r="1457" spans="10:10" x14ac:dyDescent="0.25">
      <c r="J1457" s="15"/>
    </row>
    <row r="1458" spans="10:10" x14ac:dyDescent="0.25">
      <c r="J1458" s="15"/>
    </row>
    <row r="1459" spans="10:10" x14ac:dyDescent="0.25">
      <c r="J1459" s="15"/>
    </row>
    <row r="1460" spans="10:10" x14ac:dyDescent="0.25">
      <c r="J1460" s="15"/>
    </row>
    <row r="1461" spans="10:10" x14ac:dyDescent="0.25">
      <c r="J1461" s="15"/>
    </row>
    <row r="1462" spans="10:10" x14ac:dyDescent="0.25">
      <c r="J1462" s="15"/>
    </row>
    <row r="1463" spans="10:10" x14ac:dyDescent="0.25">
      <c r="J1463" s="15"/>
    </row>
    <row r="1464" spans="10:10" x14ac:dyDescent="0.25">
      <c r="J1464" s="15"/>
    </row>
    <row r="1465" spans="10:10" x14ac:dyDescent="0.25">
      <c r="J1465" s="15"/>
    </row>
    <row r="1466" spans="10:10" x14ac:dyDescent="0.25">
      <c r="J1466" s="15"/>
    </row>
    <row r="1467" spans="10:10" x14ac:dyDescent="0.25">
      <c r="J1467" s="15"/>
    </row>
    <row r="1468" spans="10:10" x14ac:dyDescent="0.25">
      <c r="J1468" s="15"/>
    </row>
    <row r="1469" spans="10:10" x14ac:dyDescent="0.25">
      <c r="J1469" s="15"/>
    </row>
    <row r="1470" spans="10:10" x14ac:dyDescent="0.25">
      <c r="J1470" s="15"/>
    </row>
    <row r="1471" spans="10:10" x14ac:dyDescent="0.25">
      <c r="J1471" s="15"/>
    </row>
    <row r="1472" spans="10:10" x14ac:dyDescent="0.25">
      <c r="J1472" s="15"/>
    </row>
    <row r="1473" spans="10:10" x14ac:dyDescent="0.25">
      <c r="J1473" s="15"/>
    </row>
    <row r="1474" spans="10:10" x14ac:dyDescent="0.25">
      <c r="J1474" s="15"/>
    </row>
    <row r="1475" spans="10:10" x14ac:dyDescent="0.25">
      <c r="J1475" s="15"/>
    </row>
    <row r="1476" spans="10:10" x14ac:dyDescent="0.25">
      <c r="J1476" s="15"/>
    </row>
    <row r="1477" spans="10:10" x14ac:dyDescent="0.25">
      <c r="J1477" s="15"/>
    </row>
    <row r="1478" spans="10:10" x14ac:dyDescent="0.25">
      <c r="J1478" s="15"/>
    </row>
    <row r="1479" spans="10:10" x14ac:dyDescent="0.25">
      <c r="J1479" s="15"/>
    </row>
    <row r="1480" spans="10:10" x14ac:dyDescent="0.25">
      <c r="J1480" s="15"/>
    </row>
    <row r="1481" spans="10:10" x14ac:dyDescent="0.25">
      <c r="J1481" s="15"/>
    </row>
    <row r="1482" spans="10:10" x14ac:dyDescent="0.25">
      <c r="J1482" s="15"/>
    </row>
    <row r="1483" spans="10:10" x14ac:dyDescent="0.25">
      <c r="J1483" s="15"/>
    </row>
    <row r="1484" spans="10:10" x14ac:dyDescent="0.25">
      <c r="J1484" s="15"/>
    </row>
    <row r="1485" spans="10:10" x14ac:dyDescent="0.25">
      <c r="J1485" s="15"/>
    </row>
    <row r="1486" spans="10:10" x14ac:dyDescent="0.25">
      <c r="J1486" s="15"/>
    </row>
    <row r="1487" spans="10:10" x14ac:dyDescent="0.25">
      <c r="J1487" s="15"/>
    </row>
    <row r="1488" spans="10:10" x14ac:dyDescent="0.25">
      <c r="J1488" s="15"/>
    </row>
    <row r="1489" spans="10:10" x14ac:dyDescent="0.25">
      <c r="J1489" s="15"/>
    </row>
    <row r="1490" spans="10:10" x14ac:dyDescent="0.25">
      <c r="J1490" s="15"/>
    </row>
    <row r="1491" spans="10:10" x14ac:dyDescent="0.25">
      <c r="J1491" s="15"/>
    </row>
    <row r="1492" spans="10:10" x14ac:dyDescent="0.25">
      <c r="J1492" s="15"/>
    </row>
    <row r="1493" spans="10:10" x14ac:dyDescent="0.25">
      <c r="J1493" s="15"/>
    </row>
    <row r="1494" spans="10:10" x14ac:dyDescent="0.25">
      <c r="J1494" s="15"/>
    </row>
    <row r="1495" spans="10:10" x14ac:dyDescent="0.25">
      <c r="J1495" s="15"/>
    </row>
    <row r="1496" spans="10:10" x14ac:dyDescent="0.25">
      <c r="J1496" s="15"/>
    </row>
    <row r="1497" spans="10:10" x14ac:dyDescent="0.25">
      <c r="J1497" s="15"/>
    </row>
    <row r="1498" spans="10:10" x14ac:dyDescent="0.25">
      <c r="J1498" s="15"/>
    </row>
    <row r="1499" spans="10:10" x14ac:dyDescent="0.25">
      <c r="J1499" s="15"/>
    </row>
    <row r="1500" spans="10:10" x14ac:dyDescent="0.25">
      <c r="J1500" s="15"/>
    </row>
    <row r="1501" spans="10:10" x14ac:dyDescent="0.25">
      <c r="J1501" s="15"/>
    </row>
    <row r="1502" spans="10:10" x14ac:dyDescent="0.25">
      <c r="J1502" s="15"/>
    </row>
    <row r="1503" spans="10:10" x14ac:dyDescent="0.25">
      <c r="J1503" s="15"/>
    </row>
    <row r="1504" spans="10:10" x14ac:dyDescent="0.25">
      <c r="J1504" s="15"/>
    </row>
    <row r="1505" spans="10:10" x14ac:dyDescent="0.25">
      <c r="J1505" s="15"/>
    </row>
    <row r="1506" spans="10:10" x14ac:dyDescent="0.25">
      <c r="J1506" s="15"/>
    </row>
    <row r="1507" spans="10:10" x14ac:dyDescent="0.25">
      <c r="J1507" s="15"/>
    </row>
    <row r="1508" spans="10:10" x14ac:dyDescent="0.25">
      <c r="J1508" s="15"/>
    </row>
    <row r="1509" spans="10:10" x14ac:dyDescent="0.25">
      <c r="J1509" s="15"/>
    </row>
    <row r="1510" spans="10:10" x14ac:dyDescent="0.25">
      <c r="J1510" s="15"/>
    </row>
    <row r="1511" spans="10:10" x14ac:dyDescent="0.25">
      <c r="J1511" s="15"/>
    </row>
    <row r="1512" spans="10:10" x14ac:dyDescent="0.25">
      <c r="J1512" s="15"/>
    </row>
    <row r="1513" spans="10:10" x14ac:dyDescent="0.25">
      <c r="J1513" s="15"/>
    </row>
    <row r="1514" spans="10:10" x14ac:dyDescent="0.25">
      <c r="J1514" s="15"/>
    </row>
    <row r="1515" spans="10:10" x14ac:dyDescent="0.25">
      <c r="J1515" s="15"/>
    </row>
    <row r="1516" spans="10:10" x14ac:dyDescent="0.25">
      <c r="J1516" s="15"/>
    </row>
    <row r="1517" spans="10:10" x14ac:dyDescent="0.25">
      <c r="J1517" s="15"/>
    </row>
    <row r="1518" spans="10:10" x14ac:dyDescent="0.25">
      <c r="J1518" s="15"/>
    </row>
    <row r="1519" spans="10:10" x14ac:dyDescent="0.25">
      <c r="J1519" s="15"/>
    </row>
    <row r="1520" spans="10:10" x14ac:dyDescent="0.25">
      <c r="J1520" s="15"/>
    </row>
    <row r="1521" spans="10:10" x14ac:dyDescent="0.25">
      <c r="J1521" s="15"/>
    </row>
    <row r="1522" spans="10:10" x14ac:dyDescent="0.25">
      <c r="J1522" s="15"/>
    </row>
    <row r="1523" spans="10:10" x14ac:dyDescent="0.25">
      <c r="J1523" s="15"/>
    </row>
    <row r="1524" spans="10:10" x14ac:dyDescent="0.25">
      <c r="J1524" s="15"/>
    </row>
    <row r="1525" spans="10:10" x14ac:dyDescent="0.25">
      <c r="J1525" s="15"/>
    </row>
    <row r="1526" spans="10:10" x14ac:dyDescent="0.25">
      <c r="J1526" s="15"/>
    </row>
    <row r="1527" spans="10:10" x14ac:dyDescent="0.25">
      <c r="J1527" s="15"/>
    </row>
    <row r="1528" spans="10:10" x14ac:dyDescent="0.25">
      <c r="J1528" s="15"/>
    </row>
    <row r="1529" spans="10:10" x14ac:dyDescent="0.25">
      <c r="J1529" s="15"/>
    </row>
    <row r="1530" spans="10:10" x14ac:dyDescent="0.25">
      <c r="J1530" s="15"/>
    </row>
    <row r="1531" spans="10:10" x14ac:dyDescent="0.25">
      <c r="J1531" s="15"/>
    </row>
    <row r="1532" spans="10:10" x14ac:dyDescent="0.25">
      <c r="J1532" s="15"/>
    </row>
    <row r="1533" spans="10:10" x14ac:dyDescent="0.25">
      <c r="J1533" s="15"/>
    </row>
    <row r="1534" spans="10:10" x14ac:dyDescent="0.25">
      <c r="J1534" s="15"/>
    </row>
    <row r="1535" spans="10:10" x14ac:dyDescent="0.25">
      <c r="J1535" s="15"/>
    </row>
    <row r="1536" spans="10:10" x14ac:dyDescent="0.25">
      <c r="J1536" s="15"/>
    </row>
    <row r="1537" spans="10:10" x14ac:dyDescent="0.25">
      <c r="J1537" s="15"/>
    </row>
    <row r="1538" spans="10:10" x14ac:dyDescent="0.25">
      <c r="J1538" s="15"/>
    </row>
    <row r="1539" spans="10:10" x14ac:dyDescent="0.25">
      <c r="J1539" s="15"/>
    </row>
    <row r="1540" spans="10:10" x14ac:dyDescent="0.25">
      <c r="J1540" s="15"/>
    </row>
    <row r="1541" spans="10:10" x14ac:dyDescent="0.25">
      <c r="J1541" s="15"/>
    </row>
    <row r="1542" spans="10:10" x14ac:dyDescent="0.25">
      <c r="J1542" s="15"/>
    </row>
    <row r="1543" spans="10:10" x14ac:dyDescent="0.25">
      <c r="J1543" s="15"/>
    </row>
    <row r="1544" spans="10:10" x14ac:dyDescent="0.25">
      <c r="J1544" s="15"/>
    </row>
    <row r="1545" spans="10:10" x14ac:dyDescent="0.25">
      <c r="J1545" s="15"/>
    </row>
    <row r="1546" spans="10:10" x14ac:dyDescent="0.25">
      <c r="J1546" s="15"/>
    </row>
    <row r="1547" spans="10:10" x14ac:dyDescent="0.25">
      <c r="J1547" s="15"/>
    </row>
    <row r="1548" spans="10:10" x14ac:dyDescent="0.25">
      <c r="J1548" s="15"/>
    </row>
    <row r="1549" spans="10:10" x14ac:dyDescent="0.25">
      <c r="J1549" s="15"/>
    </row>
    <row r="1550" spans="10:10" x14ac:dyDescent="0.25">
      <c r="J1550" s="15"/>
    </row>
    <row r="1551" spans="10:10" x14ac:dyDescent="0.25">
      <c r="J1551" s="15"/>
    </row>
    <row r="1552" spans="10:10" x14ac:dyDescent="0.25">
      <c r="J1552" s="15"/>
    </row>
    <row r="1553" spans="10:10" x14ac:dyDescent="0.25">
      <c r="J1553" s="15"/>
    </row>
    <row r="1554" spans="10:10" x14ac:dyDescent="0.25">
      <c r="J1554" s="15"/>
    </row>
    <row r="1555" spans="10:10" x14ac:dyDescent="0.25">
      <c r="J1555" s="15"/>
    </row>
    <row r="1556" spans="10:10" x14ac:dyDescent="0.25">
      <c r="J1556" s="15"/>
    </row>
    <row r="1557" spans="10:10" x14ac:dyDescent="0.25">
      <c r="J1557" s="15"/>
    </row>
    <row r="1558" spans="10:10" x14ac:dyDescent="0.25">
      <c r="J1558" s="15"/>
    </row>
    <row r="1559" spans="10:10" x14ac:dyDescent="0.25">
      <c r="J1559" s="15"/>
    </row>
    <row r="1560" spans="10:10" x14ac:dyDescent="0.25">
      <c r="J1560" s="15"/>
    </row>
    <row r="1561" spans="10:10" x14ac:dyDescent="0.25">
      <c r="J1561" s="15"/>
    </row>
    <row r="1562" spans="10:10" x14ac:dyDescent="0.25">
      <c r="J1562" s="15"/>
    </row>
    <row r="1563" spans="10:10" x14ac:dyDescent="0.25">
      <c r="J1563" s="15"/>
    </row>
    <row r="1564" spans="10:10" x14ac:dyDescent="0.25">
      <c r="J1564" s="15"/>
    </row>
    <row r="1565" spans="10:10" x14ac:dyDescent="0.25">
      <c r="J1565" s="15"/>
    </row>
    <row r="1566" spans="10:10" x14ac:dyDescent="0.25">
      <c r="J1566" s="15"/>
    </row>
    <row r="1567" spans="10:10" x14ac:dyDescent="0.25">
      <c r="J1567" s="15"/>
    </row>
    <row r="1568" spans="10:10" x14ac:dyDescent="0.25">
      <c r="J1568" s="15"/>
    </row>
    <row r="1569" spans="10:10" x14ac:dyDescent="0.25">
      <c r="J1569" s="15"/>
    </row>
    <row r="1570" spans="10:10" x14ac:dyDescent="0.25">
      <c r="J1570" s="15"/>
    </row>
    <row r="1571" spans="10:10" x14ac:dyDescent="0.25">
      <c r="J1571" s="15"/>
    </row>
    <row r="1572" spans="10:10" x14ac:dyDescent="0.25">
      <c r="J1572" s="15"/>
    </row>
    <row r="1573" spans="10:10" x14ac:dyDescent="0.25">
      <c r="J1573" s="15"/>
    </row>
    <row r="1574" spans="10:10" x14ac:dyDescent="0.25">
      <c r="J1574" s="15"/>
    </row>
    <row r="1575" spans="10:10" x14ac:dyDescent="0.25">
      <c r="J1575" s="15"/>
    </row>
    <row r="1576" spans="10:10" x14ac:dyDescent="0.25">
      <c r="J1576" s="15"/>
    </row>
    <row r="1577" spans="10:10" x14ac:dyDescent="0.25">
      <c r="J1577" s="15"/>
    </row>
    <row r="1578" spans="10:10" x14ac:dyDescent="0.25">
      <c r="J1578" s="15"/>
    </row>
    <row r="1579" spans="10:10" x14ac:dyDescent="0.25">
      <c r="J1579" s="15"/>
    </row>
    <row r="1580" spans="10:10" x14ac:dyDescent="0.25">
      <c r="J1580" s="15"/>
    </row>
    <row r="1581" spans="10:10" x14ac:dyDescent="0.25">
      <c r="J1581" s="15"/>
    </row>
    <row r="1582" spans="10:10" x14ac:dyDescent="0.25">
      <c r="J1582" s="15"/>
    </row>
    <row r="1583" spans="10:10" x14ac:dyDescent="0.25">
      <c r="J1583" s="15"/>
    </row>
    <row r="1584" spans="10:10" x14ac:dyDescent="0.25">
      <c r="J1584" s="15"/>
    </row>
    <row r="1585" spans="10:10" x14ac:dyDescent="0.25">
      <c r="J1585" s="15"/>
    </row>
    <row r="1586" spans="10:10" x14ac:dyDescent="0.25">
      <c r="J1586" s="15"/>
    </row>
    <row r="1587" spans="10:10" x14ac:dyDescent="0.25">
      <c r="J1587" s="15"/>
    </row>
    <row r="1588" spans="10:10" x14ac:dyDescent="0.25">
      <c r="J1588" s="15"/>
    </row>
    <row r="1589" spans="10:10" x14ac:dyDescent="0.25">
      <c r="J1589" s="15"/>
    </row>
    <row r="1590" spans="10:10" x14ac:dyDescent="0.25">
      <c r="J1590" s="15"/>
    </row>
    <row r="1591" spans="10:10" x14ac:dyDescent="0.25">
      <c r="J1591" s="15"/>
    </row>
    <row r="1592" spans="10:10" x14ac:dyDescent="0.25">
      <c r="J1592" s="15"/>
    </row>
    <row r="1593" spans="10:10" x14ac:dyDescent="0.25">
      <c r="J1593" s="15"/>
    </row>
    <row r="1594" spans="10:10" x14ac:dyDescent="0.25">
      <c r="J1594" s="15"/>
    </row>
    <row r="1595" spans="10:10" x14ac:dyDescent="0.25">
      <c r="J1595" s="15"/>
    </row>
    <row r="1596" spans="10:10" x14ac:dyDescent="0.25">
      <c r="J1596" s="15"/>
    </row>
    <row r="1597" spans="10:10" x14ac:dyDescent="0.25">
      <c r="J1597" s="15"/>
    </row>
    <row r="1598" spans="10:10" x14ac:dyDescent="0.25">
      <c r="J1598" s="15"/>
    </row>
    <row r="1599" spans="10:10" x14ac:dyDescent="0.25">
      <c r="J1599" s="15"/>
    </row>
    <row r="1600" spans="10:10" x14ac:dyDescent="0.25">
      <c r="J1600" s="15"/>
    </row>
    <row r="1601" spans="10:10" x14ac:dyDescent="0.25">
      <c r="J1601" s="15"/>
    </row>
    <row r="1602" spans="10:10" x14ac:dyDescent="0.25">
      <c r="J1602" s="15"/>
    </row>
    <row r="1603" spans="10:10" x14ac:dyDescent="0.25">
      <c r="J1603" s="15"/>
    </row>
    <row r="1604" spans="10:10" x14ac:dyDescent="0.25">
      <c r="J1604" s="15"/>
    </row>
    <row r="1605" spans="10:10" x14ac:dyDescent="0.25">
      <c r="J1605" s="15"/>
    </row>
    <row r="1606" spans="10:10" x14ac:dyDescent="0.25">
      <c r="J1606" s="15"/>
    </row>
    <row r="1607" spans="10:10" x14ac:dyDescent="0.25">
      <c r="J1607" s="15"/>
    </row>
    <row r="1608" spans="10:10" x14ac:dyDescent="0.25">
      <c r="J1608" s="15"/>
    </row>
    <row r="1609" spans="10:10" x14ac:dyDescent="0.25">
      <c r="J1609" s="15"/>
    </row>
    <row r="1610" spans="10:10" x14ac:dyDescent="0.25">
      <c r="J1610" s="15"/>
    </row>
    <row r="1611" spans="10:10" x14ac:dyDescent="0.25">
      <c r="J1611" s="15"/>
    </row>
    <row r="1612" spans="10:10" x14ac:dyDescent="0.25">
      <c r="J1612" s="15"/>
    </row>
    <row r="1613" spans="10:10" x14ac:dyDescent="0.25">
      <c r="J1613" s="15"/>
    </row>
    <row r="1614" spans="10:10" x14ac:dyDescent="0.25">
      <c r="J1614" s="15"/>
    </row>
    <row r="1615" spans="10:10" x14ac:dyDescent="0.25">
      <c r="J1615" s="15"/>
    </row>
    <row r="1616" spans="10:10" x14ac:dyDescent="0.25">
      <c r="J1616" s="15"/>
    </row>
    <row r="1617" spans="10:10" x14ac:dyDescent="0.25">
      <c r="J1617" s="15"/>
    </row>
    <row r="1618" spans="10:10" x14ac:dyDescent="0.25">
      <c r="J1618" s="15"/>
    </row>
    <row r="1619" spans="10:10" x14ac:dyDescent="0.25">
      <c r="J1619" s="15"/>
    </row>
    <row r="1620" spans="10:10" x14ac:dyDescent="0.25">
      <c r="J1620" s="15"/>
    </row>
    <row r="1621" spans="10:10" x14ac:dyDescent="0.25">
      <c r="J1621" s="15"/>
    </row>
    <row r="1622" spans="10:10" x14ac:dyDescent="0.25">
      <c r="J1622" s="15"/>
    </row>
    <row r="1623" spans="10:10" x14ac:dyDescent="0.25">
      <c r="J1623" s="15"/>
    </row>
    <row r="1624" spans="10:10" x14ac:dyDescent="0.25">
      <c r="J1624" s="15"/>
    </row>
    <row r="1625" spans="10:10" x14ac:dyDescent="0.25">
      <c r="J1625" s="15"/>
    </row>
    <row r="1626" spans="10:10" x14ac:dyDescent="0.25">
      <c r="J1626" s="15"/>
    </row>
    <row r="1627" spans="10:10" x14ac:dyDescent="0.25">
      <c r="J1627" s="15"/>
    </row>
    <row r="1628" spans="10:10" x14ac:dyDescent="0.25">
      <c r="J1628" s="15"/>
    </row>
    <row r="1629" spans="10:10" x14ac:dyDescent="0.25">
      <c r="J1629" s="15"/>
    </row>
    <row r="1630" spans="10:10" x14ac:dyDescent="0.25">
      <c r="J1630" s="15"/>
    </row>
    <row r="1631" spans="10:10" x14ac:dyDescent="0.25">
      <c r="J1631" s="15"/>
    </row>
    <row r="1632" spans="10:10" x14ac:dyDescent="0.25">
      <c r="J1632" s="15"/>
    </row>
    <row r="1633" spans="10:10" x14ac:dyDescent="0.25">
      <c r="J1633" s="15"/>
    </row>
    <row r="1634" spans="10:10" x14ac:dyDescent="0.25">
      <c r="J1634" s="15"/>
    </row>
    <row r="1635" spans="10:10" x14ac:dyDescent="0.25">
      <c r="J1635" s="15"/>
    </row>
    <row r="1636" spans="10:10" x14ac:dyDescent="0.25">
      <c r="J1636" s="15"/>
    </row>
    <row r="1637" spans="10:10" x14ac:dyDescent="0.25">
      <c r="J1637" s="15"/>
    </row>
    <row r="1638" spans="10:10" x14ac:dyDescent="0.25">
      <c r="J1638" s="15"/>
    </row>
    <row r="1639" spans="10:10" x14ac:dyDescent="0.25">
      <c r="J1639" s="15"/>
    </row>
    <row r="1640" spans="10:10" x14ac:dyDescent="0.25">
      <c r="J1640" s="15"/>
    </row>
    <row r="1641" spans="10:10" x14ac:dyDescent="0.25">
      <c r="J1641" s="15"/>
    </row>
    <row r="1642" spans="10:10" x14ac:dyDescent="0.25">
      <c r="J1642" s="15"/>
    </row>
    <row r="1643" spans="10:10" x14ac:dyDescent="0.25">
      <c r="J1643" s="15"/>
    </row>
    <row r="1644" spans="10:10" x14ac:dyDescent="0.25">
      <c r="J1644" s="15"/>
    </row>
    <row r="1645" spans="10:10" x14ac:dyDescent="0.25">
      <c r="J1645" s="15"/>
    </row>
    <row r="1646" spans="10:10" x14ac:dyDescent="0.25">
      <c r="J1646" s="15"/>
    </row>
    <row r="1647" spans="10:10" x14ac:dyDescent="0.25">
      <c r="J1647" s="15"/>
    </row>
    <row r="1648" spans="10:10" x14ac:dyDescent="0.25">
      <c r="J1648" s="15"/>
    </row>
    <row r="1649" spans="10:10" x14ac:dyDescent="0.25">
      <c r="J1649" s="15"/>
    </row>
    <row r="1650" spans="10:10" x14ac:dyDescent="0.25">
      <c r="J1650" s="15"/>
    </row>
    <row r="1651" spans="10:10" x14ac:dyDescent="0.25">
      <c r="J1651" s="15"/>
    </row>
    <row r="1652" spans="10:10" x14ac:dyDescent="0.25">
      <c r="J1652" s="15"/>
    </row>
    <row r="1653" spans="10:10" x14ac:dyDescent="0.25">
      <c r="J1653" s="15"/>
    </row>
    <row r="1654" spans="10:10" x14ac:dyDescent="0.25">
      <c r="J1654" s="15"/>
    </row>
    <row r="1655" spans="10:10" x14ac:dyDescent="0.25">
      <c r="J1655" s="15"/>
    </row>
    <row r="1656" spans="10:10" x14ac:dyDescent="0.25">
      <c r="J1656" s="15"/>
    </row>
    <row r="1657" spans="10:10" x14ac:dyDescent="0.25">
      <c r="J1657" s="15"/>
    </row>
    <row r="1658" spans="10:10" x14ac:dyDescent="0.25">
      <c r="J1658" s="15"/>
    </row>
    <row r="1659" spans="10:10" x14ac:dyDescent="0.25">
      <c r="J1659" s="15"/>
    </row>
    <row r="1660" spans="10:10" x14ac:dyDescent="0.25">
      <c r="J1660" s="15"/>
    </row>
    <row r="1661" spans="10:10" x14ac:dyDescent="0.25">
      <c r="J1661" s="15"/>
    </row>
    <row r="1662" spans="10:10" x14ac:dyDescent="0.25">
      <c r="J1662" s="15"/>
    </row>
    <row r="1663" spans="10:10" x14ac:dyDescent="0.25">
      <c r="J1663" s="15"/>
    </row>
    <row r="1664" spans="10:10" x14ac:dyDescent="0.25">
      <c r="J1664" s="15"/>
    </row>
    <row r="1665" spans="10:10" x14ac:dyDescent="0.25">
      <c r="J1665" s="15"/>
    </row>
    <row r="1666" spans="10:10" x14ac:dyDescent="0.25">
      <c r="J1666" s="15"/>
    </row>
    <row r="1667" spans="10:10" x14ac:dyDescent="0.25">
      <c r="J1667" s="15"/>
    </row>
    <row r="1668" spans="10:10" x14ac:dyDescent="0.25">
      <c r="J1668" s="15"/>
    </row>
    <row r="1669" spans="10:10" x14ac:dyDescent="0.25">
      <c r="J1669" s="15"/>
    </row>
    <row r="1670" spans="10:10" x14ac:dyDescent="0.25">
      <c r="J1670" s="15"/>
    </row>
    <row r="1671" spans="10:10" x14ac:dyDescent="0.25">
      <c r="J1671" s="15"/>
    </row>
    <row r="1672" spans="10:10" x14ac:dyDescent="0.25">
      <c r="J1672" s="15"/>
    </row>
    <row r="1673" spans="10:10" x14ac:dyDescent="0.25">
      <c r="J1673" s="15"/>
    </row>
    <row r="1674" spans="10:10" x14ac:dyDescent="0.25">
      <c r="J1674" s="15"/>
    </row>
    <row r="1675" spans="10:10" x14ac:dyDescent="0.25">
      <c r="J1675" s="15"/>
    </row>
    <row r="1676" spans="10:10" x14ac:dyDescent="0.25">
      <c r="J1676" s="15"/>
    </row>
    <row r="1677" spans="10:10" x14ac:dyDescent="0.25">
      <c r="J1677" s="15"/>
    </row>
    <row r="1678" spans="10:10" x14ac:dyDescent="0.25">
      <c r="J1678" s="15"/>
    </row>
    <row r="1679" spans="10:10" x14ac:dyDescent="0.25">
      <c r="J1679" s="15"/>
    </row>
    <row r="1680" spans="10:10" x14ac:dyDescent="0.25">
      <c r="J1680" s="15"/>
    </row>
    <row r="1681" spans="10:10" x14ac:dyDescent="0.25">
      <c r="J1681" s="15"/>
    </row>
    <row r="1682" spans="10:10" x14ac:dyDescent="0.25">
      <c r="J1682" s="15"/>
    </row>
    <row r="1683" spans="10:10" x14ac:dyDescent="0.25">
      <c r="J1683" s="15"/>
    </row>
    <row r="1684" spans="10:10" x14ac:dyDescent="0.25">
      <c r="J1684" s="15"/>
    </row>
    <row r="1685" spans="10:10" x14ac:dyDescent="0.25">
      <c r="J1685" s="15"/>
    </row>
    <row r="1686" spans="10:10" x14ac:dyDescent="0.25">
      <c r="J1686" s="15"/>
    </row>
    <row r="1687" spans="10:10" x14ac:dyDescent="0.25">
      <c r="J1687" s="15"/>
    </row>
    <row r="1688" spans="10:10" x14ac:dyDescent="0.25">
      <c r="J1688" s="15"/>
    </row>
    <row r="1689" spans="10:10" x14ac:dyDescent="0.25">
      <c r="J1689" s="15"/>
    </row>
    <row r="1690" spans="10:10" x14ac:dyDescent="0.25">
      <c r="J1690" s="15"/>
    </row>
    <row r="1691" spans="10:10" x14ac:dyDescent="0.25">
      <c r="J1691" s="15"/>
    </row>
    <row r="1692" spans="10:10" x14ac:dyDescent="0.25">
      <c r="J1692" s="15"/>
    </row>
    <row r="1693" spans="10:10" x14ac:dyDescent="0.25">
      <c r="J1693" s="15"/>
    </row>
    <row r="1694" spans="10:10" x14ac:dyDescent="0.25">
      <c r="J1694" s="15"/>
    </row>
    <row r="1695" spans="10:10" x14ac:dyDescent="0.25">
      <c r="J1695" s="15"/>
    </row>
    <row r="1696" spans="10:10" x14ac:dyDescent="0.25">
      <c r="J1696" s="15"/>
    </row>
    <row r="1697" spans="10:10" x14ac:dyDescent="0.25">
      <c r="J1697" s="15"/>
    </row>
    <row r="1698" spans="10:10" x14ac:dyDescent="0.25">
      <c r="J1698" s="15"/>
    </row>
    <row r="1699" spans="10:10" x14ac:dyDescent="0.25">
      <c r="J1699" s="15"/>
    </row>
    <row r="1700" spans="10:10" x14ac:dyDescent="0.25">
      <c r="J1700" s="15"/>
    </row>
    <row r="1701" spans="10:10" x14ac:dyDescent="0.25">
      <c r="J1701" s="15"/>
    </row>
    <row r="1702" spans="10:10" x14ac:dyDescent="0.25">
      <c r="J1702" s="15"/>
    </row>
    <row r="1703" spans="10:10" x14ac:dyDescent="0.25">
      <c r="J1703" s="15"/>
    </row>
    <row r="1704" spans="10:10" x14ac:dyDescent="0.25">
      <c r="J1704" s="15"/>
    </row>
    <row r="1705" spans="10:10" x14ac:dyDescent="0.25">
      <c r="J1705" s="15"/>
    </row>
    <row r="1706" spans="10:10" x14ac:dyDescent="0.25">
      <c r="J1706" s="15"/>
    </row>
    <row r="1707" spans="10:10" x14ac:dyDescent="0.25">
      <c r="J1707" s="15"/>
    </row>
    <row r="1708" spans="10:10" x14ac:dyDescent="0.25">
      <c r="J1708" s="15"/>
    </row>
    <row r="1709" spans="10:10" x14ac:dyDescent="0.25">
      <c r="J1709" s="15"/>
    </row>
    <row r="1710" spans="10:10" x14ac:dyDescent="0.25">
      <c r="J1710" s="15"/>
    </row>
    <row r="1711" spans="10:10" x14ac:dyDescent="0.25">
      <c r="J1711" s="15"/>
    </row>
    <row r="1712" spans="10:10" x14ac:dyDescent="0.25">
      <c r="J1712" s="15"/>
    </row>
    <row r="1713" spans="10:10" x14ac:dyDescent="0.25">
      <c r="J1713" s="15"/>
    </row>
    <row r="1714" spans="10:10" x14ac:dyDescent="0.25">
      <c r="J1714" s="15"/>
    </row>
    <row r="1715" spans="10:10" x14ac:dyDescent="0.25">
      <c r="J1715" s="15"/>
    </row>
    <row r="1716" spans="10:10" x14ac:dyDescent="0.25">
      <c r="J1716" s="15"/>
    </row>
    <row r="1717" spans="10:10" x14ac:dyDescent="0.25">
      <c r="J1717" s="15"/>
    </row>
    <row r="1718" spans="10:10" x14ac:dyDescent="0.25">
      <c r="J1718" s="15"/>
    </row>
    <row r="1719" spans="10:10" x14ac:dyDescent="0.25">
      <c r="J1719" s="15"/>
    </row>
    <row r="1720" spans="10:10" x14ac:dyDescent="0.25">
      <c r="J1720" s="15"/>
    </row>
    <row r="1721" spans="10:10" x14ac:dyDescent="0.25">
      <c r="J1721" s="15"/>
    </row>
    <row r="1722" spans="10:10" x14ac:dyDescent="0.25">
      <c r="J1722" s="15"/>
    </row>
    <row r="1723" spans="10:10" x14ac:dyDescent="0.25">
      <c r="J1723" s="15"/>
    </row>
    <row r="1724" spans="10:10" x14ac:dyDescent="0.25">
      <c r="J1724" s="15"/>
    </row>
    <row r="1725" spans="10:10" x14ac:dyDescent="0.25">
      <c r="J1725" s="15"/>
    </row>
    <row r="1726" spans="10:10" x14ac:dyDescent="0.25">
      <c r="J1726" s="15"/>
    </row>
    <row r="1727" spans="10:10" x14ac:dyDescent="0.25">
      <c r="J1727" s="15"/>
    </row>
    <row r="1728" spans="10:10" x14ac:dyDescent="0.25">
      <c r="J1728" s="15"/>
    </row>
    <row r="1729" spans="10:10" x14ac:dyDescent="0.25">
      <c r="J1729" s="15"/>
    </row>
    <row r="1730" spans="10:10" x14ac:dyDescent="0.25">
      <c r="J1730" s="15"/>
    </row>
    <row r="1731" spans="10:10" x14ac:dyDescent="0.25">
      <c r="J1731" s="15"/>
    </row>
    <row r="1732" spans="10:10" x14ac:dyDescent="0.25">
      <c r="J1732" s="15"/>
    </row>
    <row r="1733" spans="10:10" x14ac:dyDescent="0.25">
      <c r="J1733" s="15"/>
    </row>
    <row r="1734" spans="10:10" x14ac:dyDescent="0.25">
      <c r="J1734" s="15"/>
    </row>
    <row r="1735" spans="10:10" x14ac:dyDescent="0.25">
      <c r="J1735" s="15"/>
    </row>
    <row r="1736" spans="10:10" x14ac:dyDescent="0.25">
      <c r="J1736" s="15"/>
    </row>
    <row r="1737" spans="10:10" x14ac:dyDescent="0.25">
      <c r="J1737" s="15"/>
    </row>
    <row r="1738" spans="10:10" x14ac:dyDescent="0.25">
      <c r="J1738" s="15"/>
    </row>
    <row r="1739" spans="10:10" x14ac:dyDescent="0.25">
      <c r="J1739" s="15"/>
    </row>
    <row r="1740" spans="10:10" x14ac:dyDescent="0.25">
      <c r="J1740" s="15"/>
    </row>
    <row r="1741" spans="10:10" x14ac:dyDescent="0.25">
      <c r="J1741" s="15"/>
    </row>
    <row r="1742" spans="10:10" x14ac:dyDescent="0.25">
      <c r="J1742" s="15"/>
    </row>
    <row r="1743" spans="10:10" x14ac:dyDescent="0.25">
      <c r="J1743" s="15"/>
    </row>
    <row r="1744" spans="10:10" x14ac:dyDescent="0.25">
      <c r="J1744" s="15"/>
    </row>
    <row r="1745" spans="10:10" x14ac:dyDescent="0.25">
      <c r="J1745" s="15"/>
    </row>
    <row r="1746" spans="10:10" x14ac:dyDescent="0.25">
      <c r="J1746" s="15"/>
    </row>
    <row r="1747" spans="10:10" x14ac:dyDescent="0.25">
      <c r="J1747" s="15"/>
    </row>
    <row r="1748" spans="10:10" x14ac:dyDescent="0.25">
      <c r="J1748" s="15"/>
    </row>
    <row r="1749" spans="10:10" x14ac:dyDescent="0.25">
      <c r="J1749" s="15"/>
    </row>
    <row r="1750" spans="10:10" x14ac:dyDescent="0.25">
      <c r="J1750" s="15"/>
    </row>
    <row r="1751" spans="10:10" x14ac:dyDescent="0.25">
      <c r="J1751" s="15"/>
    </row>
    <row r="1752" spans="10:10" x14ac:dyDescent="0.25">
      <c r="J1752" s="15"/>
    </row>
    <row r="1753" spans="10:10" x14ac:dyDescent="0.25">
      <c r="J1753" s="15"/>
    </row>
    <row r="1754" spans="10:10" x14ac:dyDescent="0.25">
      <c r="J1754" s="15"/>
    </row>
    <row r="1755" spans="10:10" x14ac:dyDescent="0.25">
      <c r="J1755" s="15"/>
    </row>
    <row r="1756" spans="10:10" x14ac:dyDescent="0.25">
      <c r="J1756" s="15"/>
    </row>
    <row r="1757" spans="10:10" x14ac:dyDescent="0.25">
      <c r="J1757" s="15"/>
    </row>
    <row r="1758" spans="10:10" x14ac:dyDescent="0.25">
      <c r="J1758" s="15"/>
    </row>
    <row r="1759" spans="10:10" x14ac:dyDescent="0.25">
      <c r="J1759" s="15"/>
    </row>
    <row r="1760" spans="10:10" x14ac:dyDescent="0.25">
      <c r="J1760" s="15"/>
    </row>
    <row r="1761" spans="10:10" x14ac:dyDescent="0.25">
      <c r="J1761" s="15"/>
    </row>
    <row r="1762" spans="10:10" x14ac:dyDescent="0.25">
      <c r="J1762" s="15"/>
    </row>
    <row r="1763" spans="10:10" x14ac:dyDescent="0.25">
      <c r="J1763" s="15"/>
    </row>
    <row r="1764" spans="10:10" x14ac:dyDescent="0.25">
      <c r="J1764" s="15"/>
    </row>
    <row r="1765" spans="10:10" x14ac:dyDescent="0.25">
      <c r="J1765" s="15"/>
    </row>
    <row r="1766" spans="10:10" x14ac:dyDescent="0.25">
      <c r="J1766" s="15"/>
    </row>
    <row r="1767" spans="10:10" x14ac:dyDescent="0.25">
      <c r="J1767" s="15"/>
    </row>
    <row r="1768" spans="10:10" x14ac:dyDescent="0.25">
      <c r="J1768" s="15"/>
    </row>
    <row r="1769" spans="10:10" x14ac:dyDescent="0.25">
      <c r="J1769" s="15"/>
    </row>
    <row r="1770" spans="10:10" x14ac:dyDescent="0.25">
      <c r="J1770" s="15"/>
    </row>
    <row r="1771" spans="10:10" x14ac:dyDescent="0.25">
      <c r="J1771" s="15"/>
    </row>
    <row r="1772" spans="10:10" x14ac:dyDescent="0.25">
      <c r="J1772" s="15"/>
    </row>
    <row r="1773" spans="10:10" x14ac:dyDescent="0.25">
      <c r="J1773" s="15"/>
    </row>
    <row r="1774" spans="10:10" x14ac:dyDescent="0.25">
      <c r="J1774" s="15"/>
    </row>
    <row r="1775" spans="10:10" x14ac:dyDescent="0.25">
      <c r="J1775" s="15"/>
    </row>
    <row r="1776" spans="10:10" x14ac:dyDescent="0.25">
      <c r="J1776" s="15"/>
    </row>
    <row r="1777" spans="10:10" x14ac:dyDescent="0.25">
      <c r="J1777" s="15"/>
    </row>
    <row r="1778" spans="10:10" x14ac:dyDescent="0.25">
      <c r="J1778" s="15"/>
    </row>
    <row r="1779" spans="10:10" x14ac:dyDescent="0.25">
      <c r="J1779" s="15"/>
    </row>
    <row r="1780" spans="10:10" x14ac:dyDescent="0.25">
      <c r="J1780" s="15"/>
    </row>
    <row r="1781" spans="10:10" x14ac:dyDescent="0.25">
      <c r="J1781" s="15"/>
    </row>
    <row r="1782" spans="10:10" x14ac:dyDescent="0.25">
      <c r="J1782" s="15"/>
    </row>
    <row r="1783" spans="10:10" x14ac:dyDescent="0.25">
      <c r="J1783" s="15"/>
    </row>
    <row r="1784" spans="10:10" x14ac:dyDescent="0.25">
      <c r="J1784" s="15"/>
    </row>
    <row r="1785" spans="10:10" x14ac:dyDescent="0.25">
      <c r="J1785" s="15"/>
    </row>
    <row r="1786" spans="10:10" x14ac:dyDescent="0.25">
      <c r="J1786" s="15"/>
    </row>
    <row r="1787" spans="10:10" x14ac:dyDescent="0.25">
      <c r="J1787" s="15"/>
    </row>
    <row r="1788" spans="10:10" x14ac:dyDescent="0.25">
      <c r="J1788" s="15"/>
    </row>
    <row r="1789" spans="10:10" x14ac:dyDescent="0.25">
      <c r="J1789" s="15"/>
    </row>
    <row r="1790" spans="10:10" x14ac:dyDescent="0.25">
      <c r="J1790" s="15"/>
    </row>
    <row r="1791" spans="10:10" x14ac:dyDescent="0.25">
      <c r="J1791" s="15"/>
    </row>
    <row r="1792" spans="10:10" x14ac:dyDescent="0.25">
      <c r="J1792" s="15"/>
    </row>
    <row r="1793" spans="10:10" x14ac:dyDescent="0.25">
      <c r="J1793" s="15"/>
    </row>
    <row r="1794" spans="10:10" x14ac:dyDescent="0.25">
      <c r="J1794" s="15"/>
    </row>
    <row r="1795" spans="10:10" x14ac:dyDescent="0.25">
      <c r="J1795" s="15"/>
    </row>
    <row r="1796" spans="10:10" x14ac:dyDescent="0.25">
      <c r="J1796" s="15"/>
    </row>
    <row r="1797" spans="10:10" x14ac:dyDescent="0.25">
      <c r="J1797" s="15"/>
    </row>
    <row r="1798" spans="10:10" x14ac:dyDescent="0.25">
      <c r="J1798" s="15"/>
    </row>
    <row r="1799" spans="10:10" x14ac:dyDescent="0.25">
      <c r="J1799" s="15"/>
    </row>
    <row r="1800" spans="10:10" x14ac:dyDescent="0.25">
      <c r="J1800" s="15"/>
    </row>
    <row r="1801" spans="10:10" x14ac:dyDescent="0.25">
      <c r="J1801" s="15"/>
    </row>
    <row r="1802" spans="10:10" x14ac:dyDescent="0.25">
      <c r="J1802" s="15"/>
    </row>
    <row r="1803" spans="10:10" x14ac:dyDescent="0.25">
      <c r="J1803" s="15"/>
    </row>
    <row r="1804" spans="10:10" x14ac:dyDescent="0.25">
      <c r="J1804" s="15"/>
    </row>
    <row r="1805" spans="10:10" x14ac:dyDescent="0.25">
      <c r="J1805" s="15"/>
    </row>
    <row r="1806" spans="10:10" x14ac:dyDescent="0.25">
      <c r="J1806" s="15"/>
    </row>
    <row r="1807" spans="10:10" x14ac:dyDescent="0.25">
      <c r="J1807" s="15"/>
    </row>
    <row r="1808" spans="10:10" x14ac:dyDescent="0.25">
      <c r="J1808" s="15"/>
    </row>
    <row r="1809" spans="10:10" x14ac:dyDescent="0.25">
      <c r="J1809" s="15"/>
    </row>
    <row r="1810" spans="10:10" x14ac:dyDescent="0.25">
      <c r="J1810" s="15"/>
    </row>
    <row r="1811" spans="10:10" x14ac:dyDescent="0.25">
      <c r="J1811" s="15"/>
    </row>
    <row r="1812" spans="10:10" x14ac:dyDescent="0.25">
      <c r="J1812" s="15"/>
    </row>
    <row r="1813" spans="10:10" x14ac:dyDescent="0.25">
      <c r="J1813" s="15"/>
    </row>
    <row r="1814" spans="10:10" x14ac:dyDescent="0.25">
      <c r="J1814" s="15"/>
    </row>
    <row r="1815" spans="10:10" x14ac:dyDescent="0.25">
      <c r="J1815" s="15"/>
    </row>
    <row r="1816" spans="10:10" x14ac:dyDescent="0.25">
      <c r="J1816" s="15"/>
    </row>
    <row r="1817" spans="10:10" x14ac:dyDescent="0.25">
      <c r="J1817" s="15"/>
    </row>
    <row r="1818" spans="10:10" x14ac:dyDescent="0.25">
      <c r="J1818" s="15"/>
    </row>
    <row r="1819" spans="10:10" x14ac:dyDescent="0.25">
      <c r="J1819" s="15"/>
    </row>
    <row r="1820" spans="10:10" x14ac:dyDescent="0.25">
      <c r="J1820" s="15"/>
    </row>
    <row r="1821" spans="10:10" x14ac:dyDescent="0.25">
      <c r="J1821" s="15"/>
    </row>
    <row r="1822" spans="10:10" x14ac:dyDescent="0.25">
      <c r="J1822" s="15"/>
    </row>
    <row r="1823" spans="10:10" x14ac:dyDescent="0.25">
      <c r="J1823" s="15"/>
    </row>
    <row r="1824" spans="10:10" x14ac:dyDescent="0.25">
      <c r="J1824" s="15"/>
    </row>
    <row r="1825" spans="10:10" x14ac:dyDescent="0.25">
      <c r="J1825" s="15"/>
    </row>
    <row r="1826" spans="10:10" x14ac:dyDescent="0.25">
      <c r="J1826" s="15"/>
    </row>
    <row r="1827" spans="10:10" x14ac:dyDescent="0.25">
      <c r="J1827" s="15"/>
    </row>
    <row r="1828" spans="10:10" x14ac:dyDescent="0.25">
      <c r="J1828" s="15"/>
    </row>
    <row r="1829" spans="10:10" x14ac:dyDescent="0.25">
      <c r="J1829" s="15"/>
    </row>
    <row r="1830" spans="10:10" x14ac:dyDescent="0.25">
      <c r="J1830" s="15"/>
    </row>
    <row r="1831" spans="10:10" x14ac:dyDescent="0.25">
      <c r="J1831" s="15"/>
    </row>
    <row r="1832" spans="10:10" x14ac:dyDescent="0.25">
      <c r="J1832" s="15"/>
    </row>
    <row r="1833" spans="10:10" x14ac:dyDescent="0.25">
      <c r="J1833" s="15"/>
    </row>
    <row r="1834" spans="10:10" x14ac:dyDescent="0.25">
      <c r="J1834" s="15"/>
    </row>
    <row r="1835" spans="10:10" x14ac:dyDescent="0.25">
      <c r="J1835" s="15"/>
    </row>
    <row r="1836" spans="10:10" x14ac:dyDescent="0.25">
      <c r="J1836" s="15"/>
    </row>
    <row r="1837" spans="10:10" x14ac:dyDescent="0.25">
      <c r="J1837" s="15"/>
    </row>
    <row r="1838" spans="10:10" x14ac:dyDescent="0.25">
      <c r="J1838" s="15"/>
    </row>
    <row r="1839" spans="10:10" x14ac:dyDescent="0.25">
      <c r="J1839" s="15"/>
    </row>
    <row r="1840" spans="10:10" x14ac:dyDescent="0.25">
      <c r="J1840" s="15"/>
    </row>
    <row r="1841" spans="10:10" x14ac:dyDescent="0.25">
      <c r="J1841" s="15"/>
    </row>
    <row r="1842" spans="10:10" x14ac:dyDescent="0.25">
      <c r="J1842" s="15"/>
    </row>
    <row r="1843" spans="10:10" x14ac:dyDescent="0.25">
      <c r="J1843" s="15"/>
    </row>
    <row r="1844" spans="10:10" x14ac:dyDescent="0.25">
      <c r="J1844" s="15"/>
    </row>
    <row r="1845" spans="10:10" x14ac:dyDescent="0.25">
      <c r="J1845" s="15"/>
    </row>
    <row r="1846" spans="10:10" x14ac:dyDescent="0.25">
      <c r="J1846" s="15"/>
    </row>
    <row r="1847" spans="10:10" x14ac:dyDescent="0.25">
      <c r="J1847" s="15"/>
    </row>
    <row r="1848" spans="10:10" x14ac:dyDescent="0.25">
      <c r="J1848" s="15"/>
    </row>
    <row r="1849" spans="10:10" x14ac:dyDescent="0.25">
      <c r="J1849" s="15"/>
    </row>
    <row r="1850" spans="10:10" x14ac:dyDescent="0.25">
      <c r="J1850" s="15"/>
    </row>
    <row r="1851" spans="10:10" x14ac:dyDescent="0.25">
      <c r="J1851" s="15"/>
    </row>
    <row r="1852" spans="10:10" x14ac:dyDescent="0.25">
      <c r="J1852" s="15"/>
    </row>
    <row r="1853" spans="10:10" x14ac:dyDescent="0.25">
      <c r="J1853" s="15"/>
    </row>
    <row r="1854" spans="10:10" x14ac:dyDescent="0.25">
      <c r="J1854" s="15"/>
    </row>
    <row r="1855" spans="10:10" x14ac:dyDescent="0.25">
      <c r="J1855" s="15"/>
    </row>
    <row r="1856" spans="10:10" x14ac:dyDescent="0.25">
      <c r="J1856" s="15"/>
    </row>
    <row r="1857" spans="10:10" x14ac:dyDescent="0.25">
      <c r="J1857" s="15"/>
    </row>
    <row r="1858" spans="10:10" x14ac:dyDescent="0.25">
      <c r="J1858" s="15"/>
    </row>
    <row r="1859" spans="10:10" x14ac:dyDescent="0.25">
      <c r="J1859" s="15"/>
    </row>
    <row r="1860" spans="10:10" x14ac:dyDescent="0.25">
      <c r="J1860" s="15"/>
    </row>
    <row r="1861" spans="10:10" x14ac:dyDescent="0.25">
      <c r="J1861" s="15"/>
    </row>
    <row r="1862" spans="10:10" x14ac:dyDescent="0.25">
      <c r="J1862" s="15"/>
    </row>
    <row r="1863" spans="10:10" x14ac:dyDescent="0.25">
      <c r="J1863" s="15"/>
    </row>
    <row r="1864" spans="10:10" x14ac:dyDescent="0.25">
      <c r="J1864" s="15"/>
    </row>
    <row r="1865" spans="10:10" x14ac:dyDescent="0.25">
      <c r="J1865" s="15"/>
    </row>
    <row r="1866" spans="10:10" x14ac:dyDescent="0.25">
      <c r="J1866" s="15"/>
    </row>
    <row r="1867" spans="10:10" x14ac:dyDescent="0.25">
      <c r="J1867" s="15"/>
    </row>
    <row r="1868" spans="10:10" x14ac:dyDescent="0.25">
      <c r="J1868" s="15"/>
    </row>
    <row r="1869" spans="10:10" x14ac:dyDescent="0.25">
      <c r="J1869" s="15"/>
    </row>
    <row r="1870" spans="10:10" x14ac:dyDescent="0.25">
      <c r="J1870" s="15"/>
    </row>
    <row r="1871" spans="10:10" x14ac:dyDescent="0.25">
      <c r="J1871" s="15"/>
    </row>
    <row r="1872" spans="10:10" x14ac:dyDescent="0.25">
      <c r="J1872" s="15"/>
    </row>
    <row r="1873" spans="10:10" x14ac:dyDescent="0.25">
      <c r="J1873" s="15"/>
    </row>
    <row r="1874" spans="10:10" x14ac:dyDescent="0.25">
      <c r="J1874" s="15"/>
    </row>
    <row r="1875" spans="10:10" x14ac:dyDescent="0.25">
      <c r="J1875" s="15"/>
    </row>
    <row r="1876" spans="10:10" x14ac:dyDescent="0.25">
      <c r="J1876" s="15"/>
    </row>
    <row r="1877" spans="10:10" x14ac:dyDescent="0.25">
      <c r="J1877" s="15"/>
    </row>
    <row r="1878" spans="10:10" x14ac:dyDescent="0.25">
      <c r="J1878" s="15"/>
    </row>
    <row r="1879" spans="10:10" x14ac:dyDescent="0.25">
      <c r="J1879" s="15"/>
    </row>
    <row r="1880" spans="10:10" x14ac:dyDescent="0.25">
      <c r="J1880" s="15"/>
    </row>
    <row r="1881" spans="10:10" x14ac:dyDescent="0.25">
      <c r="J1881" s="15"/>
    </row>
    <row r="1882" spans="10:10" x14ac:dyDescent="0.25">
      <c r="J1882" s="15"/>
    </row>
    <row r="1883" spans="10:10" x14ac:dyDescent="0.25">
      <c r="J1883" s="15"/>
    </row>
    <row r="1884" spans="10:10" x14ac:dyDescent="0.25">
      <c r="J1884" s="15"/>
    </row>
    <row r="1885" spans="10:10" x14ac:dyDescent="0.25">
      <c r="J1885" s="15"/>
    </row>
    <row r="1886" spans="10:10" x14ac:dyDescent="0.25">
      <c r="J1886" s="15"/>
    </row>
    <row r="1887" spans="10:10" x14ac:dyDescent="0.25">
      <c r="J1887" s="15"/>
    </row>
    <row r="1888" spans="10:10" x14ac:dyDescent="0.25">
      <c r="J1888" s="15"/>
    </row>
    <row r="1889" spans="10:10" x14ac:dyDescent="0.25">
      <c r="J1889" s="15"/>
    </row>
    <row r="1890" spans="10:10" x14ac:dyDescent="0.25">
      <c r="J1890" s="15"/>
    </row>
    <row r="1891" spans="10:10" x14ac:dyDescent="0.25">
      <c r="J1891" s="15"/>
    </row>
    <row r="1892" spans="10:10" x14ac:dyDescent="0.25">
      <c r="J1892" s="15"/>
    </row>
    <row r="1893" spans="10:10" x14ac:dyDescent="0.25">
      <c r="J1893" s="15"/>
    </row>
    <row r="1894" spans="10:10" x14ac:dyDescent="0.25">
      <c r="J1894" s="15"/>
    </row>
    <row r="1895" spans="10:10" x14ac:dyDescent="0.25">
      <c r="J1895" s="15"/>
    </row>
    <row r="1896" spans="10:10" x14ac:dyDescent="0.25">
      <c r="J1896" s="15"/>
    </row>
    <row r="1897" spans="10:10" x14ac:dyDescent="0.25">
      <c r="J1897" s="15"/>
    </row>
    <row r="1898" spans="10:10" x14ac:dyDescent="0.25">
      <c r="J1898" s="15"/>
    </row>
    <row r="1899" spans="10:10" x14ac:dyDescent="0.25">
      <c r="J1899" s="15"/>
    </row>
    <row r="1900" spans="10:10" x14ac:dyDescent="0.25">
      <c r="J1900" s="15"/>
    </row>
    <row r="1901" spans="10:10" x14ac:dyDescent="0.25">
      <c r="J1901" s="15"/>
    </row>
    <row r="1902" spans="10:10" x14ac:dyDescent="0.25">
      <c r="J1902" s="15"/>
    </row>
    <row r="1903" spans="10:10" x14ac:dyDescent="0.25">
      <c r="J1903" s="15"/>
    </row>
    <row r="1904" spans="10:10" x14ac:dyDescent="0.25">
      <c r="J1904" s="15"/>
    </row>
    <row r="1905" spans="10:10" x14ac:dyDescent="0.25">
      <c r="J1905" s="15"/>
    </row>
    <row r="1906" spans="10:10" x14ac:dyDescent="0.25">
      <c r="J1906" s="15"/>
    </row>
    <row r="1907" spans="10:10" x14ac:dyDescent="0.25">
      <c r="J1907" s="15"/>
    </row>
    <row r="1908" spans="10:10" x14ac:dyDescent="0.25">
      <c r="J1908" s="15"/>
    </row>
    <row r="1909" spans="10:10" x14ac:dyDescent="0.25">
      <c r="J1909" s="15"/>
    </row>
    <row r="1910" spans="10:10" x14ac:dyDescent="0.25">
      <c r="J1910" s="15"/>
    </row>
    <row r="1911" spans="10:10" x14ac:dyDescent="0.25">
      <c r="J1911" s="15"/>
    </row>
    <row r="1912" spans="10:10" x14ac:dyDescent="0.25">
      <c r="J1912" s="15"/>
    </row>
    <row r="1913" spans="10:10" x14ac:dyDescent="0.25">
      <c r="J1913" s="15"/>
    </row>
    <row r="1914" spans="10:10" x14ac:dyDescent="0.25">
      <c r="J1914" s="15"/>
    </row>
    <row r="1915" spans="10:10" x14ac:dyDescent="0.25">
      <c r="J1915" s="15"/>
    </row>
    <row r="1916" spans="10:10" x14ac:dyDescent="0.25">
      <c r="J1916" s="15"/>
    </row>
    <row r="1917" spans="10:10" x14ac:dyDescent="0.25">
      <c r="J1917" s="15"/>
    </row>
    <row r="1918" spans="10:10" x14ac:dyDescent="0.25">
      <c r="J1918" s="15"/>
    </row>
    <row r="1919" spans="10:10" x14ac:dyDescent="0.25">
      <c r="J1919" s="15"/>
    </row>
    <row r="1920" spans="10:10" x14ac:dyDescent="0.25">
      <c r="J1920" s="15"/>
    </row>
    <row r="1921" spans="10:10" x14ac:dyDescent="0.25">
      <c r="J1921" s="15"/>
    </row>
    <row r="1922" spans="10:10" x14ac:dyDescent="0.25">
      <c r="J1922" s="15"/>
    </row>
    <row r="1923" spans="10:10" x14ac:dyDescent="0.25">
      <c r="J1923" s="15"/>
    </row>
    <row r="1924" spans="10:10" x14ac:dyDescent="0.25">
      <c r="J1924" s="15"/>
    </row>
    <row r="1925" spans="10:10" x14ac:dyDescent="0.25">
      <c r="J1925" s="15"/>
    </row>
    <row r="1926" spans="10:10" x14ac:dyDescent="0.25">
      <c r="J1926" s="15"/>
    </row>
    <row r="1927" spans="10:10" x14ac:dyDescent="0.25">
      <c r="J1927" s="15"/>
    </row>
    <row r="1928" spans="10:10" x14ac:dyDescent="0.25">
      <c r="J1928" s="15"/>
    </row>
    <row r="1929" spans="10:10" x14ac:dyDescent="0.25">
      <c r="J1929" s="15"/>
    </row>
    <row r="1930" spans="10:10" x14ac:dyDescent="0.25">
      <c r="J1930" s="15"/>
    </row>
    <row r="1931" spans="10:10" x14ac:dyDescent="0.25">
      <c r="J1931" s="15"/>
    </row>
    <row r="1932" spans="10:10" x14ac:dyDescent="0.25">
      <c r="J1932" s="15"/>
    </row>
    <row r="1933" spans="10:10" x14ac:dyDescent="0.25">
      <c r="J1933" s="15"/>
    </row>
    <row r="1934" spans="10:10" x14ac:dyDescent="0.25">
      <c r="J1934" s="15"/>
    </row>
    <row r="1935" spans="10:10" x14ac:dyDescent="0.25">
      <c r="J1935" s="15"/>
    </row>
    <row r="1936" spans="10:10" x14ac:dyDescent="0.25">
      <c r="J1936" s="15"/>
    </row>
    <row r="1937" spans="10:10" x14ac:dyDescent="0.25">
      <c r="J1937" s="15"/>
    </row>
    <row r="1938" spans="10:10" x14ac:dyDescent="0.25">
      <c r="J1938" s="15"/>
    </row>
    <row r="1939" spans="10:10" x14ac:dyDescent="0.25">
      <c r="J1939" s="15"/>
    </row>
    <row r="1940" spans="10:10" x14ac:dyDescent="0.25">
      <c r="J1940" s="15"/>
    </row>
    <row r="1941" spans="10:10" x14ac:dyDescent="0.25">
      <c r="J1941" s="15"/>
    </row>
    <row r="1942" spans="10:10" x14ac:dyDescent="0.25">
      <c r="J1942" s="15"/>
    </row>
    <row r="1943" spans="10:10" x14ac:dyDescent="0.25">
      <c r="J1943" s="15"/>
    </row>
    <row r="1944" spans="10:10" x14ac:dyDescent="0.25">
      <c r="J1944" s="15"/>
    </row>
    <row r="1945" spans="10:10" x14ac:dyDescent="0.25">
      <c r="J1945" s="15"/>
    </row>
    <row r="1946" spans="10:10" x14ac:dyDescent="0.25">
      <c r="J1946" s="15"/>
    </row>
    <row r="1947" spans="10:10" x14ac:dyDescent="0.25">
      <c r="J1947" s="15"/>
    </row>
    <row r="1948" spans="10:10" x14ac:dyDescent="0.25">
      <c r="J1948" s="15"/>
    </row>
    <row r="1949" spans="10:10" x14ac:dyDescent="0.25">
      <c r="J1949" s="15"/>
    </row>
    <row r="1950" spans="10:10" x14ac:dyDescent="0.25">
      <c r="J1950" s="15"/>
    </row>
    <row r="1951" spans="10:10" x14ac:dyDescent="0.25">
      <c r="J1951" s="15"/>
    </row>
    <row r="1952" spans="10:10" x14ac:dyDescent="0.25">
      <c r="J1952" s="15"/>
    </row>
    <row r="1953" spans="10:10" x14ac:dyDescent="0.25">
      <c r="J1953" s="15"/>
    </row>
    <row r="1954" spans="10:10" x14ac:dyDescent="0.25">
      <c r="J1954" s="15"/>
    </row>
    <row r="1955" spans="10:10" x14ac:dyDescent="0.25">
      <c r="J1955" s="15"/>
    </row>
    <row r="1956" spans="10:10" x14ac:dyDescent="0.25">
      <c r="J1956" s="15"/>
    </row>
    <row r="1957" spans="10:10" x14ac:dyDescent="0.25">
      <c r="J1957" s="15"/>
    </row>
    <row r="1958" spans="10:10" x14ac:dyDescent="0.25">
      <c r="J1958" s="15"/>
    </row>
    <row r="1959" spans="10:10" x14ac:dyDescent="0.25">
      <c r="J1959" s="15"/>
    </row>
    <row r="1960" spans="10:10" x14ac:dyDescent="0.25">
      <c r="J1960" s="15"/>
    </row>
    <row r="1961" spans="10:10" x14ac:dyDescent="0.25">
      <c r="J1961" s="15"/>
    </row>
    <row r="1962" spans="10:10" x14ac:dyDescent="0.25">
      <c r="J1962" s="15"/>
    </row>
    <row r="1963" spans="10:10" x14ac:dyDescent="0.25">
      <c r="J1963" s="15"/>
    </row>
    <row r="1964" spans="10:10" x14ac:dyDescent="0.25">
      <c r="J1964" s="15"/>
    </row>
    <row r="1965" spans="10:10" x14ac:dyDescent="0.25">
      <c r="J1965" s="15"/>
    </row>
    <row r="1966" spans="10:10" x14ac:dyDescent="0.25">
      <c r="J1966" s="15"/>
    </row>
    <row r="1967" spans="10:10" x14ac:dyDescent="0.25">
      <c r="J1967" s="15"/>
    </row>
    <row r="1968" spans="10:10" x14ac:dyDescent="0.25">
      <c r="J1968" s="15"/>
    </row>
    <row r="1969" spans="10:10" x14ac:dyDescent="0.25">
      <c r="J1969" s="15"/>
    </row>
    <row r="1970" spans="10:10" x14ac:dyDescent="0.25">
      <c r="J1970" s="15"/>
    </row>
    <row r="1971" spans="10:10" x14ac:dyDescent="0.25">
      <c r="J1971" s="15"/>
    </row>
    <row r="1972" spans="10:10" x14ac:dyDescent="0.25">
      <c r="J1972" s="15"/>
    </row>
    <row r="1973" spans="10:10" x14ac:dyDescent="0.25">
      <c r="J1973" s="15"/>
    </row>
    <row r="1974" spans="10:10" x14ac:dyDescent="0.25">
      <c r="J1974" s="15"/>
    </row>
    <row r="1975" spans="10:10" x14ac:dyDescent="0.25">
      <c r="J1975" s="15"/>
    </row>
    <row r="1976" spans="10:10" x14ac:dyDescent="0.25">
      <c r="J1976" s="15"/>
    </row>
    <row r="1977" spans="10:10" x14ac:dyDescent="0.25">
      <c r="J1977" s="15"/>
    </row>
    <row r="1978" spans="10:10" x14ac:dyDescent="0.25">
      <c r="J1978" s="15"/>
    </row>
    <row r="1979" spans="10:10" x14ac:dyDescent="0.25">
      <c r="J1979" s="15"/>
    </row>
    <row r="1980" spans="10:10" x14ac:dyDescent="0.25">
      <c r="J1980" s="15"/>
    </row>
    <row r="1981" spans="10:10" x14ac:dyDescent="0.25">
      <c r="J1981" s="15"/>
    </row>
    <row r="1982" spans="10:10" x14ac:dyDescent="0.25">
      <c r="J1982" s="15"/>
    </row>
    <row r="1983" spans="10:10" x14ac:dyDescent="0.25">
      <c r="J1983" s="15"/>
    </row>
    <row r="1984" spans="10:10" x14ac:dyDescent="0.25">
      <c r="J1984" s="15"/>
    </row>
    <row r="1985" spans="10:10" x14ac:dyDescent="0.25">
      <c r="J1985" s="15"/>
    </row>
    <row r="1986" spans="10:10" x14ac:dyDescent="0.25">
      <c r="J1986" s="15"/>
    </row>
    <row r="1987" spans="10:10" x14ac:dyDescent="0.25">
      <c r="J1987" s="15"/>
    </row>
    <row r="1988" spans="10:10" x14ac:dyDescent="0.25">
      <c r="J1988" s="15"/>
    </row>
    <row r="1989" spans="10:10" x14ac:dyDescent="0.25">
      <c r="J1989" s="15"/>
    </row>
    <row r="1990" spans="10:10" x14ac:dyDescent="0.25">
      <c r="J1990" s="15"/>
    </row>
    <row r="1991" spans="10:10" x14ac:dyDescent="0.25">
      <c r="J1991" s="15"/>
    </row>
    <row r="1992" spans="10:10" x14ac:dyDescent="0.25">
      <c r="J1992" s="15"/>
    </row>
    <row r="1993" spans="10:10" x14ac:dyDescent="0.25">
      <c r="J1993" s="15"/>
    </row>
    <row r="1994" spans="10:10" x14ac:dyDescent="0.25">
      <c r="J1994" s="15"/>
    </row>
    <row r="1995" spans="10:10" x14ac:dyDescent="0.25">
      <c r="J1995" s="15"/>
    </row>
    <row r="1996" spans="10:10" x14ac:dyDescent="0.25">
      <c r="J1996" s="15"/>
    </row>
    <row r="1997" spans="10:10" x14ac:dyDescent="0.25">
      <c r="J1997" s="15"/>
    </row>
    <row r="1998" spans="10:10" x14ac:dyDescent="0.25">
      <c r="J1998" s="15"/>
    </row>
    <row r="1999" spans="10:10" x14ac:dyDescent="0.25">
      <c r="J1999" s="15"/>
    </row>
    <row r="2000" spans="10:10" x14ac:dyDescent="0.25">
      <c r="J2000" s="15"/>
    </row>
    <row r="2001" spans="10:10" x14ac:dyDescent="0.25">
      <c r="J2001" s="15"/>
    </row>
    <row r="2002" spans="10:10" x14ac:dyDescent="0.25">
      <c r="J2002" s="15"/>
    </row>
    <row r="2003" spans="10:10" x14ac:dyDescent="0.25">
      <c r="J2003" s="15"/>
    </row>
    <row r="2004" spans="10:10" x14ac:dyDescent="0.25">
      <c r="J2004" s="15"/>
    </row>
    <row r="2005" spans="10:10" x14ac:dyDescent="0.25">
      <c r="J2005" s="15"/>
    </row>
    <row r="2006" spans="10:10" x14ac:dyDescent="0.25">
      <c r="J2006" s="15"/>
    </row>
    <row r="2007" spans="10:10" x14ac:dyDescent="0.25">
      <c r="J2007" s="15"/>
    </row>
    <row r="2008" spans="10:10" x14ac:dyDescent="0.25">
      <c r="J2008" s="15"/>
    </row>
    <row r="2009" spans="10:10" x14ac:dyDescent="0.25">
      <c r="J2009" s="15"/>
    </row>
    <row r="2010" spans="10:10" x14ac:dyDescent="0.25">
      <c r="J2010" s="15"/>
    </row>
    <row r="2011" spans="10:10" x14ac:dyDescent="0.25">
      <c r="J2011" s="15"/>
    </row>
    <row r="2012" spans="10:10" x14ac:dyDescent="0.25">
      <c r="J2012" s="15"/>
    </row>
    <row r="2013" spans="10:10" x14ac:dyDescent="0.25">
      <c r="J2013" s="15"/>
    </row>
    <row r="2014" spans="10:10" x14ac:dyDescent="0.25">
      <c r="J2014" s="15"/>
    </row>
    <row r="2015" spans="10:10" x14ac:dyDescent="0.25">
      <c r="J2015" s="15"/>
    </row>
    <row r="2016" spans="10:10" x14ac:dyDescent="0.25">
      <c r="J2016" s="15"/>
    </row>
    <row r="2017" spans="10:10" x14ac:dyDescent="0.25">
      <c r="J2017" s="15"/>
    </row>
    <row r="2018" spans="10:10" x14ac:dyDescent="0.25">
      <c r="J2018" s="15"/>
    </row>
    <row r="2019" spans="10:10" x14ac:dyDescent="0.25">
      <c r="J2019" s="15"/>
    </row>
    <row r="2020" spans="10:10" x14ac:dyDescent="0.25">
      <c r="J2020" s="15"/>
    </row>
    <row r="2021" spans="10:10" x14ac:dyDescent="0.25">
      <c r="J2021" s="15"/>
    </row>
    <row r="2022" spans="10:10" x14ac:dyDescent="0.25">
      <c r="J2022" s="15"/>
    </row>
    <row r="2023" spans="10:10" x14ac:dyDescent="0.25">
      <c r="J2023" s="15"/>
    </row>
    <row r="2024" spans="10:10" x14ac:dyDescent="0.25">
      <c r="J2024" s="15"/>
    </row>
    <row r="2025" spans="10:10" x14ac:dyDescent="0.25">
      <c r="J2025" s="15"/>
    </row>
    <row r="2026" spans="10:10" x14ac:dyDescent="0.25">
      <c r="J2026" s="15"/>
    </row>
    <row r="2027" spans="10:10" x14ac:dyDescent="0.25">
      <c r="J2027" s="15"/>
    </row>
    <row r="2028" spans="10:10" x14ac:dyDescent="0.25">
      <c r="J2028" s="15"/>
    </row>
    <row r="2029" spans="10:10" x14ac:dyDescent="0.25">
      <c r="J2029" s="15"/>
    </row>
    <row r="2030" spans="10:10" x14ac:dyDescent="0.25">
      <c r="J2030" s="15"/>
    </row>
    <row r="2031" spans="10:10" x14ac:dyDescent="0.25">
      <c r="J2031" s="15"/>
    </row>
    <row r="2032" spans="10:10" x14ac:dyDescent="0.25">
      <c r="J2032" s="15"/>
    </row>
    <row r="2033" spans="10:10" x14ac:dyDescent="0.25">
      <c r="J2033" s="15"/>
    </row>
    <row r="2034" spans="10:10" x14ac:dyDescent="0.25">
      <c r="J2034" s="15"/>
    </row>
    <row r="2035" spans="10:10" x14ac:dyDescent="0.25">
      <c r="J2035" s="15"/>
    </row>
    <row r="2036" spans="10:10" x14ac:dyDescent="0.25">
      <c r="J2036" s="15"/>
    </row>
    <row r="2037" spans="10:10" x14ac:dyDescent="0.25">
      <c r="J2037" s="15"/>
    </row>
    <row r="2038" spans="10:10" x14ac:dyDescent="0.25">
      <c r="J2038" s="15"/>
    </row>
    <row r="2039" spans="10:10" x14ac:dyDescent="0.25">
      <c r="J2039" s="15"/>
    </row>
    <row r="2040" spans="10:10" x14ac:dyDescent="0.25">
      <c r="J2040" s="15"/>
    </row>
    <row r="2041" spans="10:10" x14ac:dyDescent="0.25">
      <c r="J2041" s="15"/>
    </row>
    <row r="2042" spans="10:10" x14ac:dyDescent="0.25">
      <c r="J2042" s="15"/>
    </row>
    <row r="2043" spans="10:10" x14ac:dyDescent="0.25">
      <c r="J2043" s="15"/>
    </row>
    <row r="2044" spans="10:10" x14ac:dyDescent="0.25">
      <c r="J2044" s="15"/>
    </row>
    <row r="2045" spans="10:10" x14ac:dyDescent="0.25">
      <c r="J2045" s="15"/>
    </row>
    <row r="2046" spans="10:10" x14ac:dyDescent="0.25">
      <c r="J2046" s="15"/>
    </row>
    <row r="2047" spans="10:10" x14ac:dyDescent="0.25">
      <c r="J2047" s="15"/>
    </row>
    <row r="2048" spans="10:10" x14ac:dyDescent="0.25">
      <c r="J2048" s="15"/>
    </row>
    <row r="2049" spans="10:10" x14ac:dyDescent="0.25">
      <c r="J2049" s="15"/>
    </row>
    <row r="2050" spans="10:10" x14ac:dyDescent="0.25">
      <c r="J2050" s="15"/>
    </row>
    <row r="2051" spans="10:10" x14ac:dyDescent="0.25">
      <c r="J2051" s="15"/>
    </row>
    <row r="2052" spans="10:10" x14ac:dyDescent="0.25">
      <c r="J2052" s="15"/>
    </row>
    <row r="2053" spans="10:10" x14ac:dyDescent="0.25">
      <c r="J2053" s="15"/>
    </row>
    <row r="2054" spans="10:10" x14ac:dyDescent="0.25">
      <c r="J2054" s="15"/>
    </row>
    <row r="2055" spans="10:10" x14ac:dyDescent="0.25">
      <c r="J2055" s="15"/>
    </row>
    <row r="2056" spans="10:10" x14ac:dyDescent="0.25">
      <c r="J2056" s="15"/>
    </row>
    <row r="2057" spans="10:10" x14ac:dyDescent="0.25">
      <c r="J2057" s="15"/>
    </row>
    <row r="2058" spans="10:10" x14ac:dyDescent="0.25">
      <c r="J2058" s="15"/>
    </row>
    <row r="2059" spans="10:10" x14ac:dyDescent="0.25">
      <c r="J2059" s="15"/>
    </row>
    <row r="2060" spans="10:10" x14ac:dyDescent="0.25">
      <c r="J2060" s="15"/>
    </row>
    <row r="2061" spans="10:10" x14ac:dyDescent="0.25">
      <c r="J2061" s="15"/>
    </row>
    <row r="2062" spans="10:10" x14ac:dyDescent="0.25">
      <c r="J2062" s="15"/>
    </row>
    <row r="2063" spans="10:10" x14ac:dyDescent="0.25">
      <c r="J2063" s="15"/>
    </row>
    <row r="2064" spans="10:10" x14ac:dyDescent="0.25">
      <c r="J2064" s="15"/>
    </row>
    <row r="2065" spans="10:10" x14ac:dyDescent="0.25">
      <c r="J2065" s="15"/>
    </row>
    <row r="2066" spans="10:10" x14ac:dyDescent="0.25">
      <c r="J2066" s="15"/>
    </row>
    <row r="2067" spans="10:10" x14ac:dyDescent="0.25">
      <c r="J2067" s="15"/>
    </row>
    <row r="2068" spans="10:10" x14ac:dyDescent="0.25">
      <c r="J2068" s="15"/>
    </row>
    <row r="2069" spans="10:10" x14ac:dyDescent="0.25">
      <c r="J2069" s="15"/>
    </row>
    <row r="2070" spans="10:10" x14ac:dyDescent="0.25">
      <c r="J2070" s="15"/>
    </row>
    <row r="2071" spans="10:10" x14ac:dyDescent="0.25">
      <c r="J2071" s="15"/>
    </row>
    <row r="2072" spans="10:10" x14ac:dyDescent="0.25">
      <c r="J2072" s="15"/>
    </row>
    <row r="2073" spans="10:10" x14ac:dyDescent="0.25">
      <c r="J2073" s="15"/>
    </row>
    <row r="2074" spans="10:10" x14ac:dyDescent="0.25">
      <c r="J2074" s="15"/>
    </row>
    <row r="2075" spans="10:10" x14ac:dyDescent="0.25">
      <c r="J2075" s="15"/>
    </row>
    <row r="2076" spans="10:10" x14ac:dyDescent="0.25">
      <c r="J2076" s="15"/>
    </row>
    <row r="2077" spans="10:10" x14ac:dyDescent="0.25">
      <c r="J2077" s="15"/>
    </row>
    <row r="2078" spans="10:10" x14ac:dyDescent="0.25">
      <c r="J2078" s="15"/>
    </row>
    <row r="2079" spans="10:10" x14ac:dyDescent="0.25">
      <c r="J2079" s="15"/>
    </row>
    <row r="2080" spans="10:10" x14ac:dyDescent="0.25">
      <c r="J2080" s="15"/>
    </row>
    <row r="2081" spans="10:10" x14ac:dyDescent="0.25">
      <c r="J2081" s="15"/>
    </row>
    <row r="2082" spans="10:10" x14ac:dyDescent="0.25">
      <c r="J2082" s="15"/>
    </row>
    <row r="2083" spans="10:10" x14ac:dyDescent="0.25">
      <c r="J2083" s="15"/>
    </row>
    <row r="2084" spans="10:10" x14ac:dyDescent="0.25">
      <c r="J2084" s="15"/>
    </row>
    <row r="2085" spans="10:10" x14ac:dyDescent="0.25">
      <c r="J2085" s="15"/>
    </row>
    <row r="2086" spans="10:10" x14ac:dyDescent="0.25">
      <c r="J2086" s="15"/>
    </row>
    <row r="2087" spans="10:10" x14ac:dyDescent="0.25">
      <c r="J2087" s="15"/>
    </row>
    <row r="2088" spans="10:10" x14ac:dyDescent="0.25">
      <c r="J2088" s="15"/>
    </row>
    <row r="2089" spans="10:10" x14ac:dyDescent="0.25">
      <c r="J2089" s="15"/>
    </row>
    <row r="2090" spans="10:10" x14ac:dyDescent="0.25">
      <c r="J2090" s="15"/>
    </row>
    <row r="2091" spans="10:10" x14ac:dyDescent="0.25">
      <c r="J2091" s="15"/>
    </row>
    <row r="2092" spans="10:10" x14ac:dyDescent="0.25">
      <c r="J2092" s="15"/>
    </row>
    <row r="2093" spans="10:10" x14ac:dyDescent="0.25">
      <c r="J2093" s="15"/>
    </row>
    <row r="2094" spans="10:10" x14ac:dyDescent="0.25">
      <c r="J2094" s="15"/>
    </row>
    <row r="2095" spans="10:10" x14ac:dyDescent="0.25">
      <c r="J2095" s="15"/>
    </row>
    <row r="2096" spans="10:10" x14ac:dyDescent="0.25">
      <c r="J2096" s="15"/>
    </row>
    <row r="2097" spans="10:10" x14ac:dyDescent="0.25">
      <c r="J2097" s="15"/>
    </row>
    <row r="2098" spans="10:10" x14ac:dyDescent="0.25">
      <c r="J2098" s="15"/>
    </row>
    <row r="2099" spans="10:10" x14ac:dyDescent="0.25">
      <c r="J2099" s="15"/>
    </row>
    <row r="2100" spans="10:10" x14ac:dyDescent="0.25">
      <c r="J2100" s="15"/>
    </row>
    <row r="2101" spans="10:10" x14ac:dyDescent="0.25">
      <c r="J2101" s="15"/>
    </row>
    <row r="2102" spans="10:10" x14ac:dyDescent="0.25">
      <c r="J2102" s="15"/>
    </row>
    <row r="2103" spans="10:10" x14ac:dyDescent="0.25">
      <c r="J2103" s="15"/>
    </row>
    <row r="2104" spans="10:10" x14ac:dyDescent="0.25">
      <c r="J2104" s="15"/>
    </row>
    <row r="2105" spans="10:10" x14ac:dyDescent="0.25">
      <c r="J2105" s="15"/>
    </row>
    <row r="2106" spans="10:10" x14ac:dyDescent="0.25">
      <c r="J2106" s="15"/>
    </row>
    <row r="2107" spans="10:10" x14ac:dyDescent="0.25">
      <c r="J2107" s="15"/>
    </row>
    <row r="2108" spans="10:10" x14ac:dyDescent="0.25">
      <c r="J2108" s="15"/>
    </row>
    <row r="2109" spans="10:10" x14ac:dyDescent="0.25">
      <c r="J2109" s="15"/>
    </row>
    <row r="2110" spans="10:10" x14ac:dyDescent="0.25">
      <c r="J2110" s="15"/>
    </row>
    <row r="2111" spans="10:10" x14ac:dyDescent="0.25">
      <c r="J2111" s="15"/>
    </row>
    <row r="2112" spans="10:10" x14ac:dyDescent="0.25">
      <c r="J2112" s="15"/>
    </row>
    <row r="2113" spans="10:10" x14ac:dyDescent="0.25">
      <c r="J2113" s="15"/>
    </row>
    <row r="2114" spans="10:10" x14ac:dyDescent="0.25">
      <c r="J2114" s="15"/>
    </row>
    <row r="2115" spans="10:10" x14ac:dyDescent="0.25">
      <c r="J2115" s="15"/>
    </row>
    <row r="2116" spans="10:10" x14ac:dyDescent="0.25">
      <c r="J2116" s="15"/>
    </row>
    <row r="2117" spans="10:10" x14ac:dyDescent="0.25">
      <c r="J2117" s="15"/>
    </row>
    <row r="2118" spans="10:10" x14ac:dyDescent="0.25">
      <c r="J2118" s="15"/>
    </row>
    <row r="2119" spans="10:10" x14ac:dyDescent="0.25">
      <c r="J2119" s="15"/>
    </row>
    <row r="2120" spans="10:10" x14ac:dyDescent="0.25">
      <c r="J2120" s="15"/>
    </row>
    <row r="2121" spans="10:10" x14ac:dyDescent="0.25">
      <c r="J2121" s="15"/>
    </row>
    <row r="2122" spans="10:10" x14ac:dyDescent="0.25">
      <c r="J2122" s="15"/>
    </row>
    <row r="2123" spans="10:10" x14ac:dyDescent="0.25">
      <c r="J2123" s="15"/>
    </row>
    <row r="2124" spans="10:10" x14ac:dyDescent="0.25">
      <c r="J2124" s="15"/>
    </row>
    <row r="2125" spans="10:10" x14ac:dyDescent="0.25">
      <c r="J2125" s="15"/>
    </row>
    <row r="2126" spans="10:10" x14ac:dyDescent="0.25">
      <c r="J2126" s="15"/>
    </row>
    <row r="2127" spans="10:10" x14ac:dyDescent="0.25">
      <c r="J2127" s="15"/>
    </row>
    <row r="2128" spans="10:10" x14ac:dyDescent="0.25">
      <c r="J2128" s="15"/>
    </row>
    <row r="2129" spans="10:10" x14ac:dyDescent="0.25">
      <c r="J2129" s="15"/>
    </row>
    <row r="2130" spans="10:10" x14ac:dyDescent="0.25">
      <c r="J2130" s="15"/>
    </row>
    <row r="2131" spans="10:10" x14ac:dyDescent="0.25">
      <c r="J2131" s="15"/>
    </row>
    <row r="2132" spans="10:10" x14ac:dyDescent="0.25">
      <c r="J2132" s="15"/>
    </row>
    <row r="2133" spans="10:10" x14ac:dyDescent="0.25">
      <c r="J2133" s="15"/>
    </row>
    <row r="2134" spans="10:10" x14ac:dyDescent="0.25">
      <c r="J2134" s="15"/>
    </row>
    <row r="2135" spans="10:10" x14ac:dyDescent="0.25">
      <c r="J2135" s="15"/>
    </row>
    <row r="2136" spans="10:10" x14ac:dyDescent="0.25">
      <c r="J2136" s="15"/>
    </row>
    <row r="2137" spans="10:10" x14ac:dyDescent="0.25">
      <c r="J2137" s="15"/>
    </row>
    <row r="2138" spans="10:10" x14ac:dyDescent="0.25">
      <c r="J2138" s="15"/>
    </row>
    <row r="2139" spans="10:10" x14ac:dyDescent="0.25">
      <c r="J2139" s="15"/>
    </row>
    <row r="2140" spans="10:10" x14ac:dyDescent="0.25">
      <c r="J2140" s="15"/>
    </row>
    <row r="2141" spans="10:10" x14ac:dyDescent="0.25">
      <c r="J2141" s="15"/>
    </row>
    <row r="2142" spans="10:10" x14ac:dyDescent="0.25">
      <c r="J2142" s="15"/>
    </row>
    <row r="2143" spans="10:10" x14ac:dyDescent="0.25">
      <c r="J2143" s="15"/>
    </row>
    <row r="2144" spans="10:10" x14ac:dyDescent="0.25">
      <c r="J2144" s="15"/>
    </row>
    <row r="2145" spans="10:10" x14ac:dyDescent="0.25">
      <c r="J2145" s="15"/>
    </row>
    <row r="2146" spans="10:10" x14ac:dyDescent="0.25">
      <c r="J2146" s="15"/>
    </row>
    <row r="2147" spans="10:10" x14ac:dyDescent="0.25">
      <c r="J2147" s="15"/>
    </row>
    <row r="2148" spans="10:10" x14ac:dyDescent="0.25">
      <c r="J2148" s="15"/>
    </row>
    <row r="2149" spans="10:10" x14ac:dyDescent="0.25">
      <c r="J2149" s="15"/>
    </row>
    <row r="2150" spans="10:10" x14ac:dyDescent="0.25">
      <c r="J2150" s="15"/>
    </row>
    <row r="2151" spans="10:10" x14ac:dyDescent="0.25">
      <c r="J2151" s="15"/>
    </row>
    <row r="2152" spans="10:10" x14ac:dyDescent="0.25">
      <c r="J2152" s="15"/>
    </row>
    <row r="2153" spans="10:10" x14ac:dyDescent="0.25">
      <c r="J2153" s="15"/>
    </row>
    <row r="2154" spans="10:10" x14ac:dyDescent="0.25">
      <c r="J2154" s="15"/>
    </row>
    <row r="2155" spans="10:10" x14ac:dyDescent="0.25">
      <c r="J2155" s="15"/>
    </row>
    <row r="2156" spans="10:10" x14ac:dyDescent="0.25">
      <c r="J2156" s="15"/>
    </row>
    <row r="2157" spans="10:10" x14ac:dyDescent="0.25">
      <c r="J2157" s="15"/>
    </row>
    <row r="2158" spans="10:10" x14ac:dyDescent="0.25">
      <c r="J2158" s="15"/>
    </row>
    <row r="2159" spans="10:10" x14ac:dyDescent="0.25">
      <c r="J2159" s="15"/>
    </row>
    <row r="2160" spans="10:10" x14ac:dyDescent="0.25">
      <c r="J2160" s="15"/>
    </row>
    <row r="2161" spans="10:10" x14ac:dyDescent="0.25">
      <c r="J2161" s="15"/>
    </row>
    <row r="2162" spans="10:10" x14ac:dyDescent="0.25">
      <c r="J2162" s="15"/>
    </row>
    <row r="2163" spans="10:10" x14ac:dyDescent="0.25">
      <c r="J2163" s="15"/>
    </row>
    <row r="2164" spans="10:10" x14ac:dyDescent="0.25">
      <c r="J2164" s="15"/>
    </row>
    <row r="2165" spans="10:10" x14ac:dyDescent="0.25">
      <c r="J2165" s="15"/>
    </row>
    <row r="2166" spans="10:10" x14ac:dyDescent="0.25">
      <c r="J2166" s="15"/>
    </row>
    <row r="2167" spans="10:10" x14ac:dyDescent="0.25">
      <c r="J2167" s="15"/>
    </row>
    <row r="2168" spans="10:10" x14ac:dyDescent="0.25">
      <c r="J2168" s="15"/>
    </row>
    <row r="2169" spans="10:10" x14ac:dyDescent="0.25">
      <c r="J2169" s="15"/>
    </row>
    <row r="2170" spans="10:10" x14ac:dyDescent="0.25">
      <c r="J2170" s="15"/>
    </row>
    <row r="2171" spans="10:10" x14ac:dyDescent="0.25">
      <c r="J2171" s="15"/>
    </row>
    <row r="2172" spans="10:10" x14ac:dyDescent="0.25">
      <c r="J2172" s="15"/>
    </row>
    <row r="2173" spans="10:10" x14ac:dyDescent="0.25">
      <c r="J2173" s="15"/>
    </row>
    <row r="2174" spans="10:10" x14ac:dyDescent="0.25">
      <c r="J2174" s="15"/>
    </row>
    <row r="2175" spans="10:10" x14ac:dyDescent="0.25">
      <c r="J2175" s="15"/>
    </row>
    <row r="2176" spans="10:10" x14ac:dyDescent="0.25">
      <c r="J2176" s="15"/>
    </row>
    <row r="2177" spans="10:10" x14ac:dyDescent="0.25">
      <c r="J2177" s="15"/>
    </row>
    <row r="2178" spans="10:10" x14ac:dyDescent="0.25">
      <c r="J2178" s="15"/>
    </row>
    <row r="2179" spans="10:10" x14ac:dyDescent="0.25">
      <c r="J2179" s="15"/>
    </row>
    <row r="2180" spans="10:10" x14ac:dyDescent="0.25">
      <c r="J2180" s="15"/>
    </row>
    <row r="2181" spans="10:10" x14ac:dyDescent="0.25">
      <c r="J2181" s="15"/>
    </row>
    <row r="2182" spans="10:10" x14ac:dyDescent="0.25">
      <c r="J2182" s="15"/>
    </row>
    <row r="2183" spans="10:10" x14ac:dyDescent="0.25">
      <c r="J2183" s="15"/>
    </row>
    <row r="2184" spans="10:10" x14ac:dyDescent="0.25">
      <c r="J2184" s="15"/>
    </row>
    <row r="2185" spans="10:10" x14ac:dyDescent="0.25">
      <c r="J2185" s="15"/>
    </row>
    <row r="2186" spans="10:10" x14ac:dyDescent="0.25">
      <c r="J2186" s="15"/>
    </row>
    <row r="2187" spans="10:10" x14ac:dyDescent="0.25">
      <c r="J2187" s="15"/>
    </row>
    <row r="2188" spans="10:10" x14ac:dyDescent="0.25">
      <c r="J2188" s="15"/>
    </row>
    <row r="2189" spans="10:10" x14ac:dyDescent="0.25">
      <c r="J2189" s="15"/>
    </row>
    <row r="2190" spans="10:10" x14ac:dyDescent="0.25">
      <c r="J2190" s="15"/>
    </row>
    <row r="2191" spans="10:10" x14ac:dyDescent="0.25">
      <c r="J2191" s="15"/>
    </row>
    <row r="2192" spans="10:10" x14ac:dyDescent="0.25">
      <c r="J2192" s="15"/>
    </row>
    <row r="2193" spans="10:10" x14ac:dyDescent="0.25">
      <c r="J2193" s="15"/>
    </row>
    <row r="2194" spans="10:10" x14ac:dyDescent="0.25">
      <c r="J2194" s="15"/>
    </row>
    <row r="2195" spans="10:10" x14ac:dyDescent="0.25">
      <c r="J2195" s="15"/>
    </row>
    <row r="2196" spans="10:10" x14ac:dyDescent="0.25">
      <c r="J2196" s="15"/>
    </row>
    <row r="2197" spans="10:10" x14ac:dyDescent="0.25">
      <c r="J2197" s="15"/>
    </row>
    <row r="2198" spans="10:10" x14ac:dyDescent="0.25">
      <c r="J2198" s="15"/>
    </row>
    <row r="2199" spans="10:10" x14ac:dyDescent="0.25">
      <c r="J2199" s="15"/>
    </row>
    <row r="2200" spans="10:10" x14ac:dyDescent="0.25">
      <c r="J2200" s="15"/>
    </row>
    <row r="2201" spans="10:10" x14ac:dyDescent="0.25">
      <c r="J2201" s="15"/>
    </row>
    <row r="2202" spans="10:10" x14ac:dyDescent="0.25">
      <c r="J2202" s="15"/>
    </row>
    <row r="2203" spans="10:10" x14ac:dyDescent="0.25">
      <c r="J2203" s="15"/>
    </row>
    <row r="2204" spans="10:10" x14ac:dyDescent="0.25">
      <c r="J2204" s="15"/>
    </row>
    <row r="2205" spans="10:10" x14ac:dyDescent="0.25">
      <c r="J2205" s="15"/>
    </row>
    <row r="2206" spans="10:10" x14ac:dyDescent="0.25">
      <c r="J2206" s="15"/>
    </row>
    <row r="2207" spans="10:10" x14ac:dyDescent="0.25">
      <c r="J2207" s="15"/>
    </row>
    <row r="2208" spans="10:10" x14ac:dyDescent="0.25">
      <c r="J2208" s="15"/>
    </row>
    <row r="2209" spans="10:10" x14ac:dyDescent="0.25">
      <c r="J2209" s="15"/>
    </row>
    <row r="2210" spans="10:10" x14ac:dyDescent="0.25">
      <c r="J2210" s="15"/>
    </row>
    <row r="2211" spans="10:10" x14ac:dyDescent="0.25">
      <c r="J2211" s="15"/>
    </row>
    <row r="2212" spans="10:10" x14ac:dyDescent="0.25">
      <c r="J2212" s="15"/>
    </row>
    <row r="2213" spans="10:10" x14ac:dyDescent="0.25">
      <c r="J2213" s="15"/>
    </row>
    <row r="2214" spans="10:10" x14ac:dyDescent="0.25">
      <c r="J2214" s="15"/>
    </row>
    <row r="2215" spans="10:10" x14ac:dyDescent="0.25">
      <c r="J2215" s="15"/>
    </row>
    <row r="2216" spans="10:10" x14ac:dyDescent="0.25">
      <c r="J2216" s="15"/>
    </row>
    <row r="2217" spans="10:10" x14ac:dyDescent="0.25">
      <c r="J2217" s="15"/>
    </row>
    <row r="2218" spans="10:10" x14ac:dyDescent="0.25">
      <c r="J2218" s="15"/>
    </row>
    <row r="2219" spans="10:10" x14ac:dyDescent="0.25">
      <c r="J2219" s="15"/>
    </row>
    <row r="2220" spans="10:10" x14ac:dyDescent="0.25">
      <c r="J2220" s="15"/>
    </row>
    <row r="2221" spans="10:10" x14ac:dyDescent="0.25">
      <c r="J2221" s="15"/>
    </row>
    <row r="2222" spans="10:10" x14ac:dyDescent="0.25">
      <c r="J2222" s="15"/>
    </row>
    <row r="2223" spans="10:10" x14ac:dyDescent="0.25">
      <c r="J2223" s="15"/>
    </row>
    <row r="2224" spans="10:10" x14ac:dyDescent="0.25">
      <c r="J2224" s="15"/>
    </row>
    <row r="2225" spans="10:10" x14ac:dyDescent="0.25">
      <c r="J2225" s="15"/>
    </row>
    <row r="2226" spans="10:10" x14ac:dyDescent="0.25">
      <c r="J2226" s="15"/>
    </row>
    <row r="2227" spans="10:10" x14ac:dyDescent="0.25">
      <c r="J2227" s="15"/>
    </row>
    <row r="2228" spans="10:10" x14ac:dyDescent="0.25">
      <c r="J2228" s="15"/>
    </row>
    <row r="2229" spans="10:10" x14ac:dyDescent="0.25">
      <c r="J2229" s="15"/>
    </row>
    <row r="2230" spans="10:10" x14ac:dyDescent="0.25">
      <c r="J2230" s="15"/>
    </row>
    <row r="2231" spans="10:10" x14ac:dyDescent="0.25">
      <c r="J2231" s="15"/>
    </row>
    <row r="2232" spans="10:10" x14ac:dyDescent="0.25">
      <c r="J2232" s="15"/>
    </row>
    <row r="2233" spans="10:10" x14ac:dyDescent="0.25">
      <c r="J2233" s="15"/>
    </row>
    <row r="2234" spans="10:10" x14ac:dyDescent="0.25">
      <c r="J2234" s="15"/>
    </row>
    <row r="2235" spans="10:10" x14ac:dyDescent="0.25">
      <c r="J2235" s="15"/>
    </row>
    <row r="2236" spans="10:10" x14ac:dyDescent="0.25">
      <c r="J2236" s="15"/>
    </row>
    <row r="2237" spans="10:10" x14ac:dyDescent="0.25">
      <c r="J2237" s="15"/>
    </row>
    <row r="2238" spans="10:10" x14ac:dyDescent="0.25">
      <c r="J2238" s="15"/>
    </row>
    <row r="2239" spans="10:10" x14ac:dyDescent="0.25">
      <c r="J2239" s="15"/>
    </row>
    <row r="2240" spans="10:10" x14ac:dyDescent="0.25">
      <c r="J2240" s="15"/>
    </row>
    <row r="2241" spans="10:10" x14ac:dyDescent="0.25">
      <c r="J2241" s="15"/>
    </row>
    <row r="2242" spans="10:10" x14ac:dyDescent="0.25">
      <c r="J2242" s="15"/>
    </row>
    <row r="2243" spans="10:10" x14ac:dyDescent="0.25">
      <c r="J2243" s="15"/>
    </row>
    <row r="2244" spans="10:10" x14ac:dyDescent="0.25">
      <c r="J2244" s="15"/>
    </row>
    <row r="2245" spans="10:10" x14ac:dyDescent="0.25">
      <c r="J2245" s="15"/>
    </row>
    <row r="2246" spans="10:10" x14ac:dyDescent="0.25">
      <c r="J2246" s="15"/>
    </row>
    <row r="2247" spans="10:10" x14ac:dyDescent="0.25">
      <c r="J2247" s="15"/>
    </row>
    <row r="2248" spans="10:10" x14ac:dyDescent="0.25">
      <c r="J2248" s="15"/>
    </row>
    <row r="2249" spans="10:10" x14ac:dyDescent="0.25">
      <c r="J2249" s="15"/>
    </row>
    <row r="2250" spans="10:10" x14ac:dyDescent="0.25">
      <c r="J2250" s="15"/>
    </row>
    <row r="2251" spans="10:10" x14ac:dyDescent="0.25">
      <c r="J2251" s="15"/>
    </row>
    <row r="2252" spans="10:10" x14ac:dyDescent="0.25">
      <c r="J2252" s="15"/>
    </row>
    <row r="2253" spans="10:10" x14ac:dyDescent="0.25">
      <c r="J2253" s="15"/>
    </row>
    <row r="2254" spans="10:10" x14ac:dyDescent="0.25">
      <c r="J2254" s="15"/>
    </row>
    <row r="2255" spans="10:10" x14ac:dyDescent="0.25">
      <c r="J2255" s="15"/>
    </row>
    <row r="2256" spans="10:10" x14ac:dyDescent="0.25">
      <c r="J2256" s="15"/>
    </row>
    <row r="2257" spans="10:10" x14ac:dyDescent="0.25">
      <c r="J2257" s="15"/>
    </row>
    <row r="2258" spans="10:10" x14ac:dyDescent="0.25">
      <c r="J2258" s="15"/>
    </row>
    <row r="2259" spans="10:10" x14ac:dyDescent="0.25">
      <c r="J2259" s="15"/>
    </row>
    <row r="2260" spans="10:10" x14ac:dyDescent="0.25">
      <c r="J2260" s="15"/>
    </row>
    <row r="2261" spans="10:10" x14ac:dyDescent="0.25">
      <c r="J2261" s="15"/>
    </row>
    <row r="2262" spans="10:10" x14ac:dyDescent="0.25">
      <c r="J2262" s="15"/>
    </row>
    <row r="2263" spans="10:10" x14ac:dyDescent="0.25">
      <c r="J2263" s="15"/>
    </row>
    <row r="2264" spans="10:10" x14ac:dyDescent="0.25">
      <c r="J2264" s="15"/>
    </row>
    <row r="2265" spans="10:10" x14ac:dyDescent="0.25">
      <c r="J2265" s="15"/>
    </row>
    <row r="2266" spans="10:10" x14ac:dyDescent="0.25">
      <c r="J2266" s="15"/>
    </row>
    <row r="2267" spans="10:10" x14ac:dyDescent="0.25">
      <c r="J2267" s="15"/>
    </row>
    <row r="2268" spans="10:10" x14ac:dyDescent="0.25">
      <c r="J2268" s="15"/>
    </row>
    <row r="2269" spans="10:10" x14ac:dyDescent="0.25">
      <c r="J2269" s="15"/>
    </row>
    <row r="2270" spans="10:10" x14ac:dyDescent="0.25">
      <c r="J2270" s="15"/>
    </row>
    <row r="2271" spans="10:10" x14ac:dyDescent="0.25">
      <c r="J2271" s="15"/>
    </row>
    <row r="2272" spans="10:10" x14ac:dyDescent="0.25">
      <c r="J2272" s="15"/>
    </row>
    <row r="2273" spans="10:10" x14ac:dyDescent="0.25">
      <c r="J2273" s="15"/>
    </row>
    <row r="2274" spans="10:10" x14ac:dyDescent="0.25">
      <c r="J2274" s="15"/>
    </row>
    <row r="2275" spans="10:10" x14ac:dyDescent="0.25">
      <c r="J2275" s="15"/>
    </row>
    <row r="2276" spans="10:10" x14ac:dyDescent="0.25">
      <c r="J2276" s="15"/>
    </row>
    <row r="2277" spans="10:10" x14ac:dyDescent="0.25">
      <c r="J2277" s="15"/>
    </row>
    <row r="2278" spans="10:10" x14ac:dyDescent="0.25">
      <c r="J2278" s="15"/>
    </row>
    <row r="2279" spans="10:10" x14ac:dyDescent="0.25">
      <c r="J2279" s="15"/>
    </row>
    <row r="2280" spans="10:10" x14ac:dyDescent="0.25">
      <c r="J2280" s="15"/>
    </row>
    <row r="2281" spans="10:10" x14ac:dyDescent="0.25">
      <c r="J2281" s="15"/>
    </row>
    <row r="2282" spans="10:10" x14ac:dyDescent="0.25">
      <c r="J2282" s="15"/>
    </row>
    <row r="2283" spans="10:10" x14ac:dyDescent="0.25">
      <c r="J2283" s="15"/>
    </row>
    <row r="2284" spans="10:10" x14ac:dyDescent="0.25">
      <c r="J2284" s="15"/>
    </row>
    <row r="2285" spans="10:10" x14ac:dyDescent="0.25">
      <c r="J2285" s="15"/>
    </row>
    <row r="2286" spans="10:10" x14ac:dyDescent="0.25">
      <c r="J2286" s="15"/>
    </row>
    <row r="2287" spans="10:10" x14ac:dyDescent="0.25">
      <c r="J2287" s="15"/>
    </row>
    <row r="2288" spans="10:10" x14ac:dyDescent="0.25">
      <c r="J2288" s="15"/>
    </row>
    <row r="2289" spans="10:10" x14ac:dyDescent="0.25">
      <c r="J2289" s="15"/>
    </row>
    <row r="2290" spans="10:10" x14ac:dyDescent="0.25">
      <c r="J2290" s="15"/>
    </row>
    <row r="2291" spans="10:10" x14ac:dyDescent="0.25">
      <c r="J2291" s="15"/>
    </row>
    <row r="2292" spans="10:10" x14ac:dyDescent="0.25">
      <c r="J2292" s="15"/>
    </row>
    <row r="2293" spans="10:10" x14ac:dyDescent="0.25">
      <c r="J2293" s="15"/>
    </row>
    <row r="2294" spans="10:10" x14ac:dyDescent="0.25">
      <c r="J2294" s="15"/>
    </row>
    <row r="2295" spans="10:10" x14ac:dyDescent="0.25">
      <c r="J2295" s="15"/>
    </row>
    <row r="2296" spans="10:10" x14ac:dyDescent="0.25">
      <c r="J2296" s="15"/>
    </row>
    <row r="2297" spans="10:10" x14ac:dyDescent="0.25">
      <c r="J2297" s="15"/>
    </row>
    <row r="2298" spans="10:10" x14ac:dyDescent="0.25">
      <c r="J2298" s="15"/>
    </row>
    <row r="2299" spans="10:10" x14ac:dyDescent="0.25">
      <c r="J2299" s="15"/>
    </row>
    <row r="2300" spans="10:10" x14ac:dyDescent="0.25">
      <c r="J2300" s="15"/>
    </row>
    <row r="2301" spans="10:10" x14ac:dyDescent="0.25">
      <c r="J2301" s="15"/>
    </row>
    <row r="2302" spans="10:10" x14ac:dyDescent="0.25">
      <c r="J2302" s="15"/>
    </row>
    <row r="2303" spans="10:10" x14ac:dyDescent="0.25">
      <c r="J2303" s="15"/>
    </row>
    <row r="2304" spans="10:10" x14ac:dyDescent="0.25">
      <c r="J2304" s="15"/>
    </row>
    <row r="2305" spans="10:10" x14ac:dyDescent="0.25">
      <c r="J2305" s="15"/>
    </row>
    <row r="2306" spans="10:10" x14ac:dyDescent="0.25">
      <c r="J2306" s="15"/>
    </row>
    <row r="2307" spans="10:10" x14ac:dyDescent="0.25">
      <c r="J2307" s="15"/>
    </row>
    <row r="2308" spans="10:10" x14ac:dyDescent="0.25">
      <c r="J2308" s="15"/>
    </row>
    <row r="2309" spans="10:10" x14ac:dyDescent="0.25">
      <c r="J2309" s="15"/>
    </row>
    <row r="2310" spans="10:10" x14ac:dyDescent="0.25">
      <c r="J2310" s="15"/>
    </row>
    <row r="2311" spans="10:10" x14ac:dyDescent="0.25">
      <c r="J2311" s="15"/>
    </row>
    <row r="2312" spans="10:10" x14ac:dyDescent="0.25">
      <c r="J2312" s="15"/>
    </row>
    <row r="2313" spans="10:10" x14ac:dyDescent="0.25">
      <c r="J2313" s="15"/>
    </row>
    <row r="2314" spans="10:10" x14ac:dyDescent="0.25">
      <c r="J2314" s="15"/>
    </row>
    <row r="2315" spans="10:10" x14ac:dyDescent="0.25">
      <c r="J2315" s="15"/>
    </row>
    <row r="2316" spans="10:10" x14ac:dyDescent="0.25">
      <c r="J2316" s="15"/>
    </row>
    <row r="2317" spans="10:10" x14ac:dyDescent="0.25">
      <c r="J2317" s="15"/>
    </row>
    <row r="2318" spans="10:10" x14ac:dyDescent="0.25">
      <c r="J2318" s="15"/>
    </row>
    <row r="2319" spans="10:10" x14ac:dyDescent="0.25">
      <c r="J2319" s="15"/>
    </row>
    <row r="2320" spans="10:10" x14ac:dyDescent="0.25">
      <c r="J2320" s="15"/>
    </row>
    <row r="2321" spans="10:10" x14ac:dyDescent="0.25">
      <c r="J2321" s="15"/>
    </row>
    <row r="2322" spans="10:10" x14ac:dyDescent="0.25">
      <c r="J2322" s="15"/>
    </row>
    <row r="2323" spans="10:10" x14ac:dyDescent="0.25">
      <c r="J2323" s="15"/>
    </row>
    <row r="2324" spans="10:10" x14ac:dyDescent="0.25">
      <c r="J2324" s="15"/>
    </row>
    <row r="2325" spans="10:10" x14ac:dyDescent="0.25">
      <c r="J2325" s="15"/>
    </row>
    <row r="2326" spans="10:10" x14ac:dyDescent="0.25">
      <c r="J2326" s="15"/>
    </row>
    <row r="2327" spans="10:10" x14ac:dyDescent="0.25">
      <c r="J2327" s="15"/>
    </row>
    <row r="2328" spans="10:10" x14ac:dyDescent="0.25">
      <c r="J2328" s="15"/>
    </row>
    <row r="2329" spans="10:10" x14ac:dyDescent="0.25">
      <c r="J2329" s="15"/>
    </row>
    <row r="2330" spans="10:10" x14ac:dyDescent="0.25">
      <c r="J2330" s="15"/>
    </row>
    <row r="2331" spans="10:10" x14ac:dyDescent="0.25">
      <c r="J2331" s="15"/>
    </row>
    <row r="2332" spans="10:10" x14ac:dyDescent="0.25">
      <c r="J2332" s="15"/>
    </row>
    <row r="2333" spans="10:10" x14ac:dyDescent="0.25">
      <c r="J2333" s="15"/>
    </row>
    <row r="2334" spans="10:10" x14ac:dyDescent="0.25">
      <c r="J2334" s="15"/>
    </row>
    <row r="2335" spans="10:10" x14ac:dyDescent="0.25">
      <c r="J2335" s="15"/>
    </row>
    <row r="2336" spans="10:10" x14ac:dyDescent="0.25">
      <c r="J2336" s="15"/>
    </row>
    <row r="2337" spans="10:10" x14ac:dyDescent="0.25">
      <c r="J2337" s="15"/>
    </row>
    <row r="2338" spans="10:10" x14ac:dyDescent="0.25">
      <c r="J2338" s="15"/>
    </row>
    <row r="2339" spans="10:10" x14ac:dyDescent="0.25">
      <c r="J2339" s="15"/>
    </row>
    <row r="2340" spans="10:10" x14ac:dyDescent="0.25">
      <c r="J2340" s="15"/>
    </row>
    <row r="2341" spans="10:10" x14ac:dyDescent="0.25">
      <c r="J2341" s="15"/>
    </row>
    <row r="2342" spans="10:10" x14ac:dyDescent="0.25">
      <c r="J2342" s="15"/>
    </row>
    <row r="2343" spans="10:10" x14ac:dyDescent="0.25">
      <c r="J2343" s="15"/>
    </row>
    <row r="2344" spans="10:10" x14ac:dyDescent="0.25">
      <c r="J2344" s="15"/>
    </row>
    <row r="2345" spans="10:10" x14ac:dyDescent="0.25">
      <c r="J2345" s="15"/>
    </row>
    <row r="2346" spans="10:10" x14ac:dyDescent="0.25">
      <c r="J2346" s="15"/>
    </row>
    <row r="2347" spans="10:10" x14ac:dyDescent="0.25">
      <c r="J2347" s="15"/>
    </row>
    <row r="2348" spans="10:10" x14ac:dyDescent="0.25">
      <c r="J2348" s="15"/>
    </row>
    <row r="2349" spans="10:10" x14ac:dyDescent="0.25">
      <c r="J2349" s="15"/>
    </row>
    <row r="2350" spans="10:10" x14ac:dyDescent="0.25">
      <c r="J2350" s="15"/>
    </row>
    <row r="2351" spans="10:10" x14ac:dyDescent="0.25">
      <c r="J2351" s="15"/>
    </row>
    <row r="2352" spans="10:10" x14ac:dyDescent="0.25">
      <c r="J2352" s="15"/>
    </row>
    <row r="2353" spans="10:10" x14ac:dyDescent="0.25">
      <c r="J2353" s="15"/>
    </row>
    <row r="2354" spans="10:10" x14ac:dyDescent="0.25">
      <c r="J2354" s="15"/>
    </row>
    <row r="2355" spans="10:10" x14ac:dyDescent="0.25">
      <c r="J2355" s="15"/>
    </row>
    <row r="2356" spans="10:10" x14ac:dyDescent="0.25">
      <c r="J2356" s="15"/>
    </row>
    <row r="2357" spans="10:10" x14ac:dyDescent="0.25">
      <c r="J2357" s="15"/>
    </row>
    <row r="2358" spans="10:10" x14ac:dyDescent="0.25">
      <c r="J2358" s="15"/>
    </row>
    <row r="2359" spans="10:10" x14ac:dyDescent="0.25">
      <c r="J2359" s="15"/>
    </row>
    <row r="2360" spans="10:10" x14ac:dyDescent="0.25">
      <c r="J2360" s="15"/>
    </row>
    <row r="2361" spans="10:10" x14ac:dyDescent="0.25">
      <c r="J2361" s="15"/>
    </row>
    <row r="2362" spans="10:10" x14ac:dyDescent="0.25">
      <c r="J2362" s="15"/>
    </row>
    <row r="2363" spans="10:10" x14ac:dyDescent="0.25">
      <c r="J2363" s="15"/>
    </row>
    <row r="2364" spans="10:10" x14ac:dyDescent="0.25">
      <c r="J2364" s="15"/>
    </row>
    <row r="2365" spans="10:10" x14ac:dyDescent="0.25">
      <c r="J2365" s="15"/>
    </row>
    <row r="2366" spans="10:10" x14ac:dyDescent="0.25">
      <c r="J2366" s="15"/>
    </row>
    <row r="2367" spans="10:10" x14ac:dyDescent="0.25">
      <c r="J2367" s="15"/>
    </row>
    <row r="2368" spans="10:10" x14ac:dyDescent="0.25">
      <c r="J2368" s="15"/>
    </row>
    <row r="2369" spans="10:10" x14ac:dyDescent="0.25">
      <c r="J2369" s="15"/>
    </row>
    <row r="2370" spans="10:10" x14ac:dyDescent="0.25">
      <c r="J2370" s="15"/>
    </row>
    <row r="2371" spans="10:10" x14ac:dyDescent="0.25">
      <c r="J2371" s="15"/>
    </row>
    <row r="2372" spans="10:10" x14ac:dyDescent="0.25">
      <c r="J2372" s="15"/>
    </row>
    <row r="2373" spans="10:10" x14ac:dyDescent="0.25">
      <c r="J2373" s="15"/>
    </row>
    <row r="2374" spans="10:10" x14ac:dyDescent="0.25">
      <c r="J2374" s="15"/>
    </row>
    <row r="2375" spans="10:10" x14ac:dyDescent="0.25">
      <c r="J2375" s="15"/>
    </row>
    <row r="2376" spans="10:10" x14ac:dyDescent="0.25">
      <c r="J2376" s="15"/>
    </row>
    <row r="2377" spans="10:10" x14ac:dyDescent="0.25">
      <c r="J2377" s="15"/>
    </row>
    <row r="2378" spans="10:10" x14ac:dyDescent="0.25">
      <c r="J2378" s="15"/>
    </row>
    <row r="2379" spans="10:10" x14ac:dyDescent="0.25">
      <c r="J2379" s="15"/>
    </row>
    <row r="2380" spans="10:10" x14ac:dyDescent="0.25">
      <c r="J2380" s="15"/>
    </row>
    <row r="2381" spans="10:10" x14ac:dyDescent="0.25">
      <c r="J2381" s="15"/>
    </row>
    <row r="2382" spans="10:10" x14ac:dyDescent="0.25">
      <c r="J2382" s="15"/>
    </row>
    <row r="2383" spans="10:10" x14ac:dyDescent="0.25">
      <c r="J2383" s="15"/>
    </row>
    <row r="2384" spans="10:10" x14ac:dyDescent="0.25">
      <c r="J2384" s="15"/>
    </row>
    <row r="2385" spans="10:10" x14ac:dyDescent="0.25">
      <c r="J2385" s="15"/>
    </row>
    <row r="2386" spans="10:10" x14ac:dyDescent="0.25">
      <c r="J2386" s="15"/>
    </row>
    <row r="2387" spans="10:10" x14ac:dyDescent="0.25">
      <c r="J2387" s="15"/>
    </row>
    <row r="2388" spans="10:10" x14ac:dyDescent="0.25">
      <c r="J2388" s="15"/>
    </row>
    <row r="2389" spans="10:10" x14ac:dyDescent="0.25">
      <c r="J2389" s="15"/>
    </row>
    <row r="2390" spans="10:10" x14ac:dyDescent="0.25">
      <c r="J2390" s="15"/>
    </row>
    <row r="2391" spans="10:10" x14ac:dyDescent="0.25">
      <c r="J2391" s="15"/>
    </row>
    <row r="2392" spans="10:10" x14ac:dyDescent="0.25">
      <c r="J2392" s="15"/>
    </row>
    <row r="2393" spans="10:10" x14ac:dyDescent="0.25">
      <c r="J2393" s="15"/>
    </row>
    <row r="2394" spans="10:10" x14ac:dyDescent="0.25">
      <c r="J2394" s="15"/>
    </row>
    <row r="2395" spans="10:10" x14ac:dyDescent="0.25">
      <c r="J2395" s="15"/>
    </row>
    <row r="2396" spans="10:10" x14ac:dyDescent="0.25">
      <c r="J2396" s="15"/>
    </row>
    <row r="2397" spans="10:10" x14ac:dyDescent="0.25">
      <c r="J2397" s="15"/>
    </row>
    <row r="2398" spans="10:10" x14ac:dyDescent="0.25">
      <c r="J2398" s="15"/>
    </row>
    <row r="2399" spans="10:10" x14ac:dyDescent="0.25">
      <c r="J2399" s="15"/>
    </row>
    <row r="2400" spans="10:10" x14ac:dyDescent="0.25">
      <c r="J2400" s="15"/>
    </row>
    <row r="2401" spans="10:10" x14ac:dyDescent="0.25">
      <c r="J2401" s="15"/>
    </row>
    <row r="2402" spans="10:10" x14ac:dyDescent="0.25">
      <c r="J2402" s="15"/>
    </row>
    <row r="2403" spans="10:10" x14ac:dyDescent="0.25">
      <c r="J2403" s="15"/>
    </row>
    <row r="2404" spans="10:10" x14ac:dyDescent="0.25">
      <c r="J2404" s="15"/>
    </row>
    <row r="2405" spans="10:10" x14ac:dyDescent="0.25">
      <c r="J2405" s="15"/>
    </row>
    <row r="2406" spans="10:10" x14ac:dyDescent="0.25">
      <c r="J2406" s="15"/>
    </row>
    <row r="2407" spans="10:10" x14ac:dyDescent="0.25">
      <c r="J2407" s="15"/>
    </row>
    <row r="2408" spans="10:10" x14ac:dyDescent="0.25">
      <c r="J2408" s="15"/>
    </row>
    <row r="2409" spans="10:10" x14ac:dyDescent="0.25">
      <c r="J2409" s="15"/>
    </row>
    <row r="2410" spans="10:10" x14ac:dyDescent="0.25">
      <c r="J2410" s="15"/>
    </row>
    <row r="2411" spans="10:10" x14ac:dyDescent="0.25">
      <c r="J2411" s="15"/>
    </row>
    <row r="2412" spans="10:10" x14ac:dyDescent="0.25">
      <c r="J2412" s="15"/>
    </row>
    <row r="2413" spans="10:10" x14ac:dyDescent="0.25">
      <c r="J2413" s="15"/>
    </row>
    <row r="2414" spans="10:10" x14ac:dyDescent="0.25">
      <c r="J2414" s="15"/>
    </row>
    <row r="2415" spans="10:10" x14ac:dyDescent="0.25">
      <c r="J2415" s="15"/>
    </row>
    <row r="2416" spans="10:10" x14ac:dyDescent="0.25">
      <c r="J2416" s="15"/>
    </row>
    <row r="2417" spans="10:10" x14ac:dyDescent="0.25">
      <c r="J2417" s="15"/>
    </row>
    <row r="2418" spans="10:10" x14ac:dyDescent="0.25">
      <c r="J2418" s="15"/>
    </row>
    <row r="2419" spans="10:10" x14ac:dyDescent="0.25">
      <c r="J2419" s="15"/>
    </row>
    <row r="2420" spans="10:10" x14ac:dyDescent="0.25">
      <c r="J2420" s="15"/>
    </row>
    <row r="2421" spans="10:10" x14ac:dyDescent="0.25">
      <c r="J2421" s="15"/>
    </row>
    <row r="2422" spans="10:10" x14ac:dyDescent="0.25">
      <c r="J2422" s="15"/>
    </row>
    <row r="2423" spans="10:10" x14ac:dyDescent="0.25">
      <c r="J2423" s="15"/>
    </row>
    <row r="2424" spans="10:10" x14ac:dyDescent="0.25">
      <c r="J2424" s="15"/>
    </row>
    <row r="2425" spans="10:10" x14ac:dyDescent="0.25">
      <c r="J2425" s="15"/>
    </row>
    <row r="2426" spans="10:10" x14ac:dyDescent="0.25">
      <c r="J2426" s="15"/>
    </row>
    <row r="2427" spans="10:10" x14ac:dyDescent="0.25">
      <c r="J2427" s="15"/>
    </row>
    <row r="2428" spans="10:10" x14ac:dyDescent="0.25">
      <c r="J2428" s="15"/>
    </row>
    <row r="2429" spans="10:10" x14ac:dyDescent="0.25">
      <c r="J2429" s="15"/>
    </row>
    <row r="2430" spans="10:10" x14ac:dyDescent="0.25">
      <c r="J2430" s="15"/>
    </row>
    <row r="2431" spans="10:10" x14ac:dyDescent="0.25">
      <c r="J2431" s="15"/>
    </row>
    <row r="2432" spans="10:10" x14ac:dyDescent="0.25">
      <c r="J2432" s="15"/>
    </row>
    <row r="2433" spans="10:10" x14ac:dyDescent="0.25">
      <c r="J2433" s="15"/>
    </row>
    <row r="2434" spans="10:10" x14ac:dyDescent="0.25">
      <c r="J2434" s="15"/>
    </row>
    <row r="2435" spans="10:10" x14ac:dyDescent="0.25">
      <c r="J2435" s="15"/>
    </row>
    <row r="2436" spans="10:10" x14ac:dyDescent="0.25">
      <c r="J2436" s="15"/>
    </row>
    <row r="2437" spans="10:10" x14ac:dyDescent="0.25">
      <c r="J2437" s="15"/>
    </row>
    <row r="2438" spans="10:10" x14ac:dyDescent="0.25">
      <c r="J2438" s="15"/>
    </row>
    <row r="2439" spans="10:10" x14ac:dyDescent="0.25">
      <c r="J2439" s="15"/>
    </row>
    <row r="2440" spans="10:10" x14ac:dyDescent="0.25">
      <c r="J2440" s="15"/>
    </row>
    <row r="2441" spans="10:10" x14ac:dyDescent="0.25">
      <c r="J2441" s="15"/>
    </row>
    <row r="2442" spans="10:10" x14ac:dyDescent="0.25">
      <c r="J2442" s="15"/>
    </row>
    <row r="2443" spans="10:10" x14ac:dyDescent="0.25">
      <c r="J2443" s="15"/>
    </row>
    <row r="2444" spans="10:10" x14ac:dyDescent="0.25">
      <c r="J2444" s="15"/>
    </row>
    <row r="2445" spans="10:10" x14ac:dyDescent="0.25">
      <c r="J2445" s="15"/>
    </row>
    <row r="2446" spans="10:10" x14ac:dyDescent="0.25">
      <c r="J2446" s="15"/>
    </row>
    <row r="2447" spans="10:10" x14ac:dyDescent="0.25">
      <c r="J2447" s="15"/>
    </row>
    <row r="2448" spans="10:10" x14ac:dyDescent="0.25">
      <c r="J2448" s="15"/>
    </row>
    <row r="2449" spans="10:10" x14ac:dyDescent="0.25">
      <c r="J2449" s="15"/>
    </row>
    <row r="2450" spans="10:10" x14ac:dyDescent="0.25">
      <c r="J2450" s="15"/>
    </row>
    <row r="2451" spans="10:10" x14ac:dyDescent="0.25">
      <c r="J2451" s="15"/>
    </row>
    <row r="2452" spans="10:10" x14ac:dyDescent="0.25">
      <c r="J2452" s="15"/>
    </row>
    <row r="2453" spans="10:10" x14ac:dyDescent="0.25">
      <c r="J2453" s="15"/>
    </row>
    <row r="2454" spans="10:10" x14ac:dyDescent="0.25">
      <c r="J2454" s="15"/>
    </row>
    <row r="2455" spans="10:10" x14ac:dyDescent="0.25">
      <c r="J2455" s="15"/>
    </row>
    <row r="2456" spans="10:10" x14ac:dyDescent="0.25">
      <c r="J2456" s="15"/>
    </row>
    <row r="2457" spans="10:10" x14ac:dyDescent="0.25">
      <c r="J2457" s="15"/>
    </row>
    <row r="2458" spans="10:10" x14ac:dyDescent="0.25">
      <c r="J2458" s="15"/>
    </row>
    <row r="2459" spans="10:10" x14ac:dyDescent="0.25">
      <c r="J2459" s="15"/>
    </row>
    <row r="2460" spans="10:10" x14ac:dyDescent="0.25">
      <c r="J2460" s="15"/>
    </row>
    <row r="2461" spans="10:10" x14ac:dyDescent="0.25">
      <c r="J2461" s="15"/>
    </row>
    <row r="2462" spans="10:10" x14ac:dyDescent="0.25">
      <c r="J2462" s="15"/>
    </row>
    <row r="2463" spans="10:10" x14ac:dyDescent="0.25">
      <c r="J2463" s="15"/>
    </row>
    <row r="2464" spans="10:10" x14ac:dyDescent="0.25">
      <c r="J2464" s="15"/>
    </row>
    <row r="2465" spans="10:10" x14ac:dyDescent="0.25">
      <c r="J2465" s="15"/>
    </row>
    <row r="2466" spans="10:10" x14ac:dyDescent="0.25">
      <c r="J2466" s="15"/>
    </row>
    <row r="2467" spans="10:10" x14ac:dyDescent="0.25">
      <c r="J2467" s="15"/>
    </row>
    <row r="2468" spans="10:10" x14ac:dyDescent="0.25">
      <c r="J2468" s="15"/>
    </row>
    <row r="2469" spans="10:10" x14ac:dyDescent="0.25">
      <c r="J2469" s="15"/>
    </row>
    <row r="2470" spans="10:10" x14ac:dyDescent="0.25">
      <c r="J2470" s="15"/>
    </row>
    <row r="2471" spans="10:10" x14ac:dyDescent="0.25">
      <c r="J2471" s="15"/>
    </row>
    <row r="2472" spans="10:10" x14ac:dyDescent="0.25">
      <c r="J2472" s="15"/>
    </row>
    <row r="2473" spans="10:10" x14ac:dyDescent="0.25">
      <c r="J2473" s="15"/>
    </row>
    <row r="2474" spans="10:10" x14ac:dyDescent="0.25">
      <c r="J2474" s="15"/>
    </row>
    <row r="2475" spans="10:10" x14ac:dyDescent="0.25">
      <c r="J2475" s="15"/>
    </row>
    <row r="2476" spans="10:10" x14ac:dyDescent="0.25">
      <c r="J2476" s="15"/>
    </row>
    <row r="2477" spans="10:10" x14ac:dyDescent="0.25">
      <c r="J2477" s="15"/>
    </row>
    <row r="2478" spans="10:10" x14ac:dyDescent="0.25">
      <c r="J2478" s="15"/>
    </row>
    <row r="2479" spans="10:10" x14ac:dyDescent="0.25">
      <c r="J2479" s="15"/>
    </row>
    <row r="2480" spans="10:10" x14ac:dyDescent="0.25">
      <c r="J2480" s="15"/>
    </row>
    <row r="2481" spans="10:10" x14ac:dyDescent="0.25">
      <c r="J2481" s="15"/>
    </row>
    <row r="2482" spans="10:10" x14ac:dyDescent="0.25">
      <c r="J2482" s="15"/>
    </row>
    <row r="2483" spans="10:10" x14ac:dyDescent="0.25">
      <c r="J2483" s="15"/>
    </row>
    <row r="2484" spans="10:10" x14ac:dyDescent="0.25">
      <c r="J2484" s="15"/>
    </row>
    <row r="2485" spans="10:10" x14ac:dyDescent="0.25">
      <c r="J2485" s="15"/>
    </row>
    <row r="2486" spans="10:10" x14ac:dyDescent="0.25">
      <c r="J2486" s="15"/>
    </row>
    <row r="2487" spans="10:10" x14ac:dyDescent="0.25">
      <c r="J2487" s="15"/>
    </row>
    <row r="2488" spans="10:10" x14ac:dyDescent="0.25">
      <c r="J2488" s="15"/>
    </row>
    <row r="2489" spans="10:10" x14ac:dyDescent="0.25">
      <c r="J2489" s="15"/>
    </row>
    <row r="2490" spans="10:10" x14ac:dyDescent="0.25">
      <c r="J2490" s="15"/>
    </row>
    <row r="2491" spans="10:10" x14ac:dyDescent="0.25">
      <c r="J2491" s="15"/>
    </row>
    <row r="2492" spans="10:10" x14ac:dyDescent="0.25">
      <c r="J2492" s="15"/>
    </row>
    <row r="2493" spans="10:10" x14ac:dyDescent="0.25">
      <c r="J2493" s="15"/>
    </row>
    <row r="2494" spans="10:10" x14ac:dyDescent="0.25">
      <c r="J2494" s="15"/>
    </row>
    <row r="2495" spans="10:10" x14ac:dyDescent="0.25">
      <c r="J2495" s="15"/>
    </row>
    <row r="2496" spans="10:10" x14ac:dyDescent="0.25">
      <c r="J2496" s="15"/>
    </row>
    <row r="2497" spans="10:10" x14ac:dyDescent="0.25">
      <c r="J2497" s="15"/>
    </row>
    <row r="2498" spans="10:10" x14ac:dyDescent="0.25">
      <c r="J2498" s="15"/>
    </row>
    <row r="2499" spans="10:10" x14ac:dyDescent="0.25">
      <c r="J2499" s="15"/>
    </row>
    <row r="2500" spans="10:10" x14ac:dyDescent="0.25">
      <c r="J2500" s="15"/>
    </row>
    <row r="2501" spans="10:10" x14ac:dyDescent="0.25">
      <c r="J2501" s="15"/>
    </row>
    <row r="2502" spans="10:10" x14ac:dyDescent="0.25">
      <c r="J2502" s="15"/>
    </row>
    <row r="2503" spans="10:10" x14ac:dyDescent="0.25">
      <c r="J2503" s="15"/>
    </row>
    <row r="2504" spans="10:10" x14ac:dyDescent="0.25">
      <c r="J2504" s="15"/>
    </row>
    <row r="2505" spans="10:10" x14ac:dyDescent="0.25">
      <c r="J2505" s="15"/>
    </row>
    <row r="2506" spans="10:10" x14ac:dyDescent="0.25">
      <c r="J2506" s="15"/>
    </row>
    <row r="2507" spans="10:10" x14ac:dyDescent="0.25">
      <c r="J2507" s="15"/>
    </row>
    <row r="2508" spans="10:10" x14ac:dyDescent="0.25">
      <c r="J2508" s="15"/>
    </row>
    <row r="2509" spans="10:10" x14ac:dyDescent="0.25">
      <c r="J2509" s="15"/>
    </row>
    <row r="2510" spans="10:10" x14ac:dyDescent="0.25">
      <c r="J2510" s="15"/>
    </row>
    <row r="2511" spans="10:10" x14ac:dyDescent="0.25">
      <c r="J2511" s="15"/>
    </row>
    <row r="2512" spans="10:10" x14ac:dyDescent="0.25">
      <c r="J2512" s="15"/>
    </row>
    <row r="2513" spans="10:10" x14ac:dyDescent="0.25">
      <c r="J2513" s="15"/>
    </row>
    <row r="2514" spans="10:10" x14ac:dyDescent="0.25">
      <c r="J2514" s="15"/>
    </row>
    <row r="2515" spans="10:10" x14ac:dyDescent="0.25">
      <c r="J2515" s="15"/>
    </row>
    <row r="2516" spans="10:10" x14ac:dyDescent="0.25">
      <c r="J2516" s="15"/>
    </row>
    <row r="2517" spans="10:10" x14ac:dyDescent="0.25">
      <c r="J2517" s="15"/>
    </row>
    <row r="2518" spans="10:10" x14ac:dyDescent="0.25">
      <c r="J2518" s="15"/>
    </row>
    <row r="2519" spans="10:10" x14ac:dyDescent="0.25">
      <c r="J2519" s="15"/>
    </row>
    <row r="2520" spans="10:10" x14ac:dyDescent="0.25">
      <c r="J2520" s="15"/>
    </row>
    <row r="2521" spans="10:10" x14ac:dyDescent="0.25">
      <c r="J2521" s="15"/>
    </row>
    <row r="2522" spans="10:10" x14ac:dyDescent="0.25">
      <c r="J2522" s="15"/>
    </row>
    <row r="2523" spans="10:10" x14ac:dyDescent="0.25">
      <c r="J2523" s="15"/>
    </row>
    <row r="2524" spans="10:10" x14ac:dyDescent="0.25">
      <c r="J2524" s="15"/>
    </row>
    <row r="2525" spans="10:10" x14ac:dyDescent="0.25">
      <c r="J2525" s="15"/>
    </row>
    <row r="2526" spans="10:10" x14ac:dyDescent="0.25">
      <c r="J2526" s="15"/>
    </row>
    <row r="2527" spans="10:10" x14ac:dyDescent="0.25">
      <c r="J2527" s="15"/>
    </row>
    <row r="2528" spans="10:10" x14ac:dyDescent="0.25">
      <c r="J2528" s="15"/>
    </row>
    <row r="2529" spans="10:10" x14ac:dyDescent="0.25">
      <c r="J2529" s="15"/>
    </row>
    <row r="2530" spans="10:10" x14ac:dyDescent="0.25">
      <c r="J2530" s="15"/>
    </row>
    <row r="2531" spans="10:10" x14ac:dyDescent="0.25">
      <c r="J2531" s="15"/>
    </row>
    <row r="2532" spans="10:10" x14ac:dyDescent="0.25">
      <c r="J2532" s="15"/>
    </row>
    <row r="2533" spans="10:10" x14ac:dyDescent="0.25">
      <c r="J2533" s="15"/>
    </row>
    <row r="2534" spans="10:10" x14ac:dyDescent="0.25">
      <c r="J2534" s="15"/>
    </row>
    <row r="2535" spans="10:10" x14ac:dyDescent="0.25">
      <c r="J2535" s="15"/>
    </row>
    <row r="2536" spans="10:10" x14ac:dyDescent="0.25">
      <c r="J2536" s="15"/>
    </row>
    <row r="2537" spans="10:10" x14ac:dyDescent="0.25">
      <c r="J2537" s="15"/>
    </row>
    <row r="2538" spans="10:10" x14ac:dyDescent="0.25">
      <c r="J2538" s="15"/>
    </row>
    <row r="2539" spans="10:10" x14ac:dyDescent="0.25">
      <c r="J2539" s="15"/>
    </row>
    <row r="2540" spans="10:10" x14ac:dyDescent="0.25">
      <c r="J2540" s="15"/>
    </row>
    <row r="2541" spans="10:10" x14ac:dyDescent="0.25">
      <c r="J2541" s="15"/>
    </row>
    <row r="2542" spans="10:10" x14ac:dyDescent="0.25">
      <c r="J2542" s="15"/>
    </row>
    <row r="2543" spans="10:10" x14ac:dyDescent="0.25">
      <c r="J2543" s="15"/>
    </row>
    <row r="2544" spans="10:10" x14ac:dyDescent="0.25">
      <c r="J2544" s="15"/>
    </row>
    <row r="2545" spans="10:10" x14ac:dyDescent="0.25">
      <c r="J2545" s="15"/>
    </row>
    <row r="2546" spans="10:10" x14ac:dyDescent="0.25">
      <c r="J2546" s="15"/>
    </row>
    <row r="2547" spans="10:10" x14ac:dyDescent="0.25">
      <c r="J2547" s="15"/>
    </row>
    <row r="2548" spans="10:10" x14ac:dyDescent="0.25">
      <c r="J2548" s="15"/>
    </row>
    <row r="2549" spans="10:10" x14ac:dyDescent="0.25">
      <c r="J2549" s="15"/>
    </row>
    <row r="2550" spans="10:10" x14ac:dyDescent="0.25">
      <c r="J2550" s="15"/>
    </row>
    <row r="2551" spans="10:10" x14ac:dyDescent="0.25">
      <c r="J2551" s="15"/>
    </row>
    <row r="2552" spans="10:10" x14ac:dyDescent="0.25">
      <c r="J2552" s="15"/>
    </row>
    <row r="2553" spans="10:10" x14ac:dyDescent="0.25">
      <c r="J2553" s="15"/>
    </row>
    <row r="2554" spans="10:10" x14ac:dyDescent="0.25">
      <c r="J2554" s="15"/>
    </row>
    <row r="2555" spans="10:10" x14ac:dyDescent="0.25">
      <c r="J2555" s="15"/>
    </row>
    <row r="2556" spans="10:10" x14ac:dyDescent="0.25">
      <c r="J2556" s="15"/>
    </row>
    <row r="2557" spans="10:10" x14ac:dyDescent="0.25">
      <c r="J2557" s="15"/>
    </row>
    <row r="2558" spans="10:10" x14ac:dyDescent="0.25">
      <c r="J2558" s="15"/>
    </row>
    <row r="2559" spans="10:10" x14ac:dyDescent="0.25">
      <c r="J2559" s="15"/>
    </row>
    <row r="2560" spans="10:10" x14ac:dyDescent="0.25">
      <c r="J2560" s="15"/>
    </row>
    <row r="2561" spans="10:10" x14ac:dyDescent="0.25">
      <c r="J2561" s="15"/>
    </row>
    <row r="2562" spans="10:10" x14ac:dyDescent="0.25">
      <c r="J2562" s="15"/>
    </row>
    <row r="2563" spans="10:10" x14ac:dyDescent="0.25">
      <c r="J2563" s="15"/>
    </row>
    <row r="2564" spans="10:10" x14ac:dyDescent="0.25">
      <c r="J2564" s="15"/>
    </row>
    <row r="2565" spans="10:10" x14ac:dyDescent="0.25">
      <c r="J2565" s="15"/>
    </row>
    <row r="2566" spans="10:10" x14ac:dyDescent="0.25">
      <c r="J2566" s="15"/>
    </row>
    <row r="2567" spans="10:10" x14ac:dyDescent="0.25">
      <c r="J2567" s="15"/>
    </row>
    <row r="2568" spans="10:10" x14ac:dyDescent="0.25">
      <c r="J2568" s="15"/>
    </row>
    <row r="2569" spans="10:10" x14ac:dyDescent="0.25">
      <c r="J2569" s="15"/>
    </row>
    <row r="2570" spans="10:10" x14ac:dyDescent="0.25">
      <c r="J2570" s="15"/>
    </row>
    <row r="2571" spans="10:10" x14ac:dyDescent="0.25">
      <c r="J2571" s="15"/>
    </row>
    <row r="2572" spans="10:10" x14ac:dyDescent="0.25">
      <c r="J2572" s="15"/>
    </row>
    <row r="2573" spans="10:10" x14ac:dyDescent="0.25">
      <c r="J2573" s="15"/>
    </row>
    <row r="2574" spans="10:10" x14ac:dyDescent="0.25">
      <c r="J2574" s="15"/>
    </row>
    <row r="2575" spans="10:10" x14ac:dyDescent="0.25">
      <c r="J2575" s="15"/>
    </row>
    <row r="2576" spans="10:10" x14ac:dyDescent="0.25">
      <c r="J2576" s="15"/>
    </row>
    <row r="2577" spans="10:10" x14ac:dyDescent="0.25">
      <c r="J2577" s="15"/>
    </row>
    <row r="2578" spans="10:10" x14ac:dyDescent="0.25">
      <c r="J2578" s="15"/>
    </row>
    <row r="2579" spans="10:10" x14ac:dyDescent="0.25">
      <c r="J2579" s="15"/>
    </row>
    <row r="2580" spans="10:10" x14ac:dyDescent="0.25">
      <c r="J2580" s="15"/>
    </row>
    <row r="2581" spans="10:10" x14ac:dyDescent="0.25">
      <c r="J2581" s="15"/>
    </row>
    <row r="2582" spans="10:10" x14ac:dyDescent="0.25">
      <c r="J2582" s="15"/>
    </row>
    <row r="2583" spans="10:10" x14ac:dyDescent="0.25">
      <c r="J2583" s="15"/>
    </row>
    <row r="2584" spans="10:10" x14ac:dyDescent="0.25">
      <c r="J2584" s="15"/>
    </row>
    <row r="2585" spans="10:10" x14ac:dyDescent="0.25">
      <c r="J2585" s="15"/>
    </row>
    <row r="2586" spans="10:10" x14ac:dyDescent="0.25">
      <c r="J2586" s="15"/>
    </row>
    <row r="2587" spans="10:10" x14ac:dyDescent="0.25">
      <c r="J2587" s="15"/>
    </row>
    <row r="2588" spans="10:10" x14ac:dyDescent="0.25">
      <c r="J2588" s="15"/>
    </row>
    <row r="2589" spans="10:10" x14ac:dyDescent="0.25">
      <c r="J2589" s="15"/>
    </row>
    <row r="2590" spans="10:10" x14ac:dyDescent="0.25">
      <c r="J2590" s="15"/>
    </row>
    <row r="2591" spans="10:10" x14ac:dyDescent="0.25">
      <c r="J2591" s="15"/>
    </row>
    <row r="2592" spans="10:10" x14ac:dyDescent="0.25">
      <c r="J2592" s="15"/>
    </row>
    <row r="2593" spans="10:10" x14ac:dyDescent="0.25">
      <c r="J2593" s="15"/>
    </row>
    <row r="2594" spans="10:10" x14ac:dyDescent="0.25">
      <c r="J2594" s="15"/>
    </row>
    <row r="2595" spans="10:10" x14ac:dyDescent="0.25">
      <c r="J2595" s="15"/>
    </row>
    <row r="2596" spans="10:10" x14ac:dyDescent="0.25">
      <c r="J2596" s="15"/>
    </row>
    <row r="2597" spans="10:10" x14ac:dyDescent="0.25">
      <c r="J2597" s="15"/>
    </row>
    <row r="2598" spans="10:10" x14ac:dyDescent="0.25">
      <c r="J2598" s="15"/>
    </row>
    <row r="2599" spans="10:10" x14ac:dyDescent="0.25">
      <c r="J2599" s="15"/>
    </row>
    <row r="2600" spans="10:10" x14ac:dyDescent="0.25">
      <c r="J2600" s="15"/>
    </row>
    <row r="2601" spans="10:10" x14ac:dyDescent="0.25">
      <c r="J2601" s="15"/>
    </row>
    <row r="2602" spans="10:10" x14ac:dyDescent="0.25">
      <c r="J2602" s="15"/>
    </row>
    <row r="2603" spans="10:10" x14ac:dyDescent="0.25">
      <c r="J2603" s="15"/>
    </row>
    <row r="2604" spans="10:10" x14ac:dyDescent="0.25">
      <c r="J2604" s="15"/>
    </row>
    <row r="2605" spans="10:10" x14ac:dyDescent="0.25">
      <c r="J2605" s="15"/>
    </row>
    <row r="2606" spans="10:10" x14ac:dyDescent="0.25">
      <c r="J2606" s="15"/>
    </row>
    <row r="2607" spans="10:10" x14ac:dyDescent="0.25">
      <c r="J2607" s="15"/>
    </row>
    <row r="2608" spans="10:10" x14ac:dyDescent="0.25">
      <c r="J2608" s="15"/>
    </row>
    <row r="2609" spans="10:10" x14ac:dyDescent="0.25">
      <c r="J2609" s="15"/>
    </row>
    <row r="2610" spans="10:10" x14ac:dyDescent="0.25">
      <c r="J2610" s="15"/>
    </row>
    <row r="2611" spans="10:10" x14ac:dyDescent="0.25">
      <c r="J2611" s="15"/>
    </row>
    <row r="2612" spans="10:10" x14ac:dyDescent="0.25">
      <c r="J2612" s="15"/>
    </row>
    <row r="2613" spans="10:10" x14ac:dyDescent="0.25">
      <c r="J2613" s="15"/>
    </row>
    <row r="2614" spans="10:10" x14ac:dyDescent="0.25">
      <c r="J2614" s="15"/>
    </row>
    <row r="2615" spans="10:10" x14ac:dyDescent="0.25">
      <c r="J2615" s="15"/>
    </row>
    <row r="2616" spans="10:10" x14ac:dyDescent="0.25">
      <c r="J2616" s="15"/>
    </row>
    <row r="2617" spans="10:10" x14ac:dyDescent="0.25">
      <c r="J2617" s="15"/>
    </row>
    <row r="2618" spans="10:10" x14ac:dyDescent="0.25">
      <c r="J2618" s="15"/>
    </row>
    <row r="2619" spans="10:10" x14ac:dyDescent="0.25">
      <c r="J2619" s="15"/>
    </row>
    <row r="2620" spans="10:10" x14ac:dyDescent="0.25">
      <c r="J2620" s="15"/>
    </row>
    <row r="2621" spans="10:10" x14ac:dyDescent="0.25">
      <c r="J2621" s="15"/>
    </row>
    <row r="2622" spans="10:10" x14ac:dyDescent="0.25">
      <c r="J2622" s="15"/>
    </row>
    <row r="2623" spans="10:10" x14ac:dyDescent="0.25">
      <c r="J2623" s="15"/>
    </row>
    <row r="2624" spans="10:10" x14ac:dyDescent="0.25">
      <c r="J2624" s="15"/>
    </row>
    <row r="2625" spans="10:10" x14ac:dyDescent="0.25">
      <c r="J2625" s="15"/>
    </row>
    <row r="2626" spans="10:10" x14ac:dyDescent="0.25">
      <c r="J2626" s="15"/>
    </row>
    <row r="2627" spans="10:10" x14ac:dyDescent="0.25">
      <c r="J2627" s="15"/>
    </row>
    <row r="2628" spans="10:10" x14ac:dyDescent="0.25">
      <c r="J2628" s="15"/>
    </row>
    <row r="2629" spans="10:10" x14ac:dyDescent="0.25">
      <c r="J2629" s="15"/>
    </row>
    <row r="2630" spans="10:10" x14ac:dyDescent="0.25">
      <c r="J2630" s="15"/>
    </row>
    <row r="2631" spans="10:10" x14ac:dyDescent="0.25">
      <c r="J2631" s="15"/>
    </row>
    <row r="2632" spans="10:10" x14ac:dyDescent="0.25">
      <c r="J2632" s="15"/>
    </row>
    <row r="2633" spans="10:10" x14ac:dyDescent="0.25">
      <c r="J2633" s="15"/>
    </row>
    <row r="2634" spans="10:10" x14ac:dyDescent="0.25">
      <c r="J2634" s="15"/>
    </row>
    <row r="2635" spans="10:10" x14ac:dyDescent="0.25">
      <c r="J2635" s="15"/>
    </row>
    <row r="2636" spans="10:10" x14ac:dyDescent="0.25">
      <c r="J2636" s="15"/>
    </row>
    <row r="2637" spans="10:10" x14ac:dyDescent="0.25">
      <c r="J2637" s="15"/>
    </row>
    <row r="2638" spans="10:10" x14ac:dyDescent="0.25">
      <c r="J2638" s="15"/>
    </row>
    <row r="2639" spans="10:10" x14ac:dyDescent="0.25">
      <c r="J2639" s="15"/>
    </row>
    <row r="2640" spans="10:10" x14ac:dyDescent="0.25">
      <c r="J2640" s="15"/>
    </row>
    <row r="2641" spans="10:10" x14ac:dyDescent="0.25">
      <c r="J2641" s="15"/>
    </row>
    <row r="2642" spans="10:10" x14ac:dyDescent="0.25">
      <c r="J2642" s="15"/>
    </row>
    <row r="2643" spans="10:10" x14ac:dyDescent="0.25">
      <c r="J2643" s="15"/>
    </row>
    <row r="2644" spans="10:10" x14ac:dyDescent="0.25">
      <c r="J2644" s="15"/>
    </row>
    <row r="2645" spans="10:10" x14ac:dyDescent="0.25">
      <c r="J2645" s="15"/>
    </row>
    <row r="2646" spans="10:10" x14ac:dyDescent="0.25">
      <c r="J2646" s="15"/>
    </row>
    <row r="2647" spans="10:10" x14ac:dyDescent="0.25">
      <c r="J2647" s="15"/>
    </row>
    <row r="2648" spans="10:10" x14ac:dyDescent="0.25">
      <c r="J2648" s="15"/>
    </row>
    <row r="2649" spans="10:10" x14ac:dyDescent="0.25">
      <c r="J2649" s="15"/>
    </row>
    <row r="2650" spans="10:10" x14ac:dyDescent="0.25">
      <c r="J2650" s="15"/>
    </row>
    <row r="2651" spans="10:10" x14ac:dyDescent="0.25">
      <c r="J2651" s="15"/>
    </row>
    <row r="2652" spans="10:10" x14ac:dyDescent="0.25">
      <c r="J2652" s="15"/>
    </row>
    <row r="2653" spans="10:10" x14ac:dyDescent="0.25">
      <c r="J2653" s="15"/>
    </row>
    <row r="2654" spans="10:10" x14ac:dyDescent="0.25">
      <c r="J2654" s="15"/>
    </row>
    <row r="2655" spans="10:10" x14ac:dyDescent="0.25">
      <c r="J2655" s="15"/>
    </row>
    <row r="2656" spans="10:10" x14ac:dyDescent="0.25">
      <c r="J2656" s="15"/>
    </row>
    <row r="2657" spans="10:10" x14ac:dyDescent="0.25">
      <c r="J2657" s="15"/>
    </row>
    <row r="2658" spans="10:10" x14ac:dyDescent="0.25">
      <c r="J2658" s="15"/>
    </row>
    <row r="2659" spans="10:10" x14ac:dyDescent="0.25">
      <c r="J2659" s="15"/>
    </row>
    <row r="2660" spans="10:10" x14ac:dyDescent="0.25">
      <c r="J2660" s="15"/>
    </row>
    <row r="2661" spans="10:10" x14ac:dyDescent="0.25">
      <c r="J2661" s="15"/>
    </row>
    <row r="2662" spans="10:10" x14ac:dyDescent="0.25">
      <c r="J2662" s="15"/>
    </row>
    <row r="2663" spans="10:10" x14ac:dyDescent="0.25">
      <c r="J2663" s="15"/>
    </row>
    <row r="2664" spans="10:10" x14ac:dyDescent="0.25">
      <c r="J2664" s="15"/>
    </row>
    <row r="2665" spans="10:10" x14ac:dyDescent="0.25">
      <c r="J2665" s="15"/>
    </row>
    <row r="2666" spans="10:10" x14ac:dyDescent="0.25">
      <c r="J2666" s="15"/>
    </row>
    <row r="2667" spans="10:10" x14ac:dyDescent="0.25">
      <c r="J2667" s="15"/>
    </row>
    <row r="2668" spans="10:10" x14ac:dyDescent="0.25">
      <c r="J2668" s="15"/>
    </row>
    <row r="2669" spans="10:10" x14ac:dyDescent="0.25">
      <c r="J2669" s="15"/>
    </row>
    <row r="2670" spans="10:10" x14ac:dyDescent="0.25">
      <c r="J2670" s="15"/>
    </row>
    <row r="2671" spans="10:10" x14ac:dyDescent="0.25">
      <c r="J2671" s="15"/>
    </row>
    <row r="2672" spans="10:10" x14ac:dyDescent="0.25">
      <c r="J2672" s="15"/>
    </row>
    <row r="2673" spans="10:10" x14ac:dyDescent="0.25">
      <c r="J2673" s="15"/>
    </row>
    <row r="2674" spans="10:10" x14ac:dyDescent="0.25">
      <c r="J2674" s="15"/>
    </row>
    <row r="2675" spans="10:10" x14ac:dyDescent="0.25">
      <c r="J2675" s="15"/>
    </row>
    <row r="2676" spans="10:10" x14ac:dyDescent="0.25">
      <c r="J2676" s="15"/>
    </row>
    <row r="2677" spans="10:10" x14ac:dyDescent="0.25">
      <c r="J2677" s="15"/>
    </row>
    <row r="2678" spans="10:10" x14ac:dyDescent="0.25">
      <c r="J2678" s="15"/>
    </row>
    <row r="2679" spans="10:10" x14ac:dyDescent="0.25">
      <c r="J2679" s="15"/>
    </row>
    <row r="2680" spans="10:10" x14ac:dyDescent="0.25">
      <c r="J2680" s="15"/>
    </row>
    <row r="2681" spans="10:10" x14ac:dyDescent="0.25">
      <c r="J2681" s="15"/>
    </row>
    <row r="2682" spans="10:10" x14ac:dyDescent="0.25">
      <c r="J2682" s="15"/>
    </row>
    <row r="2683" spans="10:10" x14ac:dyDescent="0.25">
      <c r="J2683" s="15"/>
    </row>
    <row r="2684" spans="10:10" x14ac:dyDescent="0.25">
      <c r="J2684" s="15"/>
    </row>
    <row r="2685" spans="10:10" x14ac:dyDescent="0.25">
      <c r="J2685" s="15"/>
    </row>
    <row r="2686" spans="10:10" x14ac:dyDescent="0.25">
      <c r="J2686" s="15"/>
    </row>
    <row r="2687" spans="10:10" x14ac:dyDescent="0.25">
      <c r="J2687" s="15"/>
    </row>
    <row r="2688" spans="10:10" x14ac:dyDescent="0.25">
      <c r="J2688" s="15"/>
    </row>
    <row r="2689" spans="10:10" x14ac:dyDescent="0.25">
      <c r="J2689" s="15"/>
    </row>
    <row r="2690" spans="10:10" x14ac:dyDescent="0.25">
      <c r="J2690" s="15"/>
    </row>
    <row r="2691" spans="10:10" x14ac:dyDescent="0.25">
      <c r="J2691" s="15"/>
    </row>
    <row r="2692" spans="10:10" x14ac:dyDescent="0.25">
      <c r="J2692" s="15"/>
    </row>
    <row r="2693" spans="10:10" x14ac:dyDescent="0.25">
      <c r="J2693" s="15"/>
    </row>
    <row r="2694" spans="10:10" x14ac:dyDescent="0.25">
      <c r="J2694" s="15"/>
    </row>
    <row r="2695" spans="10:10" x14ac:dyDescent="0.25">
      <c r="J2695" s="15"/>
    </row>
    <row r="2696" spans="10:10" x14ac:dyDescent="0.25">
      <c r="J2696" s="15"/>
    </row>
    <row r="2697" spans="10:10" x14ac:dyDescent="0.25">
      <c r="J2697" s="15"/>
    </row>
    <row r="2698" spans="10:10" x14ac:dyDescent="0.25">
      <c r="J2698" s="15"/>
    </row>
    <row r="2699" spans="10:10" x14ac:dyDescent="0.25">
      <c r="J2699" s="15"/>
    </row>
    <row r="2700" spans="10:10" x14ac:dyDescent="0.25">
      <c r="J2700" s="15"/>
    </row>
    <row r="2701" spans="10:10" x14ac:dyDescent="0.25">
      <c r="J2701" s="15"/>
    </row>
    <row r="2702" spans="10:10" x14ac:dyDescent="0.25">
      <c r="J2702" s="15"/>
    </row>
    <row r="2703" spans="10:10" x14ac:dyDescent="0.25">
      <c r="J2703" s="15"/>
    </row>
    <row r="2704" spans="10:10" x14ac:dyDescent="0.25">
      <c r="J2704" s="15"/>
    </row>
    <row r="2705" spans="10:10" x14ac:dyDescent="0.25">
      <c r="J2705" s="15"/>
    </row>
    <row r="2706" spans="10:10" x14ac:dyDescent="0.25">
      <c r="J2706" s="15"/>
    </row>
    <row r="2707" spans="10:10" x14ac:dyDescent="0.25">
      <c r="J2707" s="15"/>
    </row>
    <row r="2708" spans="10:10" x14ac:dyDescent="0.25">
      <c r="J2708" s="15"/>
    </row>
    <row r="2709" spans="10:10" x14ac:dyDescent="0.25">
      <c r="J2709" s="15"/>
    </row>
    <row r="2710" spans="10:10" x14ac:dyDescent="0.25">
      <c r="J2710" s="15"/>
    </row>
    <row r="2711" spans="10:10" x14ac:dyDescent="0.25">
      <c r="J2711" s="15"/>
    </row>
    <row r="2712" spans="10:10" x14ac:dyDescent="0.25">
      <c r="J2712" s="15"/>
    </row>
    <row r="2713" spans="10:10" x14ac:dyDescent="0.25">
      <c r="J2713" s="15"/>
    </row>
    <row r="2714" spans="10:10" x14ac:dyDescent="0.25">
      <c r="J2714" s="15"/>
    </row>
    <row r="2715" spans="10:10" x14ac:dyDescent="0.25">
      <c r="J2715" s="15"/>
    </row>
    <row r="2716" spans="10:10" x14ac:dyDescent="0.25">
      <c r="J2716" s="15"/>
    </row>
    <row r="2717" spans="10:10" x14ac:dyDescent="0.25">
      <c r="J2717" s="15"/>
    </row>
    <row r="2718" spans="10:10" x14ac:dyDescent="0.25">
      <c r="J2718" s="15"/>
    </row>
    <row r="2719" spans="10:10" x14ac:dyDescent="0.25">
      <c r="J2719" s="15"/>
    </row>
    <row r="2720" spans="10:10" x14ac:dyDescent="0.25">
      <c r="J2720" s="15"/>
    </row>
    <row r="2721" spans="10:10" x14ac:dyDescent="0.25">
      <c r="J2721" s="15"/>
    </row>
    <row r="2722" spans="10:10" x14ac:dyDescent="0.25">
      <c r="J2722" s="15"/>
    </row>
    <row r="2723" spans="10:10" x14ac:dyDescent="0.25">
      <c r="J2723" s="15"/>
    </row>
    <row r="2724" spans="10:10" x14ac:dyDescent="0.25">
      <c r="J2724" s="15"/>
    </row>
    <row r="2725" spans="10:10" x14ac:dyDescent="0.25">
      <c r="J2725" s="15"/>
    </row>
    <row r="2726" spans="10:10" x14ac:dyDescent="0.25">
      <c r="J2726" s="15"/>
    </row>
    <row r="2727" spans="10:10" x14ac:dyDescent="0.25">
      <c r="J2727" s="15"/>
    </row>
    <row r="2728" spans="10:10" x14ac:dyDescent="0.25">
      <c r="J2728" s="15"/>
    </row>
    <row r="2729" spans="10:10" x14ac:dyDescent="0.25">
      <c r="J2729" s="15"/>
    </row>
    <row r="2730" spans="10:10" x14ac:dyDescent="0.25">
      <c r="J2730" s="15"/>
    </row>
    <row r="2731" spans="10:10" x14ac:dyDescent="0.25">
      <c r="J2731" s="15"/>
    </row>
    <row r="2732" spans="10:10" x14ac:dyDescent="0.25">
      <c r="J2732" s="15"/>
    </row>
    <row r="2733" spans="10:10" x14ac:dyDescent="0.25">
      <c r="J2733" s="15"/>
    </row>
    <row r="2734" spans="10:10" x14ac:dyDescent="0.25">
      <c r="J2734" s="15"/>
    </row>
    <row r="2735" spans="10:10" x14ac:dyDescent="0.25">
      <c r="J2735" s="15"/>
    </row>
    <row r="2736" spans="10:10" x14ac:dyDescent="0.25">
      <c r="J2736" s="15"/>
    </row>
    <row r="2737" spans="10:10" x14ac:dyDescent="0.25">
      <c r="J2737" s="15"/>
    </row>
    <row r="2738" spans="10:10" x14ac:dyDescent="0.25">
      <c r="J2738" s="15"/>
    </row>
    <row r="2739" spans="10:10" x14ac:dyDescent="0.25">
      <c r="J2739" s="15"/>
    </row>
    <row r="2740" spans="10:10" x14ac:dyDescent="0.25">
      <c r="J2740" s="15"/>
    </row>
    <row r="2741" spans="10:10" x14ac:dyDescent="0.25">
      <c r="J2741" s="15"/>
    </row>
    <row r="2742" spans="10:10" x14ac:dyDescent="0.25">
      <c r="J2742" s="15"/>
    </row>
    <row r="2743" spans="10:10" x14ac:dyDescent="0.25">
      <c r="J2743" s="15"/>
    </row>
    <row r="2744" spans="10:10" x14ac:dyDescent="0.25">
      <c r="J2744" s="15"/>
    </row>
    <row r="2745" spans="10:10" x14ac:dyDescent="0.25">
      <c r="J2745" s="15"/>
    </row>
    <row r="2746" spans="10:10" x14ac:dyDescent="0.25">
      <c r="J2746" s="15"/>
    </row>
    <row r="2747" spans="10:10" x14ac:dyDescent="0.25">
      <c r="J2747" s="15"/>
    </row>
    <row r="2748" spans="10:10" x14ac:dyDescent="0.25">
      <c r="J2748" s="15"/>
    </row>
    <row r="2749" spans="10:10" x14ac:dyDescent="0.25">
      <c r="J2749" s="15"/>
    </row>
    <row r="2750" spans="10:10" x14ac:dyDescent="0.25">
      <c r="J2750" s="15"/>
    </row>
    <row r="2751" spans="10:10" x14ac:dyDescent="0.25">
      <c r="J2751" s="15"/>
    </row>
    <row r="2752" spans="10:10" x14ac:dyDescent="0.25">
      <c r="J2752" s="15"/>
    </row>
    <row r="2753" spans="10:10" x14ac:dyDescent="0.25">
      <c r="J2753" s="15"/>
    </row>
    <row r="2754" spans="10:10" x14ac:dyDescent="0.25">
      <c r="J2754" s="15"/>
    </row>
    <row r="2755" spans="10:10" x14ac:dyDescent="0.25">
      <c r="J2755" s="15"/>
    </row>
    <row r="2756" spans="10:10" x14ac:dyDescent="0.25">
      <c r="J2756" s="15"/>
    </row>
    <row r="2757" spans="10:10" x14ac:dyDescent="0.25">
      <c r="J2757" s="15"/>
    </row>
    <row r="2758" spans="10:10" x14ac:dyDescent="0.25">
      <c r="J2758" s="15"/>
    </row>
    <row r="2759" spans="10:10" x14ac:dyDescent="0.25">
      <c r="J2759" s="15"/>
    </row>
    <row r="2760" spans="10:10" x14ac:dyDescent="0.25">
      <c r="J2760" s="15"/>
    </row>
    <row r="2761" spans="10:10" x14ac:dyDescent="0.25">
      <c r="J2761" s="15"/>
    </row>
    <row r="2762" spans="10:10" x14ac:dyDescent="0.25">
      <c r="J2762" s="15"/>
    </row>
    <row r="2763" spans="10:10" x14ac:dyDescent="0.25">
      <c r="J2763" s="15"/>
    </row>
    <row r="2764" spans="10:10" x14ac:dyDescent="0.25">
      <c r="J2764" s="15"/>
    </row>
    <row r="2765" spans="10:10" x14ac:dyDescent="0.25">
      <c r="J2765" s="15"/>
    </row>
    <row r="2766" spans="10:10" x14ac:dyDescent="0.25">
      <c r="J2766" s="15"/>
    </row>
    <row r="2767" spans="10:10" x14ac:dyDescent="0.25">
      <c r="J2767" s="15"/>
    </row>
    <row r="2768" spans="10:10" x14ac:dyDescent="0.25">
      <c r="J2768" s="15"/>
    </row>
    <row r="2769" spans="10:10" x14ac:dyDescent="0.25">
      <c r="J2769" s="15"/>
    </row>
    <row r="2770" spans="10:10" x14ac:dyDescent="0.25">
      <c r="J2770" s="15"/>
    </row>
    <row r="2771" spans="10:10" x14ac:dyDescent="0.25">
      <c r="J2771" s="15"/>
    </row>
    <row r="2772" spans="10:10" x14ac:dyDescent="0.25">
      <c r="J2772" s="15"/>
    </row>
    <row r="2773" spans="10:10" x14ac:dyDescent="0.25">
      <c r="J2773" s="15"/>
    </row>
    <row r="2774" spans="10:10" x14ac:dyDescent="0.25">
      <c r="J2774" s="15"/>
    </row>
    <row r="2775" spans="10:10" x14ac:dyDescent="0.25">
      <c r="J2775" s="15"/>
    </row>
    <row r="2776" spans="10:10" x14ac:dyDescent="0.25">
      <c r="J2776" s="15"/>
    </row>
    <row r="2777" spans="10:10" x14ac:dyDescent="0.25">
      <c r="J2777" s="15"/>
    </row>
    <row r="2778" spans="10:10" x14ac:dyDescent="0.25">
      <c r="J2778" s="15"/>
    </row>
    <row r="2779" spans="10:10" x14ac:dyDescent="0.25">
      <c r="J2779" s="15"/>
    </row>
    <row r="2780" spans="10:10" x14ac:dyDescent="0.25">
      <c r="J2780" s="15"/>
    </row>
    <row r="2781" spans="10:10" x14ac:dyDescent="0.25">
      <c r="J2781" s="15"/>
    </row>
    <row r="2782" spans="10:10" x14ac:dyDescent="0.25">
      <c r="J2782" s="15"/>
    </row>
    <row r="2783" spans="10:10" x14ac:dyDescent="0.25">
      <c r="J2783" s="15"/>
    </row>
    <row r="2784" spans="10:10" x14ac:dyDescent="0.25">
      <c r="J2784" s="15"/>
    </row>
    <row r="2785" spans="10:10" x14ac:dyDescent="0.25">
      <c r="J2785" s="15"/>
    </row>
    <row r="2786" spans="10:10" x14ac:dyDescent="0.25">
      <c r="J2786" s="15"/>
    </row>
    <row r="2787" spans="10:10" x14ac:dyDescent="0.25">
      <c r="J2787" s="15"/>
    </row>
    <row r="2788" spans="10:10" x14ac:dyDescent="0.25">
      <c r="J2788" s="15"/>
    </row>
    <row r="2789" spans="10:10" x14ac:dyDescent="0.25">
      <c r="J2789" s="15"/>
    </row>
    <row r="2790" spans="10:10" x14ac:dyDescent="0.25">
      <c r="J2790" s="15"/>
    </row>
    <row r="2791" spans="10:10" x14ac:dyDescent="0.25">
      <c r="J2791" s="15"/>
    </row>
    <row r="2792" spans="10:10" x14ac:dyDescent="0.25">
      <c r="J2792" s="15"/>
    </row>
    <row r="2793" spans="10:10" x14ac:dyDescent="0.25">
      <c r="J2793" s="15"/>
    </row>
    <row r="2794" spans="10:10" x14ac:dyDescent="0.25">
      <c r="J2794" s="15"/>
    </row>
    <row r="2795" spans="10:10" x14ac:dyDescent="0.25">
      <c r="J2795" s="15"/>
    </row>
    <row r="2796" spans="10:10" x14ac:dyDescent="0.25">
      <c r="J2796" s="15"/>
    </row>
    <row r="2797" spans="10:10" x14ac:dyDescent="0.25">
      <c r="J2797" s="15"/>
    </row>
    <row r="2798" spans="10:10" x14ac:dyDescent="0.25">
      <c r="J2798" s="15"/>
    </row>
    <row r="2799" spans="10:10" x14ac:dyDescent="0.25">
      <c r="J2799" s="15"/>
    </row>
    <row r="2800" spans="10:10" x14ac:dyDescent="0.25">
      <c r="J2800" s="15"/>
    </row>
    <row r="2801" spans="10:10" x14ac:dyDescent="0.25">
      <c r="J2801" s="15"/>
    </row>
    <row r="2802" spans="10:10" x14ac:dyDescent="0.25">
      <c r="J2802" s="15"/>
    </row>
    <row r="2803" spans="10:10" x14ac:dyDescent="0.25">
      <c r="J2803" s="15"/>
    </row>
    <row r="2804" spans="10:10" x14ac:dyDescent="0.25">
      <c r="J2804" s="15"/>
    </row>
    <row r="2805" spans="10:10" x14ac:dyDescent="0.25">
      <c r="J2805" s="15"/>
    </row>
    <row r="2806" spans="10:10" x14ac:dyDescent="0.25">
      <c r="J2806" s="15"/>
    </row>
    <row r="2807" spans="10:10" x14ac:dyDescent="0.25">
      <c r="J2807" s="15"/>
    </row>
    <row r="2808" spans="10:10" x14ac:dyDescent="0.25">
      <c r="J2808" s="15"/>
    </row>
    <row r="2809" spans="10:10" x14ac:dyDescent="0.25">
      <c r="J2809" s="15"/>
    </row>
    <row r="2810" spans="10:10" x14ac:dyDescent="0.25">
      <c r="J2810" s="15"/>
    </row>
    <row r="2811" spans="10:10" x14ac:dyDescent="0.25">
      <c r="J2811" s="15"/>
    </row>
    <row r="2812" spans="10:10" x14ac:dyDescent="0.25">
      <c r="J2812" s="15"/>
    </row>
    <row r="2813" spans="10:10" x14ac:dyDescent="0.25">
      <c r="J2813" s="15"/>
    </row>
    <row r="2814" spans="10:10" x14ac:dyDescent="0.25">
      <c r="J2814" s="15"/>
    </row>
    <row r="2815" spans="10:10" x14ac:dyDescent="0.25">
      <c r="J2815" s="15"/>
    </row>
    <row r="2816" spans="10:10" x14ac:dyDescent="0.25">
      <c r="J2816" s="15"/>
    </row>
    <row r="2817" spans="10:10" x14ac:dyDescent="0.25">
      <c r="J2817" s="15"/>
    </row>
    <row r="2818" spans="10:10" x14ac:dyDescent="0.25">
      <c r="J2818" s="15"/>
    </row>
    <row r="2819" spans="10:10" x14ac:dyDescent="0.25">
      <c r="J2819" s="15"/>
    </row>
    <row r="2820" spans="10:10" x14ac:dyDescent="0.25">
      <c r="J2820" s="15"/>
    </row>
    <row r="2821" spans="10:10" x14ac:dyDescent="0.25">
      <c r="J2821" s="15"/>
    </row>
    <row r="2822" spans="10:10" x14ac:dyDescent="0.25">
      <c r="J2822" s="15"/>
    </row>
    <row r="2823" spans="10:10" x14ac:dyDescent="0.25">
      <c r="J2823" s="15"/>
    </row>
    <row r="2824" spans="10:10" x14ac:dyDescent="0.25">
      <c r="J2824" s="15"/>
    </row>
    <row r="2825" spans="10:10" x14ac:dyDescent="0.25">
      <c r="J2825" s="15"/>
    </row>
    <row r="2826" spans="10:10" x14ac:dyDescent="0.25">
      <c r="J2826" s="15"/>
    </row>
    <row r="2827" spans="10:10" x14ac:dyDescent="0.25">
      <c r="J2827" s="15"/>
    </row>
    <row r="2828" spans="10:10" x14ac:dyDescent="0.25">
      <c r="J2828" s="15"/>
    </row>
    <row r="2829" spans="10:10" x14ac:dyDescent="0.25">
      <c r="J2829" s="15"/>
    </row>
    <row r="2830" spans="10:10" x14ac:dyDescent="0.25">
      <c r="J2830" s="15"/>
    </row>
    <row r="2831" spans="10:10" x14ac:dyDescent="0.25">
      <c r="J2831" s="15"/>
    </row>
    <row r="2832" spans="10:10" x14ac:dyDescent="0.25">
      <c r="J2832" s="15"/>
    </row>
    <row r="2833" spans="10:10" x14ac:dyDescent="0.25">
      <c r="J2833" s="15"/>
    </row>
    <row r="2834" spans="10:10" x14ac:dyDescent="0.25">
      <c r="J2834" s="15"/>
    </row>
    <row r="2835" spans="10:10" x14ac:dyDescent="0.25">
      <c r="J2835" s="15"/>
    </row>
    <row r="2836" spans="10:10" x14ac:dyDescent="0.25">
      <c r="J2836" s="15"/>
    </row>
    <row r="2837" spans="10:10" x14ac:dyDescent="0.25">
      <c r="J2837" s="15"/>
    </row>
    <row r="2838" spans="10:10" x14ac:dyDescent="0.25">
      <c r="J2838" s="15"/>
    </row>
    <row r="2839" spans="10:10" x14ac:dyDescent="0.25">
      <c r="J2839" s="15"/>
    </row>
    <row r="2840" spans="10:10" x14ac:dyDescent="0.25">
      <c r="J2840" s="15"/>
    </row>
    <row r="2841" spans="10:10" x14ac:dyDescent="0.25">
      <c r="J2841" s="15"/>
    </row>
    <row r="2842" spans="10:10" x14ac:dyDescent="0.25">
      <c r="J2842" s="15"/>
    </row>
    <row r="2843" spans="10:10" x14ac:dyDescent="0.25">
      <c r="J2843" s="15"/>
    </row>
    <row r="2844" spans="10:10" x14ac:dyDescent="0.25">
      <c r="J2844" s="15"/>
    </row>
    <row r="2845" spans="10:10" x14ac:dyDescent="0.25">
      <c r="J2845" s="15"/>
    </row>
    <row r="2846" spans="10:10" x14ac:dyDescent="0.25">
      <c r="J2846" s="15"/>
    </row>
    <row r="2847" spans="10:10" x14ac:dyDescent="0.25">
      <c r="J2847" s="15"/>
    </row>
    <row r="2848" spans="10:10" x14ac:dyDescent="0.25">
      <c r="J2848" s="15"/>
    </row>
    <row r="2849" spans="10:10" x14ac:dyDescent="0.25">
      <c r="J2849" s="15"/>
    </row>
    <row r="2850" spans="10:10" x14ac:dyDescent="0.25">
      <c r="J2850" s="15"/>
    </row>
    <row r="2851" spans="10:10" x14ac:dyDescent="0.25">
      <c r="J2851" s="15"/>
    </row>
    <row r="2852" spans="10:10" x14ac:dyDescent="0.25">
      <c r="J2852" s="15"/>
    </row>
    <row r="2853" spans="10:10" x14ac:dyDescent="0.25">
      <c r="J2853" s="15"/>
    </row>
    <row r="2854" spans="10:10" x14ac:dyDescent="0.25">
      <c r="J2854" s="15"/>
    </row>
    <row r="2855" spans="10:10" x14ac:dyDescent="0.25">
      <c r="J2855" s="15"/>
    </row>
    <row r="2856" spans="10:10" x14ac:dyDescent="0.25">
      <c r="J2856" s="15"/>
    </row>
    <row r="2857" spans="10:10" x14ac:dyDescent="0.25">
      <c r="J2857" s="15"/>
    </row>
    <row r="2858" spans="10:10" x14ac:dyDescent="0.25">
      <c r="J2858" s="15"/>
    </row>
    <row r="2859" spans="10:10" x14ac:dyDescent="0.25">
      <c r="J2859" s="15"/>
    </row>
    <row r="2860" spans="10:10" x14ac:dyDescent="0.25">
      <c r="J2860" s="15"/>
    </row>
    <row r="2861" spans="10:10" x14ac:dyDescent="0.25">
      <c r="J2861" s="15"/>
    </row>
    <row r="2862" spans="10:10" x14ac:dyDescent="0.25">
      <c r="J2862" s="15"/>
    </row>
    <row r="2863" spans="10:10" x14ac:dyDescent="0.25">
      <c r="J2863" s="15"/>
    </row>
    <row r="2864" spans="10:10" x14ac:dyDescent="0.25">
      <c r="J2864" s="15"/>
    </row>
    <row r="2865" spans="10:10" x14ac:dyDescent="0.25">
      <c r="J2865" s="15"/>
    </row>
    <row r="2866" spans="10:10" x14ac:dyDescent="0.25">
      <c r="J2866" s="15"/>
    </row>
    <row r="2867" spans="10:10" x14ac:dyDescent="0.25">
      <c r="J2867" s="15"/>
    </row>
    <row r="2868" spans="10:10" x14ac:dyDescent="0.25">
      <c r="J2868" s="15"/>
    </row>
    <row r="2869" spans="10:10" x14ac:dyDescent="0.25">
      <c r="J2869" s="15"/>
    </row>
    <row r="2870" spans="10:10" x14ac:dyDescent="0.25">
      <c r="J2870" s="15"/>
    </row>
    <row r="2871" spans="10:10" x14ac:dyDescent="0.25">
      <c r="J2871" s="15"/>
    </row>
    <row r="2872" spans="10:10" x14ac:dyDescent="0.25">
      <c r="J2872" s="15"/>
    </row>
    <row r="2873" spans="10:10" x14ac:dyDescent="0.25">
      <c r="J2873" s="15"/>
    </row>
    <row r="2874" spans="10:10" x14ac:dyDescent="0.25">
      <c r="J2874" s="15"/>
    </row>
    <row r="2875" spans="10:10" x14ac:dyDescent="0.25">
      <c r="J2875" s="15"/>
    </row>
    <row r="2876" spans="10:10" x14ac:dyDescent="0.25">
      <c r="J2876" s="15"/>
    </row>
    <row r="2877" spans="10:10" x14ac:dyDescent="0.25">
      <c r="J2877" s="15"/>
    </row>
    <row r="2878" spans="10:10" x14ac:dyDescent="0.25">
      <c r="J2878" s="15"/>
    </row>
    <row r="2879" spans="10:10" x14ac:dyDescent="0.25">
      <c r="J2879" s="15"/>
    </row>
    <row r="2880" spans="10:10" x14ac:dyDescent="0.25">
      <c r="J2880" s="15"/>
    </row>
    <row r="2881" spans="10:10" x14ac:dyDescent="0.25">
      <c r="J2881" s="15"/>
    </row>
    <row r="2882" spans="10:10" x14ac:dyDescent="0.25">
      <c r="J2882" s="15"/>
    </row>
    <row r="2883" spans="10:10" x14ac:dyDescent="0.25">
      <c r="J2883" s="15"/>
    </row>
    <row r="2884" spans="10:10" x14ac:dyDescent="0.25">
      <c r="J2884" s="15"/>
    </row>
    <row r="2885" spans="10:10" x14ac:dyDescent="0.25">
      <c r="J2885" s="15"/>
    </row>
    <row r="2886" spans="10:10" x14ac:dyDescent="0.25">
      <c r="J2886" s="15"/>
    </row>
    <row r="2887" spans="10:10" x14ac:dyDescent="0.25">
      <c r="J2887" s="15"/>
    </row>
    <row r="2888" spans="10:10" x14ac:dyDescent="0.25">
      <c r="J2888" s="15"/>
    </row>
    <row r="2889" spans="10:10" x14ac:dyDescent="0.25">
      <c r="J2889" s="15"/>
    </row>
    <row r="2890" spans="10:10" x14ac:dyDescent="0.25">
      <c r="J2890" s="15"/>
    </row>
    <row r="2891" spans="10:10" x14ac:dyDescent="0.25">
      <c r="J2891" s="15"/>
    </row>
    <row r="2892" spans="10:10" x14ac:dyDescent="0.25">
      <c r="J2892" s="15"/>
    </row>
    <row r="2893" spans="10:10" x14ac:dyDescent="0.25">
      <c r="J2893" s="15"/>
    </row>
    <row r="2894" spans="10:10" x14ac:dyDescent="0.25">
      <c r="J2894" s="15"/>
    </row>
    <row r="2895" spans="10:10" x14ac:dyDescent="0.25">
      <c r="J2895" s="15"/>
    </row>
    <row r="2896" spans="10:10" x14ac:dyDescent="0.25">
      <c r="J2896" s="15"/>
    </row>
    <row r="2897" spans="10:10" x14ac:dyDescent="0.25">
      <c r="J2897" s="15"/>
    </row>
    <row r="2898" spans="10:10" x14ac:dyDescent="0.25">
      <c r="J2898" s="15"/>
    </row>
    <row r="2899" spans="10:10" x14ac:dyDescent="0.25">
      <c r="J2899" s="15"/>
    </row>
    <row r="2900" spans="10:10" x14ac:dyDescent="0.25">
      <c r="J2900" s="15"/>
    </row>
    <row r="2901" spans="10:10" x14ac:dyDescent="0.25">
      <c r="J2901" s="15"/>
    </row>
    <row r="2902" spans="10:10" x14ac:dyDescent="0.25">
      <c r="J2902" s="15"/>
    </row>
    <row r="2903" spans="10:10" x14ac:dyDescent="0.25">
      <c r="J2903" s="15"/>
    </row>
    <row r="2904" spans="10:10" x14ac:dyDescent="0.25">
      <c r="J2904" s="15"/>
    </row>
    <row r="2905" spans="10:10" x14ac:dyDescent="0.25">
      <c r="J2905" s="15"/>
    </row>
    <row r="2906" spans="10:10" x14ac:dyDescent="0.25">
      <c r="J2906" s="15"/>
    </row>
    <row r="2907" spans="10:10" x14ac:dyDescent="0.25">
      <c r="J2907" s="15"/>
    </row>
    <row r="2908" spans="10:10" x14ac:dyDescent="0.25">
      <c r="J2908" s="15"/>
    </row>
    <row r="2909" spans="10:10" x14ac:dyDescent="0.25">
      <c r="J2909" s="15"/>
    </row>
    <row r="2910" spans="10:10" x14ac:dyDescent="0.25">
      <c r="J2910" s="15"/>
    </row>
    <row r="2911" spans="10:10" x14ac:dyDescent="0.25">
      <c r="J2911" s="15"/>
    </row>
    <row r="2912" spans="10:10" x14ac:dyDescent="0.25">
      <c r="J2912" s="15"/>
    </row>
    <row r="2913" spans="10:10" x14ac:dyDescent="0.25">
      <c r="J2913" s="15"/>
    </row>
    <row r="2914" spans="10:10" x14ac:dyDescent="0.25">
      <c r="J2914" s="15"/>
    </row>
    <row r="2915" spans="10:10" x14ac:dyDescent="0.25">
      <c r="J2915" s="15"/>
    </row>
    <row r="2916" spans="10:10" x14ac:dyDescent="0.25">
      <c r="J2916" s="15"/>
    </row>
    <row r="2917" spans="10:10" x14ac:dyDescent="0.25">
      <c r="J2917" s="15"/>
    </row>
    <row r="2918" spans="10:10" x14ac:dyDescent="0.25">
      <c r="J2918" s="15"/>
    </row>
    <row r="2919" spans="10:10" x14ac:dyDescent="0.25">
      <c r="J2919" s="15"/>
    </row>
    <row r="2920" spans="10:10" x14ac:dyDescent="0.25">
      <c r="J2920" s="15"/>
    </row>
    <row r="2921" spans="10:10" x14ac:dyDescent="0.25">
      <c r="J2921" s="15"/>
    </row>
    <row r="2922" spans="10:10" x14ac:dyDescent="0.25">
      <c r="J2922" s="15"/>
    </row>
    <row r="2923" spans="10:10" x14ac:dyDescent="0.25">
      <c r="J2923" s="15"/>
    </row>
    <row r="2924" spans="10:10" x14ac:dyDescent="0.25">
      <c r="J2924" s="15"/>
    </row>
    <row r="2925" spans="10:10" x14ac:dyDescent="0.25">
      <c r="J2925" s="15"/>
    </row>
    <row r="2926" spans="10:10" x14ac:dyDescent="0.25">
      <c r="J2926" s="15"/>
    </row>
    <row r="2927" spans="10:10" x14ac:dyDescent="0.25">
      <c r="J2927" s="15"/>
    </row>
    <row r="2928" spans="10:10" x14ac:dyDescent="0.25">
      <c r="J2928" s="15"/>
    </row>
    <row r="2929" spans="10:10" x14ac:dyDescent="0.25">
      <c r="J2929" s="15"/>
    </row>
    <row r="2930" spans="10:10" x14ac:dyDescent="0.25">
      <c r="J2930" s="15"/>
    </row>
    <row r="2931" spans="10:10" x14ac:dyDescent="0.25">
      <c r="J2931" s="15"/>
    </row>
    <row r="2932" spans="10:10" x14ac:dyDescent="0.25">
      <c r="J2932" s="15"/>
    </row>
    <row r="2933" spans="10:10" x14ac:dyDescent="0.25">
      <c r="J2933" s="15"/>
    </row>
    <row r="2934" spans="10:10" x14ac:dyDescent="0.25">
      <c r="J2934" s="15"/>
    </row>
    <row r="2935" spans="10:10" x14ac:dyDescent="0.25">
      <c r="J2935" s="15"/>
    </row>
    <row r="2936" spans="10:10" x14ac:dyDescent="0.25">
      <c r="J2936" s="15"/>
    </row>
    <row r="2937" spans="10:10" x14ac:dyDescent="0.25">
      <c r="J2937" s="15"/>
    </row>
    <row r="2938" spans="10:10" x14ac:dyDescent="0.25">
      <c r="J2938" s="15"/>
    </row>
    <row r="2939" spans="10:10" x14ac:dyDescent="0.25">
      <c r="J2939" s="15"/>
    </row>
    <row r="2940" spans="10:10" x14ac:dyDescent="0.25">
      <c r="J2940" s="15"/>
    </row>
    <row r="2941" spans="10:10" x14ac:dyDescent="0.25">
      <c r="J2941" s="15"/>
    </row>
    <row r="2942" spans="10:10" x14ac:dyDescent="0.25">
      <c r="J2942" s="15"/>
    </row>
    <row r="2943" spans="10:10" x14ac:dyDescent="0.25">
      <c r="J2943" s="15"/>
    </row>
    <row r="2944" spans="10:10" x14ac:dyDescent="0.25">
      <c r="J2944" s="15"/>
    </row>
    <row r="2945" spans="10:10" x14ac:dyDescent="0.25">
      <c r="J2945" s="15"/>
    </row>
    <row r="2946" spans="10:10" x14ac:dyDescent="0.25">
      <c r="J2946" s="15"/>
    </row>
    <row r="2947" spans="10:10" x14ac:dyDescent="0.25">
      <c r="J2947" s="15"/>
    </row>
    <row r="2948" spans="10:10" x14ac:dyDescent="0.25">
      <c r="J2948" s="15"/>
    </row>
    <row r="2949" spans="10:10" x14ac:dyDescent="0.25">
      <c r="J2949" s="15"/>
    </row>
    <row r="2950" spans="10:10" x14ac:dyDescent="0.25">
      <c r="J2950" s="15"/>
    </row>
    <row r="2951" spans="10:10" x14ac:dyDescent="0.25">
      <c r="J2951" s="15"/>
    </row>
    <row r="2952" spans="10:10" x14ac:dyDescent="0.25">
      <c r="J2952" s="15"/>
    </row>
    <row r="2953" spans="10:10" x14ac:dyDescent="0.25">
      <c r="J2953" s="15"/>
    </row>
    <row r="2954" spans="10:10" x14ac:dyDescent="0.25">
      <c r="J2954" s="15"/>
    </row>
    <row r="2955" spans="10:10" x14ac:dyDescent="0.25">
      <c r="J2955" s="15"/>
    </row>
    <row r="2956" spans="10:10" x14ac:dyDescent="0.25">
      <c r="J2956" s="15"/>
    </row>
    <row r="2957" spans="10:10" x14ac:dyDescent="0.25">
      <c r="J2957" s="15"/>
    </row>
    <row r="2958" spans="10:10" x14ac:dyDescent="0.25">
      <c r="J2958" s="15"/>
    </row>
    <row r="2959" spans="10:10" x14ac:dyDescent="0.25">
      <c r="J2959" s="15"/>
    </row>
    <row r="2960" spans="10:10" x14ac:dyDescent="0.25">
      <c r="J2960" s="15"/>
    </row>
    <row r="2961" spans="10:10" x14ac:dyDescent="0.25">
      <c r="J2961" s="15"/>
    </row>
    <row r="2962" spans="10:10" x14ac:dyDescent="0.25">
      <c r="J2962" s="15"/>
    </row>
    <row r="2963" spans="10:10" x14ac:dyDescent="0.25">
      <c r="J2963" s="15"/>
    </row>
    <row r="2964" spans="10:10" x14ac:dyDescent="0.25">
      <c r="J2964" s="15"/>
    </row>
    <row r="2965" spans="10:10" x14ac:dyDescent="0.25">
      <c r="J2965" s="15"/>
    </row>
    <row r="2966" spans="10:10" x14ac:dyDescent="0.25">
      <c r="J2966" s="15"/>
    </row>
    <row r="2967" spans="10:10" x14ac:dyDescent="0.25">
      <c r="J2967" s="15"/>
    </row>
    <row r="2968" spans="10:10" x14ac:dyDescent="0.25">
      <c r="J2968" s="15"/>
    </row>
    <row r="2969" spans="10:10" x14ac:dyDescent="0.25">
      <c r="J2969" s="15"/>
    </row>
    <row r="2970" spans="10:10" x14ac:dyDescent="0.25">
      <c r="J2970" s="15"/>
    </row>
    <row r="2971" spans="10:10" x14ac:dyDescent="0.25">
      <c r="J2971" s="15"/>
    </row>
    <row r="2972" spans="10:10" x14ac:dyDescent="0.25">
      <c r="J2972" s="15"/>
    </row>
    <row r="2973" spans="10:10" x14ac:dyDescent="0.25">
      <c r="J2973" s="15"/>
    </row>
    <row r="2974" spans="10:10" x14ac:dyDescent="0.25">
      <c r="J2974" s="15"/>
    </row>
    <row r="2975" spans="10:10" x14ac:dyDescent="0.25">
      <c r="J2975" s="15"/>
    </row>
    <row r="2976" spans="10:10" x14ac:dyDescent="0.25">
      <c r="J2976" s="15"/>
    </row>
    <row r="2977" spans="10:10" x14ac:dyDescent="0.25">
      <c r="J2977" s="15"/>
    </row>
    <row r="2978" spans="10:10" x14ac:dyDescent="0.25">
      <c r="J2978" s="15"/>
    </row>
    <row r="2979" spans="10:10" x14ac:dyDescent="0.25">
      <c r="J2979" s="15"/>
    </row>
    <row r="2980" spans="10:10" x14ac:dyDescent="0.25">
      <c r="J2980" s="15"/>
    </row>
    <row r="2981" spans="10:10" x14ac:dyDescent="0.25">
      <c r="J2981" s="15"/>
    </row>
    <row r="2982" spans="10:10" x14ac:dyDescent="0.25">
      <c r="J2982" s="15"/>
    </row>
    <row r="2983" spans="10:10" x14ac:dyDescent="0.25">
      <c r="J2983" s="15"/>
    </row>
    <row r="2984" spans="10:10" x14ac:dyDescent="0.25">
      <c r="J2984" s="15"/>
    </row>
    <row r="2985" spans="10:10" x14ac:dyDescent="0.25">
      <c r="J2985" s="15"/>
    </row>
    <row r="2986" spans="10:10" x14ac:dyDescent="0.25">
      <c r="J2986" s="15"/>
    </row>
    <row r="2987" spans="10:10" x14ac:dyDescent="0.25">
      <c r="J2987" s="15"/>
    </row>
    <row r="2988" spans="10:10" x14ac:dyDescent="0.25">
      <c r="J2988" s="15"/>
    </row>
    <row r="2989" spans="10:10" x14ac:dyDescent="0.25">
      <c r="J2989" s="15"/>
    </row>
    <row r="2990" spans="10:10" x14ac:dyDescent="0.25">
      <c r="J2990" s="15"/>
    </row>
    <row r="2991" spans="10:10" x14ac:dyDescent="0.25">
      <c r="J2991" s="15"/>
    </row>
    <row r="2992" spans="10:10" x14ac:dyDescent="0.25">
      <c r="J2992" s="15"/>
    </row>
    <row r="2993" spans="10:10" x14ac:dyDescent="0.25">
      <c r="J2993" s="15"/>
    </row>
    <row r="2994" spans="10:10" x14ac:dyDescent="0.25">
      <c r="J2994" s="15"/>
    </row>
    <row r="2995" spans="10:10" x14ac:dyDescent="0.25">
      <c r="J2995" s="15"/>
    </row>
    <row r="2996" spans="10:10" x14ac:dyDescent="0.25">
      <c r="J2996" s="15"/>
    </row>
    <row r="2997" spans="10:10" x14ac:dyDescent="0.25">
      <c r="J2997" s="15"/>
    </row>
    <row r="2998" spans="10:10" x14ac:dyDescent="0.25">
      <c r="J2998" s="15"/>
    </row>
    <row r="2999" spans="10:10" x14ac:dyDescent="0.25">
      <c r="J2999" s="15"/>
    </row>
    <row r="3000" spans="10:10" x14ac:dyDescent="0.25">
      <c r="J3000" s="15"/>
    </row>
    <row r="3001" spans="10:10" x14ac:dyDescent="0.25">
      <c r="J3001" s="15"/>
    </row>
    <row r="3002" spans="10:10" x14ac:dyDescent="0.25">
      <c r="J3002" s="15"/>
    </row>
    <row r="3003" spans="10:10" x14ac:dyDescent="0.25">
      <c r="J3003" s="15"/>
    </row>
    <row r="3004" spans="10:10" x14ac:dyDescent="0.25">
      <c r="J3004" s="15"/>
    </row>
    <row r="3005" spans="10:10" x14ac:dyDescent="0.25">
      <c r="J3005" s="15"/>
    </row>
    <row r="3006" spans="10:10" x14ac:dyDescent="0.25">
      <c r="J3006" s="15"/>
    </row>
    <row r="3007" spans="10:10" x14ac:dyDescent="0.25">
      <c r="J3007" s="15"/>
    </row>
    <row r="3008" spans="10:10" x14ac:dyDescent="0.25">
      <c r="J3008" s="15"/>
    </row>
    <row r="3009" spans="10:10" x14ac:dyDescent="0.25">
      <c r="J3009" s="15"/>
    </row>
    <row r="3010" spans="10:10" x14ac:dyDescent="0.25">
      <c r="J3010" s="15"/>
    </row>
    <row r="3011" spans="10:10" x14ac:dyDescent="0.25">
      <c r="J3011" s="15"/>
    </row>
    <row r="3012" spans="10:10" x14ac:dyDescent="0.25">
      <c r="J3012" s="15"/>
    </row>
    <row r="3013" spans="10:10" x14ac:dyDescent="0.25">
      <c r="J3013" s="15"/>
    </row>
    <row r="3014" spans="10:10" x14ac:dyDescent="0.25">
      <c r="J3014" s="15"/>
    </row>
    <row r="3015" spans="10:10" x14ac:dyDescent="0.25">
      <c r="J3015" s="15"/>
    </row>
    <row r="3016" spans="10:10" x14ac:dyDescent="0.25">
      <c r="J3016" s="15"/>
    </row>
    <row r="3017" spans="10:10" x14ac:dyDescent="0.25">
      <c r="J3017" s="15"/>
    </row>
    <row r="3018" spans="10:10" x14ac:dyDescent="0.25">
      <c r="J3018" s="15"/>
    </row>
    <row r="3019" spans="10:10" x14ac:dyDescent="0.25">
      <c r="J3019" s="15"/>
    </row>
    <row r="3020" spans="10:10" x14ac:dyDescent="0.25">
      <c r="J3020" s="15"/>
    </row>
    <row r="3021" spans="10:10" x14ac:dyDescent="0.25">
      <c r="J3021" s="15"/>
    </row>
    <row r="3022" spans="10:10" x14ac:dyDescent="0.25">
      <c r="J3022" s="15"/>
    </row>
    <row r="3023" spans="10:10" x14ac:dyDescent="0.25">
      <c r="J3023" s="15"/>
    </row>
    <row r="3024" spans="10:10" x14ac:dyDescent="0.25">
      <c r="J3024" s="15"/>
    </row>
    <row r="3025" spans="10:10" x14ac:dyDescent="0.25">
      <c r="J3025" s="15"/>
    </row>
    <row r="3026" spans="10:10" x14ac:dyDescent="0.25">
      <c r="J3026" s="15"/>
    </row>
    <row r="3027" spans="10:10" x14ac:dyDescent="0.25">
      <c r="J3027" s="15"/>
    </row>
    <row r="3028" spans="10:10" x14ac:dyDescent="0.25">
      <c r="J3028" s="15"/>
    </row>
    <row r="3029" spans="10:10" x14ac:dyDescent="0.25">
      <c r="J3029" s="15"/>
    </row>
    <row r="3030" spans="10:10" x14ac:dyDescent="0.25">
      <c r="J3030" s="15"/>
    </row>
    <row r="3031" spans="10:10" x14ac:dyDescent="0.25">
      <c r="J3031" s="15"/>
    </row>
    <row r="3032" spans="10:10" x14ac:dyDescent="0.25">
      <c r="J3032" s="15"/>
    </row>
    <row r="3033" spans="10:10" x14ac:dyDescent="0.25">
      <c r="J3033" s="15"/>
    </row>
    <row r="3034" spans="10:10" x14ac:dyDescent="0.25">
      <c r="J3034" s="15"/>
    </row>
    <row r="3035" spans="10:10" x14ac:dyDescent="0.25">
      <c r="J3035" s="15"/>
    </row>
    <row r="3036" spans="10:10" x14ac:dyDescent="0.25">
      <c r="J3036" s="15"/>
    </row>
    <row r="3037" spans="10:10" x14ac:dyDescent="0.25">
      <c r="J3037" s="15"/>
    </row>
    <row r="3038" spans="10:10" x14ac:dyDescent="0.25">
      <c r="J3038" s="15"/>
    </row>
    <row r="3039" spans="10:10" x14ac:dyDescent="0.25">
      <c r="J3039" s="15"/>
    </row>
    <row r="3040" spans="10:10" x14ac:dyDescent="0.25">
      <c r="J3040" s="15"/>
    </row>
    <row r="3041" spans="10:10" x14ac:dyDescent="0.25">
      <c r="J3041" s="15"/>
    </row>
    <row r="3042" spans="10:10" x14ac:dyDescent="0.25">
      <c r="J3042" s="15"/>
    </row>
    <row r="3043" spans="10:10" x14ac:dyDescent="0.25">
      <c r="J3043" s="15"/>
    </row>
    <row r="3044" spans="10:10" x14ac:dyDescent="0.25">
      <c r="J3044" s="15"/>
    </row>
    <row r="3045" spans="10:10" x14ac:dyDescent="0.25">
      <c r="J3045" s="15"/>
    </row>
    <row r="3046" spans="10:10" x14ac:dyDescent="0.25">
      <c r="J3046" s="15"/>
    </row>
    <row r="3047" spans="10:10" x14ac:dyDescent="0.25">
      <c r="J3047" s="15"/>
    </row>
    <row r="3048" spans="10:10" x14ac:dyDescent="0.25">
      <c r="J3048" s="15"/>
    </row>
    <row r="3049" spans="10:10" x14ac:dyDescent="0.25">
      <c r="J3049" s="15"/>
    </row>
    <row r="3050" spans="10:10" x14ac:dyDescent="0.25">
      <c r="J3050" s="15"/>
    </row>
    <row r="3051" spans="10:10" x14ac:dyDescent="0.25">
      <c r="J3051" s="15"/>
    </row>
    <row r="3052" spans="10:10" x14ac:dyDescent="0.25">
      <c r="J3052" s="15"/>
    </row>
    <row r="3053" spans="10:10" x14ac:dyDescent="0.25">
      <c r="J3053" s="15"/>
    </row>
    <row r="3054" spans="10:10" x14ac:dyDescent="0.25">
      <c r="J3054" s="15"/>
    </row>
    <row r="3055" spans="10:10" x14ac:dyDescent="0.25">
      <c r="J3055" s="15"/>
    </row>
    <row r="3056" spans="10:10" x14ac:dyDescent="0.25">
      <c r="J3056" s="15"/>
    </row>
    <row r="3057" spans="10:10" x14ac:dyDescent="0.25">
      <c r="J3057" s="15"/>
    </row>
    <row r="3058" spans="10:10" x14ac:dyDescent="0.25">
      <c r="J3058" s="15"/>
    </row>
    <row r="3059" spans="10:10" x14ac:dyDescent="0.25">
      <c r="J3059" s="15"/>
    </row>
    <row r="3060" spans="10:10" x14ac:dyDescent="0.25">
      <c r="J3060" s="15"/>
    </row>
    <row r="3061" spans="10:10" x14ac:dyDescent="0.25">
      <c r="J3061" s="15"/>
    </row>
    <row r="3062" spans="10:10" x14ac:dyDescent="0.25">
      <c r="J3062" s="15"/>
    </row>
    <row r="3063" spans="10:10" x14ac:dyDescent="0.25">
      <c r="J3063" s="15"/>
    </row>
    <row r="3064" spans="10:10" x14ac:dyDescent="0.25">
      <c r="J3064" s="15"/>
    </row>
    <row r="3065" spans="10:10" x14ac:dyDescent="0.25">
      <c r="J3065" s="15"/>
    </row>
    <row r="3066" spans="10:10" x14ac:dyDescent="0.25">
      <c r="J3066" s="15"/>
    </row>
    <row r="3067" spans="10:10" x14ac:dyDescent="0.25">
      <c r="J3067" s="15"/>
    </row>
    <row r="3068" spans="10:10" x14ac:dyDescent="0.25">
      <c r="J3068" s="15"/>
    </row>
    <row r="3069" spans="10:10" x14ac:dyDescent="0.25">
      <c r="J3069" s="15"/>
    </row>
    <row r="3070" spans="10:10" x14ac:dyDescent="0.25">
      <c r="J3070" s="15"/>
    </row>
    <row r="3071" spans="10:10" x14ac:dyDescent="0.25">
      <c r="J3071" s="15"/>
    </row>
    <row r="3072" spans="10:10" x14ac:dyDescent="0.25">
      <c r="J3072" s="15"/>
    </row>
    <row r="3073" spans="10:10" x14ac:dyDescent="0.25">
      <c r="J3073" s="15"/>
    </row>
    <row r="3074" spans="10:10" x14ac:dyDescent="0.25">
      <c r="J3074" s="15"/>
    </row>
    <row r="3075" spans="10:10" x14ac:dyDescent="0.25">
      <c r="J3075" s="15"/>
    </row>
    <row r="3076" spans="10:10" x14ac:dyDescent="0.25">
      <c r="J3076" s="15"/>
    </row>
    <row r="3077" spans="10:10" x14ac:dyDescent="0.25">
      <c r="J3077" s="15"/>
    </row>
    <row r="3078" spans="10:10" x14ac:dyDescent="0.25">
      <c r="J3078" s="15"/>
    </row>
    <row r="3079" spans="10:10" x14ac:dyDescent="0.25">
      <c r="J3079" s="15"/>
    </row>
    <row r="3080" spans="10:10" x14ac:dyDescent="0.25">
      <c r="J3080" s="15"/>
    </row>
    <row r="3081" spans="10:10" x14ac:dyDescent="0.25">
      <c r="J3081" s="15"/>
    </row>
    <row r="3082" spans="10:10" x14ac:dyDescent="0.25">
      <c r="J3082" s="15"/>
    </row>
    <row r="3083" spans="10:10" x14ac:dyDescent="0.25">
      <c r="J3083" s="15"/>
    </row>
    <row r="3084" spans="10:10" x14ac:dyDescent="0.25">
      <c r="J3084" s="15"/>
    </row>
    <row r="3085" spans="10:10" x14ac:dyDescent="0.25">
      <c r="J3085" s="15"/>
    </row>
    <row r="3086" spans="10:10" x14ac:dyDescent="0.25">
      <c r="J3086" s="15"/>
    </row>
    <row r="3087" spans="10:10" x14ac:dyDescent="0.25">
      <c r="J3087" s="15"/>
    </row>
    <row r="3088" spans="10:10" x14ac:dyDescent="0.25">
      <c r="J3088" s="15"/>
    </row>
    <row r="3089" spans="10:10" x14ac:dyDescent="0.25">
      <c r="J3089" s="15"/>
    </row>
    <row r="3090" spans="10:10" x14ac:dyDescent="0.25">
      <c r="J3090" s="15"/>
    </row>
    <row r="3091" spans="10:10" x14ac:dyDescent="0.25">
      <c r="J3091" s="15"/>
    </row>
    <row r="3092" spans="10:10" x14ac:dyDescent="0.25">
      <c r="J3092" s="15"/>
    </row>
    <row r="3093" spans="10:10" x14ac:dyDescent="0.25">
      <c r="J3093" s="15"/>
    </row>
    <row r="3094" spans="10:10" x14ac:dyDescent="0.25">
      <c r="J3094" s="15"/>
    </row>
    <row r="3095" spans="10:10" x14ac:dyDescent="0.25">
      <c r="J3095" s="15"/>
    </row>
    <row r="3096" spans="10:10" x14ac:dyDescent="0.25">
      <c r="J3096" s="15"/>
    </row>
    <row r="3097" spans="10:10" x14ac:dyDescent="0.25">
      <c r="J3097" s="15"/>
    </row>
    <row r="3098" spans="10:10" x14ac:dyDescent="0.25">
      <c r="J3098" s="15"/>
    </row>
    <row r="3099" spans="10:10" x14ac:dyDescent="0.25">
      <c r="J3099" s="15"/>
    </row>
    <row r="3100" spans="10:10" x14ac:dyDescent="0.25">
      <c r="J3100" s="15"/>
    </row>
    <row r="3101" spans="10:10" x14ac:dyDescent="0.25">
      <c r="J3101" s="15"/>
    </row>
    <row r="3102" spans="10:10" x14ac:dyDescent="0.25">
      <c r="J3102" s="15"/>
    </row>
    <row r="3103" spans="10:10" x14ac:dyDescent="0.25">
      <c r="J3103" s="15"/>
    </row>
    <row r="3104" spans="10:10" x14ac:dyDescent="0.25">
      <c r="J3104" s="15"/>
    </row>
    <row r="3105" spans="10:10" x14ac:dyDescent="0.25">
      <c r="J3105" s="15"/>
    </row>
    <row r="3106" spans="10:10" x14ac:dyDescent="0.25">
      <c r="J3106" s="15"/>
    </row>
    <row r="3107" spans="10:10" x14ac:dyDescent="0.25">
      <c r="J3107" s="15"/>
    </row>
    <row r="3108" spans="10:10" x14ac:dyDescent="0.25">
      <c r="J3108" s="15"/>
    </row>
    <row r="3109" spans="10:10" x14ac:dyDescent="0.25">
      <c r="J3109" s="15"/>
    </row>
    <row r="3110" spans="10:10" x14ac:dyDescent="0.25">
      <c r="J3110" s="15"/>
    </row>
    <row r="3111" spans="10:10" x14ac:dyDescent="0.25">
      <c r="J3111" s="15"/>
    </row>
    <row r="3112" spans="10:10" x14ac:dyDescent="0.25">
      <c r="J3112" s="15"/>
    </row>
    <row r="3113" spans="10:10" x14ac:dyDescent="0.25">
      <c r="J3113" s="15"/>
    </row>
    <row r="3114" spans="10:10" x14ac:dyDescent="0.25">
      <c r="J3114" s="15"/>
    </row>
    <row r="3115" spans="10:10" x14ac:dyDescent="0.25">
      <c r="J3115" s="15"/>
    </row>
    <row r="3116" spans="10:10" x14ac:dyDescent="0.25">
      <c r="J3116" s="15"/>
    </row>
    <row r="3117" spans="10:10" x14ac:dyDescent="0.25">
      <c r="J3117" s="15"/>
    </row>
    <row r="3118" spans="10:10" x14ac:dyDescent="0.25">
      <c r="J3118" s="15"/>
    </row>
    <row r="3119" spans="10:10" x14ac:dyDescent="0.25">
      <c r="J3119" s="15"/>
    </row>
    <row r="3120" spans="10:10" x14ac:dyDescent="0.25">
      <c r="J3120" s="15"/>
    </row>
    <row r="3121" spans="10:10" x14ac:dyDescent="0.25">
      <c r="J3121" s="15"/>
    </row>
    <row r="3122" spans="10:10" x14ac:dyDescent="0.25">
      <c r="J3122" s="15"/>
    </row>
    <row r="3123" spans="10:10" x14ac:dyDescent="0.25">
      <c r="J3123" s="15"/>
    </row>
    <row r="3124" spans="10:10" x14ac:dyDescent="0.25">
      <c r="J3124" s="15"/>
    </row>
    <row r="3125" spans="10:10" x14ac:dyDescent="0.25">
      <c r="J3125" s="15"/>
    </row>
    <row r="3126" spans="10:10" x14ac:dyDescent="0.25">
      <c r="J3126" s="15"/>
    </row>
    <row r="3127" spans="10:10" x14ac:dyDescent="0.25">
      <c r="J3127" s="15"/>
    </row>
    <row r="3128" spans="10:10" x14ac:dyDescent="0.25">
      <c r="J3128" s="15"/>
    </row>
    <row r="3129" spans="10:10" x14ac:dyDescent="0.25">
      <c r="J3129" s="15"/>
    </row>
    <row r="3130" spans="10:10" x14ac:dyDescent="0.25">
      <c r="J3130" s="15"/>
    </row>
    <row r="3131" spans="10:10" x14ac:dyDescent="0.25">
      <c r="J3131" s="15"/>
    </row>
    <row r="3132" spans="10:10" x14ac:dyDescent="0.25">
      <c r="J3132" s="15"/>
    </row>
    <row r="3133" spans="10:10" x14ac:dyDescent="0.25">
      <c r="J3133" s="15"/>
    </row>
    <row r="3134" spans="10:10" x14ac:dyDescent="0.25">
      <c r="J3134" s="15"/>
    </row>
    <row r="3135" spans="10:10" x14ac:dyDescent="0.25">
      <c r="J3135" s="15"/>
    </row>
    <row r="3136" spans="10:10" x14ac:dyDescent="0.25">
      <c r="J3136" s="15"/>
    </row>
    <row r="3137" spans="10:10" x14ac:dyDescent="0.25">
      <c r="J3137" s="15"/>
    </row>
    <row r="3138" spans="10:10" x14ac:dyDescent="0.25">
      <c r="J3138" s="15"/>
    </row>
    <row r="3139" spans="10:10" x14ac:dyDescent="0.25">
      <c r="J3139" s="15"/>
    </row>
    <row r="3140" spans="10:10" x14ac:dyDescent="0.25">
      <c r="J3140" s="15"/>
    </row>
    <row r="3141" spans="10:10" x14ac:dyDescent="0.25">
      <c r="J3141" s="15"/>
    </row>
    <row r="3142" spans="10:10" x14ac:dyDescent="0.25">
      <c r="J3142" s="15"/>
    </row>
    <row r="3143" spans="10:10" x14ac:dyDescent="0.25">
      <c r="J3143" s="15"/>
    </row>
    <row r="3144" spans="10:10" x14ac:dyDescent="0.25">
      <c r="J3144" s="15"/>
    </row>
    <row r="3145" spans="10:10" x14ac:dyDescent="0.25">
      <c r="J3145" s="15"/>
    </row>
    <row r="3146" spans="10:10" x14ac:dyDescent="0.25">
      <c r="J3146" s="15"/>
    </row>
    <row r="3147" spans="10:10" x14ac:dyDescent="0.25">
      <c r="J3147" s="15"/>
    </row>
    <row r="3148" spans="10:10" x14ac:dyDescent="0.25">
      <c r="J3148" s="15"/>
    </row>
    <row r="3149" spans="10:10" x14ac:dyDescent="0.25">
      <c r="J3149" s="15"/>
    </row>
    <row r="3150" spans="10:10" x14ac:dyDescent="0.25">
      <c r="J3150" s="15"/>
    </row>
    <row r="3151" spans="10:10" x14ac:dyDescent="0.25">
      <c r="J3151" s="15"/>
    </row>
    <row r="3152" spans="10:10" x14ac:dyDescent="0.25">
      <c r="J3152" s="15"/>
    </row>
    <row r="3153" spans="10:10" x14ac:dyDescent="0.25">
      <c r="J3153" s="15"/>
    </row>
    <row r="3154" spans="10:10" x14ac:dyDescent="0.25">
      <c r="J3154" s="15"/>
    </row>
    <row r="3155" spans="10:10" x14ac:dyDescent="0.25">
      <c r="J3155" s="15"/>
    </row>
    <row r="3156" spans="10:10" x14ac:dyDescent="0.25">
      <c r="J3156" s="15"/>
    </row>
    <row r="3157" spans="10:10" x14ac:dyDescent="0.25">
      <c r="J3157" s="15"/>
    </row>
    <row r="3158" spans="10:10" x14ac:dyDescent="0.25">
      <c r="J3158" s="15"/>
    </row>
    <row r="3159" spans="10:10" x14ac:dyDescent="0.25">
      <c r="J3159" s="15"/>
    </row>
    <row r="3160" spans="10:10" x14ac:dyDescent="0.25">
      <c r="J3160" s="15"/>
    </row>
    <row r="3161" spans="10:10" x14ac:dyDescent="0.25">
      <c r="J3161" s="15"/>
    </row>
    <row r="3162" spans="10:10" x14ac:dyDescent="0.25">
      <c r="J3162" s="15"/>
    </row>
    <row r="3163" spans="10:10" x14ac:dyDescent="0.25">
      <c r="J3163" s="15"/>
    </row>
    <row r="3164" spans="10:10" x14ac:dyDescent="0.25">
      <c r="J3164" s="15"/>
    </row>
    <row r="3165" spans="10:10" x14ac:dyDescent="0.25">
      <c r="J3165" s="15"/>
    </row>
    <row r="3166" spans="10:10" x14ac:dyDescent="0.25">
      <c r="J3166" s="15"/>
    </row>
    <row r="3167" spans="10:10" x14ac:dyDescent="0.25">
      <c r="J3167" s="15"/>
    </row>
    <row r="3168" spans="10:10" x14ac:dyDescent="0.25">
      <c r="J3168" s="15"/>
    </row>
    <row r="3169" spans="10:10" x14ac:dyDescent="0.25">
      <c r="J3169" s="15"/>
    </row>
    <row r="3170" spans="10:10" x14ac:dyDescent="0.25">
      <c r="J3170" s="15"/>
    </row>
    <row r="3171" spans="10:10" x14ac:dyDescent="0.25">
      <c r="J3171" s="15"/>
    </row>
    <row r="3172" spans="10:10" x14ac:dyDescent="0.25">
      <c r="J3172" s="15"/>
    </row>
    <row r="3173" spans="10:10" x14ac:dyDescent="0.25">
      <c r="J3173" s="15"/>
    </row>
    <row r="3174" spans="10:10" x14ac:dyDescent="0.25">
      <c r="J3174" s="15"/>
    </row>
    <row r="3175" spans="10:10" x14ac:dyDescent="0.25">
      <c r="J3175" s="15"/>
    </row>
    <row r="3176" spans="10:10" x14ac:dyDescent="0.25">
      <c r="J3176" s="15"/>
    </row>
    <row r="3177" spans="10:10" x14ac:dyDescent="0.25">
      <c r="J3177" s="15"/>
    </row>
    <row r="3178" spans="10:10" x14ac:dyDescent="0.25">
      <c r="J3178" s="15"/>
    </row>
    <row r="3179" spans="10:10" x14ac:dyDescent="0.25">
      <c r="J3179" s="15"/>
    </row>
    <row r="3180" spans="10:10" x14ac:dyDescent="0.25">
      <c r="J3180" s="15"/>
    </row>
    <row r="3181" spans="10:10" x14ac:dyDescent="0.25">
      <c r="J3181" s="15"/>
    </row>
    <row r="3182" spans="10:10" x14ac:dyDescent="0.25">
      <c r="J3182" s="15"/>
    </row>
    <row r="3183" spans="10:10" x14ac:dyDescent="0.25">
      <c r="J3183" s="15"/>
    </row>
    <row r="3184" spans="10:10" x14ac:dyDescent="0.25">
      <c r="J3184" s="15"/>
    </row>
    <row r="3185" spans="10:10" x14ac:dyDescent="0.25">
      <c r="J3185" s="15"/>
    </row>
    <row r="3186" spans="10:10" x14ac:dyDescent="0.25">
      <c r="J3186" s="15"/>
    </row>
    <row r="3187" spans="10:10" x14ac:dyDescent="0.25">
      <c r="J3187" s="15"/>
    </row>
    <row r="3188" spans="10:10" x14ac:dyDescent="0.25">
      <c r="J3188" s="15"/>
    </row>
    <row r="3189" spans="10:10" x14ac:dyDescent="0.25">
      <c r="J3189" s="15"/>
    </row>
    <row r="3190" spans="10:10" x14ac:dyDescent="0.25">
      <c r="J3190" s="15"/>
    </row>
    <row r="3191" spans="10:10" x14ac:dyDescent="0.25">
      <c r="J3191" s="15"/>
    </row>
    <row r="3192" spans="10:10" x14ac:dyDescent="0.25">
      <c r="J3192" s="15"/>
    </row>
    <row r="3193" spans="10:10" x14ac:dyDescent="0.25">
      <c r="J3193" s="15"/>
    </row>
    <row r="3194" spans="10:10" x14ac:dyDescent="0.25">
      <c r="J3194" s="15"/>
    </row>
    <row r="3195" spans="10:10" x14ac:dyDescent="0.25">
      <c r="J3195" s="15"/>
    </row>
    <row r="3196" spans="10:10" x14ac:dyDescent="0.25">
      <c r="J3196" s="15"/>
    </row>
    <row r="3197" spans="10:10" x14ac:dyDescent="0.25">
      <c r="J3197" s="15"/>
    </row>
    <row r="3198" spans="10:10" x14ac:dyDescent="0.25">
      <c r="J3198" s="15"/>
    </row>
    <row r="3199" spans="10:10" x14ac:dyDescent="0.25">
      <c r="J3199" s="15"/>
    </row>
    <row r="3200" spans="10:10" x14ac:dyDescent="0.25">
      <c r="J3200" s="15"/>
    </row>
    <row r="3201" spans="10:10" x14ac:dyDescent="0.25">
      <c r="J3201" s="15"/>
    </row>
    <row r="3202" spans="10:10" x14ac:dyDescent="0.25">
      <c r="J3202" s="15"/>
    </row>
    <row r="3203" spans="10:10" x14ac:dyDescent="0.25">
      <c r="J3203" s="15"/>
    </row>
    <row r="3204" spans="10:10" x14ac:dyDescent="0.25">
      <c r="J3204" s="15"/>
    </row>
    <row r="3205" spans="10:10" x14ac:dyDescent="0.25">
      <c r="J3205" s="15"/>
    </row>
    <row r="3206" spans="10:10" x14ac:dyDescent="0.25">
      <c r="J3206" s="15"/>
    </row>
    <row r="3207" spans="10:10" x14ac:dyDescent="0.25">
      <c r="J3207" s="15"/>
    </row>
    <row r="3208" spans="10:10" x14ac:dyDescent="0.25">
      <c r="J3208" s="15"/>
    </row>
    <row r="3209" spans="10:10" x14ac:dyDescent="0.25">
      <c r="J3209" s="15"/>
    </row>
    <row r="3210" spans="10:10" x14ac:dyDescent="0.25">
      <c r="J3210" s="15"/>
    </row>
    <row r="3211" spans="10:10" x14ac:dyDescent="0.25">
      <c r="J3211" s="15"/>
    </row>
    <row r="3212" spans="10:10" x14ac:dyDescent="0.25">
      <c r="J3212" s="15"/>
    </row>
    <row r="3213" spans="10:10" x14ac:dyDescent="0.25">
      <c r="J3213" s="15"/>
    </row>
    <row r="3214" spans="10:10" x14ac:dyDescent="0.25">
      <c r="J3214" s="15"/>
    </row>
    <row r="3215" spans="10:10" x14ac:dyDescent="0.25">
      <c r="J3215" s="15"/>
    </row>
    <row r="3216" spans="10:10" x14ac:dyDescent="0.25">
      <c r="J3216" s="15"/>
    </row>
    <row r="3217" spans="10:10" x14ac:dyDescent="0.25">
      <c r="J3217" s="15"/>
    </row>
    <row r="3218" spans="10:10" x14ac:dyDescent="0.25">
      <c r="J3218" s="15"/>
    </row>
    <row r="3219" spans="10:10" x14ac:dyDescent="0.25">
      <c r="J3219" s="15"/>
    </row>
    <row r="3220" spans="10:10" x14ac:dyDescent="0.25">
      <c r="J3220" s="15"/>
    </row>
    <row r="3221" spans="10:10" x14ac:dyDescent="0.25">
      <c r="J3221" s="15"/>
    </row>
    <row r="3222" spans="10:10" x14ac:dyDescent="0.25">
      <c r="J3222" s="15"/>
    </row>
    <row r="3223" spans="10:10" x14ac:dyDescent="0.25">
      <c r="J3223" s="15"/>
    </row>
    <row r="3224" spans="10:10" x14ac:dyDescent="0.25">
      <c r="J3224" s="15"/>
    </row>
    <row r="3225" spans="10:10" x14ac:dyDescent="0.25">
      <c r="J3225" s="15"/>
    </row>
    <row r="3226" spans="10:10" x14ac:dyDescent="0.25">
      <c r="J3226" s="15"/>
    </row>
    <row r="3227" spans="10:10" x14ac:dyDescent="0.25">
      <c r="J3227" s="15"/>
    </row>
    <row r="3228" spans="10:10" x14ac:dyDescent="0.25">
      <c r="J3228" s="15"/>
    </row>
    <row r="3229" spans="10:10" x14ac:dyDescent="0.25">
      <c r="J3229" s="15"/>
    </row>
    <row r="3230" spans="10:10" x14ac:dyDescent="0.25">
      <c r="J3230" s="15"/>
    </row>
    <row r="3231" spans="10:10" x14ac:dyDescent="0.25">
      <c r="J3231" s="15"/>
    </row>
    <row r="3232" spans="10:10" x14ac:dyDescent="0.25">
      <c r="J3232" s="15"/>
    </row>
    <row r="3233" spans="10:10" x14ac:dyDescent="0.25">
      <c r="J3233" s="15"/>
    </row>
    <row r="3234" spans="10:10" x14ac:dyDescent="0.25">
      <c r="J3234" s="15"/>
    </row>
    <row r="3235" spans="10:10" x14ac:dyDescent="0.25">
      <c r="J3235" s="15"/>
    </row>
    <row r="3236" spans="10:10" x14ac:dyDescent="0.25">
      <c r="J3236" s="15"/>
    </row>
    <row r="3237" spans="10:10" x14ac:dyDescent="0.25">
      <c r="J3237" s="15"/>
    </row>
    <row r="3238" spans="10:10" x14ac:dyDescent="0.25">
      <c r="J3238" s="15"/>
    </row>
    <row r="3239" spans="10:10" x14ac:dyDescent="0.25">
      <c r="J3239" s="15"/>
    </row>
    <row r="3240" spans="10:10" x14ac:dyDescent="0.25">
      <c r="J3240" s="15"/>
    </row>
    <row r="3241" spans="10:10" x14ac:dyDescent="0.25">
      <c r="J3241" s="15"/>
    </row>
    <row r="3242" spans="10:10" x14ac:dyDescent="0.25">
      <c r="J3242" s="15"/>
    </row>
    <row r="3243" spans="10:10" x14ac:dyDescent="0.25">
      <c r="J3243" s="15"/>
    </row>
    <row r="3244" spans="10:10" x14ac:dyDescent="0.25">
      <c r="J3244" s="15"/>
    </row>
    <row r="3245" spans="10:10" x14ac:dyDescent="0.25">
      <c r="J3245" s="15"/>
    </row>
    <row r="3246" spans="10:10" x14ac:dyDescent="0.25">
      <c r="J3246" s="15"/>
    </row>
    <row r="3247" spans="10:10" x14ac:dyDescent="0.25">
      <c r="J3247" s="15"/>
    </row>
    <row r="3248" spans="10:10" x14ac:dyDescent="0.25">
      <c r="J3248" s="15"/>
    </row>
    <row r="3249" spans="10:10" x14ac:dyDescent="0.25">
      <c r="J3249" s="15"/>
    </row>
    <row r="3250" spans="10:10" x14ac:dyDescent="0.25">
      <c r="J3250" s="15"/>
    </row>
    <row r="3251" spans="10:10" x14ac:dyDescent="0.25">
      <c r="J3251" s="15"/>
    </row>
    <row r="3252" spans="10:10" x14ac:dyDescent="0.25">
      <c r="J3252" s="15"/>
    </row>
    <row r="3253" spans="10:10" x14ac:dyDescent="0.25">
      <c r="J3253" s="15"/>
    </row>
    <row r="3254" spans="10:10" x14ac:dyDescent="0.25">
      <c r="J3254" s="15"/>
    </row>
    <row r="3255" spans="10:10" x14ac:dyDescent="0.25">
      <c r="J3255" s="15"/>
    </row>
    <row r="3256" spans="10:10" x14ac:dyDescent="0.25">
      <c r="J3256" s="15"/>
    </row>
    <row r="3257" spans="10:10" x14ac:dyDescent="0.25">
      <c r="J3257" s="15"/>
    </row>
    <row r="3258" spans="10:10" x14ac:dyDescent="0.25">
      <c r="J3258" s="15"/>
    </row>
    <row r="3259" spans="10:10" x14ac:dyDescent="0.25">
      <c r="J3259" s="15"/>
    </row>
    <row r="3260" spans="10:10" x14ac:dyDescent="0.25">
      <c r="J3260" s="15"/>
    </row>
    <row r="3261" spans="10:10" x14ac:dyDescent="0.25">
      <c r="J3261" s="15"/>
    </row>
    <row r="3262" spans="10:10" x14ac:dyDescent="0.25">
      <c r="J3262" s="15"/>
    </row>
    <row r="3263" spans="10:10" x14ac:dyDescent="0.25">
      <c r="J3263" s="15"/>
    </row>
    <row r="3264" spans="10:10" x14ac:dyDescent="0.25">
      <c r="J3264" s="15"/>
    </row>
    <row r="3265" spans="10:10" x14ac:dyDescent="0.25">
      <c r="J3265" s="15"/>
    </row>
    <row r="3266" spans="10:10" x14ac:dyDescent="0.25">
      <c r="J3266" s="15"/>
    </row>
    <row r="3267" spans="10:10" x14ac:dyDescent="0.25">
      <c r="J3267" s="15"/>
    </row>
    <row r="3268" spans="10:10" x14ac:dyDescent="0.25">
      <c r="J3268" s="15"/>
    </row>
    <row r="3269" spans="10:10" x14ac:dyDescent="0.25">
      <c r="J3269" s="15"/>
    </row>
    <row r="3270" spans="10:10" x14ac:dyDescent="0.25">
      <c r="J3270" s="15"/>
    </row>
    <row r="3271" spans="10:10" x14ac:dyDescent="0.25">
      <c r="J3271" s="15"/>
    </row>
    <row r="3272" spans="10:10" x14ac:dyDescent="0.25">
      <c r="J3272" s="15"/>
    </row>
    <row r="3273" spans="10:10" x14ac:dyDescent="0.25">
      <c r="J3273" s="15"/>
    </row>
    <row r="3274" spans="10:10" x14ac:dyDescent="0.25">
      <c r="J3274" s="15"/>
    </row>
    <row r="3275" spans="10:10" x14ac:dyDescent="0.25">
      <c r="J3275" s="15"/>
    </row>
    <row r="3276" spans="10:10" x14ac:dyDescent="0.25">
      <c r="J3276" s="15"/>
    </row>
    <row r="3277" spans="10:10" x14ac:dyDescent="0.25">
      <c r="J3277" s="15"/>
    </row>
    <row r="3278" spans="10:10" x14ac:dyDescent="0.25">
      <c r="J3278" s="15"/>
    </row>
    <row r="3279" spans="10:10" x14ac:dyDescent="0.25">
      <c r="J3279" s="15"/>
    </row>
    <row r="3280" spans="10:10" x14ac:dyDescent="0.25">
      <c r="J3280" s="15"/>
    </row>
    <row r="3281" spans="10:10" x14ac:dyDescent="0.25">
      <c r="J3281" s="15"/>
    </row>
    <row r="3282" spans="10:10" x14ac:dyDescent="0.25">
      <c r="J3282" s="15"/>
    </row>
    <row r="3283" spans="10:10" x14ac:dyDescent="0.25">
      <c r="J3283" s="15"/>
    </row>
    <row r="3284" spans="10:10" x14ac:dyDescent="0.25">
      <c r="J3284" s="15"/>
    </row>
    <row r="3285" spans="10:10" x14ac:dyDescent="0.25">
      <c r="J3285" s="15"/>
    </row>
    <row r="3286" spans="10:10" x14ac:dyDescent="0.25">
      <c r="J3286" s="15"/>
    </row>
    <row r="3287" spans="10:10" x14ac:dyDescent="0.25">
      <c r="J3287" s="15"/>
    </row>
    <row r="3288" spans="10:10" x14ac:dyDescent="0.25">
      <c r="J3288" s="15"/>
    </row>
    <row r="3289" spans="10:10" x14ac:dyDescent="0.25">
      <c r="J3289" s="15"/>
    </row>
    <row r="3290" spans="10:10" x14ac:dyDescent="0.25">
      <c r="J3290" s="15"/>
    </row>
    <row r="3291" spans="10:10" x14ac:dyDescent="0.25">
      <c r="J3291" s="15"/>
    </row>
    <row r="3292" spans="10:10" x14ac:dyDescent="0.25">
      <c r="J3292" s="15"/>
    </row>
    <row r="3293" spans="10:10" x14ac:dyDescent="0.25">
      <c r="J3293" s="15"/>
    </row>
    <row r="3294" spans="10:10" x14ac:dyDescent="0.25">
      <c r="J3294" s="15"/>
    </row>
    <row r="3295" spans="10:10" x14ac:dyDescent="0.25">
      <c r="J3295" s="15"/>
    </row>
    <row r="3296" spans="10:10" x14ac:dyDescent="0.25">
      <c r="J3296" s="15"/>
    </row>
    <row r="3297" spans="10:10" x14ac:dyDescent="0.25">
      <c r="J3297" s="15"/>
    </row>
    <row r="3298" spans="10:10" x14ac:dyDescent="0.25">
      <c r="J3298" s="15"/>
    </row>
    <row r="3299" spans="10:10" x14ac:dyDescent="0.25">
      <c r="J3299" s="15"/>
    </row>
    <row r="3300" spans="10:10" x14ac:dyDescent="0.25">
      <c r="J3300" s="15"/>
    </row>
    <row r="3301" spans="10:10" x14ac:dyDescent="0.25">
      <c r="J3301" s="15"/>
    </row>
    <row r="3302" spans="10:10" x14ac:dyDescent="0.25">
      <c r="J3302" s="15"/>
    </row>
    <row r="3303" spans="10:10" x14ac:dyDescent="0.25">
      <c r="J3303" s="15"/>
    </row>
    <row r="3304" spans="10:10" x14ac:dyDescent="0.25">
      <c r="J3304" s="15"/>
    </row>
    <row r="3305" spans="10:10" x14ac:dyDescent="0.25">
      <c r="J3305" s="15"/>
    </row>
    <row r="3306" spans="10:10" x14ac:dyDescent="0.25">
      <c r="J3306" s="15"/>
    </row>
    <row r="3307" spans="10:10" x14ac:dyDescent="0.25">
      <c r="J3307" s="15"/>
    </row>
    <row r="3308" spans="10:10" x14ac:dyDescent="0.25">
      <c r="J3308" s="15"/>
    </row>
    <row r="3309" spans="10:10" x14ac:dyDescent="0.25">
      <c r="J3309" s="15"/>
    </row>
    <row r="3310" spans="10:10" x14ac:dyDescent="0.25">
      <c r="J3310" s="15"/>
    </row>
    <row r="3311" spans="10:10" x14ac:dyDescent="0.25">
      <c r="J3311" s="15"/>
    </row>
    <row r="3312" spans="10:10" x14ac:dyDescent="0.25">
      <c r="J3312" s="15"/>
    </row>
    <row r="3313" spans="10:10" x14ac:dyDescent="0.25">
      <c r="J3313" s="15"/>
    </row>
    <row r="3314" spans="10:10" x14ac:dyDescent="0.25">
      <c r="J3314" s="15"/>
    </row>
    <row r="3315" spans="10:10" x14ac:dyDescent="0.25">
      <c r="J3315" s="15"/>
    </row>
    <row r="3316" spans="10:10" x14ac:dyDescent="0.25">
      <c r="J3316" s="15"/>
    </row>
    <row r="3317" spans="10:10" x14ac:dyDescent="0.25">
      <c r="J3317" s="15"/>
    </row>
    <row r="3318" spans="10:10" x14ac:dyDescent="0.25">
      <c r="J3318" s="15"/>
    </row>
    <row r="3319" spans="10:10" x14ac:dyDescent="0.25">
      <c r="J3319" s="15"/>
    </row>
    <row r="3320" spans="10:10" x14ac:dyDescent="0.25">
      <c r="J3320" s="15"/>
    </row>
    <row r="3321" spans="10:10" x14ac:dyDescent="0.25">
      <c r="J3321" s="15"/>
    </row>
    <row r="3322" spans="10:10" x14ac:dyDescent="0.25">
      <c r="J3322" s="15"/>
    </row>
    <row r="3323" spans="10:10" x14ac:dyDescent="0.25">
      <c r="J3323" s="15"/>
    </row>
    <row r="3324" spans="10:10" x14ac:dyDescent="0.25">
      <c r="J3324" s="15"/>
    </row>
    <row r="3325" spans="10:10" x14ac:dyDescent="0.25">
      <c r="J3325" s="15"/>
    </row>
    <row r="3326" spans="10:10" x14ac:dyDescent="0.25">
      <c r="J3326" s="15"/>
    </row>
    <row r="3327" spans="10:10" x14ac:dyDescent="0.25">
      <c r="J3327" s="15"/>
    </row>
    <row r="3328" spans="10:10" x14ac:dyDescent="0.25">
      <c r="J3328" s="15"/>
    </row>
    <row r="3329" spans="10:10" x14ac:dyDescent="0.25">
      <c r="J3329" s="15"/>
    </row>
    <row r="3330" spans="10:10" x14ac:dyDescent="0.25">
      <c r="J3330" s="15"/>
    </row>
    <row r="3331" spans="10:10" x14ac:dyDescent="0.25">
      <c r="J3331" s="15"/>
    </row>
    <row r="3332" spans="10:10" x14ac:dyDescent="0.25">
      <c r="J3332" s="15"/>
    </row>
    <row r="3333" spans="10:10" x14ac:dyDescent="0.25">
      <c r="J3333" s="15"/>
    </row>
    <row r="3334" spans="10:10" x14ac:dyDescent="0.25">
      <c r="J3334" s="15"/>
    </row>
    <row r="3335" spans="10:10" x14ac:dyDescent="0.25">
      <c r="J3335" s="15"/>
    </row>
    <row r="3336" spans="10:10" x14ac:dyDescent="0.25">
      <c r="J3336" s="15"/>
    </row>
    <row r="3337" spans="10:10" x14ac:dyDescent="0.25">
      <c r="J3337" s="15"/>
    </row>
    <row r="3338" spans="10:10" x14ac:dyDescent="0.25">
      <c r="J3338" s="15"/>
    </row>
    <row r="3339" spans="10:10" x14ac:dyDescent="0.25">
      <c r="J3339" s="15"/>
    </row>
    <row r="3340" spans="10:10" x14ac:dyDescent="0.25">
      <c r="J3340" s="15"/>
    </row>
    <row r="3341" spans="10:10" x14ac:dyDescent="0.25">
      <c r="J3341" s="15"/>
    </row>
    <row r="3342" spans="10:10" x14ac:dyDescent="0.25">
      <c r="J3342" s="15"/>
    </row>
    <row r="3343" spans="10:10" x14ac:dyDescent="0.25">
      <c r="J3343" s="15"/>
    </row>
    <row r="3344" spans="10:10" x14ac:dyDescent="0.25">
      <c r="J3344" s="15"/>
    </row>
    <row r="3345" spans="10:10" x14ac:dyDescent="0.25">
      <c r="J3345" s="15"/>
    </row>
    <row r="3346" spans="10:10" x14ac:dyDescent="0.25">
      <c r="J3346" s="15"/>
    </row>
    <row r="3347" spans="10:10" x14ac:dyDescent="0.25">
      <c r="J3347" s="15"/>
    </row>
    <row r="3348" spans="10:10" x14ac:dyDescent="0.25">
      <c r="J3348" s="15"/>
    </row>
    <row r="3349" spans="10:10" x14ac:dyDescent="0.25">
      <c r="J3349" s="15"/>
    </row>
    <row r="3350" spans="10:10" x14ac:dyDescent="0.25">
      <c r="J3350" s="15"/>
    </row>
    <row r="3351" spans="10:10" x14ac:dyDescent="0.25">
      <c r="J3351" s="15"/>
    </row>
    <row r="3352" spans="10:10" x14ac:dyDescent="0.25">
      <c r="J3352" s="15"/>
    </row>
    <row r="3353" spans="10:10" x14ac:dyDescent="0.25">
      <c r="J3353" s="15"/>
    </row>
    <row r="3354" spans="10:10" x14ac:dyDescent="0.25">
      <c r="J3354" s="15"/>
    </row>
    <row r="3355" spans="10:10" x14ac:dyDescent="0.25">
      <c r="J3355" s="15"/>
    </row>
    <row r="3356" spans="10:10" x14ac:dyDescent="0.25">
      <c r="J3356" s="15"/>
    </row>
    <row r="3357" spans="10:10" x14ac:dyDescent="0.25">
      <c r="J3357" s="15"/>
    </row>
    <row r="3358" spans="10:10" x14ac:dyDescent="0.25">
      <c r="J3358" s="15"/>
    </row>
    <row r="3359" spans="10:10" x14ac:dyDescent="0.25">
      <c r="J3359" s="15"/>
    </row>
    <row r="3360" spans="10:10" x14ac:dyDescent="0.25">
      <c r="J3360" s="15"/>
    </row>
    <row r="3361" spans="10:10" x14ac:dyDescent="0.25">
      <c r="J3361" s="15"/>
    </row>
    <row r="3362" spans="10:10" x14ac:dyDescent="0.25">
      <c r="J3362" s="15"/>
    </row>
    <row r="3363" spans="10:10" x14ac:dyDescent="0.25">
      <c r="J3363" s="15"/>
    </row>
    <row r="3364" spans="10:10" x14ac:dyDescent="0.25">
      <c r="J3364" s="15"/>
    </row>
    <row r="3365" spans="10:10" x14ac:dyDescent="0.25">
      <c r="J3365" s="15"/>
    </row>
    <row r="3366" spans="10:10" x14ac:dyDescent="0.25">
      <c r="J3366" s="15"/>
    </row>
    <row r="3367" spans="10:10" x14ac:dyDescent="0.25">
      <c r="J3367" s="15"/>
    </row>
    <row r="3368" spans="10:10" x14ac:dyDescent="0.25">
      <c r="J3368" s="15"/>
    </row>
    <row r="3369" spans="10:10" x14ac:dyDescent="0.25">
      <c r="J3369" s="15"/>
    </row>
    <row r="3370" spans="10:10" x14ac:dyDescent="0.25">
      <c r="J3370" s="15"/>
    </row>
    <row r="3371" spans="10:10" x14ac:dyDescent="0.25">
      <c r="J3371" s="15"/>
    </row>
    <row r="3372" spans="10:10" x14ac:dyDescent="0.25">
      <c r="J3372" s="15"/>
    </row>
    <row r="3373" spans="10:10" x14ac:dyDescent="0.25">
      <c r="J3373" s="15"/>
    </row>
    <row r="3374" spans="10:10" x14ac:dyDescent="0.25">
      <c r="J3374" s="15"/>
    </row>
    <row r="3375" spans="10:10" x14ac:dyDescent="0.25">
      <c r="J3375" s="15"/>
    </row>
    <row r="3376" spans="10:10" x14ac:dyDescent="0.25">
      <c r="J3376" s="15"/>
    </row>
    <row r="3377" spans="10:10" x14ac:dyDescent="0.25">
      <c r="J3377" s="15"/>
    </row>
    <row r="3378" spans="10:10" x14ac:dyDescent="0.25">
      <c r="J3378" s="15"/>
    </row>
    <row r="3379" spans="10:10" x14ac:dyDescent="0.25">
      <c r="J3379" s="15"/>
    </row>
    <row r="3380" spans="10:10" x14ac:dyDescent="0.25">
      <c r="J3380" s="15"/>
    </row>
    <row r="3381" spans="10:10" x14ac:dyDescent="0.25">
      <c r="J3381" s="15"/>
    </row>
    <row r="3382" spans="10:10" x14ac:dyDescent="0.25">
      <c r="J3382" s="15"/>
    </row>
    <row r="3383" spans="10:10" x14ac:dyDescent="0.25">
      <c r="J3383" s="15"/>
    </row>
    <row r="3384" spans="10:10" x14ac:dyDescent="0.25">
      <c r="J3384" s="15"/>
    </row>
    <row r="3385" spans="10:10" x14ac:dyDescent="0.25">
      <c r="J3385" s="15"/>
    </row>
    <row r="3386" spans="10:10" x14ac:dyDescent="0.25">
      <c r="J3386" s="15"/>
    </row>
    <row r="3387" spans="10:10" x14ac:dyDescent="0.25">
      <c r="J3387" s="15"/>
    </row>
    <row r="3388" spans="10:10" x14ac:dyDescent="0.25">
      <c r="J3388" s="15"/>
    </row>
    <row r="3389" spans="10:10" x14ac:dyDescent="0.25">
      <c r="J3389" s="15"/>
    </row>
    <row r="3390" spans="10:10" x14ac:dyDescent="0.25">
      <c r="J3390" s="15"/>
    </row>
    <row r="3391" spans="10:10" x14ac:dyDescent="0.25">
      <c r="J3391" s="15"/>
    </row>
    <row r="3392" spans="10:10" x14ac:dyDescent="0.25">
      <c r="J3392" s="15"/>
    </row>
    <row r="3393" spans="10:10" x14ac:dyDescent="0.25">
      <c r="J3393" s="15"/>
    </row>
    <row r="3394" spans="10:10" x14ac:dyDescent="0.25">
      <c r="J3394" s="15"/>
    </row>
    <row r="3395" spans="10:10" x14ac:dyDescent="0.25">
      <c r="J3395" s="15"/>
    </row>
    <row r="3396" spans="10:10" x14ac:dyDescent="0.25">
      <c r="J3396" s="15"/>
    </row>
    <row r="3397" spans="10:10" x14ac:dyDescent="0.25">
      <c r="J3397" s="15"/>
    </row>
    <row r="3398" spans="10:10" x14ac:dyDescent="0.25">
      <c r="J3398" s="15"/>
    </row>
    <row r="3399" spans="10:10" x14ac:dyDescent="0.25">
      <c r="J3399" s="15"/>
    </row>
    <row r="3400" spans="10:10" x14ac:dyDescent="0.25">
      <c r="J3400" s="15"/>
    </row>
    <row r="3401" spans="10:10" x14ac:dyDescent="0.25">
      <c r="J3401" s="15"/>
    </row>
    <row r="3402" spans="10:10" x14ac:dyDescent="0.25">
      <c r="J3402" s="15"/>
    </row>
    <row r="3403" spans="10:10" x14ac:dyDescent="0.25">
      <c r="J3403" s="15"/>
    </row>
    <row r="3404" spans="10:10" x14ac:dyDescent="0.25">
      <c r="J3404" s="15"/>
    </row>
    <row r="3405" spans="10:10" x14ac:dyDescent="0.25">
      <c r="J3405" s="15"/>
    </row>
    <row r="3406" spans="10:10" x14ac:dyDescent="0.25">
      <c r="J3406" s="15"/>
    </row>
    <row r="3407" spans="10:10" x14ac:dyDescent="0.25">
      <c r="J3407" s="15"/>
    </row>
    <row r="3408" spans="10:10" x14ac:dyDescent="0.25">
      <c r="J3408" s="15"/>
    </row>
    <row r="3409" spans="10:10" x14ac:dyDescent="0.25">
      <c r="J3409" s="15"/>
    </row>
    <row r="3410" spans="10:10" x14ac:dyDescent="0.25">
      <c r="J3410" s="15"/>
    </row>
    <row r="3411" spans="10:10" x14ac:dyDescent="0.25">
      <c r="J3411" s="15"/>
    </row>
    <row r="3412" spans="10:10" x14ac:dyDescent="0.25">
      <c r="J3412" s="15"/>
    </row>
    <row r="3413" spans="10:10" x14ac:dyDescent="0.25">
      <c r="J3413" s="15"/>
    </row>
    <row r="3414" spans="10:10" x14ac:dyDescent="0.25">
      <c r="J3414" s="15"/>
    </row>
    <row r="3415" spans="10:10" x14ac:dyDescent="0.25">
      <c r="J3415" s="15"/>
    </row>
    <row r="3416" spans="10:10" x14ac:dyDescent="0.25">
      <c r="J3416" s="15"/>
    </row>
    <row r="3417" spans="10:10" x14ac:dyDescent="0.25">
      <c r="J3417" s="15"/>
    </row>
    <row r="3418" spans="10:10" x14ac:dyDescent="0.25">
      <c r="J3418" s="15"/>
    </row>
    <row r="3419" spans="10:10" x14ac:dyDescent="0.25">
      <c r="J3419" s="15"/>
    </row>
    <row r="3420" spans="10:10" x14ac:dyDescent="0.25">
      <c r="J3420" s="15"/>
    </row>
    <row r="3421" spans="10:10" x14ac:dyDescent="0.25">
      <c r="J3421" s="15"/>
    </row>
    <row r="3422" spans="10:10" x14ac:dyDescent="0.25">
      <c r="J3422" s="15"/>
    </row>
    <row r="3423" spans="10:10" x14ac:dyDescent="0.25">
      <c r="J3423" s="15"/>
    </row>
    <row r="3424" spans="10:10" x14ac:dyDescent="0.25">
      <c r="J3424" s="15"/>
    </row>
    <row r="3425" spans="10:10" x14ac:dyDescent="0.25">
      <c r="J3425" s="15"/>
    </row>
    <row r="3426" spans="10:10" x14ac:dyDescent="0.25">
      <c r="J3426" s="15"/>
    </row>
    <row r="3427" spans="10:10" x14ac:dyDescent="0.25">
      <c r="J3427" s="15"/>
    </row>
    <row r="3428" spans="10:10" x14ac:dyDescent="0.25">
      <c r="J3428" s="15"/>
    </row>
    <row r="3429" spans="10:10" x14ac:dyDescent="0.25">
      <c r="J3429" s="15"/>
    </row>
    <row r="3430" spans="10:10" x14ac:dyDescent="0.25">
      <c r="J3430" s="15"/>
    </row>
    <row r="3431" spans="10:10" x14ac:dyDescent="0.25">
      <c r="J3431" s="15"/>
    </row>
    <row r="3432" spans="10:10" x14ac:dyDescent="0.25">
      <c r="J3432" s="15"/>
    </row>
    <row r="3433" spans="10:10" x14ac:dyDescent="0.25">
      <c r="J3433" s="15"/>
    </row>
    <row r="3434" spans="10:10" x14ac:dyDescent="0.25">
      <c r="J3434" s="15"/>
    </row>
    <row r="3435" spans="10:10" x14ac:dyDescent="0.25">
      <c r="J3435" s="15"/>
    </row>
    <row r="3436" spans="10:10" x14ac:dyDescent="0.25">
      <c r="J3436" s="15"/>
    </row>
    <row r="3437" spans="10:10" x14ac:dyDescent="0.25">
      <c r="J3437" s="15"/>
    </row>
    <row r="3438" spans="10:10" x14ac:dyDescent="0.25">
      <c r="J3438" s="15"/>
    </row>
    <row r="3439" spans="10:10" x14ac:dyDescent="0.25">
      <c r="J3439" s="15"/>
    </row>
    <row r="3440" spans="10:10" x14ac:dyDescent="0.25">
      <c r="J3440" s="15"/>
    </row>
    <row r="3441" spans="10:10" x14ac:dyDescent="0.25">
      <c r="J3441" s="15"/>
    </row>
    <row r="3442" spans="10:10" x14ac:dyDescent="0.25">
      <c r="J3442" s="15"/>
    </row>
    <row r="3443" spans="10:10" x14ac:dyDescent="0.25">
      <c r="J3443" s="15"/>
    </row>
    <row r="3444" spans="10:10" x14ac:dyDescent="0.25">
      <c r="J3444" s="15"/>
    </row>
    <row r="3445" spans="10:10" x14ac:dyDescent="0.25">
      <c r="J3445" s="15"/>
    </row>
    <row r="3446" spans="10:10" x14ac:dyDescent="0.25">
      <c r="J3446" s="15"/>
    </row>
    <row r="3447" spans="10:10" x14ac:dyDescent="0.25">
      <c r="J3447" s="15"/>
    </row>
    <row r="3448" spans="10:10" x14ac:dyDescent="0.25">
      <c r="J3448" s="15"/>
    </row>
    <row r="3449" spans="10:10" x14ac:dyDescent="0.25">
      <c r="J3449" s="15"/>
    </row>
    <row r="3450" spans="10:10" x14ac:dyDescent="0.25">
      <c r="J3450" s="15"/>
    </row>
    <row r="3451" spans="10:10" x14ac:dyDescent="0.25">
      <c r="J3451" s="15"/>
    </row>
    <row r="3452" spans="10:10" x14ac:dyDescent="0.25">
      <c r="J3452" s="15"/>
    </row>
    <row r="3453" spans="10:10" x14ac:dyDescent="0.25">
      <c r="J3453" s="15"/>
    </row>
    <row r="3454" spans="10:10" x14ac:dyDescent="0.25">
      <c r="J3454" s="15"/>
    </row>
    <row r="3455" spans="10:10" x14ac:dyDescent="0.25">
      <c r="J3455" s="15"/>
    </row>
    <row r="3456" spans="10:10" x14ac:dyDescent="0.25">
      <c r="J3456" s="15"/>
    </row>
    <row r="3457" spans="10:10" x14ac:dyDescent="0.25">
      <c r="J3457" s="15"/>
    </row>
    <row r="3458" spans="10:10" x14ac:dyDescent="0.25">
      <c r="J3458" s="15"/>
    </row>
    <row r="3459" spans="10:10" x14ac:dyDescent="0.25">
      <c r="J3459" s="15"/>
    </row>
    <row r="3460" spans="10:10" x14ac:dyDescent="0.25">
      <c r="J3460" s="15"/>
    </row>
    <row r="3461" spans="10:10" x14ac:dyDescent="0.25">
      <c r="J3461" s="15"/>
    </row>
    <row r="3462" spans="10:10" x14ac:dyDescent="0.25">
      <c r="J3462" s="15"/>
    </row>
    <row r="3463" spans="10:10" x14ac:dyDescent="0.25">
      <c r="J3463" s="15"/>
    </row>
    <row r="3464" spans="10:10" x14ac:dyDescent="0.25">
      <c r="J3464" s="15"/>
    </row>
    <row r="3465" spans="10:10" x14ac:dyDescent="0.25">
      <c r="J3465" s="15"/>
    </row>
    <row r="3466" spans="10:10" x14ac:dyDescent="0.25">
      <c r="J3466" s="15"/>
    </row>
    <row r="3467" spans="10:10" x14ac:dyDescent="0.25">
      <c r="J3467" s="15"/>
    </row>
    <row r="3468" spans="10:10" x14ac:dyDescent="0.25">
      <c r="J3468" s="15"/>
    </row>
    <row r="3469" spans="10:10" x14ac:dyDescent="0.25">
      <c r="J3469" s="15"/>
    </row>
    <row r="3470" spans="10:10" x14ac:dyDescent="0.25">
      <c r="J3470" s="15"/>
    </row>
    <row r="3471" spans="10:10" x14ac:dyDescent="0.25">
      <c r="J3471" s="15"/>
    </row>
    <row r="3472" spans="10:10" x14ac:dyDescent="0.25">
      <c r="J3472" s="15"/>
    </row>
    <row r="3473" spans="10:10" x14ac:dyDescent="0.25">
      <c r="J3473" s="15"/>
    </row>
    <row r="3474" spans="10:10" x14ac:dyDescent="0.25">
      <c r="J3474" s="15"/>
    </row>
    <row r="3475" spans="10:10" x14ac:dyDescent="0.25">
      <c r="J3475" s="15"/>
    </row>
    <row r="3476" spans="10:10" x14ac:dyDescent="0.25">
      <c r="J3476" s="15"/>
    </row>
    <row r="3477" spans="10:10" x14ac:dyDescent="0.25">
      <c r="J3477" s="15"/>
    </row>
    <row r="3478" spans="10:10" x14ac:dyDescent="0.25">
      <c r="J3478" s="15"/>
    </row>
    <row r="3479" spans="10:10" x14ac:dyDescent="0.25">
      <c r="J3479" s="15"/>
    </row>
    <row r="3480" spans="10:10" x14ac:dyDescent="0.25">
      <c r="J3480" s="15"/>
    </row>
    <row r="3481" spans="10:10" x14ac:dyDescent="0.25">
      <c r="J3481" s="15"/>
    </row>
    <row r="3482" spans="10:10" x14ac:dyDescent="0.25">
      <c r="J3482" s="15"/>
    </row>
    <row r="3483" spans="10:10" x14ac:dyDescent="0.25">
      <c r="J3483" s="15"/>
    </row>
    <row r="3484" spans="10:10" x14ac:dyDescent="0.25">
      <c r="J3484" s="15"/>
    </row>
    <row r="3485" spans="10:10" x14ac:dyDescent="0.25">
      <c r="J3485" s="15"/>
    </row>
    <row r="3486" spans="10:10" x14ac:dyDescent="0.25">
      <c r="J3486" s="15"/>
    </row>
    <row r="3487" spans="10:10" x14ac:dyDescent="0.25">
      <c r="J3487" s="15"/>
    </row>
    <row r="3488" spans="10:10" x14ac:dyDescent="0.25">
      <c r="J3488" s="15"/>
    </row>
    <row r="3489" spans="10:10" x14ac:dyDescent="0.25">
      <c r="J3489" s="15"/>
    </row>
    <row r="3490" spans="10:10" x14ac:dyDescent="0.25">
      <c r="J3490" s="15"/>
    </row>
    <row r="3491" spans="10:10" x14ac:dyDescent="0.25">
      <c r="J3491" s="15"/>
    </row>
    <row r="3492" spans="10:10" x14ac:dyDescent="0.25">
      <c r="J3492" s="15"/>
    </row>
    <row r="3493" spans="10:10" x14ac:dyDescent="0.25">
      <c r="J3493" s="15"/>
    </row>
    <row r="3494" spans="10:10" x14ac:dyDescent="0.25">
      <c r="J3494" s="15"/>
    </row>
    <row r="3495" spans="10:10" x14ac:dyDescent="0.25">
      <c r="J3495" s="15"/>
    </row>
    <row r="3496" spans="10:10" x14ac:dyDescent="0.25">
      <c r="J3496" s="15"/>
    </row>
    <row r="3497" spans="10:10" x14ac:dyDescent="0.25">
      <c r="J3497" s="15"/>
    </row>
    <row r="3498" spans="10:10" x14ac:dyDescent="0.25">
      <c r="J3498" s="15"/>
    </row>
    <row r="3499" spans="10:10" x14ac:dyDescent="0.25">
      <c r="J3499" s="15"/>
    </row>
    <row r="3500" spans="10:10" x14ac:dyDescent="0.25">
      <c r="J3500" s="15"/>
    </row>
    <row r="3501" spans="10:10" x14ac:dyDescent="0.25">
      <c r="J3501" s="15"/>
    </row>
    <row r="3502" spans="10:10" x14ac:dyDescent="0.25">
      <c r="J3502" s="15"/>
    </row>
    <row r="3503" spans="10:10" x14ac:dyDescent="0.25">
      <c r="J3503" s="15"/>
    </row>
    <row r="3504" spans="10:10" x14ac:dyDescent="0.25">
      <c r="J3504" s="15"/>
    </row>
    <row r="3505" spans="10:10" x14ac:dyDescent="0.25">
      <c r="J3505" s="15"/>
    </row>
    <row r="3506" spans="10:10" x14ac:dyDescent="0.25">
      <c r="J3506" s="15"/>
    </row>
    <row r="3507" spans="10:10" x14ac:dyDescent="0.25">
      <c r="J3507" s="15"/>
    </row>
    <row r="3508" spans="10:10" x14ac:dyDescent="0.25">
      <c r="J3508" s="15"/>
    </row>
    <row r="3509" spans="10:10" x14ac:dyDescent="0.25">
      <c r="J3509" s="15"/>
    </row>
    <row r="3510" spans="10:10" x14ac:dyDescent="0.25">
      <c r="J3510" s="15"/>
    </row>
    <row r="3511" spans="10:10" x14ac:dyDescent="0.25">
      <c r="J3511" s="15"/>
    </row>
    <row r="3512" spans="10:10" x14ac:dyDescent="0.25">
      <c r="J3512" s="15"/>
    </row>
    <row r="3513" spans="10:10" x14ac:dyDescent="0.25">
      <c r="J3513" s="15"/>
    </row>
    <row r="3514" spans="10:10" x14ac:dyDescent="0.25">
      <c r="J3514" s="15"/>
    </row>
    <row r="3515" spans="10:10" x14ac:dyDescent="0.25">
      <c r="J3515" s="15"/>
    </row>
    <row r="3516" spans="10:10" x14ac:dyDescent="0.25">
      <c r="J3516" s="15"/>
    </row>
    <row r="3517" spans="10:10" x14ac:dyDescent="0.25">
      <c r="J3517" s="15"/>
    </row>
    <row r="3518" spans="10:10" x14ac:dyDescent="0.25">
      <c r="J3518" s="15"/>
    </row>
    <row r="3519" spans="10:10" x14ac:dyDescent="0.25">
      <c r="J3519" s="15"/>
    </row>
    <row r="3520" spans="10:10" x14ac:dyDescent="0.25">
      <c r="J3520" s="15"/>
    </row>
    <row r="3521" spans="10:10" x14ac:dyDescent="0.25">
      <c r="J3521" s="15"/>
    </row>
    <row r="3522" spans="10:10" x14ac:dyDescent="0.25">
      <c r="J3522" s="15"/>
    </row>
    <row r="3523" spans="10:10" x14ac:dyDescent="0.25">
      <c r="J3523" s="15"/>
    </row>
    <row r="3524" spans="10:10" x14ac:dyDescent="0.25">
      <c r="J3524" s="15"/>
    </row>
    <row r="3525" spans="10:10" x14ac:dyDescent="0.25">
      <c r="J3525" s="15"/>
    </row>
    <row r="3526" spans="10:10" x14ac:dyDescent="0.25">
      <c r="J3526" s="15"/>
    </row>
    <row r="3527" spans="10:10" x14ac:dyDescent="0.25">
      <c r="J3527" s="15"/>
    </row>
    <row r="3528" spans="10:10" x14ac:dyDescent="0.25">
      <c r="J3528" s="15"/>
    </row>
    <row r="3529" spans="10:10" x14ac:dyDescent="0.25">
      <c r="J3529" s="15"/>
    </row>
    <row r="3530" spans="10:10" x14ac:dyDescent="0.25">
      <c r="J3530" s="15"/>
    </row>
    <row r="3531" spans="10:10" x14ac:dyDescent="0.25">
      <c r="J3531" s="15"/>
    </row>
    <row r="3532" spans="10:10" x14ac:dyDescent="0.25">
      <c r="J3532" s="15"/>
    </row>
    <row r="3533" spans="10:10" x14ac:dyDescent="0.25">
      <c r="J3533" s="15"/>
    </row>
    <row r="3534" spans="10:10" x14ac:dyDescent="0.25">
      <c r="J3534" s="15"/>
    </row>
    <row r="3535" spans="10:10" x14ac:dyDescent="0.25">
      <c r="J3535" s="15"/>
    </row>
    <row r="3536" spans="10:10" x14ac:dyDescent="0.25">
      <c r="J3536" s="15"/>
    </row>
    <row r="3537" spans="10:10" x14ac:dyDescent="0.25">
      <c r="J3537" s="15"/>
    </row>
    <row r="3538" spans="10:10" x14ac:dyDescent="0.25">
      <c r="J3538" s="15"/>
    </row>
    <row r="3539" spans="10:10" x14ac:dyDescent="0.25">
      <c r="J3539" s="15"/>
    </row>
    <row r="3540" spans="10:10" x14ac:dyDescent="0.25">
      <c r="J3540" s="15"/>
    </row>
    <row r="3541" spans="10:10" x14ac:dyDescent="0.25">
      <c r="J3541" s="15"/>
    </row>
    <row r="3542" spans="10:10" x14ac:dyDescent="0.25">
      <c r="J3542" s="15"/>
    </row>
    <row r="3543" spans="10:10" x14ac:dyDescent="0.25">
      <c r="J3543" s="15"/>
    </row>
    <row r="3544" spans="10:10" x14ac:dyDescent="0.25">
      <c r="J3544" s="15"/>
    </row>
    <row r="3545" spans="10:10" x14ac:dyDescent="0.25">
      <c r="J3545" s="15"/>
    </row>
    <row r="3546" spans="10:10" x14ac:dyDescent="0.25">
      <c r="J3546" s="15"/>
    </row>
    <row r="3547" spans="10:10" x14ac:dyDescent="0.25">
      <c r="J3547" s="15"/>
    </row>
    <row r="3548" spans="10:10" x14ac:dyDescent="0.25">
      <c r="J3548" s="15"/>
    </row>
    <row r="3549" spans="10:10" x14ac:dyDescent="0.25">
      <c r="J3549" s="15"/>
    </row>
    <row r="3550" spans="10:10" x14ac:dyDescent="0.25">
      <c r="J3550" s="15"/>
    </row>
    <row r="3551" spans="10:10" x14ac:dyDescent="0.25">
      <c r="J3551" s="15"/>
    </row>
    <row r="3552" spans="10:10" x14ac:dyDescent="0.25">
      <c r="J3552" s="15"/>
    </row>
    <row r="3553" spans="10:10" x14ac:dyDescent="0.25">
      <c r="J3553" s="15"/>
    </row>
    <row r="3554" spans="10:10" x14ac:dyDescent="0.25">
      <c r="J3554" s="15"/>
    </row>
    <row r="3555" spans="10:10" x14ac:dyDescent="0.25">
      <c r="J3555" s="15"/>
    </row>
    <row r="3556" spans="10:10" x14ac:dyDescent="0.25">
      <c r="J3556" s="15"/>
    </row>
    <row r="3557" spans="10:10" x14ac:dyDescent="0.25">
      <c r="J3557" s="15"/>
    </row>
    <row r="3558" spans="10:10" x14ac:dyDescent="0.25">
      <c r="J3558" s="15"/>
    </row>
    <row r="3559" spans="10:10" x14ac:dyDescent="0.25">
      <c r="J3559" s="15"/>
    </row>
    <row r="3560" spans="10:10" x14ac:dyDescent="0.25">
      <c r="J3560" s="15"/>
    </row>
    <row r="3561" spans="10:10" x14ac:dyDescent="0.25">
      <c r="J3561" s="15"/>
    </row>
    <row r="3562" spans="10:10" x14ac:dyDescent="0.25">
      <c r="J3562" s="15"/>
    </row>
    <row r="3563" spans="10:10" x14ac:dyDescent="0.25">
      <c r="J3563" s="15"/>
    </row>
    <row r="3564" spans="10:10" x14ac:dyDescent="0.25">
      <c r="J3564" s="15"/>
    </row>
    <row r="3565" spans="10:10" x14ac:dyDescent="0.25">
      <c r="J3565" s="15"/>
    </row>
    <row r="3566" spans="10:10" x14ac:dyDescent="0.25">
      <c r="J3566" s="15"/>
    </row>
    <row r="3567" spans="10:10" x14ac:dyDescent="0.25">
      <c r="J3567" s="15"/>
    </row>
    <row r="3568" spans="10:10" x14ac:dyDescent="0.25">
      <c r="J3568" s="15"/>
    </row>
    <row r="3569" spans="10:10" x14ac:dyDescent="0.25">
      <c r="J3569" s="15"/>
    </row>
    <row r="3570" spans="10:10" x14ac:dyDescent="0.25">
      <c r="J3570" s="15"/>
    </row>
    <row r="3571" spans="10:10" x14ac:dyDescent="0.25">
      <c r="J3571" s="15"/>
    </row>
    <row r="3572" spans="10:10" x14ac:dyDescent="0.25">
      <c r="J3572" s="15"/>
    </row>
    <row r="3573" spans="10:10" x14ac:dyDescent="0.25">
      <c r="J3573" s="15"/>
    </row>
    <row r="3574" spans="10:10" x14ac:dyDescent="0.25">
      <c r="J3574" s="15"/>
    </row>
    <row r="3575" spans="10:10" x14ac:dyDescent="0.25">
      <c r="J3575" s="15"/>
    </row>
    <row r="3576" spans="10:10" x14ac:dyDescent="0.25">
      <c r="J3576" s="15"/>
    </row>
    <row r="3577" spans="10:10" x14ac:dyDescent="0.25">
      <c r="J3577" s="15"/>
    </row>
    <row r="3578" spans="10:10" x14ac:dyDescent="0.25">
      <c r="J3578" s="15"/>
    </row>
    <row r="3579" spans="10:10" x14ac:dyDescent="0.25">
      <c r="J3579" s="15"/>
    </row>
    <row r="3580" spans="10:10" x14ac:dyDescent="0.25">
      <c r="J3580" s="15"/>
    </row>
    <row r="3581" spans="10:10" x14ac:dyDescent="0.25">
      <c r="J3581" s="15"/>
    </row>
    <row r="3582" spans="10:10" x14ac:dyDescent="0.25">
      <c r="J3582" s="15"/>
    </row>
    <row r="3583" spans="10:10" x14ac:dyDescent="0.25">
      <c r="J3583" s="15"/>
    </row>
    <row r="3584" spans="10:10" x14ac:dyDescent="0.25">
      <c r="J3584" s="15"/>
    </row>
    <row r="3585" spans="10:10" x14ac:dyDescent="0.25">
      <c r="J3585" s="15"/>
    </row>
    <row r="3586" spans="10:10" x14ac:dyDescent="0.25">
      <c r="J3586" s="15"/>
    </row>
    <row r="3587" spans="10:10" x14ac:dyDescent="0.25">
      <c r="J3587" s="15"/>
    </row>
    <row r="3588" spans="10:10" x14ac:dyDescent="0.25">
      <c r="J3588" s="15"/>
    </row>
    <row r="3589" spans="10:10" x14ac:dyDescent="0.25">
      <c r="J3589" s="15"/>
    </row>
    <row r="3590" spans="10:10" x14ac:dyDescent="0.25">
      <c r="J3590" s="15"/>
    </row>
    <row r="3591" spans="10:10" x14ac:dyDescent="0.25">
      <c r="J3591" s="15"/>
    </row>
    <row r="3592" spans="10:10" x14ac:dyDescent="0.25">
      <c r="J3592" s="15"/>
    </row>
    <row r="3593" spans="10:10" x14ac:dyDescent="0.25">
      <c r="J3593" s="15"/>
    </row>
    <row r="3594" spans="10:10" x14ac:dyDescent="0.25">
      <c r="J3594" s="15"/>
    </row>
    <row r="3595" spans="10:10" x14ac:dyDescent="0.25">
      <c r="J3595" s="15"/>
    </row>
    <row r="3596" spans="10:10" x14ac:dyDescent="0.25">
      <c r="J3596" s="15"/>
    </row>
    <row r="3597" spans="10:10" x14ac:dyDescent="0.25">
      <c r="J3597" s="15"/>
    </row>
    <row r="3598" spans="10:10" x14ac:dyDescent="0.25">
      <c r="J3598" s="15"/>
    </row>
    <row r="3599" spans="10:10" x14ac:dyDescent="0.25">
      <c r="J3599" s="15"/>
    </row>
    <row r="3600" spans="10:10" x14ac:dyDescent="0.25">
      <c r="J3600" s="15"/>
    </row>
    <row r="3601" spans="10:10" x14ac:dyDescent="0.25">
      <c r="J3601" s="15"/>
    </row>
    <row r="3602" spans="10:10" x14ac:dyDescent="0.25">
      <c r="J3602" s="15"/>
    </row>
    <row r="3603" spans="10:10" x14ac:dyDescent="0.25">
      <c r="J3603" s="15"/>
    </row>
    <row r="3604" spans="10:10" x14ac:dyDescent="0.25">
      <c r="J3604" s="15"/>
    </row>
    <row r="3605" spans="10:10" x14ac:dyDescent="0.25">
      <c r="J3605" s="15"/>
    </row>
    <row r="3606" spans="10:10" x14ac:dyDescent="0.25">
      <c r="J3606" s="15"/>
    </row>
    <row r="3607" spans="10:10" x14ac:dyDescent="0.25">
      <c r="J3607" s="15"/>
    </row>
    <row r="3608" spans="10:10" x14ac:dyDescent="0.25">
      <c r="J3608" s="15"/>
    </row>
    <row r="3609" spans="10:10" x14ac:dyDescent="0.25">
      <c r="J3609" s="15"/>
    </row>
    <row r="3610" spans="10:10" x14ac:dyDescent="0.25">
      <c r="J3610" s="15"/>
    </row>
    <row r="3611" spans="10:10" x14ac:dyDescent="0.25">
      <c r="J3611" s="15"/>
    </row>
    <row r="3612" spans="10:10" x14ac:dyDescent="0.25">
      <c r="J3612" s="15"/>
    </row>
    <row r="3613" spans="10:10" x14ac:dyDescent="0.25">
      <c r="J3613" s="15"/>
    </row>
    <row r="3614" spans="10:10" x14ac:dyDescent="0.25">
      <c r="J3614" s="15"/>
    </row>
    <row r="3615" spans="10:10" x14ac:dyDescent="0.25">
      <c r="J3615" s="15"/>
    </row>
    <row r="3616" spans="10:10" x14ac:dyDescent="0.25">
      <c r="J3616" s="15"/>
    </row>
    <row r="3617" spans="10:10" x14ac:dyDescent="0.25">
      <c r="J3617" s="15"/>
    </row>
    <row r="3618" spans="10:10" x14ac:dyDescent="0.25">
      <c r="J3618" s="15"/>
    </row>
    <row r="3619" spans="10:10" x14ac:dyDescent="0.25">
      <c r="J3619" s="15"/>
    </row>
    <row r="3620" spans="10:10" x14ac:dyDescent="0.25">
      <c r="J3620" s="15"/>
    </row>
    <row r="3621" spans="10:10" x14ac:dyDescent="0.25">
      <c r="J3621" s="15"/>
    </row>
    <row r="3622" spans="10:10" x14ac:dyDescent="0.25">
      <c r="J3622" s="15"/>
    </row>
    <row r="3623" spans="10:10" x14ac:dyDescent="0.25">
      <c r="J3623" s="15"/>
    </row>
    <row r="3624" spans="10:10" x14ac:dyDescent="0.25">
      <c r="J3624" s="15"/>
    </row>
    <row r="3625" spans="10:10" x14ac:dyDescent="0.25">
      <c r="J3625" s="15"/>
    </row>
    <row r="3626" spans="10:10" x14ac:dyDescent="0.25">
      <c r="J3626" s="15"/>
    </row>
    <row r="3627" spans="10:10" x14ac:dyDescent="0.25">
      <c r="J3627" s="15"/>
    </row>
    <row r="3628" spans="10:10" x14ac:dyDescent="0.25">
      <c r="J3628" s="15"/>
    </row>
    <row r="3629" spans="10:10" x14ac:dyDescent="0.25">
      <c r="J3629" s="15"/>
    </row>
    <row r="3630" spans="10:10" x14ac:dyDescent="0.25">
      <c r="J3630" s="15"/>
    </row>
    <row r="3631" spans="10:10" x14ac:dyDescent="0.25">
      <c r="J3631" s="15"/>
    </row>
    <row r="3632" spans="10:10" x14ac:dyDescent="0.25">
      <c r="J3632" s="15"/>
    </row>
    <row r="3633" spans="10:10" x14ac:dyDescent="0.25">
      <c r="J3633" s="15"/>
    </row>
    <row r="3634" spans="10:10" x14ac:dyDescent="0.25">
      <c r="J3634" s="15"/>
    </row>
    <row r="3635" spans="10:10" x14ac:dyDescent="0.25">
      <c r="J3635" s="15"/>
    </row>
    <row r="3636" spans="10:10" x14ac:dyDescent="0.25">
      <c r="J3636" s="15"/>
    </row>
    <row r="3637" spans="10:10" x14ac:dyDescent="0.25">
      <c r="J3637" s="15"/>
    </row>
    <row r="3638" spans="10:10" x14ac:dyDescent="0.25">
      <c r="J3638" s="15"/>
    </row>
    <row r="3639" spans="10:10" x14ac:dyDescent="0.25">
      <c r="J3639" s="15"/>
    </row>
    <row r="3640" spans="10:10" x14ac:dyDescent="0.25">
      <c r="J3640" s="15"/>
    </row>
    <row r="3641" spans="10:10" x14ac:dyDescent="0.25">
      <c r="J3641" s="15"/>
    </row>
    <row r="3642" spans="10:10" x14ac:dyDescent="0.25">
      <c r="J3642" s="15"/>
    </row>
    <row r="3643" spans="10:10" x14ac:dyDescent="0.25">
      <c r="J3643" s="15"/>
    </row>
    <row r="3644" spans="10:10" x14ac:dyDescent="0.25">
      <c r="J3644" s="15"/>
    </row>
    <row r="3645" spans="10:10" x14ac:dyDescent="0.25">
      <c r="J3645" s="15"/>
    </row>
    <row r="3646" spans="10:10" x14ac:dyDescent="0.25">
      <c r="J3646" s="15"/>
    </row>
    <row r="3647" spans="10:10" x14ac:dyDescent="0.25">
      <c r="J3647" s="15"/>
    </row>
    <row r="3648" spans="10:10" x14ac:dyDescent="0.25">
      <c r="J3648" s="15"/>
    </row>
    <row r="3649" spans="10:10" x14ac:dyDescent="0.25">
      <c r="J3649" s="15"/>
    </row>
    <row r="3650" spans="10:10" x14ac:dyDescent="0.25">
      <c r="J3650" s="15"/>
    </row>
    <row r="3651" spans="10:10" x14ac:dyDescent="0.25">
      <c r="J3651" s="15"/>
    </row>
    <row r="3652" spans="10:10" x14ac:dyDescent="0.25">
      <c r="J3652" s="15"/>
    </row>
    <row r="3653" spans="10:10" x14ac:dyDescent="0.25">
      <c r="J3653" s="15"/>
    </row>
    <row r="3654" spans="10:10" x14ac:dyDescent="0.25">
      <c r="J3654" s="15"/>
    </row>
    <row r="3655" spans="10:10" x14ac:dyDescent="0.25">
      <c r="J3655" s="15"/>
    </row>
    <row r="3656" spans="10:10" x14ac:dyDescent="0.25">
      <c r="J3656" s="15"/>
    </row>
    <row r="3657" spans="10:10" x14ac:dyDescent="0.25">
      <c r="J3657" s="15"/>
    </row>
    <row r="3658" spans="10:10" x14ac:dyDescent="0.25">
      <c r="J3658" s="15"/>
    </row>
    <row r="3659" spans="10:10" x14ac:dyDescent="0.25">
      <c r="J3659" s="15"/>
    </row>
    <row r="3660" spans="10:10" x14ac:dyDescent="0.25">
      <c r="J3660" s="15"/>
    </row>
    <row r="3661" spans="10:10" x14ac:dyDescent="0.25">
      <c r="J3661" s="15"/>
    </row>
    <row r="3662" spans="10:10" x14ac:dyDescent="0.25">
      <c r="J3662" s="15"/>
    </row>
    <row r="3663" spans="10:10" x14ac:dyDescent="0.25">
      <c r="J3663" s="15"/>
    </row>
    <row r="3664" spans="10:10" x14ac:dyDescent="0.25">
      <c r="J3664" s="15"/>
    </row>
    <row r="3665" spans="10:10" x14ac:dyDescent="0.25">
      <c r="J3665" s="15"/>
    </row>
    <row r="3666" spans="10:10" x14ac:dyDescent="0.25">
      <c r="J3666" s="15"/>
    </row>
    <row r="3667" spans="10:10" x14ac:dyDescent="0.25">
      <c r="J3667" s="15"/>
    </row>
    <row r="3668" spans="10:10" x14ac:dyDescent="0.25">
      <c r="J3668" s="15"/>
    </row>
    <row r="3669" spans="10:10" x14ac:dyDescent="0.25">
      <c r="J3669" s="15"/>
    </row>
    <row r="3670" spans="10:10" x14ac:dyDescent="0.25">
      <c r="J3670" s="15"/>
    </row>
    <row r="3671" spans="10:10" x14ac:dyDescent="0.25">
      <c r="J3671" s="15"/>
    </row>
    <row r="3672" spans="10:10" x14ac:dyDescent="0.25">
      <c r="J3672" s="15"/>
    </row>
    <row r="3673" spans="10:10" x14ac:dyDescent="0.25">
      <c r="J3673" s="15"/>
    </row>
    <row r="3674" spans="10:10" x14ac:dyDescent="0.25">
      <c r="J3674" s="15"/>
    </row>
    <row r="3675" spans="10:10" x14ac:dyDescent="0.25">
      <c r="J3675" s="15"/>
    </row>
    <row r="3676" spans="10:10" x14ac:dyDescent="0.25">
      <c r="J3676" s="15"/>
    </row>
    <row r="3677" spans="10:10" x14ac:dyDescent="0.25">
      <c r="J3677" s="15"/>
    </row>
    <row r="3678" spans="10:10" x14ac:dyDescent="0.25">
      <c r="J3678" s="15"/>
    </row>
    <row r="3679" spans="10:10" x14ac:dyDescent="0.25">
      <c r="J3679" s="15"/>
    </row>
    <row r="3680" spans="10:10" x14ac:dyDescent="0.25">
      <c r="J3680" s="15"/>
    </row>
    <row r="3681" spans="10:10" x14ac:dyDescent="0.25">
      <c r="J3681" s="15"/>
    </row>
    <row r="3682" spans="10:10" x14ac:dyDescent="0.25">
      <c r="J3682" s="15"/>
    </row>
    <row r="3683" spans="10:10" x14ac:dyDescent="0.25">
      <c r="J3683" s="15"/>
    </row>
    <row r="3684" spans="10:10" x14ac:dyDescent="0.25">
      <c r="J3684" s="15"/>
    </row>
    <row r="3685" spans="10:10" x14ac:dyDescent="0.25">
      <c r="J3685" s="15"/>
    </row>
    <row r="3686" spans="10:10" x14ac:dyDescent="0.25">
      <c r="J3686" s="15"/>
    </row>
    <row r="3687" spans="10:10" x14ac:dyDescent="0.25">
      <c r="J3687" s="15"/>
    </row>
    <row r="3688" spans="10:10" x14ac:dyDescent="0.25">
      <c r="J3688" s="15"/>
    </row>
    <row r="3689" spans="10:10" x14ac:dyDescent="0.25">
      <c r="J3689" s="15"/>
    </row>
    <row r="3690" spans="10:10" x14ac:dyDescent="0.25">
      <c r="J3690" s="15"/>
    </row>
    <row r="3691" spans="10:10" x14ac:dyDescent="0.25">
      <c r="J3691" s="15"/>
    </row>
    <row r="3692" spans="10:10" x14ac:dyDescent="0.25">
      <c r="J3692" s="15"/>
    </row>
    <row r="3693" spans="10:10" x14ac:dyDescent="0.25">
      <c r="J3693" s="15"/>
    </row>
    <row r="3694" spans="10:10" x14ac:dyDescent="0.25">
      <c r="J3694" s="15"/>
    </row>
    <row r="3695" spans="10:10" x14ac:dyDescent="0.25">
      <c r="J3695" s="15"/>
    </row>
    <row r="3696" spans="10:10" x14ac:dyDescent="0.25">
      <c r="J3696" s="15"/>
    </row>
    <row r="3697" spans="10:10" x14ac:dyDescent="0.25">
      <c r="J3697" s="15"/>
    </row>
    <row r="3698" spans="10:10" x14ac:dyDescent="0.25">
      <c r="J3698" s="15"/>
    </row>
    <row r="3699" spans="10:10" x14ac:dyDescent="0.25">
      <c r="J3699" s="15"/>
    </row>
    <row r="3700" spans="10:10" x14ac:dyDescent="0.25">
      <c r="J3700" s="15"/>
    </row>
    <row r="3701" spans="10:10" x14ac:dyDescent="0.25">
      <c r="J3701" s="15"/>
    </row>
    <row r="3702" spans="10:10" x14ac:dyDescent="0.25">
      <c r="J3702" s="15"/>
    </row>
    <row r="3703" spans="10:10" x14ac:dyDescent="0.25">
      <c r="J3703" s="15"/>
    </row>
    <row r="3704" spans="10:10" x14ac:dyDescent="0.25">
      <c r="J3704" s="15"/>
    </row>
    <row r="3705" spans="10:10" x14ac:dyDescent="0.25">
      <c r="J3705" s="15"/>
    </row>
    <row r="3706" spans="10:10" x14ac:dyDescent="0.25">
      <c r="J3706" s="15"/>
    </row>
    <row r="3707" spans="10:10" x14ac:dyDescent="0.25">
      <c r="J3707" s="15"/>
    </row>
    <row r="3708" spans="10:10" x14ac:dyDescent="0.25">
      <c r="J3708" s="15"/>
    </row>
    <row r="3709" spans="10:10" x14ac:dyDescent="0.25">
      <c r="J3709" s="15"/>
    </row>
    <row r="3710" spans="10:10" x14ac:dyDescent="0.25">
      <c r="J3710" s="15"/>
    </row>
    <row r="3711" spans="10:10" x14ac:dyDescent="0.25">
      <c r="J3711" s="15"/>
    </row>
    <row r="3712" spans="10:10" x14ac:dyDescent="0.25">
      <c r="J3712" s="15"/>
    </row>
    <row r="3713" spans="10:10" x14ac:dyDescent="0.25">
      <c r="J3713" s="15"/>
    </row>
    <row r="3714" spans="10:10" x14ac:dyDescent="0.25">
      <c r="J3714" s="15"/>
    </row>
    <row r="3715" spans="10:10" x14ac:dyDescent="0.25">
      <c r="J3715" s="15"/>
    </row>
    <row r="3716" spans="10:10" x14ac:dyDescent="0.25">
      <c r="J3716" s="15"/>
    </row>
    <row r="3717" spans="10:10" x14ac:dyDescent="0.25">
      <c r="J3717" s="15"/>
    </row>
    <row r="3718" spans="10:10" x14ac:dyDescent="0.25">
      <c r="J3718" s="15"/>
    </row>
    <row r="3719" spans="10:10" x14ac:dyDescent="0.25">
      <c r="J3719" s="15"/>
    </row>
    <row r="3720" spans="10:10" x14ac:dyDescent="0.25">
      <c r="J3720" s="15"/>
    </row>
    <row r="3721" spans="10:10" x14ac:dyDescent="0.25">
      <c r="J3721" s="15"/>
    </row>
    <row r="3722" spans="10:10" x14ac:dyDescent="0.25">
      <c r="J3722" s="15"/>
    </row>
    <row r="3723" spans="10:10" x14ac:dyDescent="0.25">
      <c r="J3723" s="15"/>
    </row>
    <row r="3724" spans="10:10" x14ac:dyDescent="0.25">
      <c r="J3724" s="15"/>
    </row>
    <row r="3725" spans="10:10" x14ac:dyDescent="0.25">
      <c r="J3725" s="15"/>
    </row>
    <row r="3726" spans="10:10" x14ac:dyDescent="0.25">
      <c r="J3726" s="15"/>
    </row>
    <row r="3727" spans="10:10" x14ac:dyDescent="0.25">
      <c r="J3727" s="15"/>
    </row>
    <row r="3728" spans="10:10" x14ac:dyDescent="0.25">
      <c r="J3728" s="15"/>
    </row>
    <row r="3729" spans="10:10" x14ac:dyDescent="0.25">
      <c r="J3729" s="15"/>
    </row>
    <row r="3730" spans="10:10" x14ac:dyDescent="0.25">
      <c r="J3730" s="15"/>
    </row>
    <row r="3731" spans="10:10" x14ac:dyDescent="0.25">
      <c r="J3731" s="15"/>
    </row>
    <row r="3732" spans="10:10" x14ac:dyDescent="0.25">
      <c r="J3732" s="15"/>
    </row>
    <row r="3733" spans="10:10" x14ac:dyDescent="0.25">
      <c r="J3733" s="15"/>
    </row>
    <row r="3734" spans="10:10" x14ac:dyDescent="0.25">
      <c r="J3734" s="15"/>
    </row>
    <row r="3735" spans="10:10" x14ac:dyDescent="0.25">
      <c r="J3735" s="15"/>
    </row>
    <row r="3736" spans="10:10" x14ac:dyDescent="0.25">
      <c r="J3736" s="15"/>
    </row>
    <row r="3737" spans="10:10" x14ac:dyDescent="0.25">
      <c r="J3737" s="15"/>
    </row>
    <row r="3738" spans="10:10" x14ac:dyDescent="0.25">
      <c r="J3738" s="15"/>
    </row>
    <row r="3739" spans="10:10" x14ac:dyDescent="0.25">
      <c r="J3739" s="15"/>
    </row>
    <row r="3740" spans="10:10" x14ac:dyDescent="0.25">
      <c r="J3740" s="15"/>
    </row>
    <row r="3741" spans="10:10" x14ac:dyDescent="0.25">
      <c r="J3741" s="15"/>
    </row>
    <row r="3742" spans="10:10" x14ac:dyDescent="0.25">
      <c r="J3742" s="15"/>
    </row>
    <row r="3743" spans="10:10" x14ac:dyDescent="0.25">
      <c r="J3743" s="15"/>
    </row>
    <row r="3744" spans="10:10" x14ac:dyDescent="0.25">
      <c r="J3744" s="15"/>
    </row>
    <row r="3745" spans="10:10" x14ac:dyDescent="0.25">
      <c r="J3745" s="15"/>
    </row>
    <row r="3746" spans="10:10" x14ac:dyDescent="0.25">
      <c r="J3746" s="15"/>
    </row>
    <row r="3747" spans="10:10" x14ac:dyDescent="0.25">
      <c r="J3747" s="15"/>
    </row>
    <row r="3748" spans="10:10" x14ac:dyDescent="0.25">
      <c r="J3748" s="15"/>
    </row>
    <row r="3749" spans="10:10" x14ac:dyDescent="0.25">
      <c r="J3749" s="15"/>
    </row>
    <row r="3750" spans="10:10" x14ac:dyDescent="0.25">
      <c r="J3750" s="15"/>
    </row>
    <row r="3751" spans="10:10" x14ac:dyDescent="0.25">
      <c r="J3751" s="15"/>
    </row>
    <row r="3752" spans="10:10" x14ac:dyDescent="0.25">
      <c r="J3752" s="15"/>
    </row>
    <row r="3753" spans="10:10" x14ac:dyDescent="0.25">
      <c r="J3753" s="15"/>
    </row>
    <row r="3754" spans="10:10" x14ac:dyDescent="0.25">
      <c r="J3754" s="15"/>
    </row>
    <row r="3755" spans="10:10" x14ac:dyDescent="0.25">
      <c r="J3755" s="15"/>
    </row>
    <row r="3756" spans="10:10" x14ac:dyDescent="0.25">
      <c r="J3756" s="15"/>
    </row>
    <row r="3757" spans="10:10" x14ac:dyDescent="0.25">
      <c r="J3757" s="15"/>
    </row>
    <row r="3758" spans="10:10" x14ac:dyDescent="0.25">
      <c r="J3758" s="15"/>
    </row>
    <row r="3759" spans="10:10" x14ac:dyDescent="0.25">
      <c r="J3759" s="15"/>
    </row>
    <row r="3760" spans="10:10" x14ac:dyDescent="0.25">
      <c r="J3760" s="15"/>
    </row>
    <row r="3761" spans="10:10" x14ac:dyDescent="0.25">
      <c r="J3761" s="15"/>
    </row>
    <row r="3762" spans="10:10" x14ac:dyDescent="0.25">
      <c r="J3762" s="15"/>
    </row>
    <row r="3763" spans="10:10" x14ac:dyDescent="0.25">
      <c r="J3763" s="15"/>
    </row>
    <row r="3764" spans="10:10" x14ac:dyDescent="0.25">
      <c r="J3764" s="15"/>
    </row>
    <row r="3765" spans="10:10" x14ac:dyDescent="0.25">
      <c r="J3765" s="15"/>
    </row>
    <row r="3766" spans="10:10" x14ac:dyDescent="0.25">
      <c r="J3766" s="15"/>
    </row>
    <row r="3767" spans="10:10" x14ac:dyDescent="0.25">
      <c r="J3767" s="15"/>
    </row>
    <row r="3768" spans="10:10" x14ac:dyDescent="0.25">
      <c r="J3768" s="15"/>
    </row>
    <row r="3769" spans="10:10" x14ac:dyDescent="0.25">
      <c r="J3769" s="15"/>
    </row>
    <row r="3770" spans="10:10" x14ac:dyDescent="0.25">
      <c r="J3770" s="15"/>
    </row>
    <row r="3771" spans="10:10" x14ac:dyDescent="0.25">
      <c r="J3771" s="15"/>
    </row>
    <row r="3772" spans="10:10" x14ac:dyDescent="0.25">
      <c r="J3772" s="15"/>
    </row>
    <row r="3773" spans="10:10" x14ac:dyDescent="0.25">
      <c r="J3773" s="15"/>
    </row>
    <row r="3774" spans="10:10" x14ac:dyDescent="0.25">
      <c r="J3774" s="15"/>
    </row>
    <row r="3775" spans="10:10" x14ac:dyDescent="0.25">
      <c r="J3775" s="15"/>
    </row>
    <row r="3776" spans="10:10" x14ac:dyDescent="0.25">
      <c r="J3776" s="15"/>
    </row>
    <row r="3777" spans="10:10" x14ac:dyDescent="0.25">
      <c r="J3777" s="15"/>
    </row>
    <row r="3778" spans="10:10" x14ac:dyDescent="0.25">
      <c r="J3778" s="15"/>
    </row>
    <row r="3779" spans="10:10" x14ac:dyDescent="0.25">
      <c r="J3779" s="15"/>
    </row>
    <row r="3780" spans="10:10" x14ac:dyDescent="0.25">
      <c r="J3780" s="15"/>
    </row>
    <row r="3781" spans="10:10" x14ac:dyDescent="0.25">
      <c r="J3781" s="15"/>
    </row>
    <row r="3782" spans="10:10" x14ac:dyDescent="0.25">
      <c r="J3782" s="15"/>
    </row>
    <row r="3783" spans="10:10" x14ac:dyDescent="0.25">
      <c r="J3783" s="15"/>
    </row>
    <row r="3784" spans="10:10" x14ac:dyDescent="0.25">
      <c r="J3784" s="15"/>
    </row>
    <row r="3785" spans="10:10" x14ac:dyDescent="0.25">
      <c r="J3785" s="15"/>
    </row>
    <row r="3786" spans="10:10" x14ac:dyDescent="0.25">
      <c r="J3786" s="15"/>
    </row>
    <row r="3787" spans="10:10" x14ac:dyDescent="0.25">
      <c r="J3787" s="15"/>
    </row>
    <row r="3788" spans="10:10" x14ac:dyDescent="0.25">
      <c r="J3788" s="15"/>
    </row>
    <row r="3789" spans="10:10" x14ac:dyDescent="0.25">
      <c r="J3789" s="15"/>
    </row>
    <row r="3790" spans="10:10" x14ac:dyDescent="0.25">
      <c r="J3790" s="15"/>
    </row>
    <row r="3791" spans="10:10" x14ac:dyDescent="0.25">
      <c r="J3791" s="15"/>
    </row>
    <row r="3792" spans="10:10" x14ac:dyDescent="0.25">
      <c r="J3792" s="15"/>
    </row>
    <row r="3793" spans="10:10" x14ac:dyDescent="0.25">
      <c r="J3793" s="15"/>
    </row>
    <row r="3794" spans="10:10" x14ac:dyDescent="0.25">
      <c r="J3794" s="15"/>
    </row>
    <row r="3795" spans="10:10" x14ac:dyDescent="0.25">
      <c r="J3795" s="15"/>
    </row>
    <row r="3796" spans="10:10" x14ac:dyDescent="0.25">
      <c r="J3796" s="15"/>
    </row>
    <row r="3797" spans="10:10" x14ac:dyDescent="0.25">
      <c r="J3797" s="15"/>
    </row>
    <row r="3798" spans="10:10" x14ac:dyDescent="0.25">
      <c r="J3798" s="15"/>
    </row>
    <row r="3799" spans="10:10" x14ac:dyDescent="0.25">
      <c r="J3799" s="15"/>
    </row>
    <row r="3800" spans="10:10" x14ac:dyDescent="0.25">
      <c r="J3800" s="15"/>
    </row>
    <row r="3801" spans="10:10" x14ac:dyDescent="0.25">
      <c r="J3801" s="15"/>
    </row>
    <row r="3802" spans="10:10" x14ac:dyDescent="0.25">
      <c r="J3802" s="15"/>
    </row>
    <row r="3803" spans="10:10" x14ac:dyDescent="0.25">
      <c r="J3803" s="15"/>
    </row>
    <row r="3804" spans="10:10" x14ac:dyDescent="0.25">
      <c r="J3804" s="15"/>
    </row>
    <row r="3805" spans="10:10" x14ac:dyDescent="0.25">
      <c r="J3805" s="15"/>
    </row>
    <row r="3806" spans="10:10" x14ac:dyDescent="0.25">
      <c r="J3806" s="15"/>
    </row>
    <row r="3807" spans="10:10" x14ac:dyDescent="0.25">
      <c r="J3807" s="15"/>
    </row>
    <row r="3808" spans="10:10" x14ac:dyDescent="0.25">
      <c r="J3808" s="15"/>
    </row>
    <row r="3809" spans="10:10" x14ac:dyDescent="0.25">
      <c r="J3809" s="15"/>
    </row>
    <row r="3810" spans="10:10" x14ac:dyDescent="0.25">
      <c r="J3810" s="15"/>
    </row>
    <row r="3811" spans="10:10" x14ac:dyDescent="0.25">
      <c r="J3811" s="15"/>
    </row>
    <row r="3812" spans="10:10" x14ac:dyDescent="0.25">
      <c r="J3812" s="15"/>
    </row>
    <row r="3813" spans="10:10" x14ac:dyDescent="0.25">
      <c r="J3813" s="15"/>
    </row>
    <row r="3814" spans="10:10" x14ac:dyDescent="0.25">
      <c r="J3814" s="15"/>
    </row>
    <row r="3815" spans="10:10" x14ac:dyDescent="0.25">
      <c r="J3815" s="15"/>
    </row>
    <row r="3816" spans="10:10" x14ac:dyDescent="0.25">
      <c r="J3816" s="15"/>
    </row>
    <row r="3817" spans="10:10" x14ac:dyDescent="0.25">
      <c r="J3817" s="15"/>
    </row>
    <row r="3818" spans="10:10" x14ac:dyDescent="0.25">
      <c r="J3818" s="15"/>
    </row>
    <row r="3819" spans="10:10" x14ac:dyDescent="0.25">
      <c r="J3819" s="15"/>
    </row>
    <row r="3820" spans="10:10" x14ac:dyDescent="0.25">
      <c r="J3820" s="15"/>
    </row>
    <row r="3821" spans="10:10" x14ac:dyDescent="0.25">
      <c r="J3821" s="15"/>
    </row>
    <row r="3822" spans="10:10" x14ac:dyDescent="0.25">
      <c r="J3822" s="15"/>
    </row>
    <row r="3823" spans="10:10" x14ac:dyDescent="0.25">
      <c r="J3823" s="15"/>
    </row>
    <row r="3824" spans="10:10" x14ac:dyDescent="0.25">
      <c r="J3824" s="15"/>
    </row>
    <row r="3825" spans="10:10" x14ac:dyDescent="0.25">
      <c r="J3825" s="15"/>
    </row>
    <row r="3826" spans="10:10" x14ac:dyDescent="0.25">
      <c r="J3826" s="15"/>
    </row>
    <row r="3827" spans="10:10" x14ac:dyDescent="0.25">
      <c r="J3827" s="15"/>
    </row>
    <row r="3828" spans="10:10" x14ac:dyDescent="0.25">
      <c r="J3828" s="15"/>
    </row>
    <row r="3829" spans="10:10" x14ac:dyDescent="0.25">
      <c r="J3829" s="15"/>
    </row>
    <row r="3830" spans="10:10" x14ac:dyDescent="0.25">
      <c r="J3830" s="15"/>
    </row>
    <row r="3831" spans="10:10" x14ac:dyDescent="0.25">
      <c r="J3831" s="15"/>
    </row>
    <row r="3832" spans="10:10" x14ac:dyDescent="0.25">
      <c r="J3832" s="15"/>
    </row>
    <row r="3833" spans="10:10" x14ac:dyDescent="0.25">
      <c r="J3833" s="15"/>
    </row>
    <row r="3834" spans="10:10" x14ac:dyDescent="0.25">
      <c r="J3834" s="15"/>
    </row>
    <row r="3835" spans="10:10" x14ac:dyDescent="0.25">
      <c r="J3835" s="15"/>
    </row>
    <row r="3836" spans="10:10" x14ac:dyDescent="0.25">
      <c r="J3836" s="15"/>
    </row>
    <row r="3837" spans="10:10" x14ac:dyDescent="0.25">
      <c r="J3837" s="15"/>
    </row>
    <row r="3838" spans="10:10" x14ac:dyDescent="0.25">
      <c r="J3838" s="15"/>
    </row>
    <row r="3839" spans="10:10" x14ac:dyDescent="0.25">
      <c r="J3839" s="15"/>
    </row>
    <row r="3840" spans="10:10" x14ac:dyDescent="0.25">
      <c r="J3840" s="15"/>
    </row>
    <row r="3841" spans="10:10" x14ac:dyDescent="0.25">
      <c r="J3841" s="15"/>
    </row>
    <row r="3842" spans="10:10" x14ac:dyDescent="0.25">
      <c r="J3842" s="15"/>
    </row>
    <row r="3843" spans="10:10" x14ac:dyDescent="0.25">
      <c r="J3843" s="15"/>
    </row>
  </sheetData>
  <conditionalFormatting sqref="G7:G26">
    <cfRule type="duplicateValues" dxfId="24" priority="795"/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R34"/>
  <sheetViews>
    <sheetView workbookViewId="0">
      <selection activeCell="F26" sqref="F26:K28"/>
    </sheetView>
  </sheetViews>
  <sheetFormatPr baseColWidth="10" defaultRowHeight="15" x14ac:dyDescent="0.25"/>
  <cols>
    <col min="2" max="2" width="16.140625" customWidth="1"/>
    <col min="3" max="3" width="13.42578125" customWidth="1"/>
    <col min="5" max="5" width="17.85546875" customWidth="1"/>
    <col min="6" max="6" width="20.28515625" customWidth="1"/>
    <col min="7" max="7" width="14.42578125" customWidth="1"/>
    <col min="8" max="8" width="15.42578125" customWidth="1"/>
    <col min="9" max="9" width="15.7109375" customWidth="1"/>
    <col min="10" max="10" width="13.7109375" customWidth="1"/>
    <col min="11" max="11" width="12.28515625" customWidth="1"/>
    <col min="17" max="17" width="13.7109375" customWidth="1"/>
  </cols>
  <sheetData>
    <row r="4" spans="5:18" ht="18.75" x14ac:dyDescent="0.3">
      <c r="E4" s="196" t="s">
        <v>191</v>
      </c>
      <c r="H4" s="196" t="s">
        <v>192</v>
      </c>
      <c r="I4" s="135"/>
      <c r="K4" s="196" t="s">
        <v>194</v>
      </c>
      <c r="L4" s="135"/>
      <c r="N4" s="196" t="s">
        <v>195</v>
      </c>
      <c r="O4" s="135"/>
      <c r="Q4" s="196" t="s">
        <v>200</v>
      </c>
      <c r="R4" s="135"/>
    </row>
    <row r="5" spans="5:18" ht="15.75" x14ac:dyDescent="0.25">
      <c r="E5" s="193" t="s">
        <v>51</v>
      </c>
      <c r="F5" s="194" t="s">
        <v>190</v>
      </c>
      <c r="H5" s="193" t="s">
        <v>51</v>
      </c>
      <c r="I5" s="194" t="s">
        <v>190</v>
      </c>
      <c r="K5" s="193" t="s">
        <v>51</v>
      </c>
      <c r="L5" s="194" t="s">
        <v>190</v>
      </c>
      <c r="N5" s="193" t="s">
        <v>51</v>
      </c>
      <c r="O5" s="194" t="s">
        <v>190</v>
      </c>
      <c r="Q5" s="193" t="s">
        <v>51</v>
      </c>
      <c r="R5" s="194" t="s">
        <v>190</v>
      </c>
    </row>
    <row r="6" spans="5:18" ht="15.75" x14ac:dyDescent="0.25">
      <c r="E6" s="192" t="s">
        <v>186</v>
      </c>
      <c r="F6" s="195">
        <v>2.2200000000000001E-2</v>
      </c>
      <c r="H6" s="192" t="s">
        <v>186</v>
      </c>
      <c r="I6" s="195">
        <v>5.7799999999999997E-2</v>
      </c>
      <c r="K6" s="192" t="s">
        <v>186</v>
      </c>
      <c r="L6" s="195"/>
      <c r="N6" s="192" t="s">
        <v>186</v>
      </c>
      <c r="O6" s="195"/>
      <c r="Q6" s="192" t="s">
        <v>186</v>
      </c>
      <c r="R6" s="195">
        <v>1.44E-2</v>
      </c>
    </row>
    <row r="7" spans="5:18" ht="15.75" x14ac:dyDescent="0.25">
      <c r="E7" s="192" t="s">
        <v>114</v>
      </c>
      <c r="F7" s="195">
        <v>5.0299999999999997E-2</v>
      </c>
      <c r="H7" s="192" t="s">
        <v>114</v>
      </c>
      <c r="I7" s="195">
        <v>2.4799999999999999E-2</v>
      </c>
      <c r="K7" s="192" t="s">
        <v>114</v>
      </c>
      <c r="L7" s="195">
        <v>5.6899999999999999E-2</v>
      </c>
      <c r="N7" s="192" t="s">
        <v>114</v>
      </c>
      <c r="O7" s="195">
        <v>0.1198</v>
      </c>
      <c r="Q7" s="192" t="s">
        <v>114</v>
      </c>
      <c r="R7" s="195">
        <v>1.6199999999999999E-2</v>
      </c>
    </row>
    <row r="8" spans="5:18" ht="15.75" x14ac:dyDescent="0.25">
      <c r="E8" s="192" t="s">
        <v>187</v>
      </c>
      <c r="F8" s="195">
        <v>0</v>
      </c>
      <c r="H8" s="192" t="s">
        <v>187</v>
      </c>
      <c r="I8" s="195">
        <v>5.0000000000000001E-4</v>
      </c>
      <c r="K8" s="192" t="s">
        <v>187</v>
      </c>
      <c r="L8" s="195">
        <v>3.3999999999999998E-3</v>
      </c>
      <c r="N8" s="192" t="s">
        <v>187</v>
      </c>
      <c r="O8" s="195">
        <v>2.1499999999999998E-2</v>
      </c>
      <c r="Q8" s="192" t="s">
        <v>187</v>
      </c>
      <c r="R8" s="195">
        <v>0</v>
      </c>
    </row>
    <row r="9" spans="5:18" ht="15.75" x14ac:dyDescent="0.25">
      <c r="E9" s="192" t="s">
        <v>188</v>
      </c>
      <c r="F9" s="195">
        <v>3.04E-2</v>
      </c>
      <c r="H9" s="192" t="s">
        <v>188</v>
      </c>
      <c r="I9" s="195">
        <v>0.10680000000000001</v>
      </c>
      <c r="K9" s="192" t="s">
        <v>188</v>
      </c>
      <c r="L9" s="195">
        <v>0.1227</v>
      </c>
      <c r="N9" s="192" t="s">
        <v>188</v>
      </c>
      <c r="O9" s="195">
        <v>0</v>
      </c>
      <c r="Q9" s="192" t="s">
        <v>188</v>
      </c>
      <c r="R9" s="195">
        <v>0.14910000000000001</v>
      </c>
    </row>
    <row r="10" spans="5:18" ht="15.75" x14ac:dyDescent="0.25">
      <c r="E10" s="192" t="s">
        <v>39</v>
      </c>
      <c r="F10" s="195">
        <v>3.2300000000000002E-2</v>
      </c>
      <c r="H10" s="192" t="s">
        <v>39</v>
      </c>
      <c r="I10" s="195">
        <v>1.3299999999999999E-2</v>
      </c>
      <c r="K10" s="192" t="s">
        <v>39</v>
      </c>
      <c r="L10" s="195">
        <v>7.1800000000000003E-2</v>
      </c>
      <c r="N10" s="192" t="s">
        <v>39</v>
      </c>
      <c r="O10" s="195">
        <v>0</v>
      </c>
      <c r="Q10" s="192" t="s">
        <v>39</v>
      </c>
      <c r="R10" s="195">
        <v>0</v>
      </c>
    </row>
    <row r="11" spans="5:18" ht="15.75" x14ac:dyDescent="0.25">
      <c r="E11" s="192" t="s">
        <v>67</v>
      </c>
      <c r="F11" s="195">
        <v>0.125</v>
      </c>
      <c r="H11" s="192" t="s">
        <v>67</v>
      </c>
      <c r="I11" s="195">
        <v>2E-3</v>
      </c>
      <c r="K11" s="192" t="s">
        <v>67</v>
      </c>
      <c r="L11" s="195">
        <v>0</v>
      </c>
      <c r="N11" s="192" t="s">
        <v>67</v>
      </c>
      <c r="O11" s="195">
        <v>0</v>
      </c>
      <c r="Q11" s="192" t="s">
        <v>67</v>
      </c>
      <c r="R11" s="195">
        <v>2.5000000000000001E-2</v>
      </c>
    </row>
    <row r="12" spans="5:18" ht="15.75" x14ac:dyDescent="0.25">
      <c r="E12" s="192" t="s">
        <v>169</v>
      </c>
      <c r="F12" s="195">
        <v>0</v>
      </c>
      <c r="H12" s="192" t="s">
        <v>169</v>
      </c>
      <c r="I12" s="195">
        <v>0</v>
      </c>
      <c r="K12" s="192" t="s">
        <v>169</v>
      </c>
      <c r="L12" s="195">
        <v>0</v>
      </c>
      <c r="N12" s="192" t="s">
        <v>169</v>
      </c>
      <c r="O12" s="195">
        <v>5.11E-2</v>
      </c>
      <c r="Q12" s="192" t="s">
        <v>169</v>
      </c>
      <c r="R12" s="195">
        <v>0</v>
      </c>
    </row>
    <row r="13" spans="5:18" ht="15.75" x14ac:dyDescent="0.25">
      <c r="E13" s="192" t="s">
        <v>189</v>
      </c>
      <c r="F13" s="195">
        <v>3.5799999999999998E-2</v>
      </c>
      <c r="H13" s="192" t="s">
        <v>189</v>
      </c>
      <c r="I13" s="195">
        <v>1.84E-2</v>
      </c>
      <c r="K13" s="192" t="s">
        <v>189</v>
      </c>
      <c r="L13" s="195">
        <v>1.34E-2</v>
      </c>
      <c r="N13" s="192" t="s">
        <v>189</v>
      </c>
      <c r="O13" s="195"/>
      <c r="Q13" s="192" t="s">
        <v>189</v>
      </c>
      <c r="R13" s="195">
        <v>7.5800000000000006E-2</v>
      </c>
    </row>
    <row r="14" spans="5:18" ht="15.75" x14ac:dyDescent="0.25">
      <c r="E14" s="192" t="s">
        <v>193</v>
      </c>
      <c r="F14" s="195">
        <v>0</v>
      </c>
      <c r="H14" s="192" t="s">
        <v>193</v>
      </c>
      <c r="I14" s="195">
        <v>0</v>
      </c>
      <c r="K14" s="192" t="s">
        <v>193</v>
      </c>
      <c r="L14" s="195">
        <v>0</v>
      </c>
      <c r="N14" s="192" t="s">
        <v>193</v>
      </c>
      <c r="O14" s="195">
        <v>0.25</v>
      </c>
      <c r="Q14" s="192" t="s">
        <v>193</v>
      </c>
      <c r="R14" s="195">
        <v>4.7999999999999996E-3</v>
      </c>
    </row>
    <row r="25" spans="2:11" ht="21" customHeight="1" x14ac:dyDescent="0.25">
      <c r="B25" s="201" t="s">
        <v>51</v>
      </c>
      <c r="C25" s="194" t="s">
        <v>190</v>
      </c>
    </row>
    <row r="26" spans="2:11" ht="30.75" customHeight="1" x14ac:dyDescent="0.25">
      <c r="B26" s="203" t="s">
        <v>186</v>
      </c>
      <c r="C26" s="202">
        <v>1.44E-2</v>
      </c>
      <c r="F26" s="204"/>
      <c r="G26" s="201" t="s">
        <v>201</v>
      </c>
      <c r="H26" s="201" t="s">
        <v>202</v>
      </c>
      <c r="I26" s="208" t="s">
        <v>203</v>
      </c>
      <c r="J26" s="208" t="s">
        <v>204</v>
      </c>
      <c r="K26" s="201" t="s">
        <v>205</v>
      </c>
    </row>
    <row r="27" spans="2:11" ht="23.25" customHeight="1" x14ac:dyDescent="0.25">
      <c r="B27" s="203" t="s">
        <v>114</v>
      </c>
      <c r="C27" s="202">
        <v>1.6199999999999999E-2</v>
      </c>
      <c r="F27" s="203" t="s">
        <v>206</v>
      </c>
      <c r="G27" s="206">
        <v>273</v>
      </c>
      <c r="H27" s="206">
        <v>270</v>
      </c>
      <c r="I27" s="206">
        <v>0</v>
      </c>
      <c r="J27" s="206">
        <v>3</v>
      </c>
      <c r="K27" s="207">
        <v>0.98899999999999999</v>
      </c>
    </row>
    <row r="28" spans="2:11" ht="23.25" customHeight="1" x14ac:dyDescent="0.25">
      <c r="B28" s="203" t="s">
        <v>187</v>
      </c>
      <c r="C28" s="202">
        <v>0</v>
      </c>
      <c r="F28" s="203" t="s">
        <v>207</v>
      </c>
      <c r="G28" s="206">
        <v>542</v>
      </c>
      <c r="H28" s="206">
        <v>533</v>
      </c>
      <c r="I28" s="206">
        <v>0</v>
      </c>
      <c r="J28" s="206">
        <v>9</v>
      </c>
      <c r="K28" s="207">
        <v>0.98340000000000005</v>
      </c>
    </row>
    <row r="29" spans="2:11" ht="18" customHeight="1" x14ac:dyDescent="0.25">
      <c r="B29" s="203" t="s">
        <v>188</v>
      </c>
      <c r="C29" s="202">
        <v>0.14910000000000001</v>
      </c>
      <c r="F29" s="205"/>
    </row>
    <row r="30" spans="2:11" ht="18" customHeight="1" x14ac:dyDescent="0.25">
      <c r="B30" s="203" t="s">
        <v>39</v>
      </c>
      <c r="C30" s="202">
        <v>0</v>
      </c>
    </row>
    <row r="31" spans="2:11" ht="18" customHeight="1" x14ac:dyDescent="0.25">
      <c r="B31" s="203" t="s">
        <v>67</v>
      </c>
      <c r="C31" s="202">
        <v>2.5000000000000001E-2</v>
      </c>
    </row>
    <row r="32" spans="2:11" ht="18" customHeight="1" x14ac:dyDescent="0.25">
      <c r="B32" s="203" t="s">
        <v>169</v>
      </c>
      <c r="C32" s="202">
        <v>0</v>
      </c>
    </row>
    <row r="33" spans="2:3" ht="18" customHeight="1" x14ac:dyDescent="0.25">
      <c r="B33" s="203" t="s">
        <v>189</v>
      </c>
      <c r="C33" s="202">
        <v>7.5800000000000006E-2</v>
      </c>
    </row>
    <row r="34" spans="2:3" ht="18" customHeight="1" x14ac:dyDescent="0.25">
      <c r="B34" s="203" t="s">
        <v>193</v>
      </c>
      <c r="C34" s="202">
        <v>4.7999999999999996E-3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6"/>
  <dimension ref="B1:J72"/>
  <sheetViews>
    <sheetView workbookViewId="0">
      <pane ySplit="4" topLeftCell="A17" activePane="bottomLeft" state="frozen"/>
      <selection pane="bottomLeft" activeCell="F43" sqref="F43"/>
    </sheetView>
  </sheetViews>
  <sheetFormatPr baseColWidth="10" defaultRowHeight="15" x14ac:dyDescent="0.25"/>
  <cols>
    <col min="3" max="3" width="16" style="6" customWidth="1"/>
    <col min="4" max="4" width="16" style="15" customWidth="1"/>
    <col min="5" max="5" width="34" style="15" bestFit="1" customWidth="1"/>
    <col min="6" max="6" width="32.42578125" style="15" bestFit="1" customWidth="1"/>
    <col min="7" max="7" width="19.5703125" style="15" customWidth="1"/>
    <col min="8" max="8" width="18.42578125" style="15" customWidth="1"/>
    <col min="9" max="9" width="25.42578125" style="15" customWidth="1"/>
    <col min="10" max="10" width="24.42578125" style="15" customWidth="1"/>
  </cols>
  <sheetData>
    <row r="1" spans="2:10" x14ac:dyDescent="0.25">
      <c r="C1" s="15"/>
    </row>
    <row r="2" spans="2:10" x14ac:dyDescent="0.25">
      <c r="C2" s="15"/>
    </row>
    <row r="4" spans="2:10" ht="15.75" thickBot="1" x14ac:dyDescent="0.3">
      <c r="C4" s="35" t="s">
        <v>28</v>
      </c>
      <c r="D4" s="28" t="s">
        <v>51</v>
      </c>
      <c r="E4" s="28" t="s">
        <v>52</v>
      </c>
      <c r="F4" s="28" t="s">
        <v>53</v>
      </c>
      <c r="G4" s="28" t="s">
        <v>54</v>
      </c>
      <c r="H4" s="28" t="s">
        <v>55</v>
      </c>
      <c r="I4" s="28" t="s">
        <v>56</v>
      </c>
      <c r="J4" s="28" t="s">
        <v>57</v>
      </c>
    </row>
    <row r="5" spans="2:10" ht="18.75" thickBot="1" x14ac:dyDescent="0.3">
      <c r="B5" s="39">
        <f ca="1">TEXT(TODAY(),"jj/mm/aaaa")*1</f>
        <v>44752</v>
      </c>
      <c r="C5" s="36" t="e">
        <f>VLOOKUP(Tableau132[[#This Row],[Nom et Prénom du salarié]],Annuaire_roster!B:F,5,0)</f>
        <v>#N/A</v>
      </c>
      <c r="D5" s="29" t="s">
        <v>73</v>
      </c>
      <c r="E5" s="58" t="s">
        <v>72</v>
      </c>
      <c r="F5" s="58" t="s">
        <v>40</v>
      </c>
      <c r="G5" s="59">
        <v>43242</v>
      </c>
      <c r="H5" s="59">
        <v>43243</v>
      </c>
      <c r="I5" s="60">
        <v>43243</v>
      </c>
      <c r="J5" s="37" t="str">
        <f>Tableau132[[#This Row],[Date de reprise]]-Tableau132[[#This Row],[Date début de l''arrêt]] &amp; "j"</f>
        <v>1j</v>
      </c>
    </row>
    <row r="6" spans="2:10" ht="18.75" thickBot="1" x14ac:dyDescent="0.3">
      <c r="C6" s="36" t="e">
        <f>VLOOKUP(Tableau132[[#This Row],[Nom et Prénom du salarié]],Annuaire_roster!B:F,5,0)</f>
        <v>#N/A</v>
      </c>
      <c r="D6" s="29" t="s">
        <v>73</v>
      </c>
      <c r="E6" s="58" t="s">
        <v>72</v>
      </c>
      <c r="F6" s="58" t="s">
        <v>42</v>
      </c>
      <c r="G6" s="59">
        <v>43242</v>
      </c>
      <c r="H6" s="59">
        <v>43251</v>
      </c>
      <c r="I6" s="60">
        <v>43243</v>
      </c>
      <c r="J6" s="37" t="str">
        <f>Tableau132[[#This Row],[Date de reprise]]-Tableau132[[#This Row],[Date début de l''arrêt]] &amp; "j"</f>
        <v>9j</v>
      </c>
    </row>
    <row r="7" spans="2:10" ht="18.75" thickBot="1" x14ac:dyDescent="0.3">
      <c r="C7" s="36" t="e">
        <f>VLOOKUP(Tableau132[[#This Row],[Nom et Prénom du salarié]],Annuaire_roster!B:F,5,0)</f>
        <v>#N/A</v>
      </c>
      <c r="D7" s="29" t="s">
        <v>73</v>
      </c>
      <c r="E7" s="58" t="s">
        <v>72</v>
      </c>
      <c r="F7" s="58" t="s">
        <v>66</v>
      </c>
      <c r="G7" s="43">
        <v>43250</v>
      </c>
      <c r="H7" s="44">
        <v>43251</v>
      </c>
      <c r="I7" s="60">
        <v>43250</v>
      </c>
      <c r="J7" s="37" t="str">
        <f>Tableau132[[#This Row],[Date de reprise]]-Tableau132[[#This Row],[Date début de l''arrêt]] &amp; "j"</f>
        <v>1j</v>
      </c>
    </row>
    <row r="8" spans="2:10" ht="18.75" thickBot="1" x14ac:dyDescent="0.3">
      <c r="C8" s="36" t="e">
        <f>VLOOKUP(Tableau132[[#This Row],[Nom et Prénom du salarié]],Annuaire_roster!B:F,5,0)</f>
        <v>#N/A</v>
      </c>
      <c r="D8" s="29" t="s">
        <v>73</v>
      </c>
      <c r="E8" s="58" t="s">
        <v>60</v>
      </c>
      <c r="F8" s="58" t="s">
        <v>64</v>
      </c>
      <c r="G8" s="43">
        <v>43250</v>
      </c>
      <c r="H8" s="44">
        <v>43254</v>
      </c>
      <c r="I8" s="60">
        <v>43250</v>
      </c>
      <c r="J8" s="37" t="str">
        <f>Tableau132[[#This Row],[Date de reprise]]-Tableau132[[#This Row],[Date début de l''arrêt]] &amp; "j"</f>
        <v>4j</v>
      </c>
    </row>
    <row r="9" spans="2:10" ht="18.75" thickBot="1" x14ac:dyDescent="0.3">
      <c r="C9" s="36" t="e">
        <f>VLOOKUP(Tableau132[[#This Row],[Nom et Prénom du salarié]],Annuaire_roster!B:F,5,0)</f>
        <v>#N/A</v>
      </c>
      <c r="D9" s="29" t="s">
        <v>73</v>
      </c>
      <c r="E9" s="58" t="s">
        <v>60</v>
      </c>
      <c r="F9" s="58" t="s">
        <v>43</v>
      </c>
      <c r="G9" s="43">
        <v>43250</v>
      </c>
      <c r="H9" s="44">
        <v>43251</v>
      </c>
      <c r="I9" s="60">
        <v>43250</v>
      </c>
      <c r="J9" s="37" t="str">
        <f>Tableau132[[#This Row],[Date de reprise]]-Tableau132[[#This Row],[Date début de l''arrêt]] &amp; "j"</f>
        <v>1j</v>
      </c>
    </row>
    <row r="10" spans="2:10" ht="18.75" thickBot="1" x14ac:dyDescent="0.3">
      <c r="C10" s="36" t="e">
        <f>VLOOKUP(Tableau132[[#This Row],[Nom et Prénom du salarié]],Annuaire_roster!B:F,5,0)</f>
        <v>#N/A</v>
      </c>
      <c r="D10" s="29" t="s">
        <v>73</v>
      </c>
      <c r="E10" s="58" t="s">
        <v>60</v>
      </c>
      <c r="F10" s="58" t="s">
        <v>58</v>
      </c>
      <c r="G10" s="43">
        <v>43250</v>
      </c>
      <c r="H10" s="44">
        <v>43251</v>
      </c>
      <c r="I10" s="60">
        <v>43250</v>
      </c>
      <c r="J10" s="37" t="str">
        <f>Tableau132[[#This Row],[Date de reprise]]-Tableau132[[#This Row],[Date début de l''arrêt]] &amp; "j"</f>
        <v>1j</v>
      </c>
    </row>
    <row r="11" spans="2:10" ht="18.75" thickBot="1" x14ac:dyDescent="0.3">
      <c r="C11" s="36" t="e">
        <f>VLOOKUP(Tableau132[[#This Row],[Nom et Prénom du salarié]],Annuaire_roster!B:F,5,0)</f>
        <v>#N/A</v>
      </c>
      <c r="D11" s="29" t="s">
        <v>73</v>
      </c>
      <c r="E11" s="58" t="s">
        <v>60</v>
      </c>
      <c r="F11" s="58" t="s">
        <v>42</v>
      </c>
      <c r="G11" s="59">
        <v>43252</v>
      </c>
      <c r="H11" s="59">
        <v>43266</v>
      </c>
      <c r="I11" s="60">
        <v>43253</v>
      </c>
      <c r="J11" s="37" t="str">
        <f>Tableau132[[#This Row],[Date de reprise]]-Tableau132[[#This Row],[Date début de l''arrêt]] &amp; "j"</f>
        <v>14j</v>
      </c>
    </row>
    <row r="12" spans="2:10" ht="18.75" thickBot="1" x14ac:dyDescent="0.3">
      <c r="C12" s="36" t="e">
        <f>VLOOKUP(Tableau132[[#This Row],[Nom et Prénom du salarié]],Annuaire_roster!B:F,5,0)</f>
        <v>#N/A</v>
      </c>
      <c r="D12" s="29" t="s">
        <v>73</v>
      </c>
      <c r="E12" s="58" t="s">
        <v>72</v>
      </c>
      <c r="F12" s="58" t="s">
        <v>43</v>
      </c>
      <c r="G12" s="43">
        <v>43270</v>
      </c>
      <c r="H12" s="44">
        <v>43271</v>
      </c>
      <c r="I12" s="60">
        <v>43271</v>
      </c>
      <c r="J12" s="37" t="str">
        <f>Tableau132[[#This Row],[Date de reprise]]-Tableau132[[#This Row],[Date début de l''arrêt]] &amp; "j"</f>
        <v>1j</v>
      </c>
    </row>
    <row r="13" spans="2:10" ht="18.75" thickBot="1" x14ac:dyDescent="0.3">
      <c r="C13" s="36" t="e">
        <f>VLOOKUP(Tableau132[[#This Row],[Nom et Prénom du salarié]],Annuaire_roster!B:F,5,0)</f>
        <v>#N/A</v>
      </c>
      <c r="D13" s="29" t="s">
        <v>73</v>
      </c>
      <c r="E13" s="58" t="s">
        <v>72</v>
      </c>
      <c r="F13" s="58" t="s">
        <v>66</v>
      </c>
      <c r="G13" s="43">
        <v>43268</v>
      </c>
      <c r="H13" s="44">
        <v>43269</v>
      </c>
      <c r="I13" s="60">
        <v>43269</v>
      </c>
      <c r="J13" s="37" t="str">
        <f>Tableau132[[#This Row],[Date de reprise]]-Tableau132[[#This Row],[Date début de l''arrêt]] &amp; "j"</f>
        <v>1j</v>
      </c>
    </row>
    <row r="14" spans="2:10" ht="17.25" thickBot="1" x14ac:dyDescent="0.3">
      <c r="C14" s="36" t="e">
        <f>VLOOKUP(Tableau132[[#This Row],[Nom et Prénom du salarié]],Annuaire_roster!B:F,5,0)</f>
        <v>#N/A</v>
      </c>
      <c r="D14" s="29" t="s">
        <v>73</v>
      </c>
      <c r="E14" s="78" t="s">
        <v>72</v>
      </c>
      <c r="F14" s="78" t="s">
        <v>65</v>
      </c>
      <c r="G14" s="44">
        <v>43268</v>
      </c>
      <c r="H14" s="44">
        <v>43273</v>
      </c>
      <c r="I14" s="78" t="s">
        <v>75</v>
      </c>
      <c r="J14" s="37" t="str">
        <f>Tableau132[[#This Row],[Date de reprise]]-Tableau132[[#This Row],[Date début de l''arrêt]] &amp; "j"</f>
        <v>5j</v>
      </c>
    </row>
    <row r="15" spans="2:10" ht="17.25" thickBot="1" x14ac:dyDescent="0.3">
      <c r="C15" s="36" t="e">
        <f>VLOOKUP(Tableau132[[#This Row],[Nom et Prénom du salarié]],Annuaire_roster!B:F,5,0)</f>
        <v>#N/A</v>
      </c>
      <c r="D15" s="29" t="s">
        <v>73</v>
      </c>
      <c r="E15" s="78" t="s">
        <v>72</v>
      </c>
      <c r="F15" s="78" t="s">
        <v>64</v>
      </c>
      <c r="G15" s="34">
        <v>43272</v>
      </c>
      <c r="H15" s="44">
        <v>43273</v>
      </c>
      <c r="I15" s="34">
        <v>43272</v>
      </c>
      <c r="J15" s="37" t="str">
        <f>Tableau132[[#This Row],[Date de reprise]]-Tableau132[[#This Row],[Date début de l''arrêt]] &amp; "j"</f>
        <v>1j</v>
      </c>
    </row>
    <row r="16" spans="2:10" ht="17.25" thickBot="1" x14ac:dyDescent="0.3">
      <c r="C16" s="36" t="e">
        <f>VLOOKUP(Tableau132[[#This Row],[Nom et Prénom du salarié]],Annuaire_roster!B:F,5,0)</f>
        <v>#N/A</v>
      </c>
      <c r="D16" s="29" t="s">
        <v>73</v>
      </c>
      <c r="E16" s="78" t="s">
        <v>72</v>
      </c>
      <c r="F16" s="58" t="s">
        <v>66</v>
      </c>
      <c r="G16" s="34">
        <v>43270</v>
      </c>
      <c r="H16" s="44">
        <v>43272</v>
      </c>
      <c r="I16" s="34">
        <v>43272</v>
      </c>
      <c r="J16" s="37" t="str">
        <f>Tableau132[[#This Row],[Date de reprise]]-Tableau132[[#This Row],[Date début de l''arrêt]] &amp; "j"</f>
        <v>2j</v>
      </c>
    </row>
    <row r="17" spans="3:10" ht="18.75" thickBot="1" x14ac:dyDescent="0.3">
      <c r="C17" s="36" t="e">
        <f>VLOOKUP(Tableau132[[#This Row],[Nom et Prénom du salarié]],Annuaire_roster!B:F,5,0)</f>
        <v>#N/A</v>
      </c>
      <c r="D17" s="29" t="s">
        <v>73</v>
      </c>
      <c r="E17" s="78" t="s">
        <v>72</v>
      </c>
      <c r="F17" s="78" t="s">
        <v>68</v>
      </c>
      <c r="G17" s="79">
        <v>43273</v>
      </c>
      <c r="H17" s="79">
        <v>43274</v>
      </c>
      <c r="I17" s="34">
        <v>43273</v>
      </c>
      <c r="J17" s="37" t="str">
        <f>Tableau132[[#This Row],[Date de reprise]]-Tableau132[[#This Row],[Date début de l''arrêt]] &amp; "j"</f>
        <v>1j</v>
      </c>
    </row>
    <row r="18" spans="3:10" ht="18.75" thickBot="1" x14ac:dyDescent="0.3">
      <c r="C18" s="36" t="e">
        <f>VLOOKUP(Tableau132[[#This Row],[Nom et Prénom du salarié]],Annuaire_roster!B:F,5,0)</f>
        <v>#N/A</v>
      </c>
      <c r="D18" s="29" t="s">
        <v>73</v>
      </c>
      <c r="E18" s="78" t="s">
        <v>72</v>
      </c>
      <c r="F18" s="58" t="s">
        <v>43</v>
      </c>
      <c r="G18" s="34">
        <v>43289</v>
      </c>
      <c r="H18" s="79">
        <v>43290</v>
      </c>
      <c r="I18" s="34">
        <v>43292</v>
      </c>
      <c r="J18" s="37" t="str">
        <f>Tableau132[[#This Row],[Date de reprise]]-Tableau132[[#This Row],[Date début de l''arrêt]] &amp; "j"</f>
        <v>1j</v>
      </c>
    </row>
    <row r="19" spans="3:10" ht="18.75" thickBot="1" x14ac:dyDescent="0.3">
      <c r="C19" s="36" t="e">
        <f>VLOOKUP(Tableau132[[#This Row],[Nom et Prénom du salarié]],Annuaire_roster!B:F,5,0)</f>
        <v>#N/A</v>
      </c>
      <c r="D19" s="29" t="s">
        <v>73</v>
      </c>
      <c r="E19" s="78" t="s">
        <v>72</v>
      </c>
      <c r="F19" s="58" t="s">
        <v>63</v>
      </c>
      <c r="G19" s="34">
        <v>43291</v>
      </c>
      <c r="H19" s="79">
        <v>43292</v>
      </c>
      <c r="I19" s="34">
        <v>43292</v>
      </c>
      <c r="J19" s="37" t="str">
        <f>Tableau132[[#This Row],[Date de reprise]]-Tableau132[[#This Row],[Date début de l''arrêt]] &amp; "j"</f>
        <v>1j</v>
      </c>
    </row>
    <row r="20" spans="3:10" ht="18.75" thickBot="1" x14ac:dyDescent="0.3">
      <c r="C20" s="36" t="e">
        <f>VLOOKUP(Tableau132[[#This Row],[Nom et Prénom du salarié]],Annuaire_roster!B:F,5,0)</f>
        <v>#N/A</v>
      </c>
      <c r="D20" s="29" t="s">
        <v>73</v>
      </c>
      <c r="E20" s="78" t="s">
        <v>72</v>
      </c>
      <c r="F20" s="58" t="s">
        <v>68</v>
      </c>
      <c r="G20" s="34">
        <v>43291</v>
      </c>
      <c r="H20" s="79">
        <v>43294</v>
      </c>
      <c r="I20" s="79">
        <v>43293</v>
      </c>
      <c r="J20" s="37" t="str">
        <f>Tableau132[[#This Row],[Date de reprise]]-Tableau132[[#This Row],[Date début de l''arrêt]] &amp; "j"</f>
        <v>3j</v>
      </c>
    </row>
    <row r="21" spans="3:10" ht="18.75" thickBot="1" x14ac:dyDescent="0.3">
      <c r="C21" s="36" t="e">
        <f>VLOOKUP(Tableau132[[#This Row],[Nom et Prénom du salarié]],Annuaire_roster!B:F,5,0)</f>
        <v>#N/A</v>
      </c>
      <c r="D21" s="29" t="s">
        <v>73</v>
      </c>
      <c r="E21" s="78" t="s">
        <v>72</v>
      </c>
      <c r="F21" s="58" t="s">
        <v>42</v>
      </c>
      <c r="G21" s="30">
        <v>43293</v>
      </c>
      <c r="H21" s="79">
        <v>43294</v>
      </c>
      <c r="I21" s="79">
        <v>43293</v>
      </c>
      <c r="J21" s="37" t="str">
        <f>Tableau132[[#This Row],[Date de reprise]]-Tableau132[[#This Row],[Date début de l''arrêt]] &amp; "j"</f>
        <v>1j</v>
      </c>
    </row>
    <row r="22" spans="3:10" ht="18.75" thickBot="1" x14ac:dyDescent="0.3">
      <c r="C22" s="36" t="e">
        <f>VLOOKUP(Tableau132[[#This Row],[Nom et Prénom du salarié]],Annuaire_roster!B:F,5,0)</f>
        <v>#N/A</v>
      </c>
      <c r="D22" s="81" t="s">
        <v>73</v>
      </c>
      <c r="E22" s="78" t="s">
        <v>77</v>
      </c>
      <c r="F22" s="58" t="s">
        <v>42</v>
      </c>
      <c r="G22" s="79">
        <v>43298</v>
      </c>
      <c r="H22" s="79">
        <v>43299</v>
      </c>
      <c r="I22" s="34">
        <v>43299</v>
      </c>
      <c r="J22" s="37" t="str">
        <f>Tableau132[[#This Row],[Date de reprise]]-Tableau132[[#This Row],[Date début de l''arrêt]] &amp; "j"</f>
        <v>1j</v>
      </c>
    </row>
    <row r="23" spans="3:10" ht="17.25" thickBot="1" x14ac:dyDescent="0.3">
      <c r="C23" s="36" t="e">
        <f>VLOOKUP(Tableau132[[#This Row],[Nom et Prénom du salarié]],Annuaire_roster!B:F,5,0)</f>
        <v>#N/A</v>
      </c>
      <c r="D23" s="81" t="s">
        <v>73</v>
      </c>
      <c r="E23" s="78" t="s">
        <v>77</v>
      </c>
      <c r="F23" s="58" t="s">
        <v>40</v>
      </c>
      <c r="G23" s="34">
        <v>43299</v>
      </c>
      <c r="H23" s="34">
        <v>43300</v>
      </c>
      <c r="I23" s="34">
        <v>43300</v>
      </c>
      <c r="J23" s="37" t="str">
        <f>Tableau132[[#This Row],[Date de reprise]]-Tableau132[[#This Row],[Date début de l''arrêt]] &amp; "j"</f>
        <v>1j</v>
      </c>
    </row>
    <row r="24" spans="3:10" ht="17.25" thickBot="1" x14ac:dyDescent="0.3">
      <c r="C24" s="36" t="e">
        <f>VLOOKUP(Tableau132[[#This Row],[Nom et Prénom du salarié]],Annuaire_roster!B:F,5,0)</f>
        <v>#N/A</v>
      </c>
      <c r="D24" s="81" t="s">
        <v>73</v>
      </c>
      <c r="E24" s="78" t="s">
        <v>77</v>
      </c>
      <c r="F24" s="58" t="s">
        <v>44</v>
      </c>
      <c r="G24" s="34">
        <v>43305</v>
      </c>
      <c r="H24" s="34">
        <v>43306</v>
      </c>
      <c r="I24" s="34">
        <v>43305</v>
      </c>
      <c r="J24" s="37" t="str">
        <f>Tableau132[[#This Row],[Date de reprise]]-Tableau132[[#This Row],[Date début de l''arrêt]] &amp; "j"</f>
        <v>1j</v>
      </c>
    </row>
    <row r="25" spans="3:10" ht="17.25" thickBot="1" x14ac:dyDescent="0.3">
      <c r="C25" s="36" t="e">
        <f>VLOOKUP(Tableau132[[#This Row],[Nom et Prénom du salarié]],Annuaire_roster!B:F,5,0)</f>
        <v>#N/A</v>
      </c>
      <c r="D25" s="81" t="s">
        <v>73</v>
      </c>
      <c r="E25" s="78" t="s">
        <v>77</v>
      </c>
      <c r="F25" s="58" t="s">
        <v>69</v>
      </c>
      <c r="G25" s="34">
        <v>43305</v>
      </c>
      <c r="H25" s="34">
        <v>43306</v>
      </c>
      <c r="I25" s="34">
        <v>43306</v>
      </c>
      <c r="J25" s="37" t="str">
        <f>Tableau132[[#This Row],[Date de reprise]]-Tableau132[[#This Row],[Date début de l''arrêt]] &amp; "j"</f>
        <v>1j</v>
      </c>
    </row>
    <row r="26" spans="3:10" ht="17.25" thickBot="1" x14ac:dyDescent="0.3">
      <c r="C26" s="36" t="e">
        <f>VLOOKUP(Tableau132[[#This Row],[Nom et Prénom du salarié]],Annuaire_roster!B:F,5,0)</f>
        <v>#N/A</v>
      </c>
      <c r="D26" s="81" t="s">
        <v>73</v>
      </c>
      <c r="E26" s="78" t="s">
        <v>77</v>
      </c>
      <c r="F26" s="78" t="s">
        <v>64</v>
      </c>
      <c r="G26" s="34">
        <v>43306</v>
      </c>
      <c r="H26" s="34">
        <v>43311</v>
      </c>
      <c r="I26" s="34">
        <v>43307</v>
      </c>
      <c r="J26" s="37" t="str">
        <f>Tableau132[[#This Row],[Date de reprise]]-Tableau132[[#This Row],[Date début de l''arrêt]] &amp; "j"</f>
        <v>5j</v>
      </c>
    </row>
    <row r="27" spans="3:10" ht="18.75" thickBot="1" x14ac:dyDescent="0.3">
      <c r="C27" s="36" t="e">
        <f>VLOOKUP(Tableau132[[#This Row],[Nom et Prénom du salarié]],Annuaire_roster!B:F,5,0)</f>
        <v>#N/A</v>
      </c>
      <c r="D27" s="83" t="s">
        <v>73</v>
      </c>
      <c r="E27" s="58" t="s">
        <v>77</v>
      </c>
      <c r="F27" s="58" t="s">
        <v>58</v>
      </c>
      <c r="G27" s="79">
        <v>43316</v>
      </c>
      <c r="H27" s="59">
        <v>43317</v>
      </c>
      <c r="I27" s="84">
        <v>43319</v>
      </c>
      <c r="J27" s="37" t="str">
        <f>Tableau132[[#This Row],[Date de reprise]]-Tableau132[[#This Row],[Date début de l''arrêt]] &amp; "j"</f>
        <v>1j</v>
      </c>
    </row>
    <row r="28" spans="3:10" ht="18.75" thickBot="1" x14ac:dyDescent="0.3">
      <c r="C28" s="36" t="e">
        <f>VLOOKUP(Tableau132[[#This Row],[Nom et Prénom du salarié]],Annuaire_roster!B:F,5,0)</f>
        <v>#N/A</v>
      </c>
      <c r="D28" s="81" t="s">
        <v>73</v>
      </c>
      <c r="E28" s="78" t="s">
        <v>77</v>
      </c>
      <c r="F28" s="85" t="s">
        <v>43</v>
      </c>
      <c r="G28" s="79">
        <v>43327</v>
      </c>
      <c r="H28" s="79">
        <v>43356</v>
      </c>
      <c r="I28" s="78" t="s">
        <v>78</v>
      </c>
      <c r="J28" s="37" t="str">
        <f>Tableau132[[#This Row],[Date de reprise]]-Tableau132[[#This Row],[Date début de l''arrêt]] &amp; "j"</f>
        <v>29j</v>
      </c>
    </row>
    <row r="29" spans="3:10" ht="17.25" thickBot="1" x14ac:dyDescent="0.3">
      <c r="C29" s="36" t="e">
        <f>VLOOKUP(Tableau132[[#This Row],[Nom et Prénom du salarié]],Annuaire_roster!B:F,5,0)</f>
        <v>#N/A</v>
      </c>
      <c r="D29" s="81" t="s">
        <v>73</v>
      </c>
      <c r="E29" s="78" t="s">
        <v>77</v>
      </c>
      <c r="F29" s="58" t="s">
        <v>70</v>
      </c>
      <c r="G29" s="34">
        <v>43333</v>
      </c>
      <c r="H29" s="34">
        <v>43335</v>
      </c>
      <c r="I29" s="34">
        <v>43334</v>
      </c>
      <c r="J29" s="37" t="str">
        <f>Tableau132[[#This Row],[Date de reprise]]-Tableau132[[#This Row],[Date début de l''arrêt]] &amp; "j"</f>
        <v>2j</v>
      </c>
    </row>
    <row r="30" spans="3:10" ht="17.25" thickBot="1" x14ac:dyDescent="0.3">
      <c r="C30" s="36" t="e">
        <f>VLOOKUP(Tableau132[[#This Row],[Nom et Prénom du salarié]],Annuaire_roster!B:F,5,0)</f>
        <v>#N/A</v>
      </c>
      <c r="D30" s="81" t="s">
        <v>73</v>
      </c>
      <c r="E30" s="78" t="s">
        <v>77</v>
      </c>
      <c r="F30" s="58" t="s">
        <v>63</v>
      </c>
      <c r="G30" s="34">
        <v>43345</v>
      </c>
      <c r="H30" s="34">
        <v>43347</v>
      </c>
      <c r="I30" s="34">
        <v>43347</v>
      </c>
      <c r="J30" s="37" t="str">
        <f>Tableau132[[#This Row],[Date de reprise]]-Tableau132[[#This Row],[Date début de l''arrêt]] &amp; "j"</f>
        <v>2j</v>
      </c>
    </row>
    <row r="31" spans="3:10" ht="17.25" thickBot="1" x14ac:dyDescent="0.3">
      <c r="C31" s="36" t="e">
        <f>VLOOKUP(Tableau132[[#This Row],[Nom et Prénom du salarié]],Annuaire_roster!B:F,5,0)</f>
        <v>#N/A</v>
      </c>
      <c r="D31" s="81" t="s">
        <v>73</v>
      </c>
      <c r="E31" s="78" t="s">
        <v>77</v>
      </c>
      <c r="F31" s="58" t="s">
        <v>58</v>
      </c>
      <c r="G31" s="34">
        <v>43347</v>
      </c>
      <c r="H31" s="34">
        <v>43348</v>
      </c>
      <c r="I31" s="34">
        <v>43347</v>
      </c>
      <c r="J31" s="37" t="str">
        <f>Tableau132[[#This Row],[Date de reprise]]-Tableau132[[#This Row],[Date début de l''arrêt]] &amp; "j"</f>
        <v>1j</v>
      </c>
    </row>
    <row r="32" spans="3:10" ht="17.25" thickBot="1" x14ac:dyDescent="0.3">
      <c r="C32" s="36" t="e">
        <f>VLOOKUP(Tableau132[[#This Row],[Nom et Prénom du salarié]],Annuaire_roster!B:F,5,0)</f>
        <v>#N/A</v>
      </c>
      <c r="D32" s="29" t="s">
        <v>73</v>
      </c>
      <c r="E32" s="78" t="s">
        <v>72</v>
      </c>
      <c r="F32" s="58" t="s">
        <v>43</v>
      </c>
      <c r="G32" s="34">
        <v>43357</v>
      </c>
      <c r="H32" s="34">
        <v>43387</v>
      </c>
      <c r="I32" s="34">
        <v>43357</v>
      </c>
      <c r="J32" s="37" t="str">
        <f>Tableau132[[#This Row],[Date de reprise]]-Tableau132[[#This Row],[Date début de l''arrêt]] &amp; "j"</f>
        <v>30j</v>
      </c>
    </row>
    <row r="33" spans="3:10" ht="17.25" thickBot="1" x14ac:dyDescent="0.3">
      <c r="C33" s="36" t="e">
        <f>VLOOKUP(Tableau132[[#This Row],[Nom et Prénom du salarié]],Annuaire_roster!B:F,5,0)</f>
        <v>#N/A</v>
      </c>
      <c r="D33" s="29" t="s">
        <v>73</v>
      </c>
      <c r="E33" s="78" t="s">
        <v>72</v>
      </c>
      <c r="F33" s="58" t="s">
        <v>70</v>
      </c>
      <c r="G33" s="32">
        <v>43364</v>
      </c>
      <c r="H33" s="34">
        <v>43366</v>
      </c>
      <c r="I33" s="34">
        <v>43365</v>
      </c>
      <c r="J33" s="37" t="str">
        <f>Tableau132[[#This Row],[Date de reprise]]-Tableau132[[#This Row],[Date début de l''arrêt]] &amp; "j"</f>
        <v>2j</v>
      </c>
    </row>
    <row r="34" spans="3:10" x14ac:dyDescent="0.25">
      <c r="C34" s="36" t="e">
        <f>VLOOKUP(Tableau132[[#This Row],[Nom et Prénom du salarié]],Annuaire_roster!B:F,5,0)</f>
        <v>#N/A</v>
      </c>
      <c r="D34" s="33"/>
      <c r="E34" s="33"/>
      <c r="F34" s="29"/>
      <c r="G34" s="34"/>
      <c r="H34" s="34"/>
      <c r="I34" s="34"/>
      <c r="J34" s="37" t="str">
        <f>Tableau132[[#This Row],[Date de reprise]]-Tableau132[[#This Row],[Date début de l''arrêt]] &amp; "j"</f>
        <v>0j</v>
      </c>
    </row>
    <row r="35" spans="3:10" x14ac:dyDescent="0.25">
      <c r="C35" s="36" t="e">
        <f>VLOOKUP(Tableau132[[#This Row],[Nom et Prénom du salarié]],Annuaire_roster!B:F,5,0)</f>
        <v>#N/A</v>
      </c>
      <c r="D35" s="33"/>
      <c r="E35" s="33"/>
      <c r="F35" s="29"/>
      <c r="G35" s="34"/>
      <c r="H35" s="34"/>
      <c r="I35" s="34"/>
      <c r="J35" s="37" t="str">
        <f>Tableau132[[#This Row],[Date de reprise]]-Tableau132[[#This Row],[Date début de l''arrêt]] &amp; "j"</f>
        <v>0j</v>
      </c>
    </row>
    <row r="36" spans="3:10" x14ac:dyDescent="0.25">
      <c r="C36" s="36" t="e">
        <f>VLOOKUP(Tableau132[[#This Row],[Nom et Prénom du salarié]],Annuaire_roster!B:F,5,0)</f>
        <v>#N/A</v>
      </c>
      <c r="D36" s="33"/>
      <c r="E36" s="33"/>
      <c r="F36" s="29"/>
      <c r="G36" s="34"/>
      <c r="H36" s="34"/>
      <c r="I36" s="34"/>
      <c r="J36" s="37" t="str">
        <f>Tableau132[[#This Row],[Date de reprise]]-Tableau132[[#This Row],[Date début de l''arrêt]] &amp; "j"</f>
        <v>0j</v>
      </c>
    </row>
    <row r="37" spans="3:10" x14ac:dyDescent="0.25">
      <c r="C37" s="36" t="e">
        <f>VLOOKUP(Tableau132[[#This Row],[Nom et Prénom du salarié]],Annuaire_roster!B:F,5,0)</f>
        <v>#N/A</v>
      </c>
      <c r="D37" s="33"/>
      <c r="E37" s="33"/>
      <c r="F37" s="29"/>
      <c r="G37" s="34"/>
      <c r="H37" s="34"/>
      <c r="I37" s="34"/>
      <c r="J37" s="37" t="str">
        <f>Tableau132[[#This Row],[Date de reprise]]-Tableau132[[#This Row],[Date début de l''arrêt]] &amp; "j"</f>
        <v>0j</v>
      </c>
    </row>
    <row r="38" spans="3:10" x14ac:dyDescent="0.25">
      <c r="C38" s="36" t="e">
        <f>VLOOKUP(Tableau132[[#This Row],[Nom et Prénom du salarié]],Annuaire_roster!B:F,5,0)</f>
        <v>#N/A</v>
      </c>
      <c r="D38" s="33"/>
      <c r="E38" s="33"/>
      <c r="F38" s="29"/>
      <c r="G38" s="34"/>
      <c r="H38" s="34"/>
      <c r="I38" s="34"/>
      <c r="J38" s="37" t="str">
        <f>Tableau132[[#This Row],[Date de reprise]]-Tableau132[[#This Row],[Date début de l''arrêt]] &amp; "j"</f>
        <v>0j</v>
      </c>
    </row>
    <row r="39" spans="3:10" x14ac:dyDescent="0.25">
      <c r="C39" s="36" t="e">
        <f>VLOOKUP(Tableau132[[#This Row],[Nom et Prénom du salarié]],Annuaire_roster!B:F,5,0)</f>
        <v>#N/A</v>
      </c>
      <c r="D39" s="33"/>
      <c r="E39" s="33"/>
      <c r="F39" s="29"/>
      <c r="G39" s="34"/>
      <c r="H39" s="34"/>
      <c r="I39" s="34"/>
      <c r="J39" s="37" t="str">
        <f>Tableau132[[#This Row],[Date de reprise]]-Tableau132[[#This Row],[Date début de l''arrêt]] &amp; "j"</f>
        <v>0j</v>
      </c>
    </row>
    <row r="40" spans="3:10" x14ac:dyDescent="0.25">
      <c r="C40" s="36" t="e">
        <f>VLOOKUP(Tableau132[[#This Row],[Nom et Prénom du salarié]],Annuaire_roster!B:F,5,0)</f>
        <v>#N/A</v>
      </c>
      <c r="D40" s="33"/>
      <c r="E40" s="33"/>
      <c r="F40" s="29"/>
      <c r="G40" s="34"/>
      <c r="H40" s="34"/>
      <c r="I40" s="34"/>
      <c r="J40" s="37" t="str">
        <f>Tableau132[[#This Row],[Date de reprise]]-Tableau132[[#This Row],[Date début de l''arrêt]] &amp; "j"</f>
        <v>0j</v>
      </c>
    </row>
    <row r="41" spans="3:10" x14ac:dyDescent="0.25">
      <c r="C41" s="36" t="e">
        <f>VLOOKUP(Tableau132[[#This Row],[Nom et Prénom du salarié]],Annuaire_roster!B:F,5,0)</f>
        <v>#N/A</v>
      </c>
      <c r="D41" s="33"/>
      <c r="E41" s="33"/>
      <c r="F41" s="29"/>
      <c r="G41" s="34"/>
      <c r="H41" s="34"/>
      <c r="I41" s="34"/>
      <c r="J41" s="37" t="str">
        <f>Tableau132[[#This Row],[Date de reprise]]-Tableau132[[#This Row],[Date début de l''arrêt]] &amp; "j"</f>
        <v>0j</v>
      </c>
    </row>
    <row r="42" spans="3:10" x14ac:dyDescent="0.25">
      <c r="C42" s="36" t="e">
        <f>VLOOKUP(Tableau132[[#This Row],[Nom et Prénom du salarié]],Annuaire_roster!B:F,5,0)</f>
        <v>#N/A</v>
      </c>
      <c r="D42" s="33"/>
      <c r="E42" s="33"/>
      <c r="F42" s="29"/>
      <c r="G42" s="34"/>
      <c r="H42" s="34"/>
      <c r="I42" s="34"/>
      <c r="J42" s="37" t="str">
        <f>Tableau132[[#This Row],[Date de reprise]]-Tableau132[[#This Row],[Date début de l''arrêt]] &amp; "j"</f>
        <v>0j</v>
      </c>
    </row>
    <row r="43" spans="3:10" x14ac:dyDescent="0.25">
      <c r="C43" s="36" t="e">
        <f>VLOOKUP(Tableau132[[#This Row],[Nom et Prénom du salarié]],Annuaire_roster!B:F,5,0)</f>
        <v>#N/A</v>
      </c>
      <c r="D43" s="33"/>
      <c r="E43" s="33"/>
      <c r="F43" s="29"/>
      <c r="G43" s="34"/>
      <c r="H43" s="34"/>
      <c r="I43" s="34"/>
      <c r="J43" s="37" t="str">
        <f>Tableau132[[#This Row],[Date de reprise]]-Tableau132[[#This Row],[Date début de l''arrêt]] &amp; "j"</f>
        <v>0j</v>
      </c>
    </row>
    <row r="44" spans="3:10" x14ac:dyDescent="0.25">
      <c r="C44" s="36" t="e">
        <f>VLOOKUP(Tableau132[[#This Row],[Nom et Prénom du salarié]],Annuaire_roster!B:F,5,0)</f>
        <v>#N/A</v>
      </c>
      <c r="D44" s="33"/>
      <c r="E44" s="33"/>
      <c r="F44" s="29"/>
      <c r="G44" s="34"/>
      <c r="H44" s="34"/>
      <c r="I44" s="34"/>
      <c r="J44" s="37" t="str">
        <f>Tableau132[[#This Row],[Date de reprise]]-Tableau132[[#This Row],[Date début de l''arrêt]] &amp; "j"</f>
        <v>0j</v>
      </c>
    </row>
    <row r="45" spans="3:10" x14ac:dyDescent="0.25">
      <c r="C45" s="36" t="e">
        <f>VLOOKUP(Tableau132[[#This Row],[Nom et Prénom du salarié]],Annuaire_roster!B:F,5,0)</f>
        <v>#N/A</v>
      </c>
      <c r="D45" s="33"/>
      <c r="E45" s="33"/>
      <c r="F45" s="29"/>
      <c r="G45" s="34"/>
      <c r="H45" s="34"/>
      <c r="I45" s="34"/>
      <c r="J45" s="37" t="str">
        <f>Tableau132[[#This Row],[Date de reprise]]-Tableau132[[#This Row],[Date début de l''arrêt]] &amp; "j"</f>
        <v>0j</v>
      </c>
    </row>
    <row r="46" spans="3:10" x14ac:dyDescent="0.25">
      <c r="C46" s="36" t="e">
        <f>VLOOKUP(Tableau132[[#This Row],[Nom et Prénom du salarié]],Annuaire_roster!B:F,5,0)</f>
        <v>#N/A</v>
      </c>
      <c r="D46" s="33"/>
      <c r="E46" s="33"/>
      <c r="F46" s="29"/>
      <c r="G46" s="34"/>
      <c r="H46" s="34"/>
      <c r="I46" s="34"/>
      <c r="J46" s="37" t="str">
        <f>Tableau132[[#This Row],[Date de reprise]]-Tableau132[[#This Row],[Date début de l''arrêt]] &amp; "j"</f>
        <v>0j</v>
      </c>
    </row>
    <row r="47" spans="3:10" x14ac:dyDescent="0.25">
      <c r="C47" s="36" t="e">
        <f>VLOOKUP(Tableau132[[#This Row],[Nom et Prénom du salarié]],Annuaire_roster!B:F,5,0)</f>
        <v>#N/A</v>
      </c>
      <c r="D47" s="31"/>
      <c r="E47" s="33"/>
      <c r="F47" s="29"/>
      <c r="G47" s="34"/>
      <c r="H47" s="34"/>
      <c r="I47" s="34"/>
      <c r="J47" s="37" t="str">
        <f>Tableau132[[#This Row],[Date de reprise]]-Tableau132[[#This Row],[Date début de l''arrêt]] &amp; "j"</f>
        <v>0j</v>
      </c>
    </row>
    <row r="48" spans="3:10" x14ac:dyDescent="0.25">
      <c r="C48" s="36" t="e">
        <f>VLOOKUP(Tableau132[[#This Row],[Nom et Prénom du salarié]],Annuaire_roster!B:F,5,0)</f>
        <v>#N/A</v>
      </c>
      <c r="D48" s="31"/>
      <c r="E48" s="31"/>
      <c r="F48" s="29"/>
      <c r="G48" s="32"/>
      <c r="H48" s="32"/>
      <c r="I48" s="34"/>
      <c r="J48" s="37" t="str">
        <f>Tableau132[[#This Row],[Date de reprise]]-Tableau132[[#This Row],[Date début de l''arrêt]] &amp; "j"</f>
        <v>0j</v>
      </c>
    </row>
    <row r="49" spans="3:10" x14ac:dyDescent="0.25">
      <c r="C49" s="36" t="e">
        <f>VLOOKUP(Tableau132[[#This Row],[Nom et Prénom du salarié]],Annuaire_roster!B:F,5,0)</f>
        <v>#N/A</v>
      </c>
      <c r="D49" s="31"/>
      <c r="E49" s="33"/>
      <c r="F49" s="29"/>
      <c r="G49" s="32"/>
      <c r="H49" s="32"/>
      <c r="I49" s="32"/>
      <c r="J49" s="37" t="str">
        <f>Tableau132[[#This Row],[Date de reprise]]-Tableau132[[#This Row],[Date début de l''arrêt]] &amp; "j"</f>
        <v>0j</v>
      </c>
    </row>
    <row r="50" spans="3:10" x14ac:dyDescent="0.25">
      <c r="C50" s="36" t="e">
        <f>VLOOKUP(Tableau132[[#This Row],[Nom et Prénom du salarié]],Annuaire_roster!B:F,5,0)</f>
        <v>#N/A</v>
      </c>
      <c r="D50" s="31"/>
      <c r="E50" s="33"/>
      <c r="F50" s="29"/>
      <c r="G50" s="34"/>
      <c r="H50" s="34"/>
      <c r="I50" s="34"/>
      <c r="J50" s="37" t="str">
        <f>Tableau132[[#This Row],[Date de reprise]]-Tableau132[[#This Row],[Date début de l''arrêt]] &amp; "j"</f>
        <v>0j</v>
      </c>
    </row>
    <row r="51" spans="3:10" x14ac:dyDescent="0.25">
      <c r="C51" s="36" t="e">
        <f>VLOOKUP(Tableau132[[#This Row],[Nom et Prénom du salarié]],Annuaire_roster!B:F,5,0)</f>
        <v>#N/A</v>
      </c>
      <c r="D51" s="31"/>
      <c r="E51" s="33"/>
      <c r="F51" s="29"/>
      <c r="G51" s="34"/>
      <c r="H51" s="34"/>
      <c r="I51" s="34"/>
      <c r="J51" s="37" t="str">
        <f>Tableau132[[#This Row],[Date de reprise]]-Tableau132[[#This Row],[Date début de l''arrêt]] &amp; "j"</f>
        <v>0j</v>
      </c>
    </row>
    <row r="52" spans="3:10" x14ac:dyDescent="0.25">
      <c r="C52" s="36" t="e">
        <f>VLOOKUP(Tableau132[[#This Row],[Nom et Prénom du salarié]],Annuaire_roster!B:F,5,0)</f>
        <v>#N/A</v>
      </c>
      <c r="D52" s="31"/>
      <c r="E52" s="33"/>
      <c r="F52" s="29"/>
      <c r="G52" s="34"/>
      <c r="H52" s="34"/>
      <c r="I52" s="34"/>
      <c r="J52" s="37" t="str">
        <f>Tableau132[[#This Row],[Date de reprise]]-Tableau132[[#This Row],[Date début de l''arrêt]] &amp; "j"</f>
        <v>0j</v>
      </c>
    </row>
    <row r="53" spans="3:10" x14ac:dyDescent="0.25">
      <c r="C53" s="36" t="e">
        <f>VLOOKUP(Tableau132[[#This Row],[Nom et Prénom du salarié]],Annuaire_roster!B:F,5,0)</f>
        <v>#N/A</v>
      </c>
      <c r="D53" s="31"/>
      <c r="E53" s="33"/>
      <c r="F53" s="29"/>
      <c r="G53" s="34"/>
      <c r="H53" s="34"/>
      <c r="I53" s="34"/>
      <c r="J53" s="37" t="str">
        <f>Tableau132[[#This Row],[Date de reprise]]-Tableau132[[#This Row],[Date début de l''arrêt]] &amp; "j"</f>
        <v>0j</v>
      </c>
    </row>
    <row r="54" spans="3:10" x14ac:dyDescent="0.25">
      <c r="C54" s="36" t="e">
        <f>VLOOKUP(Tableau132[[#This Row],[Nom et Prénom du salarié]],Annuaire_roster!B:F,5,0)</f>
        <v>#N/A</v>
      </c>
      <c r="D54" s="31"/>
      <c r="E54" s="33"/>
      <c r="F54" s="29"/>
      <c r="G54" s="34"/>
      <c r="H54" s="34"/>
      <c r="I54" s="34"/>
      <c r="J54" s="37" t="str">
        <f>Tableau132[[#This Row],[Date de reprise]]-Tableau132[[#This Row],[Date début de l''arrêt]] &amp; "j"</f>
        <v>0j</v>
      </c>
    </row>
    <row r="55" spans="3:10" x14ac:dyDescent="0.25">
      <c r="C55" s="36" t="e">
        <f>VLOOKUP(Tableau132[[#This Row],[Nom et Prénom du salarié]],Annuaire_roster!B:F,5,0)</f>
        <v>#N/A</v>
      </c>
      <c r="D55" s="31"/>
      <c r="E55" s="31"/>
      <c r="F55" s="29"/>
      <c r="G55" s="32"/>
      <c r="H55" s="32"/>
      <c r="I55" s="32"/>
      <c r="J55" s="37" t="str">
        <f>Tableau132[[#This Row],[Date de reprise]]-Tableau132[[#This Row],[Date début de l''arrêt]] &amp; "j"</f>
        <v>0j</v>
      </c>
    </row>
    <row r="56" spans="3:10" x14ac:dyDescent="0.25">
      <c r="C56" s="36" t="e">
        <f>VLOOKUP(Tableau132[[#This Row],[Nom et Prénom du salarié]],Annuaire_roster!B:F,5,0)</f>
        <v>#N/A</v>
      </c>
      <c r="D56" s="31"/>
      <c r="E56" s="33"/>
      <c r="F56" s="29"/>
      <c r="G56" s="34"/>
      <c r="H56" s="34"/>
      <c r="I56" s="34"/>
      <c r="J56" s="37" t="str">
        <f>Tableau132[[#This Row],[Date de reprise]]-Tableau132[[#This Row],[Date début de l''arrêt]] &amp; "j"</f>
        <v>0j</v>
      </c>
    </row>
    <row r="57" spans="3:10" x14ac:dyDescent="0.25">
      <c r="C57" s="36" t="e">
        <f>VLOOKUP(Tableau132[[#This Row],[Nom et Prénom du salarié]],Annuaire_roster!B:F,5,0)</f>
        <v>#N/A</v>
      </c>
      <c r="D57" s="31"/>
      <c r="E57" s="33"/>
      <c r="F57" s="29"/>
      <c r="G57" s="34"/>
      <c r="H57" s="34"/>
      <c r="I57" s="34"/>
      <c r="J57" s="37" t="str">
        <f>Tableau132[[#This Row],[Date de reprise]]-Tableau132[[#This Row],[Date début de l''arrêt]] &amp; "j"</f>
        <v>0j</v>
      </c>
    </row>
    <row r="58" spans="3:10" x14ac:dyDescent="0.25">
      <c r="C58" s="36" t="e">
        <f>VLOOKUP(Tableau132[[#This Row],[Nom et Prénom du salarié]],Annuaire_roster!B:F,5,0)</f>
        <v>#N/A</v>
      </c>
      <c r="D58" s="31"/>
      <c r="E58" s="31"/>
      <c r="F58" s="29"/>
      <c r="G58" s="32"/>
      <c r="H58" s="32"/>
      <c r="I58" s="32"/>
      <c r="J58" s="37" t="str">
        <f>Tableau132[[#This Row],[Date de reprise]]-Tableau132[[#This Row],[Date début de l''arrêt]] &amp; "j"</f>
        <v>0j</v>
      </c>
    </row>
    <row r="59" spans="3:10" x14ac:dyDescent="0.25">
      <c r="C59" s="36" t="e">
        <f>VLOOKUP(Tableau132[[#This Row],[Nom et Prénom du salarié]],Annuaire_roster!B:F,5,0)</f>
        <v>#N/A</v>
      </c>
      <c r="D59" s="31"/>
      <c r="E59" s="31"/>
      <c r="F59" s="31"/>
      <c r="G59" s="32"/>
      <c r="H59" s="32"/>
      <c r="I59" s="32"/>
      <c r="J59" s="37" t="str">
        <f>Tableau132[[#This Row],[Date de reprise]]-Tableau132[[#This Row],[Date début de l''arrêt]] &amp; "j"</f>
        <v>0j</v>
      </c>
    </row>
    <row r="60" spans="3:10" x14ac:dyDescent="0.25">
      <c r="C60" s="36" t="e">
        <f>VLOOKUP(Tableau132[[#This Row],[Nom et Prénom du salarié]],Annuaire_roster!B:F,5,0)</f>
        <v>#N/A</v>
      </c>
      <c r="D60" s="31"/>
      <c r="E60" s="31"/>
      <c r="F60" s="31"/>
      <c r="G60" s="32"/>
      <c r="H60" s="32"/>
      <c r="I60" s="32"/>
      <c r="J60" s="37" t="str">
        <f>Tableau132[[#This Row],[Date de reprise]]-Tableau132[[#This Row],[Date début de l''arrêt]] &amp; "j"</f>
        <v>0j</v>
      </c>
    </row>
    <row r="61" spans="3:10" x14ac:dyDescent="0.25">
      <c r="C61" s="36" t="e">
        <f>VLOOKUP(Tableau132[[#This Row],[Nom et Prénom du salarié]],Annuaire_roster!B:F,5,0)</f>
        <v>#N/A</v>
      </c>
      <c r="D61" s="31"/>
      <c r="E61" s="31"/>
      <c r="F61" s="31"/>
      <c r="G61" s="32"/>
      <c r="H61" s="32"/>
      <c r="I61" s="32"/>
      <c r="J61" s="37" t="str">
        <f>Tableau132[[#This Row],[Date de reprise]]-Tableau132[[#This Row],[Date début de l''arrêt]] &amp; "j"</f>
        <v>0j</v>
      </c>
    </row>
    <row r="62" spans="3:10" x14ac:dyDescent="0.25">
      <c r="C62" s="36" t="e">
        <f>VLOOKUP(Tableau132[[#This Row],[Nom et Prénom du salarié]],Annuaire_roster!B:F,5,0)</f>
        <v>#N/A</v>
      </c>
      <c r="D62" s="31"/>
      <c r="E62" s="31"/>
      <c r="F62" s="31"/>
      <c r="G62" s="32"/>
      <c r="H62" s="32"/>
      <c r="I62" s="32"/>
      <c r="J62" s="37" t="str">
        <f>Tableau132[[#This Row],[Date de reprise]]-Tableau132[[#This Row],[Date début de l''arrêt]] &amp; "j"</f>
        <v>0j</v>
      </c>
    </row>
    <row r="63" spans="3:10" x14ac:dyDescent="0.25">
      <c r="C63" s="36" t="e">
        <f>VLOOKUP(Tableau132[[#This Row],[Nom et Prénom du salarié]],Annuaire_roster!B:F,5,0)</f>
        <v>#N/A</v>
      </c>
      <c r="D63" s="31"/>
      <c r="E63" s="31"/>
      <c r="F63" s="31"/>
      <c r="G63" s="32"/>
      <c r="H63" s="32"/>
      <c r="I63" s="32"/>
      <c r="J63" s="37" t="str">
        <f>Tableau132[[#This Row],[Date de reprise]]-Tableau132[[#This Row],[Date début de l''arrêt]] &amp; "j"</f>
        <v>0j</v>
      </c>
    </row>
    <row r="64" spans="3:10" x14ac:dyDescent="0.25">
      <c r="C64" s="36" t="e">
        <f>VLOOKUP(Tableau132[[#This Row],[Nom et Prénom du salarié]],Annuaire_roster!B:F,5,0)</f>
        <v>#N/A</v>
      </c>
      <c r="D64" s="31"/>
      <c r="E64" s="31"/>
      <c r="F64" s="31"/>
      <c r="G64" s="32"/>
      <c r="H64" s="32"/>
      <c r="I64" s="32"/>
      <c r="J64" s="37" t="str">
        <f>Tableau132[[#This Row],[Date de reprise]]-Tableau132[[#This Row],[Date début de l''arrêt]] &amp; "j"</f>
        <v>0j</v>
      </c>
    </row>
    <row r="71" spans="5:6" x14ac:dyDescent="0.25">
      <c r="E71"/>
      <c r="F71"/>
    </row>
    <row r="72" spans="5:6" x14ac:dyDescent="0.25">
      <c r="E72"/>
      <c r="F72"/>
    </row>
  </sheetData>
  <conditionalFormatting sqref="H23:H26 H29:H159">
    <cfRule type="containsBlanks" priority="3" stopIfTrue="1">
      <formula>LEN(TRIM(H23))=0</formula>
    </cfRule>
    <cfRule type="cellIs" dxfId="13" priority="793" operator="lessThanOrEqual">
      <formula>$B$5</formula>
    </cfRule>
    <cfRule type="cellIs" dxfId="12" priority="794" operator="greaterThan">
      <formula>$B$5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4</vt:i4>
      </vt:variant>
    </vt:vector>
  </HeadingPairs>
  <TitlesOfParts>
    <vt:vector size="14" baseType="lpstr">
      <vt:lpstr>Google Leads </vt:lpstr>
      <vt:lpstr>log</vt:lpstr>
      <vt:lpstr>trame</vt:lpstr>
      <vt:lpstr>Source CC pulse</vt:lpstr>
      <vt:lpstr>Planning</vt:lpstr>
      <vt:lpstr>Annuaire_roster</vt:lpstr>
      <vt:lpstr>Contrôle des heures</vt:lpstr>
      <vt:lpstr>Contrôle des jours</vt:lpstr>
      <vt:lpstr>Feuil1</vt:lpstr>
      <vt:lpstr>Suivi des justificatifs</vt:lpstr>
      <vt:lpstr>PL_Date</vt:lpstr>
      <vt:lpstr>PL_Entrée</vt:lpstr>
      <vt:lpstr>PL_Nom</vt:lpstr>
      <vt:lpstr>PL_Sortie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RICOUCH Zouhair (PRESTA EXT)</dc:creator>
  <cp:lastModifiedBy>ARBOUBBA Oumaima [EIDS]</cp:lastModifiedBy>
  <cp:lastPrinted>2025-06-06T08:29:46Z</cp:lastPrinted>
  <dcterms:created xsi:type="dcterms:W3CDTF">2015-06-05T18:19:34Z</dcterms:created>
  <dcterms:modified xsi:type="dcterms:W3CDTF">2026-07-11T06:25:19Z</dcterms:modified>
</cp:coreProperties>
</file>