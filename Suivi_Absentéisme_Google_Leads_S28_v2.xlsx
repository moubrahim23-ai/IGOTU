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oogle Leads " sheetId="1" state="visible" r:id="rId3"/>
    <sheet name="log" sheetId="2" state="visible" r:id="rId4"/>
    <sheet name="trame" sheetId="3" state="visible" r:id="rId5"/>
    <sheet name="Source CC pulse" sheetId="4" state="visible" r:id="rId6"/>
    <sheet name="Planning" sheetId="5" state="visible" r:id="rId7"/>
    <sheet name="Annuaire_roster" sheetId="6" state="visible" r:id="rId8"/>
    <sheet name="Contrôle des heures" sheetId="7" state="visible" r:id="rId9"/>
    <sheet name="Contrôle des jours" sheetId="8" state="visible" r:id="rId10"/>
    <sheet name="Feuil1" sheetId="9" state="visible" r:id="rId11"/>
    <sheet name="Suivi des justificatifs" sheetId="10" state="visible" r:id="rId12"/>
    <sheet name="Pointage_brut" sheetId="11" state="visible" r:id="rId13"/>
  </sheets>
  <definedNames>
    <definedName function="false" hidden="true" localSheetId="5" name="_xlnm._FilterDatabase" vbProcedure="false">Annuaire_roster!$A$1:$I$90</definedName>
    <definedName function="false" hidden="true" localSheetId="0" name="_xlnm._FilterDatabase" vbProcedure="false">'Google Leads '!$A$1:$AG$225</definedName>
    <definedName function="false" hidden="false" name="Business" vbProcedure="false">" "</definedName>
    <definedName function="false" hidden="false" name="Data" vbProcedure="false">OFFSET('Google Leads '!$A$1,,,COUNTA('Google Leads '!$B:$B),COUNTA('Google Leads '!$1:$1))</definedName>
    <definedName function="false" hidden="false" name="Matricules" vbProcedure="false">" "</definedName>
    <definedName function="false" hidden="false" name="Nom_complet" vbProcedure="false">" "</definedName>
    <definedName function="false" hidden="false" name="Pausette" vbProcedure="false">annuaire_roster!#ref!</definedName>
    <definedName function="false" hidden="false" name="Pause_déjeuner" vbProcedure="false">annuaire_roster!#ref!</definedName>
    <definedName function="false" hidden="false" name="PL_Date" vbProcedure="false">Planning!$B:$B</definedName>
    <definedName function="false" hidden="false" name="PL_Entrée" vbProcedure="false">Planning!$C:$C</definedName>
    <definedName function="false" hidden="false" name="PL_Nom" vbProcedure="false">Planning!$A:$A</definedName>
    <definedName function="false" hidden="false" name="PL_Sortie" vbProcedure="false">Planning!$D:$D</definedName>
    <definedName function="false" hidden="false" name="Segment" vbProcedure="false">" "</definedName>
    <definedName function="false" hidden="false" name="Segment_Business12" vbProcedure="false">#N/A</definedName>
    <definedName function="false" hidden="false" name="Segment_Business141" vbProcedure="false">#N/A</definedName>
    <definedName function="false" hidden="false" name="Segment_Mois12" vbProcedure="false">#N/A</definedName>
    <definedName function="false" hidden="false" name="Segment_Mois141" vbProcedure="false">#N/A</definedName>
    <definedName function="false" hidden="false" name="Segment_Segment12" vbProcedure="false">#N/A</definedName>
    <definedName function="false" hidden="false" name="Segment_Segment141" vbProcedure="false">#N/A</definedName>
    <definedName function="false" hidden="false" name="Segment_Semaine12" vbProcedure="false">#N/A</definedName>
    <definedName function="false" hidden="false" name="Segment_Semaine141" vbProcedure="false">#N/A</definedName>
    <definedName function="false" hidden="false" name="Team" vbProcedure="false">" 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9" authorId="0">
      <text>
        <r>
          <rPr>
            <sz val="10"/>
            <rFont val="Arial"/>
            <family val="2"/>
          </rPr>
          <t xml:space="preserve">ARBOUBBA Oumaima [EIDS]:
Prob session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Login de pointage (RESOURCE_NAME) correspondant à l'agent. Cellules vertes = suggestion automatique fiable (à vérifier). Cellules jaunes = à compléter manuellement (aucune correspondance fiable trouvée).</t>
        </r>
      </text>
    </comment>
    <comment ref="J2" authorId="0">
      <text>
        <r>
          <rPr>
            <sz val="10"/>
            <rFont val="Arial"/>
            <family val="2"/>
          </rPr>
          <t xml:space="preserve">Meilleure suggestion auto: ALAOUABO (similarité 58%, trop faible) — à compléter/corriger manuellement</t>
        </r>
      </text>
    </comment>
    <comment ref="J3" authorId="0">
      <text>
        <r>
          <rPr>
            <sz val="10"/>
            <rFont val="Arial"/>
            <family val="2"/>
          </rPr>
          <t xml:space="preserve">Meilleure suggestion auto: KHOUILRA (similarité 45%, trop faible) — à compléter/corriger manuellement</t>
        </r>
      </text>
    </comment>
    <comment ref="J4" authorId="0">
      <text>
        <r>
          <rPr>
            <sz val="10"/>
            <rFont val="Arial"/>
            <family val="2"/>
          </rPr>
          <t xml:space="preserve">Meilleure suggestion auto: BENMESIS (similarité 38%, trop faible) — à compléter/corriger manuellement</t>
        </r>
      </text>
    </comment>
    <comment ref="J5" authorId="0">
      <text>
        <r>
          <rPr>
            <sz val="10"/>
            <rFont val="Arial"/>
            <family val="2"/>
          </rPr>
          <t xml:space="preserve">Meilleure suggestion auto: ELHARRCA (similarité 62%, trop faible) — à compléter/corriger manuellement</t>
        </r>
      </text>
    </comment>
    <comment ref="J6" authorId="0">
      <text>
        <r>
          <rPr>
            <sz val="10"/>
            <rFont val="Arial"/>
            <family val="2"/>
          </rPr>
          <t xml:space="preserve">Suggestion auto (similarité 80%) — à valider</t>
        </r>
      </text>
    </comment>
    <comment ref="J7" authorId="0">
      <text>
        <r>
          <rPr>
            <sz val="10"/>
            <rFont val="Arial"/>
            <family val="2"/>
          </rPr>
          <t xml:space="preserve">Suggestion auto (similarité 70%) — à valider</t>
        </r>
      </text>
    </comment>
    <comment ref="J8" authorId="0">
      <text>
        <r>
          <rPr>
            <sz val="10"/>
            <rFont val="Arial"/>
            <family val="2"/>
          </rPr>
          <t xml:space="preserve">Suggestion auto (similarité 80%) — à valider</t>
        </r>
      </text>
    </comment>
    <comment ref="J9" authorId="0">
      <text>
        <r>
          <rPr>
            <sz val="10"/>
            <rFont val="Arial"/>
            <family val="2"/>
          </rPr>
          <t xml:space="preserve">Meilleure suggestion auto: ANISSEMO (similarité 48%, trop faible) — à compléter/corriger manuellement</t>
        </r>
      </text>
    </comment>
    <comment ref="J10" authorId="0">
      <text>
        <r>
          <rPr>
            <sz val="10"/>
            <rFont val="Arial"/>
            <family val="2"/>
          </rPr>
          <t xml:space="preserve">Suggestion auto (similarité 86%) — à valider</t>
        </r>
      </text>
    </comment>
    <comment ref="J11" authorId="0">
      <text>
        <r>
          <rPr>
            <sz val="10"/>
            <rFont val="Arial"/>
            <family val="2"/>
          </rPr>
          <t xml:space="preserve">Meilleure suggestion auto: OUESLAMA (similarité 50%, trop faible) — à compléter/corriger manuellement</t>
        </r>
      </text>
    </comment>
    <comment ref="J12" authorId="0">
      <text>
        <r>
          <rPr>
            <sz val="10"/>
            <rFont val="Arial"/>
            <family val="2"/>
          </rPr>
          <t xml:space="preserve">Meilleure suggestion auto: ABILLAAL (similarité 54%, trop faible) — à compléter/corriger manuellement</t>
        </r>
      </text>
    </comment>
    <comment ref="J13" authorId="0">
      <text>
        <r>
          <rPr>
            <sz val="10"/>
            <rFont val="Arial"/>
            <family val="2"/>
          </rPr>
          <t xml:space="preserve">Suggestion auto (similarité 78%) — à valider</t>
        </r>
      </text>
    </comment>
    <comment ref="J14" authorId="0">
      <text>
        <r>
          <rPr>
            <sz val="10"/>
            <rFont val="Arial"/>
            <family val="2"/>
          </rPr>
          <t xml:space="preserve">Meilleure suggestion auto: KINANAWD (similarité 44%, trop faible) — à compléter/corriger manuellement</t>
        </r>
      </text>
    </comment>
    <comment ref="J15" authorId="0">
      <text>
        <r>
          <rPr>
            <sz val="10"/>
            <rFont val="Arial"/>
            <family val="2"/>
          </rPr>
          <t xml:space="preserve">Suggestion auto (similarité 73%) — à valider</t>
        </r>
      </text>
    </comment>
    <comment ref="J16" authorId="0">
      <text>
        <r>
          <rPr>
            <sz val="10"/>
            <rFont val="Arial"/>
            <family val="2"/>
          </rPr>
          <t xml:space="preserve">Suggestion auto (similarité 73%) — à valider</t>
        </r>
      </text>
    </comment>
    <comment ref="J17" authorId="0">
      <text>
        <r>
          <rPr>
            <sz val="10"/>
            <rFont val="Arial"/>
            <family val="2"/>
          </rPr>
          <t xml:space="preserve">Meilleure suggestion auto: SAHLIMO (similarité 50%, trop faible) — à compléter/corriger manuellement</t>
        </r>
      </text>
    </comment>
    <comment ref="J18" authorId="0">
      <text>
        <r>
          <rPr>
            <sz val="10"/>
            <rFont val="Arial"/>
            <family val="2"/>
          </rPr>
          <t xml:space="preserve">Meilleure suggestion auto: ENNOURAY (similarité 60%, trop faible) — à compléter/corriger manuellement</t>
        </r>
      </text>
    </comment>
    <comment ref="J19" authorId="0">
      <text>
        <r>
          <rPr>
            <sz val="10"/>
            <rFont val="Arial"/>
            <family val="2"/>
          </rPr>
          <t xml:space="preserve">Meilleure suggestion auto: NAKHLAAY (similarité 42%, trop faible) — à compléter/corriger manuellement</t>
        </r>
      </text>
    </comment>
    <comment ref="J20" authorId="0">
      <text>
        <r>
          <rPr>
            <sz val="10"/>
            <rFont val="Arial"/>
            <family val="2"/>
          </rPr>
          <t xml:space="preserve">Suggestion auto (similarité 84%) — à valider</t>
        </r>
      </text>
    </comment>
    <comment ref="J21" authorId="0">
      <text>
        <r>
          <rPr>
            <sz val="10"/>
            <rFont val="Arial"/>
            <family val="2"/>
          </rPr>
          <t xml:space="preserve">Meilleure suggestion auto: BENABDSR (similarité 35%, trop faible) — à compléter/corriger manuellement</t>
        </r>
      </text>
    </comment>
    <comment ref="J22" authorId="0">
      <text>
        <r>
          <rPr>
            <sz val="10"/>
            <rFont val="Arial"/>
            <family val="2"/>
          </rPr>
          <t xml:space="preserve">Suggestion auto (similarité 89%) — à valider</t>
        </r>
      </text>
    </comment>
    <comment ref="J23" authorId="0">
      <text>
        <r>
          <rPr>
            <sz val="10"/>
            <rFont val="Arial"/>
            <family val="2"/>
          </rPr>
          <t xml:space="preserve">Meilleure suggestion auto: ELHOUSHD (similarité 67%, trop faible) — à compléter/corriger manuellement</t>
        </r>
      </text>
    </comment>
    <comment ref="J24" authorId="0">
      <text>
        <r>
          <rPr>
            <sz val="10"/>
            <rFont val="Arial"/>
            <family val="2"/>
          </rPr>
          <t xml:space="preserve">Meilleure suggestion auto: NIANGNY (similarité 67%, trop faible) — à compléter/corriger manuellement</t>
        </r>
      </text>
    </comment>
    <comment ref="J25" authorId="0">
      <text>
        <r>
          <rPr>
            <sz val="10"/>
            <rFont val="Arial"/>
            <family val="2"/>
          </rPr>
          <t xml:space="preserve">Meilleure suggestion auto: BOUCHANE (similarité 55%, trop faible) — à compléter/corriger manuellement</t>
        </r>
      </text>
    </comment>
    <comment ref="J26" authorId="0">
      <text>
        <r>
          <rPr>
            <sz val="10"/>
            <rFont val="Arial"/>
            <family val="2"/>
          </rPr>
          <t xml:space="preserve">Suggestion auto (similarité 88%) — à valider</t>
        </r>
      </text>
    </comment>
    <comment ref="J27" authorId="0">
      <text>
        <r>
          <rPr>
            <sz val="10"/>
            <rFont val="Arial"/>
            <family val="2"/>
          </rPr>
          <t xml:space="preserve">Suggestion auto (similarité 70%) — à valider</t>
        </r>
      </text>
    </comment>
    <comment ref="J28" authorId="0">
      <text>
        <r>
          <rPr>
            <sz val="10"/>
            <rFont val="Arial"/>
            <family val="2"/>
          </rPr>
          <t xml:space="preserve">Meilleure suggestion auto: HAJIMYA (similarité 34%, trop faible) — à compléter/corriger manuellement</t>
        </r>
      </text>
    </comment>
    <comment ref="J29" authorId="0">
      <text>
        <r>
          <rPr>
            <sz val="10"/>
            <rFont val="Arial"/>
            <family val="2"/>
          </rPr>
          <t xml:space="preserve">Meilleure suggestion auto: SALMAMO (similarité 33%, trop faible) — à compléter/corriger manuellement</t>
        </r>
      </text>
    </comment>
    <comment ref="J30" authorId="0">
      <text>
        <r>
          <rPr>
            <sz val="10"/>
            <rFont val="Arial"/>
            <family val="2"/>
          </rPr>
          <t xml:space="preserve">Suggestion auto (similarité 80%) — à valider</t>
        </r>
      </text>
    </comment>
    <comment ref="J31" authorId="0">
      <text>
        <r>
          <rPr>
            <sz val="10"/>
            <rFont val="Arial"/>
            <family val="2"/>
          </rPr>
          <t xml:space="preserve">Suggestion auto (similarité 78%) — à valider</t>
        </r>
      </text>
    </comment>
    <comment ref="J32" authorId="0">
      <text>
        <r>
          <rPr>
            <sz val="10"/>
            <rFont val="Arial"/>
            <family val="2"/>
          </rPr>
          <t xml:space="preserve">Suggestion auto (similarité 76%) — à valider</t>
        </r>
      </text>
    </comment>
    <comment ref="J33" authorId="0">
      <text>
        <r>
          <rPr>
            <sz val="10"/>
            <rFont val="Arial"/>
            <family val="2"/>
          </rPr>
          <t xml:space="preserve">Meilleure suggestion auto: LYACOUHO (similarité 43%, trop faible) — à compléter/corriger manuellement</t>
        </r>
      </text>
    </comment>
    <comment ref="J34" authorId="0">
      <text>
        <r>
          <rPr>
            <sz val="10"/>
            <rFont val="Arial"/>
            <family val="2"/>
          </rPr>
          <t xml:space="preserve">Meilleure suggestion auto: DINISA (similarité 44%, trop faible) — à compléter/corriger manuellement</t>
        </r>
      </text>
    </comment>
    <comment ref="J35" authorId="0">
      <text>
        <r>
          <rPr>
            <sz val="10"/>
            <rFont val="Arial"/>
            <family val="2"/>
          </rPr>
          <t xml:space="preserve">Meilleure suggestion auto: ELANAZAA (similarité 43%, trop faible) — à compléter/corriger manuellement</t>
        </r>
      </text>
    </comment>
    <comment ref="J36" authorId="0">
      <text>
        <r>
          <rPr>
            <sz val="10"/>
            <rFont val="Arial"/>
            <family val="2"/>
          </rPr>
          <t xml:space="preserve">Meilleure suggestion auto: ZOHRIRA (similarité 56%, trop faible) — à compléter/corriger manuellement</t>
        </r>
      </text>
    </comment>
    <comment ref="J37" authorId="0">
      <text>
        <r>
          <rPr>
            <sz val="10"/>
            <rFont val="Arial"/>
            <family val="2"/>
          </rPr>
          <t xml:space="preserve">Meilleure suggestion auto: AMRISL (similarité 38%, trop faible) — à compléter/corriger manuellement</t>
        </r>
      </text>
    </comment>
    <comment ref="J38" authorId="0">
      <text>
        <r>
          <rPr>
            <sz val="10"/>
            <rFont val="Arial"/>
            <family val="2"/>
          </rPr>
          <t xml:space="preserve">Meilleure suggestion auto: ELHOUJSO (similarité 62%, trop faible) — à compléter/corriger manuellement</t>
        </r>
      </text>
    </comment>
    <comment ref="J48" authorId="0">
      <text>
        <r>
          <rPr>
            <sz val="10"/>
            <rFont val="Arial"/>
            <family val="2"/>
          </rPr>
          <t xml:space="preserve">Meilleure suggestion auto: HABIBIKH (similarité 44%, trop faible) — à compléter/corriger manuellement</t>
        </r>
      </text>
    </comment>
    <comment ref="J81" authorId="0">
      <text>
        <r>
          <rPr>
            <sz val="10"/>
            <rFont val="Arial"/>
            <family val="2"/>
          </rPr>
          <t xml:space="preserve">Meilleure suggestion auto: ELHOUJSO (similarité 62%, trop faible) — à compléter/corriger manuellement</t>
        </r>
      </text>
    </comment>
    <comment ref="J82" authorId="0">
      <text>
        <r>
          <rPr>
            <sz val="10"/>
            <rFont val="Arial"/>
            <family val="2"/>
          </rPr>
          <t xml:space="preserve">Meilleure suggestion auto: AZHARIAB (similarité 67%, trop faible) — à compléter/corriger manuellement</t>
        </r>
      </text>
    </comment>
    <comment ref="J83" authorId="0">
      <text>
        <r>
          <rPr>
            <sz val="10"/>
            <rFont val="Arial"/>
            <family val="2"/>
          </rPr>
          <t xml:space="preserve">Meilleure suggestion auto: NUNEZLU (similarité 56%, trop faible) — à compléter/corriger manuellement</t>
        </r>
      </text>
    </comment>
    <comment ref="J84" authorId="0">
      <text>
        <r>
          <rPr>
            <sz val="10"/>
            <rFont val="Arial"/>
            <family val="2"/>
          </rPr>
          <t xml:space="preserve">Suggestion auto (similarité 84%) — à valider</t>
        </r>
      </text>
    </comment>
    <comment ref="J85" authorId="0">
      <text>
        <r>
          <rPr>
            <sz val="10"/>
            <rFont val="Arial"/>
            <family val="2"/>
          </rPr>
          <t xml:space="preserve">Meilleure suggestion auto: JMAIWA (similarité 53%, trop faible) — à compléter/corriger manuellement</t>
        </r>
      </text>
    </comment>
    <comment ref="J86" authorId="0">
      <text>
        <r>
          <rPr>
            <sz val="10"/>
            <rFont val="Arial"/>
            <family val="2"/>
          </rPr>
          <t xml:space="preserve">Meilleure suggestion auto: TISSAOHA (similarité 55%, trop faible) — à compléter/corriger manuellement</t>
        </r>
      </text>
    </comment>
    <comment ref="J87" authorId="0">
      <text>
        <r>
          <rPr>
            <sz val="10"/>
            <rFont val="Arial"/>
            <family val="2"/>
          </rPr>
          <t xml:space="preserve">Meilleure suggestion auto: MOUSKESI (similarité 47%, trop faible) — à compléter/corriger manuellement</t>
        </r>
      </text>
    </comment>
    <comment ref="J88" authorId="0">
      <text>
        <r>
          <rPr>
            <sz val="10"/>
            <rFont val="Arial"/>
            <family val="2"/>
          </rPr>
          <t xml:space="preserve">Suggestion auto (similarité 73%) — à valider</t>
        </r>
      </text>
    </comment>
    <comment ref="J89" authorId="0">
      <text>
        <r>
          <rPr>
            <sz val="10"/>
            <rFont val="Arial"/>
            <family val="2"/>
          </rPr>
          <t xml:space="preserve">Meilleure suggestion auto: ELALAMAY (similarité 57%, trop faible) — à compléter/corriger manuellement</t>
        </r>
      </text>
    </comment>
    <comment ref="J90" authorId="0">
      <text>
        <r>
          <rPr>
            <sz val="10"/>
            <rFont val="Arial"/>
            <family val="2"/>
          </rPr>
          <t xml:space="preserve">Suggestion auto (similarité 73%) — à valider</t>
        </r>
      </text>
    </comment>
    <comment ref="J91" authorId="0">
      <text>
        <r>
          <rPr>
            <sz val="10"/>
            <rFont val="Arial"/>
            <family val="2"/>
          </rPr>
          <t xml:space="preserve">Suggestion auto (similarité 76%) — à valider</t>
        </r>
      </text>
    </comment>
  </commentList>
</comments>
</file>

<file path=xl/sharedStrings.xml><?xml version="1.0" encoding="utf-8"?>
<sst xmlns="http://schemas.openxmlformats.org/spreadsheetml/2006/main" count="28574" uniqueCount="7076">
  <si>
    <t xml:space="preserve">Matricule</t>
  </si>
  <si>
    <t xml:space="preserve">Nom De l'agent</t>
  </si>
  <si>
    <t xml:space="preserve">Hr début shift Réalisée</t>
  </si>
  <si>
    <t xml:space="preserve">Hr début shift Planifiée</t>
  </si>
  <si>
    <t xml:space="preserve">Hr fin shift Réalisée</t>
  </si>
  <si>
    <t xml:space="preserve">Hr Fin shift Planifiée</t>
  </si>
  <si>
    <t xml:space="preserve">Durée de la Pause Dej</t>
  </si>
  <si>
    <t xml:space="preserve">Dépsement des pauses</t>
  </si>
  <si>
    <t xml:space="preserve">Retard Debut de shift</t>
  </si>
  <si>
    <t xml:space="preserve">Retard Dej</t>
  </si>
  <si>
    <t xml:space="preserve">Somme des retards</t>
  </si>
  <si>
    <t xml:space="preserve">Départs Anticipés</t>
  </si>
  <si>
    <t xml:space="preserve">Absences</t>
  </si>
  <si>
    <t xml:space="preserve">Hr Adherée</t>
  </si>
  <si>
    <t xml:space="preserve">Hr Planifiée</t>
  </si>
  <si>
    <t xml:space="preserve">Segment</t>
  </si>
  <si>
    <t xml:space="preserve">Date</t>
  </si>
  <si>
    <t xml:space="preserve">Hr Abs Pure</t>
  </si>
  <si>
    <t xml:space="preserve">Hr Abs Totales</t>
  </si>
  <si>
    <t xml:space="preserve">Semaine</t>
  </si>
  <si>
    <t xml:space="preserve">Mois</t>
  </si>
  <si>
    <t xml:space="preserve">Année</t>
  </si>
  <si>
    <t xml:space="preserve">VTO</t>
  </si>
  <si>
    <t xml:space="preserve">Heures SUP</t>
  </si>
  <si>
    <t xml:space="preserve">Team</t>
  </si>
  <si>
    <t xml:space="preserve">Business</t>
  </si>
  <si>
    <t xml:space="preserve">Statut</t>
  </si>
  <si>
    <t xml:space="preserve">Congé payé</t>
  </si>
  <si>
    <t xml:space="preserve">Congé sans solde</t>
  </si>
  <si>
    <t xml:space="preserve">Congé spécial</t>
  </si>
  <si>
    <t xml:space="preserve">Jour férié</t>
  </si>
  <si>
    <t xml:space="preserve">Commentaire</t>
  </si>
  <si>
    <t xml:space="preserve">Plannif spécial</t>
  </si>
  <si>
    <t xml:space="preserve">ZAKI OMAR</t>
  </si>
  <si>
    <t xml:space="preserve">AZHARI ABDELHAMID</t>
  </si>
  <si>
    <t xml:space="preserve">LALOUN MANAL </t>
  </si>
  <si>
    <t xml:space="preserve">BOULHROUD SALMA</t>
  </si>
  <si>
    <t xml:space="preserve">NEMMAOUI MOUNIRA</t>
  </si>
  <si>
    <t xml:space="preserve">NIANG NDEYE ABSA</t>
  </si>
  <si>
    <t xml:space="preserve">BENSAR ANAS</t>
  </si>
  <si>
    <t xml:space="preserve">MELLAHI YOUSSEF</t>
  </si>
  <si>
    <t xml:space="preserve">EL HOUJJAJI Soufiane </t>
  </si>
  <si>
    <t xml:space="preserve">BOURABAA HASSAN</t>
  </si>
  <si>
    <t xml:space="preserve">EL-AOUAQUI BOUCHRA</t>
  </si>
  <si>
    <t xml:space="preserve">ZITOUNI LAMYA</t>
  </si>
  <si>
    <t xml:space="preserve">NUNEZ LUCIEN BERNARD</t>
  </si>
  <si>
    <t xml:space="preserve">SIDIBE MOUSKEBA DALAFINA</t>
  </si>
  <si>
    <t xml:space="preserve">SOUOUD ZAKARIA</t>
  </si>
  <si>
    <t xml:space="preserve">LAFDIL NADA</t>
  </si>
  <si>
    <t xml:space="preserve">SECK DIARRA</t>
  </si>
  <si>
    <t xml:space="preserve">GUEYE GORA</t>
  </si>
  <si>
    <t xml:space="preserve">AINELKITANE ZINEB</t>
  </si>
  <si>
    <t xml:space="preserve">AIT LARBI HIND</t>
  </si>
  <si>
    <t xml:space="preserve">KANTAOUI SALMA</t>
  </si>
  <si>
    <t xml:space="preserve">AIT ADDI KHADIJA</t>
  </si>
  <si>
    <t xml:space="preserve">ZIOUI DOUNIA</t>
  </si>
  <si>
    <t xml:space="preserve">DERKAOUI AMAL </t>
  </si>
  <si>
    <t xml:space="preserve">IHASSANE Ikram</t>
  </si>
  <si>
    <t xml:space="preserve">EL HOUSSAINI HOUDA</t>
  </si>
  <si>
    <t xml:space="preserve">GUEYE MOUHAMED</t>
  </si>
  <si>
    <t xml:space="preserve">RACHAD NAWAR</t>
  </si>
  <si>
    <t xml:space="preserve">DIOUF OUSSMANE</t>
  </si>
  <si>
    <t xml:space="preserve">QARBOUI Aymane</t>
  </si>
  <si>
    <t xml:space="preserve">EL HARROUCHI CHAIMAE</t>
  </si>
  <si>
    <t xml:space="preserve">TOURE ABIBOU</t>
  </si>
  <si>
    <t xml:space="preserve">Dernier log</t>
  </si>
  <si>
    <t xml:space="preserve">AAZAROU Boutayna</t>
  </si>
  <si>
    <t xml:space="preserve">AIT ADDI Khadija</t>
  </si>
  <si>
    <t xml:space="preserve">AIT LARBI Hind</t>
  </si>
  <si>
    <t xml:space="preserve">AMEZIANE Zakaria</t>
  </si>
  <si>
    <t xml:space="preserve">AMRI Zineb</t>
  </si>
  <si>
    <t xml:space="preserve">BARA Hajar</t>
  </si>
  <si>
    <t xml:space="preserve">BELLARAJ Ilhame</t>
  </si>
  <si>
    <t xml:space="preserve">BENSAR Anas</t>
  </si>
  <si>
    <t xml:space="preserve">BOCOUM Diawariah</t>
  </si>
  <si>
    <t xml:space="preserve">BOUABDILLAH Zakaria</t>
  </si>
  <si>
    <t xml:space="preserve">BOULHROUD Salma</t>
  </si>
  <si>
    <t xml:space="preserve">BOULLOUH Haddou</t>
  </si>
  <si>
    <t xml:space="preserve">BOUQATHB Hiba</t>
  </si>
  <si>
    <t xml:space="preserve">BOURABAA Hassan</t>
  </si>
  <si>
    <t xml:space="preserve">CHAMKHA Nouhaila</t>
  </si>
  <si>
    <t xml:space="preserve">CHAYAH Chaimae</t>
  </si>
  <si>
    <t xml:space="preserve">CISSE Oumar</t>
  </si>
  <si>
    <t xml:space="preserve">DAMI Oumaima</t>
  </si>
  <si>
    <t xml:space="preserve">EL BASRI Najib</t>
  </si>
  <si>
    <t xml:space="preserve">EL GUARJAOUI Hiba</t>
  </si>
  <si>
    <t xml:space="preserve">EL IDRISSI ELHA Maha</t>
  </si>
  <si>
    <t xml:space="preserve">EL OUIKSANI Samia</t>
  </si>
  <si>
    <t xml:space="preserve">ELANMATI Lamiae</t>
  </si>
  <si>
    <t xml:space="preserve">FAYE Rokhaya</t>
  </si>
  <si>
    <t xml:space="preserve">GOMIS Aminata Agnes</t>
  </si>
  <si>
    <t xml:space="preserve">GUEYE Mouhamed</t>
  </si>
  <si>
    <t xml:space="preserve">HAMDOUNI Yasser</t>
  </si>
  <si>
    <t xml:space="preserve">KHAN Nizamuddin</t>
  </si>
  <si>
    <t xml:space="preserve">LIMANE Hiba</t>
  </si>
  <si>
    <t xml:space="preserve">MERZOUG Nasrallah</t>
  </si>
  <si>
    <t xml:space="preserve">MESKOURI Nabila</t>
  </si>
  <si>
    <t xml:space="preserve">NUNEZ Lucien Bernard</t>
  </si>
  <si>
    <t xml:space="preserve">RHEMARI Reda</t>
  </si>
  <si>
    <t xml:space="preserve">ROUMANE Kaoutar</t>
  </si>
  <si>
    <t xml:space="preserve">SABRI Ayoub</t>
  </si>
  <si>
    <t xml:space="preserve">SECK Diarra</t>
  </si>
  <si>
    <t xml:space="preserve">ZAIMI Nada</t>
  </si>
  <si>
    <t xml:space="preserve">ZAKI Omar</t>
  </si>
  <si>
    <t xml:space="preserve">ZAYER Salma</t>
  </si>
  <si>
    <t xml:space="preserve">ZOUAKAT Abdel Illah</t>
  </si>
  <si>
    <t xml:space="preserve">ZTAIT Najlae</t>
  </si>
  <si>
    <t xml:space="preserve">Retard Début de shift</t>
  </si>
  <si>
    <t xml:space="preserve">Google leads</t>
  </si>
  <si>
    <t xml:space="preserve">Missionnée</t>
  </si>
  <si>
    <t xml:space="preserve">Congé</t>
  </si>
  <si>
    <t xml:space="preserve">OFF</t>
  </si>
  <si>
    <t xml:space="preserve">BOUAZZA Yassine</t>
  </si>
  <si>
    <t xml:space="preserve">DIOP Abdou</t>
  </si>
  <si>
    <t xml:space="preserve">EL AOUAQUI Bouchra</t>
  </si>
  <si>
    <t xml:space="preserve">EL HARROUCHI Chaimae</t>
  </si>
  <si>
    <t xml:space="preserve">EL IDRISSI ELHASSANI MAHA</t>
  </si>
  <si>
    <t xml:space="preserve">IKRADINE Rime</t>
  </si>
  <si>
    <t xml:space="preserve">KANTAOUI Salma</t>
  </si>
  <si>
    <t xml:space="preserve">LAFDIL Nada</t>
  </si>
  <si>
    <t xml:space="preserve">NIANG Ndeye Absa</t>
  </si>
  <si>
    <t xml:space="preserve">RACHAD Nawar</t>
  </si>
  <si>
    <t xml:space="preserve">TOURE Abibou</t>
  </si>
  <si>
    <t xml:space="preserve">ZIOUI Dounia</t>
  </si>
  <si>
    <t xml:space="preserve">Nom</t>
  </si>
  <si>
    <t xml:space="preserve">Entrée</t>
  </si>
  <si>
    <t xml:space="preserve">Sortie</t>
  </si>
  <si>
    <t xml:space="preserve">No Semaine</t>
  </si>
  <si>
    <t xml:space="preserve">Colonne1</t>
  </si>
  <si>
    <t xml:space="preserve">Colonne2</t>
  </si>
  <si>
    <t xml:space="preserve">Nom Prénom</t>
  </si>
  <si>
    <t xml:space="preserve">Date embauche</t>
  </si>
  <si>
    <t xml:space="preserve">Date sortie</t>
  </si>
  <si>
    <t xml:space="preserve">Resource_Name (Login)</t>
  </si>
  <si>
    <t xml:space="preserve">Google Leads</t>
  </si>
  <si>
    <t xml:space="preserve">OUAQERROUCH Nour-El Houda</t>
  </si>
  <si>
    <t xml:space="preserve">Forfaitaire</t>
  </si>
  <si>
    <t xml:space="preserve">COUNDOUL Birane</t>
  </si>
  <si>
    <t xml:space="preserve">BOUMEZGANE Soukaina</t>
  </si>
  <si>
    <t xml:space="preserve">ZITOUNLM</t>
  </si>
  <si>
    <t xml:space="preserve">GUEYEME</t>
  </si>
  <si>
    <t xml:space="preserve">HAOUACH Ikram</t>
  </si>
  <si>
    <t xml:space="preserve">HAOUACIK</t>
  </si>
  <si>
    <t xml:space="preserve">ZAKIOM</t>
  </si>
  <si>
    <t xml:space="preserve">BOUABDILLAH ZAKARIA</t>
  </si>
  <si>
    <t xml:space="preserve">ZIOUIDO</t>
  </si>
  <si>
    <t xml:space="preserve">LIMANE HIBA</t>
  </si>
  <si>
    <t xml:space="preserve">MELLAHYO</t>
  </si>
  <si>
    <t xml:space="preserve">AITADDKH</t>
  </si>
  <si>
    <t xml:space="preserve">SAADA LINA</t>
  </si>
  <si>
    <t xml:space="preserve">TRENNOU HATIM</t>
  </si>
  <si>
    <t xml:space="preserve">LAKHAL MEHDI</t>
  </si>
  <si>
    <t xml:space="preserve">CHOUIFI Mustapha</t>
  </si>
  <si>
    <t xml:space="preserve">RACHADNW</t>
  </si>
  <si>
    <t xml:space="preserve">LAFDILND</t>
  </si>
  <si>
    <t xml:space="preserve">BOUAZZA YASSINE</t>
  </si>
  <si>
    <t xml:space="preserve">GUEYEGO</t>
  </si>
  <si>
    <t xml:space="preserve">DIOUFOU</t>
  </si>
  <si>
    <t xml:space="preserve">GOMIS AMINATA AGNES</t>
  </si>
  <si>
    <t xml:space="preserve">AITLARHD</t>
  </si>
  <si>
    <t xml:space="preserve">TOUREAB</t>
  </si>
  <si>
    <t xml:space="preserve">KANTAOSA</t>
  </si>
  <si>
    <t xml:space="preserve">EL GUARJAOUI HIBA</t>
  </si>
  <si>
    <t xml:space="preserve">IKRADINE RIME</t>
  </si>
  <si>
    <t xml:space="preserve">TADLAOUI ZAKARIA</t>
  </si>
  <si>
    <t xml:space="preserve">RHEMARI REDA</t>
  </si>
  <si>
    <t xml:space="preserve">NDIAYE ADJI MARIE CISSE</t>
  </si>
  <si>
    <t xml:space="preserve">SIMOUR Khalil</t>
  </si>
  <si>
    <t xml:space="preserve">AFEDIM</t>
  </si>
  <si>
    <t xml:space="preserve">HMIDOUCH Fouad</t>
  </si>
  <si>
    <t xml:space="preserve">RADGUI Sara</t>
  </si>
  <si>
    <t xml:space="preserve">BENHAMMOU ALAE-EDDINE</t>
  </si>
  <si>
    <t xml:space="preserve">EL MASSAOUDI Houssam</t>
  </si>
  <si>
    <t xml:space="preserve">MEZIAN ABIR</t>
  </si>
  <si>
    <t xml:space="preserve">BARA HAJAR</t>
  </si>
  <si>
    <t xml:space="preserve">DAC Crédit</t>
  </si>
  <si>
    <t xml:space="preserve">MBENE GUEYE</t>
  </si>
  <si>
    <t xml:space="preserve">DAMI OUMAIMA</t>
  </si>
  <si>
    <t xml:space="preserve">EL MOUBARIK Oumnia</t>
  </si>
  <si>
    <t xml:space="preserve">KBIRI AKRAM</t>
  </si>
  <si>
    <t xml:space="preserve">TAOUIL AYA</t>
  </si>
  <si>
    <t xml:space="preserve">ABDELAOUI KHADIJA</t>
  </si>
  <si>
    <t xml:space="preserve">TLV</t>
  </si>
  <si>
    <t xml:space="preserve">EL JAOUHARI Ussama</t>
  </si>
  <si>
    <t xml:space="preserve">SYLLA Sokhna Safietou</t>
  </si>
  <si>
    <t xml:space="preserve">DIOP MAMADOU MOUSTAPHA DOKY</t>
  </si>
  <si>
    <t xml:space="preserve">AZIANE YASSINE </t>
  </si>
  <si>
    <t xml:space="preserve">IGEDDI Meryeme</t>
  </si>
  <si>
    <t xml:space="preserve">GLF</t>
  </si>
  <si>
    <t xml:space="preserve">ABOURI Fatima</t>
  </si>
  <si>
    <t xml:space="preserve">SANE MOHAMMED LAMINE</t>
  </si>
  <si>
    <t xml:space="preserve">KANDI FATIMA ZOHRA</t>
  </si>
  <si>
    <t xml:space="preserve">EL KAOUTAR FATIMA ZAHRA </t>
  </si>
  <si>
    <t xml:space="preserve">BOUAFIA ABDELLATIF </t>
  </si>
  <si>
    <t xml:space="preserve">EL BADAOUI CHAIMAA</t>
  </si>
  <si>
    <t xml:space="preserve">NDIAYE SEYNABOU</t>
  </si>
  <si>
    <t xml:space="preserve">RHOUDANE Othmane </t>
  </si>
  <si>
    <t xml:space="preserve">KASMI SARA</t>
  </si>
  <si>
    <t xml:space="preserve">M'BARKI IMANE</t>
  </si>
  <si>
    <t xml:space="preserve">SEMBENE PAPALATY</t>
  </si>
  <si>
    <t xml:space="preserve">HABBOUB KARIM</t>
  </si>
  <si>
    <t xml:space="preserve">IDELHAJ Meryem</t>
  </si>
  <si>
    <t xml:space="preserve">CM Leasing</t>
  </si>
  <si>
    <t xml:space="preserve">OUBRAHIM Mohammed</t>
  </si>
  <si>
    <t xml:space="preserve">EL BAHLOULY DOHA</t>
  </si>
  <si>
    <t xml:space="preserve">LEHMOUCH NOUHAILA</t>
  </si>
  <si>
    <t xml:space="preserve">NOUIBI  Chaimae</t>
  </si>
  <si>
    <t xml:space="preserve">AIT RABIAA  Nouhaila</t>
  </si>
  <si>
    <t xml:space="preserve">EL MAHJOUBI ABDESATAR </t>
  </si>
  <si>
    <t xml:space="preserve">SOUFIANE LEILA</t>
  </si>
  <si>
    <t xml:space="preserve">ESSABERY ISMAIL</t>
  </si>
  <si>
    <t xml:space="preserve">JALAL NABILA</t>
  </si>
  <si>
    <t xml:space="preserve">AKHSASS MAJDA</t>
  </si>
  <si>
    <t xml:space="preserve">BENCHRIF Hafssa BENCHRHF</t>
  </si>
  <si>
    <t xml:space="preserve">Accessibilité</t>
  </si>
  <si>
    <t xml:space="preserve">HAMDANI Mohamed HAMDANMO</t>
  </si>
  <si>
    <t xml:space="preserve">LISSAOUI Hiba LISSAOHI</t>
  </si>
  <si>
    <t xml:space="preserve">RMAIDI Imad RMAIDIIM</t>
  </si>
  <si>
    <t xml:space="preserve">LALOUNMN</t>
  </si>
  <si>
    <t xml:space="preserve">MRANI REDA</t>
  </si>
  <si>
    <t xml:space="preserve">DIATTA AISSATOU</t>
  </si>
  <si>
    <t xml:space="preserve">BOULHRSA</t>
  </si>
  <si>
    <t xml:space="preserve">ALAMI SOUMAYYA</t>
  </si>
  <si>
    <t xml:space="preserve">BOURABHS</t>
  </si>
  <si>
    <t xml:space="preserve">SOUOUDZA</t>
  </si>
  <si>
    <t xml:space="preserve">Assistant de production</t>
  </si>
  <si>
    <t xml:space="preserve">ARBOUBBA Oumaima</t>
  </si>
  <si>
    <t xml:space="preserve">GF</t>
  </si>
  <si>
    <t xml:space="preserve">FARKACH Hicham</t>
  </si>
  <si>
    <t xml:space="preserve">manager</t>
  </si>
  <si>
    <t xml:space="preserve">OUAQERROUCH Nour El Houda</t>
  </si>
  <si>
    <t xml:space="preserve">CHOUIFI Mustapha </t>
  </si>
  <si>
    <t xml:space="preserve">ELBOUTI AYOUB</t>
  </si>
  <si>
    <t xml:space="preserve">(Tous)</t>
  </si>
  <si>
    <t xml:space="preserve">Somme de Théorique</t>
  </si>
  <si>
    <t xml:space="preserve">Total général</t>
  </si>
  <si>
    <t xml:space="preserve">Nombre de Segment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</si>
  <si>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</si>
  <si>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</si>
  <si>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</si>
  <si>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</si>
  <si>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</si>
  <si>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Activité</t>
  </si>
  <si>
    <t xml:space="preserve">Taux ABS</t>
  </si>
  <si>
    <t xml:space="preserve">GL</t>
  </si>
  <si>
    <t xml:space="preserve">CM leasing</t>
  </si>
  <si>
    <t xml:space="preserve">DAC</t>
  </si>
  <si>
    <t xml:space="preserve">LA PRESSE</t>
  </si>
  <si>
    <t xml:space="preserve">FACTO</t>
  </si>
  <si>
    <t xml:space="preserve">Appels reçus</t>
  </si>
  <si>
    <t xml:space="preserve">Appels traités</t>
  </si>
  <si>
    <t xml:space="preserve">Appels Dissuadés</t>
  </si>
  <si>
    <t xml:space="preserve">Appels abandonnés</t>
  </si>
  <si>
    <t xml:space="preserve">QS</t>
  </si>
  <si>
    <t xml:space="preserve">CM_FACTORING</t>
  </si>
  <si>
    <t xml:space="preserve">FACTOFRANCE</t>
  </si>
  <si>
    <t xml:space="preserve">Manager</t>
  </si>
  <si>
    <t xml:space="preserve">Nom et Prénom du salarié</t>
  </si>
  <si>
    <t xml:space="preserve">Date début de l'arrêt</t>
  </si>
  <si>
    <t xml:space="preserve">Date de reprise</t>
  </si>
  <si>
    <t xml:space="preserve">Date de dépôt du CM</t>
  </si>
  <si>
    <t xml:space="preserve">Durée de l'arrêt</t>
  </si>
  <si>
    <t xml:space="preserve">OUAQERROUCH NOUR EL HOUDA </t>
  </si>
  <si>
    <t xml:space="preserve">EL BATAL AMINA</t>
  </si>
  <si>
    <t xml:space="preserve">HARGOUS FATIMA ZAHRA</t>
  </si>
  <si>
    <t xml:space="preserve">GHAOUTY NISRINE</t>
  </si>
  <si>
    <t xml:space="preserve">DOURAFEI IKRAM</t>
  </si>
  <si>
    <t xml:space="preserve">SANHAJI SARA</t>
  </si>
  <si>
    <t xml:space="preserve">MASSROUR MOUNIA</t>
  </si>
  <si>
    <t xml:space="preserve">RHATOUS HAMZA</t>
  </si>
  <si>
    <t xml:space="preserve">LASRI NIDAL</t>
  </si>
  <si>
    <t xml:space="preserve">5J</t>
  </si>
  <si>
    <t xml:space="preserve">ADERBAZ KAWTAR</t>
  </si>
  <si>
    <t xml:space="preserve">SAIDI SAMIA</t>
  </si>
  <si>
    <t xml:space="preserve">OUAQERROUCH NOURELHOUDA</t>
  </si>
  <si>
    <t xml:space="preserve">MOUHAFIDI WALID</t>
  </si>
  <si>
    <t xml:space="preserve">LAKHIOUI MERYEM</t>
  </si>
  <si>
    <t xml:space="preserve">30Jours</t>
  </si>
  <si>
    <t xml:space="preserve">TALBI FAIROUZ</t>
  </si>
  <si>
    <t xml:space="preserve">Jour_Deb (AAAAMMJJ)</t>
  </si>
  <si>
    <t xml:space="preserve">ACTIVITE</t>
  </si>
  <si>
    <t xml:space="preserve">SITE</t>
  </si>
  <si>
    <t xml:space="preserve">EMPLOYEE_ID</t>
  </si>
  <si>
    <t xml:space="preserve">RESOURCE_NAME</t>
  </si>
  <si>
    <t xml:space="preserve">LOGIN TIME</t>
  </si>
  <si>
    <t xml:space="preserve">LOGOUT TIME</t>
  </si>
  <si>
    <t xml:space="preserve">SESSION DURATION</t>
  </si>
  <si>
    <t xml:space="preserve">MEDIA</t>
  </si>
  <si>
    <t xml:space="preserve">SUPERVISEUR</t>
  </si>
  <si>
    <t xml:space="preserve">FLOA</t>
  </si>
  <si>
    <t xml:space="preserve">TUNIS</t>
  </si>
  <si>
    <t xml:space="preserve">8859200_IPSABMA</t>
  </si>
  <si>
    <t xml:space="preserve">ABDELKMA</t>
  </si>
  <si>
    <t xml:space="preserve">2026-07-09 05:24:13</t>
  </si>
  <si>
    <t xml:space="preserve">2026-07-09 07:00:54</t>
  </si>
  <si>
    <t xml:space="preserve">Voice</t>
  </si>
  <si>
    <t xml:space="preserve">GUEBSISA</t>
  </si>
  <si>
    <t xml:space="preserve">2026-07-09 20:52:02</t>
  </si>
  <si>
    <t xml:space="preserve">2026-07-10 04:05:19</t>
  </si>
  <si>
    <t xml:space="preserve">8859210_IPSALGH</t>
  </si>
  <si>
    <t xml:space="preserve">ALOUIGH</t>
  </si>
  <si>
    <t xml:space="preserve">2026-07-09 02:58:02</t>
  </si>
  <si>
    <t xml:space="preserve">2026-07-09 07:00:12</t>
  </si>
  <si>
    <t xml:space="preserve">BENBAHKA</t>
  </si>
  <si>
    <t xml:space="preserve">2026-07-09 20:57:02</t>
  </si>
  <si>
    <t xml:space="preserve">2026-07-10 02:00:09</t>
  </si>
  <si>
    <t xml:space="preserve">COFIDIS</t>
  </si>
  <si>
    <t xml:space="preserve">RABAT</t>
  </si>
  <si>
    <t xml:space="preserve">8858043_IPSATMO</t>
  </si>
  <si>
    <t xml:space="preserve">ATCHANMO</t>
  </si>
  <si>
    <t xml:space="preserve">2026-07-09 00:30:04</t>
  </si>
  <si>
    <t xml:space="preserve">2026-07-09 01:13:25</t>
  </si>
  <si>
    <t xml:space="preserve">HARMOUMA</t>
  </si>
  <si>
    <t xml:space="preserve">2026-07-09 01:17:53</t>
  </si>
  <si>
    <t xml:space="preserve">2026-07-09 09:04:00</t>
  </si>
  <si>
    <t xml:space="preserve">CADI</t>
  </si>
  <si>
    <t xml:space="preserve">2026-07-09 23:08:52</t>
  </si>
  <si>
    <t xml:space="preserve">2026-07-09 23:09:10</t>
  </si>
  <si>
    <t xml:space="preserve">2026-07-09 23:59:12</t>
  </si>
  <si>
    <t xml:space="preserve">2026-07-10 09:01:58</t>
  </si>
  <si>
    <t xml:space="preserve">2026-07-09 23:59:13</t>
  </si>
  <si>
    <t xml:space="preserve">2026-07-10 08:42:57</t>
  </si>
  <si>
    <t xml:space="preserve">8858321_IPSBAHX</t>
  </si>
  <si>
    <t xml:space="preserve">BARAHA</t>
  </si>
  <si>
    <t xml:space="preserve">2026-07-09 07:55:09</t>
  </si>
  <si>
    <t xml:space="preserve">2026-07-09 13:30:50</t>
  </si>
  <si>
    <t xml:space="preserve">HMIDOUFO</t>
  </si>
  <si>
    <t xml:space="preserve">2026-07-09 14:31:07</t>
  </si>
  <si>
    <t xml:space="preserve">2026-07-09 16:03:06</t>
  </si>
  <si>
    <t xml:space="preserve">2026-07-09 16:03:46</t>
  </si>
  <si>
    <t xml:space="preserve">2026-07-09 18:00:05</t>
  </si>
  <si>
    <t xml:space="preserve">8858090_IPSBJWD</t>
  </si>
  <si>
    <t xml:space="preserve">BEJAOUWI</t>
  </si>
  <si>
    <t xml:space="preserve">2026-07-09 08:54:02</t>
  </si>
  <si>
    <t xml:space="preserve">2026-07-09 12:44:12</t>
  </si>
  <si>
    <t xml:space="preserve">ZEMZEMJI</t>
  </si>
  <si>
    <t xml:space="preserve">2026-07-09 08:54:04</t>
  </si>
  <si>
    <t xml:space="preserve">2026-07-09 12:44:14</t>
  </si>
  <si>
    <t xml:space="preserve">2026-07-09 21:24:33</t>
  </si>
  <si>
    <t xml:space="preserve">2026-07-10 02:00:49</t>
  </si>
  <si>
    <t xml:space="preserve">2026-07-09 21:24:34</t>
  </si>
  <si>
    <t xml:space="preserve">2026-07-10 02:00:51</t>
  </si>
  <si>
    <t xml:space="preserve">8859234_IPSBEAI</t>
  </si>
  <si>
    <t xml:space="preserve">BENACHAM</t>
  </si>
  <si>
    <t xml:space="preserve">2026-07-09 03:55:48</t>
  </si>
  <si>
    <t xml:space="preserve">2026-07-09 08:00:54</t>
  </si>
  <si>
    <t xml:space="preserve">2026-07-09 20:05:06</t>
  </si>
  <si>
    <t xml:space="preserve">2026-07-10 03:08:40</t>
  </si>
  <si>
    <t xml:space="preserve">8858903_IPSBEOU</t>
  </si>
  <si>
    <t xml:space="preserve">BENMHEOU</t>
  </si>
  <si>
    <t xml:space="preserve">2026-07-09 16:58:15</t>
  </si>
  <si>
    <t xml:space="preserve">2026-07-09 22:01:52</t>
  </si>
  <si>
    <t xml:space="preserve">CHALGHBR</t>
  </si>
  <si>
    <t xml:space="preserve">2026-07-09 16:58:16</t>
  </si>
  <si>
    <t xml:space="preserve">2026-07-09 22:59:32</t>
  </si>
  <si>
    <t xml:space="preserve">2026-07-10 02:04:04</t>
  </si>
  <si>
    <t xml:space="preserve">8859115_IPSBSSZ</t>
  </si>
  <si>
    <t xml:space="preserve">BOUSSLSU</t>
  </si>
  <si>
    <t xml:space="preserve">2026-07-09 09:56:43</t>
  </si>
  <si>
    <t xml:space="preserve">2026-07-09 14:04:51</t>
  </si>
  <si>
    <t xml:space="preserve">Chat</t>
  </si>
  <si>
    <t xml:space="preserve">ELBRINMO</t>
  </si>
  <si>
    <t xml:space="preserve">2026-07-09 15:04:23</t>
  </si>
  <si>
    <t xml:space="preserve">2026-07-09 20:00:15</t>
  </si>
  <si>
    <t xml:space="preserve">8858859_IPSCHFY</t>
  </si>
  <si>
    <t xml:space="preserve">CHAABAFY</t>
  </si>
  <si>
    <t xml:space="preserve">2026-07-09 05:54:45</t>
  </si>
  <si>
    <t xml:space="preserve">2026-07-09 12:00:03</t>
  </si>
  <si>
    <t xml:space="preserve">BERRICMA</t>
  </si>
  <si>
    <t xml:space="preserve">2026-07-09 05:54:46</t>
  </si>
  <si>
    <t xml:space="preserve">2026-07-09 13:01:07</t>
  </si>
  <si>
    <t xml:space="preserve">2026-07-09 15:00:22</t>
  </si>
  <si>
    <t xml:space="preserve">8858857_IPSCHBR</t>
  </si>
  <si>
    <t xml:space="preserve">2026-07-09 02:11:01</t>
  </si>
  <si>
    <t xml:space="preserve">2026-07-09 02:40:10</t>
  </si>
  <si>
    <t xml:space="preserve">FERTANMA</t>
  </si>
  <si>
    <t xml:space="preserve">2026-07-09 05:06:53</t>
  </si>
  <si>
    <t xml:space="preserve">2026-07-09 09:32:56</t>
  </si>
  <si>
    <t xml:space="preserve">2026-07-09 09:32:57</t>
  </si>
  <si>
    <t xml:space="preserve">8858908_IPSHEOM</t>
  </si>
  <si>
    <t xml:space="preserve">HENIOM</t>
  </si>
  <si>
    <t xml:space="preserve">2026-07-09 17:00:33</t>
  </si>
  <si>
    <t xml:space="preserve">2026-07-09 21:00:31</t>
  </si>
  <si>
    <t xml:space="preserve">2026-07-09 21:58:47</t>
  </si>
  <si>
    <t xml:space="preserve">2026-07-09 23:52:44</t>
  </si>
  <si>
    <t xml:space="preserve">2026-07-10 02:00:53</t>
  </si>
  <si>
    <t xml:space="preserve">2026-07-09 23:55:56</t>
  </si>
  <si>
    <t xml:space="preserve">2026-07-10 02:00:52</t>
  </si>
  <si>
    <t xml:space="preserve">8858679_IPSIDJA</t>
  </si>
  <si>
    <t xml:space="preserve">IDRISSYO</t>
  </si>
  <si>
    <t xml:space="preserve">2026-07-09 14:53:25</t>
  </si>
  <si>
    <t xml:space="preserve">2026-07-09 17:13:48</t>
  </si>
  <si>
    <t xml:space="preserve">BELMALME</t>
  </si>
  <si>
    <t xml:space="preserve">2026-07-09 14:53:26</t>
  </si>
  <si>
    <t xml:space="preserve">2026-07-09 17:13:16</t>
  </si>
  <si>
    <t xml:space="preserve">2026-07-09 17:14:14</t>
  </si>
  <si>
    <t xml:space="preserve">2026-07-09 17:14:16</t>
  </si>
  <si>
    <t xml:space="preserve">2026-07-09 17:14:19</t>
  </si>
  <si>
    <t xml:space="preserve">2026-07-09 18:01:28</t>
  </si>
  <si>
    <t xml:space="preserve">2026-07-09 18:58:43</t>
  </si>
  <si>
    <t xml:space="preserve">2026-07-10 01:03:48</t>
  </si>
  <si>
    <t xml:space="preserve">2026-07-09 18:58:44</t>
  </si>
  <si>
    <t xml:space="preserve">2026-07-10 01:03:58</t>
  </si>
  <si>
    <t xml:space="preserve">8859146_IPSKACH</t>
  </si>
  <si>
    <t xml:space="preserve">KABTNICH</t>
  </si>
  <si>
    <t xml:space="preserve">2026-07-09 11:01:46</t>
  </si>
  <si>
    <t xml:space="preserve">2026-07-09 16:42:50</t>
  </si>
  <si>
    <t xml:space="preserve">MATHLOAB</t>
  </si>
  <si>
    <t xml:space="preserve">2026-07-09 17:37:24</t>
  </si>
  <si>
    <t xml:space="preserve">2026-07-09 20:08:13</t>
  </si>
  <si>
    <t xml:space="preserve">8859328_IPSKDMA</t>
  </si>
  <si>
    <t xml:space="preserve">KDAIEMMA</t>
  </si>
  <si>
    <t xml:space="preserve">2026-07-09 06:56:21</t>
  </si>
  <si>
    <t xml:space="preserve">2026-07-09 11:01:30</t>
  </si>
  <si>
    <t xml:space="preserve">JAZZARNI</t>
  </si>
  <si>
    <t xml:space="preserve">2026-07-09 11:02:07</t>
  </si>
  <si>
    <t xml:space="preserve">2026-07-09 13:30:46</t>
  </si>
  <si>
    <t xml:space="preserve">2026-07-09 13:57:40</t>
  </si>
  <si>
    <t xml:space="preserve">2026-07-09 16:30:05</t>
  </si>
  <si>
    <t xml:space="preserve">8858636_IPSLACX</t>
  </si>
  <si>
    <t xml:space="preserve">LAHBIBCY</t>
  </si>
  <si>
    <t xml:space="preserve">2026-07-09 09:04:19</t>
  </si>
  <si>
    <t xml:space="preserve">2026-07-09 09:23:34</t>
  </si>
  <si>
    <t xml:space="preserve">TRABELHY</t>
  </si>
  <si>
    <t xml:space="preserve">2026-07-09 09:23:36</t>
  </si>
  <si>
    <t xml:space="preserve">2026-07-09 09:24:21</t>
  </si>
  <si>
    <t xml:space="preserve">2026-07-09 13:03:11</t>
  </si>
  <si>
    <t xml:space="preserve">2026-07-09 13:59:20</t>
  </si>
  <si>
    <t xml:space="preserve">2026-07-09 18:00:42</t>
  </si>
  <si>
    <t xml:space="preserve">8858411_IPSMISE</t>
  </si>
  <si>
    <t xml:space="preserve">MASSAOSB</t>
  </si>
  <si>
    <t xml:space="preserve">2026-07-09 09:07:36</t>
  </si>
  <si>
    <t xml:space="preserve">2026-07-09 13:01:16</t>
  </si>
  <si>
    <t xml:space="preserve">MARZOUGH</t>
  </si>
  <si>
    <t xml:space="preserve">2026-07-09 14:03:12</t>
  </si>
  <si>
    <t xml:space="preserve">8858706_IPSMHML</t>
  </si>
  <si>
    <t xml:space="preserve">MHIRIAM</t>
  </si>
  <si>
    <t xml:space="preserve">2026-07-09 07:59:21</t>
  </si>
  <si>
    <t xml:space="preserve">2026-07-09 12:09:06</t>
  </si>
  <si>
    <t xml:space="preserve">JERBIAC</t>
  </si>
  <si>
    <t xml:space="preserve">2026-07-09 13:08:41</t>
  </si>
  <si>
    <t xml:space="preserve">2026-07-09 17:00:01</t>
  </si>
  <si>
    <t xml:space="preserve">8858682_IPSNASO</t>
  </si>
  <si>
    <t xml:space="preserve">NAKHLASO</t>
  </si>
  <si>
    <t xml:space="preserve">2026-07-09 14:59:03</t>
  </si>
  <si>
    <t xml:space="preserve">2026-07-09 17:07:05</t>
  </si>
  <si>
    <t xml:space="preserve">2026-07-09 14:59:06</t>
  </si>
  <si>
    <t xml:space="preserve">2026-07-09 18:59:59</t>
  </si>
  <si>
    <t xml:space="preserve">2026-07-09 22:11:15</t>
  </si>
  <si>
    <t xml:space="preserve">2026-07-09 19:00:00</t>
  </si>
  <si>
    <t xml:space="preserve">2026-07-09 22:11:37</t>
  </si>
  <si>
    <t xml:space="preserve">2026-07-09 22:12:54</t>
  </si>
  <si>
    <t xml:space="preserve">2026-07-09 22:13:04</t>
  </si>
  <si>
    <t xml:space="preserve">2026-07-09 22:13:45</t>
  </si>
  <si>
    <t xml:space="preserve">2026-07-10 01:04:51</t>
  </si>
  <si>
    <t xml:space="preserve">8858713_IPSRAMA</t>
  </si>
  <si>
    <t xml:space="preserve">RANNAMO</t>
  </si>
  <si>
    <t xml:space="preserve">2026-07-09 08:49:28</t>
  </si>
  <si>
    <t xml:space="preserve">2026-07-09 13:21:07</t>
  </si>
  <si>
    <t xml:space="preserve">BARHOUSA</t>
  </si>
  <si>
    <t xml:space="preserve">2026-07-09 14:22:15</t>
  </si>
  <si>
    <t xml:space="preserve">2026-07-09 18:00:23</t>
  </si>
  <si>
    <t xml:space="preserve">8858035_IPSOAHJ</t>
  </si>
  <si>
    <t xml:space="preserve">SAIDIMH</t>
  </si>
  <si>
    <t xml:space="preserve">2026-07-09 01:04:12</t>
  </si>
  <si>
    <t xml:space="preserve">2026-07-09 05:05:58</t>
  </si>
  <si>
    <t xml:space="preserve">2026-07-09 05:05:59</t>
  </si>
  <si>
    <t xml:space="preserve">2026-07-09 06:23:03</t>
  </si>
  <si>
    <t xml:space="preserve">2026-07-09 10:02:42</t>
  </si>
  <si>
    <t xml:space="preserve">8858913_IPSSAHI</t>
  </si>
  <si>
    <t xml:space="preserve">SALHIHI</t>
  </si>
  <si>
    <t xml:space="preserve">2026-07-09 00:00:45</t>
  </si>
  <si>
    <t xml:space="preserve">2026-07-09 03:03:08</t>
  </si>
  <si>
    <t xml:space="preserve">MEDINIRE</t>
  </si>
  <si>
    <t xml:space="preserve">2026-07-09 18:35:10</t>
  </si>
  <si>
    <t xml:space="preserve">2026-07-09 23:00:05</t>
  </si>
  <si>
    <t xml:space="preserve">2026-07-09 23:57:43</t>
  </si>
  <si>
    <t xml:space="preserve">2026-07-10 01:42:46</t>
  </si>
  <si>
    <t xml:space="preserve">2026-07-09 23:57:44</t>
  </si>
  <si>
    <t xml:space="preserve">2026-07-10 01:42:49</t>
  </si>
  <si>
    <t xml:space="preserve">8859137_IPSZAHA</t>
  </si>
  <si>
    <t xml:space="preserve">ZAIERHA</t>
  </si>
  <si>
    <t xml:space="preserve">2026-07-09 07:52:29</t>
  </si>
  <si>
    <t xml:space="preserve">2026-07-09 10:49:45</t>
  </si>
  <si>
    <t xml:space="preserve">NACCACRA</t>
  </si>
  <si>
    <t xml:space="preserve">2026-07-09 10:50:57</t>
  </si>
  <si>
    <t xml:space="preserve">2026-07-09 12:00:49</t>
  </si>
  <si>
    <t xml:space="preserve">2026-07-09 12:59:33</t>
  </si>
  <si>
    <t xml:space="preserve">2026-07-09 17:10:32</t>
  </si>
  <si>
    <t xml:space="preserve">2026-07-09 22:51:15</t>
  </si>
  <si>
    <t xml:space="preserve">2026-07-10 00:41:39</t>
  </si>
  <si>
    <t xml:space="preserve">8859430_IPSZGAM</t>
  </si>
  <si>
    <t xml:space="preserve">ZGUIDIAM</t>
  </si>
  <si>
    <t xml:space="preserve">2026-07-09 07:48:31</t>
  </si>
  <si>
    <t xml:space="preserve">2026-07-09 13:02:55</t>
  </si>
  <si>
    <t xml:space="preserve">2026-07-09 13:56:56</t>
  </si>
  <si>
    <t xml:space="preserve">2026-07-09 18:00:36</t>
  </si>
  <si>
    <t xml:space="preserve">PRESSE</t>
  </si>
  <si>
    <t xml:space="preserve">8858120_IPSAABO</t>
  </si>
  <si>
    <t xml:space="preserve">AAZAROBO</t>
  </si>
  <si>
    <t xml:space="preserve">2026-07-10 07:44:14</t>
  </si>
  <si>
    <t xml:space="preserve">2026-07-10 12:31:02</t>
  </si>
  <si>
    <t xml:space="preserve">MOUNAJSO</t>
  </si>
  <si>
    <t xml:space="preserve">2026-07-10 13:26:33</t>
  </si>
  <si>
    <t xml:space="preserve">2026-07-10 17:00:14</t>
  </si>
  <si>
    <t xml:space="preserve">8858479_IPSBBGH</t>
  </si>
  <si>
    <t xml:space="preserve">ABBASSGH</t>
  </si>
  <si>
    <t xml:space="preserve">2026-07-10 08:59:08</t>
  </si>
  <si>
    <t xml:space="preserve">2026-07-10 13:11:54</t>
  </si>
  <si>
    <t xml:space="preserve">SIFAOUWA</t>
  </si>
  <si>
    <t xml:space="preserve">2026-07-10 14:16:04</t>
  </si>
  <si>
    <t xml:space="preserve">2026-07-10 18:04:05</t>
  </si>
  <si>
    <t xml:space="preserve">8858391_IPSABME</t>
  </si>
  <si>
    <t xml:space="preserve">ABBESME</t>
  </si>
  <si>
    <t xml:space="preserve">2026-07-10 09:04:46</t>
  </si>
  <si>
    <t xml:space="preserve">2026-07-10 17:04:46</t>
  </si>
  <si>
    <t xml:space="preserve">KODIASA</t>
  </si>
  <si>
    <t xml:space="preserve">2026-07-10 23:50:26</t>
  </si>
  <si>
    <t xml:space="preserve">2026-07-10 23:54:20</t>
  </si>
  <si>
    <t xml:space="preserve">8858322_IPSBBNA</t>
  </si>
  <si>
    <t xml:space="preserve">ABBOUCND</t>
  </si>
  <si>
    <t xml:space="preserve">2026-07-10 07:45:28</t>
  </si>
  <si>
    <t xml:space="preserve">2026-07-10 07:45:58</t>
  </si>
  <si>
    <t xml:space="preserve">2026-07-10 07:58:27</t>
  </si>
  <si>
    <t xml:space="preserve">2026-07-10 13:04:23</t>
  </si>
  <si>
    <t xml:space="preserve">2026-07-10 13:04:24</t>
  </si>
  <si>
    <t xml:space="preserve">2026-07-10 13:05:53</t>
  </si>
  <si>
    <t xml:space="preserve">2026-07-10 13:06:53</t>
  </si>
  <si>
    <t xml:space="preserve">2026-07-10 13:05:54</t>
  </si>
  <si>
    <t xml:space="preserve">2026-07-10 14:03:39</t>
  </si>
  <si>
    <t xml:space="preserve">2026-07-10 14:11:14</t>
  </si>
  <si>
    <t xml:space="preserve">2026-07-10 14:11:45</t>
  </si>
  <si>
    <t xml:space="preserve">2026-07-10 14:12:16</t>
  </si>
  <si>
    <t xml:space="preserve">2026-07-10 18:00:21</t>
  </si>
  <si>
    <t xml:space="preserve">2026-07-10 14:12:17</t>
  </si>
  <si>
    <t xml:space="preserve">SORTANT</t>
  </si>
  <si>
    <t xml:space="preserve">8858328_IPSABKW</t>
  </si>
  <si>
    <t xml:space="preserve">ABDELAKD</t>
  </si>
  <si>
    <t xml:space="preserve">2026-07-10 10:00:04</t>
  </si>
  <si>
    <t xml:space="preserve">2026-07-10 13:00:36</t>
  </si>
  <si>
    <t xml:space="preserve">ELJAOUUS</t>
  </si>
  <si>
    <t xml:space="preserve">2026-07-10 14:10:25</t>
  </si>
  <si>
    <t xml:space="preserve">2026-07-10 18:35:55</t>
  </si>
  <si>
    <t xml:space="preserve">2026-07-10 18:37:10</t>
  </si>
  <si>
    <t xml:space="preserve">2026-07-10 19:00:12</t>
  </si>
  <si>
    <t xml:space="preserve">2026-07-10 04:52:07</t>
  </si>
  <si>
    <t xml:space="preserve">2026-07-10 07:00:17</t>
  </si>
  <si>
    <t xml:space="preserve">2026-07-10 20:42:47</t>
  </si>
  <si>
    <t xml:space="preserve">2026-07-10 20:43:47</t>
  </si>
  <si>
    <t xml:space="preserve">2026-07-10 20:51:44</t>
  </si>
  <si>
    <t xml:space="preserve">2026-07-11 04:13:00</t>
  </si>
  <si>
    <t xml:space="preserve">8858869_IPSABBR</t>
  </si>
  <si>
    <t xml:space="preserve">ABDELLBR</t>
  </si>
  <si>
    <t xml:space="preserve">2026-07-10 13:21:11</t>
  </si>
  <si>
    <t xml:space="preserve">2026-07-10 13:28:51</t>
  </si>
  <si>
    <t xml:space="preserve">2026-07-10 13:21:12</t>
  </si>
  <si>
    <t xml:space="preserve">2026-07-10 13:26:34</t>
  </si>
  <si>
    <t xml:space="preserve">2026-07-10 13:29:11</t>
  </si>
  <si>
    <t xml:space="preserve">2026-07-10 13:29:46</t>
  </si>
  <si>
    <t xml:space="preserve">2026-07-10 13:30:30</t>
  </si>
  <si>
    <t xml:space="preserve">2026-07-10 20:15:10</t>
  </si>
  <si>
    <t xml:space="preserve">2026-07-10 13:30:31</t>
  </si>
  <si>
    <t xml:space="preserve">2026-07-10 20:59:56</t>
  </si>
  <si>
    <t xml:space="preserve">2026-07-10 22:02:06</t>
  </si>
  <si>
    <t xml:space="preserve">2026-07-10 20:59:57</t>
  </si>
  <si>
    <t xml:space="preserve">8859240_IPSKFEA</t>
  </si>
  <si>
    <t xml:space="preserve">ABDELLMS</t>
  </si>
  <si>
    <t xml:space="preserve">2026-07-10 08:59:14</t>
  </si>
  <si>
    <t xml:space="preserve">2026-07-10 14:07:20</t>
  </si>
  <si>
    <t xml:space="preserve">KHOUILAM</t>
  </si>
  <si>
    <t xml:space="preserve">2026-07-10 15:05:41</t>
  </si>
  <si>
    <t xml:space="preserve">2026-07-10 16:14:05</t>
  </si>
  <si>
    <t xml:space="preserve">2026-07-10 16:14:40</t>
  </si>
  <si>
    <t xml:space="preserve">2026-07-10 18:00:18</t>
  </si>
  <si>
    <t xml:space="preserve">8858356_IPSABCH</t>
  </si>
  <si>
    <t xml:space="preserve">ABDERACH</t>
  </si>
  <si>
    <t xml:space="preserve">2026-07-10 07:57:11</t>
  </si>
  <si>
    <t xml:space="preserve">2026-07-10 07:57:16</t>
  </si>
  <si>
    <t xml:space="preserve">HAMMAMME</t>
  </si>
  <si>
    <t xml:space="preserve">2026-07-10 07:59:38</t>
  </si>
  <si>
    <t xml:space="preserve">2026-07-10 12:00:02</t>
  </si>
  <si>
    <t xml:space="preserve">2026-07-10 12:59:37</t>
  </si>
  <si>
    <t xml:space="preserve">2026-07-10 17:00:02</t>
  </si>
  <si>
    <t xml:space="preserve">8858858_IPSABMN</t>
  </si>
  <si>
    <t xml:space="preserve">ABDERAMO</t>
  </si>
  <si>
    <t xml:space="preserve">2026-07-10 08:03:04</t>
  </si>
  <si>
    <t xml:space="preserve">2026-07-10 09:18:36</t>
  </si>
  <si>
    <t xml:space="preserve">2026-07-10 09:18:37</t>
  </si>
  <si>
    <t xml:space="preserve">2026-07-10 09:37:55</t>
  </si>
  <si>
    <t xml:space="preserve">2026-07-10 12:04:22</t>
  </si>
  <si>
    <t xml:space="preserve">2026-07-10 13:03:37</t>
  </si>
  <si>
    <t xml:space="preserve">2026-07-10 17:27:52</t>
  </si>
  <si>
    <t xml:space="preserve">MONABANQ</t>
  </si>
  <si>
    <t xml:space="preserve">8858487_IPSAMMD</t>
  </si>
  <si>
    <t xml:space="preserve">ABDESSMH</t>
  </si>
  <si>
    <t xml:space="preserve">2026-07-10 10:00:47</t>
  </si>
  <si>
    <t xml:space="preserve">2026-07-10 13:19:46</t>
  </si>
  <si>
    <t xml:space="preserve">ZIEDIEL</t>
  </si>
  <si>
    <t xml:space="preserve">2026-07-10 14:16:03</t>
  </si>
  <si>
    <t xml:space="preserve">2026-07-10 19:22:42</t>
  </si>
  <si>
    <t xml:space="preserve">8858870_IPSABHA</t>
  </si>
  <si>
    <t xml:space="preserve">ABDOULHA</t>
  </si>
  <si>
    <t xml:space="preserve">2026-07-10 09:57:54</t>
  </si>
  <si>
    <t xml:space="preserve">2026-07-10 10:01:26</t>
  </si>
  <si>
    <t xml:space="preserve">SBOUISE</t>
  </si>
  <si>
    <t xml:space="preserve">2026-07-10 09:57:55</t>
  </si>
  <si>
    <t xml:space="preserve">2026-07-10 10:01:28</t>
  </si>
  <si>
    <t xml:space="preserve">2026-07-10 13:35:37</t>
  </si>
  <si>
    <t xml:space="preserve">2026-07-10 14:48:00</t>
  </si>
  <si>
    <t xml:space="preserve">2026-07-10 13:35:38</t>
  </si>
  <si>
    <t xml:space="preserve">2026-07-10 14:48:15</t>
  </si>
  <si>
    <t xml:space="preserve">2026-07-10 14:53:42</t>
  </si>
  <si>
    <t xml:space="preserve">2026-07-10 15:02:14</t>
  </si>
  <si>
    <t xml:space="preserve">2026-07-10 20:35:36</t>
  </si>
  <si>
    <t xml:space="preserve">2026-07-10 20:36:55</t>
  </si>
  <si>
    <t xml:space="preserve">2026-07-10 21:45:17</t>
  </si>
  <si>
    <t xml:space="preserve">2026-07-10 20:36:56</t>
  </si>
  <si>
    <t xml:space="preserve">2026-07-10 21:45:22</t>
  </si>
  <si>
    <t xml:space="preserve">8858701_IPSABKU</t>
  </si>
  <si>
    <t xml:space="preserve">ABEDKH</t>
  </si>
  <si>
    <t xml:space="preserve">2026-07-10 09:02:13</t>
  </si>
  <si>
    <t xml:space="preserve">2026-07-10 13:41:35</t>
  </si>
  <si>
    <t xml:space="preserve">KAFIMO</t>
  </si>
  <si>
    <t xml:space="preserve">2026-07-10 13:41:48</t>
  </si>
  <si>
    <t xml:space="preserve">2026-07-10 14:15:53</t>
  </si>
  <si>
    <t xml:space="preserve">2026-07-10 15:39:56</t>
  </si>
  <si>
    <t xml:space="preserve">2026-07-10 18:07:56</t>
  </si>
  <si>
    <t xml:space="preserve">8859202_IPSABAM</t>
  </si>
  <si>
    <t xml:space="preserve">ABICHOAM</t>
  </si>
  <si>
    <t xml:space="preserve">2026-07-10 10:59:46</t>
  </si>
  <si>
    <t xml:space="preserve">2026-07-10 16:32:00</t>
  </si>
  <si>
    <t xml:space="preserve">ARFAOUWI</t>
  </si>
  <si>
    <t xml:space="preserve">2026-07-10 17:30:59</t>
  </si>
  <si>
    <t xml:space="preserve">2026-07-10 18:08:54</t>
  </si>
  <si>
    <t xml:space="preserve">2026-07-10 18:14:24</t>
  </si>
  <si>
    <t xml:space="preserve">2026-07-10 20:07:07</t>
  </si>
  <si>
    <t xml:space="preserve">8858134_IPSAIIN</t>
  </si>
  <si>
    <t xml:space="preserve">ABIDIIE</t>
  </si>
  <si>
    <t xml:space="preserve">2026-07-10 08:38:31</t>
  </si>
  <si>
    <t xml:space="preserve">2026-07-10 14:25:41</t>
  </si>
  <si>
    <t xml:space="preserve">2026-07-10 14:26:02</t>
  </si>
  <si>
    <t xml:space="preserve">2026-07-10 15:11:37</t>
  </si>
  <si>
    <t xml:space="preserve">2026-07-10 15:13:08</t>
  </si>
  <si>
    <t xml:space="preserve">2026-07-10 15:22:26</t>
  </si>
  <si>
    <t xml:space="preserve">2026-07-10 15:23:34</t>
  </si>
  <si>
    <t xml:space="preserve">2026-07-10 15:23:47</t>
  </si>
  <si>
    <t xml:space="preserve">2026-07-10 16:31:23</t>
  </si>
  <si>
    <t xml:space="preserve">2026-07-10 16:31:24</t>
  </si>
  <si>
    <t xml:space="preserve">2026-07-10 16:31:26</t>
  </si>
  <si>
    <t xml:space="preserve">2026-07-10 16:36:53</t>
  </si>
  <si>
    <t xml:space="preserve">2026-07-10 17:07:21</t>
  </si>
  <si>
    <t xml:space="preserve">2026-07-10 17:07:52</t>
  </si>
  <si>
    <t xml:space="preserve">2026-07-10 17:10:33</t>
  </si>
  <si>
    <t xml:space="preserve">2026-07-10 19:10:30</t>
  </si>
  <si>
    <t xml:space="preserve">8858152_IPSABIE</t>
  </si>
  <si>
    <t xml:space="preserve">ABIDIIM</t>
  </si>
  <si>
    <t xml:space="preserve">2026-07-10 09:15:25</t>
  </si>
  <si>
    <t xml:space="preserve">2026-07-10 09:37:13</t>
  </si>
  <si>
    <t xml:space="preserve">CHAARAYO</t>
  </si>
  <si>
    <t xml:space="preserve">2026-07-10 09:37:49</t>
  </si>
  <si>
    <t xml:space="preserve">2026-07-10 10:15:54</t>
  </si>
  <si>
    <t xml:space="preserve">2026-07-10 10:16:36</t>
  </si>
  <si>
    <t xml:space="preserve">2026-07-10 11:23:23</t>
  </si>
  <si>
    <t xml:space="preserve">2026-07-10 11:24:13</t>
  </si>
  <si>
    <t xml:space="preserve">2026-07-10 12:09:10</t>
  </si>
  <si>
    <t xml:space="preserve">2026-07-10 12:11:11</t>
  </si>
  <si>
    <t xml:space="preserve">2026-07-10 13:33:19</t>
  </si>
  <si>
    <t xml:space="preserve">2026-07-10 13:34:27</t>
  </si>
  <si>
    <t xml:space="preserve">2026-07-10 13:58:48</t>
  </si>
  <si>
    <t xml:space="preserve">2026-07-10 13:59:20</t>
  </si>
  <si>
    <t xml:space="preserve">2026-07-10 14:00:36</t>
  </si>
  <si>
    <t xml:space="preserve">2026-07-10 15:06:27</t>
  </si>
  <si>
    <t xml:space="preserve">2026-07-10 18:01:36</t>
  </si>
  <si>
    <t xml:space="preserve">8859203_IPSABRY</t>
  </si>
  <si>
    <t xml:space="preserve">ABIDIRY</t>
  </si>
  <si>
    <t xml:space="preserve">2026-07-10 09:05:07</t>
  </si>
  <si>
    <t xml:space="preserve">2026-07-10 10:23:48</t>
  </si>
  <si>
    <t xml:space="preserve">JOUINIAA</t>
  </si>
  <si>
    <t xml:space="preserve">2026-07-10 10:24:37</t>
  </si>
  <si>
    <t xml:space="preserve">2026-07-10 10:51:53</t>
  </si>
  <si>
    <t xml:space="preserve">2026-07-10 10:52:27</t>
  </si>
  <si>
    <t xml:space="preserve">2026-07-10 14:04:05</t>
  </si>
  <si>
    <t xml:space="preserve">2026-07-10 15:03:13</t>
  </si>
  <si>
    <t xml:space="preserve">2026-07-10 15:03:47</t>
  </si>
  <si>
    <t xml:space="preserve">2026-07-10 15:05:17</t>
  </si>
  <si>
    <t xml:space="preserve">2026-07-10 15:41:13</t>
  </si>
  <si>
    <t xml:space="preserve">2026-07-10 15:49:38</t>
  </si>
  <si>
    <t xml:space="preserve">2026-07-10 18:04:46</t>
  </si>
  <si>
    <t xml:space="preserve">LEADS GOOGLE</t>
  </si>
  <si>
    <t xml:space="preserve">8858466_IPSBLAZ</t>
  </si>
  <si>
    <t xml:space="preserve">ABILLAAL</t>
  </si>
  <si>
    <t xml:space="preserve">2026-07-10 10:59:48</t>
  </si>
  <si>
    <t xml:space="preserve">2026-07-10 16:00:01</t>
  </si>
  <si>
    <t xml:space="preserve">FARKACHI</t>
  </si>
  <si>
    <t xml:space="preserve">2026-07-10 17:00:30</t>
  </si>
  <si>
    <t xml:space="preserve">2026-07-10 21:00:02</t>
  </si>
  <si>
    <t xml:space="preserve">8859101_IPSABMH</t>
  </si>
  <si>
    <t xml:space="preserve">ABOUMEMO</t>
  </si>
  <si>
    <t xml:space="preserve">2026-07-10 07:57:34</t>
  </si>
  <si>
    <t xml:space="preserve">2026-07-10 12:24:02</t>
  </si>
  <si>
    <t xml:space="preserve">2026-07-10 07:57:35</t>
  </si>
  <si>
    <t xml:space="preserve">2026-07-10 13:22:22</t>
  </si>
  <si>
    <t xml:space="preserve">2026-07-10 17:10:29</t>
  </si>
  <si>
    <t xml:space="preserve">8859204_IPSABBS</t>
  </si>
  <si>
    <t xml:space="preserve">ABOUYOBA</t>
  </si>
  <si>
    <t xml:space="preserve">2026-07-10 08:01:06</t>
  </si>
  <si>
    <t xml:space="preserve">2026-07-10 13:20:00</t>
  </si>
  <si>
    <t xml:space="preserve">ELHARRBA</t>
  </si>
  <si>
    <t xml:space="preserve">2026-07-10 14:20:02</t>
  </si>
  <si>
    <t xml:space="preserve">2026-07-10 18:00:07</t>
  </si>
  <si>
    <t xml:space="preserve">8858675_IPSAFCH</t>
  </si>
  <si>
    <t xml:space="preserve">AFUIDYCH</t>
  </si>
  <si>
    <t xml:space="preserve">2026-07-10 08:58:40</t>
  </si>
  <si>
    <t xml:space="preserve">2026-07-10 14:14:42</t>
  </si>
  <si>
    <t xml:space="preserve">2026-07-10 08:58:41</t>
  </si>
  <si>
    <t xml:space="preserve">2026-07-10 14:14:54</t>
  </si>
  <si>
    <t xml:space="preserve">2026-07-10 14:15:40</t>
  </si>
  <si>
    <t xml:space="preserve">2026-07-10 15:01:05</t>
  </si>
  <si>
    <t xml:space="preserve">2026-07-10 14:15:41</t>
  </si>
  <si>
    <t xml:space="preserve">2026-07-10 15:01:06</t>
  </si>
  <si>
    <t xml:space="preserve">2026-07-10 15:58:43</t>
  </si>
  <si>
    <t xml:space="preserve">2026-07-10 19:00:14</t>
  </si>
  <si>
    <t xml:space="preserve">2026-07-10 19:00:20</t>
  </si>
  <si>
    <t xml:space="preserve">8858204_IPSGNHN</t>
  </si>
  <si>
    <t xml:space="preserve">AGNABEHA</t>
  </si>
  <si>
    <t xml:space="preserve">2026-07-10 08:55:07</t>
  </si>
  <si>
    <t xml:space="preserve">2026-07-10 15:29:01</t>
  </si>
  <si>
    <t xml:space="preserve">KHANNI</t>
  </si>
  <si>
    <t xml:space="preserve">2026-07-10 15:58:34</t>
  </si>
  <si>
    <t xml:space="preserve">2026-07-10 18:01:17</t>
  </si>
  <si>
    <t xml:space="preserve">8858175_IPSAGMO</t>
  </si>
  <si>
    <t xml:space="preserve">AGUERBMO</t>
  </si>
  <si>
    <t xml:space="preserve">2026-07-10 09:01:13</t>
  </si>
  <si>
    <t xml:space="preserve">2026-07-10 12:06:47</t>
  </si>
  <si>
    <t xml:space="preserve">BOURKHSA</t>
  </si>
  <si>
    <t xml:space="preserve">2026-07-10 12:07:36</t>
  </si>
  <si>
    <t xml:space="preserve">2026-07-10 12:39:43</t>
  </si>
  <si>
    <t xml:space="preserve">2026-07-10 12:49:42</t>
  </si>
  <si>
    <t xml:space="preserve">2026-07-10 13:00:08</t>
  </si>
  <si>
    <t xml:space="preserve">2026-07-10 14:01:30</t>
  </si>
  <si>
    <t xml:space="preserve">2026-07-10 15:06:49</t>
  </si>
  <si>
    <t xml:space="preserve">2026-07-10 15:22:51</t>
  </si>
  <si>
    <t xml:space="preserve">8858779_IPSAIKH</t>
  </si>
  <si>
    <t xml:space="preserve">2026-07-10 07:55:21</t>
  </si>
  <si>
    <t xml:space="preserve">2026-07-10 13:04:33</t>
  </si>
  <si>
    <t xml:space="preserve">OUAQERNO</t>
  </si>
  <si>
    <t xml:space="preserve">2026-07-10 14:04:35</t>
  </si>
  <si>
    <t xml:space="preserve">2026-07-10 18:03:52</t>
  </si>
  <si>
    <t xml:space="preserve">8858025_IPSATLB</t>
  </si>
  <si>
    <t xml:space="preserve">AITALILO</t>
  </si>
  <si>
    <t xml:space="preserve">2026-07-10 09:59:37</t>
  </si>
  <si>
    <t xml:space="preserve">2026-07-10 13:01:07</t>
  </si>
  <si>
    <t xml:space="preserve">BELQASEL</t>
  </si>
  <si>
    <t xml:space="preserve">2026-07-10 14:01:05</t>
  </si>
  <si>
    <t xml:space="preserve">2026-07-10 14:03:42</t>
  </si>
  <si>
    <t xml:space="preserve">2026-07-10 14:04:46</t>
  </si>
  <si>
    <t xml:space="preserve">2026-07-10 19:00:02</t>
  </si>
  <si>
    <t xml:space="preserve">CML</t>
  </si>
  <si>
    <t xml:space="preserve">8858386_IPSAIGO</t>
  </si>
  <si>
    <t xml:space="preserve">AITRABNH</t>
  </si>
  <si>
    <t xml:space="preserve">2026-07-10 08:58:09</t>
  </si>
  <si>
    <t xml:space="preserve">2026-07-10 14:00:56</t>
  </si>
  <si>
    <t xml:space="preserve">IDELHAME</t>
  </si>
  <si>
    <t xml:space="preserve">2026-07-10 14:53:34</t>
  </si>
  <si>
    <t xml:space="preserve">2026-07-10 14:53:36</t>
  </si>
  <si>
    <t xml:space="preserve">2026-07-10 14:58:28</t>
  </si>
  <si>
    <t xml:space="preserve">2026-07-10 18:00:08</t>
  </si>
  <si>
    <t xml:space="preserve">8858031_IPSJMMN</t>
  </si>
  <si>
    <t xml:space="preserve">AJMILAMO</t>
  </si>
  <si>
    <t xml:space="preserve">2026-07-10 10:59:17</t>
  </si>
  <si>
    <t xml:space="preserve">2026-07-10 13:12:38</t>
  </si>
  <si>
    <t xml:space="preserve">2026-07-10 13:13:35</t>
  </si>
  <si>
    <t xml:space="preserve">2026-07-10 16:00:07</t>
  </si>
  <si>
    <t xml:space="preserve">2026-07-10 16:58:13</t>
  </si>
  <si>
    <t xml:space="preserve">2026-07-10 21:02:53</t>
  </si>
  <si>
    <t xml:space="preserve">8858171_IPSAJAF</t>
  </si>
  <si>
    <t xml:space="preserve">AJOUAAF</t>
  </si>
  <si>
    <t xml:space="preserve">2026-07-10 09:19:18</t>
  </si>
  <si>
    <t xml:space="preserve">2026-07-10 13:19:55</t>
  </si>
  <si>
    <t xml:space="preserve">DKHILIAM</t>
  </si>
  <si>
    <t xml:space="preserve">2026-07-10 14:00:50</t>
  </si>
  <si>
    <t xml:space="preserve">2026-07-10 18:01:12</t>
  </si>
  <si>
    <t xml:space="preserve">8858159_IPSGKMA</t>
  </si>
  <si>
    <t xml:space="preserve">AKHSASMA</t>
  </si>
  <si>
    <t xml:space="preserve">2026-07-10 09:01:01</t>
  </si>
  <si>
    <t xml:space="preserve">2026-07-10 13:12:48</t>
  </si>
  <si>
    <t xml:space="preserve">2026-07-10 13:13:00</t>
  </si>
  <si>
    <t xml:space="preserve">2026-07-10 14:00:26</t>
  </si>
  <si>
    <t xml:space="preserve">2026-07-10 14:58:08</t>
  </si>
  <si>
    <t xml:space="preserve">2026-07-10 18:00:06</t>
  </si>
  <si>
    <t xml:space="preserve">8859554_IPSLMHM</t>
  </si>
  <si>
    <t xml:space="preserve">ALAMIAAH</t>
  </si>
  <si>
    <t xml:space="preserve">2026-07-10 09:02:15</t>
  </si>
  <si>
    <t xml:space="preserve">2026-07-10 09:47:07</t>
  </si>
  <si>
    <t xml:space="preserve">2026-07-10 09:57:47</t>
  </si>
  <si>
    <t xml:space="preserve">2026-07-10 10:37:44</t>
  </si>
  <si>
    <t xml:space="preserve">2026-07-10 10:38:20</t>
  </si>
  <si>
    <t xml:space="preserve">2026-07-10 14:12:34</t>
  </si>
  <si>
    <t xml:space="preserve">2026-07-10 15:13:23</t>
  </si>
  <si>
    <t xml:space="preserve">8858051_IPSALBO</t>
  </si>
  <si>
    <t xml:space="preserve">ALAOUABO</t>
  </si>
  <si>
    <t xml:space="preserve">2026-07-10 07:58:14</t>
  </si>
  <si>
    <t xml:space="preserve">2026-07-10 12:04:16</t>
  </si>
  <si>
    <t xml:space="preserve">2026-07-10 12:04:51</t>
  </si>
  <si>
    <t xml:space="preserve">2026-07-10 13:00:03</t>
  </si>
  <si>
    <t xml:space="preserve">2026-07-10 13:59:35</t>
  </si>
  <si>
    <t xml:space="preserve">2026-07-10 18:00:36</t>
  </si>
  <si>
    <t xml:space="preserve">8858058_IPSANMK</t>
  </si>
  <si>
    <t xml:space="preserve">ALINOUMH</t>
  </si>
  <si>
    <t xml:space="preserve">2026-07-10 08:04:50</t>
  </si>
  <si>
    <t xml:space="preserve">2026-07-10 13:03:51</t>
  </si>
  <si>
    <t xml:space="preserve">ECHIMO</t>
  </si>
  <si>
    <t xml:space="preserve">2026-07-10 13:57:50</t>
  </si>
  <si>
    <t xml:space="preserve">2026-07-10 16:08:10</t>
  </si>
  <si>
    <t xml:space="preserve">8858153_IPSALAI</t>
  </si>
  <si>
    <t xml:space="preserve">ALIOUIAI</t>
  </si>
  <si>
    <t xml:space="preserve">2026-07-10 08:34:25</t>
  </si>
  <si>
    <t xml:space="preserve">2026-07-10 08:34:30</t>
  </si>
  <si>
    <t xml:space="preserve">DGHAEIME</t>
  </si>
  <si>
    <t xml:space="preserve">2026-07-10 09:00:09</t>
  </si>
  <si>
    <t xml:space="preserve">2026-07-10 12:14:02</t>
  </si>
  <si>
    <t xml:space="preserve">2026-07-10 12:14:08</t>
  </si>
  <si>
    <t xml:space="preserve">2026-07-10 12:14:40</t>
  </si>
  <si>
    <t xml:space="preserve">2026-07-10 12:15:42</t>
  </si>
  <si>
    <t xml:space="preserve">2026-07-10 13:02:10</t>
  </si>
  <si>
    <t xml:space="preserve">2026-07-10 13:03:53</t>
  </si>
  <si>
    <t xml:space="preserve">2026-07-10 13:04:06</t>
  </si>
  <si>
    <t xml:space="preserve">2026-07-10 14:02:08</t>
  </si>
  <si>
    <t xml:space="preserve">2026-07-10 18:00:31</t>
  </si>
  <si>
    <t xml:space="preserve">8858520_IPSAINL</t>
  </si>
  <si>
    <t xml:space="preserve">ALLANINB</t>
  </si>
  <si>
    <t xml:space="preserve">2026-07-10 08:58:43</t>
  </si>
  <si>
    <t xml:space="preserve">2026-07-10 09:00:00</t>
  </si>
  <si>
    <t xml:space="preserve">2026-07-10 13:27:49</t>
  </si>
  <si>
    <t xml:space="preserve">2026-07-10 14:29:32</t>
  </si>
  <si>
    <t xml:space="preserve">2026-07-10 18:06:14</t>
  </si>
  <si>
    <t xml:space="preserve">2026-07-10 02:55:42</t>
  </si>
  <si>
    <t xml:space="preserve">2026-07-10 07:00:02</t>
  </si>
  <si>
    <t xml:space="preserve">2026-07-10 20:55:59</t>
  </si>
  <si>
    <t xml:space="preserve">2026-07-11 02:00:07</t>
  </si>
  <si>
    <t xml:space="preserve">8859211_IPSALRA</t>
  </si>
  <si>
    <t xml:space="preserve">ALOUIRA</t>
  </si>
  <si>
    <t xml:space="preserve">2026-07-10 08:27:05</t>
  </si>
  <si>
    <t xml:space="preserve">2026-07-10 09:29:16</t>
  </si>
  <si>
    <t xml:space="preserve">2026-07-10 09:31:56</t>
  </si>
  <si>
    <t xml:space="preserve">2026-07-10 15:00:02</t>
  </si>
  <si>
    <t xml:space="preserve">2026-07-10 15:58:44</t>
  </si>
  <si>
    <t xml:space="preserve">2026-07-10 17:30:01</t>
  </si>
  <si>
    <t xml:space="preserve">8859212_IPSALWJ</t>
  </si>
  <si>
    <t xml:space="preserve">ALOUIWE</t>
  </si>
  <si>
    <t xml:space="preserve">2026-07-10 07:50:04</t>
  </si>
  <si>
    <t xml:space="preserve">2026-07-10 13:00:09</t>
  </si>
  <si>
    <t xml:space="preserve">SANDIDAH</t>
  </si>
  <si>
    <t xml:space="preserve">2026-07-10 13:53:28</t>
  </si>
  <si>
    <t xml:space="preserve">2026-07-10 17:00:26</t>
  </si>
  <si>
    <t xml:space="preserve">8858057_IPSAMUE</t>
  </si>
  <si>
    <t xml:space="preserve">AMDOUNHA</t>
  </si>
  <si>
    <t xml:space="preserve">2026-07-10 08:52:39</t>
  </si>
  <si>
    <t xml:space="preserve">2026-07-10 08:52:58</t>
  </si>
  <si>
    <t xml:space="preserve">2026-07-10 09:04:34</t>
  </si>
  <si>
    <t xml:space="preserve">2026-07-10 14:09:11</t>
  </si>
  <si>
    <t xml:space="preserve">2026-07-10 14:56:00</t>
  </si>
  <si>
    <t xml:space="preserve">2026-07-10 16:00:12</t>
  </si>
  <si>
    <t xml:space="preserve">2026-07-10 16:00:13</t>
  </si>
  <si>
    <t xml:space="preserve">2026-07-10 18:00:47</t>
  </si>
  <si>
    <t xml:space="preserve">8859543_IPSAEZA</t>
  </si>
  <si>
    <t xml:space="preserve">AMEZIAZA</t>
  </si>
  <si>
    <t xml:space="preserve">2026-07-10 07:48:33</t>
  </si>
  <si>
    <t xml:space="preserve">2026-07-10 08:04:58</t>
  </si>
  <si>
    <t xml:space="preserve">2026-07-10 08:04:59</t>
  </si>
  <si>
    <t xml:space="preserve">2026-07-10 13:01:49</t>
  </si>
  <si>
    <t xml:space="preserve">2026-07-10 14:00:28</t>
  </si>
  <si>
    <t xml:space="preserve">2026-07-10 17:00:12</t>
  </si>
  <si>
    <t xml:space="preserve">8858004_IPSAMHE</t>
  </si>
  <si>
    <t xml:space="preserve">AMIRIHE</t>
  </si>
  <si>
    <t xml:space="preserve">2026-07-10 11:01:13</t>
  </si>
  <si>
    <t xml:space="preserve">2026-07-10 14:12:29</t>
  </si>
  <si>
    <t xml:space="preserve">KLAIWI</t>
  </si>
  <si>
    <t xml:space="preserve">8858344_IPSAMFA</t>
  </si>
  <si>
    <t xml:space="preserve">AMRIFA</t>
  </si>
  <si>
    <t xml:space="preserve">2026-07-10 09:59:27</t>
  </si>
  <si>
    <t xml:space="preserve">2026-07-10 14:01:45</t>
  </si>
  <si>
    <t xml:space="preserve">2026-07-10 15:00:01</t>
  </si>
  <si>
    <t xml:space="preserve">2026-07-10 19:06:27</t>
  </si>
  <si>
    <t xml:space="preserve">8858517_IPSAMSL</t>
  </si>
  <si>
    <t xml:space="preserve">AMRISL</t>
  </si>
  <si>
    <t xml:space="preserve">2026-07-10 07:59:20</t>
  </si>
  <si>
    <t xml:space="preserve">2026-07-10 13:15:26</t>
  </si>
  <si>
    <t xml:space="preserve">2026-07-10 14:12:19</t>
  </si>
  <si>
    <t xml:space="preserve">2026-07-10 17:00:10</t>
  </si>
  <si>
    <t xml:space="preserve">8858413_IPSAMZB</t>
  </si>
  <si>
    <t xml:space="preserve">AMRIZI</t>
  </si>
  <si>
    <t xml:space="preserve">2026-07-10 07:48:56</t>
  </si>
  <si>
    <t xml:space="preserve">2026-07-10 12:30:54</t>
  </si>
  <si>
    <t xml:space="preserve">CHOUIFMU</t>
  </si>
  <si>
    <t xml:space="preserve">8858055_IPSFFOO</t>
  </si>
  <si>
    <t xml:space="preserve">ANISSEMO</t>
  </si>
  <si>
    <t xml:space="preserve">2026-07-10 08:59:20</t>
  </si>
  <si>
    <t xml:space="preserve">8859291_IPSAHDG</t>
  </si>
  <si>
    <t xml:space="preserve">AOUADIHA</t>
  </si>
  <si>
    <t xml:space="preserve">2026-07-10 08:59:57</t>
  </si>
  <si>
    <t xml:space="preserve">2026-07-10 09:50:19</t>
  </si>
  <si>
    <t xml:space="preserve">2026-07-10 09:56:30</t>
  </si>
  <si>
    <t xml:space="preserve">2026-07-10 14:00:01</t>
  </si>
  <si>
    <t xml:space="preserve">2026-07-10 15:00:47</t>
  </si>
  <si>
    <t xml:space="preserve">2026-07-10 18:00:02</t>
  </si>
  <si>
    <t xml:space="preserve">8858776_IPSAOOM</t>
  </si>
  <si>
    <t xml:space="preserve">AOUADIOM</t>
  </si>
  <si>
    <t xml:space="preserve">2026-07-10 07:46:07</t>
  </si>
  <si>
    <t xml:space="preserve">2026-07-10 14:28:13</t>
  </si>
  <si>
    <t xml:space="preserve">2026-07-10 15:27:40</t>
  </si>
  <si>
    <t xml:space="preserve">2026-07-10 17:13:46</t>
  </si>
  <si>
    <t xml:space="preserve">8858491_IPSAOYO</t>
  </si>
  <si>
    <t xml:space="preserve">AOUFYO</t>
  </si>
  <si>
    <t xml:space="preserve">2026-07-10 09:30:16</t>
  </si>
  <si>
    <t xml:space="preserve">2026-07-10 14:01:01</t>
  </si>
  <si>
    <t xml:space="preserve">2026-07-10 19:01:19</t>
  </si>
  <si>
    <t xml:space="preserve">8859536_IPSNLFR</t>
  </si>
  <si>
    <t xml:space="preserve">AOUNALFA</t>
  </si>
  <si>
    <t xml:space="preserve">2026-07-10 08:00:42</t>
  </si>
  <si>
    <t xml:space="preserve">2026-07-10 13:00:12</t>
  </si>
  <si>
    <t xml:space="preserve">2026-07-10 14:02:12</t>
  </si>
  <si>
    <t xml:space="preserve">2026-07-10 17:04:19</t>
  </si>
  <si>
    <t xml:space="preserve">8858095_IPSAROA</t>
  </si>
  <si>
    <t xml:space="preserve">ARAARAM</t>
  </si>
  <si>
    <t xml:space="preserve">2026-07-10 08:33:02</t>
  </si>
  <si>
    <t xml:space="preserve">2026-07-10 08:33:04</t>
  </si>
  <si>
    <t xml:space="preserve">2026-07-10 08:55:21</t>
  </si>
  <si>
    <t xml:space="preserve">2026-07-10 13:58:40</t>
  </si>
  <si>
    <t xml:space="preserve">2026-07-10 18:00:04</t>
  </si>
  <si>
    <t xml:space="preserve">8859353_IPSAFEY</t>
  </si>
  <si>
    <t xml:space="preserve">ARFAEY</t>
  </si>
  <si>
    <t xml:space="preserve">2026-07-10 08:02:10</t>
  </si>
  <si>
    <t xml:space="preserve">2026-07-10 08:17:47</t>
  </si>
  <si>
    <t xml:space="preserve">2026-07-10 08:27:33</t>
  </si>
  <si>
    <t xml:space="preserve">2026-07-10 14:28:39</t>
  </si>
  <si>
    <t xml:space="preserve">2026-07-10 08:28:02</t>
  </si>
  <si>
    <t xml:space="preserve">2026-07-10 15:00:09</t>
  </si>
  <si>
    <t xml:space="preserve">2026-07-10 14:29:48</t>
  </si>
  <si>
    <t xml:space="preserve">2026-07-10 15:58:37</t>
  </si>
  <si>
    <t xml:space="preserve">2026-07-10 16:26:33</t>
  </si>
  <si>
    <t xml:space="preserve">2026-07-10 17:01:46</t>
  </si>
  <si>
    <t xml:space="preserve">2026-07-10 17:30:04</t>
  </si>
  <si>
    <t xml:space="preserve">2026-07-10 17:01:48</t>
  </si>
  <si>
    <t xml:space="preserve">8858752_IPSUAHG</t>
  </si>
  <si>
    <t xml:space="preserve">ARFAOUDH</t>
  </si>
  <si>
    <t xml:space="preserve">2026-07-10 10:48:10</t>
  </si>
  <si>
    <t xml:space="preserve">2026-07-10 15:07:00</t>
  </si>
  <si>
    <t xml:space="preserve">CHOUAISO</t>
  </si>
  <si>
    <t xml:space="preserve">2026-07-10 10:48:36</t>
  </si>
  <si>
    <t xml:space="preserve">2026-07-10 15:06:58</t>
  </si>
  <si>
    <t xml:space="preserve">2026-07-10 16:00:54</t>
  </si>
  <si>
    <t xml:space="preserve">2026-07-10 20:00:04</t>
  </si>
  <si>
    <t xml:space="preserve">2026-07-10 16:01:14</t>
  </si>
  <si>
    <t xml:space="preserve">2026-07-10 20:00:03</t>
  </si>
  <si>
    <t xml:space="preserve">8858350_IPSARFA</t>
  </si>
  <si>
    <t xml:space="preserve">ARFAOUFA</t>
  </si>
  <si>
    <t xml:space="preserve">2026-07-10 08:58:52</t>
  </si>
  <si>
    <t xml:space="preserve">2026-07-10 09:11:01</t>
  </si>
  <si>
    <t xml:space="preserve">2026-07-10 09:12:05</t>
  </si>
  <si>
    <t xml:space="preserve">2026-07-10 13:07:25</t>
  </si>
  <si>
    <t xml:space="preserve">2026-07-10 13:08:47</t>
  </si>
  <si>
    <t xml:space="preserve">2026-07-10 14:01:03</t>
  </si>
  <si>
    <t xml:space="preserve">2026-07-10 15:00:24</t>
  </si>
  <si>
    <t xml:space="preserve">2026-07-10 18:00:33</t>
  </si>
  <si>
    <t xml:space="preserve">8858688_IPSARSO</t>
  </si>
  <si>
    <t xml:space="preserve">ARFAOUSO</t>
  </si>
  <si>
    <t xml:space="preserve">2026-07-10 10:01:05</t>
  </si>
  <si>
    <t xml:space="preserve">2026-07-10 10:38:58</t>
  </si>
  <si>
    <t xml:space="preserve">2026-07-10 10:01:06</t>
  </si>
  <si>
    <t xml:space="preserve">2026-07-10 10:39:20</t>
  </si>
  <si>
    <t xml:space="preserve">2026-07-10 10:39:24</t>
  </si>
  <si>
    <t xml:space="preserve">2026-07-10 13:24:01</t>
  </si>
  <si>
    <t xml:space="preserve">2026-07-10 13:24:06</t>
  </si>
  <si>
    <t xml:space="preserve">2026-07-10 15:00:04</t>
  </si>
  <si>
    <t xml:space="preserve">2026-07-10 16:00:48</t>
  </si>
  <si>
    <t xml:space="preserve">2026-07-10 18:38:59</t>
  </si>
  <si>
    <t xml:space="preserve">2026-07-10 18:48:25</t>
  </si>
  <si>
    <t xml:space="preserve">2026-07-10 19:00:15</t>
  </si>
  <si>
    <t xml:space="preserve">8859258_IPSRGSM</t>
  </si>
  <si>
    <t xml:space="preserve">ARGOUBSA</t>
  </si>
  <si>
    <t xml:space="preserve">2026-07-10 08:53:16</t>
  </si>
  <si>
    <t xml:space="preserve">2026-07-10 13:06:18</t>
  </si>
  <si>
    <t xml:space="preserve">2026-07-10 13:54:07</t>
  </si>
  <si>
    <t xml:space="preserve">2026-07-10 18:00:03</t>
  </si>
  <si>
    <t xml:space="preserve">8858077_IPSASAY</t>
  </si>
  <si>
    <t xml:space="preserve">ASMIAY</t>
  </si>
  <si>
    <t xml:space="preserve">2026-07-10 08:02:52</t>
  </si>
  <si>
    <t xml:space="preserve">2026-07-10 16:02:52</t>
  </si>
  <si>
    <t xml:space="preserve">HAIRIAZ</t>
  </si>
  <si>
    <t xml:space="preserve">2026-07-10 16:48:15</t>
  </si>
  <si>
    <t xml:space="preserve">2026-07-10 17:34:48</t>
  </si>
  <si>
    <t xml:space="preserve">2026-07-10 16:48:16</t>
  </si>
  <si>
    <t xml:space="preserve">8858390_IPSAYAS</t>
  </si>
  <si>
    <t xml:space="preserve">ATTARYA</t>
  </si>
  <si>
    <t xml:space="preserve">2026-07-10 07:57:12</t>
  </si>
  <si>
    <t xml:space="preserve">2026-07-10 13:00:24</t>
  </si>
  <si>
    <t xml:space="preserve">MAROUAIB</t>
  </si>
  <si>
    <t xml:space="preserve">8859142_IPSAYHD</t>
  </si>
  <si>
    <t xml:space="preserve">AYACHIHD</t>
  </si>
  <si>
    <t xml:space="preserve">2026-07-10 10:52:48</t>
  </si>
  <si>
    <t xml:space="preserve">2026-07-10 16:20:11</t>
  </si>
  <si>
    <t xml:space="preserve">2026-07-10 10:52:50</t>
  </si>
  <si>
    <t xml:space="preserve">2026-07-10 17:11:53</t>
  </si>
  <si>
    <t xml:space="preserve">2026-07-10 19:07:16</t>
  </si>
  <si>
    <t xml:space="preserve">2026-07-10 19:07:17</t>
  </si>
  <si>
    <t xml:space="preserve">8858791_IPSARAM</t>
  </si>
  <si>
    <t xml:space="preserve">AYARIAS</t>
  </si>
  <si>
    <t xml:space="preserve">2026-07-10 09:16:15</t>
  </si>
  <si>
    <t xml:space="preserve">2026-07-10 14:06:21</t>
  </si>
  <si>
    <t xml:space="preserve">2026-07-10 15:01:14</t>
  </si>
  <si>
    <t xml:space="preserve">2026-07-10 18:07:57</t>
  </si>
  <si>
    <t xml:space="preserve">8859219_IPSAYHA</t>
  </si>
  <si>
    <t xml:space="preserve">AYARICHA</t>
  </si>
  <si>
    <t xml:space="preserve">2026-07-10 07:57:08</t>
  </si>
  <si>
    <t xml:space="preserve">2026-07-10 11:11:32</t>
  </si>
  <si>
    <t xml:space="preserve">RAHMANHI</t>
  </si>
  <si>
    <t xml:space="preserve">2026-07-10 11:11:39</t>
  </si>
  <si>
    <t xml:space="preserve">2026-07-10 12:09:41</t>
  </si>
  <si>
    <t xml:space="preserve">2026-07-10 12:40:41</t>
  </si>
  <si>
    <t xml:space="preserve">2026-07-10 13:01:11</t>
  </si>
  <si>
    <t xml:space="preserve">2026-07-10 13:50:33</t>
  </si>
  <si>
    <t xml:space="preserve">2026-07-10 17:36:54</t>
  </si>
  <si>
    <t xml:space="preserve">8858702_IPSAYKA</t>
  </si>
  <si>
    <t xml:space="preserve">AYARIKA</t>
  </si>
  <si>
    <t xml:space="preserve">2026-07-10 07:55:00</t>
  </si>
  <si>
    <t xml:space="preserve">2026-07-10 12:02:51</t>
  </si>
  <si>
    <t xml:space="preserve">REZGUIAH</t>
  </si>
  <si>
    <t xml:space="preserve">2026-07-10 12:55:13</t>
  </si>
  <si>
    <t xml:space="preserve">2026-07-10 16:47:29</t>
  </si>
  <si>
    <t xml:space="preserve">8859221_IPSAYMO</t>
  </si>
  <si>
    <t xml:space="preserve">AYARIMO</t>
  </si>
  <si>
    <t xml:space="preserve">2026-07-10 07:49:56</t>
  </si>
  <si>
    <t xml:space="preserve">2026-07-10 07:50:05</t>
  </si>
  <si>
    <t xml:space="preserve">2026-07-10 07:57:51</t>
  </si>
  <si>
    <t xml:space="preserve">2026-07-10 13:01:24</t>
  </si>
  <si>
    <t xml:space="preserve">2026-07-10 14:00:49</t>
  </si>
  <si>
    <t xml:space="preserve">2026-07-10 18:01:57</t>
  </si>
  <si>
    <t xml:space="preserve">8858065_IPSZHBD</t>
  </si>
  <si>
    <t xml:space="preserve">AZHARIAB</t>
  </si>
  <si>
    <t xml:space="preserve">2026-07-10 08:06:16</t>
  </si>
  <si>
    <t xml:space="preserve">2026-07-10 13:00:13</t>
  </si>
  <si>
    <t xml:space="preserve">2026-07-10 14:03:12</t>
  </si>
  <si>
    <t xml:space="preserve">2026-07-10 18:00:11</t>
  </si>
  <si>
    <t xml:space="preserve">2026-07-10 18:00:16</t>
  </si>
  <si>
    <t xml:space="preserve">8858443_IPSAZYA</t>
  </si>
  <si>
    <t xml:space="preserve">AZIANEYA</t>
  </si>
  <si>
    <t xml:space="preserve">2026-07-10 08:58:13</t>
  </si>
  <si>
    <t xml:space="preserve">2026-07-10 13:00:29</t>
  </si>
  <si>
    <t xml:space="preserve">2026-07-10 17:00:11</t>
  </si>
  <si>
    <t xml:space="preserve">8858458_IPSAZHO</t>
  </si>
  <si>
    <t xml:space="preserve">AZIDIHO</t>
  </si>
  <si>
    <t xml:space="preserve">2026-07-10 08:39:28</t>
  </si>
  <si>
    <t xml:space="preserve">2026-07-10 15:06:38</t>
  </si>
  <si>
    <t xml:space="preserve">2026-07-10 16:01:34</t>
  </si>
  <si>
    <t xml:space="preserve">2026-07-10 18:00:01</t>
  </si>
  <si>
    <t xml:space="preserve">8858823_IPSMIVC</t>
  </si>
  <si>
    <t xml:space="preserve">AZIZIBI</t>
  </si>
  <si>
    <t xml:space="preserve">2026-07-10 08:50:57</t>
  </si>
  <si>
    <t xml:space="preserve">2026-07-10 14:01:22</t>
  </si>
  <si>
    <t xml:space="preserve">2026-07-10 08:58:07</t>
  </si>
  <si>
    <t xml:space="preserve">2026-07-10 14:57:17</t>
  </si>
  <si>
    <t xml:space="preserve">2026-07-10 17:58:22</t>
  </si>
  <si>
    <t xml:space="preserve">8858741_IPSBAAD</t>
  </si>
  <si>
    <t xml:space="preserve">BACCARAB</t>
  </si>
  <si>
    <t xml:space="preserve">2026-07-10 08:00:11</t>
  </si>
  <si>
    <t xml:space="preserve">2026-07-10 13:50:23</t>
  </si>
  <si>
    <t xml:space="preserve">GUIZANAL</t>
  </si>
  <si>
    <t xml:space="preserve">2026-07-10 14:50:14</t>
  </si>
  <si>
    <t xml:space="preserve">2026-07-10 17:30:13</t>
  </si>
  <si>
    <t xml:space="preserve">8859152_IPSBDKD</t>
  </si>
  <si>
    <t xml:space="preserve">BADJIKA</t>
  </si>
  <si>
    <t xml:space="preserve">2026-07-10 10:53:41</t>
  </si>
  <si>
    <t xml:space="preserve">2026-07-10 10:54:31</t>
  </si>
  <si>
    <t xml:space="preserve">BALBALZI</t>
  </si>
  <si>
    <t xml:space="preserve">2026-07-10 10:56:51</t>
  </si>
  <si>
    <t xml:space="preserve">2026-07-10 15:16:19</t>
  </si>
  <si>
    <t xml:space="preserve">2026-07-10 16:15:46</t>
  </si>
  <si>
    <t xml:space="preserve">2026-07-10 20:00:16</t>
  </si>
  <si>
    <t xml:space="preserve">8858803_IPSBAAH</t>
  </si>
  <si>
    <t xml:space="preserve">BAHLOUAH</t>
  </si>
  <si>
    <t xml:space="preserve">2026-07-10 07:58:23</t>
  </si>
  <si>
    <t xml:space="preserve">2026-07-10 10:57:13</t>
  </si>
  <si>
    <t xml:space="preserve">2026-07-10 10:59:06</t>
  </si>
  <si>
    <t xml:space="preserve">2026-07-10 13:57:13</t>
  </si>
  <si>
    <t xml:space="preserve">2026-07-10 17:00:56</t>
  </si>
  <si>
    <t xml:space="preserve">8859207_IPSBUAS</t>
  </si>
  <si>
    <t xml:space="preserve">BAHOUAA</t>
  </si>
  <si>
    <t xml:space="preserve">2026-07-10 09:00:49</t>
  </si>
  <si>
    <t xml:space="preserve">2026-07-10 15:00:05</t>
  </si>
  <si>
    <t xml:space="preserve">2026-07-10 19:00:07</t>
  </si>
  <si>
    <t xml:space="preserve">8859139_IPSBACY</t>
  </si>
  <si>
    <t xml:space="preserve">BAHRICY</t>
  </si>
  <si>
    <t xml:space="preserve">2026-07-10 08:00:18</t>
  </si>
  <si>
    <t xml:space="preserve">2026-07-10 10:09:35</t>
  </si>
  <si>
    <t xml:space="preserve">NACCACH</t>
  </si>
  <si>
    <t xml:space="preserve">2026-07-10 10:09:36</t>
  </si>
  <si>
    <t xml:space="preserve">2026-07-10 12:03:42</t>
  </si>
  <si>
    <t xml:space="preserve">2026-07-10 13:03:15</t>
  </si>
  <si>
    <t xml:space="preserve">2026-07-10 16:03:51</t>
  </si>
  <si>
    <t xml:space="preserve">8858645_IPSBHML</t>
  </si>
  <si>
    <t xml:space="preserve">BAHRIML</t>
  </si>
  <si>
    <t xml:space="preserve">2026-07-10 08:58:38</t>
  </si>
  <si>
    <t xml:space="preserve">2026-07-10 13:35:51</t>
  </si>
  <si>
    <t xml:space="preserve">2026-07-10 14:36:01</t>
  </si>
  <si>
    <t xml:space="preserve">2026-07-10 17:16:12</t>
  </si>
  <si>
    <t xml:space="preserve">2026-07-10 17:22:56</t>
  </si>
  <si>
    <t xml:space="preserve">8859599_IPSBAME</t>
  </si>
  <si>
    <t xml:space="preserve">BANNOUME</t>
  </si>
  <si>
    <t xml:space="preserve">2026-07-10 08:59:34</t>
  </si>
  <si>
    <t xml:space="preserve">2026-07-10 14:00:03</t>
  </si>
  <si>
    <t xml:space="preserve">2026-07-10 14:59:29</t>
  </si>
  <si>
    <t xml:space="preserve">2026-07-10 19:03:30</t>
  </si>
  <si>
    <t xml:space="preserve">2026-07-10 07:57:29</t>
  </si>
  <si>
    <t xml:space="preserve">2026-07-10 13:31:02</t>
  </si>
  <si>
    <t xml:space="preserve">2026-07-10 14:30:36</t>
  </si>
  <si>
    <t xml:space="preserve">2026-07-11 01:34:55</t>
  </si>
  <si>
    <t xml:space="preserve">8859225_IPSBAA1</t>
  </si>
  <si>
    <t xml:space="preserve">BARAKAS</t>
  </si>
  <si>
    <t xml:space="preserve">2026-07-10 08:59:00</t>
  </si>
  <si>
    <t xml:space="preserve">2026-07-10 09:34:24</t>
  </si>
  <si>
    <t xml:space="preserve">2026-07-10 09:34:26</t>
  </si>
  <si>
    <t xml:space="preserve">2026-07-10 10:13:11</t>
  </si>
  <si>
    <t xml:space="preserve">2026-07-10 10:14:55</t>
  </si>
  <si>
    <t xml:space="preserve">2026-07-10 12:37:10</t>
  </si>
  <si>
    <t xml:space="preserve">2026-07-10 12:37:51</t>
  </si>
  <si>
    <t xml:space="preserve">2026-07-10 13:06:28</t>
  </si>
  <si>
    <t xml:space="preserve">2026-07-10 14:06:11</t>
  </si>
  <si>
    <t xml:space="preserve">2026-07-10 18:00:15</t>
  </si>
  <si>
    <t xml:space="preserve">8859569_IPSBSFL</t>
  </si>
  <si>
    <t xml:space="preserve">BASSENFL</t>
  </si>
  <si>
    <t xml:space="preserve">2026-07-10 10:59:49</t>
  </si>
  <si>
    <t xml:space="preserve">2026-07-10 15:16:13</t>
  </si>
  <si>
    <t xml:space="preserve">CHLIHIID</t>
  </si>
  <si>
    <t xml:space="preserve">2026-07-10 16:15:53</t>
  </si>
  <si>
    <t xml:space="preserve">8859117_IPSBAFF</t>
  </si>
  <si>
    <t xml:space="preserve">BAYARAF</t>
  </si>
  <si>
    <t xml:space="preserve">2026-07-10 08:00:30</t>
  </si>
  <si>
    <t xml:space="preserve">2026-07-10 13:03:14</t>
  </si>
  <si>
    <t xml:space="preserve">2026-07-10 16:00:19</t>
  </si>
  <si>
    <t xml:space="preserve">8858605_IPSBALA</t>
  </si>
  <si>
    <t xml:space="preserve">BAYEZLA</t>
  </si>
  <si>
    <t xml:space="preserve">2026-07-10 08:58:59</t>
  </si>
  <si>
    <t xml:space="preserve">2026-07-10 14:26:04</t>
  </si>
  <si>
    <t xml:space="preserve">2026-07-10 15:24:53</t>
  </si>
  <si>
    <t xml:space="preserve">8858429_IPSBDKH</t>
  </si>
  <si>
    <t xml:space="preserve">BDIOUIKH</t>
  </si>
  <si>
    <t xml:space="preserve">2026-07-10 08:54:59</t>
  </si>
  <si>
    <t xml:space="preserve">2026-07-10 14:00:22</t>
  </si>
  <si>
    <t xml:space="preserve">2026-07-10 14:59:36</t>
  </si>
  <si>
    <t xml:space="preserve">2026-07-10 18:02:50</t>
  </si>
  <si>
    <t xml:space="preserve">8859702_IPSBDTH</t>
  </si>
  <si>
    <t xml:space="preserve">BDIRATH</t>
  </si>
  <si>
    <t xml:space="preserve">2026-07-10 08:00:31</t>
  </si>
  <si>
    <t xml:space="preserve">2026-07-10 13:00:28</t>
  </si>
  <si>
    <t xml:space="preserve">2026-07-10 14:02:51</t>
  </si>
  <si>
    <t xml:space="preserve">2026-07-10 16:00:09</t>
  </si>
  <si>
    <t xml:space="preserve">8858362_IPSBDSR</t>
  </si>
  <si>
    <t xml:space="preserve">BEDHIESR</t>
  </si>
  <si>
    <t xml:space="preserve">2026-07-10 09:00:29</t>
  </si>
  <si>
    <t xml:space="preserve">2026-07-10 09:14:32</t>
  </si>
  <si>
    <t xml:space="preserve">2026-07-10 09:17:01</t>
  </si>
  <si>
    <t xml:space="preserve">2026-07-10 09:17:12</t>
  </si>
  <si>
    <t xml:space="preserve">2026-07-10 13:00:10</t>
  </si>
  <si>
    <t xml:space="preserve">2026-07-10 13:58:55</t>
  </si>
  <si>
    <t xml:space="preserve">8858902_IPSBEZI</t>
  </si>
  <si>
    <t xml:space="preserve">BEJAOUZI</t>
  </si>
  <si>
    <t xml:space="preserve">2026-07-10 08:59:30</t>
  </si>
  <si>
    <t xml:space="preserve">2026-07-10 15:00:15</t>
  </si>
  <si>
    <t xml:space="preserve">2026-07-10 16:00:05</t>
  </si>
  <si>
    <t xml:space="preserve">2026-07-10 16:09:39</t>
  </si>
  <si>
    <t xml:space="preserve">2026-07-10 16:09:41</t>
  </si>
  <si>
    <t xml:space="preserve">2026-07-10 18:01:02</t>
  </si>
  <si>
    <t xml:space="preserve">8859238_IPSBLNZ</t>
  </si>
  <si>
    <t xml:space="preserve">BELAIDON</t>
  </si>
  <si>
    <t xml:space="preserve">2026-07-10 08:59:22</t>
  </si>
  <si>
    <t xml:space="preserve">2026-07-10 10:01:35</t>
  </si>
  <si>
    <t xml:space="preserve">2026-07-10 10:06:23</t>
  </si>
  <si>
    <t xml:space="preserve">2026-07-10 14:00:29</t>
  </si>
  <si>
    <t xml:space="preserve">2026-07-10 18:00:52</t>
  </si>
  <si>
    <t xml:space="preserve">8859228_IPSBEFA</t>
  </si>
  <si>
    <t xml:space="preserve">BELARBFA</t>
  </si>
  <si>
    <t xml:space="preserve">2026-07-10 07:51:46</t>
  </si>
  <si>
    <t xml:space="preserve">2026-07-10 07:51:50</t>
  </si>
  <si>
    <t xml:space="preserve">2026-07-10 07:58:26</t>
  </si>
  <si>
    <t xml:space="preserve">2026-07-10 14:58:05</t>
  </si>
  <si>
    <t xml:space="preserve">2026-07-10 17:00:13</t>
  </si>
  <si>
    <t xml:space="preserve">8859415_IPSBLMA</t>
  </si>
  <si>
    <t xml:space="preserve">BELGHOMO</t>
  </si>
  <si>
    <t xml:space="preserve">2026-07-10 07:59:37</t>
  </si>
  <si>
    <t xml:space="preserve">2026-07-10 13:12:51</t>
  </si>
  <si>
    <t xml:space="preserve">BOUAICAB</t>
  </si>
  <si>
    <t xml:space="preserve">2026-07-10 13:12:56</t>
  </si>
  <si>
    <t xml:space="preserve">2026-07-10 13:40:16</t>
  </si>
  <si>
    <t xml:space="preserve">2026-07-10 14:48:23</t>
  </si>
  <si>
    <t xml:space="preserve">2026-07-10 18:00:12</t>
  </si>
  <si>
    <t xml:space="preserve">8858627_IPSBLTF</t>
  </si>
  <si>
    <t xml:space="preserve">BELGUIAO</t>
  </si>
  <si>
    <t xml:space="preserve">2026-07-10 08:24:21</t>
  </si>
  <si>
    <t xml:space="preserve">2026-07-10 12:08:00</t>
  </si>
  <si>
    <t xml:space="preserve">2026-07-10 13:05:10</t>
  </si>
  <si>
    <t xml:space="preserve">2026-07-10 14:50:00</t>
  </si>
  <si>
    <t xml:space="preserve">2026-07-10 14:50:05</t>
  </si>
  <si>
    <t xml:space="preserve">8858818_IPSBLAI</t>
  </si>
  <si>
    <t xml:space="preserve">BELHADAI</t>
  </si>
  <si>
    <t xml:space="preserve">2026-07-10 08:24:09</t>
  </si>
  <si>
    <t xml:space="preserve">2026-07-10 10:26:57</t>
  </si>
  <si>
    <t xml:space="preserve">2026-07-10 10:27:43</t>
  </si>
  <si>
    <t xml:space="preserve">2026-07-10 14:01:18</t>
  </si>
  <si>
    <t xml:space="preserve">2026-07-10 15:03:12</t>
  </si>
  <si>
    <t xml:space="preserve">2026-07-10 15:03:17</t>
  </si>
  <si>
    <t xml:space="preserve">2026-07-10 15:03:20</t>
  </si>
  <si>
    <t xml:space="preserve">2026-07-10 17:33:21</t>
  </si>
  <si>
    <t xml:space="preserve">8859229_IPSBLZI</t>
  </si>
  <si>
    <t xml:space="preserve">BELHADJ</t>
  </si>
  <si>
    <t xml:space="preserve">2026-07-10 07:49:36</t>
  </si>
  <si>
    <t xml:space="preserve">2026-07-10 08:45:01</t>
  </si>
  <si>
    <t xml:space="preserve">2026-07-10 08:54:31</t>
  </si>
  <si>
    <t xml:space="preserve">2026-07-10 09:08:23</t>
  </si>
  <si>
    <t xml:space="preserve">2026-07-10 09:08:32</t>
  </si>
  <si>
    <t xml:space="preserve">2026-07-10 13:10:31</t>
  </si>
  <si>
    <t xml:space="preserve">2026-07-10 13:59:14</t>
  </si>
  <si>
    <t xml:space="preserve">2026-07-10 15:03:55</t>
  </si>
  <si>
    <t xml:space="preserve">2026-07-10 15:03:58</t>
  </si>
  <si>
    <t xml:space="preserve">2026-07-10 17:06:08</t>
  </si>
  <si>
    <t xml:space="preserve">8858705_IPSBELH</t>
  </si>
  <si>
    <t xml:space="preserve">BELHADTA</t>
  </si>
  <si>
    <t xml:space="preserve">2026-07-10 07:52:10</t>
  </si>
  <si>
    <t xml:space="preserve">2026-07-10 15:30:16</t>
  </si>
  <si>
    <t xml:space="preserve">2026-07-10 15:31:42</t>
  </si>
  <si>
    <t xml:space="preserve">2026-07-10 17:33:19</t>
  </si>
  <si>
    <t xml:space="preserve">8859134_IPSKAMT</t>
  </si>
  <si>
    <t xml:space="preserve">BELHAJAL</t>
  </si>
  <si>
    <t xml:space="preserve">2026-07-10 08:54:51</t>
  </si>
  <si>
    <t xml:space="preserve">2026-07-10 14:00:52</t>
  </si>
  <si>
    <t xml:space="preserve">2026-07-10 14:57:58</t>
  </si>
  <si>
    <t xml:space="preserve">8858122_IPSBLWA</t>
  </si>
  <si>
    <t xml:space="preserve">BELHAJWJ</t>
  </si>
  <si>
    <t xml:space="preserve">2026-07-10 08:00:17</t>
  </si>
  <si>
    <t xml:space="preserve">2026-07-10 13:13:18</t>
  </si>
  <si>
    <t xml:space="preserve">2026-07-10 14:12:23</t>
  </si>
  <si>
    <t xml:space="preserve">2026-07-10 17:00:15</t>
  </si>
  <si>
    <t xml:space="preserve">8859232_IPSBECM</t>
  </si>
  <si>
    <t xml:space="preserve">BELHEDCH</t>
  </si>
  <si>
    <t xml:space="preserve">2026-07-10 07:59:33</t>
  </si>
  <si>
    <t xml:space="preserve">2026-07-10 12:00:33</t>
  </si>
  <si>
    <t xml:space="preserve">2026-07-10 12:59:42</t>
  </si>
  <si>
    <t xml:space="preserve">2026-07-10 17:00:46</t>
  </si>
  <si>
    <t xml:space="preserve">8858814_IPSBEZN</t>
  </si>
  <si>
    <t xml:space="preserve">BELKHEZI</t>
  </si>
  <si>
    <t xml:space="preserve">2026-07-10 08:06:44</t>
  </si>
  <si>
    <t xml:space="preserve">2026-07-10 10:34:03</t>
  </si>
  <si>
    <t xml:space="preserve">2026-07-10 10:35:12</t>
  </si>
  <si>
    <t xml:space="preserve">2026-07-10 10:39:45</t>
  </si>
  <si>
    <t xml:space="preserve">2026-07-10 10:43:19</t>
  </si>
  <si>
    <t xml:space="preserve">2026-07-10 11:49:43</t>
  </si>
  <si>
    <t xml:space="preserve">2026-07-10 11:55:49</t>
  </si>
  <si>
    <t xml:space="preserve">2026-07-10 13:25:20</t>
  </si>
  <si>
    <t xml:space="preserve">2026-07-10 14:26:43</t>
  </si>
  <si>
    <t xml:space="preserve">2026-07-10 14:56:24</t>
  </si>
  <si>
    <t xml:space="preserve">2026-07-10 14:57:55</t>
  </si>
  <si>
    <t xml:space="preserve">8858804_IPSBEZE</t>
  </si>
  <si>
    <t xml:space="preserve">BELLILZI</t>
  </si>
  <si>
    <t xml:space="preserve">2026-07-10 07:51:55</t>
  </si>
  <si>
    <t xml:space="preserve">2026-07-10 13:02:55</t>
  </si>
  <si>
    <t xml:space="preserve">KHEDIMNO</t>
  </si>
  <si>
    <t xml:space="preserve">2026-07-10 13:53:07</t>
  </si>
  <si>
    <t xml:space="preserve">2026-07-10 17:02:29</t>
  </si>
  <si>
    <t xml:space="preserve">8858325_IPSBBFA</t>
  </si>
  <si>
    <t xml:space="preserve">BELMEJFA</t>
  </si>
  <si>
    <t xml:space="preserve">2026-07-10 11:00:10</t>
  </si>
  <si>
    <t xml:space="preserve">2026-07-10 11:02:52</t>
  </si>
  <si>
    <t xml:space="preserve">2026-07-10 11:03:03</t>
  </si>
  <si>
    <t xml:space="preserve">2026-07-10 11:04:08</t>
  </si>
  <si>
    <t xml:space="preserve">2026-07-10 13:12:45</t>
  </si>
  <si>
    <t xml:space="preserve">2026-07-10 11:06:05</t>
  </si>
  <si>
    <t xml:space="preserve">2026-07-10 13:13:23</t>
  </si>
  <si>
    <t xml:space="preserve">2026-07-10 13:17:27</t>
  </si>
  <si>
    <t xml:space="preserve">2026-07-10 13:24:46</t>
  </si>
  <si>
    <t xml:space="preserve">2026-07-10 13:26:28</t>
  </si>
  <si>
    <t xml:space="preserve">2026-07-10 16:03:55</t>
  </si>
  <si>
    <t xml:space="preserve">2026-07-10 16:05:47</t>
  </si>
  <si>
    <t xml:space="preserve">2026-07-10 17:00:08</t>
  </si>
  <si>
    <t xml:space="preserve">2026-07-10 21:03:55</t>
  </si>
  <si>
    <t xml:space="preserve">2026-07-10 17:00:18</t>
  </si>
  <si>
    <t xml:space="preserve">2026-07-10 17:00:38</t>
  </si>
  <si>
    <t xml:space="preserve">2026-07-10 17:00:42</t>
  </si>
  <si>
    <t xml:space="preserve">2026-07-10 21:01:58</t>
  </si>
  <si>
    <t xml:space="preserve">8858914_IPSBEBL</t>
  </si>
  <si>
    <t xml:space="preserve">BELTAIBA</t>
  </si>
  <si>
    <t xml:space="preserve">2026-07-10 09:00:11</t>
  </si>
  <si>
    <t xml:space="preserve">2026-07-10 09:00:17</t>
  </si>
  <si>
    <t xml:space="preserve">2026-07-10 09:00:12</t>
  </si>
  <si>
    <t xml:space="preserve">2026-07-10 14:00:10</t>
  </si>
  <si>
    <t xml:space="preserve">2026-07-10 09:00:19</t>
  </si>
  <si>
    <t xml:space="preserve">2026-07-10 14:59:05</t>
  </si>
  <si>
    <t xml:space="preserve">2026-07-10 14:59:07</t>
  </si>
  <si>
    <t xml:space="preserve">8859144_IPSBNNS</t>
  </si>
  <si>
    <t xml:space="preserve">BENABDAN</t>
  </si>
  <si>
    <t xml:space="preserve">2026-07-10 08:39:43</t>
  </si>
  <si>
    <t xml:space="preserve">2026-07-10 08:39:58</t>
  </si>
  <si>
    <t xml:space="preserve">2026-07-10 08:39:44</t>
  </si>
  <si>
    <t xml:space="preserve">2026-07-10 08:58:20</t>
  </si>
  <si>
    <t xml:space="preserve">2026-07-10 09:49:55</t>
  </si>
  <si>
    <t xml:space="preserve">2026-07-10 09:53:11</t>
  </si>
  <si>
    <t xml:space="preserve">2026-07-10 14:12:13</t>
  </si>
  <si>
    <t xml:space="preserve">2026-07-10 15:08:38</t>
  </si>
  <si>
    <t xml:space="preserve">2026-07-10 18:03:24</t>
  </si>
  <si>
    <t xml:space="preserve">8859168_IPSBRNO</t>
  </si>
  <si>
    <t xml:space="preserve">BENABDNO</t>
  </si>
  <si>
    <t xml:space="preserve">2026-07-10 08:59:35</t>
  </si>
  <si>
    <t xml:space="preserve">2026-07-10 09:52:05</t>
  </si>
  <si>
    <t xml:space="preserve">2026-07-10 09:53:46</t>
  </si>
  <si>
    <t xml:space="preserve">2026-07-10 10:33:27</t>
  </si>
  <si>
    <t xml:space="preserve">2026-07-10 10:34:19</t>
  </si>
  <si>
    <t xml:space="preserve">2026-07-10 11:25:03</t>
  </si>
  <si>
    <t xml:space="preserve">2026-07-10 11:25:57</t>
  </si>
  <si>
    <t xml:space="preserve">2026-07-10 14:03:09</t>
  </si>
  <si>
    <t xml:space="preserve">2026-07-10 14:58:59</t>
  </si>
  <si>
    <t xml:space="preserve">2026-07-10 14:59:02</t>
  </si>
  <si>
    <t xml:space="preserve">2026-07-10 14:59:50</t>
  </si>
  <si>
    <t xml:space="preserve">2026-07-10 15:09:34</t>
  </si>
  <si>
    <t xml:space="preserve">2026-07-10 15:10:44</t>
  </si>
  <si>
    <t xml:space="preserve">2026-07-10 15:59:16</t>
  </si>
  <si>
    <t xml:space="preserve">2026-07-10 16:00:11</t>
  </si>
  <si>
    <t xml:space="preserve">2026-07-10 16:35:42</t>
  </si>
  <si>
    <t xml:space="preserve">2026-07-10 16:36:36</t>
  </si>
  <si>
    <t xml:space="preserve">2026-07-10 17:05:34</t>
  </si>
  <si>
    <t xml:space="preserve">2026-07-10 17:06:31</t>
  </si>
  <si>
    <t xml:space="preserve">2026-07-10 17:59:46</t>
  </si>
  <si>
    <t xml:space="preserve">8859233_IPSBEYS</t>
  </si>
  <si>
    <t xml:space="preserve">BENABDYO</t>
  </si>
  <si>
    <t xml:space="preserve">2026-07-10 09:00:56</t>
  </si>
  <si>
    <t xml:space="preserve">2026-07-10 09:05:47</t>
  </si>
  <si>
    <t xml:space="preserve">2026-07-10 09:05:59</t>
  </si>
  <si>
    <t xml:space="preserve">2026-07-10 12:26:34</t>
  </si>
  <si>
    <t xml:space="preserve">2026-07-10 12:26:44</t>
  </si>
  <si>
    <t xml:space="preserve">2026-07-10 13:20:32</t>
  </si>
  <si>
    <t xml:space="preserve">2026-07-10 15:00:54</t>
  </si>
  <si>
    <t xml:space="preserve">2026-07-10 18:55:56</t>
  </si>
  <si>
    <t xml:space="preserve">2026-07-10 03:56:21</t>
  </si>
  <si>
    <t xml:space="preserve">2026-07-10 07:03:26</t>
  </si>
  <si>
    <t xml:space="preserve">2026-07-10 20:47:35</t>
  </si>
  <si>
    <t xml:space="preserve">2026-07-10 21:30:40</t>
  </si>
  <si>
    <t xml:space="preserve">2026-07-10 21:31:41</t>
  </si>
  <si>
    <t xml:space="preserve">2026-07-11 03:00:10</t>
  </si>
  <si>
    <t xml:space="preserve">8858801_IPSBAKM</t>
  </si>
  <si>
    <t xml:space="preserve">BENAFIKA</t>
  </si>
  <si>
    <t xml:space="preserve">2026-07-10 09:00:21</t>
  </si>
  <si>
    <t xml:space="preserve">2026-07-10 15:01:03</t>
  </si>
  <si>
    <t xml:space="preserve">2026-07-10 18:00:00</t>
  </si>
  <si>
    <t xml:space="preserve">8859235_IPSBNAI</t>
  </si>
  <si>
    <t xml:space="preserve">BENAICMR</t>
  </si>
  <si>
    <t xml:space="preserve">2026-07-10 07:58:46</t>
  </si>
  <si>
    <t xml:space="preserve">2026-07-10 08:00:02</t>
  </si>
  <si>
    <t xml:space="preserve">HIDRIMMA</t>
  </si>
  <si>
    <t xml:space="preserve">2026-07-10 08:00:05</t>
  </si>
  <si>
    <t xml:space="preserve">2026-07-10 13:02:14</t>
  </si>
  <si>
    <t xml:space="preserve">2026-07-10 14:00:25</t>
  </si>
  <si>
    <t xml:space="preserve">2026-07-10 17:04:02</t>
  </si>
  <si>
    <t xml:space="preserve">8858707_IPSBAAS</t>
  </si>
  <si>
    <t xml:space="preserve">BENALIAS</t>
  </si>
  <si>
    <t xml:space="preserve">2026-07-10 08:57:13</t>
  </si>
  <si>
    <t xml:space="preserve">2026-07-10 16:57:13</t>
  </si>
  <si>
    <t xml:space="preserve">2026-07-10 17:02:54</t>
  </si>
  <si>
    <t xml:space="preserve">2026-07-10 17:03:01</t>
  </si>
  <si>
    <t xml:space="preserve">8858747_IPSBLMH</t>
  </si>
  <si>
    <t xml:space="preserve">BENALIMH</t>
  </si>
  <si>
    <t xml:space="preserve">2026-07-10 07:54:40</t>
  </si>
  <si>
    <t xml:space="preserve">2026-07-10 07:54:42</t>
  </si>
  <si>
    <t xml:space="preserve">FERCHIAK</t>
  </si>
  <si>
    <t xml:space="preserve">2026-07-10 07:59:55</t>
  </si>
  <si>
    <t xml:space="preserve">2026-07-10 13:00:04</t>
  </si>
  <si>
    <t xml:space="preserve">2026-07-10 13:58:45</t>
  </si>
  <si>
    <t xml:space="preserve">2026-07-10 13:58:47</t>
  </si>
  <si>
    <t xml:space="preserve">2026-07-10 13:59:55</t>
  </si>
  <si>
    <t xml:space="preserve">2026-07-10 17:33:25</t>
  </si>
  <si>
    <t xml:space="preserve">8858430_IPSBEWI</t>
  </si>
  <si>
    <t xml:space="preserve">BENALIWI</t>
  </si>
  <si>
    <t xml:space="preserve">2026-07-10 09:04:14</t>
  </si>
  <si>
    <t xml:space="preserve">2026-07-10 12:11:39</t>
  </si>
  <si>
    <t xml:space="preserve">GHARBITA</t>
  </si>
  <si>
    <t xml:space="preserve">2026-07-10 12:12:12</t>
  </si>
  <si>
    <t xml:space="preserve">2026-07-10 13:34:20</t>
  </si>
  <si>
    <t xml:space="preserve">2026-07-10 14:36:16</t>
  </si>
  <si>
    <t xml:space="preserve">8858805_IPSBAKA</t>
  </si>
  <si>
    <t xml:space="preserve">BENAMMKA</t>
  </si>
  <si>
    <t xml:space="preserve">2026-07-10 08:01:48</t>
  </si>
  <si>
    <t xml:space="preserve">2026-07-10 16:01:48</t>
  </si>
  <si>
    <t xml:space="preserve">2026-07-10 16:07:44</t>
  </si>
  <si>
    <t xml:space="preserve">2026-07-10 16:43:22</t>
  </si>
  <si>
    <t xml:space="preserve">8858377_IPSBNFR</t>
  </si>
  <si>
    <t xml:space="preserve">BENAMOFA</t>
  </si>
  <si>
    <t xml:space="preserve">2026-07-10 08:37:09</t>
  </si>
  <si>
    <t xml:space="preserve">2026-07-10 12:08:40</t>
  </si>
  <si>
    <t xml:space="preserve">2026-07-10 13:00:41</t>
  </si>
  <si>
    <t xml:space="preserve">2026-07-10 13:17:23</t>
  </si>
  <si>
    <t xml:space="preserve">2026-07-10 13:18:42</t>
  </si>
  <si>
    <t xml:space="preserve">8858186_IPSBEOR</t>
  </si>
  <si>
    <t xml:space="preserve">BENAMOMA</t>
  </si>
  <si>
    <t xml:space="preserve">2026-07-10 14:00:08</t>
  </si>
  <si>
    <t xml:space="preserve">2026-07-10 15:00:03</t>
  </si>
  <si>
    <t xml:space="preserve">8858607_IPSBNRN</t>
  </si>
  <si>
    <t xml:space="preserve">BENAMORA</t>
  </si>
  <si>
    <t xml:space="preserve">2026-07-10 08:56:34</t>
  </si>
  <si>
    <t xml:space="preserve">2026-07-10 08:56:38</t>
  </si>
  <si>
    <t xml:space="preserve">2026-07-10 13:01:59</t>
  </si>
  <si>
    <t xml:space="preserve">2026-07-10 14:01:36</t>
  </si>
  <si>
    <t xml:space="preserve">2026-07-10 18:00:23</t>
  </si>
  <si>
    <t xml:space="preserve">8859376_IPSBNMZ</t>
  </si>
  <si>
    <t xml:space="preserve">BENAOUMA</t>
  </si>
  <si>
    <t xml:space="preserve">2026-07-10 08:58:31</t>
  </si>
  <si>
    <t xml:space="preserve">2026-07-10 13:13:30</t>
  </si>
  <si>
    <t xml:space="preserve">2026-07-10 13:14:07</t>
  </si>
  <si>
    <t xml:space="preserve">2026-07-10 14:01:11</t>
  </si>
  <si>
    <t xml:space="preserve">2026-07-10 14:59:28</t>
  </si>
  <si>
    <t xml:space="preserve">2026-07-10 14:59:52</t>
  </si>
  <si>
    <t xml:space="preserve">2026-07-10 15:00:59</t>
  </si>
  <si>
    <t xml:space="preserve">8858873_IPSBNAY</t>
  </si>
  <si>
    <t xml:space="preserve">BENATTAY</t>
  </si>
  <si>
    <t xml:space="preserve">2026-07-10 08:54:05</t>
  </si>
  <si>
    <t xml:space="preserve">2026-07-10 15:00:11</t>
  </si>
  <si>
    <t xml:space="preserve">2026-07-10 08:54:06</t>
  </si>
  <si>
    <t xml:space="preserve">2026-07-10 15:00:14</t>
  </si>
  <si>
    <t xml:space="preserve">2026-07-10 15:54:20</t>
  </si>
  <si>
    <t xml:space="preserve">2026-07-10 17:49:53</t>
  </si>
  <si>
    <t xml:space="preserve">2026-07-10 17:49:55</t>
  </si>
  <si>
    <t xml:space="preserve">8859591_IPSBEEI</t>
  </si>
  <si>
    <t xml:space="preserve">BENAYEEY</t>
  </si>
  <si>
    <t xml:space="preserve">2026-07-10 08:47:02</t>
  </si>
  <si>
    <t xml:space="preserve">2026-07-10 13:15:10</t>
  </si>
  <si>
    <t xml:space="preserve">SLIMIFA</t>
  </si>
  <si>
    <t xml:space="preserve">2026-07-10 14:16:39</t>
  </si>
  <si>
    <t xml:space="preserve">2026-07-10 14:56:06</t>
  </si>
  <si>
    <t xml:space="preserve">2026-07-10 15:18:59</t>
  </si>
  <si>
    <t xml:space="preserve">2026-07-10 15:24:57</t>
  </si>
  <si>
    <t xml:space="preserve">2026-07-10 15:24:59</t>
  </si>
  <si>
    <t xml:space="preserve">8859533_IPSBZAS</t>
  </si>
  <si>
    <t xml:space="preserve">BENAZIAN</t>
  </si>
  <si>
    <t xml:space="preserve">2026-07-10 11:24:38</t>
  </si>
  <si>
    <t xml:space="preserve">2026-07-10 16:11:52</t>
  </si>
  <si>
    <t xml:space="preserve">RAHMOUFT</t>
  </si>
  <si>
    <t xml:space="preserve">2026-07-10 16:11:55</t>
  </si>
  <si>
    <t xml:space="preserve">8859545_IPSBEHZ</t>
  </si>
  <si>
    <t xml:space="preserve">BENBELHA</t>
  </si>
  <si>
    <t xml:space="preserve">2026-07-10 09:00:07</t>
  </si>
  <si>
    <t xml:space="preserve">2026-07-10 14:03:21</t>
  </si>
  <si>
    <t xml:space="preserve">2026-07-10 15:05:40</t>
  </si>
  <si>
    <t xml:space="preserve">2026-07-10 18:00:09</t>
  </si>
  <si>
    <t xml:space="preserve">8859399_IPSBBKH</t>
  </si>
  <si>
    <t xml:space="preserve">BENBRAKH</t>
  </si>
  <si>
    <t xml:space="preserve">2026-07-10 08:59:59</t>
  </si>
  <si>
    <t xml:space="preserve">SOUIHIFA</t>
  </si>
  <si>
    <t xml:space="preserve">2026-07-10 15:00:00</t>
  </si>
  <si>
    <t xml:space="preserve">8859280_IPSBNGH</t>
  </si>
  <si>
    <t xml:space="preserve">BENCHAGH</t>
  </si>
  <si>
    <t xml:space="preserve">2026-07-10 13:13:10</t>
  </si>
  <si>
    <t xml:space="preserve">2026-07-10 14:06:30</t>
  </si>
  <si>
    <t xml:space="preserve">2026-07-10 17:00:40</t>
  </si>
  <si>
    <t xml:space="preserve">8858347_IPSBCHL</t>
  </si>
  <si>
    <t xml:space="preserve">BENCHAHE</t>
  </si>
  <si>
    <t xml:space="preserve">2026-07-10 09:02:24</t>
  </si>
  <si>
    <t xml:space="preserve">2026-07-10 09:16:36</t>
  </si>
  <si>
    <t xml:space="preserve">AYACHIMY</t>
  </si>
  <si>
    <t xml:space="preserve">2026-07-10 09:17:10</t>
  </si>
  <si>
    <t xml:space="preserve">2026-07-10 13:03:02</t>
  </si>
  <si>
    <t xml:space="preserve">2026-07-10 13:59:26</t>
  </si>
  <si>
    <t xml:space="preserve">8859583_IPSVERO</t>
  </si>
  <si>
    <t xml:space="preserve">BENCHAMH</t>
  </si>
  <si>
    <t xml:space="preserve">2026-07-10 13:01:08</t>
  </si>
  <si>
    <t xml:space="preserve">2026-07-10 14:02:15</t>
  </si>
  <si>
    <t xml:space="preserve">2026-07-10 18:08:45</t>
  </si>
  <si>
    <t xml:space="preserve">8859418_IPSBHMY</t>
  </si>
  <si>
    <t xml:space="preserve">BENCHAMR</t>
  </si>
  <si>
    <t xml:space="preserve">2026-07-10 10:59:23</t>
  </si>
  <si>
    <t xml:space="preserve">2026-07-10 13:12:52</t>
  </si>
  <si>
    <t xml:space="preserve">2026-07-10 13:12:58</t>
  </si>
  <si>
    <t xml:space="preserve">2026-07-10 15:06:52</t>
  </si>
  <si>
    <t xml:space="preserve">2026-07-10 16:06:52</t>
  </si>
  <si>
    <t xml:space="preserve">2026-07-10 20:00:11</t>
  </si>
  <si>
    <t xml:space="preserve">8858754_IPSBCMO</t>
  </si>
  <si>
    <t xml:space="preserve">BENCHEMU</t>
  </si>
  <si>
    <t xml:space="preserve">2026-07-10 08:30:40</t>
  </si>
  <si>
    <t xml:space="preserve">2026-07-10 13:30:22</t>
  </si>
  <si>
    <t xml:space="preserve">2026-07-10 14:31:40</t>
  </si>
  <si>
    <t xml:space="preserve">2026-07-10 17:31:35</t>
  </si>
  <si>
    <t xml:space="preserve">8859236_IPSBMOU</t>
  </si>
  <si>
    <t xml:space="preserve">BENDAOMU</t>
  </si>
  <si>
    <t xml:space="preserve">2026-07-10 06:55:34</t>
  </si>
  <si>
    <t xml:space="preserve">2026-07-10 07:45:21</t>
  </si>
  <si>
    <t xml:space="preserve">2026-07-10 08:06:00</t>
  </si>
  <si>
    <t xml:space="preserve">2026-07-10 08:06:13</t>
  </si>
  <si>
    <t xml:space="preserve">2026-07-10 08:19:31</t>
  </si>
  <si>
    <t xml:space="preserve">2026-07-10 13:36:45</t>
  </si>
  <si>
    <t xml:space="preserve">2026-07-10 17:02:27</t>
  </si>
  <si>
    <t xml:space="preserve">8858420_IPSFJIM</t>
  </si>
  <si>
    <t xml:space="preserve">BENDZIHI</t>
  </si>
  <si>
    <t xml:space="preserve">2026-07-10 08:57:36</t>
  </si>
  <si>
    <t xml:space="preserve">2026-07-10 08:57:47</t>
  </si>
  <si>
    <t xml:space="preserve">2026-07-10 09:01:14</t>
  </si>
  <si>
    <t xml:space="preserve">2026-07-10 14:03:51</t>
  </si>
  <si>
    <t xml:space="preserve">2026-07-10 15:01:18</t>
  </si>
  <si>
    <t xml:space="preserve">2026-07-10 18:00:25</t>
  </si>
  <si>
    <t xml:space="preserve">8859237_IPSBFOU</t>
  </si>
  <si>
    <t xml:space="preserve">BENFAKOU</t>
  </si>
  <si>
    <t xml:space="preserve">2026-07-10 09:00:25</t>
  </si>
  <si>
    <t xml:space="preserve">2026-07-10 13:12:10</t>
  </si>
  <si>
    <t xml:space="preserve">2026-07-10 14:01:14</t>
  </si>
  <si>
    <t xml:space="preserve">2026-07-10 14:03:43</t>
  </si>
  <si>
    <t xml:space="preserve">2026-07-10 14:11:12</t>
  </si>
  <si>
    <t xml:space="preserve">8858336_IPSBEAG</t>
  </si>
  <si>
    <t xml:space="preserve">BENGHAAD</t>
  </si>
  <si>
    <t xml:space="preserve">2026-07-10 10:01:23</t>
  </si>
  <si>
    <t xml:space="preserve">2026-07-10 12:58:01</t>
  </si>
  <si>
    <t xml:space="preserve">2026-07-10 13:02:07</t>
  </si>
  <si>
    <t xml:space="preserve">2026-07-10 14:06:00</t>
  </si>
  <si>
    <t xml:space="preserve">2026-07-10 15:05:22</t>
  </si>
  <si>
    <t xml:space="preserve">2026-07-10 19:12:06</t>
  </si>
  <si>
    <t xml:space="preserve">8859173_IPSMOON</t>
  </si>
  <si>
    <t xml:space="preserve">BENGHAIB</t>
  </si>
  <si>
    <t xml:space="preserve">2026-07-10 10:58:39</t>
  </si>
  <si>
    <t xml:space="preserve">2026-07-10 11:17:29</t>
  </si>
  <si>
    <t xml:space="preserve">2026-07-10 11:18:16</t>
  </si>
  <si>
    <t xml:space="preserve">2026-07-10 16:00:02</t>
  </si>
  <si>
    <t xml:space="preserve">2026-07-10 17:00:59</t>
  </si>
  <si>
    <t xml:space="preserve">2026-07-10 21:00:04</t>
  </si>
  <si>
    <t xml:space="preserve">8859297_IPSUNNY</t>
  </si>
  <si>
    <t xml:space="preserve">BENGHAIM</t>
  </si>
  <si>
    <t xml:space="preserve">2026-07-10 09:00:51</t>
  </si>
  <si>
    <t xml:space="preserve">8858401_IPSBNLD</t>
  </si>
  <si>
    <t xml:space="preserve">BENHAMLE</t>
  </si>
  <si>
    <t xml:space="preserve">2026-07-10 13:00:49</t>
  </si>
  <si>
    <t xml:space="preserve">2026-07-10 13:07:35</t>
  </si>
  <si>
    <t xml:space="preserve">2026-07-10 13:13:01</t>
  </si>
  <si>
    <t xml:space="preserve">2026-07-10 13:13:02</t>
  </si>
  <si>
    <t xml:space="preserve">2026-07-10 14:00:09</t>
  </si>
  <si>
    <t xml:space="preserve">2026-07-10 14:58:09</t>
  </si>
  <si>
    <t xml:space="preserve">8858451_IPSBERI</t>
  </si>
  <si>
    <t xml:space="preserve">BENHASRI</t>
  </si>
  <si>
    <t xml:space="preserve">2026-07-10 08:59:56</t>
  </si>
  <si>
    <t xml:space="preserve">2026-07-10 13:00:32</t>
  </si>
  <si>
    <t xml:space="preserve">2026-07-10 13:02:32</t>
  </si>
  <si>
    <t xml:space="preserve">2026-07-10 13:02:41</t>
  </si>
  <si>
    <t xml:space="preserve">2026-07-10 18:00:28</t>
  </si>
  <si>
    <t xml:space="preserve">8858484_IPSBUJE</t>
  </si>
  <si>
    <t xml:space="preserve">BENHMIJH</t>
  </si>
  <si>
    <t xml:space="preserve">2026-07-10 08:01:20</t>
  </si>
  <si>
    <t xml:space="preserve">2026-07-10 12:00:15</t>
  </si>
  <si>
    <t xml:space="preserve">2026-07-10 12:58:48</t>
  </si>
  <si>
    <t xml:space="preserve">8858660_IPSBNAD</t>
  </si>
  <si>
    <t xml:space="preserve">BENIDRAE</t>
  </si>
  <si>
    <t xml:space="preserve">2026-07-10 09:01:30</t>
  </si>
  <si>
    <t xml:space="preserve">2026-07-10 14:01:25</t>
  </si>
  <si>
    <t xml:space="preserve">2026-07-10 18:00:17</t>
  </si>
  <si>
    <t xml:space="preserve">8858807_IPSBJRA</t>
  </si>
  <si>
    <t xml:space="preserve">BENJEMRJ</t>
  </si>
  <si>
    <t xml:space="preserve">2026-07-10 08:54:57</t>
  </si>
  <si>
    <t xml:space="preserve">2026-07-10 13:08:08</t>
  </si>
  <si>
    <t xml:space="preserve">2026-07-10 14:04:01</t>
  </si>
  <si>
    <t xml:space="preserve">2026-07-10 17:52:11</t>
  </si>
  <si>
    <t xml:space="preserve">8858119_IPSBEIR</t>
  </si>
  <si>
    <t xml:space="preserve">BENJERIB</t>
  </si>
  <si>
    <t xml:space="preserve">2026-07-10 08:56:41</t>
  </si>
  <si>
    <t xml:space="preserve">2026-07-10 09:45:43</t>
  </si>
  <si>
    <t xml:space="preserve">2026-07-10 09:47:19</t>
  </si>
  <si>
    <t xml:space="preserve">2026-07-10 11:01:53</t>
  </si>
  <si>
    <t xml:space="preserve">2026-07-10 11:06:32</t>
  </si>
  <si>
    <t xml:space="preserve">2026-07-10 11:07:15</t>
  </si>
  <si>
    <t xml:space="preserve">2026-07-10 11:08:08</t>
  </si>
  <si>
    <t xml:space="preserve">2026-07-10 12:03:19</t>
  </si>
  <si>
    <t xml:space="preserve">2026-07-10 12:03:55</t>
  </si>
  <si>
    <t xml:space="preserve">2026-07-10 12:05:29</t>
  </si>
  <si>
    <t xml:space="preserve">2026-07-10 12:48:04</t>
  </si>
  <si>
    <t xml:space="preserve">2026-07-10 13:47:32</t>
  </si>
  <si>
    <t xml:space="preserve">8858740_IPSBKBI</t>
  </si>
  <si>
    <t xml:space="preserve">BENKHABI</t>
  </si>
  <si>
    <t xml:space="preserve">2026-07-10 08:43:28</t>
  </si>
  <si>
    <t xml:space="preserve">2026-07-10 08:43:41</t>
  </si>
  <si>
    <t xml:space="preserve">2026-07-10 08:58:57</t>
  </si>
  <si>
    <t xml:space="preserve">2026-07-10 14:10:36</t>
  </si>
  <si>
    <t xml:space="preserve">2026-07-10 15:10:38</t>
  </si>
  <si>
    <t xml:space="preserve">2026-07-10 16:16:36</t>
  </si>
  <si>
    <t xml:space="preserve">2026-07-10 16:16:37</t>
  </si>
  <si>
    <t xml:space="preserve">2026-07-10 16:36:49</t>
  </si>
  <si>
    <t xml:space="preserve">2026-07-10 18:01:09</t>
  </si>
  <si>
    <t xml:space="preserve">2026-07-10 16:36:50</t>
  </si>
  <si>
    <t xml:space="preserve">8858875_IPSBEMU</t>
  </si>
  <si>
    <t xml:space="preserve">BENKLIMU</t>
  </si>
  <si>
    <t xml:space="preserve">2026-07-10 08:58:48</t>
  </si>
  <si>
    <t xml:space="preserve">2026-07-10 13:59:07</t>
  </si>
  <si>
    <t xml:space="preserve">2026-07-10 08:58:49</t>
  </si>
  <si>
    <t xml:space="preserve">2026-07-10 16:59:36</t>
  </si>
  <si>
    <t xml:space="preserve">2026-07-10 21:59:26</t>
  </si>
  <si>
    <t xml:space="preserve">2026-07-10 16:59:38</t>
  </si>
  <si>
    <t xml:space="preserve">8858829_IPSBLSA</t>
  </si>
  <si>
    <t xml:space="preserve">BENLARSR</t>
  </si>
  <si>
    <t xml:space="preserve">2026-07-10 07:59:58</t>
  </si>
  <si>
    <t xml:space="preserve">2026-07-10 08:00:40</t>
  </si>
  <si>
    <t xml:space="preserve">2026-07-10 13:00:47</t>
  </si>
  <si>
    <t xml:space="preserve">2026-07-10 14:00:02</t>
  </si>
  <si>
    <t xml:space="preserve">2026-07-10 17:31:33</t>
  </si>
  <si>
    <t xml:space="preserve">8858180_IPSBEM1</t>
  </si>
  <si>
    <t xml:space="preserve">BENMAAMA</t>
  </si>
  <si>
    <t xml:space="preserve">2026-07-10 10:09:17</t>
  </si>
  <si>
    <t xml:space="preserve">2026-07-10 14:13:25</t>
  </si>
  <si>
    <t xml:space="preserve">2026-07-10 14:20:43</t>
  </si>
  <si>
    <t xml:space="preserve">2026-07-10 14:21:13</t>
  </si>
  <si>
    <t xml:space="preserve">2026-07-10 14:22:10</t>
  </si>
  <si>
    <t xml:space="preserve">2026-07-10 19:55:33</t>
  </si>
  <si>
    <t xml:space="preserve">8859537_IPSBEWA</t>
  </si>
  <si>
    <t xml:space="preserve">BENMABWA</t>
  </si>
  <si>
    <t xml:space="preserve">2026-07-10 08:59:26</t>
  </si>
  <si>
    <t xml:space="preserve">2026-07-10 13:15:28</t>
  </si>
  <si>
    <t xml:space="preserve">2026-07-10 18:31:52</t>
  </si>
  <si>
    <t xml:space="preserve">8858614_IPSBMAZ</t>
  </si>
  <si>
    <t xml:space="preserve">BENMAMAZ</t>
  </si>
  <si>
    <t xml:space="preserve">2026-07-10 07:02:05</t>
  </si>
  <si>
    <t xml:space="preserve">2026-07-10 08:33:58</t>
  </si>
  <si>
    <t xml:space="preserve">2026-07-10 08:34:02</t>
  </si>
  <si>
    <t xml:space="preserve">2026-07-10 09:55:27</t>
  </si>
  <si>
    <t xml:space="preserve">2026-07-10 09:55:30</t>
  </si>
  <si>
    <t xml:space="preserve">2026-07-10 09:56:01</t>
  </si>
  <si>
    <t xml:space="preserve">2026-07-10 09:56:39</t>
  </si>
  <si>
    <t xml:space="preserve">2026-07-10 12:43:17</t>
  </si>
  <si>
    <t xml:space="preserve">2026-07-10 12:45:15</t>
  </si>
  <si>
    <t xml:space="preserve">2026-07-10 14:04:58</t>
  </si>
  <si>
    <t xml:space="preserve">2026-07-10 15:04:53</t>
  </si>
  <si>
    <t xml:space="preserve">2026-07-10 16:01:39</t>
  </si>
  <si>
    <t xml:space="preserve">2026-07-10 16:02:11</t>
  </si>
  <si>
    <t xml:space="preserve">2026-07-10 16:08:18</t>
  </si>
  <si>
    <t xml:space="preserve">8858098_IPSBERA</t>
  </si>
  <si>
    <t xml:space="preserve">BENMANRK</t>
  </si>
  <si>
    <t xml:space="preserve">2026-07-10 09:01:18</t>
  </si>
  <si>
    <t xml:space="preserve">2026-07-10 12:31:04</t>
  </si>
  <si>
    <t xml:space="preserve">2026-07-10 13:30:20</t>
  </si>
  <si>
    <t xml:space="preserve">2026-07-10 18:02:49</t>
  </si>
  <si>
    <t xml:space="preserve">8858709_IPSBEAN</t>
  </si>
  <si>
    <t xml:space="preserve">BENMARAN</t>
  </si>
  <si>
    <t xml:space="preserve">2026-07-10 08:07:59</t>
  </si>
  <si>
    <t xml:space="preserve">2026-07-10 14:08:22</t>
  </si>
  <si>
    <t xml:space="preserve">2026-07-10 08:08:00</t>
  </si>
  <si>
    <t xml:space="preserve">2026-07-10 08:08:03</t>
  </si>
  <si>
    <t xml:space="preserve">ETS_MAIL</t>
  </si>
  <si>
    <t xml:space="preserve">2026-07-10 15:05:18</t>
  </si>
  <si>
    <t xml:space="preserve">2026-07-10 15:05:20</t>
  </si>
  <si>
    <t xml:space="preserve">2026-07-10 17:03:46</t>
  </si>
  <si>
    <t xml:space="preserve">8858452_IPSBENM</t>
  </si>
  <si>
    <t xml:space="preserve">BENMASYO</t>
  </si>
  <si>
    <t xml:space="preserve">2026-07-10 09:55:10</t>
  </si>
  <si>
    <t xml:space="preserve">2026-07-10 14:07:27</t>
  </si>
  <si>
    <t xml:space="preserve">NEFZIKH</t>
  </si>
  <si>
    <t xml:space="preserve">2026-07-10 15:06:43</t>
  </si>
  <si>
    <t xml:space="preserve">2026-07-10 18:01:42</t>
  </si>
  <si>
    <t xml:space="preserve">2026-07-10 18:02:52</t>
  </si>
  <si>
    <t xml:space="preserve">2026-07-10 18:55:42</t>
  </si>
  <si>
    <t xml:space="preserve">8859393_IPSBMAA</t>
  </si>
  <si>
    <t xml:space="preserve">BENMATSA</t>
  </si>
  <si>
    <t xml:space="preserve">2026-07-10 09:01:10</t>
  </si>
  <si>
    <t xml:space="preserve">2026-07-10 15:40:29</t>
  </si>
  <si>
    <t xml:space="preserve">ROUMANKA</t>
  </si>
  <si>
    <t xml:space="preserve">2026-07-10 16:58:49</t>
  </si>
  <si>
    <t xml:space="preserve">2026-07-10 18:14:25</t>
  </si>
  <si>
    <t xml:space="preserve">8859304_IPSBMML</t>
  </si>
  <si>
    <t xml:space="preserve">BENMBAMA</t>
  </si>
  <si>
    <t xml:space="preserve">2026-07-10 08:59:17</t>
  </si>
  <si>
    <t xml:space="preserve">2026-07-10 14:02:27</t>
  </si>
  <si>
    <t xml:space="preserve">2026-07-10 15:00:10</t>
  </si>
  <si>
    <t xml:space="preserve">2026-07-10 18:00:14</t>
  </si>
  <si>
    <t xml:space="preserve">8859581_IPSBEYH</t>
  </si>
  <si>
    <t xml:space="preserve">BENMHAYA</t>
  </si>
  <si>
    <t xml:space="preserve">2026-07-10 08:01:55</t>
  </si>
  <si>
    <t xml:space="preserve">2026-07-10 13:09:16</t>
  </si>
  <si>
    <t xml:space="preserve">2026-07-10 14:11:31</t>
  </si>
  <si>
    <t xml:space="preserve">2026-07-10 16:58:12</t>
  </si>
  <si>
    <t xml:space="preserve">2026-07-10 22:01:52</t>
  </si>
  <si>
    <t xml:space="preserve">2026-07-10 16:58:14</t>
  </si>
  <si>
    <t xml:space="preserve">2026-07-10 23:03:34</t>
  </si>
  <si>
    <t xml:space="preserve">2026-07-11 01:45:39</t>
  </si>
  <si>
    <t xml:space="preserve">2026-07-10 23:03:35</t>
  </si>
  <si>
    <t xml:space="preserve">2026-07-11 01:45:41</t>
  </si>
  <si>
    <t xml:space="preserve">8858808_IPSBEAC</t>
  </si>
  <si>
    <t xml:space="preserve">BENMOHAC</t>
  </si>
  <si>
    <t xml:space="preserve">2026-07-10 08:05:56</t>
  </si>
  <si>
    <t xml:space="preserve">2026-07-10 11:21:14</t>
  </si>
  <si>
    <t xml:space="preserve">2026-07-10 11:21:58</t>
  </si>
  <si>
    <t xml:space="preserve">2026-07-10 13:00:22</t>
  </si>
  <si>
    <t xml:space="preserve">2026-07-10 14:01:20</t>
  </si>
  <si>
    <t xml:space="preserve">8859244_IPSBEHY</t>
  </si>
  <si>
    <t xml:space="preserve">BENNASHA</t>
  </si>
  <si>
    <t xml:space="preserve">2026-07-10 10:43:16</t>
  </si>
  <si>
    <t xml:space="preserve">2026-07-10 13:32:54</t>
  </si>
  <si>
    <t xml:space="preserve">8859251_IPSTUAE</t>
  </si>
  <si>
    <t xml:space="preserve">BENNOURB</t>
  </si>
  <si>
    <t xml:space="preserve">2026-07-10 09:00:23</t>
  </si>
  <si>
    <t xml:space="preserve">8858710_IPSBAND</t>
  </si>
  <si>
    <t xml:space="preserve">BENOUHNA</t>
  </si>
  <si>
    <t xml:space="preserve">2026-07-10 08:51:53</t>
  </si>
  <si>
    <t xml:space="preserve">2026-07-10 13:45:52</t>
  </si>
  <si>
    <t xml:space="preserve">2026-07-10 14:45:33</t>
  </si>
  <si>
    <t xml:space="preserve">8858365_IPSBNMR</t>
  </si>
  <si>
    <t xml:space="preserve">BENREDMA</t>
  </si>
  <si>
    <t xml:space="preserve">2026-07-10 10:50:26</t>
  </si>
  <si>
    <t xml:space="preserve">2026-07-10 15:06:45</t>
  </si>
  <si>
    <t xml:space="preserve">2026-07-10 16:03:45</t>
  </si>
  <si>
    <t xml:space="preserve">2026-07-10 20:00:02</t>
  </si>
  <si>
    <t xml:space="preserve">8858496_IPSBJMW</t>
  </si>
  <si>
    <t xml:space="preserve">BENREJMA</t>
  </si>
  <si>
    <t xml:space="preserve">2026-07-10 08:29:37</t>
  </si>
  <si>
    <t xml:space="preserve">2026-07-10 12:00:28</t>
  </si>
  <si>
    <t xml:space="preserve">TRADAM</t>
  </si>
  <si>
    <t xml:space="preserve">2026-07-10 12:59:36</t>
  </si>
  <si>
    <t xml:space="preserve">2026-07-10 17:31:43</t>
  </si>
  <si>
    <t xml:space="preserve">8859247_IPSBESA</t>
  </si>
  <si>
    <t xml:space="preserve">BENROMSA</t>
  </si>
  <si>
    <t xml:space="preserve">2026-07-10 07:59:28</t>
  </si>
  <si>
    <t xml:space="preserve">2026-07-10 12:03:36</t>
  </si>
  <si>
    <t xml:space="preserve">2026-07-10 12:07:21</t>
  </si>
  <si>
    <t xml:space="preserve">2026-07-10 14:30:20</t>
  </si>
  <si>
    <t xml:space="preserve">2026-07-10 15:29:06</t>
  </si>
  <si>
    <t xml:space="preserve">2026-07-10 17:05:22</t>
  </si>
  <si>
    <t xml:space="preserve">8859248_IPSBEMM</t>
  </si>
  <si>
    <t xml:space="preserve">BENSAIMO</t>
  </si>
  <si>
    <t xml:space="preserve">2026-07-10 14:58:35</t>
  </si>
  <si>
    <t xml:space="preserve">2026-07-10 19:00:45</t>
  </si>
  <si>
    <t xml:space="preserve">8858691_IPSBEHX</t>
  </si>
  <si>
    <t xml:space="preserve">BENSALHA</t>
  </si>
  <si>
    <t xml:space="preserve">2026-07-10 08:00:12</t>
  </si>
  <si>
    <t xml:space="preserve">2026-07-10 13:02:03</t>
  </si>
  <si>
    <t xml:space="preserve">2026-07-10 08:00:13</t>
  </si>
  <si>
    <t xml:space="preserve">2026-07-10 13:53:37</t>
  </si>
  <si>
    <t xml:space="preserve">2026-07-10 17:01:44</t>
  </si>
  <si>
    <t xml:space="preserve">8859249_IPSBSIM</t>
  </si>
  <si>
    <t xml:space="preserve">BENSALIM</t>
  </si>
  <si>
    <t xml:space="preserve">2026-07-10 11:59:39</t>
  </si>
  <si>
    <t xml:space="preserve">2026-07-10 17:00:00</t>
  </si>
  <si>
    <t xml:space="preserve">2026-07-10 17:59:45</t>
  </si>
  <si>
    <t xml:space="preserve">2026-07-10 18:51:59</t>
  </si>
  <si>
    <t xml:space="preserve">2026-07-10 18:52:54</t>
  </si>
  <si>
    <t xml:space="preserve">2026-07-10 21:00:40</t>
  </si>
  <si>
    <t xml:space="preserve">8858335_IPSBSMA</t>
  </si>
  <si>
    <t xml:space="preserve">BENSALMW</t>
  </si>
  <si>
    <t xml:space="preserve">2026-07-10 11:29:24</t>
  </si>
  <si>
    <t xml:space="preserve">2026-07-10 18:40:18</t>
  </si>
  <si>
    <t xml:space="preserve">2026-07-10 18:48:39</t>
  </si>
  <si>
    <t xml:space="preserve">2026-07-10 19:03:59</t>
  </si>
  <si>
    <t xml:space="preserve">8858385_IPSBBHA</t>
  </si>
  <si>
    <t xml:space="preserve">BENSAMHA</t>
  </si>
  <si>
    <t xml:space="preserve">2026-07-10 08:01:09</t>
  </si>
  <si>
    <t xml:space="preserve">2026-07-10 08:17:53</t>
  </si>
  <si>
    <t xml:space="preserve">2026-07-10 08:23:18</t>
  </si>
  <si>
    <t xml:space="preserve">2026-07-10 12:02:14</t>
  </si>
  <si>
    <t xml:space="preserve">2026-07-10 13:00:07</t>
  </si>
  <si>
    <t xml:space="preserve">2026-07-10 16:08:14</t>
  </si>
  <si>
    <t xml:space="preserve">8858790_IPSQSVC</t>
  </si>
  <si>
    <t xml:space="preserve">BENSARAN</t>
  </si>
  <si>
    <t xml:space="preserve">2026-07-10 11:44:02</t>
  </si>
  <si>
    <t xml:space="preserve">2026-07-10 11:44:08</t>
  </si>
  <si>
    <t xml:space="preserve">2026-07-10 12:00:07</t>
  </si>
  <si>
    <t xml:space="preserve">2026-07-10 13:38:17</t>
  </si>
  <si>
    <t xml:space="preserve">2026-07-10 13:39:34</t>
  </si>
  <si>
    <t xml:space="preserve">2026-07-10 15:00:08</t>
  </si>
  <si>
    <t xml:space="preserve">2026-07-10 16:01:40</t>
  </si>
  <si>
    <t xml:space="preserve">2026-07-10 21:00:18</t>
  </si>
  <si>
    <t xml:space="preserve">8859705_IPSBSRA</t>
  </si>
  <si>
    <t xml:space="preserve">BENSELRA</t>
  </si>
  <si>
    <t xml:space="preserve">2026-07-10 08:56:47</t>
  </si>
  <si>
    <t xml:space="preserve">2026-07-10 15:01:11</t>
  </si>
  <si>
    <t xml:space="preserve">8859113_IPSBKHO</t>
  </si>
  <si>
    <t xml:space="preserve">BENSLIKH</t>
  </si>
  <si>
    <t xml:space="preserve">2026-07-10 07:58:08</t>
  </si>
  <si>
    <t xml:space="preserve">2026-07-10 12:22:17</t>
  </si>
  <si>
    <t xml:space="preserve">2026-07-10 07:58:09</t>
  </si>
  <si>
    <t xml:space="preserve">2026-07-10 13:21:50</t>
  </si>
  <si>
    <t xml:space="preserve">2026-07-10 17:02:41</t>
  </si>
  <si>
    <t xml:space="preserve">8858876_IPSBEAF</t>
  </si>
  <si>
    <t xml:space="preserve">BENTAIAM</t>
  </si>
  <si>
    <t xml:space="preserve">2026-07-10 06:55:35</t>
  </si>
  <si>
    <t xml:space="preserve">2026-07-10 11:01:45</t>
  </si>
  <si>
    <t xml:space="preserve">2026-07-10 14:18:02</t>
  </si>
  <si>
    <t xml:space="preserve">2026-07-10 18:14:06</t>
  </si>
  <si>
    <t xml:space="preserve">2026-07-10 14:18:03</t>
  </si>
  <si>
    <t xml:space="preserve">8858748_IPSBEHD</t>
  </si>
  <si>
    <t xml:space="preserve">BENTAMHE</t>
  </si>
  <si>
    <t xml:space="preserve">2026-07-10 08:03:36</t>
  </si>
  <si>
    <t xml:space="preserve">2026-07-10 13:03:58</t>
  </si>
  <si>
    <t xml:space="preserve">2026-07-10 08:03:37</t>
  </si>
  <si>
    <t xml:space="preserve">2026-07-10 08:03:45</t>
  </si>
  <si>
    <t xml:space="preserve">2026-07-10 13:53:10</t>
  </si>
  <si>
    <t xml:space="preserve">2026-07-10 13:53:11</t>
  </si>
  <si>
    <t xml:space="preserve">8858866_IPSBSNS</t>
  </si>
  <si>
    <t xml:space="preserve">BESSGHNE</t>
  </si>
  <si>
    <t xml:space="preserve">2026-07-10 09:01:47</t>
  </si>
  <si>
    <t xml:space="preserve">2026-07-10 09:51:11</t>
  </si>
  <si>
    <t xml:space="preserve">2026-07-10 09:52:22</t>
  </si>
  <si>
    <t xml:space="preserve">2026-07-10 14:05:13</t>
  </si>
  <si>
    <t xml:space="preserve">2026-07-10 15:05:43</t>
  </si>
  <si>
    <t xml:space="preserve">8858909_IPSOIVC</t>
  </si>
  <si>
    <t xml:space="preserve">BOCOUMDA</t>
  </si>
  <si>
    <t xml:space="preserve">2026-07-10 07:43:14</t>
  </si>
  <si>
    <t xml:space="preserve">2026-07-10 13:08:22</t>
  </si>
  <si>
    <t xml:space="preserve">2026-07-10 07:43:15</t>
  </si>
  <si>
    <t xml:space="preserve">2026-07-10 13:08:34</t>
  </si>
  <si>
    <t xml:space="preserve">2026-07-10 14:05:23</t>
  </si>
  <si>
    <t xml:space="preserve">2026-07-10 17:00:20</t>
  </si>
  <si>
    <t xml:space="preserve">2026-07-10 14:05:24</t>
  </si>
  <si>
    <t xml:space="preserve">8858353_IPSBOZK</t>
  </si>
  <si>
    <t xml:space="preserve">BOUABDZA</t>
  </si>
  <si>
    <t xml:space="preserve">2026-07-10 07:48:41</t>
  </si>
  <si>
    <t xml:space="preserve">2026-07-10 12:31:31</t>
  </si>
  <si>
    <t xml:space="preserve">2026-07-10 13:26:45</t>
  </si>
  <si>
    <t xml:space="preserve">2026-07-10 17:00:09</t>
  </si>
  <si>
    <t xml:space="preserve">8858041_IPSBOAZ</t>
  </si>
  <si>
    <t xml:space="preserve">2026-07-10 12:22:00</t>
  </si>
  <si>
    <t xml:space="preserve">2026-07-10 13:08:53</t>
  </si>
  <si>
    <t xml:space="preserve">ELBEZZRA</t>
  </si>
  <si>
    <t xml:space="preserve">2026-07-10 13:10:01</t>
  </si>
  <si>
    <t xml:space="preserve">2026-07-10 13:40:00</t>
  </si>
  <si>
    <t xml:space="preserve">2026-07-10 13:40:32</t>
  </si>
  <si>
    <t xml:space="preserve">2026-07-10 13:41:12</t>
  </si>
  <si>
    <t xml:space="preserve">2026-07-10 13:41:45</t>
  </si>
  <si>
    <t xml:space="preserve">8858112_IPSBOCZ</t>
  </si>
  <si>
    <t xml:space="preserve">BOUAKKCH</t>
  </si>
  <si>
    <t xml:space="preserve">2026-07-10 08:33:07</t>
  </si>
  <si>
    <t xml:space="preserve">2026-07-10 08:33:38</t>
  </si>
  <si>
    <t xml:space="preserve">2026-07-10 08:55:06</t>
  </si>
  <si>
    <t xml:space="preserve">2026-07-10 08:59:37</t>
  </si>
  <si>
    <t xml:space="preserve">2026-07-10 14:00:13</t>
  </si>
  <si>
    <t xml:space="preserve">2026-07-10 14:59:16</t>
  </si>
  <si>
    <t xml:space="preserve">8858419_IPSBACI</t>
  </si>
  <si>
    <t xml:space="preserve">BOUASSCH</t>
  </si>
  <si>
    <t xml:space="preserve">2026-07-10 08:59:07</t>
  </si>
  <si>
    <t xml:space="preserve">2026-07-10 13:40:04</t>
  </si>
  <si>
    <t xml:space="preserve">2026-07-10 14:39:07</t>
  </si>
  <si>
    <t xml:space="preserve">2026-07-10 18:09:41</t>
  </si>
  <si>
    <t xml:space="preserve">8858901_IPSBOMY</t>
  </si>
  <si>
    <t xml:space="preserve">BOUATAMA</t>
  </si>
  <si>
    <t xml:space="preserve">2026-07-10 08:36:00</t>
  </si>
  <si>
    <t xml:space="preserve">2026-07-10 09:46:42</t>
  </si>
  <si>
    <t xml:space="preserve">2026-07-10 15:03:50</t>
  </si>
  <si>
    <t xml:space="preserve">2026-07-10 16:01:50</t>
  </si>
  <si>
    <t xml:space="preserve">2026-07-10 16:15:13</t>
  </si>
  <si>
    <t xml:space="preserve">2026-07-10 17:04:34</t>
  </si>
  <si>
    <t xml:space="preserve">8859339_IPSBOGH</t>
  </si>
  <si>
    <t xml:space="preserve">BOUAZIGH</t>
  </si>
  <si>
    <t xml:space="preserve">2026-07-10 07:56:38</t>
  </si>
  <si>
    <t xml:space="preserve">2026-07-10 12:30:27</t>
  </si>
  <si>
    <t xml:space="preserve">2026-07-10 13:00:44</t>
  </si>
  <si>
    <t xml:space="preserve">2026-07-10 16:30:07</t>
  </si>
  <si>
    <t xml:space="preserve">8858460_IPSBUMA</t>
  </si>
  <si>
    <t xml:space="preserve">BOUCHLMA</t>
  </si>
  <si>
    <t xml:space="preserve">2026-07-10 08:31:02</t>
  </si>
  <si>
    <t xml:space="preserve">2026-07-10 17:24:58</t>
  </si>
  <si>
    <t xml:space="preserve">8858083_IPSBDMR</t>
  </si>
  <si>
    <t xml:space="preserve">BOUDHRMA</t>
  </si>
  <si>
    <t xml:space="preserve">2026-07-10 08:39:00</t>
  </si>
  <si>
    <t xml:space="preserve">2026-07-10 13:42:02</t>
  </si>
  <si>
    <t xml:space="preserve">2026-07-10 14:33:38</t>
  </si>
  <si>
    <t xml:space="preserve">2026-07-10 14:34:10</t>
  </si>
  <si>
    <t xml:space="preserve">2026-07-10 14:49:57</t>
  </si>
  <si>
    <t xml:space="preserve">2026-07-10 18:00:19</t>
  </si>
  <si>
    <t xml:space="preserve">8859255_IPSBOMM</t>
  </si>
  <si>
    <t xml:space="preserve">BOUDIDMO</t>
  </si>
  <si>
    <t xml:space="preserve">2026-07-10 08:52:08</t>
  </si>
  <si>
    <t xml:space="preserve">2026-07-10 14:30:23</t>
  </si>
  <si>
    <t xml:space="preserve">2026-07-10 15:27:03</t>
  </si>
  <si>
    <t xml:space="preserve">2026-07-10 18:07:46</t>
  </si>
  <si>
    <t xml:space="preserve">8859256_IPSBORH</t>
  </si>
  <si>
    <t xml:space="preserve">BOUGHARH</t>
  </si>
  <si>
    <t xml:space="preserve">2026-07-10 10:57:25</t>
  </si>
  <si>
    <t xml:space="preserve">2026-07-10 13:48:47</t>
  </si>
  <si>
    <t xml:space="preserve">2026-07-10 13:56:14</t>
  </si>
  <si>
    <t xml:space="preserve">2026-07-10 18:29:57</t>
  </si>
  <si>
    <t xml:space="preserve">2026-07-10 20:00:01</t>
  </si>
  <si>
    <t xml:space="preserve">8859257_IPSBONH</t>
  </si>
  <si>
    <t xml:space="preserve">BOUJEMKH</t>
  </si>
  <si>
    <t xml:space="preserve">2026-07-10 10:59:33</t>
  </si>
  <si>
    <t xml:space="preserve">2026-07-10 15:07:05</t>
  </si>
  <si>
    <t xml:space="preserve">2026-07-10 16:02:20</t>
  </si>
  <si>
    <t xml:space="preserve">2026-07-10 19:03:11</t>
  </si>
  <si>
    <t xml:space="preserve">2026-07-10 19:08:02</t>
  </si>
  <si>
    <t xml:space="preserve">2026-07-10 20:17:13</t>
  </si>
  <si>
    <t xml:space="preserve">8858809_IPSBOEL</t>
  </si>
  <si>
    <t xml:space="preserve">BOUKESEL</t>
  </si>
  <si>
    <t xml:space="preserve">2026-07-10 09:11:22</t>
  </si>
  <si>
    <t xml:space="preserve">2026-07-10 14:12:43</t>
  </si>
  <si>
    <t xml:space="preserve">2026-07-10 14:54:47</t>
  </si>
  <si>
    <t xml:space="preserve">2026-07-10 18:05:15</t>
  </si>
  <si>
    <t xml:space="preserve">8858855_IPSBORI</t>
  </si>
  <si>
    <t xml:space="preserve">BOUKHRRI</t>
  </si>
  <si>
    <t xml:space="preserve">2026-07-10 08:37:19</t>
  </si>
  <si>
    <t xml:space="preserve">2026-07-10 10:51:27</t>
  </si>
  <si>
    <t xml:space="preserve">2026-07-10 11:01:09</t>
  </si>
  <si>
    <t xml:space="preserve">2026-07-10 13:05:04</t>
  </si>
  <si>
    <t xml:space="preserve">2026-07-10 13:58:02</t>
  </si>
  <si>
    <t xml:space="preserve">8858712_IPSBOMI</t>
  </si>
  <si>
    <t xml:space="preserve">BOULAAMO</t>
  </si>
  <si>
    <t xml:space="preserve">2026-07-10 07:59:46</t>
  </si>
  <si>
    <t xml:space="preserve">2026-07-10 15:59:46</t>
  </si>
  <si>
    <t xml:space="preserve">8858626_IPSBOWW</t>
  </si>
  <si>
    <t xml:space="preserve">BOULABMA</t>
  </si>
  <si>
    <t xml:space="preserve">2026-07-10 08:00:26</t>
  </si>
  <si>
    <t xml:space="preserve">2026-07-10 12:03:57</t>
  </si>
  <si>
    <t xml:space="preserve">2026-07-10 13:25:41</t>
  </si>
  <si>
    <t xml:space="preserve">2026-07-10 13:27:20</t>
  </si>
  <si>
    <t xml:space="preserve">2026-07-10 15:19:35</t>
  </si>
  <si>
    <t xml:space="preserve">2026-07-10 15:20:59</t>
  </si>
  <si>
    <t xml:space="preserve">2026-07-10 16:04:27</t>
  </si>
  <si>
    <t xml:space="preserve">8858810_IPSBOND</t>
  </si>
  <si>
    <t xml:space="preserve">BOULARNI</t>
  </si>
  <si>
    <t xml:space="preserve">2026-07-10 14:59:17</t>
  </si>
  <si>
    <t xml:space="preserve">2026-07-10 17:38:04</t>
  </si>
  <si>
    <t xml:space="preserve">2026-07-10 17:43:18</t>
  </si>
  <si>
    <t xml:space="preserve">2026-07-10 17:45:11</t>
  </si>
  <si>
    <t xml:space="preserve">2026-07-10 17:46:11</t>
  </si>
  <si>
    <t xml:space="preserve">2026-07-10 18:08:42</t>
  </si>
  <si>
    <t xml:space="preserve">2026-07-10 18:13:14</t>
  </si>
  <si>
    <t xml:space="preserve">2026-07-10 19:00:01</t>
  </si>
  <si>
    <t xml:space="preserve">8859309_IPSBLSL</t>
  </si>
  <si>
    <t xml:space="preserve">2026-07-10 07:40:19</t>
  </si>
  <si>
    <t xml:space="preserve">2026-07-10 07:40:28</t>
  </si>
  <si>
    <t xml:space="preserve">2026-07-10 08:01:18</t>
  </si>
  <si>
    <t xml:space="preserve">2026-07-10 13:00:43</t>
  </si>
  <si>
    <t xml:space="preserve">2026-07-10 13:54:52</t>
  </si>
  <si>
    <t xml:space="preserve">8858519_IPSBLZK</t>
  </si>
  <si>
    <t xml:space="preserve">BOULHRZA</t>
  </si>
  <si>
    <t xml:space="preserve">2026-07-10 09:58:10</t>
  </si>
  <si>
    <t xml:space="preserve">2026-07-10 12:00:00</t>
  </si>
  <si>
    <t xml:space="preserve">2026-07-10 12:54:49</t>
  </si>
  <si>
    <t xml:space="preserve">2026-07-10 13:20:13</t>
  </si>
  <si>
    <t xml:space="preserve">2026-07-10 13:20:56</t>
  </si>
  <si>
    <t xml:space="preserve">8859259_IPSBOAH</t>
  </si>
  <si>
    <t xml:space="preserve">BOULIFAH</t>
  </si>
  <si>
    <t xml:space="preserve">2026-07-10 08:00:04</t>
  </si>
  <si>
    <t xml:space="preserve">2026-07-10 08:10:09</t>
  </si>
  <si>
    <t xml:space="preserve">2026-07-10 08:10:55</t>
  </si>
  <si>
    <t xml:space="preserve">2026-07-10 13:59:30</t>
  </si>
  <si>
    <t xml:space="preserve">8858323_IPSBOHU</t>
  </si>
  <si>
    <t xml:space="preserve">BOULLOHD</t>
  </si>
  <si>
    <t xml:space="preserve">2026-07-10 07:54:47</t>
  </si>
  <si>
    <t xml:space="preserve">2026-07-10 13:00:21</t>
  </si>
  <si>
    <t xml:space="preserve">2026-07-10 13:59:58</t>
  </si>
  <si>
    <t xml:space="preserve">8858164_IPSBMSK</t>
  </si>
  <si>
    <t xml:space="preserve">BOUMEZSO</t>
  </si>
  <si>
    <t xml:space="preserve">2026-07-10 08:56:59</t>
  </si>
  <si>
    <t xml:space="preserve">2026-07-10 13:59:00</t>
  </si>
  <si>
    <t xml:space="preserve">2026-07-10 18:00:05</t>
  </si>
  <si>
    <t xml:space="preserve">8859365_IPSBKMM</t>
  </si>
  <si>
    <t xml:space="preserve">BOUMLIME</t>
  </si>
  <si>
    <t xml:space="preserve">2026-07-10 08:58:42</t>
  </si>
  <si>
    <t xml:space="preserve">2026-07-10 13:32:14</t>
  </si>
  <si>
    <t xml:space="preserve">JAWABSA</t>
  </si>
  <si>
    <t xml:space="preserve">2026-07-10 14:29:14</t>
  </si>
  <si>
    <t xml:space="preserve">2026-07-10 18:00:24</t>
  </si>
  <si>
    <t xml:space="preserve">8859260_IPSBOHJ</t>
  </si>
  <si>
    <t xml:space="preserve">BOUNOUHA</t>
  </si>
  <si>
    <t xml:space="preserve">2026-07-10 08:59:24</t>
  </si>
  <si>
    <t xml:space="preserve">2026-07-10 13:41:54</t>
  </si>
  <si>
    <t xml:space="preserve">2026-07-10 14:37:50</t>
  </si>
  <si>
    <t xml:space="preserve">2026-07-10 18:00:32</t>
  </si>
  <si>
    <t xml:space="preserve">8858108_IPSBOHI</t>
  </si>
  <si>
    <t xml:space="preserve">BOUSSAHI</t>
  </si>
  <si>
    <t xml:space="preserve">2026-07-10 10:19:42</t>
  </si>
  <si>
    <t xml:space="preserve">2026-07-10 12:17:27</t>
  </si>
  <si>
    <t xml:space="preserve">2026-07-10 12:18:07</t>
  </si>
  <si>
    <t xml:space="preserve">2026-07-10 18:48:10</t>
  </si>
  <si>
    <t xml:space="preserve">8859406_IPSBOBA</t>
  </si>
  <si>
    <t xml:space="preserve">BOUSSEBA</t>
  </si>
  <si>
    <t xml:space="preserve">2026-07-10 08:59:32</t>
  </si>
  <si>
    <t xml:space="preserve">2026-07-10 12:20:13</t>
  </si>
  <si>
    <t xml:space="preserve">2026-07-10 12:20:50</t>
  </si>
  <si>
    <t xml:space="preserve">2026-07-10 15:01:28</t>
  </si>
  <si>
    <t xml:space="preserve">8859263_IPSBOMG</t>
  </si>
  <si>
    <t xml:space="preserve">BOUSSEMH</t>
  </si>
  <si>
    <t xml:space="preserve">2026-07-10 08:59:33</t>
  </si>
  <si>
    <t xml:space="preserve">2026-07-10 13:06:44</t>
  </si>
  <si>
    <t xml:space="preserve">2026-07-10 14:05:26</t>
  </si>
  <si>
    <t xml:space="preserve">2026-07-10 18:03:40</t>
  </si>
  <si>
    <t xml:space="preserve">2026-07-10 10:59:21</t>
  </si>
  <si>
    <t xml:space="preserve">2026-07-10 15:04:20</t>
  </si>
  <si>
    <t xml:space="preserve">2026-07-10 10:59:22</t>
  </si>
  <si>
    <t xml:space="preserve">2026-07-10 16:02:33</t>
  </si>
  <si>
    <t xml:space="preserve">2026-07-10 20:02:53</t>
  </si>
  <si>
    <t xml:space="preserve">8859416_IPSBMMD</t>
  </si>
  <si>
    <t xml:space="preserve">BOUSSOMH</t>
  </si>
  <si>
    <t xml:space="preserve">DRAOUIHA</t>
  </si>
  <si>
    <t xml:space="preserve">2026-07-10 15:00:43</t>
  </si>
  <si>
    <t xml:space="preserve">8858085_IPSNOGA</t>
  </si>
  <si>
    <t xml:space="preserve">BOUTARRA</t>
  </si>
  <si>
    <t xml:space="preserve">2026-07-10 12:58:18</t>
  </si>
  <si>
    <t xml:space="preserve">2026-07-10 18:00:27</t>
  </si>
  <si>
    <t xml:space="preserve">2026-07-10 18:58:39</t>
  </si>
  <si>
    <t xml:space="preserve">2026-07-10 21:57:20</t>
  </si>
  <si>
    <t xml:space="preserve">8858811_IPSBOLO</t>
  </si>
  <si>
    <t xml:space="preserve">BOUZAZLO</t>
  </si>
  <si>
    <t xml:space="preserve">2026-07-10 09:41:01</t>
  </si>
  <si>
    <t xml:space="preserve">2026-07-10 13:57:30</t>
  </si>
  <si>
    <t xml:space="preserve">2026-07-10 18:39:22</t>
  </si>
  <si>
    <t xml:space="preserve">2026-07-10 18:39:28</t>
  </si>
  <si>
    <t xml:space="preserve">2026-07-10 19:33:23</t>
  </si>
  <si>
    <t xml:space="preserve">8858113_IPSBOMW</t>
  </si>
  <si>
    <t xml:space="preserve">BOUZIDMR</t>
  </si>
  <si>
    <t xml:space="preserve">2026-07-10 07:56:37</t>
  </si>
  <si>
    <t xml:space="preserve">2026-07-10 12:13:55</t>
  </si>
  <si>
    <t xml:space="preserve">2026-07-10 13:12:12</t>
  </si>
  <si>
    <t xml:space="preserve">8858404_IPSBIRM</t>
  </si>
  <si>
    <t xml:space="preserve">BOUZIDRI</t>
  </si>
  <si>
    <t xml:space="preserve">2026-07-10 08:41:09</t>
  </si>
  <si>
    <t xml:space="preserve">2026-07-10 13:10:34</t>
  </si>
  <si>
    <t xml:space="preserve">2026-07-10 08:41:10</t>
  </si>
  <si>
    <t xml:space="preserve">2026-07-10 13:44:47</t>
  </si>
  <si>
    <t xml:space="preserve">2026-07-10 17:30:25</t>
  </si>
  <si>
    <t xml:space="preserve">8858792_IPSBRMO</t>
  </si>
  <si>
    <t xml:space="preserve">BRAHEMMO</t>
  </si>
  <si>
    <t xml:space="preserve">2026-07-10 09:36:28</t>
  </si>
  <si>
    <t xml:space="preserve">2026-07-10 09:57:01</t>
  </si>
  <si>
    <t xml:space="preserve">2026-07-10 15:05:11</t>
  </si>
  <si>
    <t xml:space="preserve">2026-07-10 16:02:14</t>
  </si>
  <si>
    <t xml:space="preserve">2026-07-10 18:12:19</t>
  </si>
  <si>
    <t xml:space="preserve">2026-07-10 18:13:46</t>
  </si>
  <si>
    <t xml:space="preserve">2026-07-10 18:43:23</t>
  </si>
  <si>
    <t xml:space="preserve">2026-07-10 18:43:51</t>
  </si>
  <si>
    <t xml:space="preserve">2026-07-10 18:46:45</t>
  </si>
  <si>
    <t xml:space="preserve">2026-07-10 18:55:15</t>
  </si>
  <si>
    <t xml:space="preserve">2026-07-10 19:05:29</t>
  </si>
  <si>
    <t xml:space="preserve">8858659_IPSBRNS</t>
  </si>
  <si>
    <t xml:space="preserve">BRAHMINE</t>
  </si>
  <si>
    <t xml:space="preserve">2026-07-10 09:00:05</t>
  </si>
  <si>
    <t xml:space="preserve">2026-07-10 18:00:20</t>
  </si>
  <si>
    <t xml:space="preserve">8858515_IPSBIMH</t>
  </si>
  <si>
    <t xml:space="preserve">BRIKIMO</t>
  </si>
  <si>
    <t xml:space="preserve">2026-07-10 08:46:27</t>
  </si>
  <si>
    <t xml:space="preserve">2026-07-10 08:47:03</t>
  </si>
  <si>
    <t xml:space="preserve">2026-07-10 08:55:30</t>
  </si>
  <si>
    <t xml:space="preserve">2026-07-10 11:23:06</t>
  </si>
  <si>
    <t xml:space="preserve">2026-07-10 11:24:00</t>
  </si>
  <si>
    <t xml:space="preserve">2026-07-10 13:24:52</t>
  </si>
  <si>
    <t xml:space="preserve">2026-07-10 14:23:36</t>
  </si>
  <si>
    <t xml:space="preserve">2026-07-10 18:30:18</t>
  </si>
  <si>
    <t xml:space="preserve">8858133_IPSBRIO</t>
  </si>
  <si>
    <t xml:space="preserve">BRIKMO</t>
  </si>
  <si>
    <t xml:space="preserve">2026-07-10 09:05:54</t>
  </si>
  <si>
    <t xml:space="preserve">2026-07-10 12:47:22</t>
  </si>
  <si>
    <t xml:space="preserve">2026-07-10 12:48:19</t>
  </si>
  <si>
    <t xml:space="preserve">2026-07-10 13:12:41</t>
  </si>
  <si>
    <t xml:space="preserve">2026-07-10 14:07:03</t>
  </si>
  <si>
    <t xml:space="preserve">2026-07-10 14:53:05</t>
  </si>
  <si>
    <t xml:space="preserve">2026-07-10 14:53:52</t>
  </si>
  <si>
    <t xml:space="preserve">2026-07-10 18:01:35</t>
  </si>
  <si>
    <t xml:space="preserve">8858867_IPSBSCH</t>
  </si>
  <si>
    <t xml:space="preserve">BSASSICH</t>
  </si>
  <si>
    <t xml:space="preserve">2026-07-10 08:58:34</t>
  </si>
  <si>
    <t xml:space="preserve">2026-07-10 12:14:03</t>
  </si>
  <si>
    <t xml:space="preserve">2026-07-10 05:55:11</t>
  </si>
  <si>
    <t xml:space="preserve">2026-07-10 07:14:06</t>
  </si>
  <si>
    <t xml:space="preserve">2026-07-10 05:55:12</t>
  </si>
  <si>
    <t xml:space="preserve">2026-07-10 07:14:10</t>
  </si>
  <si>
    <t xml:space="preserve">2026-07-10 07:15:57</t>
  </si>
  <si>
    <t xml:space="preserve">2026-07-10 12:00:21</t>
  </si>
  <si>
    <t xml:space="preserve">2026-07-10 13:01:33</t>
  </si>
  <si>
    <t xml:space="preserve">2026-07-10 15:00:36</t>
  </si>
  <si>
    <t xml:space="preserve">8859398_IPSCHSX</t>
  </si>
  <si>
    <t xml:space="preserve">CHAFISA</t>
  </si>
  <si>
    <t xml:space="preserve">2026-07-10 14:04:07</t>
  </si>
  <si>
    <t xml:space="preserve">2026-07-10 19:00:05</t>
  </si>
  <si>
    <t xml:space="preserve">8858618_IPSCDSA</t>
  </si>
  <si>
    <t xml:space="preserve">CHAHEDSA</t>
  </si>
  <si>
    <t xml:space="preserve">2026-07-10 11:09:06</t>
  </si>
  <si>
    <t xml:space="preserve">2026-07-10 15:41:11</t>
  </si>
  <si>
    <t xml:space="preserve">2026-07-10 16:40:22</t>
  </si>
  <si>
    <t xml:space="preserve">2026-07-10 20:00:09</t>
  </si>
  <si>
    <t xml:space="preserve">8859125_IPSCHBS</t>
  </si>
  <si>
    <t xml:space="preserve">CHAKARBS</t>
  </si>
  <si>
    <t xml:space="preserve">2026-07-10 09:58:54</t>
  </si>
  <si>
    <t xml:space="preserve">2026-07-10 14:30:31</t>
  </si>
  <si>
    <t xml:space="preserve">2026-07-10 09:58:55</t>
  </si>
  <si>
    <t xml:space="preserve">2026-07-10 15:31:33</t>
  </si>
  <si>
    <t xml:space="preserve">2026-07-10 20:00:24</t>
  </si>
  <si>
    <t xml:space="preserve">8858812_IPSCHKR</t>
  </si>
  <si>
    <t xml:space="preserve">CHAKROKA</t>
  </si>
  <si>
    <t xml:space="preserve">2026-07-10 08:41:13</t>
  </si>
  <si>
    <t xml:space="preserve">2026-07-10 13:15:41</t>
  </si>
  <si>
    <t xml:space="preserve">2026-07-10 13:58:28</t>
  </si>
  <si>
    <t xml:space="preserve">2026-07-10 17:42:27</t>
  </si>
  <si>
    <t xml:space="preserve">2026-07-10 17:42:49</t>
  </si>
  <si>
    <t xml:space="preserve">2026-07-10 17:55:46</t>
  </si>
  <si>
    <t xml:space="preserve">8859335_IPSCANA</t>
  </si>
  <si>
    <t xml:space="preserve">CHAMKHNO</t>
  </si>
  <si>
    <t xml:space="preserve">2026-07-10 08:01:37</t>
  </si>
  <si>
    <t xml:space="preserve">2026-07-10 13:01:03</t>
  </si>
  <si>
    <t xml:space="preserve">2026-07-10 14:02:57</t>
  </si>
  <si>
    <t xml:space="preserve">8858653_IPSCHSB</t>
  </si>
  <si>
    <t xml:space="preserve">CHANDOSA</t>
  </si>
  <si>
    <t xml:space="preserve">2026-07-10 11:32:49</t>
  </si>
  <si>
    <t xml:space="preserve">2026-07-10 16:31:27</t>
  </si>
  <si>
    <t xml:space="preserve">2026-07-10 17:31:25</t>
  </si>
  <si>
    <t xml:space="preserve">2026-07-10 21:00:16</t>
  </si>
  <si>
    <t xml:space="preserve">8858349_IPSCHSM</t>
  </si>
  <si>
    <t xml:space="preserve">CHARNISA</t>
  </si>
  <si>
    <t xml:space="preserve">2026-07-10 08:32:35</t>
  </si>
  <si>
    <t xml:space="preserve">2026-07-10 13:06:23</t>
  </si>
  <si>
    <t xml:space="preserve">2026-07-10 13:43:00</t>
  </si>
  <si>
    <t xml:space="preserve">2026-07-10 13:48:20</t>
  </si>
  <si>
    <t xml:space="preserve">2026-07-10 13:49:18</t>
  </si>
  <si>
    <t xml:space="preserve">2026-07-10 16:51:10</t>
  </si>
  <si>
    <t xml:space="preserve">2026-07-10 16:52:23</t>
  </si>
  <si>
    <t xml:space="preserve">2026-07-10 16:53:51</t>
  </si>
  <si>
    <t xml:space="preserve">2026-07-10 18:00:10</t>
  </si>
  <si>
    <t xml:space="preserve">8858797_IPSCHRN</t>
  </si>
  <si>
    <t xml:space="preserve">CHARTARA</t>
  </si>
  <si>
    <t xml:space="preserve">2026-07-10 01:24:56</t>
  </si>
  <si>
    <t xml:space="preserve">2026-07-10 01:25:06</t>
  </si>
  <si>
    <t xml:space="preserve">2026-07-10 09:27:26</t>
  </si>
  <si>
    <t xml:space="preserve">2026-07-10 12:13:42</t>
  </si>
  <si>
    <t xml:space="preserve">2026-07-10 12:15:40</t>
  </si>
  <si>
    <t xml:space="preserve">2026-07-10 13:02:00</t>
  </si>
  <si>
    <t xml:space="preserve">2026-07-10 13:05:20</t>
  </si>
  <si>
    <t xml:space="preserve">2026-07-10 13:25:35</t>
  </si>
  <si>
    <t xml:space="preserve">2026-07-10 13:26:04</t>
  </si>
  <si>
    <t xml:space="preserve">2026-07-10 13:26:55</t>
  </si>
  <si>
    <t xml:space="preserve">2026-07-10 13:28:22</t>
  </si>
  <si>
    <t xml:space="preserve">2026-07-10 15:01:44</t>
  </si>
  <si>
    <t xml:space="preserve">2026-07-10 16:00:31</t>
  </si>
  <si>
    <t xml:space="preserve">2026-07-10 17:21:53</t>
  </si>
  <si>
    <t xml:space="preserve">2026-07-10 17:22:24</t>
  </si>
  <si>
    <t xml:space="preserve">8858389_IPSYHCH</t>
  </si>
  <si>
    <t xml:space="preserve">CHAYAHCA</t>
  </si>
  <si>
    <t xml:space="preserve">2026-07-10 07:46:32</t>
  </si>
  <si>
    <t xml:space="preserve">2026-07-10 12:32:00</t>
  </si>
  <si>
    <t xml:space="preserve">2026-07-10 13:29:37</t>
  </si>
  <si>
    <t xml:space="preserve">2026-07-10 17:00:03</t>
  </si>
  <si>
    <t xml:space="preserve">8859114_IPSCHRH</t>
  </si>
  <si>
    <t xml:space="preserve">CHEBBIRA</t>
  </si>
  <si>
    <t xml:space="preserve">2026-07-10 07:53:11</t>
  </si>
  <si>
    <t xml:space="preserve">2026-07-10 14:00:16</t>
  </si>
  <si>
    <t xml:space="preserve">2026-07-10 14:57:29</t>
  </si>
  <si>
    <t xml:space="preserve">2026-07-10 17:09:34</t>
  </si>
  <si>
    <t xml:space="preserve">8858433_IPSCHZL</t>
  </si>
  <si>
    <t xml:space="preserve">CHEBBISL</t>
  </si>
  <si>
    <t xml:space="preserve">2026-07-10 08:59:04</t>
  </si>
  <si>
    <t xml:space="preserve">2026-07-10 14:00:35</t>
  </si>
  <si>
    <t xml:space="preserve">2026-07-10 15:00:44</t>
  </si>
  <si>
    <t xml:space="preserve">2026-07-10 18:01:52</t>
  </si>
  <si>
    <t xml:space="preserve">8858462_IPSCHIO</t>
  </si>
  <si>
    <t xml:space="preserve">CHEFFIIN</t>
  </si>
  <si>
    <t xml:space="preserve">2026-07-10 08:32:22</t>
  </si>
  <si>
    <t xml:space="preserve">2026-07-10 11:11:36</t>
  </si>
  <si>
    <t xml:space="preserve">2026-07-10 11:11:40</t>
  </si>
  <si>
    <t xml:space="preserve">2026-07-10 11:19:51</t>
  </si>
  <si>
    <t xml:space="preserve">2026-07-10 11:21:16</t>
  </si>
  <si>
    <t xml:space="preserve">2026-07-10 12:00:10</t>
  </si>
  <si>
    <t xml:space="preserve">2026-07-10 13:01:34</t>
  </si>
  <si>
    <t xml:space="preserve">2026-07-10 17:20:24</t>
  </si>
  <si>
    <t xml:space="preserve">8859267_IPSCHSA</t>
  </si>
  <si>
    <t xml:space="preserve">CHEIKHSB</t>
  </si>
  <si>
    <t xml:space="preserve">2026-07-10 07:56:53</t>
  </si>
  <si>
    <t xml:space="preserve">8858753_IPSCHSD</t>
  </si>
  <si>
    <t xml:space="preserve">CHELBISE</t>
  </si>
  <si>
    <t xml:space="preserve">2026-07-10 08:09:35</t>
  </si>
  <si>
    <t xml:space="preserve">2026-07-10 13:00:06</t>
  </si>
  <si>
    <t xml:space="preserve">HASSENHA</t>
  </si>
  <si>
    <t xml:space="preserve">2026-07-10 14:06:55</t>
  </si>
  <si>
    <t xml:space="preserve">2026-07-10 14:07:00</t>
  </si>
  <si>
    <t xml:space="preserve">2026-07-10 17:30:02</t>
  </si>
  <si>
    <t xml:space="preserve">8859250_IPSCIIS</t>
  </si>
  <si>
    <t xml:space="preserve">CHERKAIY</t>
  </si>
  <si>
    <t xml:space="preserve">2026-07-10 10:57:08</t>
  </si>
  <si>
    <t xml:space="preserve">2026-07-10 10:57:09</t>
  </si>
  <si>
    <t xml:space="preserve">2026-07-10 12:57:36</t>
  </si>
  <si>
    <t xml:space="preserve">2026-07-10 13:07:41</t>
  </si>
  <si>
    <t xml:space="preserve">2026-07-10 14:30:05</t>
  </si>
  <si>
    <t xml:space="preserve">2026-07-10 15:29:40</t>
  </si>
  <si>
    <t xml:space="preserve">8858623_IPSCEYO</t>
  </si>
  <si>
    <t xml:space="preserve">CHERKAYO</t>
  </si>
  <si>
    <t xml:space="preserve">2026-07-10 08:56:08</t>
  </si>
  <si>
    <t xml:space="preserve">2026-07-10 14:30:29</t>
  </si>
  <si>
    <t xml:space="preserve">2026-07-10 15:28:54</t>
  </si>
  <si>
    <t xml:space="preserve">2026-07-10 15:29:50</t>
  </si>
  <si>
    <t xml:space="preserve">2026-07-10 15:31:01</t>
  </si>
  <si>
    <t xml:space="preserve">2026-07-10 19:00:25</t>
  </si>
  <si>
    <t xml:space="preserve">8859707_IPSCHMV</t>
  </si>
  <si>
    <t xml:space="preserve">CHERNIAM</t>
  </si>
  <si>
    <t xml:space="preserve">2026-07-10 09:03:39</t>
  </si>
  <si>
    <t xml:space="preserve">2026-07-10 13:30:34</t>
  </si>
  <si>
    <t xml:space="preserve">2026-07-10 14:30:16</t>
  </si>
  <si>
    <t xml:space="preserve">2026-07-10 18:02:08</t>
  </si>
  <si>
    <t xml:space="preserve">8859269_IPSCHMN</t>
  </si>
  <si>
    <t xml:space="preserve">CHERNIMA</t>
  </si>
  <si>
    <t xml:space="preserve">2026-07-10 08:58:18</t>
  </si>
  <si>
    <t xml:space="preserve">2026-07-10 14:00:17</t>
  </si>
  <si>
    <t xml:space="preserve">2026-07-10 14:59:59</t>
  </si>
  <si>
    <t xml:space="preserve">8859529_IPSCHSW</t>
  </si>
  <si>
    <t xml:space="preserve">CHERNISB</t>
  </si>
  <si>
    <t xml:space="preserve">2026-07-10 08:08:57</t>
  </si>
  <si>
    <t xml:space="preserve">2026-07-10 13:21:24</t>
  </si>
  <si>
    <t xml:space="preserve">2026-07-10 14:40:10</t>
  </si>
  <si>
    <t xml:space="preserve">2026-07-10 17:59:51</t>
  </si>
  <si>
    <t xml:space="preserve">8858324_IPSCHMP</t>
  </si>
  <si>
    <t xml:space="preserve">CHIBANMO</t>
  </si>
  <si>
    <t xml:space="preserve">2026-07-10 09:05:16</t>
  </si>
  <si>
    <t xml:space="preserve">2026-07-10 13:00:18</t>
  </si>
  <si>
    <t xml:space="preserve">2026-07-10 14:00:04</t>
  </si>
  <si>
    <t xml:space="preserve">8859369_IPSCHAM</t>
  </si>
  <si>
    <t xml:space="preserve">CHIHIAM</t>
  </si>
  <si>
    <t xml:space="preserve">2026-07-10 09:00:48</t>
  </si>
  <si>
    <t xml:space="preserve">2026-07-10 13:03:30</t>
  </si>
  <si>
    <t xml:space="preserve">8858881_IPSCHSN</t>
  </si>
  <si>
    <t xml:space="preserve">2026-07-10 06:55:29</t>
  </si>
  <si>
    <t xml:space="preserve">2026-07-10 10:25:55</t>
  </si>
  <si>
    <t xml:space="preserve">2026-07-10 06:55:31</t>
  </si>
  <si>
    <t xml:space="preserve">2026-07-10 10:28:56</t>
  </si>
  <si>
    <t xml:space="preserve">2026-07-10 11:58:15</t>
  </si>
  <si>
    <t xml:space="preserve">8858027_IPSOUND</t>
  </si>
  <si>
    <t xml:space="preserve">CHOUKROB</t>
  </si>
  <si>
    <t xml:space="preserve">2026-07-10 08:59:52</t>
  </si>
  <si>
    <t xml:space="preserve">2026-07-10 13:00:50</t>
  </si>
  <si>
    <t xml:space="preserve">2026-07-10 13:58:58</t>
  </si>
  <si>
    <t xml:space="preserve">8859706_IPSCFHM</t>
  </si>
  <si>
    <t xml:space="preserve">CHREFHA</t>
  </si>
  <si>
    <t xml:space="preserve">2026-07-10 09:03:14</t>
  </si>
  <si>
    <t xml:space="preserve">2026-07-10 18:00:22</t>
  </si>
  <si>
    <t xml:space="preserve">8859122_IPSKJRT</t>
  </si>
  <si>
    <t xml:space="preserve">CISSEOU</t>
  </si>
  <si>
    <t xml:space="preserve">2026-07-10 08:00:37</t>
  </si>
  <si>
    <t xml:space="preserve">2026-07-10 13:01:25</t>
  </si>
  <si>
    <t xml:space="preserve">2026-07-10 13:01:36</t>
  </si>
  <si>
    <t xml:space="preserve">8858061_IPSCSSD</t>
  </si>
  <si>
    <t xml:space="preserve">CISSESO</t>
  </si>
  <si>
    <t xml:space="preserve">2026-07-10 09:09:00</t>
  </si>
  <si>
    <t xml:space="preserve">2026-07-10 12:53:18</t>
  </si>
  <si>
    <t xml:space="preserve">2026-07-10 12:53:23</t>
  </si>
  <si>
    <t xml:space="preserve">2026-07-10 13:14:06</t>
  </si>
  <si>
    <t xml:space="preserve">2026-07-10 13:17:07</t>
  </si>
  <si>
    <t xml:space="preserve">2026-07-10 13:21:27</t>
  </si>
  <si>
    <t xml:space="preserve">2026-07-10 13:22:06</t>
  </si>
  <si>
    <t xml:space="preserve">2026-07-10 14:05:11</t>
  </si>
  <si>
    <t xml:space="preserve">2026-07-10 15:04:43</t>
  </si>
  <si>
    <t xml:space="preserve">2026-07-10 15:07:23</t>
  </si>
  <si>
    <t xml:space="preserve">2026-07-10 15:08:25</t>
  </si>
  <si>
    <t xml:space="preserve">2026-07-10 19:02:25</t>
  </si>
  <si>
    <t xml:space="preserve">8858715_IPSDAAI</t>
  </si>
  <si>
    <t xml:space="preserve">DABBEBAI</t>
  </si>
  <si>
    <t xml:space="preserve">2026-07-10 08:40:42</t>
  </si>
  <si>
    <t xml:space="preserve">2026-07-10 08:51:09</t>
  </si>
  <si>
    <t xml:space="preserve">2026-07-10 08:51:10</t>
  </si>
  <si>
    <t xml:space="preserve">2026-07-10 08:51:55</t>
  </si>
  <si>
    <t xml:space="preserve">2026-07-10 09:05:21</t>
  </si>
  <si>
    <t xml:space="preserve">2026-07-10 09:05:24</t>
  </si>
  <si>
    <t xml:space="preserve">2026-07-10 10:29:21</t>
  </si>
  <si>
    <t xml:space="preserve">2026-07-10 13:46:38</t>
  </si>
  <si>
    <t xml:space="preserve">2026-07-10 12:44:31</t>
  </si>
  <si>
    <t xml:space="preserve">2026-07-10 13:26:52</t>
  </si>
  <si>
    <t xml:space="preserve">2026-07-10 13:47:04</t>
  </si>
  <si>
    <t xml:space="preserve">2026-07-10 13:46:56</t>
  </si>
  <si>
    <t xml:space="preserve">2026-07-10 13:50:38</t>
  </si>
  <si>
    <t xml:space="preserve">2026-07-10 13:57:47</t>
  </si>
  <si>
    <t xml:space="preserve">2026-07-10 13:58:01</t>
  </si>
  <si>
    <t xml:space="preserve">2026-07-10 17:30:08</t>
  </si>
  <si>
    <t xml:space="preserve">8858676_IPSDAYO</t>
  </si>
  <si>
    <t xml:space="preserve">DAGDAGYO</t>
  </si>
  <si>
    <t xml:space="preserve">2026-07-10 08:55:20</t>
  </si>
  <si>
    <t xml:space="preserve">2026-07-10 15:00:07</t>
  </si>
  <si>
    <t xml:space="preserve">2026-07-10 15:56:18</t>
  </si>
  <si>
    <t xml:space="preserve">2026-07-10 18:14:42</t>
  </si>
  <si>
    <t xml:space="preserve">2026-07-10 18:19:30</t>
  </si>
  <si>
    <t xml:space="preserve">2026-07-10 19:00:00</t>
  </si>
  <si>
    <t xml:space="preserve">8858173_IPSDAND</t>
  </si>
  <si>
    <t xml:space="preserve">DALAINA</t>
  </si>
  <si>
    <t xml:space="preserve">2026-07-10 09:04:00</t>
  </si>
  <si>
    <t xml:space="preserve">2026-07-10 12:45:40</t>
  </si>
  <si>
    <t xml:space="preserve">2026-07-10 12:46:23</t>
  </si>
  <si>
    <t xml:space="preserve">2026-07-10 13:00:01</t>
  </si>
  <si>
    <t xml:space="preserve">2026-07-10 13:55:00</t>
  </si>
  <si>
    <t xml:space="preserve">8858815_IPSDAON</t>
  </si>
  <si>
    <t xml:space="preserve">DALYON</t>
  </si>
  <si>
    <t xml:space="preserve">2026-07-10 08:56:19</t>
  </si>
  <si>
    <t xml:space="preserve">2026-07-10 15:02:10</t>
  </si>
  <si>
    <t xml:space="preserve">2026-07-10 17:48:57</t>
  </si>
  <si>
    <t xml:space="preserve">2026-07-10 17:49:48</t>
  </si>
  <si>
    <t xml:space="preserve">8858503_IPSDALK</t>
  </si>
  <si>
    <t xml:space="preserve">DAMIOU</t>
  </si>
  <si>
    <t xml:space="preserve">2026-07-10 07:58:57</t>
  </si>
  <si>
    <t xml:space="preserve">2026-07-10 13:01:21</t>
  </si>
  <si>
    <t xml:space="preserve">2026-07-10 14:00:58</t>
  </si>
  <si>
    <t xml:space="preserve">2026-07-10 16:02:09</t>
  </si>
  <si>
    <t xml:space="preserve">2026-07-10 16:02:43</t>
  </si>
  <si>
    <t xml:space="preserve">8858816_IPSDALA</t>
  </si>
  <si>
    <t xml:space="preserve">DAMMAKLA</t>
  </si>
  <si>
    <t xml:space="preserve">2026-07-10 07:53:03</t>
  </si>
  <si>
    <t xml:space="preserve">2026-07-10 11:37:15</t>
  </si>
  <si>
    <t xml:space="preserve">NAILINA</t>
  </si>
  <si>
    <t xml:space="preserve">2026-07-10 11:39:27</t>
  </si>
  <si>
    <t xml:space="preserve">2026-07-10 12:59:34</t>
  </si>
  <si>
    <t xml:space="preserve">2026-07-10 13:57:31</t>
  </si>
  <si>
    <t xml:space="preserve">2026-07-10 16:53:17</t>
  </si>
  <si>
    <t xml:space="preserve">8858131_IPSDHME</t>
  </si>
  <si>
    <t xml:space="preserve">DARGHOMO</t>
  </si>
  <si>
    <t xml:space="preserve">2026-07-10 09:59:40</t>
  </si>
  <si>
    <t xml:space="preserve">2026-07-10 13:44:43</t>
  </si>
  <si>
    <t xml:space="preserve">2026-07-10 13:44:45</t>
  </si>
  <si>
    <t xml:space="preserve">2026-07-10 14:00:18</t>
  </si>
  <si>
    <t xml:space="preserve">2026-07-10 15:00:38</t>
  </si>
  <si>
    <t xml:space="preserve">2026-07-10 19:01:58</t>
  </si>
  <si>
    <t xml:space="preserve">8859271_IPSDEMR</t>
  </si>
  <si>
    <t xml:space="preserve">DEBBEBMA</t>
  </si>
  <si>
    <t xml:space="preserve">2026-07-10 07:58:22</t>
  </si>
  <si>
    <t xml:space="preserve">2026-07-10 14:01:49</t>
  </si>
  <si>
    <t xml:space="preserve">ISSAMIMA</t>
  </si>
  <si>
    <t xml:space="preserve">2026-07-10 14:56:35</t>
  </si>
  <si>
    <t xml:space="preserve">2026-07-10 17:00:17</t>
  </si>
  <si>
    <t xml:space="preserve">8858455_IPSDLNA</t>
  </si>
  <si>
    <t xml:space="preserve">DERBALND</t>
  </si>
  <si>
    <t xml:space="preserve">2026-07-10 08:59:15</t>
  </si>
  <si>
    <t xml:space="preserve">2026-07-10 13:00:11</t>
  </si>
  <si>
    <t xml:space="preserve">2026-07-10 13:59:59</t>
  </si>
  <si>
    <t xml:space="preserve">8858755_IPSDHMO</t>
  </si>
  <si>
    <t xml:space="preserve">DHAHBAMO</t>
  </si>
  <si>
    <t xml:space="preserve">2026-07-10 11:50:10</t>
  </si>
  <si>
    <t xml:space="preserve">2026-07-10 19:49:21</t>
  </si>
  <si>
    <t xml:space="preserve">8859360_IPSDHMN</t>
  </si>
  <si>
    <t xml:space="preserve">DHAICHIM</t>
  </si>
  <si>
    <t xml:space="preserve">2026-07-10 08:46:31</t>
  </si>
  <si>
    <t xml:space="preserve">2026-07-10 08:47:09</t>
  </si>
  <si>
    <t xml:space="preserve">2026-07-10 14:02:55</t>
  </si>
  <si>
    <t xml:space="preserve">2026-07-10 15:00:49</t>
  </si>
  <si>
    <t xml:space="preserve">2026-07-10 18:00:44</t>
  </si>
  <si>
    <t xml:space="preserve">8858372_IPSDHGH</t>
  </si>
  <si>
    <t xml:space="preserve">DHAMANGH</t>
  </si>
  <si>
    <t xml:space="preserve">2026-07-10 08:54:55</t>
  </si>
  <si>
    <t xml:space="preserve">2026-07-10 12:03:30</t>
  </si>
  <si>
    <t xml:space="preserve">2026-07-10 13:08:20</t>
  </si>
  <si>
    <t xml:space="preserve">2026-07-10 17:31:03</t>
  </si>
  <si>
    <t xml:space="preserve">8859161_IPSIAVD</t>
  </si>
  <si>
    <t xml:space="preserve">DHIEBBA</t>
  </si>
  <si>
    <t xml:space="preserve">2026-07-10 16:03:31</t>
  </si>
  <si>
    <t xml:space="preserve">2026-07-10 22:02:02</t>
  </si>
  <si>
    <t xml:space="preserve">2026-07-10 16:03:32</t>
  </si>
  <si>
    <t xml:space="preserve">2026-07-10 22:02:03</t>
  </si>
  <si>
    <t xml:space="preserve">8859571_IPSDLFT</t>
  </si>
  <si>
    <t xml:space="preserve">DIALLOFU</t>
  </si>
  <si>
    <t xml:space="preserve">2026-07-10 10:55:50</t>
  </si>
  <si>
    <t xml:space="preserve">2026-07-10 15:04:55</t>
  </si>
  <si>
    <t xml:space="preserve">2026-07-10 16:05:05</t>
  </si>
  <si>
    <t xml:space="preserve">2026-07-10 20:00:27</t>
  </si>
  <si>
    <t xml:space="preserve">8858100_IPSDPMA</t>
  </si>
  <si>
    <t xml:space="preserve">DIOPDO</t>
  </si>
  <si>
    <t xml:space="preserve">2026-07-10 07:40:23</t>
  </si>
  <si>
    <t xml:space="preserve">2026-07-10 07:40:27</t>
  </si>
  <si>
    <t xml:space="preserve">FALLPP</t>
  </si>
  <si>
    <t xml:space="preserve">2026-07-10 08:01:05</t>
  </si>
  <si>
    <t xml:space="preserve">2026-07-10 13:29:56</t>
  </si>
  <si>
    <t xml:space="preserve">2026-07-10 13:30:51</t>
  </si>
  <si>
    <t xml:space="preserve">2026-07-10 14:11:04</t>
  </si>
  <si>
    <t xml:space="preserve">2026-07-10 15:09:06</t>
  </si>
  <si>
    <t xml:space="preserve">2026-07-10 15:09:23</t>
  </si>
  <si>
    <t xml:space="preserve">2026-07-10 15:11:01</t>
  </si>
  <si>
    <t xml:space="preserve">8858851_IPSDIMZ</t>
  </si>
  <si>
    <t xml:space="preserve">DIOPMS</t>
  </si>
  <si>
    <t xml:space="preserve">2026-07-10 08:53:17</t>
  </si>
  <si>
    <t xml:space="preserve">2026-07-10 14:02:18</t>
  </si>
  <si>
    <t xml:space="preserve">8858825_IPSDRMN</t>
  </si>
  <si>
    <t xml:space="preserve">DRAOUIAM</t>
  </si>
  <si>
    <t xml:space="preserve">2026-07-10 08:23:32</t>
  </si>
  <si>
    <t xml:space="preserve">2026-07-10 14:45:14</t>
  </si>
  <si>
    <t xml:space="preserve">2026-07-10 17:35:49</t>
  </si>
  <si>
    <t xml:space="preserve">8858453_IPSDRAM</t>
  </si>
  <si>
    <t xml:space="preserve">DRIDIAM</t>
  </si>
  <si>
    <t xml:space="preserve">2026-07-10 08:53:54</t>
  </si>
  <si>
    <t xml:space="preserve">2026-07-10 08:54:10</t>
  </si>
  <si>
    <t xml:space="preserve">2026-07-10 09:00:01</t>
  </si>
  <si>
    <t xml:space="preserve">2026-07-10 15:05:39</t>
  </si>
  <si>
    <t xml:space="preserve">8858756_IPSDRKH</t>
  </si>
  <si>
    <t xml:space="preserve">DRIDIKH</t>
  </si>
  <si>
    <t xml:space="preserve">2026-07-10 11:51:22</t>
  </si>
  <si>
    <t xml:space="preserve">2026-07-10 20:00:48</t>
  </si>
  <si>
    <t xml:space="preserve">8859277_IPSDRMA</t>
  </si>
  <si>
    <t xml:space="preserve">DRIDIMA</t>
  </si>
  <si>
    <t xml:space="preserve">2026-07-10 07:52:04</t>
  </si>
  <si>
    <t xml:space="preserve">2026-07-10 07:52:11</t>
  </si>
  <si>
    <t xml:space="preserve">2026-07-10 07:55:23</t>
  </si>
  <si>
    <t xml:space="preserve">2026-07-10 13:05:03</t>
  </si>
  <si>
    <t xml:space="preserve">2026-07-10 13:59:15</t>
  </si>
  <si>
    <t xml:space="preserve">2026-07-10 17:02:59</t>
  </si>
  <si>
    <t xml:space="preserve">8859278_IPSDRNE</t>
  </si>
  <si>
    <t xml:space="preserve">DRIDINE</t>
  </si>
  <si>
    <t xml:space="preserve">2026-07-10 06:55:17</t>
  </si>
  <si>
    <t xml:space="preserve">2026-07-10 14:01:02</t>
  </si>
  <si>
    <t xml:space="preserve">2026-07-10 14:50:43</t>
  </si>
  <si>
    <t xml:space="preserve">2026-07-10 16:36:09</t>
  </si>
  <si>
    <t xml:space="preserve">2026-07-10 16:40:36</t>
  </si>
  <si>
    <t xml:space="preserve">2026-07-10 17:02:47</t>
  </si>
  <si>
    <t xml:space="preserve">8858064_IPSAAAB</t>
  </si>
  <si>
    <t xml:space="preserve">ELAMRAAO</t>
  </si>
  <si>
    <t xml:space="preserve">2026-07-10 09:03:42</t>
  </si>
  <si>
    <t xml:space="preserve">ELKAOUFA</t>
  </si>
  <si>
    <t xml:space="preserve">2026-07-10 14:05:03</t>
  </si>
  <si>
    <t xml:space="preserve">2026-07-10 18:17:41</t>
  </si>
  <si>
    <t xml:space="preserve">8858337_IPSELML</t>
  </si>
  <si>
    <t xml:space="preserve">ELANAZAA</t>
  </si>
  <si>
    <t xml:space="preserve">2026-07-10 13:14:11</t>
  </si>
  <si>
    <t xml:space="preserve">2026-07-10 13:14:17</t>
  </si>
  <si>
    <t xml:space="preserve">2026-07-10 14:00:30</t>
  </si>
  <si>
    <t xml:space="preserve">2026-07-10 15:00:13</t>
  </si>
  <si>
    <t xml:space="preserve">2026-07-10 19:00:03</t>
  </si>
  <si>
    <t xml:space="preserve">8859542_IPSEILE</t>
  </si>
  <si>
    <t xml:space="preserve">ELANMALM</t>
  </si>
  <si>
    <t xml:space="preserve">2026-07-10 08:01:57</t>
  </si>
  <si>
    <t xml:space="preserve">2026-07-10 16:01:57</t>
  </si>
  <si>
    <t xml:space="preserve">2026-07-10 08:01:58</t>
  </si>
  <si>
    <t xml:space="preserve">2026-07-10 12:01:12</t>
  </si>
  <si>
    <t xml:space="preserve">2026-07-10 12:03:11</t>
  </si>
  <si>
    <t xml:space="preserve">2026-07-10 12:12:01</t>
  </si>
  <si>
    <t xml:space="preserve">2026-07-10 13:10:36</t>
  </si>
  <si>
    <t xml:space="preserve">8858678_IPSELAB</t>
  </si>
  <si>
    <t xml:space="preserve">ELATMAAB</t>
  </si>
  <si>
    <t xml:space="preserve">2026-07-10 14:57:12</t>
  </si>
  <si>
    <t xml:space="preserve">2026-07-10 15:52:38</t>
  </si>
  <si>
    <t xml:space="preserve">2026-07-10 14:57:13</t>
  </si>
  <si>
    <t xml:space="preserve">2026-07-10 15:53:00</t>
  </si>
  <si>
    <t xml:space="preserve">2026-07-10 18:45:05</t>
  </si>
  <si>
    <t xml:space="preserve">2026-07-10 18:56:30</t>
  </si>
  <si>
    <t xml:space="preserve">2026-07-11 00:29:06</t>
  </si>
  <si>
    <t xml:space="preserve">8858497_IPSEBNA</t>
  </si>
  <si>
    <t xml:space="preserve">ELBASRNA</t>
  </si>
  <si>
    <t xml:space="preserve">2026-07-10 08:02:21</t>
  </si>
  <si>
    <t xml:space="preserve">2026-07-10 11:38:04</t>
  </si>
  <si>
    <t xml:space="preserve">2026-07-10 11:38:06</t>
  </si>
  <si>
    <t xml:space="preserve">2026-07-10 12:31:55</t>
  </si>
  <si>
    <t xml:space="preserve">2026-07-10 13:31:13</t>
  </si>
  <si>
    <t xml:space="preserve">8858905_IPSELBH</t>
  </si>
  <si>
    <t xml:space="preserve">ELBENNHA</t>
  </si>
  <si>
    <t xml:space="preserve">2026-07-10 08:56:18</t>
  </si>
  <si>
    <t xml:space="preserve">2026-07-10 16:00:38</t>
  </si>
  <si>
    <t xml:space="preserve">2026-07-10 08:56:20</t>
  </si>
  <si>
    <t xml:space="preserve">2026-07-10 16:01:10</t>
  </si>
  <si>
    <t xml:space="preserve">2026-07-10 16:57:49</t>
  </si>
  <si>
    <t xml:space="preserve">2026-07-10 16:57:50</t>
  </si>
  <si>
    <t xml:space="preserve">8858877_IPSELSZ</t>
  </si>
  <si>
    <t xml:space="preserve">ELBOUHSO</t>
  </si>
  <si>
    <t xml:space="preserve">2026-07-10 10:37:17</t>
  </si>
  <si>
    <t xml:space="preserve">2026-07-10 08:59:09</t>
  </si>
  <si>
    <t xml:space="preserve">2026-07-10 10:37:19</t>
  </si>
  <si>
    <t xml:space="preserve">2026-07-10 10:37:53</t>
  </si>
  <si>
    <t xml:space="preserve">2026-07-10 12:48:06</t>
  </si>
  <si>
    <t xml:space="preserve">2026-07-10 12:48:43</t>
  </si>
  <si>
    <t xml:space="preserve">2026-07-10 14:02:43</t>
  </si>
  <si>
    <t xml:space="preserve">2026-07-10 12:48:44</t>
  </si>
  <si>
    <t xml:space="preserve">2026-07-10 14:02:36</t>
  </si>
  <si>
    <t xml:space="preserve">2026-07-10 14:03:15</t>
  </si>
  <si>
    <t xml:space="preserve">2026-07-10 14:03:30</t>
  </si>
  <si>
    <t xml:space="preserve">2026-07-10 14:03:32</t>
  </si>
  <si>
    <t xml:space="preserve">2026-07-10 14:54:26</t>
  </si>
  <si>
    <t xml:space="preserve">2026-07-10 16:06:16</t>
  </si>
  <si>
    <t xml:space="preserve">2026-07-10 14:54:27</t>
  </si>
  <si>
    <t xml:space="preserve">2026-07-10 16:06:19</t>
  </si>
  <si>
    <t xml:space="preserve">2026-07-10 16:09:47</t>
  </si>
  <si>
    <t xml:space="preserve">2026-07-10 16:09:50</t>
  </si>
  <si>
    <t xml:space="preserve">2026-07-10 16:10:37</t>
  </si>
  <si>
    <t xml:space="preserve">2026-07-10 17:15:53</t>
  </si>
  <si>
    <t xml:space="preserve">2026-07-10 17:15:57</t>
  </si>
  <si>
    <t xml:space="preserve">2026-07-10 17:16:38</t>
  </si>
  <si>
    <t xml:space="preserve">2026-07-10 19:00:24</t>
  </si>
  <si>
    <t xml:space="preserve">2026-07-10 19:00:27</t>
  </si>
  <si>
    <t xml:space="preserve">8854688_IPSELNZ</t>
  </si>
  <si>
    <t xml:space="preserve">ELBOURNB</t>
  </si>
  <si>
    <t xml:space="preserve">2026-07-10 07:59:05</t>
  </si>
  <si>
    <t xml:space="preserve">2026-07-10 15:00:19</t>
  </si>
  <si>
    <t xml:space="preserve">2026-07-10 18:02:28</t>
  </si>
  <si>
    <t xml:space="preserve">8859283_IPSELEB</t>
  </si>
  <si>
    <t xml:space="preserve">ELBOURZI</t>
  </si>
  <si>
    <t xml:space="preserve">2026-07-10 08:57:23</t>
  </si>
  <si>
    <t xml:space="preserve">2026-07-10 14:35:07</t>
  </si>
  <si>
    <t xml:space="preserve">2026-07-10 15:29:22</t>
  </si>
  <si>
    <t xml:space="preserve">2026-07-10 19:00:29</t>
  </si>
  <si>
    <t xml:space="preserve">8859284_IPSELEM</t>
  </si>
  <si>
    <t xml:space="preserve">ELFAIZEL</t>
  </si>
  <si>
    <t xml:space="preserve">2026-07-10 08:56:35</t>
  </si>
  <si>
    <t xml:space="preserve">2026-07-10 09:11:21</t>
  </si>
  <si>
    <t xml:space="preserve">2026-07-10 09:17:39</t>
  </si>
  <si>
    <t xml:space="preserve">2026-07-10 13:20:06</t>
  </si>
  <si>
    <t xml:space="preserve">2026-07-10 14:16:48</t>
  </si>
  <si>
    <t xml:space="preserve">2026-07-10 19:00:06</t>
  </si>
  <si>
    <t xml:space="preserve">8858342_IPSELHX</t>
  </si>
  <si>
    <t xml:space="preserve">ELGUARHI</t>
  </si>
  <si>
    <t xml:space="preserve">2026-07-10 07:38:12</t>
  </si>
  <si>
    <t xml:space="preserve">2026-07-10 12:11:49</t>
  </si>
  <si>
    <t xml:space="preserve">2026-07-10 13:10:11</t>
  </si>
  <si>
    <t xml:space="preserve">2026-07-10 13:30:05</t>
  </si>
  <si>
    <t xml:space="preserve">2026-07-10 13:30:53</t>
  </si>
  <si>
    <t xml:space="preserve">2026-07-10 17:00:05</t>
  </si>
  <si>
    <t xml:space="preserve">8859127_IPSEHKA</t>
  </si>
  <si>
    <t xml:space="preserve">ELHADDKA</t>
  </si>
  <si>
    <t xml:space="preserve">2026-07-10 11:00:17</t>
  </si>
  <si>
    <t xml:space="preserve">2026-07-10 11:07:03</t>
  </si>
  <si>
    <t xml:space="preserve">2026-07-10 11:08:18</t>
  </si>
  <si>
    <t xml:space="preserve">2026-07-10 11:21:55</t>
  </si>
  <si>
    <t xml:space="preserve">2026-07-10 11:27:53</t>
  </si>
  <si>
    <t xml:space="preserve">2026-07-10 14:05:45</t>
  </si>
  <si>
    <t xml:space="preserve">2026-07-10 14:05:54</t>
  </si>
  <si>
    <t xml:space="preserve">2026-07-10 15:02:42</t>
  </si>
  <si>
    <t xml:space="preserve">2026-07-10 16:01:19</t>
  </si>
  <si>
    <t xml:space="preserve">2026-07-10 16:02:03</t>
  </si>
  <si>
    <t xml:space="preserve">2026-07-10 16:03:48</t>
  </si>
  <si>
    <t xml:space="preserve">8858634_IPSEIMI</t>
  </si>
  <si>
    <t xml:space="preserve">ELHAFIMA</t>
  </si>
  <si>
    <t xml:space="preserve">2026-07-10 09:04:26</t>
  </si>
  <si>
    <t xml:space="preserve">2026-07-10 13:56:23</t>
  </si>
  <si>
    <t xml:space="preserve">2026-07-10 17:57:46</t>
  </si>
  <si>
    <t xml:space="preserve">2026-07-10 17:58:34</t>
  </si>
  <si>
    <t xml:space="preserve">2026-07-10 18:01:00</t>
  </si>
  <si>
    <t xml:space="preserve">8858352_IPSEHMO</t>
  </si>
  <si>
    <t xml:space="preserve">ELHAMDMO</t>
  </si>
  <si>
    <t xml:space="preserve">2026-07-10 09:00:26</t>
  </si>
  <si>
    <t xml:space="preserve">2026-07-10 13:01:09</t>
  </si>
  <si>
    <t xml:space="preserve">2026-07-10 14:01:21</t>
  </si>
  <si>
    <t xml:space="preserve">2026-07-10 19:01:50</t>
  </si>
  <si>
    <t xml:space="preserve">8858069_IPSERCI</t>
  </si>
  <si>
    <t xml:space="preserve">ELHARRCA</t>
  </si>
  <si>
    <t xml:space="preserve">2026-07-10 11:57:40</t>
  </si>
  <si>
    <t xml:space="preserve">2026-07-10 15:00:58</t>
  </si>
  <si>
    <t xml:space="preserve">2026-07-10 15:56:47</t>
  </si>
  <si>
    <t xml:space="preserve">2026-07-10 19:46:46</t>
  </si>
  <si>
    <t xml:space="preserve">2026-07-10 19:55:59</t>
  </si>
  <si>
    <t xml:space="preserve">2026-07-10 21:00:07</t>
  </si>
  <si>
    <t xml:space="preserve">8859555_IPSLHSS</t>
  </si>
  <si>
    <t xml:space="preserve">ELHASRYO</t>
  </si>
  <si>
    <t xml:space="preserve">2026-07-10 09:00:18</t>
  </si>
  <si>
    <t xml:space="preserve">2026-07-10 14:02:26</t>
  </si>
  <si>
    <t xml:space="preserve">2026-07-10 14:59:14</t>
  </si>
  <si>
    <t xml:space="preserve">8858369_IPSEHAM</t>
  </si>
  <si>
    <t xml:space="preserve">ELHASSAL</t>
  </si>
  <si>
    <t xml:space="preserve">2026-07-10 07:42:25</t>
  </si>
  <si>
    <t xml:space="preserve">2026-07-10 07:42:34</t>
  </si>
  <si>
    <t xml:space="preserve">2026-07-10 12:00:03</t>
  </si>
  <si>
    <t xml:space="preserve">2026-07-10 13:00:05</t>
  </si>
  <si>
    <t xml:space="preserve">8858165_IPSELSX</t>
  </si>
  <si>
    <t xml:space="preserve">ELHOUJSO</t>
  </si>
  <si>
    <t xml:space="preserve">2026-07-10 08:00:16</t>
  </si>
  <si>
    <t xml:space="preserve">2026-07-10 13:00:53</t>
  </si>
  <si>
    <t xml:space="preserve">2026-07-10 14:00:05</t>
  </si>
  <si>
    <t xml:space="preserve">2026-07-10 16:51:02</t>
  </si>
  <si>
    <t xml:space="preserve">2026-07-10 17:01:25</t>
  </si>
  <si>
    <t xml:space="preserve">2026-07-10 17:01:34</t>
  </si>
  <si>
    <t xml:space="preserve">2026-07-10 17:06:53</t>
  </si>
  <si>
    <t xml:space="preserve">2026-07-10 18:02:31</t>
  </si>
  <si>
    <t xml:space="preserve">8858421_IPSEHHD</t>
  </si>
  <si>
    <t xml:space="preserve">ELHOUSHD</t>
  </si>
  <si>
    <t xml:space="preserve">2026-07-10 11:58:44</t>
  </si>
  <si>
    <t xml:space="preserve">2026-07-10 16:02:19</t>
  </si>
  <si>
    <t xml:space="preserve">2026-07-10 16:03:10</t>
  </si>
  <si>
    <t xml:space="preserve">2026-07-10 19:57:32</t>
  </si>
  <si>
    <t xml:space="preserve">2026-07-10 20:10:05</t>
  </si>
  <si>
    <t xml:space="preserve">2026-07-10 20:17:05</t>
  </si>
  <si>
    <t xml:space="preserve">2026-07-10 20:19:59</t>
  </si>
  <si>
    <t xml:space="preserve">2026-07-10 20:50:33</t>
  </si>
  <si>
    <t xml:space="preserve">2026-07-10 20:51:07</t>
  </si>
  <si>
    <t xml:space="preserve">2026-07-10 21:00:06</t>
  </si>
  <si>
    <t xml:space="preserve">8859286_IPSEKAO</t>
  </si>
  <si>
    <t xml:space="preserve">ELIDRIKA</t>
  </si>
  <si>
    <t xml:space="preserve">2026-07-10 08:52:43</t>
  </si>
  <si>
    <t xml:space="preserve">2026-07-10 08:52:47</t>
  </si>
  <si>
    <t xml:space="preserve">2026-07-10 13:14:22</t>
  </si>
  <si>
    <t xml:space="preserve">2026-07-10 13:14:27</t>
  </si>
  <si>
    <t xml:space="preserve">2026-07-10 13:41:23</t>
  </si>
  <si>
    <t xml:space="preserve">2026-07-10 14:39:34</t>
  </si>
  <si>
    <t xml:space="preserve">2026-07-10 17:42:55</t>
  </si>
  <si>
    <t xml:space="preserve">8858172_IPSELMX</t>
  </si>
  <si>
    <t xml:space="preserve">ELIDRIMA</t>
  </si>
  <si>
    <t xml:space="preserve">2026-07-10 08:09:23</t>
  </si>
  <si>
    <t xml:space="preserve">2026-07-10 17:01:40</t>
  </si>
  <si>
    <t xml:space="preserve">8858412_IPSEJOM</t>
  </si>
  <si>
    <t xml:space="preserve">ELJEBBOM</t>
  </si>
  <si>
    <t xml:space="preserve">2026-07-10 08:59:18</t>
  </si>
  <si>
    <t xml:space="preserve">2026-07-10 13:00:02</t>
  </si>
  <si>
    <t xml:space="preserve">8858121_ETSEKFZ</t>
  </si>
  <si>
    <t xml:space="preserve">2026-07-10 15:11:59</t>
  </si>
  <si>
    <t xml:space="preserve">2026-07-10 16:07:42</t>
  </si>
  <si>
    <t xml:space="preserve">8859158_IPSELFD</t>
  </si>
  <si>
    <t xml:space="preserve">ELKHAIFA</t>
  </si>
  <si>
    <t xml:space="preserve">2026-07-10 09:56:41</t>
  </si>
  <si>
    <t xml:space="preserve">2026-07-10 14:05:06</t>
  </si>
  <si>
    <t xml:space="preserve">2026-07-10 15:01:38</t>
  </si>
  <si>
    <t xml:space="preserve">2026-07-10 19:00:42</t>
  </si>
  <si>
    <t xml:space="preserve">8859530_IPSEMAD</t>
  </si>
  <si>
    <t xml:space="preserve">ELMAADYO</t>
  </si>
  <si>
    <t xml:space="preserve">2026-07-10 09:59:28</t>
  </si>
  <si>
    <t xml:space="preserve">2026-07-10 15:01:02</t>
  </si>
  <si>
    <t xml:space="preserve">2026-07-10 15:59:23</t>
  </si>
  <si>
    <t xml:space="preserve">8858746_IPSLLDB</t>
  </si>
  <si>
    <t xml:space="preserve">ELMAHJAD</t>
  </si>
  <si>
    <t xml:space="preserve">2026-07-10 10:00:46</t>
  </si>
  <si>
    <t xml:space="preserve">2026-07-10 14:58:40</t>
  </si>
  <si>
    <t xml:space="preserve">8859573_IPSEISM</t>
  </si>
  <si>
    <t xml:space="preserve">ELMANSSI</t>
  </si>
  <si>
    <t xml:space="preserve">2026-07-10 08:57:33</t>
  </si>
  <si>
    <t xml:space="preserve">2026-07-10 09:13:06</t>
  </si>
  <si>
    <t xml:space="preserve">2026-07-10 09:14:10</t>
  </si>
  <si>
    <t xml:space="preserve">2026-07-10 13:59:47</t>
  </si>
  <si>
    <t xml:space="preserve">2026-07-10 19:01:43</t>
  </si>
  <si>
    <t xml:space="preserve">8858067_IPSELHY</t>
  </si>
  <si>
    <t xml:space="preserve">ELMASSHO</t>
  </si>
  <si>
    <t xml:space="preserve">2026-07-10 08:59:31</t>
  </si>
  <si>
    <t xml:space="preserve">2026-07-10 14:01:04</t>
  </si>
  <si>
    <t xml:space="preserve">2026-07-10 14:01:08</t>
  </si>
  <si>
    <t xml:space="preserve">8858758_IPSEMFE</t>
  </si>
  <si>
    <t xml:space="preserve">ELMEJRFE</t>
  </si>
  <si>
    <t xml:space="preserve">2026-07-10 10:00:26</t>
  </si>
  <si>
    <t xml:space="preserve">2026-07-10 13:02:23</t>
  </si>
  <si>
    <t xml:space="preserve">2026-07-10 10:00:27</t>
  </si>
  <si>
    <t xml:space="preserve">2026-07-10 10:00:29</t>
  </si>
  <si>
    <t xml:space="preserve">2026-07-10 13:02:28</t>
  </si>
  <si>
    <t xml:space="preserve">2026-07-10 18:29:37</t>
  </si>
  <si>
    <t xml:space="preserve">2026-07-10 13:02:39</t>
  </si>
  <si>
    <t xml:space="preserve">2026-07-10 13:02:56</t>
  </si>
  <si>
    <t xml:space="preserve">8859719_IPSEMJD</t>
  </si>
  <si>
    <t xml:space="preserve">ELMORAJA</t>
  </si>
  <si>
    <t xml:space="preserve">2026-07-10 09:04:09</t>
  </si>
  <si>
    <t xml:space="preserve">2026-07-10 15:17:39</t>
  </si>
  <si>
    <t xml:space="preserve">2026-07-10 16:19:11</t>
  </si>
  <si>
    <t xml:space="preserve">2026-07-10 18:02:00</t>
  </si>
  <si>
    <t xml:space="preserve">8858046_IPSELXY</t>
  </si>
  <si>
    <t xml:space="preserve">ELMOUBOU</t>
  </si>
  <si>
    <t xml:space="preserve">2026-07-10 08:46:09</t>
  </si>
  <si>
    <t xml:space="preserve">2026-07-10 14:32:02</t>
  </si>
  <si>
    <t xml:space="preserve">2026-07-10 15:32:05</t>
  </si>
  <si>
    <t xml:space="preserve">2026-07-10 19:00:10</t>
  </si>
  <si>
    <t xml:space="preserve">8859352_IPSLMZD</t>
  </si>
  <si>
    <t xml:space="preserve">ELMRABZA</t>
  </si>
  <si>
    <t xml:space="preserve">2026-07-10 09:00:22</t>
  </si>
  <si>
    <t xml:space="preserve">2026-07-10 10:00:01</t>
  </si>
  <si>
    <t xml:space="preserve">8859034_IPSEYDE</t>
  </si>
  <si>
    <t xml:space="preserve">ELOUAHDO</t>
  </si>
  <si>
    <t xml:space="preserve">2026-07-10 08:57:09</t>
  </si>
  <si>
    <t xml:space="preserve">2026-07-10 08:58:58</t>
  </si>
  <si>
    <t xml:space="preserve">2026-07-10 13:14:20</t>
  </si>
  <si>
    <t xml:space="preserve">2026-07-10 13:14:25</t>
  </si>
  <si>
    <t xml:space="preserve">2026-07-10 14:00:34</t>
  </si>
  <si>
    <t xml:space="preserve">2026-07-10 14:59:08</t>
  </si>
  <si>
    <t xml:space="preserve">8858127_IPSEOSA</t>
  </si>
  <si>
    <t xml:space="preserve">ELOUIKSA</t>
  </si>
  <si>
    <t xml:space="preserve">2026-07-10 07:44:20</t>
  </si>
  <si>
    <t xml:space="preserve">2026-07-10 12:30:52</t>
  </si>
  <si>
    <t xml:space="preserve">2026-07-10 13:27:29</t>
  </si>
  <si>
    <t xml:space="preserve">2026-07-10 17:00:28</t>
  </si>
  <si>
    <t xml:space="preserve">8858639_IPSELYR</t>
  </si>
  <si>
    <t xml:space="preserve">ELYAROYO</t>
  </si>
  <si>
    <t xml:space="preserve">2026-07-10 07:59:51</t>
  </si>
  <si>
    <t xml:space="preserve">2026-07-10 12:13:49</t>
  </si>
  <si>
    <t xml:space="preserve">2026-07-10 13:08:58</t>
  </si>
  <si>
    <t xml:space="preserve">8858427_IPSTUNT</t>
  </si>
  <si>
    <t xml:space="preserve">ENNOURAY</t>
  </si>
  <si>
    <t xml:space="preserve">2026-07-10 11:00:11</t>
  </si>
  <si>
    <t xml:space="preserve">2026-07-10 15:37:43</t>
  </si>
  <si>
    <t xml:space="preserve">2026-07-10 15:45:07</t>
  </si>
  <si>
    <t xml:space="preserve">2026-07-10 15:59:12</t>
  </si>
  <si>
    <t xml:space="preserve">2026-07-10 21:00:22</t>
  </si>
  <si>
    <t xml:space="preserve">8858622_IPSESIX</t>
  </si>
  <si>
    <t xml:space="preserve">ESSABEIA</t>
  </si>
  <si>
    <t xml:space="preserve">2026-07-10 08:59:54</t>
  </si>
  <si>
    <t xml:space="preserve">2026-07-10 14:01:10</t>
  </si>
  <si>
    <t xml:space="preserve">2026-07-10 14:57:41</t>
  </si>
  <si>
    <t xml:space="preserve">2026-07-10 18:00:41</t>
  </si>
  <si>
    <t xml:space="preserve">8858656_IPSSSMR</t>
  </si>
  <si>
    <t xml:space="preserve">ESSAHLMA</t>
  </si>
  <si>
    <t xml:space="preserve">2026-07-10 09:00:04</t>
  </si>
  <si>
    <t xml:space="preserve">2026-07-10 14:59:35</t>
  </si>
  <si>
    <t xml:space="preserve">8858647_IPSEKMA</t>
  </si>
  <si>
    <t xml:space="preserve">ESSMAKMA</t>
  </si>
  <si>
    <t xml:space="preserve">2026-07-10 09:00:02</t>
  </si>
  <si>
    <t xml:space="preserve">2026-07-10 09:24:55</t>
  </si>
  <si>
    <t xml:space="preserve">2026-07-10 09:30:28</t>
  </si>
  <si>
    <t xml:space="preserve">2026-07-10 13:12:57</t>
  </si>
  <si>
    <t xml:space="preserve">2026-07-10 14:29:50</t>
  </si>
  <si>
    <t xml:space="preserve">2026-07-10 15:30:04</t>
  </si>
  <si>
    <t xml:space="preserve">2026-07-10 19:00:04</t>
  </si>
  <si>
    <t xml:space="preserve">8858428_IPSEUIF</t>
  </si>
  <si>
    <t xml:space="preserve">EUCHIYA</t>
  </si>
  <si>
    <t xml:space="preserve">2026-07-10 08:59:12</t>
  </si>
  <si>
    <t xml:space="preserve">2026-07-10 14:59:31</t>
  </si>
  <si>
    <t xml:space="preserve">8859100_IPSTOUR</t>
  </si>
  <si>
    <t xml:space="preserve">EZZAMEMA</t>
  </si>
  <si>
    <t xml:space="preserve">2026-07-10 10:58:55</t>
  </si>
  <si>
    <t xml:space="preserve">2026-07-10 15:59:04</t>
  </si>
  <si>
    <t xml:space="preserve">2026-07-10 15:59:08</t>
  </si>
  <si>
    <t xml:space="preserve">2026-07-10 17:01:19</t>
  </si>
  <si>
    <t xml:space="preserve">2026-07-10 17:01:53</t>
  </si>
  <si>
    <t xml:space="preserve">2026-07-10 21:08:53</t>
  </si>
  <si>
    <t xml:space="preserve">8859293_IPSEZIM</t>
  </si>
  <si>
    <t xml:space="preserve">EZZINEIM</t>
  </si>
  <si>
    <t xml:space="preserve">2026-07-10 13:39:13</t>
  </si>
  <si>
    <t xml:space="preserve">2026-07-10 14:33:15</t>
  </si>
  <si>
    <t xml:space="preserve">2026-07-10 17:03:24</t>
  </si>
  <si>
    <t xml:space="preserve">8859294_IPSFAMW</t>
  </si>
  <si>
    <t xml:space="preserve">FALLEHMA</t>
  </si>
  <si>
    <t xml:space="preserve">2026-07-10 07:55:44</t>
  </si>
  <si>
    <t xml:space="preserve">2026-07-10 14:04:12</t>
  </si>
  <si>
    <t xml:space="preserve">2026-07-10 15:04:23</t>
  </si>
  <si>
    <t xml:space="preserve">2026-07-10 17:06:26</t>
  </si>
  <si>
    <t xml:space="preserve">8858507_IPSFLPA</t>
  </si>
  <si>
    <t xml:space="preserve">2026-07-10 11:54:56</t>
  </si>
  <si>
    <t xml:space="preserve">2026-07-10 11:55:00</t>
  </si>
  <si>
    <t xml:space="preserve">8859295_IPSFAMA</t>
  </si>
  <si>
    <t xml:space="preserve">FARHANMA</t>
  </si>
  <si>
    <t xml:space="preserve">2026-07-10 09:52:28</t>
  </si>
  <si>
    <t xml:space="preserve">2026-07-10 14:00:11</t>
  </si>
  <si>
    <t xml:space="preserve">2026-07-10 14:59:38</t>
  </si>
  <si>
    <t xml:space="preserve">2026-07-10 15:01:47</t>
  </si>
  <si>
    <t xml:space="preserve">2026-07-10 15:17:36</t>
  </si>
  <si>
    <t xml:space="preserve">2026-07-10 15:30:28</t>
  </si>
  <si>
    <t xml:space="preserve">2026-07-10 15:31:36</t>
  </si>
  <si>
    <t xml:space="preserve">2026-07-10 19:14:05</t>
  </si>
  <si>
    <t xml:space="preserve">8859565_IPSFASH</t>
  </si>
  <si>
    <t xml:space="preserve">FATINSO</t>
  </si>
  <si>
    <t xml:space="preserve">2026-07-10 08:59:46</t>
  </si>
  <si>
    <t xml:space="preserve">2026-07-10 13:34:11</t>
  </si>
  <si>
    <t xml:space="preserve">2026-07-10 14:33:57</t>
  </si>
  <si>
    <t xml:space="preserve">8858461_IPSKHAF</t>
  </si>
  <si>
    <t xml:space="preserve">FAYEKA</t>
  </si>
  <si>
    <t xml:space="preserve">2026-07-10 08:58:06</t>
  </si>
  <si>
    <t xml:space="preserve">2026-07-10 15:04:49</t>
  </si>
  <si>
    <t xml:space="preserve">2026-07-10 16:04:13</t>
  </si>
  <si>
    <t xml:space="preserve">2026-07-10 17:23:29</t>
  </si>
  <si>
    <t xml:space="preserve">2026-07-10 17:23:38</t>
  </si>
  <si>
    <t xml:space="preserve">2026-07-10 17:23:58</t>
  </si>
  <si>
    <t xml:space="preserve">2026-07-10 17:24:24</t>
  </si>
  <si>
    <t xml:space="preserve">2026-07-10 17:25:01</t>
  </si>
  <si>
    <t xml:space="preserve">2026-07-10 17:25:02</t>
  </si>
  <si>
    <t xml:space="preserve">8859590_IPSFARZ</t>
  </si>
  <si>
    <t xml:space="preserve">FAYERK</t>
  </si>
  <si>
    <t xml:space="preserve">2026-07-10 07:42:40</t>
  </si>
  <si>
    <t xml:space="preserve">2026-07-10 13:08:19</t>
  </si>
  <si>
    <t xml:space="preserve">2026-07-10 13:08:33</t>
  </si>
  <si>
    <t xml:space="preserve">2026-07-10 14:06:34</t>
  </si>
  <si>
    <t xml:space="preserve">2026-07-10 17:00:58</t>
  </si>
  <si>
    <t xml:space="preserve">2026-07-10 14:06:35</t>
  </si>
  <si>
    <t xml:space="preserve">2026-07-10 17:00:48</t>
  </si>
  <si>
    <t xml:space="preserve">8858193_IPSFASM</t>
  </si>
  <si>
    <t xml:space="preserve">FAZZANSA</t>
  </si>
  <si>
    <t xml:space="preserve">2026-07-10 08:59:58</t>
  </si>
  <si>
    <t xml:space="preserve">2026-07-10 13:02:11</t>
  </si>
  <si>
    <t xml:space="preserve">2026-07-10 14:52:21</t>
  </si>
  <si>
    <t xml:space="preserve">2026-07-10 19:00:08</t>
  </si>
  <si>
    <t xml:space="preserve">8858498_IPSFEIL</t>
  </si>
  <si>
    <t xml:space="preserve">FERCHIIL</t>
  </si>
  <si>
    <t xml:space="preserve">2026-07-10 08:47:40</t>
  </si>
  <si>
    <t xml:space="preserve">2026-07-10 09:03:38</t>
  </si>
  <si>
    <t xml:space="preserve">2026-07-10 09:06:31</t>
  </si>
  <si>
    <t xml:space="preserve">2026-07-10 09:07:31</t>
  </si>
  <si>
    <t xml:space="preserve">2026-07-10 09:13:53</t>
  </si>
  <si>
    <t xml:space="preserve">2026-07-10 09:14:27</t>
  </si>
  <si>
    <t xml:space="preserve">2026-07-10 09:30:53</t>
  </si>
  <si>
    <t xml:space="preserve">2026-07-10 09:31:22</t>
  </si>
  <si>
    <t xml:space="preserve">2026-07-10 09:32:28</t>
  </si>
  <si>
    <t xml:space="preserve">2026-07-10 09:33:10</t>
  </si>
  <si>
    <t xml:space="preserve">2026-07-10 09:54:44</t>
  </si>
  <si>
    <t xml:space="preserve">2026-07-10 09:54:45</t>
  </si>
  <si>
    <t xml:space="preserve">2026-07-10 10:38:52</t>
  </si>
  <si>
    <t xml:space="preserve">2026-07-10 10:48:03</t>
  </si>
  <si>
    <t xml:space="preserve">2026-07-10 10:49:37</t>
  </si>
  <si>
    <t xml:space="preserve">2026-07-10 10:49:47</t>
  </si>
  <si>
    <t xml:space="preserve">2026-07-10 11:04:30</t>
  </si>
  <si>
    <t xml:space="preserve">2026-07-10 11:04:33</t>
  </si>
  <si>
    <t xml:space="preserve">2026-07-10 11:49:11</t>
  </si>
  <si>
    <t xml:space="preserve">2026-07-10 11:49:27</t>
  </si>
  <si>
    <t xml:space="preserve">2026-07-10 11:54:50</t>
  </si>
  <si>
    <t xml:space="preserve">2026-07-10 11:57:01</t>
  </si>
  <si>
    <t xml:space="preserve">2026-07-10 18:08:57</t>
  </si>
  <si>
    <t xml:space="preserve">8858179_IPSFERA</t>
  </si>
  <si>
    <t xml:space="preserve">FERCHIRA</t>
  </si>
  <si>
    <t xml:space="preserve">2026-07-10 13:58:52</t>
  </si>
  <si>
    <t xml:space="preserve">2026-07-10 14:19:55</t>
  </si>
  <si>
    <t xml:space="preserve">2026-07-10 14:20:30</t>
  </si>
  <si>
    <t xml:space="preserve">2026-07-10 15:00:50</t>
  </si>
  <si>
    <t xml:space="preserve">2026-07-10 15:01:30</t>
  </si>
  <si>
    <t xml:space="preserve">2026-07-10 15:11:35</t>
  </si>
  <si>
    <t xml:space="preserve">2026-07-10 15:20:26</t>
  </si>
  <si>
    <t xml:space="preserve">2026-07-10 15:29:43</t>
  </si>
  <si>
    <t xml:space="preserve">2026-07-10 16:28:48</t>
  </si>
  <si>
    <t xml:space="preserve">2026-07-10 16:29:23</t>
  </si>
  <si>
    <t xml:space="preserve">2026-07-10 16:34:42</t>
  </si>
  <si>
    <t xml:space="preserve">2026-07-10 16:45:52</t>
  </si>
  <si>
    <t xml:space="preserve">2026-07-10 18:01:06</t>
  </si>
  <si>
    <t xml:space="preserve">8859299_IPSFESA</t>
  </si>
  <si>
    <t xml:space="preserve">FERCHISA</t>
  </si>
  <si>
    <t xml:space="preserve">2026-07-10 08:00:01</t>
  </si>
  <si>
    <t xml:space="preserve">2026-07-10 13:58:30</t>
  </si>
  <si>
    <t xml:space="preserve">2026-07-10 17:02:00</t>
  </si>
  <si>
    <t xml:space="preserve">8859596_IPSFSAG</t>
  </si>
  <si>
    <t xml:space="preserve">FERCHISN</t>
  </si>
  <si>
    <t xml:space="preserve">2026-07-10 08:52:45</t>
  </si>
  <si>
    <t xml:space="preserve">2026-07-10 13:55:59</t>
  </si>
  <si>
    <t xml:space="preserve">2026-07-10 13:56:01</t>
  </si>
  <si>
    <t xml:space="preserve">8859300_IPSFEAF</t>
  </si>
  <si>
    <t xml:space="preserve">FEZAAAF</t>
  </si>
  <si>
    <t xml:space="preserve">2026-07-10 08:59:44</t>
  </si>
  <si>
    <t xml:space="preserve">2026-07-10 14:07:02</t>
  </si>
  <si>
    <t xml:space="preserve">2026-07-10 18:02:17</t>
  </si>
  <si>
    <t xml:space="preserve">8858828_IPSFKSW</t>
  </si>
  <si>
    <t xml:space="preserve">FKIRISI</t>
  </si>
  <si>
    <t xml:space="preserve">2026-07-10 09:55:23</t>
  </si>
  <si>
    <t xml:space="preserve">2026-07-10 14:09:58</t>
  </si>
  <si>
    <t xml:space="preserve">2026-07-10 15:06:15</t>
  </si>
  <si>
    <t xml:space="preserve">8858882_IPSFONO</t>
  </si>
  <si>
    <t xml:space="preserve">FOUNINO</t>
  </si>
  <si>
    <t xml:space="preserve">2026-07-10 16:01:47</t>
  </si>
  <si>
    <t xml:space="preserve">2026-07-10 22:02:44</t>
  </si>
  <si>
    <t xml:space="preserve">2026-07-10 16:01:49</t>
  </si>
  <si>
    <t xml:space="preserve">2026-07-10 22:02:47</t>
  </si>
  <si>
    <t xml:space="preserve">8858760_IPSGAHE</t>
  </si>
  <si>
    <t xml:space="preserve">GABSIHE</t>
  </si>
  <si>
    <t xml:space="preserve">2026-07-10 08:12:39</t>
  </si>
  <si>
    <t xml:space="preserve">2026-07-10 12:30:45</t>
  </si>
  <si>
    <t xml:space="preserve">2026-07-10 12:30:48</t>
  </si>
  <si>
    <t xml:space="preserve">2026-07-10 13:05:56</t>
  </si>
  <si>
    <t xml:space="preserve">2026-07-10 17:50:23</t>
  </si>
  <si>
    <t xml:space="preserve">8858188_IPSGAJO</t>
  </si>
  <si>
    <t xml:space="preserve">GADHOUJO</t>
  </si>
  <si>
    <t xml:space="preserve">2026-07-10 13:02:09</t>
  </si>
  <si>
    <t xml:space="preserve">2026-07-10 16:26:28</t>
  </si>
  <si>
    <t xml:space="preserve">2026-07-10 16:27:18</t>
  </si>
  <si>
    <t xml:space="preserve">2026-07-10 16:51:15</t>
  </si>
  <si>
    <t xml:space="preserve">2026-07-10 16:52:51</t>
  </si>
  <si>
    <t xml:space="preserve">2026-07-10 17:35:55</t>
  </si>
  <si>
    <t xml:space="preserve">2026-07-10 17:36:31</t>
  </si>
  <si>
    <t xml:space="preserve">2026-07-10 17:44:34</t>
  </si>
  <si>
    <t xml:space="preserve">8858203_IPSGRSS</t>
  </si>
  <si>
    <t xml:space="preserve">GAYERYA</t>
  </si>
  <si>
    <t xml:space="preserve">2026-07-10 08:56:43</t>
  </si>
  <si>
    <t xml:space="preserve">2026-07-10 15:33:37</t>
  </si>
  <si>
    <t xml:space="preserve">2026-07-10 16:33:34</t>
  </si>
  <si>
    <t xml:space="preserve">2026-07-10 17:59:53</t>
  </si>
  <si>
    <t xml:space="preserve">8858817_IPSGDDH</t>
  </si>
  <si>
    <t xml:space="preserve">GDOURADH</t>
  </si>
  <si>
    <t xml:space="preserve">2026-07-10 08:05:10</t>
  </si>
  <si>
    <t xml:space="preserve">2026-07-10 08:47:52</t>
  </si>
  <si>
    <t xml:space="preserve">2026-07-10 12:33:06</t>
  </si>
  <si>
    <t xml:space="preserve">2026-07-10 12:35:38</t>
  </si>
  <si>
    <t xml:space="preserve">2026-07-10 13:01:13</t>
  </si>
  <si>
    <t xml:space="preserve">2026-07-10 17:05:12</t>
  </si>
  <si>
    <t xml:space="preserve">8858883_IPSGHHO</t>
  </si>
  <si>
    <t xml:space="preserve">GHAFFAHO</t>
  </si>
  <si>
    <t xml:space="preserve">2026-07-10 12:56:17</t>
  </si>
  <si>
    <t xml:space="preserve">2026-07-10 17:55:03</t>
  </si>
  <si>
    <t xml:space="preserve">2026-07-10 21:54:37</t>
  </si>
  <si>
    <t xml:space="preserve">8859435_IPSGHSH</t>
  </si>
  <si>
    <t xml:space="preserve">GHARSASI</t>
  </si>
  <si>
    <t xml:space="preserve">2026-07-10 11:00:04</t>
  </si>
  <si>
    <t xml:space="preserve">8858761_IPSTUGH</t>
  </si>
  <si>
    <t xml:space="preserve">GHARSSO</t>
  </si>
  <si>
    <t xml:space="preserve">2026-07-10 07:57:57</t>
  </si>
  <si>
    <t xml:space="preserve">2026-07-10 15:57:57</t>
  </si>
  <si>
    <t xml:space="preserve">8859351_IPSGHSO</t>
  </si>
  <si>
    <t xml:space="preserve">GHAZGHSO</t>
  </si>
  <si>
    <t xml:space="preserve">2026-07-10 08:04:47</t>
  </si>
  <si>
    <t xml:space="preserve">2026-07-10 12:32:42</t>
  </si>
  <si>
    <t xml:space="preserve">2026-07-10 13:02:31</t>
  </si>
  <si>
    <t xml:space="preserve">2026-07-10 16:30:03</t>
  </si>
  <si>
    <t xml:space="preserve">8858884_IPSGHSA</t>
  </si>
  <si>
    <t xml:space="preserve">GHERIBSA</t>
  </si>
  <si>
    <t xml:space="preserve">2026-07-10 12:55:29</t>
  </si>
  <si>
    <t xml:space="preserve">2026-07-10 12:55:30</t>
  </si>
  <si>
    <t xml:space="preserve">2026-07-10 19:08:23</t>
  </si>
  <si>
    <t xml:space="preserve">2026-07-10 22:04:55</t>
  </si>
  <si>
    <t xml:space="preserve">8859176_IPSOAHT</t>
  </si>
  <si>
    <t xml:space="preserve">GMATIGH</t>
  </si>
  <si>
    <t xml:space="preserve">2026-07-10 13:00:27</t>
  </si>
  <si>
    <t xml:space="preserve">2026-07-10 18:00:26</t>
  </si>
  <si>
    <t xml:space="preserve">8859145_IPSGOAN</t>
  </si>
  <si>
    <t xml:space="preserve">GOMBRAAN</t>
  </si>
  <si>
    <t xml:space="preserve">2026-07-10 10:57:01</t>
  </si>
  <si>
    <t xml:space="preserve">2026-07-10 15:23:45</t>
  </si>
  <si>
    <t xml:space="preserve">2026-07-10 16:16:15</t>
  </si>
  <si>
    <t xml:space="preserve">2026-07-10 20:00:12</t>
  </si>
  <si>
    <t xml:space="preserve">2026-07-10 16:16:16</t>
  </si>
  <si>
    <t xml:space="preserve">8858341_IPSGOAX</t>
  </si>
  <si>
    <t xml:space="preserve">GOMISAI</t>
  </si>
  <si>
    <t xml:space="preserve">2026-07-10 07:48:02</t>
  </si>
  <si>
    <t xml:space="preserve">2026-07-10 13:05:01</t>
  </si>
  <si>
    <t xml:space="preserve">2026-07-10 14:03:26</t>
  </si>
  <si>
    <t xml:space="preserve">8859587_IPSGONA</t>
  </si>
  <si>
    <t xml:space="preserve">GOURINA</t>
  </si>
  <si>
    <t xml:space="preserve">2026-07-10 14:17:10</t>
  </si>
  <si>
    <t xml:space="preserve">2026-07-10 15:26:40</t>
  </si>
  <si>
    <t xml:space="preserve">8859412_IPSGRMM</t>
  </si>
  <si>
    <t xml:space="preserve">GRIRAOU</t>
  </si>
  <si>
    <t xml:space="preserve">2026-07-10 08:59:40</t>
  </si>
  <si>
    <t xml:space="preserve">2026-07-10 08:59:43</t>
  </si>
  <si>
    <t xml:space="preserve">2026-07-10 12:00:39</t>
  </si>
  <si>
    <t xml:space="preserve">2026-07-10 13:02:22</t>
  </si>
  <si>
    <t xml:space="preserve">2026-07-10 14:49:51</t>
  </si>
  <si>
    <t xml:space="preserve">2026-07-10 14:49:52</t>
  </si>
  <si>
    <t xml:space="preserve">2026-07-10 18:05:51</t>
  </si>
  <si>
    <t xml:space="preserve">8859378_IPSGLMJ</t>
  </si>
  <si>
    <t xml:space="preserve">GUELDIAM</t>
  </si>
  <si>
    <t xml:space="preserve">2026-07-10 08:00:09</t>
  </si>
  <si>
    <t xml:space="preserve">2026-07-10 13:12:59</t>
  </si>
  <si>
    <t xml:space="preserve">2026-07-10 14:09:50</t>
  </si>
  <si>
    <t xml:space="preserve">2026-07-10 14:09:55</t>
  </si>
  <si>
    <t xml:space="preserve">2026-07-10 15:11:21</t>
  </si>
  <si>
    <t xml:space="preserve">2026-07-10 18:02:06</t>
  </si>
  <si>
    <t xml:space="preserve">8859306_IPSGURA</t>
  </si>
  <si>
    <t xml:space="preserve">GUELLARA</t>
  </si>
  <si>
    <t xml:space="preserve">2026-07-10 07:56:23</t>
  </si>
  <si>
    <t xml:space="preserve">2026-07-10 13:00:14</t>
  </si>
  <si>
    <t xml:space="preserve">2026-07-10 13:57:06</t>
  </si>
  <si>
    <t xml:space="preserve">8858821_IPSGUNW</t>
  </si>
  <si>
    <t xml:space="preserve">GUERGUNW</t>
  </si>
  <si>
    <t xml:space="preserve">2026-07-10 08:01:27</t>
  </si>
  <si>
    <t xml:space="preserve">2026-07-10 08:01:39</t>
  </si>
  <si>
    <t xml:space="preserve">2026-07-10 08:03:42</t>
  </si>
  <si>
    <t xml:space="preserve">2026-07-10 11:43:27</t>
  </si>
  <si>
    <t xml:space="preserve">2026-07-10 11:43:50</t>
  </si>
  <si>
    <t xml:space="preserve">2026-07-10 11:43:58</t>
  </si>
  <si>
    <t xml:space="preserve">2026-07-10 11:45:38</t>
  </si>
  <si>
    <t xml:space="preserve">2026-07-10 14:19:57</t>
  </si>
  <si>
    <t xml:space="preserve">2026-07-10 14:21:30</t>
  </si>
  <si>
    <t xml:space="preserve">2026-07-10 15:15:56</t>
  </si>
  <si>
    <t xml:space="preserve">2026-07-10 15:17:06</t>
  </si>
  <si>
    <t xml:space="preserve">2026-07-10 15:35:56</t>
  </si>
  <si>
    <t xml:space="preserve">2026-07-10 15:36:00</t>
  </si>
  <si>
    <t xml:space="preserve">2026-07-10 17:00:41</t>
  </si>
  <si>
    <t xml:space="preserve">8859119_IPSGUSN</t>
  </si>
  <si>
    <t xml:space="preserve">GUESMISA</t>
  </si>
  <si>
    <t xml:space="preserve">2026-07-10 08:06:21</t>
  </si>
  <si>
    <t xml:space="preserve">2026-07-10 13:05:51</t>
  </si>
  <si>
    <t xml:space="preserve">2026-07-10 13:59:37</t>
  </si>
  <si>
    <t xml:space="preserve">2026-07-10 14:55:03</t>
  </si>
  <si>
    <t xml:space="preserve">2026-07-10 14:55:04</t>
  </si>
  <si>
    <t xml:space="preserve">2026-07-10 15:25:35</t>
  </si>
  <si>
    <t xml:space="preserve">2026-07-10 15:25:45</t>
  </si>
  <si>
    <t xml:space="preserve">2026-07-10 15:25:36</t>
  </si>
  <si>
    <t xml:space="preserve">2026-07-10 15:25:47</t>
  </si>
  <si>
    <t xml:space="preserve">2026-07-10 15:26:28</t>
  </si>
  <si>
    <t xml:space="preserve">2026-07-10 17:03:31</t>
  </si>
  <si>
    <t xml:space="preserve">8859143_IPSGSAH</t>
  </si>
  <si>
    <t xml:space="preserve">GUESSAZA</t>
  </si>
  <si>
    <t xml:space="preserve">2026-07-10 12:04:27</t>
  </si>
  <si>
    <t xml:space="preserve">2026-07-10 12:06:27</t>
  </si>
  <si>
    <t xml:space="preserve">2026-07-10 13:29:44</t>
  </si>
  <si>
    <t xml:space="preserve">2026-07-10 14:23:49</t>
  </si>
  <si>
    <t xml:space="preserve">2026-07-10 18:00:40</t>
  </si>
  <si>
    <t xml:space="preserve">8859541_IPSGUMM</t>
  </si>
  <si>
    <t xml:space="preserve">GUEYEAM</t>
  </si>
  <si>
    <t xml:space="preserve">2026-07-10 14:11:08</t>
  </si>
  <si>
    <t xml:space="preserve">8858686_IPSGLFA</t>
  </si>
  <si>
    <t xml:space="preserve">GUEYEFU</t>
  </si>
  <si>
    <t xml:space="preserve">2026-07-10 08:00:44</t>
  </si>
  <si>
    <t xml:space="preserve">2026-07-10 09:06:27</t>
  </si>
  <si>
    <t xml:space="preserve">2026-07-10 09:06:59</t>
  </si>
  <si>
    <t xml:space="preserve">2026-07-10 13:16:24</t>
  </si>
  <si>
    <t xml:space="preserve">2026-07-10 14:15:51</t>
  </si>
  <si>
    <t xml:space="preserve">2026-07-10 17:24:10</t>
  </si>
  <si>
    <t xml:space="preserve">2026-07-10 17:24:13</t>
  </si>
  <si>
    <t xml:space="preserve">2026-07-10 18:02:59</t>
  </si>
  <si>
    <t xml:space="preserve">8858677_IPSGUGO</t>
  </si>
  <si>
    <t xml:space="preserve">2026-07-10 11:58:26</t>
  </si>
  <si>
    <t xml:space="preserve">2026-07-10 16:02:31</t>
  </si>
  <si>
    <t xml:space="preserve">2026-07-10 17:00:25</t>
  </si>
  <si>
    <t xml:space="preserve">2026-07-10 17:00:29</t>
  </si>
  <si>
    <t xml:space="preserve">2026-07-10 21:00:01</t>
  </si>
  <si>
    <t xml:space="preserve">8858329_IPSGUMX</t>
  </si>
  <si>
    <t xml:space="preserve">2026-07-10 13:05:25</t>
  </si>
  <si>
    <t xml:space="preserve">2026-07-10 14:03:19</t>
  </si>
  <si>
    <t xml:space="preserve">8858892_IPSGUKA</t>
  </si>
  <si>
    <t xml:space="preserve">GUITOUKA</t>
  </si>
  <si>
    <t xml:space="preserve">2026-07-10 13:05:02</t>
  </si>
  <si>
    <t xml:space="preserve">2026-07-10 21:00:10</t>
  </si>
  <si>
    <t xml:space="preserve">8858039_IPSGUAL</t>
  </si>
  <si>
    <t xml:space="preserve">2026-07-10 11:18:59</t>
  </si>
  <si>
    <t xml:space="preserve">2026-07-10 18:47:09</t>
  </si>
  <si>
    <t xml:space="preserve">8858505_IPSHISR</t>
  </si>
  <si>
    <t xml:space="preserve">HABACHSH</t>
  </si>
  <si>
    <t xml:space="preserve">2026-07-10 08:54:41</t>
  </si>
  <si>
    <t xml:space="preserve">2026-07-10 08:54:45</t>
  </si>
  <si>
    <t xml:space="preserve">2026-07-10 16:34:36</t>
  </si>
  <si>
    <t xml:space="preserve">2026-07-10 16:34:37</t>
  </si>
  <si>
    <t xml:space="preserve">2026-07-10 17:39:59</t>
  </si>
  <si>
    <t xml:space="preserve">2026-07-10 17:41:46</t>
  </si>
  <si>
    <t xml:space="preserve">8858359_IPSHBKR</t>
  </si>
  <si>
    <t xml:space="preserve">HABBOUKA</t>
  </si>
  <si>
    <t xml:space="preserve">2026-07-10 08:58:27</t>
  </si>
  <si>
    <t xml:space="preserve">2026-07-10 13:30:38</t>
  </si>
  <si>
    <t xml:space="preserve">2026-07-10 14:31:33</t>
  </si>
  <si>
    <t xml:space="preserve">8858718_IPSHAJE</t>
  </si>
  <si>
    <t xml:space="preserve">HABIBIJI</t>
  </si>
  <si>
    <t xml:space="preserve">2026-07-10 07:56:36</t>
  </si>
  <si>
    <t xml:space="preserve">2026-07-10 15:56:36</t>
  </si>
  <si>
    <t xml:space="preserve">2026-07-10 16:59:49</t>
  </si>
  <si>
    <t xml:space="preserve">8858606_IPSHBKH</t>
  </si>
  <si>
    <t xml:space="preserve">HABIBIKH</t>
  </si>
  <si>
    <t xml:space="preserve">2026-07-10 12:01:59</t>
  </si>
  <si>
    <t xml:space="preserve">2026-07-10 12:22:29</t>
  </si>
  <si>
    <t xml:space="preserve">2026-07-10 12:24:55</t>
  </si>
  <si>
    <t xml:space="preserve">2026-07-10 14:14:52</t>
  </si>
  <si>
    <t xml:space="preserve">2026-07-10 14:14:55</t>
  </si>
  <si>
    <t xml:space="preserve">2026-07-10 18:01:01</t>
  </si>
  <si>
    <t xml:space="preserve">2026-07-10 21:00:03</t>
  </si>
  <si>
    <t xml:space="preserve">8859563_IPSHAMS</t>
  </si>
  <si>
    <t xml:space="preserve">HADHRIMU</t>
  </si>
  <si>
    <t xml:space="preserve">2026-07-10 08:59:01</t>
  </si>
  <si>
    <t xml:space="preserve">2026-07-10 13:00:37</t>
  </si>
  <si>
    <t xml:space="preserve">8858340_IPSHKRI</t>
  </si>
  <si>
    <t xml:space="preserve">HADROURA</t>
  </si>
  <si>
    <t xml:space="preserve">2026-07-10 09:53:38</t>
  </si>
  <si>
    <t xml:space="preserve">2026-07-10 13:02:06</t>
  </si>
  <si>
    <t xml:space="preserve">2026-07-10 14:00:44</t>
  </si>
  <si>
    <t xml:space="preserve">2026-07-10 14:16:30</t>
  </si>
  <si>
    <t xml:space="preserve">2026-07-10 14:56:07</t>
  </si>
  <si>
    <t xml:space="preserve">2026-07-10 19:35:25</t>
  </si>
  <si>
    <t xml:space="preserve">8858714_IPSHAEZ</t>
  </si>
  <si>
    <t xml:space="preserve">HAFAIDEM</t>
  </si>
  <si>
    <t xml:space="preserve">2026-07-10 08:57:45</t>
  </si>
  <si>
    <t xml:space="preserve">2026-07-10 14:57:38</t>
  </si>
  <si>
    <t xml:space="preserve">8859245_IPSGROL</t>
  </si>
  <si>
    <t xml:space="preserve">HAJIMYA</t>
  </si>
  <si>
    <t xml:space="preserve">2026-07-10 08:59:55</t>
  </si>
  <si>
    <t xml:space="preserve">2026-07-10 13:00:16</t>
  </si>
  <si>
    <t xml:space="preserve">2026-07-10 13:57:05</t>
  </si>
  <si>
    <t xml:space="preserve">2026-07-10 19:04:53</t>
  </si>
  <si>
    <t xml:space="preserve">8859362_IPSHJJH</t>
  </si>
  <si>
    <t xml:space="preserve">HAJJEMJI</t>
  </si>
  <si>
    <t xml:space="preserve">2026-07-10 08:59:23</t>
  </si>
  <si>
    <t xml:space="preserve">2026-07-10 13:20:51</t>
  </si>
  <si>
    <t xml:space="preserve">2026-07-10 14:11:59</t>
  </si>
  <si>
    <t xml:space="preserve">2026-07-10 18:01:45</t>
  </si>
  <si>
    <t xml:space="preserve">8858849_IPSHAPF</t>
  </si>
  <si>
    <t xml:space="preserve">HAJRIIM</t>
  </si>
  <si>
    <t xml:space="preserve">2026-07-10 08:00:36</t>
  </si>
  <si>
    <t xml:space="preserve">2026-07-10 12:28:52</t>
  </si>
  <si>
    <t xml:space="preserve">2026-07-10 12:28:58</t>
  </si>
  <si>
    <t xml:space="preserve">2026-07-10 12:30:13</t>
  </si>
  <si>
    <t xml:space="preserve">2026-07-10 13:30:36</t>
  </si>
  <si>
    <t xml:space="preserve">2026-07-10 16:00:16</t>
  </si>
  <si>
    <t xml:space="preserve">8858762_IPSHMAZ</t>
  </si>
  <si>
    <t xml:space="preserve">HAMAMIAZ</t>
  </si>
  <si>
    <t xml:space="preserve">2026-07-10 15:57:34</t>
  </si>
  <si>
    <t xml:space="preserve">8859140_IPSDEHU</t>
  </si>
  <si>
    <t xml:space="preserve">HAMDINE</t>
  </si>
  <si>
    <t xml:space="preserve">2026-07-10 12:30:11</t>
  </si>
  <si>
    <t xml:space="preserve">2026-07-10 13:00:38</t>
  </si>
  <si>
    <t xml:space="preserve">8859588_IPSHAHP</t>
  </si>
  <si>
    <t xml:space="preserve">HAMDOUMO</t>
  </si>
  <si>
    <t xml:space="preserve">2026-07-10 09:00:13</t>
  </si>
  <si>
    <t xml:space="preserve">2026-07-10 16:27:19</t>
  </si>
  <si>
    <t xml:space="preserve">2026-07-10 16:27:21</t>
  </si>
  <si>
    <t xml:space="preserve">2026-07-10 18:01:30</t>
  </si>
  <si>
    <t xml:space="preserve">8858075_IPSHDYA</t>
  </si>
  <si>
    <t xml:space="preserve">HAMDOUYA</t>
  </si>
  <si>
    <t xml:space="preserve">2026-07-10 08:00:03</t>
  </si>
  <si>
    <t xml:space="preserve">2026-07-10 12:32:59</t>
  </si>
  <si>
    <t xml:space="preserve">2026-07-10 13:25:44</t>
  </si>
  <si>
    <t xml:space="preserve">2026-07-10 17:00:36</t>
  </si>
  <si>
    <t xml:space="preserve">8859326_IPSHMAY</t>
  </si>
  <si>
    <t xml:space="preserve">HAMMADAY</t>
  </si>
  <si>
    <t xml:space="preserve">2026-07-10 08:57:38</t>
  </si>
  <si>
    <t xml:space="preserve">2026-07-10 14:05:14</t>
  </si>
  <si>
    <t xml:space="preserve">2026-07-10 15:02:49</t>
  </si>
  <si>
    <t xml:space="preserve">2026-07-10 18:00:49</t>
  </si>
  <si>
    <t xml:space="preserve">8858887_IPSHAAD</t>
  </si>
  <si>
    <t xml:space="preserve">HAMMAMAD</t>
  </si>
  <si>
    <t xml:space="preserve">2026-07-10 08:56:45</t>
  </si>
  <si>
    <t xml:space="preserve">2026-07-10 08:58:26</t>
  </si>
  <si>
    <t xml:space="preserve">2026-07-10 14:30:12</t>
  </si>
  <si>
    <t xml:space="preserve">2026-07-10 15:30:41</t>
  </si>
  <si>
    <t xml:space="preserve">8858720_IPSHAMA</t>
  </si>
  <si>
    <t xml:space="preserve">HAMMAMMW</t>
  </si>
  <si>
    <t xml:space="preserve">2026-07-10 08:27:53</t>
  </si>
  <si>
    <t xml:space="preserve">2026-07-10 14:13:21</t>
  </si>
  <si>
    <t xml:space="preserve">2026-07-10 14:13:34</t>
  </si>
  <si>
    <t xml:space="preserve">2026-07-10 14:16:15</t>
  </si>
  <si>
    <t xml:space="preserve">2026-07-10 15:09:32</t>
  </si>
  <si>
    <t xml:space="preserve">2026-07-10 18:21:28</t>
  </si>
  <si>
    <t xml:space="preserve">8859397_IPSHIRH</t>
  </si>
  <si>
    <t xml:space="preserve">HAMMAMRE</t>
  </si>
  <si>
    <t xml:space="preserve">2026-07-10 09:00:14</t>
  </si>
  <si>
    <t xml:space="preserve">2026-07-10 14:00:27</t>
  </si>
  <si>
    <t xml:space="preserve">2026-07-10 15:00:28</t>
  </si>
  <si>
    <t xml:space="preserve">8858169_IPSHAJO</t>
  </si>
  <si>
    <t xml:space="preserve">HAMMAMRH</t>
  </si>
  <si>
    <t xml:space="preserve">2026-07-10 07:56:35</t>
  </si>
  <si>
    <t xml:space="preserve">2026-07-10 12:04:28</t>
  </si>
  <si>
    <t xml:space="preserve">2026-07-10 13:04:56</t>
  </si>
  <si>
    <t xml:space="preserve">2026-07-10 17:05:30</t>
  </si>
  <si>
    <t xml:space="preserve">8859311_IPSHASA</t>
  </si>
  <si>
    <t xml:space="preserve">HAMMAMSA</t>
  </si>
  <si>
    <t xml:space="preserve">2026-07-10 07:35:57</t>
  </si>
  <si>
    <t xml:space="preserve">2026-07-10 07:40:38</t>
  </si>
  <si>
    <t xml:space="preserve">2026-07-10 07:50:16</t>
  </si>
  <si>
    <t xml:space="preserve">2026-07-10 14:14:01</t>
  </si>
  <si>
    <t xml:space="preserve">2026-07-10 14:45:44</t>
  </si>
  <si>
    <t xml:space="preserve">2026-07-10 18:00:42</t>
  </si>
  <si>
    <t xml:space="preserve">8858447_IPSHAYO</t>
  </si>
  <si>
    <t xml:space="preserve">HAMMAMYS</t>
  </si>
  <si>
    <t xml:space="preserve">2026-07-10 08:57:40</t>
  </si>
  <si>
    <t xml:space="preserve">2026-07-10 13:58:21</t>
  </si>
  <si>
    <t xml:space="preserve">2026-07-10 18:01:40</t>
  </si>
  <si>
    <t xml:space="preserve">8858888_IPHAAL</t>
  </si>
  <si>
    <t xml:space="preserve">HAMZAAL</t>
  </si>
  <si>
    <t xml:space="preserve">2026-07-10 12:59:43</t>
  </si>
  <si>
    <t xml:space="preserve">2026-07-10 21:59:41</t>
  </si>
  <si>
    <t xml:space="preserve">2026-07-10 16:59:39</t>
  </si>
  <si>
    <t xml:space="preserve">8858612_IPSHIRE</t>
  </si>
  <si>
    <t xml:space="preserve">HARIRIRI</t>
  </si>
  <si>
    <t xml:space="preserve">2026-07-10 07:51:22</t>
  </si>
  <si>
    <t xml:space="preserve">2026-07-10 07:51:25</t>
  </si>
  <si>
    <t xml:space="preserve">2026-07-10 08:00:38</t>
  </si>
  <si>
    <t xml:space="preserve">2026-07-10 13:04:18</t>
  </si>
  <si>
    <t xml:space="preserve">8858358_IPSOEFG</t>
  </si>
  <si>
    <t xml:space="preserve">HASSINBE</t>
  </si>
  <si>
    <t xml:space="preserve">2026-07-10 09:54:27</t>
  </si>
  <si>
    <t xml:space="preserve">2026-07-10 14:01:39</t>
  </si>
  <si>
    <t xml:space="preserve">2026-07-10 09:59:04</t>
  </si>
  <si>
    <t xml:space="preserve">2026-07-10 14:01:38</t>
  </si>
  <si>
    <t xml:space="preserve">2026-07-10 19:03:49</t>
  </si>
  <si>
    <t xml:space="preserve">2026-07-10 14:56:14</t>
  </si>
  <si>
    <t xml:space="preserve">2026-07-10 19:03:48</t>
  </si>
  <si>
    <t xml:space="preserve">8859164_IPSHANB</t>
  </si>
  <si>
    <t xml:space="preserve">HASTAKNA</t>
  </si>
  <si>
    <t xml:space="preserve">2026-07-10 19:00:53</t>
  </si>
  <si>
    <t xml:space="preserve">2026-07-10 20:01:06</t>
  </si>
  <si>
    <t xml:space="preserve">8859167_IPSHBMA</t>
  </si>
  <si>
    <t xml:space="preserve">HBIBIMO</t>
  </si>
  <si>
    <t xml:space="preserve">2026-07-10 08:00:33</t>
  </si>
  <si>
    <t xml:space="preserve">2026-07-10 12:02:47</t>
  </si>
  <si>
    <t xml:space="preserve">8859359_IPSHENA</t>
  </si>
  <si>
    <t xml:space="preserve">HEJIOUNA</t>
  </si>
  <si>
    <t xml:space="preserve">2026-07-10 10:56:26</t>
  </si>
  <si>
    <t xml:space="preserve">2026-07-10 10:56:30</t>
  </si>
  <si>
    <t xml:space="preserve">2026-07-10 11:00:09</t>
  </si>
  <si>
    <t xml:space="preserve">2026-07-10 15:08:43</t>
  </si>
  <si>
    <t xml:space="preserve">2026-07-10 16:05:04</t>
  </si>
  <si>
    <t xml:space="preserve">2026-07-10 16:05:11</t>
  </si>
  <si>
    <t xml:space="preserve">2026-07-10 16:06:08</t>
  </si>
  <si>
    <t xml:space="preserve">2026-07-10 20:00:25</t>
  </si>
  <si>
    <t xml:space="preserve">8858766_IPSHEMO</t>
  </si>
  <si>
    <t xml:space="preserve">HENIMO</t>
  </si>
  <si>
    <t xml:space="preserve">2026-07-10 08:47:25</t>
  </si>
  <si>
    <t xml:space="preserve">2026-07-10 08:49:44</t>
  </si>
  <si>
    <t xml:space="preserve">2026-07-10 08:50:28</t>
  </si>
  <si>
    <t xml:space="preserve">2026-07-10 14:08:24</t>
  </si>
  <si>
    <t xml:space="preserve">2026-07-10 15:30:03</t>
  </si>
  <si>
    <t xml:space="preserve">2026-07-10 16:52:40</t>
  </si>
  <si>
    <t xml:space="preserve">2026-07-10 16:53:27</t>
  </si>
  <si>
    <t xml:space="preserve">2026-07-10 18:04:47</t>
  </si>
  <si>
    <t xml:space="preserve">2026-07-10 17:06:28</t>
  </si>
  <si>
    <t xml:space="preserve">2026-07-10 21:00:21</t>
  </si>
  <si>
    <t xml:space="preserve">2026-07-10 17:06:35</t>
  </si>
  <si>
    <t xml:space="preserve">2026-07-10 21:59:23</t>
  </si>
  <si>
    <t xml:space="preserve">2026-07-11 02:02:47</t>
  </si>
  <si>
    <t xml:space="preserve">8859436_IPSHRMJ</t>
  </si>
  <si>
    <t xml:space="preserve">HERICHMJ</t>
  </si>
  <si>
    <t xml:space="preserve">2026-07-10 10:55:11</t>
  </si>
  <si>
    <t xml:space="preserve">2026-07-10 13:24:13</t>
  </si>
  <si>
    <t xml:space="preserve">2026-07-10 13:24:16</t>
  </si>
  <si>
    <t xml:space="preserve">2026-07-10 13:24:24</t>
  </si>
  <si>
    <t xml:space="preserve">2026-07-10 13:25:05</t>
  </si>
  <si>
    <t xml:space="preserve">2026-07-10 16:55:44</t>
  </si>
  <si>
    <t xml:space="preserve">2026-07-10 20:00:00</t>
  </si>
  <si>
    <t xml:space="preserve">8859169_IPSHDSS</t>
  </si>
  <si>
    <t xml:space="preserve">HIDRISR</t>
  </si>
  <si>
    <t xml:space="preserve">2026-07-10 08:57:35</t>
  </si>
  <si>
    <t xml:space="preserve">2026-07-10 15:59:14</t>
  </si>
  <si>
    <t xml:space="preserve">2026-07-10 18:30:32</t>
  </si>
  <si>
    <t xml:space="preserve">2026-07-10 18:34:27</t>
  </si>
  <si>
    <t xml:space="preserve">2026-07-10 18:42:15</t>
  </si>
  <si>
    <t xml:space="preserve">2026-07-10 19:00:16</t>
  </si>
  <si>
    <t xml:space="preserve">8859586_IPSHLCH</t>
  </si>
  <si>
    <t xml:space="preserve">HLELCH</t>
  </si>
  <si>
    <t xml:space="preserve">2026-07-10 13:06:17</t>
  </si>
  <si>
    <t xml:space="preserve">2026-07-10 14:05:49</t>
  </si>
  <si>
    <t xml:space="preserve">2026-07-10 18:00:45</t>
  </si>
  <si>
    <t xml:space="preserve">8858819_IPSHMAK</t>
  </si>
  <si>
    <t xml:space="preserve">HMADIAK</t>
  </si>
  <si>
    <t xml:space="preserve">2026-07-10 08:55:25</t>
  </si>
  <si>
    <t xml:space="preserve">2026-07-10 16:55:25</t>
  </si>
  <si>
    <t xml:space="preserve">8858467_IPSHAAM</t>
  </si>
  <si>
    <t xml:space="preserve">HMADIAM</t>
  </si>
  <si>
    <t xml:space="preserve">2026-07-10 08:25:48</t>
  </si>
  <si>
    <t xml:space="preserve">2026-07-10 11:41:13</t>
  </si>
  <si>
    <t xml:space="preserve">2026-07-10 11:41:14</t>
  </si>
  <si>
    <t xml:space="preserve">2026-07-10 11:42:09</t>
  </si>
  <si>
    <t xml:space="preserve">2026-07-10 11:42:20</t>
  </si>
  <si>
    <t xml:space="preserve">2026-07-10 17:30:09</t>
  </si>
  <si>
    <t xml:space="preserve">8858102_IPSHMSW</t>
  </si>
  <si>
    <t xml:space="preserve">HMAIDISA</t>
  </si>
  <si>
    <t xml:space="preserve">2026-07-10 08:59:42</t>
  </si>
  <si>
    <t xml:space="preserve">2026-07-10 13:23:27</t>
  </si>
  <si>
    <t xml:space="preserve">2026-07-10 14:24:28</t>
  </si>
  <si>
    <t xml:space="preserve">8859316_IPSHMSE</t>
  </si>
  <si>
    <t xml:space="preserve">HMAISSSA</t>
  </si>
  <si>
    <t xml:space="preserve">2026-07-10 11:57:15</t>
  </si>
  <si>
    <t xml:space="preserve">2026-07-10 17:01:30</t>
  </si>
  <si>
    <t xml:space="preserve">2026-07-10 17:03:53</t>
  </si>
  <si>
    <t xml:space="preserve">2026-07-10 17:04:06</t>
  </si>
  <si>
    <t xml:space="preserve">2026-07-10 17:58:55</t>
  </si>
  <si>
    <t xml:space="preserve">2026-07-10 20:55:25</t>
  </si>
  <si>
    <t xml:space="preserve">2026-07-10 20:55:28</t>
  </si>
  <si>
    <t xml:space="preserve">2026-07-10 20:55:50</t>
  </si>
  <si>
    <t xml:space="preserve">2026-07-10 20:55:54</t>
  </si>
  <si>
    <t xml:space="preserve">2026-07-10 22:04:14</t>
  </si>
  <si>
    <t xml:space="preserve">8858521_IPSHIKA</t>
  </si>
  <si>
    <t xml:space="preserve">HMIDIKH</t>
  </si>
  <si>
    <t xml:space="preserve">2026-07-10 08:57:01</t>
  </si>
  <si>
    <t xml:space="preserve">2026-07-10 08:57:08</t>
  </si>
  <si>
    <t xml:space="preserve">2026-07-10 14:00:57</t>
  </si>
  <si>
    <t xml:space="preserve">2026-07-10 14:59:10</t>
  </si>
  <si>
    <t xml:space="preserve">8858190_IPSHNIC</t>
  </si>
  <si>
    <t xml:space="preserve">HNICHAM</t>
  </si>
  <si>
    <t xml:space="preserve">2026-07-10 12:01:44</t>
  </si>
  <si>
    <t xml:space="preserve">2026-07-10 13:16:57</t>
  </si>
  <si>
    <t xml:space="preserve">2026-07-10 13:18:16</t>
  </si>
  <si>
    <t xml:space="preserve">2026-07-10 16:02:28</t>
  </si>
  <si>
    <t xml:space="preserve">2026-07-10 16:59:54</t>
  </si>
  <si>
    <t xml:space="preserve">2026-07-10 21:01:15</t>
  </si>
  <si>
    <t xml:space="preserve">2026-07-10 21:01:23</t>
  </si>
  <si>
    <t xml:space="preserve">2026-07-10 21:01:29</t>
  </si>
  <si>
    <t xml:space="preserve">8858633_IPSHIMD</t>
  </si>
  <si>
    <t xml:space="preserve">HOSNIMO</t>
  </si>
  <si>
    <t xml:space="preserve">2026-07-10 09:01:45</t>
  </si>
  <si>
    <t xml:space="preserve">2026-07-10 13:00:57</t>
  </si>
  <si>
    <t xml:space="preserve">2026-07-10 14:02:32</t>
  </si>
  <si>
    <t xml:space="preserve">2026-07-10 18:00:55</t>
  </si>
  <si>
    <t xml:space="preserve">8858381_IPSHORY</t>
  </si>
  <si>
    <t xml:space="preserve">HOUAOURY</t>
  </si>
  <si>
    <t xml:space="preserve">2026-07-10 11:59:24</t>
  </si>
  <si>
    <t xml:space="preserve">2026-07-10 17:02:56</t>
  </si>
  <si>
    <t xml:space="preserve">2026-07-10 17:57:13</t>
  </si>
  <si>
    <t xml:space="preserve">2026-07-10 21:01:53</t>
  </si>
  <si>
    <t xml:space="preserve">8858082_IPSHRBD</t>
  </si>
  <si>
    <t xml:space="preserve">HRILIBA</t>
  </si>
  <si>
    <t xml:space="preserve">2026-07-10 08:56:24</t>
  </si>
  <si>
    <t xml:space="preserve">2026-07-10 14:11:56</t>
  </si>
  <si>
    <t xml:space="preserve">2026-07-10 15:38:38</t>
  </si>
  <si>
    <t xml:space="preserve">2026-07-10 17:35:37</t>
  </si>
  <si>
    <t xml:space="preserve">2026-07-10 17:52:22</t>
  </si>
  <si>
    <t xml:space="preserve">2026-07-10 19:03:05</t>
  </si>
  <si>
    <t xml:space="preserve">2026-07-10 14:58:00</t>
  </si>
  <si>
    <t xml:space="preserve">2026-07-10 17:12:06</t>
  </si>
  <si>
    <t xml:space="preserve">2026-07-10 14:58:01</t>
  </si>
  <si>
    <t xml:space="preserve">2026-07-10 17:12:28</t>
  </si>
  <si>
    <t xml:space="preserve">2026-07-10 17:13:09</t>
  </si>
  <si>
    <t xml:space="preserve">2026-07-10 17:22:43</t>
  </si>
  <si>
    <t xml:space="preserve">2026-07-10 17:22:45</t>
  </si>
  <si>
    <t xml:space="preserve">2026-07-10 17:22:49</t>
  </si>
  <si>
    <t xml:space="preserve">2026-07-10 17:22:52</t>
  </si>
  <si>
    <t xml:space="preserve">2026-07-10 18:01:22</t>
  </si>
  <si>
    <t xml:space="preserve">2026-07-10 18:56:48</t>
  </si>
  <si>
    <t xml:space="preserve">2026-07-11 01:00:19</t>
  </si>
  <si>
    <t xml:space="preserve">2026-07-11 01:00:21</t>
  </si>
  <si>
    <t xml:space="preserve">8858387_IPSIGMO</t>
  </si>
  <si>
    <t xml:space="preserve">IGDADMO</t>
  </si>
  <si>
    <t xml:space="preserve">2026-07-10 08:00:20</t>
  </si>
  <si>
    <t xml:space="preserve">2026-07-10 12:59:52</t>
  </si>
  <si>
    <t xml:space="preserve">2026-07-10 14:22:33</t>
  </si>
  <si>
    <t xml:space="preserve">2026-07-10 14:23:04</t>
  </si>
  <si>
    <t xml:space="preserve">2026-07-10 16:38:18</t>
  </si>
  <si>
    <t xml:space="preserve">2026-07-10 16:39:11</t>
  </si>
  <si>
    <t xml:space="preserve">2026-07-10 18:15:34</t>
  </si>
  <si>
    <t xml:space="preserve">2026-07-10 18:16:02</t>
  </si>
  <si>
    <t xml:space="preserve">2026-07-10 18:16:06</t>
  </si>
  <si>
    <t xml:space="preserve">8858649_IPSINIM</t>
  </si>
  <si>
    <t xml:space="preserve">INTAJIM</t>
  </si>
  <si>
    <t xml:space="preserve">2026-07-10 15:01:07</t>
  </si>
  <si>
    <t xml:space="preserve">8858640_IPSIAKH</t>
  </si>
  <si>
    <t xml:space="preserve">IRAQIHKH</t>
  </si>
  <si>
    <t xml:space="preserve">2026-07-10 08:54:38</t>
  </si>
  <si>
    <t xml:space="preserve">2026-07-10 13:18:46</t>
  </si>
  <si>
    <t xml:space="preserve">2026-07-10 13:19:54</t>
  </si>
  <si>
    <t xml:space="preserve">2026-07-10 14:15:08</t>
  </si>
  <si>
    <t xml:space="preserve">2026-07-10 15:15:52</t>
  </si>
  <si>
    <t xml:space="preserve">2026-07-10 19:02:38</t>
  </si>
  <si>
    <t xml:space="preserve">8859441_IPSJAMO</t>
  </si>
  <si>
    <t xml:space="preserve">JAAFARMO</t>
  </si>
  <si>
    <t xml:space="preserve">2026-07-10 09:40:05</t>
  </si>
  <si>
    <t xml:space="preserve">2026-07-10 13:31:52</t>
  </si>
  <si>
    <t xml:space="preserve">8858820_IPSJAMN</t>
  </si>
  <si>
    <t xml:space="preserve">JABOUZMA</t>
  </si>
  <si>
    <t xml:space="preserve">2026-07-10 13:42:59</t>
  </si>
  <si>
    <t xml:space="preserve">2026-07-10 14:34:12</t>
  </si>
  <si>
    <t xml:space="preserve">2026-07-10 15:49:36</t>
  </si>
  <si>
    <t xml:space="preserve">2026-07-10 17:44:05</t>
  </si>
  <si>
    <t xml:space="preserve">8858028_IPSJHHL</t>
  </si>
  <si>
    <t xml:space="preserve">JAGHRIHA</t>
  </si>
  <si>
    <t xml:space="preserve">2026-07-10 12:47:05</t>
  </si>
  <si>
    <t xml:space="preserve">2026-07-10 12:53:17</t>
  </si>
  <si>
    <t xml:space="preserve">2026-07-10 15:01:10</t>
  </si>
  <si>
    <t xml:space="preserve">2026-07-10 19:01:28</t>
  </si>
  <si>
    <t xml:space="preserve">8854659_IPSJANA</t>
  </si>
  <si>
    <t xml:space="preserve">JALALNA</t>
  </si>
  <si>
    <t xml:space="preserve">2026-07-10 09:00:50</t>
  </si>
  <si>
    <t xml:space="preserve">2026-07-10 18:00:13</t>
  </si>
  <si>
    <t xml:space="preserve">8858110_IPSJAAL</t>
  </si>
  <si>
    <t xml:space="preserve">JAOUANAM</t>
  </si>
  <si>
    <t xml:space="preserve">2026-07-10 08:18:53</t>
  </si>
  <si>
    <t xml:space="preserve">2026-07-10 13:09:21</t>
  </si>
  <si>
    <t xml:space="preserve">2026-07-10 13:49:02</t>
  </si>
  <si>
    <t xml:space="preserve">2026-07-10 16:34:26</t>
  </si>
  <si>
    <t xml:space="preserve">2026-07-10 16:36:19</t>
  </si>
  <si>
    <t xml:space="preserve">2026-07-10 16:40:32</t>
  </si>
  <si>
    <t xml:space="preserve">2026-07-10 17:03:25</t>
  </si>
  <si>
    <t xml:space="preserve">2026-07-10 16:40:33</t>
  </si>
  <si>
    <t xml:space="preserve">2026-07-10 17:03:27</t>
  </si>
  <si>
    <t xml:space="preserve">8858345_IPSJSAR</t>
  </si>
  <si>
    <t xml:space="preserve">2026-07-10 08:05:45</t>
  </si>
  <si>
    <t xml:space="preserve">2026-07-10 08:16:04</t>
  </si>
  <si>
    <t xml:space="preserve">RAFIKAI</t>
  </si>
  <si>
    <t xml:space="preserve">2026-07-10 09:11:03</t>
  </si>
  <si>
    <t xml:space="preserve">2026-07-10 09:16:25</t>
  </si>
  <si>
    <t xml:space="preserve">2026-07-10 09:16:27</t>
  </si>
  <si>
    <t xml:space="preserve">2026-07-10 17:16:27</t>
  </si>
  <si>
    <t xml:space="preserve">8858123_IPSJEHN</t>
  </si>
  <si>
    <t xml:space="preserve">JEBALIHA</t>
  </si>
  <si>
    <t xml:space="preserve">2026-07-10 09:05:40</t>
  </si>
  <si>
    <t xml:space="preserve">2026-07-10 09:06:43</t>
  </si>
  <si>
    <t xml:space="preserve">2026-07-10 09:13:51</t>
  </si>
  <si>
    <t xml:space="preserve">2026-07-10 15:50:33</t>
  </si>
  <si>
    <t xml:space="preserve">2026-07-10 16:46:26</t>
  </si>
  <si>
    <t xml:space="preserve">2026-07-10 19:39:51</t>
  </si>
  <si>
    <t xml:space="preserve">8858167_IPSJIHL</t>
  </si>
  <si>
    <t xml:space="preserve">JEBALIHD</t>
  </si>
  <si>
    <t xml:space="preserve">2026-07-10 13:32:48</t>
  </si>
  <si>
    <t xml:space="preserve">2026-07-10 14:29:30</t>
  </si>
  <si>
    <t xml:space="preserve">8859539_IPSJEAF</t>
  </si>
  <si>
    <t xml:space="preserve">JEBLIAE</t>
  </si>
  <si>
    <t xml:space="preserve">2026-07-10 08:58:44</t>
  </si>
  <si>
    <t xml:space="preserve">2026-07-10 13:09:08</t>
  </si>
  <si>
    <t xml:space="preserve">2026-07-10 14:07:48</t>
  </si>
  <si>
    <t xml:space="preserve">8859318_IPSJEHF</t>
  </si>
  <si>
    <t xml:space="preserve">JEDDAYHA</t>
  </si>
  <si>
    <t xml:space="preserve">2026-07-10 11:57:02</t>
  </si>
  <si>
    <t xml:space="preserve">2026-07-10 18:07:29</t>
  </si>
  <si>
    <t xml:space="preserve">2026-07-10 18:59:34</t>
  </si>
  <si>
    <t xml:space="preserve">8859121_IPSJEHE</t>
  </si>
  <si>
    <t xml:space="preserve">JEDDIHE</t>
  </si>
  <si>
    <t xml:space="preserve">2026-07-10 10:53:44</t>
  </si>
  <si>
    <t xml:space="preserve">2026-07-10 15:01:54</t>
  </si>
  <si>
    <t xml:space="preserve">2026-07-10 10:53:45</t>
  </si>
  <si>
    <t xml:space="preserve">2026-07-10 15:55:26</t>
  </si>
  <si>
    <t xml:space="preserve">2026-07-10 20:00:31</t>
  </si>
  <si>
    <t xml:space="preserve">8858426_IPSJEIM</t>
  </si>
  <si>
    <t xml:space="preserve">JELASSIM</t>
  </si>
  <si>
    <t xml:space="preserve">2026-07-10 08:00:14</t>
  </si>
  <si>
    <t xml:space="preserve">2026-07-10 12:06:34</t>
  </si>
  <si>
    <t xml:space="preserve">2026-07-10 13:05:58</t>
  </si>
  <si>
    <t xml:space="preserve">2026-07-10 17:08:54</t>
  </si>
  <si>
    <t xml:space="preserve">8859319_IPSJLAR</t>
  </si>
  <si>
    <t xml:space="preserve">JELASSLA</t>
  </si>
  <si>
    <t xml:space="preserve">2026-07-10 08:55:00</t>
  </si>
  <si>
    <t xml:space="preserve">2026-07-10 13:16:34</t>
  </si>
  <si>
    <t xml:space="preserve">2026-07-10 18:18:08</t>
  </si>
  <si>
    <t xml:space="preserve">8858786_IPSJELI</t>
  </si>
  <si>
    <t xml:space="preserve">JELASSLI</t>
  </si>
  <si>
    <t xml:space="preserve">2026-07-10 09:02:39</t>
  </si>
  <si>
    <t xml:space="preserve">2026-07-10 09:49:06</t>
  </si>
  <si>
    <t xml:space="preserve">2026-07-10 09:50:01</t>
  </si>
  <si>
    <t xml:space="preserve">2026-07-10 10:06:26</t>
  </si>
  <si>
    <t xml:space="preserve">2026-07-10 10:06:29</t>
  </si>
  <si>
    <t xml:space="preserve">2026-07-10 10:06:30</t>
  </si>
  <si>
    <t xml:space="preserve">2026-07-10 10:06:35</t>
  </si>
  <si>
    <t xml:space="preserve">2026-07-10 15:06:19</t>
  </si>
  <si>
    <t xml:space="preserve">2026-07-10 15:07:08</t>
  </si>
  <si>
    <t xml:space="preserve">2026-07-10 16:05:58</t>
  </si>
  <si>
    <t xml:space="preserve">2026-07-10 16:06:44</t>
  </si>
  <si>
    <t xml:space="preserve">8858116_IPSJECA</t>
  </si>
  <si>
    <t xml:space="preserve">JENDOUCA</t>
  </si>
  <si>
    <t xml:space="preserve">2026-07-10 15:21:22</t>
  </si>
  <si>
    <t xml:space="preserve">2026-07-10 16:20:54</t>
  </si>
  <si>
    <t xml:space="preserve">2026-07-10 20:00:07</t>
  </si>
  <si>
    <t xml:space="preserve">8859320_IPSJEHA</t>
  </si>
  <si>
    <t xml:space="preserve">JENDOUHA</t>
  </si>
  <si>
    <t xml:space="preserve">2026-07-10 13:59:13</t>
  </si>
  <si>
    <t xml:space="preserve">8858696_IPSJEHM</t>
  </si>
  <si>
    <t xml:space="preserve">JERBIHA</t>
  </si>
  <si>
    <t xml:space="preserve">2026-07-10 08:29:14</t>
  </si>
  <si>
    <t xml:space="preserve">2026-07-10 12:35:24</t>
  </si>
  <si>
    <t xml:space="preserve">2026-07-10 12:35:28</t>
  </si>
  <si>
    <t xml:space="preserve">2026-07-10 14:00:00</t>
  </si>
  <si>
    <t xml:space="preserve">2026-07-10 14:56:51</t>
  </si>
  <si>
    <t xml:space="preserve">2026-07-10 17:30:03</t>
  </si>
  <si>
    <t xml:space="preserve">8858767_IPSJEFE</t>
  </si>
  <si>
    <t xml:space="preserve">JERFELFE</t>
  </si>
  <si>
    <t xml:space="preserve">2026-07-10 10:03:00</t>
  </si>
  <si>
    <t xml:space="preserve">2026-07-10 18:03:00</t>
  </si>
  <si>
    <t xml:space="preserve">8858060_IPSJLYO</t>
  </si>
  <si>
    <t xml:space="preserve">JLASSIYO</t>
  </si>
  <si>
    <t xml:space="preserve">2026-07-10 13:06:59</t>
  </si>
  <si>
    <t xml:space="preserve">2026-07-10 14:05:21</t>
  </si>
  <si>
    <t xml:space="preserve">2026-07-10 15:03:42</t>
  </si>
  <si>
    <t xml:space="preserve">2026-07-10 15:48:33</t>
  </si>
  <si>
    <t xml:space="preserve">2026-07-10 17:03:14</t>
  </si>
  <si>
    <t xml:space="preserve">8858155_IPSJLJI</t>
  </si>
  <si>
    <t xml:space="preserve">JLELIJI</t>
  </si>
  <si>
    <t xml:space="preserve">2026-07-10 09:26:45</t>
  </si>
  <si>
    <t xml:space="preserve">2026-07-10 09:26:46</t>
  </si>
  <si>
    <t xml:space="preserve">2026-07-10 14:01:40</t>
  </si>
  <si>
    <t xml:space="preserve">2026-07-10 16:06:36</t>
  </si>
  <si>
    <t xml:space="preserve">2026-07-10 16:12:35</t>
  </si>
  <si>
    <t xml:space="preserve">8858364_IPSJMWA</t>
  </si>
  <si>
    <t xml:space="preserve">JMAIWA</t>
  </si>
  <si>
    <t xml:space="preserve">2026-07-10 08:49:19</t>
  </si>
  <si>
    <t xml:space="preserve">2026-07-10 14:02:50</t>
  </si>
  <si>
    <t xml:space="preserve">8859296_IPSJLMY</t>
  </si>
  <si>
    <t xml:space="preserve">JOUALIME</t>
  </si>
  <si>
    <t xml:space="preserve">2026-07-10 13:41:19</t>
  </si>
  <si>
    <t xml:space="preserve">2026-07-10 14:40:02</t>
  </si>
  <si>
    <t xml:space="preserve">8858048_IPSJOAL</t>
  </si>
  <si>
    <t xml:space="preserve">JOUINIAM</t>
  </si>
  <si>
    <t xml:space="preserve">2026-07-10 08:48:26</t>
  </si>
  <si>
    <t xml:space="preserve">2026-07-10 14:18:43</t>
  </si>
  <si>
    <t xml:space="preserve">2026-07-10 14:50:02</t>
  </si>
  <si>
    <t xml:space="preserve">2026-07-10 18:27:27</t>
  </si>
  <si>
    <t xml:space="preserve">8858910_IPSJOAN</t>
  </si>
  <si>
    <t xml:space="preserve">JOUINIAN</t>
  </si>
  <si>
    <t xml:space="preserve">2026-07-10 00:51:25</t>
  </si>
  <si>
    <t xml:space="preserve">2026-07-10 04:01:21</t>
  </si>
  <si>
    <t xml:space="preserve">2026-07-10 04:01:23</t>
  </si>
  <si>
    <t xml:space="preserve">2026-07-10 05:01:13</t>
  </si>
  <si>
    <t xml:space="preserve">2026-07-10 08:47:49</t>
  </si>
  <si>
    <t xml:space="preserve">2026-07-10 05:01:14</t>
  </si>
  <si>
    <t xml:space="preserve">2026-07-10 06:23:47</t>
  </si>
  <si>
    <t xml:space="preserve">2026-07-10 07:23:03</t>
  </si>
  <si>
    <t xml:space="preserve">2026-07-10 07:49:53</t>
  </si>
  <si>
    <t xml:space="preserve">2026-07-10 08:06:19</t>
  </si>
  <si>
    <t xml:space="preserve">2026-07-10 08:47:51</t>
  </si>
  <si>
    <t xml:space="preserve">2026-07-10 08:48:43</t>
  </si>
  <si>
    <t xml:space="preserve">2026-07-10 10:00:20</t>
  </si>
  <si>
    <t xml:space="preserve">2026-07-10 10:00:22</t>
  </si>
  <si>
    <t xml:space="preserve">8858661_IPSJOCH</t>
  </si>
  <si>
    <t xml:space="preserve">JOUINICH</t>
  </si>
  <si>
    <t xml:space="preserve">2026-07-10 08:28:09</t>
  </si>
  <si>
    <t xml:space="preserve">2026-07-10 13:29:07</t>
  </si>
  <si>
    <t xml:space="preserve">2026-07-10 08:28:10</t>
  </si>
  <si>
    <t xml:space="preserve">2026-07-10 14:32:07</t>
  </si>
  <si>
    <t xml:space="preserve">2026-07-10 16:26:21</t>
  </si>
  <si>
    <t xml:space="preserve">2026-07-10 16:31:37</t>
  </si>
  <si>
    <t xml:space="preserve">2026-07-10 17:32:11</t>
  </si>
  <si>
    <t xml:space="preserve">2026-07-10 16:31:38</t>
  </si>
  <si>
    <t xml:space="preserve">8859321_IPSKAMA</t>
  </si>
  <si>
    <t xml:space="preserve">KAABIMA</t>
  </si>
  <si>
    <t xml:space="preserve">2026-07-10 07:48:10</t>
  </si>
  <si>
    <t xml:space="preserve">2026-07-10 07:48:18</t>
  </si>
  <si>
    <t xml:space="preserve">2026-07-10 07:59:07</t>
  </si>
  <si>
    <t xml:space="preserve">2026-07-10 12:04:33</t>
  </si>
  <si>
    <t xml:space="preserve">2026-07-10 13:05:08</t>
  </si>
  <si>
    <t xml:space="preserve">2026-07-10 16:01:11</t>
  </si>
  <si>
    <t xml:space="preserve">2026-07-10 11:07:23</t>
  </si>
  <si>
    <t xml:space="preserve">2026-07-10 15:34:27</t>
  </si>
  <si>
    <t xml:space="preserve">2026-07-10 11:07:24</t>
  </si>
  <si>
    <t xml:space="preserve">2026-07-10 16:29:52</t>
  </si>
  <si>
    <t xml:space="preserve">2026-07-10 20:16:09</t>
  </si>
  <si>
    <t xml:space="preserve">8858351_IPSKADO</t>
  </si>
  <si>
    <t xml:space="preserve">KACHBADO</t>
  </si>
  <si>
    <t xml:space="preserve">2026-07-10 07:45:50</t>
  </si>
  <si>
    <t xml:space="preserve">2026-07-10 07:45:55</t>
  </si>
  <si>
    <t xml:space="preserve">2026-07-10 07:59:02</t>
  </si>
  <si>
    <t xml:space="preserve">2026-07-10 13:02:26</t>
  </si>
  <si>
    <t xml:space="preserve">2026-07-10 14:42:18</t>
  </si>
  <si>
    <t xml:space="preserve">2026-07-10 14:43:51</t>
  </si>
  <si>
    <t xml:space="preserve">8859323_IPSKDNH</t>
  </si>
  <si>
    <t xml:space="preserve">KADINO</t>
  </si>
  <si>
    <t xml:space="preserve">2026-07-10 14:00:19</t>
  </si>
  <si>
    <t xml:space="preserve">2026-07-10 19:03:22</t>
  </si>
  <si>
    <t xml:space="preserve">8858446_ETSKDFZ</t>
  </si>
  <si>
    <t xml:space="preserve">KANDIFA</t>
  </si>
  <si>
    <t xml:space="preserve">2026-07-10 09:01:06</t>
  </si>
  <si>
    <t xml:space="preserve">2026-07-10 14:01:13</t>
  </si>
  <si>
    <t xml:space="preserve">2026-07-10 15:02:40</t>
  </si>
  <si>
    <t xml:space="preserve">2026-07-10 15:03:59</t>
  </si>
  <si>
    <t xml:space="preserve">8859325_IPSKANA</t>
  </si>
  <si>
    <t xml:space="preserve">KANDILNA</t>
  </si>
  <si>
    <t xml:space="preserve">2026-07-10 07:58:34</t>
  </si>
  <si>
    <t xml:space="preserve">2026-07-10 13:11:46</t>
  </si>
  <si>
    <t xml:space="preserve">2026-07-10 14:10:04</t>
  </si>
  <si>
    <t xml:space="preserve">2026-07-10 17:02:34</t>
  </si>
  <si>
    <t xml:space="preserve">8858044_IPSKASX</t>
  </si>
  <si>
    <t xml:space="preserve">2026-07-10 07:54:46</t>
  </si>
  <si>
    <t xml:space="preserve">2026-07-10 07:54:48</t>
  </si>
  <si>
    <t xml:space="preserve">2026-07-10 13:54:33</t>
  </si>
  <si>
    <t xml:space="preserve">2026-07-10 16:49:44</t>
  </si>
  <si>
    <t xml:space="preserve">2026-07-10 13:57:04</t>
  </si>
  <si>
    <t xml:space="preserve">2026-07-10 16:49:36</t>
  </si>
  <si>
    <t xml:space="preserve">2026-07-10 16:56:23</t>
  </si>
  <si>
    <t xml:space="preserve">2026-07-10 17:44:07</t>
  </si>
  <si>
    <t xml:space="preserve">2026-07-10 17:48:42</t>
  </si>
  <si>
    <t xml:space="preserve">2026-07-10 17:48:43</t>
  </si>
  <si>
    <t xml:space="preserve">8859327_IPSKAIK</t>
  </si>
  <si>
    <t xml:space="preserve">KAROUIIB</t>
  </si>
  <si>
    <t xml:space="preserve">2026-07-10 08:42:29</t>
  </si>
  <si>
    <t xml:space="preserve">2026-07-10 13:01:57</t>
  </si>
  <si>
    <t xml:space="preserve">2026-07-10 14:01:27</t>
  </si>
  <si>
    <t xml:space="preserve">8858403_IPSKIAA</t>
  </si>
  <si>
    <t xml:space="preserve">KAROUKAM</t>
  </si>
  <si>
    <t xml:space="preserve">2026-07-10 13:46:31</t>
  </si>
  <si>
    <t xml:space="preserve">2026-07-10 14:45:17</t>
  </si>
  <si>
    <t xml:space="preserve">2026-07-10 17:16:22</t>
  </si>
  <si>
    <t xml:space="preserve">2026-07-10 17:29:13</t>
  </si>
  <si>
    <t xml:space="preserve">2026-07-10 18:05:01</t>
  </si>
  <si>
    <t xml:space="preserve">8858431_IPSKASB</t>
  </si>
  <si>
    <t xml:space="preserve">KASA</t>
  </si>
  <si>
    <t xml:space="preserve">2026-07-10 07:59:50</t>
  </si>
  <si>
    <t xml:space="preserve">2026-07-10 12:49:24</t>
  </si>
  <si>
    <t xml:space="preserve">2026-07-10 13:17:09</t>
  </si>
  <si>
    <t xml:space="preserve">2026-07-10 15:45:06</t>
  </si>
  <si>
    <t xml:space="preserve">2026-07-10 16:35:07</t>
  </si>
  <si>
    <t xml:space="preserve">2026-07-10 16:35:26</t>
  </si>
  <si>
    <t xml:space="preserve">2026-07-10 18:00:54</t>
  </si>
  <si>
    <t xml:space="preserve">2026-07-10 05:56:42</t>
  </si>
  <si>
    <t xml:space="preserve">2026-07-10 05:58:51</t>
  </si>
  <si>
    <t xml:space="preserve">2026-07-10 06:57:34</t>
  </si>
  <si>
    <t xml:space="preserve">2026-07-10 13:05:38</t>
  </si>
  <si>
    <t xml:space="preserve">2026-07-10 13:25:12</t>
  </si>
  <si>
    <t xml:space="preserve">2026-07-10 16:30:09</t>
  </si>
  <si>
    <t xml:space="preserve">8858724_IPSKEIC</t>
  </si>
  <si>
    <t xml:space="preserve">KEDISSIC</t>
  </si>
  <si>
    <t xml:space="preserve">2026-07-10 07:57:43</t>
  </si>
  <si>
    <t xml:space="preserve">2026-07-10 15:57:43</t>
  </si>
  <si>
    <t xml:space="preserve">8858722_IPSKHFT</t>
  </si>
  <si>
    <t xml:space="preserve">KHABTHFA</t>
  </si>
  <si>
    <t xml:space="preserve">8859331_IPSKAIN</t>
  </si>
  <si>
    <t xml:space="preserve">KHALIFIM</t>
  </si>
  <si>
    <t xml:space="preserve">2026-07-10 08:52:29</t>
  </si>
  <si>
    <t xml:space="preserve">2026-07-10 09:38:54</t>
  </si>
  <si>
    <t xml:space="preserve">2026-07-10 09:42:30</t>
  </si>
  <si>
    <t xml:space="preserve">2026-07-10 12:21:09</t>
  </si>
  <si>
    <t xml:space="preserve">2026-07-10 12:21:11</t>
  </si>
  <si>
    <t xml:space="preserve">2026-07-10 13:38:22</t>
  </si>
  <si>
    <t xml:space="preserve">2026-07-10 13:43:18</t>
  </si>
  <si>
    <t xml:space="preserve">2026-07-10 14:03:04</t>
  </si>
  <si>
    <t xml:space="preserve">2026-07-10 15:07:58</t>
  </si>
  <si>
    <t xml:space="preserve">8858000_IPSKHNZ</t>
  </si>
  <si>
    <t xml:space="preserve">2026-07-10 13:12:46</t>
  </si>
  <si>
    <t xml:space="preserve">2026-07-10 17:00:57</t>
  </si>
  <si>
    <t xml:space="preserve">8859332_IPSKHSI</t>
  </si>
  <si>
    <t xml:space="preserve">KHAZRISI</t>
  </si>
  <si>
    <t xml:space="preserve">2026-07-10 09:56:38</t>
  </si>
  <si>
    <t xml:space="preserve">2026-07-10 12:11:09</t>
  </si>
  <si>
    <t xml:space="preserve">2026-07-10 12:17:05</t>
  </si>
  <si>
    <t xml:space="preserve">2026-07-10 13:55:17</t>
  </si>
  <si>
    <t xml:space="preserve">2026-07-10 14:53:46</t>
  </si>
  <si>
    <t xml:space="preserve">2026-07-10 16:52:32</t>
  </si>
  <si>
    <t xml:space="preserve">2026-07-10 16:54:31</t>
  </si>
  <si>
    <t xml:space="preserve">2026-07-10 19:01:27</t>
  </si>
  <si>
    <t xml:space="preserve">8858826_IPSKHNE</t>
  </si>
  <si>
    <t xml:space="preserve">KHIARINE</t>
  </si>
  <si>
    <t xml:space="preserve">2026-07-10 09:07:57</t>
  </si>
  <si>
    <t xml:space="preserve">2026-07-10 11:52:50</t>
  </si>
  <si>
    <t xml:space="preserve">2026-07-10 11:56:02</t>
  </si>
  <si>
    <t xml:space="preserve">2026-07-10 13:05:46</t>
  </si>
  <si>
    <t xml:space="preserve">2026-07-10 14:02:31</t>
  </si>
  <si>
    <t xml:space="preserve">2026-07-10 18:03:14</t>
  </si>
  <si>
    <t xml:space="preserve">8859123_IPSKHSO</t>
  </si>
  <si>
    <t xml:space="preserve">KHIARISO</t>
  </si>
  <si>
    <t xml:space="preserve">2026-07-10 10:57:46</t>
  </si>
  <si>
    <t xml:space="preserve">2026-07-10 15:28:00</t>
  </si>
  <si>
    <t xml:space="preserve">2026-07-10 10:57:47</t>
  </si>
  <si>
    <t xml:space="preserve">2026-07-10 16:25:35</t>
  </si>
  <si>
    <t xml:space="preserve">2026-07-10 19:54:18</t>
  </si>
  <si>
    <t xml:space="preserve">2026-07-10 19:54:42</t>
  </si>
  <si>
    <t xml:space="preserve">2026-07-10 20:01:20</t>
  </si>
  <si>
    <t xml:space="preserve">8859333_IPSKHNB</t>
  </si>
  <si>
    <t xml:space="preserve">KHLASSNA</t>
  </si>
  <si>
    <t xml:space="preserve">2026-07-10 09:00:45</t>
  </si>
  <si>
    <t xml:space="preserve">2026-07-10 13:57:00</t>
  </si>
  <si>
    <t xml:space="preserve">8858771_IPSKHOM</t>
  </si>
  <si>
    <t xml:space="preserve">KHMIRIOU</t>
  </si>
  <si>
    <t xml:space="preserve">2026-07-10 09:09:49</t>
  </si>
  <si>
    <t xml:space="preserve">2026-07-10 17:09:49</t>
  </si>
  <si>
    <t xml:space="preserve">8858019_IPSKHAS</t>
  </si>
  <si>
    <t xml:space="preserve">2026-07-10 11:46:16</t>
  </si>
  <si>
    <t xml:space="preserve">2026-07-10 17:19:33</t>
  </si>
  <si>
    <t xml:space="preserve">BOUCHOCA</t>
  </si>
  <si>
    <t xml:space="preserve">8858072_IPSKHTD</t>
  </si>
  <si>
    <t xml:space="preserve">KHOUILRA</t>
  </si>
  <si>
    <t xml:space="preserve">2026-07-10 11:56:43</t>
  </si>
  <si>
    <t xml:space="preserve">2026-07-10 17:00:04</t>
  </si>
  <si>
    <t xml:space="preserve">2026-07-10 17:59:28</t>
  </si>
  <si>
    <t xml:space="preserve">2026-07-10 20:12:57</t>
  </si>
  <si>
    <t xml:space="preserve">2026-07-10 20:19:30</t>
  </si>
  <si>
    <t xml:space="preserve">2026-07-10 21:00:29</t>
  </si>
  <si>
    <t xml:space="preserve">8858189_IPSKLIM</t>
  </si>
  <si>
    <t xml:space="preserve">KLITIIM</t>
  </si>
  <si>
    <t xml:space="preserve">2026-07-10 14:59:49</t>
  </si>
  <si>
    <t xml:space="preserve">2026-07-10 18:04:29</t>
  </si>
  <si>
    <t xml:space="preserve">8858654_IPSOUNS</t>
  </si>
  <si>
    <t xml:space="preserve">KNADILNA</t>
  </si>
  <si>
    <t xml:space="preserve">2026-07-10 09:57:46</t>
  </si>
  <si>
    <t xml:space="preserve">2026-07-10 15:56:42</t>
  </si>
  <si>
    <t xml:space="preserve">2026-07-10 19:00:43</t>
  </si>
  <si>
    <t xml:space="preserve">8859334_IPSKNDO</t>
  </si>
  <si>
    <t xml:space="preserve">KNOUNIDO</t>
  </si>
  <si>
    <t xml:space="preserve">2026-07-10 07:56:04</t>
  </si>
  <si>
    <t xml:space="preserve">2026-07-10 13:54:15</t>
  </si>
  <si>
    <t xml:space="preserve">8858912_IPSKOYO</t>
  </si>
  <si>
    <t xml:space="preserve">KORBIYO</t>
  </si>
  <si>
    <t xml:space="preserve">2026-07-10 08:55:52</t>
  </si>
  <si>
    <t xml:space="preserve">2026-07-10 16:00:57</t>
  </si>
  <si>
    <t xml:space="preserve">2026-07-10 08:55:53</t>
  </si>
  <si>
    <t xml:space="preserve">2026-07-10 16:01:29</t>
  </si>
  <si>
    <t xml:space="preserve">2026-07-10 16:58:16</t>
  </si>
  <si>
    <t xml:space="preserve">2026-07-10 16:58:17</t>
  </si>
  <si>
    <t xml:space="preserve">8858469_IPSKORA</t>
  </si>
  <si>
    <t xml:space="preserve">KOUAISRA</t>
  </si>
  <si>
    <t xml:space="preserve">2026-07-10 08:31:24</t>
  </si>
  <si>
    <t xml:space="preserve">2026-07-10 14:15:36</t>
  </si>
  <si>
    <t xml:space="preserve">2026-07-10 17:36:18</t>
  </si>
  <si>
    <t xml:space="preserve">8859106_IPSKAAA</t>
  </si>
  <si>
    <t xml:space="preserve">KOUBAAAL</t>
  </si>
  <si>
    <t xml:space="preserve">2026-07-10 08:57:49</t>
  </si>
  <si>
    <t xml:space="preserve">2026-07-10 15:59:42</t>
  </si>
  <si>
    <t xml:space="preserve">2026-07-10 18:13:55</t>
  </si>
  <si>
    <t xml:space="preserve">2026-07-10 18:28:54</t>
  </si>
  <si>
    <t xml:space="preserve">2026-07-10 19:02:18</t>
  </si>
  <si>
    <t xml:space="preserve">8859147_IPSKRSA</t>
  </si>
  <si>
    <t xml:space="preserve">KRAIEMSA</t>
  </si>
  <si>
    <t xml:space="preserve">2026-07-10 07:50:19</t>
  </si>
  <si>
    <t xml:space="preserve">2026-07-10 13:41:16</t>
  </si>
  <si>
    <t xml:space="preserve">2026-07-10 07:50:26</t>
  </si>
  <si>
    <t xml:space="preserve">2026-07-10 14:41:20</t>
  </si>
  <si>
    <t xml:space="preserve">8858655_IPSLAHO</t>
  </si>
  <si>
    <t xml:space="preserve">LAADELHO</t>
  </si>
  <si>
    <t xml:space="preserve">2026-07-10 08:57:53</t>
  </si>
  <si>
    <t xml:space="preserve">2026-07-10 16:03:38</t>
  </si>
  <si>
    <t xml:space="preserve">2026-07-10 17:01:14</t>
  </si>
  <si>
    <t xml:space="preserve">2026-07-10 19:04:15</t>
  </si>
  <si>
    <t xml:space="preserve">8858680_IPSLAOT</t>
  </si>
  <si>
    <t xml:space="preserve">LAAFIFOT</t>
  </si>
  <si>
    <t xml:space="preserve">2026-07-10 15:58:31</t>
  </si>
  <si>
    <t xml:space="preserve">2026-07-10 18:41:56</t>
  </si>
  <si>
    <t xml:space="preserve">2026-07-10 15:58:32</t>
  </si>
  <si>
    <t xml:space="preserve">2026-07-10 18:41:37</t>
  </si>
  <si>
    <t xml:space="preserve">2026-07-10 18:44:53</t>
  </si>
  <si>
    <t xml:space="preserve">2026-07-10 18:49:26</t>
  </si>
  <si>
    <t xml:space="preserve">2026-07-10 18:49:28</t>
  </si>
  <si>
    <t xml:space="preserve">2026-07-10 18:49:29</t>
  </si>
  <si>
    <t xml:space="preserve">8859712_IPSLISL</t>
  </si>
  <si>
    <t xml:space="preserve">LAALAOSL</t>
  </si>
  <si>
    <t xml:space="preserve">2026-07-10 08:38:27</t>
  </si>
  <si>
    <t xml:space="preserve">2026-07-10 13:59:28</t>
  </si>
  <si>
    <t xml:space="preserve">2026-07-10 15:00:17</t>
  </si>
  <si>
    <t xml:space="preserve">2026-07-10 15:05:36</t>
  </si>
  <si>
    <t xml:space="preserve">2026-07-10 15:18:02</t>
  </si>
  <si>
    <t xml:space="preserve">8859350_IPSLNND</t>
  </si>
  <si>
    <t xml:space="preserve">LAANEBNA</t>
  </si>
  <si>
    <t xml:space="preserve">2026-07-10 09:03:58</t>
  </si>
  <si>
    <t xml:space="preserve">2026-07-10 13:07:10</t>
  </si>
  <si>
    <t xml:space="preserve">2026-07-10 15:49:30</t>
  </si>
  <si>
    <t xml:space="preserve">2026-07-10 16:58:58</t>
  </si>
  <si>
    <t xml:space="preserve">2026-07-10 18:03:34</t>
  </si>
  <si>
    <t xml:space="preserve">8858878_IPSLIAA</t>
  </si>
  <si>
    <t xml:space="preserve">LABIDIAW</t>
  </si>
  <si>
    <t xml:space="preserve">2026-07-10 08:53:50</t>
  </si>
  <si>
    <t xml:space="preserve">2026-07-10 12:15:08</t>
  </si>
  <si>
    <t xml:space="preserve">2026-07-10 13:15:48</t>
  </si>
  <si>
    <t xml:space="preserve">8858360_IPSLBHM</t>
  </si>
  <si>
    <t xml:space="preserve">LABIDIHM</t>
  </si>
  <si>
    <t xml:space="preserve">2026-07-10 08:30:18</t>
  </si>
  <si>
    <t xml:space="preserve">2026-07-10 12:30:23</t>
  </si>
  <si>
    <t xml:space="preserve">2026-07-10 13:25:58</t>
  </si>
  <si>
    <t xml:space="preserve">2026-07-10 17:25:09</t>
  </si>
  <si>
    <t xml:space="preserve">8858861_IPSLAML</t>
  </si>
  <si>
    <t xml:space="preserve">LABIDIMA</t>
  </si>
  <si>
    <t xml:space="preserve">2026-07-10 08:04:45</t>
  </si>
  <si>
    <t xml:space="preserve">2026-07-10 13:04:44</t>
  </si>
  <si>
    <t xml:space="preserve">2026-07-10 08:04:54</t>
  </si>
  <si>
    <t xml:space="preserve">2026-07-10 14:02:34</t>
  </si>
  <si>
    <t xml:space="preserve">2026-07-10 17:00:49</t>
  </si>
  <si>
    <t xml:space="preserve">2026-07-10 14:02:35</t>
  </si>
  <si>
    <t xml:space="preserve">8858725_IPSLASL</t>
  </si>
  <si>
    <t xml:space="preserve">LABIEDSA</t>
  </si>
  <si>
    <t xml:space="preserve">2026-07-10 07:58:40</t>
  </si>
  <si>
    <t xml:space="preserve">2026-07-10 10:55:32</t>
  </si>
  <si>
    <t xml:space="preserve">2026-07-10 10:57:16</t>
  </si>
  <si>
    <t xml:space="preserve">2026-07-10 10:58:16</t>
  </si>
  <si>
    <t xml:space="preserve">2026-07-10 11:05:46</t>
  </si>
  <si>
    <t xml:space="preserve">2026-07-10 11:06:47</t>
  </si>
  <si>
    <t xml:space="preserve">2026-07-10 12:07:12</t>
  </si>
  <si>
    <t xml:space="preserve">2026-07-10 11:06:48</t>
  </si>
  <si>
    <t xml:space="preserve">2026-07-10 12:09:43</t>
  </si>
  <si>
    <t xml:space="preserve">2026-07-10 12:09:49</t>
  </si>
  <si>
    <t xml:space="preserve">2026-07-10 13:00:25</t>
  </si>
  <si>
    <t xml:space="preserve">2026-07-10 17:00:07</t>
  </si>
  <si>
    <t xml:space="preserve">8858695_IPSLFND</t>
  </si>
  <si>
    <t xml:space="preserve">2026-07-10 07:57:53</t>
  </si>
  <si>
    <t xml:space="preserve">2026-07-10 13:02:05</t>
  </si>
  <si>
    <t xml:space="preserve">2026-07-10 14:00:14</t>
  </si>
  <si>
    <t xml:space="preserve">2026-07-10 09:03:04</t>
  </si>
  <si>
    <t xml:space="preserve">2026-07-10 14:01:32</t>
  </si>
  <si>
    <t xml:space="preserve">2026-07-10 14:53:59</t>
  </si>
  <si>
    <t xml:space="preserve">2026-07-10 14:54:02</t>
  </si>
  <si>
    <t xml:space="preserve">2026-07-10 14:54:58</t>
  </si>
  <si>
    <t xml:space="preserve">2026-07-10 14:54:59</t>
  </si>
  <si>
    <t xml:space="preserve">8859700_IPSLANE</t>
  </si>
  <si>
    <t xml:space="preserve">LAHBIBNE</t>
  </si>
  <si>
    <t xml:space="preserve">2026-07-10 09:01:38</t>
  </si>
  <si>
    <t xml:space="preserve">2026-07-10 14:01:09</t>
  </si>
  <si>
    <t xml:space="preserve">2026-07-10 14:51:21</t>
  </si>
  <si>
    <t xml:space="preserve">2026-07-10 14:51:54</t>
  </si>
  <si>
    <t xml:space="preserve">8858751_IPSLATM</t>
  </si>
  <si>
    <t xml:space="preserve">LAHOUITA</t>
  </si>
  <si>
    <t xml:space="preserve">2026-07-10 09:05:19</t>
  </si>
  <si>
    <t xml:space="preserve">2026-07-10 12:59:20</t>
  </si>
  <si>
    <t xml:space="preserve">2026-07-10 14:03:54</t>
  </si>
  <si>
    <t xml:space="preserve">8859433_IPSLJWS</t>
  </si>
  <si>
    <t xml:space="preserve">LAJEMWA</t>
  </si>
  <si>
    <t xml:space="preserve">2026-07-10 07:46:49</t>
  </si>
  <si>
    <t xml:space="preserve">2026-07-10 07:57:23</t>
  </si>
  <si>
    <t xml:space="preserve">2026-07-10 07:57:25</t>
  </si>
  <si>
    <t xml:space="preserve">2026-07-10 10:34:44</t>
  </si>
  <si>
    <t xml:space="preserve">2026-07-10 10:51:59</t>
  </si>
  <si>
    <t xml:space="preserve">2026-07-10 13:12:15</t>
  </si>
  <si>
    <t xml:space="preserve">2026-07-10 14:57:25</t>
  </si>
  <si>
    <t xml:space="preserve">2026-07-10 17:03:57</t>
  </si>
  <si>
    <t xml:space="preserve">8858492_IPSLAZE</t>
  </si>
  <si>
    <t xml:space="preserve">LAKHALME</t>
  </si>
  <si>
    <t xml:space="preserve">2026-07-10 09:02:55</t>
  </si>
  <si>
    <t xml:space="preserve">2026-07-10 14:00:24</t>
  </si>
  <si>
    <t xml:space="preserve">2026-07-10 14:59:53</t>
  </si>
  <si>
    <t xml:space="preserve">8858609_IPSLLMN</t>
  </si>
  <si>
    <t xml:space="preserve">2026-07-10 08:01:30</t>
  </si>
  <si>
    <t xml:space="preserve">2026-07-10 13:11:36</t>
  </si>
  <si>
    <t xml:space="preserve">2026-07-10 14:03:49</t>
  </si>
  <si>
    <t xml:space="preserve">2026-07-10 14:04:13</t>
  </si>
  <si>
    <t xml:space="preserve">2026-07-10 14:04:48</t>
  </si>
  <si>
    <t xml:space="preserve">8859525_IPSLABL</t>
  </si>
  <si>
    <t xml:space="preserve">LAMGANAB</t>
  </si>
  <si>
    <t xml:space="preserve">2026-07-10 12:37:11</t>
  </si>
  <si>
    <t xml:space="preserve">2026-07-10 12:40:44</t>
  </si>
  <si>
    <t xml:space="preserve">8854642_IPSLAHY</t>
  </si>
  <si>
    <t xml:space="preserve">LAMIRIHA</t>
  </si>
  <si>
    <t xml:space="preserve">2026-07-10 18:09:25</t>
  </si>
  <si>
    <t xml:space="preserve">2026-07-11 02:10:08</t>
  </si>
  <si>
    <t xml:space="preserve">8859307_IPSLRNL</t>
  </si>
  <si>
    <t xml:space="preserve">LAMKHINA</t>
  </si>
  <si>
    <t xml:space="preserve">2026-07-10 08:58:47</t>
  </si>
  <si>
    <t xml:space="preserve">2026-07-10 15:15:36</t>
  </si>
  <si>
    <t xml:space="preserve">8859338_IPSLAHJ</t>
  </si>
  <si>
    <t xml:space="preserve">LAMOUCHA</t>
  </si>
  <si>
    <t xml:space="preserve">2026-07-10 07:53:38</t>
  </si>
  <si>
    <t xml:space="preserve">2026-07-10 10:31:11</t>
  </si>
  <si>
    <t xml:space="preserve">2026-07-10 11:03:30</t>
  </si>
  <si>
    <t xml:space="preserve">2026-07-10 13:53:26</t>
  </si>
  <si>
    <t xml:space="preserve">2026-07-10 14:57:18</t>
  </si>
  <si>
    <t xml:space="preserve">2026-07-10 17:01:57</t>
  </si>
  <si>
    <t xml:space="preserve">8858444_IPSMAOA</t>
  </si>
  <si>
    <t xml:space="preserve">LAOUINMA</t>
  </si>
  <si>
    <t xml:space="preserve">2026-07-10 13:00:59</t>
  </si>
  <si>
    <t xml:space="preserve">2026-07-10 13:59:31</t>
  </si>
  <si>
    <t xml:space="preserve">8858042_IPSLRKR</t>
  </si>
  <si>
    <t xml:space="preserve">LAROUSKA</t>
  </si>
  <si>
    <t xml:space="preserve">2026-07-10 08:13:44</t>
  </si>
  <si>
    <t xml:space="preserve">2026-07-10 12:15:09</t>
  </si>
  <si>
    <t xml:space="preserve">2026-07-10 12:18:43</t>
  </si>
  <si>
    <t xml:space="preserve">2026-07-10 13:40:31</t>
  </si>
  <si>
    <t xml:space="preserve">2026-07-10 14:47:14</t>
  </si>
  <si>
    <t xml:space="preserve">2026-07-10 17:55:04</t>
  </si>
  <si>
    <t xml:space="preserve">8858773_IPSLAMR</t>
  </si>
  <si>
    <t xml:space="preserve">LASSOUMA</t>
  </si>
  <si>
    <t xml:space="preserve">2026-07-10 17:27:24</t>
  </si>
  <si>
    <t xml:space="preserve">2026-07-10 17:30:33</t>
  </si>
  <si>
    <t xml:space="preserve">8858010_IPSLIHI</t>
  </si>
  <si>
    <t xml:space="preserve">LIMANEHI</t>
  </si>
  <si>
    <t xml:space="preserve">2026-07-10 07:45:43</t>
  </si>
  <si>
    <t xml:space="preserve">2026-07-10 08:02:53</t>
  </si>
  <si>
    <t xml:space="preserve">2026-07-10 08:02:55</t>
  </si>
  <si>
    <t xml:space="preserve">2026-07-10 12:11:45</t>
  </si>
  <si>
    <t xml:space="preserve">2026-07-10 13:09:46</t>
  </si>
  <si>
    <t xml:space="preserve">2026-07-10 17:00:27</t>
  </si>
  <si>
    <t xml:space="preserve">8858021_IPSLTFA</t>
  </si>
  <si>
    <t xml:space="preserve">LOUATIFR</t>
  </si>
  <si>
    <t xml:space="preserve">2026-07-10 14:33:24</t>
  </si>
  <si>
    <t xml:space="preserve">2026-07-10 15:09:20</t>
  </si>
  <si>
    <t xml:space="preserve">2026-07-10 17:38:12</t>
  </si>
  <si>
    <t xml:space="preserve">8859126_IPSLOAH</t>
  </si>
  <si>
    <t xml:space="preserve">LOUESLAH</t>
  </si>
  <si>
    <t xml:space="preserve">2026-07-10 15:34:02</t>
  </si>
  <si>
    <t xml:space="preserve">2026-07-10 15:34:03</t>
  </si>
  <si>
    <t xml:space="preserve">2026-07-10 20:11:22</t>
  </si>
  <si>
    <t xml:space="preserve">8858346_IPSLOAE</t>
  </si>
  <si>
    <t xml:space="preserve">LOUSSAAM</t>
  </si>
  <si>
    <t xml:space="preserve">2026-07-10 09:56:25</t>
  </si>
  <si>
    <t xml:space="preserve">2026-07-10 15:07:12</t>
  </si>
  <si>
    <t xml:space="preserve">2026-07-10 16:05:01</t>
  </si>
  <si>
    <t xml:space="preserve">2026-07-10 18:26:14</t>
  </si>
  <si>
    <t xml:space="preserve">2026-07-10 18:26:20</t>
  </si>
  <si>
    <t xml:space="preserve">8858726_IPSMAAB</t>
  </si>
  <si>
    <t xml:space="preserve">MAACHAAM</t>
  </si>
  <si>
    <t xml:space="preserve">2026-07-10 09:00:08</t>
  </si>
  <si>
    <t xml:space="preserve">2026-07-10 14:45:15</t>
  </si>
  <si>
    <t xml:space="preserve">2026-07-10 15:50:09</t>
  </si>
  <si>
    <t xml:space="preserve">2026-07-10 18:07:04</t>
  </si>
  <si>
    <t xml:space="preserve">8858033_IPSMLNR</t>
  </si>
  <si>
    <t xml:space="preserve">MAALAONO</t>
  </si>
  <si>
    <t xml:space="preserve">2026-07-10 08:43:17</t>
  </si>
  <si>
    <t xml:space="preserve">2026-07-10 11:30:25</t>
  </si>
  <si>
    <t xml:space="preserve">2026-07-10 11:30:57</t>
  </si>
  <si>
    <t xml:space="preserve">2026-07-10 13:11:45</t>
  </si>
  <si>
    <t xml:space="preserve">2026-07-10 14:15:15</t>
  </si>
  <si>
    <t xml:space="preserve">2026-07-10 15:41:29</t>
  </si>
  <si>
    <t xml:space="preserve">2026-07-10 15:41:58</t>
  </si>
  <si>
    <t xml:space="preserve">2026-07-10 16:20:24</t>
  </si>
  <si>
    <t xml:space="preserve">2026-07-10 16:21:12</t>
  </si>
  <si>
    <t xml:space="preserve">2026-07-10 18:34:19</t>
  </si>
  <si>
    <t xml:space="preserve">8858470_IPSMASR</t>
  </si>
  <si>
    <t xml:space="preserve">MAALAOSA</t>
  </si>
  <si>
    <t xml:space="preserve">2026-07-10 08:26:39</t>
  </si>
  <si>
    <t xml:space="preserve">2026-07-10 12:00:24</t>
  </si>
  <si>
    <t xml:space="preserve">2026-07-10 12:54:15</t>
  </si>
  <si>
    <t xml:space="preserve">2026-07-10 17:23:00</t>
  </si>
  <si>
    <t xml:space="preserve">8858832_IPSMANU</t>
  </si>
  <si>
    <t xml:space="preserve">MAAMARNO</t>
  </si>
  <si>
    <t xml:space="preserve">2026-07-10 08:02:24</t>
  </si>
  <si>
    <t xml:space="preserve">2026-07-10 12:58:33</t>
  </si>
  <si>
    <t xml:space="preserve">2026-07-10 13:00:00</t>
  </si>
  <si>
    <t xml:space="preserve">2026-07-10 14:02:25</t>
  </si>
  <si>
    <t xml:space="preserve">2026-07-10 14:13:15</t>
  </si>
  <si>
    <t xml:space="preserve">2026-07-10 14:13:27</t>
  </si>
  <si>
    <t xml:space="preserve">2026-07-10 16:50:06</t>
  </si>
  <si>
    <t xml:space="preserve">8859344_IPSMRSA</t>
  </si>
  <si>
    <t xml:space="preserve">MAAREFSA</t>
  </si>
  <si>
    <t xml:space="preserve">2026-07-10 07:58:54</t>
  </si>
  <si>
    <t xml:space="preserve">2026-07-10 12:03:09</t>
  </si>
  <si>
    <t xml:space="preserve">2026-07-10 12:17:46</t>
  </si>
  <si>
    <t xml:space="preserve">2026-07-10 12:20:55</t>
  </si>
  <si>
    <t xml:space="preserve">2026-07-10 16:06:15</t>
  </si>
  <si>
    <t xml:space="preserve">8859347_IPSMAWI</t>
  </si>
  <si>
    <t xml:space="preserve">MABROUWI</t>
  </si>
  <si>
    <t xml:space="preserve">2026-07-10 06:42:56</t>
  </si>
  <si>
    <t xml:space="preserve">2026-07-10 06:43:29</t>
  </si>
  <si>
    <t xml:space="preserve">2026-07-10 07:50:22</t>
  </si>
  <si>
    <t xml:space="preserve">2026-07-10 13:59:16</t>
  </si>
  <si>
    <t xml:space="preserve">2026-07-10 14:53:07</t>
  </si>
  <si>
    <t xml:space="preserve">2026-07-10 17:00:24</t>
  </si>
  <si>
    <t xml:space="preserve">8858669_IPSMHBL</t>
  </si>
  <si>
    <t xml:space="preserve">MAHBOUAB</t>
  </si>
  <si>
    <t xml:space="preserve">2026-07-10 09:03:00</t>
  </si>
  <si>
    <t xml:space="preserve">2026-07-10 10:31:55</t>
  </si>
  <si>
    <t xml:space="preserve">2026-07-10 10:33:38</t>
  </si>
  <si>
    <t xml:space="preserve">2026-07-10 14:11:03</t>
  </si>
  <si>
    <t xml:space="preserve">2026-07-10 15:11:08</t>
  </si>
  <si>
    <t xml:space="preserve">2026-07-10 18:12:29</t>
  </si>
  <si>
    <t xml:space="preserve">8858471_IPSMHWI</t>
  </si>
  <si>
    <t xml:space="preserve">MAHJBIWI</t>
  </si>
  <si>
    <t xml:space="preserve">2026-07-10 08:25:54</t>
  </si>
  <si>
    <t xml:space="preserve">2026-07-10 13:28:00</t>
  </si>
  <si>
    <t xml:space="preserve">2026-07-10 15:18:03</t>
  </si>
  <si>
    <t xml:space="preserve">2026-07-10 15:18:47</t>
  </si>
  <si>
    <t xml:space="preserve">8858600_IPSMAIL</t>
  </si>
  <si>
    <t xml:space="preserve">MAHJOUIS</t>
  </si>
  <si>
    <t xml:space="preserve">2026-07-10 12:01:02</t>
  </si>
  <si>
    <t xml:space="preserve">2026-07-10 16:50:10</t>
  </si>
  <si>
    <t xml:space="preserve">2026-07-10 18:10:11</t>
  </si>
  <si>
    <t xml:space="preserve">2026-07-10 18:10:13</t>
  </si>
  <si>
    <t xml:space="preserve">2026-07-10 18:34:02</t>
  </si>
  <si>
    <t xml:space="preserve">2026-07-10 18:34:05</t>
  </si>
  <si>
    <t xml:space="preserve">2026-07-10 21:00:12</t>
  </si>
  <si>
    <t xml:space="preserve">8858834_IPSMAAC</t>
  </si>
  <si>
    <t xml:space="preserve">MAJOULAC</t>
  </si>
  <si>
    <t xml:space="preserve">2026-07-10 08:50:03</t>
  </si>
  <si>
    <t xml:space="preserve">2026-07-10 13:48:24</t>
  </si>
  <si>
    <t xml:space="preserve">2026-07-10 14:46:23</t>
  </si>
  <si>
    <t xml:space="preserve">2026-07-10 17:59:30</t>
  </si>
  <si>
    <t xml:space="preserve">8858674_IPSMLAI</t>
  </si>
  <si>
    <t xml:space="preserve">MAJOULAL</t>
  </si>
  <si>
    <t xml:space="preserve">2026-07-10 09:38:19</t>
  </si>
  <si>
    <t xml:space="preserve">2026-07-10 15:59:55</t>
  </si>
  <si>
    <t xml:space="preserve">2026-07-10 19:00:47</t>
  </si>
  <si>
    <t xml:space="preserve">2026-07-10 19:00:51</t>
  </si>
  <si>
    <t xml:space="preserve">8858062_IPSMANH</t>
  </si>
  <si>
    <t xml:space="preserve">MAKNINO</t>
  </si>
  <si>
    <t xml:space="preserve">2026-07-10 08:57:52</t>
  </si>
  <si>
    <t xml:space="preserve">2026-07-10 14:00:55</t>
  </si>
  <si>
    <t xml:space="preserve">2026-07-10 15:01:16</t>
  </si>
  <si>
    <t xml:space="preserve">8859349_IPSMAZI</t>
  </si>
  <si>
    <t xml:space="preserve">MALOUCZI</t>
  </si>
  <si>
    <t xml:space="preserve">2026-07-10 08:58:29</t>
  </si>
  <si>
    <t xml:space="preserve">2026-07-10 13:25:02</t>
  </si>
  <si>
    <t xml:space="preserve">2026-07-10 13:26:25</t>
  </si>
  <si>
    <t xml:space="preserve">2026-07-10 13:33:43</t>
  </si>
  <si>
    <t xml:space="preserve">2026-07-10 14:31:55</t>
  </si>
  <si>
    <t xml:space="preserve">2026-07-10 18:20:57</t>
  </si>
  <si>
    <t xml:space="preserve">2026-07-10 18:32:14</t>
  </si>
  <si>
    <t xml:space="preserve">2026-07-10 19:02:57</t>
  </si>
  <si>
    <t xml:space="preserve">8859288_IPSMAMW</t>
  </si>
  <si>
    <t xml:space="preserve">MAMLOUMA</t>
  </si>
  <si>
    <t xml:space="preserve">2026-07-10 09:00:27</t>
  </si>
  <si>
    <t xml:space="preserve">2026-07-10 18:08:28</t>
  </si>
  <si>
    <t xml:space="preserve">8859214_IPSAJTZ</t>
  </si>
  <si>
    <t xml:space="preserve">MANSOUIR</t>
  </si>
  <si>
    <t xml:space="preserve">2026-07-10 09:00:10</t>
  </si>
  <si>
    <t xml:space="preserve">2026-07-10 14:10:41</t>
  </si>
  <si>
    <t xml:space="preserve">8858183_IPSMAFA</t>
  </si>
  <si>
    <t xml:space="preserve">MAOFA</t>
  </si>
  <si>
    <t xml:space="preserve">2026-07-10 08:50:54</t>
  </si>
  <si>
    <t xml:space="preserve">2026-07-10 08:51:00</t>
  </si>
  <si>
    <t xml:space="preserve">2026-07-10 08:50:55</t>
  </si>
  <si>
    <t xml:space="preserve">2026-07-10 08:59:10</t>
  </si>
  <si>
    <t xml:space="preserve">2026-07-10 13:33:32</t>
  </si>
  <si>
    <t xml:space="preserve">2026-07-10 13:35:02</t>
  </si>
  <si>
    <t xml:space="preserve">2026-07-10 14:15:05</t>
  </si>
  <si>
    <t xml:space="preserve">2026-07-10 15:14:07</t>
  </si>
  <si>
    <t xml:space="preserve">2026-07-10 19:00:52</t>
  </si>
  <si>
    <t xml:space="preserve">8859160_IPSMAAM</t>
  </si>
  <si>
    <t xml:space="preserve">MARNICAM</t>
  </si>
  <si>
    <t xml:space="preserve">2026-07-10 07:51:20</t>
  </si>
  <si>
    <t xml:space="preserve">2026-07-10 07:51:24</t>
  </si>
  <si>
    <t xml:space="preserve">2026-07-10 07:59:12</t>
  </si>
  <si>
    <t xml:space="preserve">2026-07-10 12:03:03</t>
  </si>
  <si>
    <t xml:space="preserve">2026-07-10 12:59:53</t>
  </si>
  <si>
    <t xml:space="preserve">2026-07-10 15:07:45</t>
  </si>
  <si>
    <t xml:space="preserve">2026-07-10 15:07:50</t>
  </si>
  <si>
    <t xml:space="preserve">2026-07-10 17:00:06</t>
  </si>
  <si>
    <t xml:space="preserve">2026-07-10 15:08:20</t>
  </si>
  <si>
    <t xml:space="preserve">8858422_IPSMTMB</t>
  </si>
  <si>
    <t xml:space="preserve">MARTINBF</t>
  </si>
  <si>
    <t xml:space="preserve">2026-07-10 08:56:03</t>
  </si>
  <si>
    <t xml:space="preserve">2026-07-10 15:02:01</t>
  </si>
  <si>
    <t xml:space="preserve">2026-07-10 08:56:05</t>
  </si>
  <si>
    <t xml:space="preserve">2026-07-10 15:56:54</t>
  </si>
  <si>
    <t xml:space="preserve">2026-07-10 17:56:20</t>
  </si>
  <si>
    <t xml:space="preserve">2026-07-10 15:56:55</t>
  </si>
  <si>
    <t xml:space="preserve">8858376_IPSMIHI</t>
  </si>
  <si>
    <t xml:space="preserve">MARWENHE</t>
  </si>
  <si>
    <t xml:space="preserve">2026-07-10 13:40:27</t>
  </si>
  <si>
    <t xml:space="preserve">2026-07-10 14:39:51</t>
  </si>
  <si>
    <t xml:space="preserve">2026-07-10 18:03:25</t>
  </si>
  <si>
    <t xml:space="preserve">8859711_IPSMZGH</t>
  </si>
  <si>
    <t xml:space="preserve">2026-07-10 10:11:19</t>
  </si>
  <si>
    <t xml:space="preserve">2026-07-10 18:11:19</t>
  </si>
  <si>
    <t xml:space="preserve">8858745_IPSFJEI</t>
  </si>
  <si>
    <t xml:space="preserve">MASMOURI</t>
  </si>
  <si>
    <t xml:space="preserve">2026-07-10 08:03:46</t>
  </si>
  <si>
    <t xml:space="preserve">2026-07-10 16:03:46</t>
  </si>
  <si>
    <t xml:space="preserve">2026-07-10 14:02:40</t>
  </si>
  <si>
    <t xml:space="preserve">2026-07-10 16:02:04</t>
  </si>
  <si>
    <t xml:space="preserve">2026-07-10 09:00:42</t>
  </si>
  <si>
    <t xml:space="preserve">2026-07-10 13:01:23</t>
  </si>
  <si>
    <t xml:space="preserve">2026-07-10 14:00:31</t>
  </si>
  <si>
    <t xml:space="preserve">8858524_IPSMAHI</t>
  </si>
  <si>
    <t xml:space="preserve">MASSOUHI</t>
  </si>
  <si>
    <t xml:space="preserve">2026-07-10 13:07:51</t>
  </si>
  <si>
    <t xml:space="preserve">2026-07-10 14:02:30</t>
  </si>
  <si>
    <t xml:space="preserve">8858009_IPSMAHO</t>
  </si>
  <si>
    <t xml:space="preserve">MATHLOHO</t>
  </si>
  <si>
    <t xml:space="preserve">2026-07-10 07:57:45</t>
  </si>
  <si>
    <t xml:space="preserve">2026-07-10 13:01:27</t>
  </si>
  <si>
    <t xml:space="preserve">2026-07-10 13:02:12</t>
  </si>
  <si>
    <t xml:space="preserve">2026-07-10 13:43:28</t>
  </si>
  <si>
    <t xml:space="preserve">2026-07-10 16:57:00</t>
  </si>
  <si>
    <t xml:space="preserve">8858608_IPSMADK</t>
  </si>
  <si>
    <t xml:space="preserve">MATOUDI</t>
  </si>
  <si>
    <t xml:space="preserve">2026-07-10 14:21:47</t>
  </si>
  <si>
    <t xml:space="preserve">2026-07-10 15:22:03</t>
  </si>
  <si>
    <t xml:space="preserve">8858617_IPSMBMN</t>
  </si>
  <si>
    <t xml:space="preserve">MBARKIIM</t>
  </si>
  <si>
    <t xml:space="preserve">2026-07-10 08:54:49</t>
  </si>
  <si>
    <t xml:space="preserve">2026-07-10 13:00:55</t>
  </si>
  <si>
    <t xml:space="preserve">2026-07-10 14:00:37</t>
  </si>
  <si>
    <t xml:space="preserve">2026-07-10 15:50:32</t>
  </si>
  <si>
    <t xml:space="preserve">2026-07-10 15:51:40</t>
  </si>
  <si>
    <t xml:space="preserve">2026-07-10 18:01:16</t>
  </si>
  <si>
    <t xml:space="preserve">8858890_IPSMBFZ</t>
  </si>
  <si>
    <t xml:space="preserve">MBAYEFT</t>
  </si>
  <si>
    <t xml:space="preserve">2026-07-10 13:05:39</t>
  </si>
  <si>
    <t xml:space="preserve">2026-07-10 14:05:59</t>
  </si>
  <si>
    <t xml:space="preserve">8858518_IPSMBGU</t>
  </si>
  <si>
    <t xml:space="preserve">MBENEGU</t>
  </si>
  <si>
    <t xml:space="preserve">2026-07-10 08:46:35</t>
  </si>
  <si>
    <t xml:space="preserve">2026-07-10 08:49:46</t>
  </si>
  <si>
    <t xml:space="preserve">2026-07-10 14:03:13</t>
  </si>
  <si>
    <t xml:space="preserve">2026-07-10 19:00:26</t>
  </si>
  <si>
    <t xml:space="preserve">8858727_IPSMEME</t>
  </si>
  <si>
    <t xml:space="preserve">MECHERME</t>
  </si>
  <si>
    <t xml:space="preserve">2026-07-10 09:43:40</t>
  </si>
  <si>
    <t xml:space="preserve">2026-07-10 14:27:23</t>
  </si>
  <si>
    <t xml:space="preserve">2026-07-10 18:16:52</t>
  </si>
  <si>
    <t xml:space="preserve">8859357_IPSMEAA</t>
  </si>
  <si>
    <t xml:space="preserve">MEJRIAY</t>
  </si>
  <si>
    <t xml:space="preserve">2026-07-10 08:16:39</t>
  </si>
  <si>
    <t xml:space="preserve">2026-07-10 12:32:02</t>
  </si>
  <si>
    <t xml:space="preserve">2026-07-10 17:00:31</t>
  </si>
  <si>
    <t xml:space="preserve">8858836_IPSMEIH</t>
  </si>
  <si>
    <t xml:space="preserve">MEJRIIC</t>
  </si>
  <si>
    <t xml:space="preserve">2026-07-10 08:03:07</t>
  </si>
  <si>
    <t xml:space="preserve">2026-07-10 08:04:07</t>
  </si>
  <si>
    <t xml:space="preserve">2026-07-10 08:29:31</t>
  </si>
  <si>
    <t xml:space="preserve">2026-07-10 08:29:51</t>
  </si>
  <si>
    <t xml:space="preserve">2026-07-10 11:34:52</t>
  </si>
  <si>
    <t xml:space="preserve">2026-07-10 11:34:55</t>
  </si>
  <si>
    <t xml:space="preserve">2026-07-10 12:27:09</t>
  </si>
  <si>
    <t xml:space="preserve">2026-07-10 12:27:48</t>
  </si>
  <si>
    <t xml:space="preserve">2026-07-10 14:00:54</t>
  </si>
  <si>
    <t xml:space="preserve">2026-07-10 14:59:25</t>
  </si>
  <si>
    <t xml:space="preserve">8858837_IPSMEKA</t>
  </si>
  <si>
    <t xml:space="preserve">MEJRIKA</t>
  </si>
  <si>
    <t xml:space="preserve">2026-07-10 07:26:50</t>
  </si>
  <si>
    <t xml:space="preserve">2026-07-10 15:26:50</t>
  </si>
  <si>
    <t xml:space="preserve">2026-07-10 16:00:56</t>
  </si>
  <si>
    <t xml:space="preserve">2026-07-10 16:02:01</t>
  </si>
  <si>
    <t xml:space="preserve">8859154_IPSMYJA</t>
  </si>
  <si>
    <t xml:space="preserve">MEJRIKI</t>
  </si>
  <si>
    <t xml:space="preserve">2026-07-10 07:57:32</t>
  </si>
  <si>
    <t xml:space="preserve">2026-07-10 08:21:54</t>
  </si>
  <si>
    <t xml:space="preserve">2026-07-10 08:21:55</t>
  </si>
  <si>
    <t xml:space="preserve">2026-07-10 08:32:28</t>
  </si>
  <si>
    <t xml:space="preserve">2026-07-10 12:05:08</t>
  </si>
  <si>
    <t xml:space="preserve">2026-07-10 17:04:20</t>
  </si>
  <si>
    <t xml:space="preserve">8859358_IPSMJNA</t>
  </si>
  <si>
    <t xml:space="preserve">MEJRINJ</t>
  </si>
  <si>
    <t xml:space="preserve">2026-07-10 07:36:00</t>
  </si>
  <si>
    <t xml:space="preserve">2026-07-10 07:36:04</t>
  </si>
  <si>
    <t xml:space="preserve">2026-07-10 07:53:51</t>
  </si>
  <si>
    <t xml:space="preserve">2026-07-10 09:36:36</t>
  </si>
  <si>
    <t xml:space="preserve">2026-07-10 09:37:07</t>
  </si>
  <si>
    <t xml:space="preserve">2026-07-10 09:46:59</t>
  </si>
  <si>
    <t xml:space="preserve">2026-07-10 09:47:23</t>
  </si>
  <si>
    <t xml:space="preserve">2026-07-10 09:49:44</t>
  </si>
  <si>
    <t xml:space="preserve">2026-07-10 09:50:00</t>
  </si>
  <si>
    <t xml:space="preserve">2026-07-10 14:11:57</t>
  </si>
  <si>
    <t xml:space="preserve">2026-07-10 18:01:27</t>
  </si>
  <si>
    <t xml:space="preserve">2026-07-10 21:16:33</t>
  </si>
  <si>
    <t xml:space="preserve">2026-07-10 21:16:37</t>
  </si>
  <si>
    <t xml:space="preserve">8859570_IPSMEOA</t>
  </si>
  <si>
    <t xml:space="preserve">MEJRIOU</t>
  </si>
  <si>
    <t xml:space="preserve">2026-07-10 14:01:28</t>
  </si>
  <si>
    <t xml:space="preserve">2026-07-10 14:39:38</t>
  </si>
  <si>
    <t xml:space="preserve">2026-07-10 14:40:39</t>
  </si>
  <si>
    <t xml:space="preserve">8858022_IPSMJKH</t>
  </si>
  <si>
    <t xml:space="preserve">MEJRISKO</t>
  </si>
  <si>
    <t xml:space="preserve">2026-07-10 08:56:26</t>
  </si>
  <si>
    <t xml:space="preserve">2026-07-10 12:00:53</t>
  </si>
  <si>
    <t xml:space="preserve">8858442_IPSMKHN</t>
  </si>
  <si>
    <t xml:space="preserve">MEKNIHN</t>
  </si>
  <si>
    <t xml:space="preserve">2026-07-10 13:59:53</t>
  </si>
  <si>
    <t xml:space="preserve">8858778_IPSMEIM</t>
  </si>
  <si>
    <t xml:space="preserve">MEKNIIM</t>
  </si>
  <si>
    <t xml:space="preserve">2026-07-10 11:28:09</t>
  </si>
  <si>
    <t xml:space="preserve">FERHIAH</t>
  </si>
  <si>
    <t xml:space="preserve">2026-07-10 11:35:04</t>
  </si>
  <si>
    <t xml:space="preserve">2026-07-10 18:04:33</t>
  </si>
  <si>
    <t xml:space="preserve">2026-07-10 18:04:42</t>
  </si>
  <si>
    <t xml:space="preserve">2026-07-10 20:00:39</t>
  </si>
  <si>
    <t xml:space="preserve">8858744_IPSMEOW</t>
  </si>
  <si>
    <t xml:space="preserve">MEKNIOU</t>
  </si>
  <si>
    <t xml:space="preserve">2026-07-10 09:01:50</t>
  </si>
  <si>
    <t xml:space="preserve">2026-07-10 09:38:40</t>
  </si>
  <si>
    <t xml:space="preserve">2026-07-10 09:42:57</t>
  </si>
  <si>
    <t xml:space="preserve">2026-07-10 11:36:09</t>
  </si>
  <si>
    <t xml:space="preserve">2026-07-10 11:36:13</t>
  </si>
  <si>
    <t xml:space="preserve">2026-07-10 11:42:45</t>
  </si>
  <si>
    <t xml:space="preserve">2026-07-10 11:43:51</t>
  </si>
  <si>
    <t xml:space="preserve">2026-07-10 12:00:57</t>
  </si>
  <si>
    <t xml:space="preserve">2026-07-10 12:03:14</t>
  </si>
  <si>
    <t xml:space="preserve">2026-07-10 13:36:28</t>
  </si>
  <si>
    <t xml:space="preserve">2026-07-10 13:38:43</t>
  </si>
  <si>
    <t xml:space="preserve">2026-07-10 14:59:06</t>
  </si>
  <si>
    <t xml:space="preserve">8858880_IPSMEYO</t>
  </si>
  <si>
    <t xml:space="preserve">2026-07-10 11:59:42</t>
  </si>
  <si>
    <t xml:space="preserve">2026-07-10 13:14:23</t>
  </si>
  <si>
    <t xml:space="preserve">2026-07-10 14:23:14</t>
  </si>
  <si>
    <t xml:space="preserve">2026-07-10 14:25:19</t>
  </si>
  <si>
    <t xml:space="preserve">2026-07-10 16:04:52</t>
  </si>
  <si>
    <t xml:space="preserve">2026-07-10 17:05:16</t>
  </si>
  <si>
    <t xml:space="preserve">8858506_IPSMLAM</t>
  </si>
  <si>
    <t xml:space="preserve">MELLALAD</t>
  </si>
  <si>
    <t xml:space="preserve">2026-07-10 13:13:21</t>
  </si>
  <si>
    <t xml:space="preserve">2026-07-10 13:14:49</t>
  </si>
  <si>
    <t xml:space="preserve">2026-07-10 14:54:45</t>
  </si>
  <si>
    <t xml:space="preserve">8859116_IPSMGFA</t>
  </si>
  <si>
    <t xml:space="preserve">MERDESFA</t>
  </si>
  <si>
    <t xml:space="preserve">2026-07-10 08:47:54</t>
  </si>
  <si>
    <t xml:space="preserve">2026-07-10 16:47:54</t>
  </si>
  <si>
    <t xml:space="preserve">8858615_IPSMESF</t>
  </si>
  <si>
    <t xml:space="preserve">MERJISI</t>
  </si>
  <si>
    <t xml:space="preserve">2026-07-10 13:25:26</t>
  </si>
  <si>
    <t xml:space="preserve">2026-07-10 13:26:31</t>
  </si>
  <si>
    <t xml:space="preserve">2026-07-10 14:09:56</t>
  </si>
  <si>
    <t xml:space="preserve">2026-07-10 15:08:47</t>
  </si>
  <si>
    <t xml:space="preserve">2026-07-10 19:01:00</t>
  </si>
  <si>
    <t xml:space="preserve">8858838_IPSMEMO</t>
  </si>
  <si>
    <t xml:space="preserve">MERSANMO</t>
  </si>
  <si>
    <t xml:space="preserve">2026-07-10 08:52:02</t>
  </si>
  <si>
    <t xml:space="preserve">2026-07-10 08:52:03</t>
  </si>
  <si>
    <t xml:space="preserve">2026-07-10 13:53:35</t>
  </si>
  <si>
    <t xml:space="preserve">2026-07-10 17:50:25</t>
  </si>
  <si>
    <t xml:space="preserve">8858107_IPSMGNH</t>
  </si>
  <si>
    <t xml:space="preserve">MERZOUNS</t>
  </si>
  <si>
    <t xml:space="preserve">2026-07-10 08:01:45</t>
  </si>
  <si>
    <t xml:space="preserve">2026-07-10 13:02:16</t>
  </si>
  <si>
    <t xml:space="preserve">2026-07-10 14:03:02</t>
  </si>
  <si>
    <t xml:space="preserve">2026-07-10 17:01:10</t>
  </si>
  <si>
    <t xml:space="preserve">8858380_IPSMENL</t>
  </si>
  <si>
    <t xml:space="preserve">MESKOUNA</t>
  </si>
  <si>
    <t xml:space="preserve">2026-07-10 08:00:07</t>
  </si>
  <si>
    <t xml:space="preserve">2026-07-10 12:12:08</t>
  </si>
  <si>
    <t xml:space="preserve">2026-07-10 12:34:54</t>
  </si>
  <si>
    <t xml:space="preserve">2026-07-10 13:01:05</t>
  </si>
  <si>
    <t xml:space="preserve">2026-07-10 14:00:45</t>
  </si>
  <si>
    <t xml:space="preserve">2026-07-10 17:00:21</t>
  </si>
  <si>
    <t xml:space="preserve">8859361_IPSMIHA</t>
  </si>
  <si>
    <t xml:space="preserve">MILADIHA</t>
  </si>
  <si>
    <t xml:space="preserve">2026-07-10 07:47:10</t>
  </si>
  <si>
    <t xml:space="preserve">2026-07-10 13:21:56</t>
  </si>
  <si>
    <t xml:space="preserve">2026-07-10 14:19:18</t>
  </si>
  <si>
    <t xml:space="preserve">2026-07-10 17:03:37</t>
  </si>
  <si>
    <t xml:space="preserve">8859129_IPSMIRM</t>
  </si>
  <si>
    <t xml:space="preserve">MILEDIRA</t>
  </si>
  <si>
    <t xml:space="preserve">2026-07-10 07:56:47</t>
  </si>
  <si>
    <t xml:space="preserve">2026-07-10 14:28:27</t>
  </si>
  <si>
    <t xml:space="preserve">2026-07-10 07:56:48</t>
  </si>
  <si>
    <t xml:space="preserve">2026-07-10 15:23:43</t>
  </si>
  <si>
    <t xml:space="preserve">8858896_IPSMIMR</t>
  </si>
  <si>
    <t xml:space="preserve">MILEDMO</t>
  </si>
  <si>
    <t xml:space="preserve">2026-07-10 08:58:30</t>
  </si>
  <si>
    <t xml:space="preserve">2026-07-10 13:59:19</t>
  </si>
  <si>
    <t xml:space="preserve">8858657_IPSMISR</t>
  </si>
  <si>
    <t xml:space="preserve">MISSAOSA</t>
  </si>
  <si>
    <t xml:space="preserve">2026-07-10 12:59:02</t>
  </si>
  <si>
    <t xml:space="preserve">2026-07-10 16:33:24</t>
  </si>
  <si>
    <t xml:space="preserve">2026-07-10 16:33:46</t>
  </si>
  <si>
    <t xml:space="preserve">2026-07-10 16:40:29</t>
  </si>
  <si>
    <t xml:space="preserve">2026-07-10 17:06:00</t>
  </si>
  <si>
    <t xml:space="preserve">2026-07-10 16:40:30</t>
  </si>
  <si>
    <t xml:space="preserve">8858891_IPSMNDO</t>
  </si>
  <si>
    <t xml:space="preserve">MNASSRDO</t>
  </si>
  <si>
    <t xml:space="preserve">2026-07-10 10:57:51</t>
  </si>
  <si>
    <t xml:space="preserve">2026-07-10 14:13:20</t>
  </si>
  <si>
    <t xml:space="preserve">2026-07-10 10:57:52</t>
  </si>
  <si>
    <t xml:space="preserve">2026-07-10 14:13:18</t>
  </si>
  <si>
    <t xml:space="preserve">2026-07-10 14:13:39</t>
  </si>
  <si>
    <t xml:space="preserve">2026-07-10 15:01:55</t>
  </si>
  <si>
    <t xml:space="preserve">2026-07-10 16:03:14</t>
  </si>
  <si>
    <t xml:space="preserve">2026-07-10 19:45:03</t>
  </si>
  <si>
    <t xml:space="preserve">2026-07-10 19:45:37</t>
  </si>
  <si>
    <t xml:space="preserve">2026-07-10 20:02:40</t>
  </si>
  <si>
    <t xml:space="preserve">2026-07-10 20:02:41</t>
  </si>
  <si>
    <t xml:space="preserve">8858115_IPSMNSM</t>
  </si>
  <si>
    <t xml:space="preserve">MNERISA</t>
  </si>
  <si>
    <t xml:space="preserve">2026-07-10 07:58:13</t>
  </si>
  <si>
    <t xml:space="preserve">2026-07-10 12:58:44</t>
  </si>
  <si>
    <t xml:space="preserve">2026-07-10 12:58:52</t>
  </si>
  <si>
    <t xml:space="preserve">8858070_IPSMDNR</t>
  </si>
  <si>
    <t xml:space="preserve">MOHAMENU</t>
  </si>
  <si>
    <t xml:space="preserve">2026-07-10 14:15:48</t>
  </si>
  <si>
    <t xml:space="preserve">2026-07-10 20:00:43</t>
  </si>
  <si>
    <t xml:space="preserve">8858192_IPSMOHY</t>
  </si>
  <si>
    <t xml:space="preserve">MOKRANHA</t>
  </si>
  <si>
    <t xml:space="preserve">2026-07-10 09:07:25</t>
  </si>
  <si>
    <t xml:space="preserve">2026-07-10 12:08:37</t>
  </si>
  <si>
    <t xml:space="preserve">2026-07-10 12:10:59</t>
  </si>
  <si>
    <t xml:space="preserve">2026-07-10 14:01:47</t>
  </si>
  <si>
    <t xml:space="preserve">2026-07-10 18:16:39</t>
  </si>
  <si>
    <t xml:space="preserve">8858759_IPSMOAF</t>
  </si>
  <si>
    <t xml:space="preserve">MOSBEHAF</t>
  </si>
  <si>
    <t xml:space="preserve">2026-07-10 10:45:30</t>
  </si>
  <si>
    <t xml:space="preserve">2026-07-10 15:00:23</t>
  </si>
  <si>
    <t xml:space="preserve">2026-07-10 15:59:03</t>
  </si>
  <si>
    <t xml:space="preserve">2026-07-10 20:00:08</t>
  </si>
  <si>
    <t xml:space="preserve">8858124_IPSMOFX</t>
  </si>
  <si>
    <t xml:space="preserve">MOUELHFA</t>
  </si>
  <si>
    <t xml:space="preserve">2026-07-10 09:00:16</t>
  </si>
  <si>
    <t xml:space="preserve">2026-07-10 17:13:01</t>
  </si>
  <si>
    <t xml:space="preserve">2026-07-10 17:13:04</t>
  </si>
  <si>
    <t xml:space="preserve">8858700_IPSMIIS</t>
  </si>
  <si>
    <t xml:space="preserve">MOUELHIN</t>
  </si>
  <si>
    <t xml:space="preserve">2026-07-10 13:02:58</t>
  </si>
  <si>
    <t xml:space="preserve">2026-07-10 14:04:02</t>
  </si>
  <si>
    <t xml:space="preserve">2026-07-10 18:09:32</t>
  </si>
  <si>
    <t xml:space="preserve">8858730_IPSMOAN</t>
  </si>
  <si>
    <t xml:space="preserve">MOUJRIAN</t>
  </si>
  <si>
    <t xml:space="preserve">2026-07-10 09:59:39</t>
  </si>
  <si>
    <t xml:space="preserve">2026-07-10 17:59:39</t>
  </si>
  <si>
    <t xml:space="preserve">8859364_IPSMOHA</t>
  </si>
  <si>
    <t xml:space="preserve">MOURALHA</t>
  </si>
  <si>
    <t xml:space="preserve">2026-07-10 07:23:42</t>
  </si>
  <si>
    <t xml:space="preserve">2026-07-10 07:23:53</t>
  </si>
  <si>
    <t xml:space="preserve">2026-07-10 07:58:42</t>
  </si>
  <si>
    <t xml:space="preserve">2026-07-10 08:47:23</t>
  </si>
  <si>
    <t xml:space="preserve">2026-07-10 08:47:32</t>
  </si>
  <si>
    <t xml:space="preserve">2026-07-10 08:48:39</t>
  </si>
  <si>
    <t xml:space="preserve">2026-07-10 08:48:48</t>
  </si>
  <si>
    <t xml:space="preserve">2026-07-10 08:49:57</t>
  </si>
  <si>
    <t xml:space="preserve">2026-07-10 08:50:24</t>
  </si>
  <si>
    <t xml:space="preserve">2026-07-10 13:03:25</t>
  </si>
  <si>
    <t xml:space="preserve">2026-07-10 13:59:12</t>
  </si>
  <si>
    <t xml:space="preserve">2026-07-10 17:18:12</t>
  </si>
  <si>
    <t xml:space="preserve">2026-07-10 17:20:07</t>
  </si>
  <si>
    <t xml:space="preserve">2026-07-10 17:21:46</t>
  </si>
  <si>
    <t xml:space="preserve">2026-07-10 18:21:59</t>
  </si>
  <si>
    <t xml:space="preserve">8859170_IPSMSSD</t>
  </si>
  <si>
    <t xml:space="preserve">MOUSKESI</t>
  </si>
  <si>
    <t xml:space="preserve">2026-07-10 07:46:03</t>
  </si>
  <si>
    <t xml:space="preserve">2026-07-10 07:46:34</t>
  </si>
  <si>
    <t xml:space="preserve">2026-07-10 14:04:41</t>
  </si>
  <si>
    <t xml:space="preserve">8858781_IPSMRLE</t>
  </si>
  <si>
    <t xml:space="preserve">MRADLE</t>
  </si>
  <si>
    <t xml:space="preserve">2026-07-10 09:01:26</t>
  </si>
  <si>
    <t xml:space="preserve">2026-07-10 17:01:26</t>
  </si>
  <si>
    <t xml:space="preserve">8859366_IPSMZAM</t>
  </si>
  <si>
    <t xml:space="preserve">MZOUGHAM</t>
  </si>
  <si>
    <t xml:space="preserve">2026-07-10 07:52:51</t>
  </si>
  <si>
    <t xml:space="preserve">2026-07-10 14:36:26</t>
  </si>
  <si>
    <t xml:space="preserve">2026-07-10 15:33:45</t>
  </si>
  <si>
    <t xml:space="preserve">8858111_IPSAAMR</t>
  </si>
  <si>
    <t xml:space="preserve">NAATME</t>
  </si>
  <si>
    <t xml:space="preserve">2026-07-10 08:58:01</t>
  </si>
  <si>
    <t xml:space="preserve">2026-07-10 10:53:30</t>
  </si>
  <si>
    <t xml:space="preserve">2026-07-10 11:21:13</t>
  </si>
  <si>
    <t xml:space="preserve">2026-07-10 13:30:09</t>
  </si>
  <si>
    <t xml:space="preserve">2026-07-10 14:29:26</t>
  </si>
  <si>
    <t xml:space="preserve">2026-07-10 17:59:05</t>
  </si>
  <si>
    <t xml:space="preserve">2026-07-10 17:59:10</t>
  </si>
  <si>
    <t xml:space="preserve">8858191_IPSNASA</t>
  </si>
  <si>
    <t xml:space="preserve">NAFFETSA</t>
  </si>
  <si>
    <t xml:space="preserve">2026-07-10 08:57:15</t>
  </si>
  <si>
    <t xml:space="preserve">2026-07-10 14:15:37</t>
  </si>
  <si>
    <t xml:space="preserve">2026-07-10 15:12:39</t>
  </si>
  <si>
    <t xml:space="preserve">8858648_IPSNIKA</t>
  </si>
  <si>
    <t xml:space="preserve">NAHALIKH</t>
  </si>
  <si>
    <t xml:space="preserve">2026-07-10 09:00:24</t>
  </si>
  <si>
    <t xml:space="preserve">2026-07-10 13:07:17</t>
  </si>
  <si>
    <t xml:space="preserve">2026-07-10 14:06:06</t>
  </si>
  <si>
    <t xml:space="preserve">8858056_IPSNAMI</t>
  </si>
  <si>
    <t xml:space="preserve">NAHALMR</t>
  </si>
  <si>
    <t xml:space="preserve">2026-07-10 14:44:09</t>
  </si>
  <si>
    <t xml:space="preserve">2026-07-10 18:02:03</t>
  </si>
  <si>
    <t xml:space="preserve">8858449_IPSNAFM</t>
  </si>
  <si>
    <t xml:space="preserve">NASRATFA</t>
  </si>
  <si>
    <t xml:space="preserve">2026-07-10 11:52:41</t>
  </si>
  <si>
    <t xml:space="preserve">2026-07-10 11:52:42</t>
  </si>
  <si>
    <t xml:space="preserve">2026-07-10 14:00:32</t>
  </si>
  <si>
    <t xml:space="preserve">8858731_IPSNAFE</t>
  </si>
  <si>
    <t xml:space="preserve">NASRIFE</t>
  </si>
  <si>
    <t xml:space="preserve">2026-07-10 10:19:45</t>
  </si>
  <si>
    <t xml:space="preserve">2026-07-10 14:49:32</t>
  </si>
  <si>
    <t xml:space="preserve">2026-07-10 16:28:25</t>
  </si>
  <si>
    <t xml:space="preserve">2026-07-10 20:44:36</t>
  </si>
  <si>
    <t xml:space="preserve">8858732_IPSNSNE</t>
  </si>
  <si>
    <t xml:space="preserve">NASRINE</t>
  </si>
  <si>
    <t xml:space="preserve">2026-07-10 10:16:30</t>
  </si>
  <si>
    <t xml:space="preserve">2026-07-10 11:17:50</t>
  </si>
  <si>
    <t xml:space="preserve">2026-07-10 11:17:58</t>
  </si>
  <si>
    <t xml:space="preserve">2026-07-10 16:14:07</t>
  </si>
  <si>
    <t xml:space="preserve">2026-07-10 16:22:54</t>
  </si>
  <si>
    <t xml:space="preserve">2026-07-10 19:14:21</t>
  </si>
  <si>
    <t xml:space="preserve">8858476_IPSNDFJ</t>
  </si>
  <si>
    <t xml:space="preserve">NDAOFT</t>
  </si>
  <si>
    <t xml:space="preserve">2026-07-10 07:57:50</t>
  </si>
  <si>
    <t xml:space="preserve">2026-07-10 13:04:04</t>
  </si>
  <si>
    <t xml:space="preserve">ESSOGRIM</t>
  </si>
  <si>
    <t xml:space="preserve">8858611_IPSNDIR</t>
  </si>
  <si>
    <t xml:space="preserve">NDAWIB</t>
  </si>
  <si>
    <t xml:space="preserve">2026-07-10 08:59:03</t>
  </si>
  <si>
    <t xml:space="preserve">2026-07-10 13:19:26</t>
  </si>
  <si>
    <t xml:space="preserve">2026-07-10 13:19:33</t>
  </si>
  <si>
    <t xml:space="preserve">2026-07-10 13:19:48</t>
  </si>
  <si>
    <t xml:space="preserve">2026-07-10 13:21:01</t>
  </si>
  <si>
    <t xml:space="preserve">2026-07-10 15:31:48</t>
  </si>
  <si>
    <t xml:space="preserve">2026-07-10 16:27:47</t>
  </si>
  <si>
    <t xml:space="preserve">2026-07-10 19:01:25</t>
  </si>
  <si>
    <t xml:space="preserve">8858603_IPSNWMY</t>
  </si>
  <si>
    <t xml:space="preserve">NDAWMD</t>
  </si>
  <si>
    <t xml:space="preserve">2026-07-10 08:57:27</t>
  </si>
  <si>
    <t xml:space="preserve">2026-07-10 09:08:19</t>
  </si>
  <si>
    <t xml:space="preserve">2026-07-10 14:30:38</t>
  </si>
  <si>
    <t xml:space="preserve">2026-07-10 15:29:42</t>
  </si>
  <si>
    <t xml:space="preserve">8858490_IPSTHGF</t>
  </si>
  <si>
    <t xml:space="preserve">NDIAYEAR</t>
  </si>
  <si>
    <t xml:space="preserve">2026-07-10 15:20:22</t>
  </si>
  <si>
    <t xml:space="preserve">2026-07-10 16:19:48</t>
  </si>
  <si>
    <t xml:space="preserve">2026-07-10 17:50:46</t>
  </si>
  <si>
    <t xml:space="preserve">2026-07-10 17:50:49</t>
  </si>
  <si>
    <t xml:space="preserve">2026-07-10 19:01:51</t>
  </si>
  <si>
    <t xml:space="preserve">2026-07-10 19:02:22</t>
  </si>
  <si>
    <t xml:space="preserve">8858694_IPSNDAR</t>
  </si>
  <si>
    <t xml:space="preserve">NDIAYEED</t>
  </si>
  <si>
    <t xml:space="preserve">2026-07-10 10:57:19</t>
  </si>
  <si>
    <t xml:space="preserve">2026-07-10 15:16:24</t>
  </si>
  <si>
    <t xml:space="preserve">8858662_IPSNDSA</t>
  </si>
  <si>
    <t xml:space="preserve">NDIAYESL</t>
  </si>
  <si>
    <t xml:space="preserve">2026-07-10 07:59:32</t>
  </si>
  <si>
    <t xml:space="preserve">2026-07-10 13:14:14</t>
  </si>
  <si>
    <t xml:space="preserve">2026-07-10 13:18:10</t>
  </si>
  <si>
    <t xml:space="preserve">2026-07-10 13:19:05</t>
  </si>
  <si>
    <t xml:space="preserve">2026-07-10 14:03:45</t>
  </si>
  <si>
    <t xml:space="preserve">2026-07-10 15:02:09</t>
  </si>
  <si>
    <t xml:space="preserve">2026-07-10 17:01:58</t>
  </si>
  <si>
    <t xml:space="preserve">8859370_IPSNEMA</t>
  </si>
  <si>
    <t xml:space="preserve">NEFZIMA</t>
  </si>
  <si>
    <t xml:space="preserve">2026-07-10 08:00:56</t>
  </si>
  <si>
    <t xml:space="preserve">2026-07-10 12:23:38</t>
  </si>
  <si>
    <t xml:space="preserve">2026-07-10 12:23:46</t>
  </si>
  <si>
    <t xml:space="preserve">2026-07-10 12:36:38</t>
  </si>
  <si>
    <t xml:space="preserve">2026-07-10 12:48:08</t>
  </si>
  <si>
    <t xml:space="preserve">2026-07-10 13:03:41</t>
  </si>
  <si>
    <t xml:space="preserve">2026-07-10 13:57:48</t>
  </si>
  <si>
    <t xml:space="preserve">2026-07-10 17:04:57</t>
  </si>
  <si>
    <t xml:space="preserve">8859593_IPSNEDH</t>
  </si>
  <si>
    <t xml:space="preserve">NEJIDH</t>
  </si>
  <si>
    <t xml:space="preserve">8858835_IPSNJRN</t>
  </si>
  <si>
    <t xml:space="preserve">NEJIRA</t>
  </si>
  <si>
    <t xml:space="preserve">2026-07-10 09:22:34</t>
  </si>
  <si>
    <t xml:space="preserve">2026-07-10 09:25:48</t>
  </si>
  <si>
    <t xml:space="preserve">2026-07-10 09:29:47</t>
  </si>
  <si>
    <t xml:space="preserve">2026-07-10 14:05:16</t>
  </si>
  <si>
    <t xml:space="preserve">2026-07-10 15:07:40</t>
  </si>
  <si>
    <t xml:space="preserve">2026-07-10 16:41:25</t>
  </si>
  <si>
    <t xml:space="preserve">2026-07-10 16:51:55</t>
  </si>
  <si>
    <t xml:space="preserve">2026-07-10 18:59:23</t>
  </si>
  <si>
    <t xml:space="preserve">2026-07-10 18:59:25</t>
  </si>
  <si>
    <t xml:space="preserve">2026-07-10 19:00:58</t>
  </si>
  <si>
    <t xml:space="preserve">2026-07-10 19:05:03</t>
  </si>
  <si>
    <t xml:space="preserve">2026-07-10 19:47:20</t>
  </si>
  <si>
    <t xml:space="preserve">8859371_IPSNEMR</t>
  </si>
  <si>
    <t xml:space="preserve">NEMRIMA</t>
  </si>
  <si>
    <t xml:space="preserve">2026-07-10 07:01:00</t>
  </si>
  <si>
    <t xml:space="preserve">2026-07-10 07:01:05</t>
  </si>
  <si>
    <t xml:space="preserve">2026-07-10 07:56:34</t>
  </si>
  <si>
    <t xml:space="preserve">2026-07-10 08:48:38</t>
  </si>
  <si>
    <t xml:space="preserve">2026-07-10 08:49:17</t>
  </si>
  <si>
    <t xml:space="preserve">2026-07-10 12:01:29</t>
  </si>
  <si>
    <t xml:space="preserve">2026-07-10 12:01:31</t>
  </si>
  <si>
    <t xml:space="preserve">2026-07-10 12:16:17</t>
  </si>
  <si>
    <t xml:space="preserve">2026-07-10 13:13:32</t>
  </si>
  <si>
    <t xml:space="preserve">2026-07-10 17:06:12</t>
  </si>
  <si>
    <t xml:space="preserve">8858477_IPSNGSI</t>
  </si>
  <si>
    <t xml:space="preserve">NGOMSL</t>
  </si>
  <si>
    <t xml:space="preserve">2026-07-10 08:50:00</t>
  </si>
  <si>
    <t xml:space="preserve">2026-07-10 14:00:41</t>
  </si>
  <si>
    <t xml:space="preserve">2026-07-10 18:00:38</t>
  </si>
  <si>
    <t xml:space="preserve">8858093_IPSNINA</t>
  </si>
  <si>
    <t xml:space="preserve">NIANGNY</t>
  </si>
  <si>
    <t xml:space="preserve">2026-07-10 07:59:08</t>
  </si>
  <si>
    <t xml:space="preserve">2026-07-10 13:06:07</t>
  </si>
  <si>
    <t xml:space="preserve">2026-07-10 14:04:31</t>
  </si>
  <si>
    <t xml:space="preserve">8858402_IPSNOCH</t>
  </si>
  <si>
    <t xml:space="preserve">NOUIBICH</t>
  </si>
  <si>
    <t xml:space="preserve">2026-07-10 13:14:12</t>
  </si>
  <si>
    <t xml:space="preserve">2026-07-10 13:14:16</t>
  </si>
  <si>
    <t xml:space="preserve">2026-07-10 14:59:18</t>
  </si>
  <si>
    <t xml:space="preserve">8858370_IPSNOTK</t>
  </si>
  <si>
    <t xml:space="preserve">NOURITA</t>
  </si>
  <si>
    <t xml:space="preserve">2026-07-10 06:50:38</t>
  </si>
  <si>
    <t xml:space="preserve">2026-07-10 14:31:26</t>
  </si>
  <si>
    <t xml:space="preserve">2026-07-10 14:05:08</t>
  </si>
  <si>
    <t xml:space="preserve">2026-07-10 14:31:37</t>
  </si>
  <si>
    <t xml:space="preserve">2026-07-10 15:09:11</t>
  </si>
  <si>
    <t xml:space="preserve">2026-07-10 15:09:21</t>
  </si>
  <si>
    <t xml:space="preserve">2026-07-10 16:03:23</t>
  </si>
  <si>
    <t xml:space="preserve">2026-07-10 16:04:03</t>
  </si>
  <si>
    <t xml:space="preserve">2026-07-10 16:04:17</t>
  </si>
  <si>
    <t xml:space="preserve">2026-07-10 16:04:19</t>
  </si>
  <si>
    <t xml:space="preserve">8858074_IPSNNLB</t>
  </si>
  <si>
    <t xml:space="preserve">NUNEZLU</t>
  </si>
  <si>
    <t xml:space="preserve">2026-07-10 11:58:55</t>
  </si>
  <si>
    <t xml:space="preserve">2026-07-10 11:59:01</t>
  </si>
  <si>
    <t xml:space="preserve">2026-07-10 12:00:05</t>
  </si>
  <si>
    <t xml:space="preserve">2026-07-10 15:01:31</t>
  </si>
  <si>
    <t xml:space="preserve">2026-07-10 16:01:12</t>
  </si>
  <si>
    <t xml:space="preserve">2026-07-10 20:00:57</t>
  </si>
  <si>
    <t xml:space="preserve">2026-07-10 20:12:00</t>
  </si>
  <si>
    <t xml:space="preserve">8859585_IPSOSHA</t>
  </si>
  <si>
    <t xml:space="preserve">OSMANHA</t>
  </si>
  <si>
    <t xml:space="preserve">2026-07-10 08:57:58</t>
  </si>
  <si>
    <t xml:space="preserve">8858842_IPSOTAH</t>
  </si>
  <si>
    <t xml:space="preserve">OTHMANAH</t>
  </si>
  <si>
    <t xml:space="preserve">2026-07-10 08:54:35</t>
  </si>
  <si>
    <t xml:space="preserve">2026-07-10 13:07:28</t>
  </si>
  <si>
    <t xml:space="preserve">2026-07-10 14:02:47</t>
  </si>
  <si>
    <t xml:space="preserve">8859403_IPSOTFA</t>
  </si>
  <si>
    <t xml:space="preserve">OTHMANFA</t>
  </si>
  <si>
    <t xml:space="preserve">2026-07-10 08:59:36</t>
  </si>
  <si>
    <t xml:space="preserve">2026-07-10 10:30:10</t>
  </si>
  <si>
    <t xml:space="preserve">2026-07-10 10:30:11</t>
  </si>
  <si>
    <t xml:space="preserve">8859373_IPSOTWA</t>
  </si>
  <si>
    <t xml:space="preserve">OTHMANWA</t>
  </si>
  <si>
    <t xml:space="preserve">2026-07-10 08:53:01</t>
  </si>
  <si>
    <t xml:space="preserve">2026-07-10 13:05:24</t>
  </si>
  <si>
    <t xml:space="preserve">2026-07-10 13:53:56</t>
  </si>
  <si>
    <t xml:space="preserve">8859374_IPSOUOA</t>
  </si>
  <si>
    <t xml:space="preserve">OUAKRIOU</t>
  </si>
  <si>
    <t xml:space="preserve">2026-07-10 08:59:16</t>
  </si>
  <si>
    <t xml:space="preserve">2026-07-10 08:59:48</t>
  </si>
  <si>
    <t xml:space="preserve">2026-07-10 19:02:29</t>
  </si>
  <si>
    <t xml:space="preserve">8858843_IPSOUDO</t>
  </si>
  <si>
    <t xml:space="preserve">OUALIDO</t>
  </si>
  <si>
    <t xml:space="preserve">2026-07-10 08:45:20</t>
  </si>
  <si>
    <t xml:space="preserve">2026-07-10 13:52:36</t>
  </si>
  <si>
    <t xml:space="preserve">2026-07-10 17:26:08</t>
  </si>
  <si>
    <t xml:space="preserve">2026-07-10 13:52:37</t>
  </si>
  <si>
    <t xml:space="preserve">2026-07-10 17:28:01</t>
  </si>
  <si>
    <t xml:space="preserve">2026-07-10 17:46:31</t>
  </si>
  <si>
    <t xml:space="preserve">2026-07-10 17:28:03</t>
  </si>
  <si>
    <t xml:space="preserve">8859582_IPSOASL</t>
  </si>
  <si>
    <t xml:space="preserve">OUALIDSA</t>
  </si>
  <si>
    <t xml:space="preserve">2026-07-10 08:00:34</t>
  </si>
  <si>
    <t xml:space="preserve">2026-07-10 12:30:14</t>
  </si>
  <si>
    <t xml:space="preserve">2026-07-10 13:30:56</t>
  </si>
  <si>
    <t xml:space="preserve">2026-07-10 17:00:33</t>
  </si>
  <si>
    <t xml:space="preserve">8859159_IPSCHZK</t>
  </si>
  <si>
    <t xml:space="preserve">OUCHENZA</t>
  </si>
  <si>
    <t xml:space="preserve">2026-07-10 15:02:02</t>
  </si>
  <si>
    <t xml:space="preserve">8858844_IPSOURM</t>
  </si>
  <si>
    <t xml:space="preserve">OUERFERA</t>
  </si>
  <si>
    <t xml:space="preserve">2026-07-10 09:18:09</t>
  </si>
  <si>
    <t xml:space="preserve">2026-07-10 17:18:09</t>
  </si>
  <si>
    <t xml:space="preserve">2026-07-10 09:18:10</t>
  </si>
  <si>
    <t xml:space="preserve">2026-07-10 17:18:35</t>
  </si>
  <si>
    <t xml:space="preserve">8858086_IPSOMAT</t>
  </si>
  <si>
    <t xml:space="preserve">OUERTAMA</t>
  </si>
  <si>
    <t xml:space="preserve">2026-07-10 09:02:35</t>
  </si>
  <si>
    <t xml:space="preserve">2026-07-10 14:01:00</t>
  </si>
  <si>
    <t xml:space="preserve">2026-07-10 15:03:46</t>
  </si>
  <si>
    <t xml:space="preserve">8858483_IPSOUDR</t>
  </si>
  <si>
    <t xml:space="preserve">OUERTAMO</t>
  </si>
  <si>
    <t xml:space="preserve">2026-07-10 11:27:54</t>
  </si>
  <si>
    <t xml:space="preserve">2026-07-10 14:00:06</t>
  </si>
  <si>
    <t xml:space="preserve">2026-07-10 14:55:01</t>
  </si>
  <si>
    <t xml:space="preserve">2026-07-10 18:03:47</t>
  </si>
  <si>
    <t xml:space="preserve">8858510_IPSOUML</t>
  </si>
  <si>
    <t xml:space="preserve">OUESLAMA</t>
  </si>
  <si>
    <t xml:space="preserve">2026-07-10 10:02:57</t>
  </si>
  <si>
    <t xml:space="preserve">2026-07-10 14:02:46</t>
  </si>
  <si>
    <t xml:space="preserve">2026-07-10 14:38:06</t>
  </si>
  <si>
    <t xml:space="preserve">2026-07-10 14:38:39</t>
  </si>
  <si>
    <t xml:space="preserve">8859375_IPSOURA</t>
  </si>
  <si>
    <t xml:space="preserve">OUESLARA</t>
  </si>
  <si>
    <t xml:space="preserve">2026-07-10 08:43:09</t>
  </si>
  <si>
    <t xml:space="preserve">2026-07-10 08:43:35</t>
  </si>
  <si>
    <t xml:space="preserve">2026-07-10 08:55:36</t>
  </si>
  <si>
    <t xml:space="preserve">2026-07-10 13:05:42</t>
  </si>
  <si>
    <t xml:space="preserve">2026-07-10 13:57:46</t>
  </si>
  <si>
    <t xml:space="preserve">8858132_IPSOUBX</t>
  </si>
  <si>
    <t xml:space="preserve">OULIDABA</t>
  </si>
  <si>
    <t xml:space="preserve">2026-07-10 13:34:09</t>
  </si>
  <si>
    <t xml:space="preserve">2026-07-10 13:34:30</t>
  </si>
  <si>
    <t xml:space="preserve">2026-07-10 13:35:13</t>
  </si>
  <si>
    <t xml:space="preserve">2026-07-10 13:59:04</t>
  </si>
  <si>
    <t xml:space="preserve">2026-07-10 13:35:15</t>
  </si>
  <si>
    <t xml:space="preserve">2026-07-10 19:01:12</t>
  </si>
  <si>
    <t xml:space="preserve">8859337_IPSQRMN</t>
  </si>
  <si>
    <t xml:space="preserve">QARBOUAY</t>
  </si>
  <si>
    <t xml:space="preserve">2026-07-10 12:00:56</t>
  </si>
  <si>
    <t xml:space="preserve">2026-07-10 16:01:32</t>
  </si>
  <si>
    <t xml:space="preserve">2026-07-10 19:58:46</t>
  </si>
  <si>
    <t xml:space="preserve">2026-07-10 20:11:53</t>
  </si>
  <si>
    <t xml:space="preserve">2026-07-10 21:00:20</t>
  </si>
  <si>
    <t xml:space="preserve">8858743_IPSRANW</t>
  </si>
  <si>
    <t xml:space="preserve">2026-07-10 07:52:06</t>
  </si>
  <si>
    <t xml:space="preserve">8858417_IPSRASR</t>
  </si>
  <si>
    <t xml:space="preserve">RADGUISA</t>
  </si>
  <si>
    <t xml:space="preserve">2026-07-10 13:56:02</t>
  </si>
  <si>
    <t xml:space="preserve">8859216_IPSRGHB</t>
  </si>
  <si>
    <t xml:space="preserve">RAGHOUHI</t>
  </si>
  <si>
    <t xml:space="preserve">2026-07-10 09:37:10</t>
  </si>
  <si>
    <t xml:space="preserve">2026-07-10 15:04:37</t>
  </si>
  <si>
    <t xml:space="preserve">2026-07-10 19:09:09</t>
  </si>
  <si>
    <t xml:space="preserve">8858091_IPSRAOL</t>
  </si>
  <si>
    <t xml:space="preserve">RAHALIOL</t>
  </si>
  <si>
    <t xml:space="preserve">2026-07-10 11:59:48</t>
  </si>
  <si>
    <t xml:space="preserve">2026-07-10 16:02:50</t>
  </si>
  <si>
    <t xml:space="preserve">2026-07-10 17:01:43</t>
  </si>
  <si>
    <t xml:space="preserve">2026-07-10 21:01:02</t>
  </si>
  <si>
    <t xml:space="preserve">8858629_IPSRNKH</t>
  </si>
  <si>
    <t xml:space="preserve">RANNAKO</t>
  </si>
  <si>
    <t xml:space="preserve">2026-07-10 07:56:14</t>
  </si>
  <si>
    <t xml:space="preserve">2026-07-10 14:09:18</t>
  </si>
  <si>
    <t xml:space="preserve">2026-07-10 17:04:38</t>
  </si>
  <si>
    <t xml:space="preserve">2026-07-10 13:40:14</t>
  </si>
  <si>
    <t xml:space="preserve">2026-07-10 14:43:31</t>
  </si>
  <si>
    <t xml:space="preserve">2026-07-10 16:39:32</t>
  </si>
  <si>
    <t xml:space="preserve">2026-07-10 17:04:25</t>
  </si>
  <si>
    <t xml:space="preserve">2026-07-10 16:39:33</t>
  </si>
  <si>
    <t xml:space="preserve">2026-07-10 17:08:43</t>
  </si>
  <si>
    <t xml:space="preserve">2026-07-10 18:06:32</t>
  </si>
  <si>
    <t xml:space="preserve">2026-07-10 17:08:44</t>
  </si>
  <si>
    <t xml:space="preserve">8859572_IPSRQZI</t>
  </si>
  <si>
    <t xml:space="preserve">RAQAIZI</t>
  </si>
  <si>
    <t xml:space="preserve">2026-07-10 10:52:35</t>
  </si>
  <si>
    <t xml:space="preserve">2026-07-10 15:20:52</t>
  </si>
  <si>
    <t xml:space="preserve">2026-07-10 16:14:30</t>
  </si>
  <si>
    <t xml:space="preserve">8859384_IPSRESA</t>
  </si>
  <si>
    <t xml:space="preserve">REBAISM</t>
  </si>
  <si>
    <t xml:space="preserve">2026-07-10 14:18:48</t>
  </si>
  <si>
    <t xml:space="preserve">2026-07-10 17:01:29</t>
  </si>
  <si>
    <t xml:space="preserve">8859592_IPSREMW</t>
  </si>
  <si>
    <t xml:space="preserve">REGAIMO</t>
  </si>
  <si>
    <t xml:space="preserve">2026-07-10 08:44:38</t>
  </si>
  <si>
    <t xml:space="preserve">2026-07-10 14:15:13</t>
  </si>
  <si>
    <t xml:space="preserve">2026-07-10 15:14:10</t>
  </si>
  <si>
    <t xml:space="preserve">8858382_IPSREUP</t>
  </si>
  <si>
    <t xml:space="preserve">REZGUIKO</t>
  </si>
  <si>
    <t xml:space="preserve">2026-07-10 15:01:39</t>
  </si>
  <si>
    <t xml:space="preserve">8858846_IPSREMO</t>
  </si>
  <si>
    <t xml:space="preserve">REZGUIMO</t>
  </si>
  <si>
    <t xml:space="preserve">2026-07-10 08:44:19</t>
  </si>
  <si>
    <t xml:space="preserve">2026-07-10 13:22:54</t>
  </si>
  <si>
    <t xml:space="preserve">2026-07-10 08:44:20</t>
  </si>
  <si>
    <t xml:space="preserve">2026-07-10 14:04:52</t>
  </si>
  <si>
    <t xml:space="preserve">2026-07-10 17:28:35</t>
  </si>
  <si>
    <t xml:space="preserve">2026-07-10 14:04:53</t>
  </si>
  <si>
    <t xml:space="preserve">8858774_IPSRHRX</t>
  </si>
  <si>
    <t xml:space="preserve">RHEMARRE</t>
  </si>
  <si>
    <t xml:space="preserve">2026-07-10 07:44:36</t>
  </si>
  <si>
    <t xml:space="preserve">2026-07-10 12:31:53</t>
  </si>
  <si>
    <t xml:space="preserve">2026-07-10 13:25:36</t>
  </si>
  <si>
    <t xml:space="preserve">8858424_IPSRAEY</t>
  </si>
  <si>
    <t xml:space="preserve">RIAHIEY</t>
  </si>
  <si>
    <t xml:space="preserve">2026-07-10 09:59:21</t>
  </si>
  <si>
    <t xml:space="preserve">2026-07-10 13:03:00</t>
  </si>
  <si>
    <t xml:space="preserve">2026-07-10 14:15:01</t>
  </si>
  <si>
    <t xml:space="preserve">2026-07-10 18:30:27</t>
  </si>
  <si>
    <t xml:space="preserve">2026-07-10 18:32:29</t>
  </si>
  <si>
    <t xml:space="preserve">2026-07-10 19:51:12</t>
  </si>
  <si>
    <t xml:space="preserve">2026-07-10 19:51:16</t>
  </si>
  <si>
    <t xml:space="preserve">2026-07-10 20:00:50</t>
  </si>
  <si>
    <t xml:space="preserve">8858367_IPSRAKR</t>
  </si>
  <si>
    <t xml:space="preserve">RIAHIKA</t>
  </si>
  <si>
    <t xml:space="preserve">2026-07-10 13:05:16</t>
  </si>
  <si>
    <t xml:space="preserve">2026-07-10 13:58:35</t>
  </si>
  <si>
    <t xml:space="preserve">2026-07-10 13:58:36</t>
  </si>
  <si>
    <t xml:space="preserve">8858434_IPSRIKH</t>
  </si>
  <si>
    <t xml:space="preserve">RIAHIKH</t>
  </si>
  <si>
    <t xml:space="preserve">2026-07-10 09:00:43</t>
  </si>
  <si>
    <t xml:space="preserve">2026-07-10 09:00:44</t>
  </si>
  <si>
    <t xml:space="preserve">2026-07-10 14:00:20</t>
  </si>
  <si>
    <t xml:space="preserve">2026-07-10 14:53:38</t>
  </si>
  <si>
    <t xml:space="preserve">2026-07-10 15:06:16</t>
  </si>
  <si>
    <t xml:space="preserve">2026-07-10 15:06:18</t>
  </si>
  <si>
    <t xml:space="preserve">2026-07-10 15:07:22</t>
  </si>
  <si>
    <t xml:space="preserve">8858073_IPSRIMD</t>
  </si>
  <si>
    <t xml:space="preserve">RIAHIMO</t>
  </si>
  <si>
    <t xml:space="preserve">2026-07-10 15:01:24</t>
  </si>
  <si>
    <t xml:space="preserve">2026-07-10 16:50:18</t>
  </si>
  <si>
    <t xml:space="preserve">2026-07-10 16:50:20</t>
  </si>
  <si>
    <t xml:space="preserve">2026-07-10 17:45:37</t>
  </si>
  <si>
    <t xml:space="preserve">8858003_IPSRFSA</t>
  </si>
  <si>
    <t xml:space="preserve">RIFAIAR</t>
  </si>
  <si>
    <t xml:space="preserve">2026-07-10 08:59:39</t>
  </si>
  <si>
    <t xml:space="preserve">2026-07-10 14:44:49</t>
  </si>
  <si>
    <t xml:space="preserve">2026-07-10 18:04:20</t>
  </si>
  <si>
    <t xml:space="preserve">8859574_IPSRODH</t>
  </si>
  <si>
    <t xml:space="preserve">ROMDHADH</t>
  </si>
  <si>
    <t xml:space="preserve">2026-07-10 09:03:05</t>
  </si>
  <si>
    <t xml:space="preserve">2026-07-10 14:57:06</t>
  </si>
  <si>
    <t xml:space="preserve">8859165_IPSRDFD</t>
  </si>
  <si>
    <t xml:space="preserve">ROUADIFA</t>
  </si>
  <si>
    <t xml:space="preserve">2026-07-10 09:59:58</t>
  </si>
  <si>
    <t xml:space="preserve">2026-07-10 13:50:30</t>
  </si>
  <si>
    <t xml:space="preserve">2026-07-10 14:47:26</t>
  </si>
  <si>
    <t xml:space="preserve">8858847_IPSROCH</t>
  </si>
  <si>
    <t xml:space="preserve">ROUATBCH</t>
  </si>
  <si>
    <t xml:space="preserve">2026-07-10 09:50:38</t>
  </si>
  <si>
    <t xml:space="preserve">2026-07-10 13:50:49</t>
  </si>
  <si>
    <t xml:space="preserve">2026-07-10 14:00:53</t>
  </si>
  <si>
    <t xml:space="preserve">2026-07-10 18:22:51</t>
  </si>
  <si>
    <t xml:space="preserve">8859532_IPSROKH</t>
  </si>
  <si>
    <t xml:space="preserve">ROUHIKH</t>
  </si>
  <si>
    <t xml:space="preserve">2026-07-10 08:06:43</t>
  </si>
  <si>
    <t xml:space="preserve">2026-07-10 09:18:57</t>
  </si>
  <si>
    <t xml:space="preserve">2026-07-10 09:18:59</t>
  </si>
  <si>
    <t xml:space="preserve">2026-07-10 11:49:23</t>
  </si>
  <si>
    <t xml:space="preserve">2026-07-10 11:49:25</t>
  </si>
  <si>
    <t xml:space="preserve">2026-07-10 13:13:04</t>
  </si>
  <si>
    <t xml:space="preserve">2026-07-10 13:20:55</t>
  </si>
  <si>
    <t xml:space="preserve">2026-07-10 13:20:57</t>
  </si>
  <si>
    <t xml:space="preserve">2026-07-10 14:00:15</t>
  </si>
  <si>
    <t xml:space="preserve">2026-07-10 15:04:07</t>
  </si>
  <si>
    <t xml:space="preserve">2026-07-10 15:07:43</t>
  </si>
  <si>
    <t xml:space="preserve">2026-07-10 15:36:55</t>
  </si>
  <si>
    <t xml:space="preserve">2026-07-10 15:43:34</t>
  </si>
  <si>
    <t xml:space="preserve">2026-07-10 15:43:36</t>
  </si>
  <si>
    <t xml:space="preserve">2026-07-10 15:48:18</t>
  </si>
  <si>
    <t xml:space="preserve">2026-07-10 15:48:20</t>
  </si>
  <si>
    <t xml:space="preserve">2026-07-10 15:54:06</t>
  </si>
  <si>
    <t xml:space="preserve">2026-07-10 15:54:10</t>
  </si>
  <si>
    <t xml:space="preserve">2026-07-10 16:01:03</t>
  </si>
  <si>
    <t xml:space="preserve">2026-07-10 16:01:06</t>
  </si>
  <si>
    <t xml:space="preserve">2026-07-10 16:09:35</t>
  </si>
  <si>
    <t xml:space="preserve">2026-07-10 16:09:38</t>
  </si>
  <si>
    <t xml:space="preserve">2026-07-10 16:54:24</t>
  </si>
  <si>
    <t xml:space="preserve">2026-07-10 16:54:27</t>
  </si>
  <si>
    <t xml:space="preserve">2026-07-10 17:15:00</t>
  </si>
  <si>
    <t xml:space="preserve">2026-07-10 17:15:01</t>
  </si>
  <si>
    <t xml:space="preserve">2026-07-10 17:25:19</t>
  </si>
  <si>
    <t xml:space="preserve">2026-07-10 17:42:29</t>
  </si>
  <si>
    <t xml:space="preserve">8859241_IPSROKA</t>
  </si>
  <si>
    <t xml:space="preserve">2026-07-10 10:15:41</t>
  </si>
  <si>
    <t xml:space="preserve">2026-07-10 11:22:47</t>
  </si>
  <si>
    <t xml:space="preserve">8859556_IPSSALI</t>
  </si>
  <si>
    <t xml:space="preserve">SAADALI</t>
  </si>
  <si>
    <t xml:space="preserve">2026-07-10 09:00:03</t>
  </si>
  <si>
    <t xml:space="preserve">2026-07-10 13:13:59</t>
  </si>
  <si>
    <t xml:space="preserve">2026-07-10 13:18:44</t>
  </si>
  <si>
    <t xml:space="preserve">2026-07-10 15:00:06</t>
  </si>
  <si>
    <t xml:space="preserve">8859388_IPSSAKH</t>
  </si>
  <si>
    <t xml:space="preserve">SAADANKH</t>
  </si>
  <si>
    <t xml:space="preserve">2026-07-10 13:07:52</t>
  </si>
  <si>
    <t xml:space="preserve">2026-07-10 13:41:38</t>
  </si>
  <si>
    <t xml:space="preserve">2026-07-10 14:03:41</t>
  </si>
  <si>
    <t xml:space="preserve">8858733_IPSSAHO</t>
  </si>
  <si>
    <t xml:space="preserve">SAADAOHO</t>
  </si>
  <si>
    <t xml:space="preserve">2026-07-10 08:49:03</t>
  </si>
  <si>
    <t xml:space="preserve">2026-07-10 12:57:32</t>
  </si>
  <si>
    <t xml:space="preserve">2026-07-10 12:57:53</t>
  </si>
  <si>
    <t xml:space="preserve">2026-07-10 13:33:26</t>
  </si>
  <si>
    <t xml:space="preserve">2026-07-10 14:20:15</t>
  </si>
  <si>
    <t xml:space="preserve">2026-07-10 18:09:27</t>
  </si>
  <si>
    <t xml:space="preserve">2026-07-10 18:09:59</t>
  </si>
  <si>
    <t xml:space="preserve">2026-07-10 18:36:54</t>
  </si>
  <si>
    <t xml:space="preserve">8859389_IPSSASA</t>
  </si>
  <si>
    <t xml:space="preserve">SAADAOSA</t>
  </si>
  <si>
    <t xml:space="preserve">2026-07-10 07:40:31</t>
  </si>
  <si>
    <t xml:space="preserve">2026-07-10 07:40:49</t>
  </si>
  <si>
    <t xml:space="preserve">2026-07-10 07:55:34</t>
  </si>
  <si>
    <t xml:space="preserve">2026-07-10 13:01:17</t>
  </si>
  <si>
    <t xml:space="preserve">2026-07-10 13:51:36</t>
  </si>
  <si>
    <t xml:space="preserve">2026-07-10 15:32:12</t>
  </si>
  <si>
    <t xml:space="preserve">2026-07-10 15:44:17</t>
  </si>
  <si>
    <t xml:space="preserve">2026-07-10 17:04:22</t>
  </si>
  <si>
    <t xml:space="preserve">8858841_IPSSIKL</t>
  </si>
  <si>
    <t xml:space="preserve">SAAFIKH</t>
  </si>
  <si>
    <t xml:space="preserve">2026-07-10 08:12:59</t>
  </si>
  <si>
    <t xml:space="preserve">2026-07-10 13:05:13</t>
  </si>
  <si>
    <t xml:space="preserve">2026-07-10 14:04:06</t>
  </si>
  <si>
    <t xml:space="preserve">2026-07-10 17:37:00</t>
  </si>
  <si>
    <t xml:space="preserve">8858170_IPSSAHL</t>
  </si>
  <si>
    <t xml:space="preserve">SAHLIMO</t>
  </si>
  <si>
    <t xml:space="preserve">2026-07-10 09:08:02</t>
  </si>
  <si>
    <t xml:space="preserve">2026-07-10 14:02:58</t>
  </si>
  <si>
    <t xml:space="preserve">2026-07-10 14:38:32</t>
  </si>
  <si>
    <t xml:space="preserve">2026-07-10 14:39:12</t>
  </si>
  <si>
    <t xml:space="preserve">2026-07-10 17:00:53</t>
  </si>
  <si>
    <t xml:space="preserve">2026-07-10 17:07:23</t>
  </si>
  <si>
    <t xml:space="preserve">8858641_IPSSNSR</t>
  </si>
  <si>
    <t xml:space="preserve">SAHNOUSI</t>
  </si>
  <si>
    <t xml:space="preserve">2026-07-10 08:58:10</t>
  </si>
  <si>
    <t xml:space="preserve">2026-07-10 18:04:59</t>
  </si>
  <si>
    <t xml:space="preserve">8859392_IPSSAMO</t>
  </si>
  <si>
    <t xml:space="preserve">SAIDANMO</t>
  </si>
  <si>
    <t xml:space="preserve">2026-07-10 08:56:55</t>
  </si>
  <si>
    <t xml:space="preserve">2026-07-10 08:57:02</t>
  </si>
  <si>
    <t xml:space="preserve">2026-07-10 14:58:43</t>
  </si>
  <si>
    <t xml:space="preserve">2026-07-10 00:59:10</t>
  </si>
  <si>
    <t xml:space="preserve">2026-07-10 05:02:21</t>
  </si>
  <si>
    <t xml:space="preserve">2026-07-10 00:59:11</t>
  </si>
  <si>
    <t xml:space="preserve">2026-07-10 06:23:23</t>
  </si>
  <si>
    <t xml:space="preserve">2026-07-10 10:00:13</t>
  </si>
  <si>
    <t xml:space="preserve">8858509_IPSSARD</t>
  </si>
  <si>
    <t xml:space="preserve">SAIDIRE</t>
  </si>
  <si>
    <t xml:space="preserve">2026-07-10 14:10:03</t>
  </si>
  <si>
    <t xml:space="preserve">2026-07-10 14:36:00</t>
  </si>
  <si>
    <t xml:space="preserve">2026-07-10 16:23:58</t>
  </si>
  <si>
    <t xml:space="preserve">8858692_IPSSARA</t>
  </si>
  <si>
    <t xml:space="preserve">SAKKEJRA</t>
  </si>
  <si>
    <t xml:space="preserve">2026-07-10 07:51:39</t>
  </si>
  <si>
    <t xml:space="preserve">2026-07-10 12:58:03</t>
  </si>
  <si>
    <t xml:space="preserve">2026-07-10 15:24:28</t>
  </si>
  <si>
    <t xml:space="preserve">2026-07-10 15:40:51</t>
  </si>
  <si>
    <t xml:space="preserve">2026-07-10 17:03:11</t>
  </si>
  <si>
    <t xml:space="preserve">2026-07-10 01:43:32</t>
  </si>
  <si>
    <t xml:space="preserve">2026-07-10 03:00:03</t>
  </si>
  <si>
    <t xml:space="preserve">2026-07-10 01:43:33</t>
  </si>
  <si>
    <t xml:space="preserve">8859395_IPSSANA</t>
  </si>
  <si>
    <t xml:space="preserve">SALLOUNA</t>
  </si>
  <si>
    <t xml:space="preserve">2026-07-10 14:02:06</t>
  </si>
  <si>
    <t xml:space="preserve">2026-07-10 14:02:09</t>
  </si>
  <si>
    <t xml:space="preserve">8858512_IPSSLML</t>
  </si>
  <si>
    <t xml:space="preserve">SALMAMO</t>
  </si>
  <si>
    <t xml:space="preserve">2026-07-10 09:57:59</t>
  </si>
  <si>
    <t xml:space="preserve">2026-07-10 15:01:42</t>
  </si>
  <si>
    <t xml:space="preserve">2026-07-10 20:00:15</t>
  </si>
  <si>
    <t xml:space="preserve">8859209_IPSSMMM</t>
  </si>
  <si>
    <t xml:space="preserve">SAMBMM</t>
  </si>
  <si>
    <t xml:space="preserve">2026-07-10 09:56:45</t>
  </si>
  <si>
    <t xml:space="preserve">2026-07-10 15:03:07</t>
  </si>
  <si>
    <t xml:space="preserve">2026-07-10 16:02:24</t>
  </si>
  <si>
    <t xml:space="preserve">2026-07-10 20:00:17</t>
  </si>
  <si>
    <t xml:space="preserve">8858092_ETSSNML</t>
  </si>
  <si>
    <t xml:space="preserve">SANEMH</t>
  </si>
  <si>
    <t xml:space="preserve">2026-07-10 08:58:45</t>
  </si>
  <si>
    <t xml:space="preserve">2026-07-10 14:32:18</t>
  </si>
  <si>
    <t xml:space="preserve">2026-07-10 15:31:32</t>
  </si>
  <si>
    <t xml:space="preserve">8858045_IPSSAIB</t>
  </si>
  <si>
    <t xml:space="preserve">SARRAJIB</t>
  </si>
  <si>
    <t xml:space="preserve">2026-07-10 11:58:43</t>
  </si>
  <si>
    <t xml:space="preserve">2026-07-10 16:08:12</t>
  </si>
  <si>
    <t xml:space="preserve">2026-07-10 17:12:03</t>
  </si>
  <si>
    <t xml:space="preserve">2026-07-10 21:02:06</t>
  </si>
  <si>
    <t xml:space="preserve">8858166_IPSAUTR</t>
  </si>
  <si>
    <t xml:space="preserve">SASSIME</t>
  </si>
  <si>
    <t xml:space="preserve">2026-07-10 10:58:21</t>
  </si>
  <si>
    <t xml:space="preserve">2026-07-10 18:01:13</t>
  </si>
  <si>
    <t xml:space="preserve">2026-07-10 20:01:17</t>
  </si>
  <si>
    <t xml:space="preserve">8859568_IPSSANO</t>
  </si>
  <si>
    <t xml:space="preserve">SASSINO</t>
  </si>
  <si>
    <t xml:space="preserve">2026-07-10 08:56:11</t>
  </si>
  <si>
    <t xml:space="preserve">2026-07-10 14:02:45</t>
  </si>
  <si>
    <t xml:space="preserve">2026-07-10 18:02:23</t>
  </si>
  <si>
    <t xml:space="preserve">8858338_IPSSASM</t>
  </si>
  <si>
    <t xml:space="preserve">SASSISU</t>
  </si>
  <si>
    <t xml:space="preserve">2026-07-10 09:00:37</t>
  </si>
  <si>
    <t xml:space="preserve">2026-07-10 14:00:21</t>
  </si>
  <si>
    <t xml:space="preserve">2026-07-10 17:58:12</t>
  </si>
  <si>
    <t xml:space="preserve">8858734_IPSTUSH</t>
  </si>
  <si>
    <t xml:space="preserve">SAYAHIHA</t>
  </si>
  <si>
    <t xml:space="preserve">2026-07-10 10:38:38</t>
  </si>
  <si>
    <t xml:space="preserve">2026-07-10 18:38:38</t>
  </si>
  <si>
    <t xml:space="preserve">2026-07-10 19:10:35</t>
  </si>
  <si>
    <t xml:space="preserve">2026-07-10 20:11:14</t>
  </si>
  <si>
    <t xml:space="preserve">8858101_IPSSBEI</t>
  </si>
  <si>
    <t xml:space="preserve">SBEIOU</t>
  </si>
  <si>
    <t xml:space="preserve">2026-07-10 08:41:14</t>
  </si>
  <si>
    <t xml:space="preserve">2026-07-10 08:59:13</t>
  </si>
  <si>
    <t xml:space="preserve">2026-07-10 13:59:40</t>
  </si>
  <si>
    <t xml:space="preserve">8858482_IPSSCDR</t>
  </si>
  <si>
    <t xml:space="preserve">SECKDA</t>
  </si>
  <si>
    <t xml:space="preserve">2026-07-10 11:56:53</t>
  </si>
  <si>
    <t xml:space="preserve">2026-07-10 13:15:05</t>
  </si>
  <si>
    <t xml:space="preserve">2026-07-10 13:15:34</t>
  </si>
  <si>
    <t xml:space="preserve">2026-07-10 15:07:06</t>
  </si>
  <si>
    <t xml:space="preserve">2026-07-10 15:58:45</t>
  </si>
  <si>
    <t xml:space="preserve">8858156_IPSSEMU</t>
  </si>
  <si>
    <t xml:space="preserve">SEDIRIMO</t>
  </si>
  <si>
    <t xml:space="preserve">2026-07-10 09:19:54</t>
  </si>
  <si>
    <t xml:space="preserve">2026-07-10 14:36:18</t>
  </si>
  <si>
    <t xml:space="preserve">2026-07-10 14:46:26</t>
  </si>
  <si>
    <t xml:space="preserve">2026-07-10 15:09:28</t>
  </si>
  <si>
    <t xml:space="preserve">2026-07-10 15:24:46</t>
  </si>
  <si>
    <t xml:space="preserve">2026-07-10 16:15:25</t>
  </si>
  <si>
    <t xml:space="preserve">2026-07-10 16:17:46</t>
  </si>
  <si>
    <t xml:space="preserve">2026-07-10 16:45:03</t>
  </si>
  <si>
    <t xml:space="preserve">2026-07-10 16:47:09</t>
  </si>
  <si>
    <t xml:space="preserve">2026-07-10 17:42:50</t>
  </si>
  <si>
    <t xml:space="preserve">2026-07-10 17:43:57</t>
  </si>
  <si>
    <t xml:space="preserve">2026-07-10 18:24:48</t>
  </si>
  <si>
    <t xml:space="preserve">2026-07-10 18:35:26</t>
  </si>
  <si>
    <t xml:space="preserve">2026-07-10 18:43:07</t>
  </si>
  <si>
    <t xml:space="preserve">2026-07-10 18:43:19</t>
  </si>
  <si>
    <t xml:space="preserve">2026-07-10 18:43:21</t>
  </si>
  <si>
    <t xml:space="preserve">2026-07-10 18:43:25</t>
  </si>
  <si>
    <t xml:space="preserve">2026-07-10 19:28:53</t>
  </si>
  <si>
    <t xml:space="preserve">8858454_IPSSERN</t>
  </si>
  <si>
    <t xml:space="preserve">SELLINRA</t>
  </si>
  <si>
    <t xml:space="preserve">2026-07-10 13:01:39</t>
  </si>
  <si>
    <t xml:space="preserve">2026-07-10 14:05:41</t>
  </si>
  <si>
    <t xml:space="preserve">2026-07-10 14:09:09</t>
  </si>
  <si>
    <t xml:space="preserve">2026-07-10 14:09:42</t>
  </si>
  <si>
    <t xml:space="preserve">2026-07-10 18:01:34</t>
  </si>
  <si>
    <t xml:space="preserve">8858642_IPSSLND</t>
  </si>
  <si>
    <t xml:space="preserve">SELMINA</t>
  </si>
  <si>
    <t xml:space="preserve">2026-07-10 07:56:30</t>
  </si>
  <si>
    <t xml:space="preserve">2026-07-10 13:10:24</t>
  </si>
  <si>
    <t xml:space="preserve">2026-07-10 14:08:38</t>
  </si>
  <si>
    <t xml:space="preserve">2026-07-10 17:12:27</t>
  </si>
  <si>
    <t xml:space="preserve">8859404_IPSSENO</t>
  </si>
  <si>
    <t xml:space="preserve">SELMINO</t>
  </si>
  <si>
    <t xml:space="preserve">2026-07-10 11:56:31</t>
  </si>
  <si>
    <t xml:space="preserve">2026-07-10 12:02:12</t>
  </si>
  <si>
    <t xml:space="preserve">2026-07-10 12:02:32</t>
  </si>
  <si>
    <t xml:space="preserve">2026-07-10 12:06:30</t>
  </si>
  <si>
    <t xml:space="preserve">2026-07-10 12:07:34</t>
  </si>
  <si>
    <t xml:space="preserve">2026-07-10 12:25:15</t>
  </si>
  <si>
    <t xml:space="preserve">2026-07-10 12:28:38</t>
  </si>
  <si>
    <t xml:space="preserve">2026-07-10 12:44:33</t>
  </si>
  <si>
    <t xml:space="preserve">2026-07-10 13:17:48</t>
  </si>
  <si>
    <t xml:space="preserve">2026-07-10 19:24:03</t>
  </si>
  <si>
    <t xml:space="preserve">2026-07-10 19:24:06</t>
  </si>
  <si>
    <t xml:space="preserve">2026-07-10 22:40:36</t>
  </si>
  <si>
    <t xml:space="preserve">8858330_IPSSMPP</t>
  </si>
  <si>
    <t xml:space="preserve">SEMBENPA</t>
  </si>
  <si>
    <t xml:space="preserve">2026-07-10 09:32:30</t>
  </si>
  <si>
    <t xml:space="preserve">2026-07-10 14:32:06</t>
  </si>
  <si>
    <t xml:space="preserve">2026-07-10 15:34:26</t>
  </si>
  <si>
    <t xml:space="preserve">2026-07-10 18:30:16</t>
  </si>
  <si>
    <t xml:space="preserve">8858699_IPSSESA</t>
  </si>
  <si>
    <t xml:space="preserve">SEMOUSSA</t>
  </si>
  <si>
    <t xml:space="preserve">2026-07-10 16:04:58</t>
  </si>
  <si>
    <t xml:space="preserve">2026-07-10 16:06:32</t>
  </si>
  <si>
    <t xml:space="preserve">8859405_IPSSGAW</t>
  </si>
  <si>
    <t xml:space="preserve">SGHAYEAW</t>
  </si>
  <si>
    <t xml:space="preserve">2026-07-10 07:55:31</t>
  </si>
  <si>
    <t xml:space="preserve">2026-07-10 07:56:07</t>
  </si>
  <si>
    <t xml:space="preserve">2026-07-10 07:58:45</t>
  </si>
  <si>
    <t xml:space="preserve">2026-07-10 13:01:31</t>
  </si>
  <si>
    <t xml:space="preserve">8858071_IPSSHZE</t>
  </si>
  <si>
    <t xml:space="preserve">SGHIRZN</t>
  </si>
  <si>
    <t xml:space="preserve">2026-07-10 08:55:29</t>
  </si>
  <si>
    <t xml:space="preserve">2026-07-10 11:11:56</t>
  </si>
  <si>
    <t xml:space="preserve">2026-07-10 11:11:59</t>
  </si>
  <si>
    <t xml:space="preserve">2026-07-10 13:14:09</t>
  </si>
  <si>
    <t xml:space="preserve">2026-07-10 13:16:49</t>
  </si>
  <si>
    <t xml:space="preserve">2026-07-10 13:16:18</t>
  </si>
  <si>
    <t xml:space="preserve">2026-07-10 13:17:22</t>
  </si>
  <si>
    <t xml:space="preserve">2026-07-10 13:56:27</t>
  </si>
  <si>
    <t xml:space="preserve">2026-07-10 17:49:22</t>
  </si>
  <si>
    <t xml:space="preserve">2026-07-10 17:49:59</t>
  </si>
  <si>
    <t xml:space="preserve">2026-07-10 19:00:23</t>
  </si>
  <si>
    <t xml:space="preserve">8859131_IPSSIWM</t>
  </si>
  <si>
    <t xml:space="preserve">2026-07-10 13:33:53</t>
  </si>
  <si>
    <t xml:space="preserve">2026-07-10 18:00:56</t>
  </si>
  <si>
    <t xml:space="preserve">8858089_IPSSIKH</t>
  </si>
  <si>
    <t xml:space="preserve">SIMOURKH</t>
  </si>
  <si>
    <t xml:space="preserve">2026-07-10 09:53:16</t>
  </si>
  <si>
    <t xml:space="preserve">2026-07-10 09:57:19</t>
  </si>
  <si>
    <t xml:space="preserve">8858894_IPSSLAM</t>
  </si>
  <si>
    <t xml:space="preserve">SLAIAM</t>
  </si>
  <si>
    <t xml:space="preserve">2026-07-10 11:54:45</t>
  </si>
  <si>
    <t xml:space="preserve">2026-07-10 19:54:45</t>
  </si>
  <si>
    <t xml:space="preserve">2026-07-10 11:54:46</t>
  </si>
  <si>
    <t xml:space="preserve">2026-07-10 19:55:09</t>
  </si>
  <si>
    <t xml:space="preserve">8858895_IPSSLMG</t>
  </si>
  <si>
    <t xml:space="preserve">SLAMAMGH</t>
  </si>
  <si>
    <t xml:space="preserve">2026-07-10 08:58:36</t>
  </si>
  <si>
    <t xml:space="preserve">2026-07-10 12:38:54</t>
  </si>
  <si>
    <t xml:space="preserve">2026-07-10 08:58:37</t>
  </si>
  <si>
    <t xml:space="preserve">2026-07-10 12:38:57</t>
  </si>
  <si>
    <t xml:space="preserve">2026-07-10 16:14:09</t>
  </si>
  <si>
    <t xml:space="preserve">2026-07-10 16:14:11</t>
  </si>
  <si>
    <t xml:space="preserve">2026-07-10 17:15:03</t>
  </si>
  <si>
    <t xml:space="preserve">2026-07-10 18:06:53</t>
  </si>
  <si>
    <t xml:space="preserve">2026-07-10 18:06:54</t>
  </si>
  <si>
    <t xml:space="preserve">8858620_IPSSMWI</t>
  </si>
  <si>
    <t xml:space="preserve">SMIDAWI</t>
  </si>
  <si>
    <t xml:space="preserve">2026-07-10 07:58:31</t>
  </si>
  <si>
    <t xml:space="preserve">2026-07-10 10:44:39</t>
  </si>
  <si>
    <t xml:space="preserve">2026-07-10 10:48:54</t>
  </si>
  <si>
    <t xml:space="preserve">2026-07-10 17:30:34</t>
  </si>
  <si>
    <t xml:space="preserve">8859413_IPSSOZA</t>
  </si>
  <si>
    <t xml:space="preserve">2026-07-10 11:44:04</t>
  </si>
  <si>
    <t xml:space="preserve">2026-07-10 11:44:27</t>
  </si>
  <si>
    <t xml:space="preserve">2026-07-10 11:56:20</t>
  </si>
  <si>
    <t xml:space="preserve">2026-07-10 15:59:47</t>
  </si>
  <si>
    <t xml:space="preserve">2026-07-10 21:00:39</t>
  </si>
  <si>
    <t xml:space="preserve">8858326_IPSSYSS</t>
  </si>
  <si>
    <t xml:space="preserve">SYLLASO</t>
  </si>
  <si>
    <t xml:space="preserve">2026-07-10 13:00:23</t>
  </si>
  <si>
    <t xml:space="preserve">8858735_IPSTAHE</t>
  </si>
  <si>
    <t xml:space="preserve">TAHRIHE</t>
  </si>
  <si>
    <t xml:space="preserve">2026-07-10 08:27:07</t>
  </si>
  <si>
    <t xml:space="preserve">2026-07-10 08:27:17</t>
  </si>
  <si>
    <t xml:space="preserve">2026-07-10 13:35:05</t>
  </si>
  <si>
    <t xml:space="preserve">2026-07-10 14:34:26</t>
  </si>
  <si>
    <t xml:space="preserve">2026-07-10 14:34:33</t>
  </si>
  <si>
    <t xml:space="preserve">8858201_IPSTAHM</t>
  </si>
  <si>
    <t xml:space="preserve">TAIKHA</t>
  </si>
  <si>
    <t xml:space="preserve">2026-07-10 14:53:16</t>
  </si>
  <si>
    <t xml:space="preserve">8858150_IPSTAJG</t>
  </si>
  <si>
    <t xml:space="preserve">TALBISR</t>
  </si>
  <si>
    <t xml:space="preserve">2026-07-10 09:44:42</t>
  </si>
  <si>
    <t xml:space="preserve">2026-07-10 09:46:01</t>
  </si>
  <si>
    <t xml:space="preserve">2026-07-10 09:53:36</t>
  </si>
  <si>
    <t xml:space="preserve">2026-07-10 15:02:43</t>
  </si>
  <si>
    <t xml:space="preserve">2026-07-10 16:00:34</t>
  </si>
  <si>
    <t xml:space="preserve">2026-07-10 18:47:20</t>
  </si>
  <si>
    <t xml:space="preserve">2026-07-10 18:47:59</t>
  </si>
  <si>
    <t xml:space="preserve">8858697_IPSTLAM</t>
  </si>
  <si>
    <t xml:space="preserve">TALLAI</t>
  </si>
  <si>
    <t xml:space="preserve">2026-07-10 13:14:04</t>
  </si>
  <si>
    <t xml:space="preserve">2026-07-10 13:14:36</t>
  </si>
  <si>
    <t xml:space="preserve">2026-07-10 14:22:29</t>
  </si>
  <si>
    <t xml:space="preserve">2026-07-10 14:22:30</t>
  </si>
  <si>
    <t xml:space="preserve">2026-07-10 14:26:36</t>
  </si>
  <si>
    <t xml:space="preserve">2026-07-10 18:01:44</t>
  </si>
  <si>
    <t xml:space="preserve">8858601_IPSTNML</t>
  </si>
  <si>
    <t xml:space="preserve">TANFOUML</t>
  </si>
  <si>
    <t xml:space="preserve">2026-07-10 08:47:19</t>
  </si>
  <si>
    <t xml:space="preserve">2026-07-10 12:28:03</t>
  </si>
  <si>
    <t xml:space="preserve">2026-07-10 13:29:43</t>
  </si>
  <si>
    <t xml:space="preserve">2026-07-10 17:29:41</t>
  </si>
  <si>
    <t xml:space="preserve">8858475_IPSTAOL</t>
  </si>
  <si>
    <t xml:space="preserve">TARCHOOL</t>
  </si>
  <si>
    <t xml:space="preserve">2026-07-10 08:26:45</t>
  </si>
  <si>
    <t xml:space="preserve">2026-07-10 12:03:07</t>
  </si>
  <si>
    <t xml:space="preserve">2026-07-10 12:59:07</t>
  </si>
  <si>
    <t xml:space="preserve">2026-07-10 13:02:19</t>
  </si>
  <si>
    <t xml:space="preserve">2026-07-10 17:30:40</t>
  </si>
  <si>
    <t xml:space="preserve">8858898_IPSTASH</t>
  </si>
  <si>
    <t xml:space="preserve">TARHOUSA</t>
  </si>
  <si>
    <t xml:space="preserve">2026-07-10 11:00:44</t>
  </si>
  <si>
    <t xml:space="preserve">2026-07-10 17:37:18</t>
  </si>
  <si>
    <t xml:space="preserve">2026-07-10 17:37:19</t>
  </si>
  <si>
    <t xml:space="preserve">2026-07-10 18:18:07</t>
  </si>
  <si>
    <t xml:space="preserve">2026-07-10 20:03:05</t>
  </si>
  <si>
    <t xml:space="preserve">2026-07-10 18:37:39</t>
  </si>
  <si>
    <t xml:space="preserve">8859578_IPSTANR</t>
  </si>
  <si>
    <t xml:space="preserve">TAZINI</t>
  </si>
  <si>
    <t xml:space="preserve">2026-07-10 14:03:01</t>
  </si>
  <si>
    <t xml:space="preserve">8859414_IPSTEMY</t>
  </si>
  <si>
    <t xml:space="preserve">TEBOURMY</t>
  </si>
  <si>
    <t xml:space="preserve">2026-07-10 07:43:58</t>
  </si>
  <si>
    <t xml:space="preserve">2026-07-10 13:52:43</t>
  </si>
  <si>
    <t xml:space="preserve">2026-07-10 15:44:29</t>
  </si>
  <si>
    <t xml:space="preserve">2026-07-10 15:45:14</t>
  </si>
  <si>
    <t xml:space="preserve">2026-07-10 17:28:53</t>
  </si>
  <si>
    <t xml:space="preserve">8858673_IPSTHOU</t>
  </si>
  <si>
    <t xml:space="preserve">THIENEOU</t>
  </si>
  <si>
    <t xml:space="preserve">2026-07-10 14:45:34</t>
  </si>
  <si>
    <t xml:space="preserve">2026-07-10 15:42:54</t>
  </si>
  <si>
    <t xml:space="preserve">8858764_IPSTIHA</t>
  </si>
  <si>
    <t xml:space="preserve">TISSAOHA</t>
  </si>
  <si>
    <t xml:space="preserve">2026-07-10 11:59:52</t>
  </si>
  <si>
    <t xml:space="preserve">2026-07-10 16:00:14</t>
  </si>
  <si>
    <t xml:space="preserve">2026-07-10 16:59:51</t>
  </si>
  <si>
    <t xml:space="preserve">2026-07-10 19:08:45</t>
  </si>
  <si>
    <t xml:space="preserve">2026-07-10 19:09:20</t>
  </si>
  <si>
    <t xml:space="preserve">2026-07-10 21:00:32</t>
  </si>
  <si>
    <t xml:space="preserve">8859419_IPSTOSO</t>
  </si>
  <si>
    <t xml:space="preserve">TOUALISO</t>
  </si>
  <si>
    <t xml:space="preserve">2026-07-10 08:56:32</t>
  </si>
  <si>
    <t xml:space="preserve">2026-07-10 14:05:27</t>
  </si>
  <si>
    <t xml:space="preserve">8858737_IPSTOSA</t>
  </si>
  <si>
    <t xml:space="preserve">TOUJANSA</t>
  </si>
  <si>
    <t xml:space="preserve">2026-07-10 08:49:42</t>
  </si>
  <si>
    <t xml:space="preserve">2026-07-10 13:19:40</t>
  </si>
  <si>
    <t xml:space="preserve">2026-07-10 13:20:22</t>
  </si>
  <si>
    <t xml:space="preserve">2026-07-10 14:51:39</t>
  </si>
  <si>
    <t xml:space="preserve">8859223_IPSJABW</t>
  </si>
  <si>
    <t xml:space="preserve">TOUJENMR</t>
  </si>
  <si>
    <t xml:space="preserve">2026-07-10 12:12:57</t>
  </si>
  <si>
    <t xml:space="preserve">2026-07-10 12:19:46</t>
  </si>
  <si>
    <t xml:space="preserve">2026-07-10 12:43:08</t>
  </si>
  <si>
    <t xml:space="preserve">2026-07-10 12:43:13</t>
  </si>
  <si>
    <t xml:space="preserve">8858672_IPSTOIM</t>
  </si>
  <si>
    <t xml:space="preserve">TOUKEBIM</t>
  </si>
  <si>
    <t xml:space="preserve">2026-07-10 09:40:12</t>
  </si>
  <si>
    <t xml:space="preserve">2026-07-10 09:41:17</t>
  </si>
  <si>
    <t xml:space="preserve">2026-07-10 15:46:18</t>
  </si>
  <si>
    <t xml:space="preserve">2026-07-10 15:46:58</t>
  </si>
  <si>
    <t xml:space="preserve">2026-07-10 18:01:05</t>
  </si>
  <si>
    <t xml:space="preserve">8859560_IPSTOYO</t>
  </si>
  <si>
    <t xml:space="preserve">TOUMIYU</t>
  </si>
  <si>
    <t xml:space="preserve">2026-07-10 08:30:09</t>
  </si>
  <si>
    <t xml:space="preserve">2026-07-10 12:30:12</t>
  </si>
  <si>
    <t xml:space="preserve">2026-07-10 13:30:19</t>
  </si>
  <si>
    <t xml:space="preserve">2026-07-10 17:31:06</t>
  </si>
  <si>
    <t xml:space="preserve">8858827_IPSTOAB</t>
  </si>
  <si>
    <t xml:space="preserve">2026-07-10 14:02:01</t>
  </si>
  <si>
    <t xml:space="preserve">2026-07-10 15:00:33</t>
  </si>
  <si>
    <t xml:space="preserve">2026-07-10 16:43:03</t>
  </si>
  <si>
    <t xml:space="preserve">2026-07-10 16:54:25</t>
  </si>
  <si>
    <t xml:space="preserve">8859420_IPSTRBE</t>
  </si>
  <si>
    <t xml:space="preserve">TRABELBE</t>
  </si>
  <si>
    <t xml:space="preserve">2026-07-10 06:50:47</t>
  </si>
  <si>
    <t xml:space="preserve">2026-07-10 11:00:26</t>
  </si>
  <si>
    <t xml:space="preserve">2026-07-10 11:57:14</t>
  </si>
  <si>
    <t xml:space="preserve">8858806_IPSTRRI</t>
  </si>
  <si>
    <t xml:space="preserve">TRABELRI</t>
  </si>
  <si>
    <t xml:space="preserve">2026-07-10 09:00:39</t>
  </si>
  <si>
    <t xml:space="preserve">2026-07-10 15:02:05</t>
  </si>
  <si>
    <t xml:space="preserve">8859239_IPSWASE</t>
  </si>
  <si>
    <t xml:space="preserve">WADESE</t>
  </si>
  <si>
    <t xml:space="preserve">2026-07-10 08:59:51</t>
  </si>
  <si>
    <t xml:space="preserve">2026-07-10 15:33:09</t>
  </si>
  <si>
    <t xml:space="preserve">2026-07-10 16:30:05</t>
  </si>
  <si>
    <t xml:space="preserve">2026-07-10 19:00:17</t>
  </si>
  <si>
    <t xml:space="preserve">8858738_IPSWEEM</t>
  </si>
  <si>
    <t xml:space="preserve">WERYEMEM</t>
  </si>
  <si>
    <t xml:space="preserve">2026-07-10 15:34:41</t>
  </si>
  <si>
    <t xml:space="preserve">2026-07-10 17:36:12</t>
  </si>
  <si>
    <t xml:space="preserve">8858739_IPSWEAH</t>
  </si>
  <si>
    <t xml:space="preserve">WESLATAH</t>
  </si>
  <si>
    <t xml:space="preserve">2026-07-10 09:43:55</t>
  </si>
  <si>
    <t xml:space="preserve">2026-07-10 15:19:23</t>
  </si>
  <si>
    <t xml:space="preserve">2026-07-10 15:38:24</t>
  </si>
  <si>
    <t xml:space="preserve">2026-07-10 18:09:58</t>
  </si>
  <si>
    <t xml:space="preserve">8858670_IPSWSMH</t>
  </si>
  <si>
    <t xml:space="preserve">WESLATMU</t>
  </si>
  <si>
    <t xml:space="preserve">2026-07-10 11:21:03</t>
  </si>
  <si>
    <t xml:space="preserve">2026-07-10 13:35:18</t>
  </si>
  <si>
    <t xml:space="preserve">2026-07-10 14:34:43</t>
  </si>
  <si>
    <t xml:space="preserve">8859567_IPSYARI</t>
  </si>
  <si>
    <t xml:space="preserve">YAAKOURI</t>
  </si>
  <si>
    <t xml:space="preserve">2026-07-10 08:53:35</t>
  </si>
  <si>
    <t xml:space="preserve">2026-07-10 10:43:17</t>
  </si>
  <si>
    <t xml:space="preserve">2026-07-10 10:43:38</t>
  </si>
  <si>
    <t xml:space="preserve">2026-07-10 10:53:57</t>
  </si>
  <si>
    <t xml:space="preserve">2026-07-10 10:54:11</t>
  </si>
  <si>
    <t xml:space="preserve">2026-07-10 13:00:39</t>
  </si>
  <si>
    <t xml:space="preserve">2026-07-10 14:18:23</t>
  </si>
  <si>
    <t xml:space="preserve">2026-07-10 14:18:25</t>
  </si>
  <si>
    <t xml:space="preserve">2026-07-10 18:08:23</t>
  </si>
  <si>
    <t xml:space="preserve">8859422_IPSYAAH</t>
  </si>
  <si>
    <t xml:space="preserve">YAHYAOAH</t>
  </si>
  <si>
    <t xml:space="preserve">2026-07-10 07:59:57</t>
  </si>
  <si>
    <t xml:space="preserve">2026-07-10 09:04:24</t>
  </si>
  <si>
    <t xml:space="preserve">2026-07-10 09:04:28</t>
  </si>
  <si>
    <t xml:space="preserve">2026-07-10 09:35:44</t>
  </si>
  <si>
    <t xml:space="preserve">2026-07-10 09:39:17</t>
  </si>
  <si>
    <t xml:space="preserve">2026-07-10 09:46:32</t>
  </si>
  <si>
    <t xml:space="preserve">2026-07-10 09:47:06</t>
  </si>
  <si>
    <t xml:space="preserve">2026-07-10 11:55:30</t>
  </si>
  <si>
    <t xml:space="preserve">2026-07-10 11:58:02</t>
  </si>
  <si>
    <t xml:space="preserve">2026-07-10 14:52:55</t>
  </si>
  <si>
    <t xml:space="preserve">2026-07-10 17:09:20</t>
  </si>
  <si>
    <t xml:space="preserve">2026-07-10 17:12:04</t>
  </si>
  <si>
    <t xml:space="preserve">2026-07-10 17:14:20</t>
  </si>
  <si>
    <t xml:space="preserve">8859423_IPSYAHI</t>
  </si>
  <si>
    <t xml:space="preserve">YAHYAOHI</t>
  </si>
  <si>
    <t xml:space="preserve">2026-07-10 07:57:05</t>
  </si>
  <si>
    <t xml:space="preserve">2026-07-10 08:07:15</t>
  </si>
  <si>
    <t xml:space="preserve">2026-07-10 08:09:05</t>
  </si>
  <si>
    <t xml:space="preserve">2026-07-10 10:14:01</t>
  </si>
  <si>
    <t xml:space="preserve">2026-07-10 10:14:23</t>
  </si>
  <si>
    <t xml:space="preserve">2026-07-10 13:02:18</t>
  </si>
  <si>
    <t xml:space="preserve">2026-07-10 13:38:11</t>
  </si>
  <si>
    <t xml:space="preserve">2026-07-10 15:08:40</t>
  </si>
  <si>
    <t xml:space="preserve">2026-07-10 17:08:25</t>
  </si>
  <si>
    <t xml:space="preserve">8858096_IPSYAFI</t>
  </si>
  <si>
    <t xml:space="preserve">YAKOUBFI</t>
  </si>
  <si>
    <t xml:space="preserve">2026-07-10 14:02:04</t>
  </si>
  <si>
    <t xml:space="preserve">2026-07-10 14:02:42</t>
  </si>
  <si>
    <t xml:space="preserve">8858916_IPSYAAB</t>
  </si>
  <si>
    <t xml:space="preserve">YAZIDIAB</t>
  </si>
  <si>
    <t xml:space="preserve">2026-07-10 17:02:09</t>
  </si>
  <si>
    <t xml:space="preserve">2026-07-10 23:04:46</t>
  </si>
  <si>
    <t xml:space="preserve">2026-07-10 17:02:10</t>
  </si>
  <si>
    <t xml:space="preserve">8858852_IPSYACH</t>
  </si>
  <si>
    <t xml:space="preserve">YAZIDICH</t>
  </si>
  <si>
    <t xml:space="preserve">2026-07-10 08:41:20</t>
  </si>
  <si>
    <t xml:space="preserve">2026-07-10 13:02:51</t>
  </si>
  <si>
    <t xml:space="preserve">2026-07-10 13:55:44</t>
  </si>
  <si>
    <t xml:space="preserve">2026-07-10 17:34:39</t>
  </si>
  <si>
    <t xml:space="preserve">8858525_IPSYOHO</t>
  </si>
  <si>
    <t xml:space="preserve">YOUNOUHO</t>
  </si>
  <si>
    <t xml:space="preserve">2026-07-10 08:02:34</t>
  </si>
  <si>
    <t xml:space="preserve">2026-07-10 12:32:06</t>
  </si>
  <si>
    <t xml:space="preserve">2026-07-10 13:50:07</t>
  </si>
  <si>
    <t xml:space="preserve">2026-07-10 13:58:25</t>
  </si>
  <si>
    <t xml:space="preserve">8858445_IPSYOHT</t>
  </si>
  <si>
    <t xml:space="preserve">YOUSFIHY</t>
  </si>
  <si>
    <t xml:space="preserve">2026-07-10 09:59:42</t>
  </si>
  <si>
    <t xml:space="preserve">2026-07-10 15:00:27</t>
  </si>
  <si>
    <t xml:space="preserve">2026-07-10 16:00:41</t>
  </si>
  <si>
    <t xml:space="preserve">2026-07-10 20:07:17</t>
  </si>
  <si>
    <t xml:space="preserve">8858504_IPSZANA</t>
  </si>
  <si>
    <t xml:space="preserve">ZAIMINA</t>
  </si>
  <si>
    <t xml:space="preserve">2026-07-10 08:02:11</t>
  </si>
  <si>
    <t xml:space="preserve">2026-07-10 12:34:41</t>
  </si>
  <si>
    <t xml:space="preserve">2026-07-10 13:31:37</t>
  </si>
  <si>
    <t xml:space="preserve">8858799_IPSZAAB</t>
  </si>
  <si>
    <t xml:space="preserve">ZAIRIAB</t>
  </si>
  <si>
    <t xml:space="preserve">2026-07-10 08:02:27</t>
  </si>
  <si>
    <t xml:space="preserve">2026-07-10 08:26:44</t>
  </si>
  <si>
    <t xml:space="preserve">2026-07-10 08:27:34</t>
  </si>
  <si>
    <t xml:space="preserve">2026-07-10 14:04:29</t>
  </si>
  <si>
    <t xml:space="preserve">2026-07-10 14:05:00</t>
  </si>
  <si>
    <t xml:space="preserve">2026-07-10 15:00:55</t>
  </si>
  <si>
    <t xml:space="preserve">8858438_IPSZOMA</t>
  </si>
  <si>
    <t xml:space="preserve">2026-07-10 08:00:06</t>
  </si>
  <si>
    <t xml:space="preserve">8858853_IPSZADO</t>
  </si>
  <si>
    <t xml:space="preserve">ZARROUDO</t>
  </si>
  <si>
    <t xml:space="preserve">2026-07-10 08:14:33</t>
  </si>
  <si>
    <t xml:space="preserve">2026-07-10 13:07:03</t>
  </si>
  <si>
    <t xml:space="preserve">2026-07-10 14:05:43</t>
  </si>
  <si>
    <t xml:space="preserve">2026-07-10 17:14:33</t>
  </si>
  <si>
    <t xml:space="preserve">2026-07-10 17:37:03</t>
  </si>
  <si>
    <t xml:space="preserve">2026-07-10 17:37:36</t>
  </si>
  <si>
    <t xml:space="preserve">8859429_IPSZESO</t>
  </si>
  <si>
    <t xml:space="preserve">ZEHANISO</t>
  </si>
  <si>
    <t xml:space="preserve">2026-07-10 08:57:19</t>
  </si>
  <si>
    <t xml:space="preserve">2026-07-10 13:01:54</t>
  </si>
  <si>
    <t xml:space="preserve">8858917_IPSZEMA</t>
  </si>
  <si>
    <t xml:space="preserve">ZEMNIMA</t>
  </si>
  <si>
    <t xml:space="preserve">2026-07-10 10:57:45</t>
  </si>
  <si>
    <t xml:space="preserve">2026-07-10 11:10:24</t>
  </si>
  <si>
    <t xml:space="preserve">2026-07-10 11:15:01</t>
  </si>
  <si>
    <t xml:space="preserve">2026-07-10 11:23:13</t>
  </si>
  <si>
    <t xml:space="preserve">2026-07-10 11:23:15</t>
  </si>
  <si>
    <t xml:space="preserve">2026-07-10 14:00:23</t>
  </si>
  <si>
    <t xml:space="preserve">2026-07-10 14:38:25</t>
  </si>
  <si>
    <t xml:space="preserve">2026-07-10 14:38:41</t>
  </si>
  <si>
    <t xml:space="preserve">2026-07-10 14:58:58</t>
  </si>
  <si>
    <t xml:space="preserve">2026-07-10 15:34:25</t>
  </si>
  <si>
    <t xml:space="preserve">2026-07-10 15:34:28</t>
  </si>
  <si>
    <t xml:space="preserve">8859527_IPSZRLM</t>
  </si>
  <si>
    <t xml:space="preserve">ZERZOULA</t>
  </si>
  <si>
    <t xml:space="preserve">2026-07-10 13:14:18</t>
  </si>
  <si>
    <t xml:space="preserve">2026-07-10 14:05:30</t>
  </si>
  <si>
    <t xml:space="preserve">2026-07-10 15:05:52</t>
  </si>
  <si>
    <t xml:space="preserve">2026-07-10 19:00:13</t>
  </si>
  <si>
    <t xml:space="preserve">8859431_IPSZISR</t>
  </si>
  <si>
    <t xml:space="preserve">ZIGHEMSI</t>
  </si>
  <si>
    <t xml:space="preserve">2026-07-10 07:52:53</t>
  </si>
  <si>
    <t xml:space="preserve">2026-07-10 10:39:03</t>
  </si>
  <si>
    <t xml:space="preserve">2026-07-10 14:23:47</t>
  </si>
  <si>
    <t xml:space="preserve">2026-07-10 15:07:17</t>
  </si>
  <si>
    <t xml:space="preserve">8859559_IPSZRCH</t>
  </si>
  <si>
    <t xml:space="preserve">ZIRARICH</t>
  </si>
  <si>
    <t xml:space="preserve">2026-07-10 09:00:20</t>
  </si>
  <si>
    <t xml:space="preserve">2026-07-10 13:30:11</t>
  </si>
  <si>
    <t xml:space="preserve">2026-07-10 14:32:40</t>
  </si>
  <si>
    <t xml:space="preserve">8858383_IPSZILM</t>
  </si>
  <si>
    <t xml:space="preserve">2026-07-10 07:59:13</t>
  </si>
  <si>
    <t xml:space="preserve">2026-07-10 18:00:35</t>
  </si>
  <si>
    <t xml:space="preserve">8858354_IPSZHRN</t>
  </si>
  <si>
    <t xml:space="preserve">ZOHRIRA</t>
  </si>
  <si>
    <t xml:space="preserve">2026-07-10 09:00:32</t>
  </si>
  <si>
    <t xml:space="preserve">8858006_IPSZOSE</t>
  </si>
  <si>
    <t xml:space="preserve">ZOUAGHSE</t>
  </si>
  <si>
    <t xml:space="preserve">2026-07-10 07:56:25</t>
  </si>
  <si>
    <t xml:space="preserve">2026-07-10 08:17:24</t>
  </si>
  <si>
    <t xml:space="preserve">2026-07-10 08:21:33</t>
  </si>
  <si>
    <t xml:space="preserve">2026-07-10 08:24:43</t>
  </si>
  <si>
    <t xml:space="preserve">2026-07-10 08:25:12</t>
  </si>
  <si>
    <t xml:space="preserve">2026-07-10 08:31:00</t>
  </si>
  <si>
    <t xml:space="preserve">2026-07-10 08:34:19</t>
  </si>
  <si>
    <t xml:space="preserve">2026-07-10 08:36:28</t>
  </si>
  <si>
    <t xml:space="preserve">2026-07-10 08:38:45</t>
  </si>
  <si>
    <t xml:space="preserve">2026-07-10 14:58:39</t>
  </si>
  <si>
    <t xml:space="preserve">2026-07-10 18:10:02</t>
  </si>
  <si>
    <t xml:space="preserve">8858207_IPSZKBD</t>
  </si>
  <si>
    <t xml:space="preserve">ZOUAKAAB</t>
  </si>
  <si>
    <t xml:space="preserve">2026-07-10 07:56:58</t>
  </si>
  <si>
    <t xml:space="preserve">2026-07-10 07:57:44</t>
  </si>
  <si>
    <t xml:space="preserve">2026-07-10 08:00:27</t>
  </si>
  <si>
    <t xml:space="preserve">2026-07-10 15:23:46</t>
  </si>
  <si>
    <t xml:space="preserve">8858441_IPSZOCH</t>
  </si>
  <si>
    <t xml:space="preserve">ZOUAOUCE</t>
  </si>
  <si>
    <t xml:space="preserve">2026-07-10 13:08:11</t>
  </si>
  <si>
    <t xml:space="preserve">2026-07-10 13:09:26</t>
  </si>
  <si>
    <t xml:space="preserve">2026-07-10 16:06:34</t>
  </si>
  <si>
    <t xml:space="preserve">2026-07-10 16:59:00</t>
  </si>
  <si>
    <t xml:space="preserve">8859432_IPSZONA</t>
  </si>
  <si>
    <t xml:space="preserve">ZOUAOUNA</t>
  </si>
  <si>
    <t xml:space="preserve">2026-07-10 14:13:35</t>
  </si>
  <si>
    <t xml:space="preserve">2026-07-10 14:13:40</t>
  </si>
  <si>
    <t xml:space="preserve">2026-07-10 15:22:05</t>
  </si>
  <si>
    <t xml:space="preserve">2026-07-10 16:16:05</t>
  </si>
  <si>
    <t xml:space="preserve">2026-07-10 18:25:30</t>
  </si>
  <si>
    <t xml:space="preserve">8858918_IPSZOKH</t>
  </si>
  <si>
    <t xml:space="preserve">ZOUBEIKH</t>
  </si>
  <si>
    <t xml:space="preserve">2026-07-10 08:59:41</t>
  </si>
  <si>
    <t xml:space="preserve">2026-07-10 13:02:01</t>
  </si>
  <si>
    <t xml:space="preserve">2026-07-10 13:02:02</t>
  </si>
  <si>
    <t xml:space="preserve">2026-07-10 14:00:46</t>
  </si>
  <si>
    <t xml:space="preserve">8859409_IPSZOOU</t>
  </si>
  <si>
    <t xml:space="preserve">ZOUBIROU</t>
  </si>
  <si>
    <t xml:space="preserve">2026-07-10 14:59:48</t>
  </si>
  <si>
    <t xml:space="preserve">2026-07-10 18:00:53</t>
  </si>
  <si>
    <t xml:space="preserve">8858439_IPSZAMI</t>
  </si>
  <si>
    <t xml:space="preserve">ZOUHAIAI</t>
  </si>
  <si>
    <t xml:space="preserve">2026-07-10 13:40:06</t>
  </si>
  <si>
    <t xml:space="preserve">2026-07-10 14:39:02</t>
  </si>
  <si>
    <t xml:space="preserve">8858202_IPSZTNJ</t>
  </si>
  <si>
    <t xml:space="preserve">ZTAITNA</t>
  </si>
  <si>
    <t xml:space="preserve">2026-07-10 13:49:52</t>
  </si>
  <si>
    <t xml:space="preserve">2026-07-11 07:53:03</t>
  </si>
  <si>
    <t xml:space="preserve">2026-07-11 12:00:19</t>
  </si>
  <si>
    <t xml:space="preserve">2026-07-11 08:38:40</t>
  </si>
  <si>
    <t xml:space="preserve">2026-07-11 16:38:40</t>
  </si>
  <si>
    <t xml:space="preserve">2026-07-11 17:05:20</t>
  </si>
  <si>
    <t xml:space="preserve">2026-07-11 07:52:08</t>
  </si>
  <si>
    <t xml:space="preserve">2026-07-11 07:55:10</t>
  </si>
  <si>
    <t xml:space="preserve">2026-07-11 08:00:26</t>
  </si>
  <si>
    <t xml:space="preserve">2026-07-11 09:44:12</t>
  </si>
  <si>
    <t xml:space="preserve">2026-07-11 09:44:14</t>
  </si>
  <si>
    <t xml:space="preserve">2026-07-11 09:44:45</t>
  </si>
  <si>
    <t xml:space="preserve">2026-07-11 12:59:00</t>
  </si>
  <si>
    <t xml:space="preserve">2026-07-11 09:44:46</t>
  </si>
  <si>
    <t xml:space="preserve">2026-07-11 12:59:02</t>
  </si>
  <si>
    <t xml:space="preserve">2026-07-11 12:59:34</t>
  </si>
  <si>
    <t xml:space="preserve">2026-07-11 14:00:05</t>
  </si>
  <si>
    <t xml:space="preserve">2026-07-11 08:57:53</t>
  </si>
  <si>
    <t xml:space="preserve">2026-07-11 13:08:30</t>
  </si>
  <si>
    <t xml:space="preserve">2026-07-11 13:09:22</t>
  </si>
  <si>
    <t xml:space="preserve">2026-07-11 15:00:49</t>
  </si>
  <si>
    <t xml:space="preserve">2026-07-11 04:45:06</t>
  </si>
  <si>
    <t xml:space="preserve">2026-07-11 07:01:46</t>
  </si>
  <si>
    <t xml:space="preserve">2026-07-11 12:58:19</t>
  </si>
  <si>
    <t xml:space="preserve">2026-07-11 20:03:12</t>
  </si>
  <si>
    <t xml:space="preserve">2026-07-11 12:58:20</t>
  </si>
  <si>
    <t xml:space="preserve">2026-07-11 21:01:36</t>
  </si>
  <si>
    <t xml:space="preserve">2026-07-11 22:00:38</t>
  </si>
  <si>
    <t xml:space="preserve">2026-07-11 21:01:37</t>
  </si>
  <si>
    <t xml:space="preserve">2026-07-11 08:56:42</t>
  </si>
  <si>
    <t xml:space="preserve">2026-07-11 08:56:53</t>
  </si>
  <si>
    <t xml:space="preserve">2026-07-11 08:59:10</t>
  </si>
  <si>
    <t xml:space="preserve">2026-07-11 13:00:03</t>
  </si>
  <si>
    <t xml:space="preserve">2026-07-11 13:59:20</t>
  </si>
  <si>
    <t xml:space="preserve">2026-07-11 18:00:08</t>
  </si>
  <si>
    <t xml:space="preserve">2026-07-11 07:57:31</t>
  </si>
  <si>
    <t xml:space="preserve">2026-07-11 12:56:14</t>
  </si>
  <si>
    <t xml:space="preserve">2026-07-11 12:58:21</t>
  </si>
  <si>
    <t xml:space="preserve">2026-07-11 12:58:24</t>
  </si>
  <si>
    <t xml:space="preserve">2026-07-11 13:55:41</t>
  </si>
  <si>
    <t xml:space="preserve">2026-07-11 16:17:15</t>
  </si>
  <si>
    <t xml:space="preserve">2026-07-11 16:36:00</t>
  </si>
  <si>
    <t xml:space="preserve">2026-07-11 17:16:53</t>
  </si>
  <si>
    <t xml:space="preserve">2026-07-11 10:58:21</t>
  </si>
  <si>
    <t xml:space="preserve">2026-07-11 16:00:18</t>
  </si>
  <si>
    <t xml:space="preserve">2026-07-11 17:08:53</t>
  </si>
  <si>
    <t xml:space="preserve">2026-07-11 21:00:07</t>
  </si>
  <si>
    <t xml:space="preserve">2026-07-11 07:59:45</t>
  </si>
  <si>
    <t xml:space="preserve">2026-07-11 13:04:18</t>
  </si>
  <si>
    <t xml:space="preserve">2026-07-11 14:05:02</t>
  </si>
  <si>
    <t xml:space="preserve">2026-07-11 17:00:35</t>
  </si>
  <si>
    <t xml:space="preserve">8859205_IPSADRA</t>
  </si>
  <si>
    <t xml:space="preserve">ADIDIRA</t>
  </si>
  <si>
    <t xml:space="preserve">2026-07-11 07:53:56</t>
  </si>
  <si>
    <t xml:space="preserve">2026-07-11 14:00:09</t>
  </si>
  <si>
    <t xml:space="preserve">2026-07-11 14:57:14</t>
  </si>
  <si>
    <t xml:space="preserve">2026-07-11 17:00:49</t>
  </si>
  <si>
    <t xml:space="preserve">2026-07-11 08:58:20</t>
  </si>
  <si>
    <t xml:space="preserve">2026-07-11 15:00:16</t>
  </si>
  <si>
    <t xml:space="preserve">2026-07-11 08:58:21</t>
  </si>
  <si>
    <t xml:space="preserve">2026-07-11 15:00:18</t>
  </si>
  <si>
    <t xml:space="preserve">2026-07-11 15:59:31</t>
  </si>
  <si>
    <t xml:space="preserve">2026-07-11 19:00:14</t>
  </si>
  <si>
    <t xml:space="preserve">2026-07-11 15:59:33</t>
  </si>
  <si>
    <t xml:space="preserve">2026-07-11 19:00:20</t>
  </si>
  <si>
    <t xml:space="preserve">8858327_IPSAIZU</t>
  </si>
  <si>
    <t xml:space="preserve">AINELKZI</t>
  </si>
  <si>
    <t xml:space="preserve">2026-07-11 12:01:05</t>
  </si>
  <si>
    <t xml:space="preserve">2026-07-11 15:00:54</t>
  </si>
  <si>
    <t xml:space="preserve">2026-07-11 16:00:54</t>
  </si>
  <si>
    <t xml:space="preserve">2026-07-11 19:49:57</t>
  </si>
  <si>
    <t xml:space="preserve">2026-07-11 19:55:33</t>
  </si>
  <si>
    <t xml:space="preserve">2026-07-11 21:00:38</t>
  </si>
  <si>
    <t xml:space="preserve">2026-07-11 07:54:34</t>
  </si>
  <si>
    <t xml:space="preserve">2026-07-11 13:01:24</t>
  </si>
  <si>
    <t xml:space="preserve">2026-07-11 14:01:03</t>
  </si>
  <si>
    <t xml:space="preserve">2026-07-11 17:00:03</t>
  </si>
  <si>
    <t xml:space="preserve">8858613_IPSAIHX</t>
  </si>
  <si>
    <t xml:space="preserve">2026-07-11 10:59:52</t>
  </si>
  <si>
    <t xml:space="preserve">2026-07-11 15:00:46</t>
  </si>
  <si>
    <t xml:space="preserve">2026-07-11 15:59:24</t>
  </si>
  <si>
    <t xml:space="preserve">2026-07-11 21:00:47</t>
  </si>
  <si>
    <t xml:space="preserve">2026-07-11 07:57:33</t>
  </si>
  <si>
    <t xml:space="preserve">2026-07-11 13:00:13</t>
  </si>
  <si>
    <t xml:space="preserve">2026-07-11 13:57:55</t>
  </si>
  <si>
    <t xml:space="preserve">2026-07-11 16:25:42</t>
  </si>
  <si>
    <t xml:space="preserve">2026-07-11 16:34:02</t>
  </si>
  <si>
    <t xml:space="preserve">2026-07-11 17:00:13</t>
  </si>
  <si>
    <t xml:space="preserve">2026-07-11 07:59:43</t>
  </si>
  <si>
    <t xml:space="preserve">2026-07-11 12:00:17</t>
  </si>
  <si>
    <t xml:space="preserve">2026-07-11 02:55:45</t>
  </si>
  <si>
    <t xml:space="preserve">2026-07-11 06:59:13</t>
  </si>
  <si>
    <t xml:space="preserve">2026-07-11 06:59:39</t>
  </si>
  <si>
    <t xml:space="preserve">2026-07-11 06:59:42</t>
  </si>
  <si>
    <t xml:space="preserve">2026-07-11 07:40:06</t>
  </si>
  <si>
    <t xml:space="preserve">2026-07-11 12:00:06</t>
  </si>
  <si>
    <t xml:space="preserve">8859442_IPSAMYA</t>
  </si>
  <si>
    <t xml:space="preserve">AMMATAYA</t>
  </si>
  <si>
    <t xml:space="preserve">2026-07-11 07:59:16</t>
  </si>
  <si>
    <t xml:space="preserve">2026-07-11 12:59:46</t>
  </si>
  <si>
    <t xml:space="preserve">2026-07-11 13:58:43</t>
  </si>
  <si>
    <t xml:space="preserve">2026-07-11 17:00:12</t>
  </si>
  <si>
    <t xml:space="preserve">2026-07-11 07:53:37</t>
  </si>
  <si>
    <t xml:space="preserve">2026-07-11 12:00:53</t>
  </si>
  <si>
    <t xml:space="preserve">2026-07-11 10:56:26</t>
  </si>
  <si>
    <t xml:space="preserve">2026-07-11 17:00:08</t>
  </si>
  <si>
    <t xml:space="preserve">2026-07-11 17:55:28</t>
  </si>
  <si>
    <t xml:space="preserve">2026-07-11 21:00:05</t>
  </si>
  <si>
    <t xml:space="preserve">8858499_IPSAOSA</t>
  </si>
  <si>
    <t xml:space="preserve">AOUADYSA</t>
  </si>
  <si>
    <t xml:space="preserve">2026-07-11 07:58:49</t>
  </si>
  <si>
    <t xml:space="preserve">2026-07-11 13:30:04</t>
  </si>
  <si>
    <t xml:space="preserve">2026-07-11 14:30:04</t>
  </si>
  <si>
    <t xml:space="preserve">2026-07-11 17:00:02</t>
  </si>
  <si>
    <t xml:space="preserve">2026-07-11 08:01:35</t>
  </si>
  <si>
    <t xml:space="preserve">2026-07-11 14:02:47</t>
  </si>
  <si>
    <t xml:space="preserve">8858900_IPSARRA</t>
  </si>
  <si>
    <t xml:space="preserve">ARFAOURA</t>
  </si>
  <si>
    <t xml:space="preserve">2026-07-11 08:57:00</t>
  </si>
  <si>
    <t xml:space="preserve">2026-07-11 09:12:05</t>
  </si>
  <si>
    <t xml:space="preserve">2026-07-11 09:17:51</t>
  </si>
  <si>
    <t xml:space="preserve">2026-07-11 15:04:20</t>
  </si>
  <si>
    <t xml:space="preserve">2026-07-11 09:17:52</t>
  </si>
  <si>
    <t xml:space="preserve">2026-07-11 16:05:25</t>
  </si>
  <si>
    <t xml:space="preserve">2026-07-11 18:00:35</t>
  </si>
  <si>
    <t xml:space="preserve">2026-07-11 16:05:26</t>
  </si>
  <si>
    <t xml:space="preserve">2026-07-11 08:01:10</t>
  </si>
  <si>
    <t xml:space="preserve">2026-07-11 14:00:08</t>
  </si>
  <si>
    <t xml:space="preserve">2026-07-11 08:01:11</t>
  </si>
  <si>
    <t xml:space="preserve">8858704_IPSARHM</t>
  </si>
  <si>
    <t xml:space="preserve">ARRAKIHA</t>
  </si>
  <si>
    <t xml:space="preserve">2026-07-11 08:37:23</t>
  </si>
  <si>
    <t xml:space="preserve">2026-07-11 09:09:03</t>
  </si>
  <si>
    <t xml:space="preserve">2026-07-11 09:09:33</t>
  </si>
  <si>
    <t xml:space="preserve">2026-07-11 09:40:03</t>
  </si>
  <si>
    <t xml:space="preserve">2026-07-11 09:42:41</t>
  </si>
  <si>
    <t xml:space="preserve">2026-07-11 12:00:04</t>
  </si>
  <si>
    <t xml:space="preserve">2026-07-11 13:02:34</t>
  </si>
  <si>
    <t xml:space="preserve">2026-07-11 17:00:01</t>
  </si>
  <si>
    <t xml:space="preserve">2026-07-11 08:06:42</t>
  </si>
  <si>
    <t xml:space="preserve">2026-07-11 14:00:10</t>
  </si>
  <si>
    <t xml:space="preserve">2026-07-11 08:06:43</t>
  </si>
  <si>
    <t xml:space="preserve">2026-07-11 14:34:34</t>
  </si>
  <si>
    <t xml:space="preserve">2026-07-11 14:42:25</t>
  </si>
  <si>
    <t xml:space="preserve">2026-07-11 14:59:32</t>
  </si>
  <si>
    <t xml:space="preserve">2026-07-11 18:06:04</t>
  </si>
  <si>
    <t xml:space="preserve">2026-07-11 14:59:44</t>
  </si>
  <si>
    <t xml:space="preserve">2026-07-11 19:08:48</t>
  </si>
  <si>
    <t xml:space="preserve">2026-07-12 01:03:18</t>
  </si>
  <si>
    <t xml:space="preserve">2026-07-11 08:50:18</t>
  </si>
  <si>
    <t xml:space="preserve">2026-07-11 15:47:45</t>
  </si>
  <si>
    <t xml:space="preserve">2026-07-11 08:50:19</t>
  </si>
  <si>
    <t xml:space="preserve">2026-07-11 15:54:57</t>
  </si>
  <si>
    <t xml:space="preserve">2026-07-11 18:01:16</t>
  </si>
  <si>
    <t xml:space="preserve">2026-07-11 15:54:58</t>
  </si>
  <si>
    <t xml:space="preserve">2026-07-11 07:46:16</t>
  </si>
  <si>
    <t xml:space="preserve">2026-07-11 07:46:20</t>
  </si>
  <si>
    <t xml:space="preserve">2026-07-11 07:53:26</t>
  </si>
  <si>
    <t xml:space="preserve">2026-07-11 13:04:02</t>
  </si>
  <si>
    <t xml:space="preserve">2026-07-11 13:57:54</t>
  </si>
  <si>
    <t xml:space="preserve">2026-07-11 17:05:09</t>
  </si>
  <si>
    <t xml:space="preserve">2026-07-11 06:53:44</t>
  </si>
  <si>
    <t xml:space="preserve">2026-07-11 06:54:13</t>
  </si>
  <si>
    <t xml:space="preserve">2026-07-11 06:59:11</t>
  </si>
  <si>
    <t xml:space="preserve">2026-07-11 12:31:58</t>
  </si>
  <si>
    <t xml:space="preserve">2026-07-11 13:04:46</t>
  </si>
  <si>
    <t xml:space="preserve">2026-07-11 13:04:56</t>
  </si>
  <si>
    <t xml:space="preserve">2026-07-11 14:00:33</t>
  </si>
  <si>
    <t xml:space="preserve">2026-07-11 17:42:11</t>
  </si>
  <si>
    <t xml:space="preserve">2026-07-11 08:02:06</t>
  </si>
  <si>
    <t xml:space="preserve">2026-07-11 13:00:09</t>
  </si>
  <si>
    <t xml:space="preserve">2026-07-11 14:02:27</t>
  </si>
  <si>
    <t xml:space="preserve">2026-07-11 17:02:32</t>
  </si>
  <si>
    <t xml:space="preserve">2026-07-11 08:00:21</t>
  </si>
  <si>
    <t xml:space="preserve">2026-07-11 14:00:18</t>
  </si>
  <si>
    <t xml:space="preserve">2026-07-11 07:59:55</t>
  </si>
  <si>
    <t xml:space="preserve">2026-07-11 14:00:57</t>
  </si>
  <si>
    <t xml:space="preserve">2026-07-11 08:00:39</t>
  </si>
  <si>
    <t xml:space="preserve">2026-07-11 12:01:16</t>
  </si>
  <si>
    <t xml:space="preserve">2026-07-11 08:36:17</t>
  </si>
  <si>
    <t xml:space="preserve">2026-07-11 13:10:54</t>
  </si>
  <si>
    <t xml:space="preserve">2026-07-11 14:10:33</t>
  </si>
  <si>
    <t xml:space="preserve">2026-07-11 17:00:44</t>
  </si>
  <si>
    <t xml:space="preserve">2026-07-11 08:04:54</t>
  </si>
  <si>
    <t xml:space="preserve">2026-07-11 09:09:55</t>
  </si>
  <si>
    <t xml:space="preserve">2026-07-11 09:09:57</t>
  </si>
  <si>
    <t xml:space="preserve">2026-07-11 14:00:07</t>
  </si>
  <si>
    <t xml:space="preserve">8858508_IPSBRHM</t>
  </si>
  <si>
    <t xml:space="preserve">BARNASHA</t>
  </si>
  <si>
    <t xml:space="preserve">2026-07-11 08:54:02</t>
  </si>
  <si>
    <t xml:space="preserve">2026-07-11 09:46:34</t>
  </si>
  <si>
    <t xml:space="preserve">2026-07-11 09:47:20</t>
  </si>
  <si>
    <t xml:space="preserve">2026-07-11 09:55:38</t>
  </si>
  <si>
    <t xml:space="preserve">2026-07-11 09:56:13</t>
  </si>
  <si>
    <t xml:space="preserve">2026-07-11 12:21:20</t>
  </si>
  <si>
    <t xml:space="preserve">2026-07-11 12:21:50</t>
  </si>
  <si>
    <t xml:space="preserve">2026-07-11 14:06:00</t>
  </si>
  <si>
    <t xml:space="preserve">2026-07-11 15:08:04</t>
  </si>
  <si>
    <t xml:space="preserve">2026-07-11 18:43:40</t>
  </si>
  <si>
    <t xml:space="preserve">2026-07-11 18:44:10</t>
  </si>
  <si>
    <t xml:space="preserve">2026-07-11 19:00:05</t>
  </si>
  <si>
    <t xml:space="preserve">8858516_IPSBATX</t>
  </si>
  <si>
    <t xml:space="preserve">BATH</t>
  </si>
  <si>
    <t xml:space="preserve">2026-07-11 07:51:45</t>
  </si>
  <si>
    <t xml:space="preserve">2026-07-11 14:00:16</t>
  </si>
  <si>
    <t xml:space="preserve">2026-07-11 08:00:49</t>
  </si>
  <si>
    <t xml:space="preserve">2026-07-11 12:00:23</t>
  </si>
  <si>
    <t xml:space="preserve">2026-07-11 07:58:42</t>
  </si>
  <si>
    <t xml:space="preserve">2026-07-11 14:00:17</t>
  </si>
  <si>
    <t xml:space="preserve">2026-07-11 07:58:43</t>
  </si>
  <si>
    <t xml:space="preserve">2026-07-11 07:47:19</t>
  </si>
  <si>
    <t xml:space="preserve">2026-07-11 07:47:22</t>
  </si>
  <si>
    <t xml:space="preserve">2026-07-11 08:00:25</t>
  </si>
  <si>
    <t xml:space="preserve">2026-07-11 12:01:15</t>
  </si>
  <si>
    <t xml:space="preserve">8859226_IPSBEAM</t>
  </si>
  <si>
    <t xml:space="preserve">BEJAOUAM</t>
  </si>
  <si>
    <t xml:space="preserve">2026-07-11 20:52:11</t>
  </si>
  <si>
    <t xml:space="preserve">2026-07-12 04:03:38</t>
  </si>
  <si>
    <t xml:space="preserve">2026-07-11 08:58:37</t>
  </si>
  <si>
    <t xml:space="preserve">2026-07-11 12:01:58</t>
  </si>
  <si>
    <t xml:space="preserve">2026-07-11 13:00:20</t>
  </si>
  <si>
    <t xml:space="preserve">2026-07-11 14:43:17</t>
  </si>
  <si>
    <t xml:space="preserve">2026-07-11 14:43:53</t>
  </si>
  <si>
    <t xml:space="preserve">2026-07-11 14:50:20</t>
  </si>
  <si>
    <t xml:space="preserve">2026-07-11 14:50:21</t>
  </si>
  <si>
    <t xml:space="preserve">2026-07-11 16:39:03</t>
  </si>
  <si>
    <t xml:space="preserve">2026-07-11 14:50:22</t>
  </si>
  <si>
    <t xml:space="preserve">2026-07-11 16:39:05</t>
  </si>
  <si>
    <t xml:space="preserve">2026-07-11 18:07:01</t>
  </si>
  <si>
    <t xml:space="preserve">2026-07-11 08:36:41</t>
  </si>
  <si>
    <t xml:space="preserve">2026-07-11 08:36:46</t>
  </si>
  <si>
    <t xml:space="preserve">2026-07-11 12:00:09</t>
  </si>
  <si>
    <t xml:space="preserve">2026-07-11 13:00:26</t>
  </si>
  <si>
    <t xml:space="preserve">8859275_IPSBEIK</t>
  </si>
  <si>
    <t xml:space="preserve">BELFAKIK</t>
  </si>
  <si>
    <t xml:space="preserve">2026-07-11 07:58:58</t>
  </si>
  <si>
    <t xml:space="preserve">2026-07-11 14:41:13</t>
  </si>
  <si>
    <t xml:space="preserve">2026-07-11 15:42:13</t>
  </si>
  <si>
    <t xml:space="preserve">8858872_IPSBERJ</t>
  </si>
  <si>
    <t xml:space="preserve">BELGACRA</t>
  </si>
  <si>
    <t xml:space="preserve">2026-07-11 11:08:59</t>
  </si>
  <si>
    <t xml:space="preserve">2026-07-11 11:09:01</t>
  </si>
  <si>
    <t xml:space="preserve">2026-07-11 11:10:09</t>
  </si>
  <si>
    <t xml:space="preserve">2026-07-11 12:35:37</t>
  </si>
  <si>
    <t xml:space="preserve">2026-07-11 12:37:08</t>
  </si>
  <si>
    <t xml:space="preserve">2026-07-11 15:00:50</t>
  </si>
  <si>
    <t xml:space="preserve">2026-07-11 18:59:37</t>
  </si>
  <si>
    <t xml:space="preserve">2026-07-11 18:59:42</t>
  </si>
  <si>
    <t xml:space="preserve">2026-07-11 19:00:17</t>
  </si>
  <si>
    <t xml:space="preserve">2026-07-11 19:03:57</t>
  </si>
  <si>
    <t xml:space="preserve">2026-07-11 19:11:39</t>
  </si>
  <si>
    <t xml:space="preserve">2026-07-11 19:17:34</t>
  </si>
  <si>
    <t xml:space="preserve">2026-07-11 19:18:18</t>
  </si>
  <si>
    <t xml:space="preserve">2026-07-11 07:59:09</t>
  </si>
  <si>
    <t xml:space="preserve">2026-07-11 13:22:22</t>
  </si>
  <si>
    <t xml:space="preserve">2026-07-11 14:49:05</t>
  </si>
  <si>
    <t xml:space="preserve">2026-07-11 17:00:40</t>
  </si>
  <si>
    <t xml:space="preserve">2026-07-11 08:07:11</t>
  </si>
  <si>
    <t xml:space="preserve">2026-07-11 14:06:13</t>
  </si>
  <si>
    <t xml:space="preserve">2026-07-11 07:59:15</t>
  </si>
  <si>
    <t xml:space="preserve">2026-07-11 12:00:02</t>
  </si>
  <si>
    <t xml:space="preserve">2026-07-11 12:59:42</t>
  </si>
  <si>
    <t xml:space="preserve">2026-07-11 17:00:27</t>
  </si>
  <si>
    <t xml:space="preserve">2026-07-11 07:59:12</t>
  </si>
  <si>
    <t xml:space="preserve">2026-07-11 09:15:15</t>
  </si>
  <si>
    <t xml:space="preserve">2026-07-11 09:16:59</t>
  </si>
  <si>
    <t xml:space="preserve">2026-07-11 10:39:26</t>
  </si>
  <si>
    <t xml:space="preserve">2026-07-11 10:44:01</t>
  </si>
  <si>
    <t xml:space="preserve">2026-07-11 12:42:01</t>
  </si>
  <si>
    <t xml:space="preserve">2026-07-11 12:45:07</t>
  </si>
  <si>
    <t xml:space="preserve">8858796_IPSBMIL</t>
  </si>
  <si>
    <t xml:space="preserve">BELLARIL</t>
  </si>
  <si>
    <t xml:space="preserve">2026-07-11 08:03:10</t>
  </si>
  <si>
    <t xml:space="preserve">2026-07-11 08:33:14</t>
  </si>
  <si>
    <t xml:space="preserve">2026-07-11 08:34:05</t>
  </si>
  <si>
    <t xml:space="preserve">2026-07-11 14:02:56</t>
  </si>
  <si>
    <t xml:space="preserve">2026-07-11 10:58:54</t>
  </si>
  <si>
    <t xml:space="preserve">2026-07-11 16:01:11</t>
  </si>
  <si>
    <t xml:space="preserve">2026-07-11 10:59:02</t>
  </si>
  <si>
    <t xml:space="preserve">2026-07-11 16:00:59</t>
  </si>
  <si>
    <t xml:space="preserve">2026-07-11 16:59:51</t>
  </si>
  <si>
    <t xml:space="preserve">2026-07-11 21:00:12</t>
  </si>
  <si>
    <t xml:space="preserve">2026-07-11 21:00:40</t>
  </si>
  <si>
    <t xml:space="preserve">2026-07-11 21:00:21</t>
  </si>
  <si>
    <t xml:space="preserve">2026-07-11 21:00:29</t>
  </si>
  <si>
    <t xml:space="preserve">8859108_IPSBECH</t>
  </si>
  <si>
    <t xml:space="preserve">BENABDCH</t>
  </si>
  <si>
    <t xml:space="preserve">2026-07-11 08:47:46</t>
  </si>
  <si>
    <t xml:space="preserve">2026-07-11 08:47:51</t>
  </si>
  <si>
    <t xml:space="preserve">2026-07-11 08:47:47</t>
  </si>
  <si>
    <t xml:space="preserve">2026-07-11 08:55:34</t>
  </si>
  <si>
    <t xml:space="preserve">2026-07-11 08:55:40</t>
  </si>
  <si>
    <t xml:space="preserve">2026-07-11 08:55:44</t>
  </si>
  <si>
    <t xml:space="preserve">2026-07-11 14:30:03</t>
  </si>
  <si>
    <t xml:space="preserve">2026-07-11 15:27:46</t>
  </si>
  <si>
    <t xml:space="preserve">2026-07-11 18:01:56</t>
  </si>
  <si>
    <t xml:space="preserve">8858418_IPSBESP</t>
  </si>
  <si>
    <t xml:space="preserve">BENABDSR</t>
  </si>
  <si>
    <t xml:space="preserve">2026-07-11 07:54:21</t>
  </si>
  <si>
    <t xml:space="preserve">2026-07-11 10:30:15</t>
  </si>
  <si>
    <t xml:space="preserve">2026-07-11 10:39:15</t>
  </si>
  <si>
    <t xml:space="preserve">2026-07-11 14:00:32</t>
  </si>
  <si>
    <t xml:space="preserve">2026-07-11 17:04:21</t>
  </si>
  <si>
    <t xml:space="preserve">2026-07-11 03:56:18</t>
  </si>
  <si>
    <t xml:space="preserve">2026-07-11 07:16:13</t>
  </si>
  <si>
    <t xml:space="preserve">2026-07-11 13:17:10</t>
  </si>
  <si>
    <t xml:space="preserve">2026-07-11 14:10:06</t>
  </si>
  <si>
    <t xml:space="preserve">2026-07-11 17:02:38</t>
  </si>
  <si>
    <t xml:space="preserve">2026-07-11 07:57:56</t>
  </si>
  <si>
    <t xml:space="preserve">2026-07-11 07:57:58</t>
  </si>
  <si>
    <t xml:space="preserve">2026-07-11 14:00:02</t>
  </si>
  <si>
    <t xml:space="preserve">2026-07-11 08:46:02</t>
  </si>
  <si>
    <t xml:space="preserve">2026-07-11 08:46:25</t>
  </si>
  <si>
    <t xml:space="preserve">2026-07-11 08:47:08</t>
  </si>
  <si>
    <t xml:space="preserve">2026-07-11 13:00:02</t>
  </si>
  <si>
    <t xml:space="preserve">2026-07-11 14:00:37</t>
  </si>
  <si>
    <t xml:space="preserve">2026-07-11 16:16:56</t>
  </si>
  <si>
    <t xml:space="preserve">2026-07-11 16:18:38</t>
  </si>
  <si>
    <t xml:space="preserve">2026-07-11 16:31:40</t>
  </si>
  <si>
    <t xml:space="preserve">2026-07-11 16:53:59</t>
  </si>
  <si>
    <t xml:space="preserve">2026-07-11 17:00:00</t>
  </si>
  <si>
    <t xml:space="preserve">2026-07-11 08:52:55</t>
  </si>
  <si>
    <t xml:space="preserve">2026-07-11 14:59:52</t>
  </si>
  <si>
    <t xml:space="preserve">2026-07-11 14:59:54</t>
  </si>
  <si>
    <t xml:space="preserve">2026-07-11 15:59:55</t>
  </si>
  <si>
    <t xml:space="preserve">2026-07-11 16:40:20</t>
  </si>
  <si>
    <t xml:space="preserve">2026-07-11 16:47:01</t>
  </si>
  <si>
    <t xml:space="preserve">2026-07-11 18:00:46</t>
  </si>
  <si>
    <t xml:space="preserve">2026-07-11 18:00:47</t>
  </si>
  <si>
    <t xml:space="preserve">2026-07-11 08:07:23</t>
  </si>
  <si>
    <t xml:space="preserve">2026-07-11 08:12:57</t>
  </si>
  <si>
    <t xml:space="preserve">2026-07-11 12:46:39</t>
  </si>
  <si>
    <t xml:space="preserve">2026-07-11 17:03:38</t>
  </si>
  <si>
    <t xml:space="preserve">2026-07-11 09:00:04</t>
  </si>
  <si>
    <t xml:space="preserve">2026-07-11 13:45:04</t>
  </si>
  <si>
    <t xml:space="preserve">2026-07-11 14:45:57</t>
  </si>
  <si>
    <t xml:space="preserve">2026-07-11 18:00:07</t>
  </si>
  <si>
    <t xml:space="preserve">2026-07-11 06:54:56</t>
  </si>
  <si>
    <t xml:space="preserve">2026-07-11 06:55:01</t>
  </si>
  <si>
    <t xml:space="preserve">2026-07-11 06:56:09</t>
  </si>
  <si>
    <t xml:space="preserve">2026-07-11 13:01:34</t>
  </si>
  <si>
    <t xml:space="preserve">2026-07-11 13:58:46</t>
  </si>
  <si>
    <t xml:space="preserve">2026-07-11 17:00:15</t>
  </si>
  <si>
    <t xml:space="preserve">2026-07-11 08:59:59</t>
  </si>
  <si>
    <t xml:space="preserve">2026-07-11 14:10:12</t>
  </si>
  <si>
    <t xml:space="preserve">2026-07-11 15:09:25</t>
  </si>
  <si>
    <t xml:space="preserve">2026-07-11 18:00:04</t>
  </si>
  <si>
    <t xml:space="preserve">2026-07-11 10:57:51</t>
  </si>
  <si>
    <t xml:space="preserve">2026-07-11 16:00:23</t>
  </si>
  <si>
    <t xml:space="preserve">2026-07-11 17:02:30</t>
  </si>
  <si>
    <t xml:space="preserve">2026-07-11 18:07:16</t>
  </si>
  <si>
    <t xml:space="preserve">2026-07-11 18:08:42</t>
  </si>
  <si>
    <t xml:space="preserve">2026-07-11 11:01:29</t>
  </si>
  <si>
    <t xml:space="preserve">2026-07-11 16:00:07</t>
  </si>
  <si>
    <t xml:space="preserve">2026-07-11 17:03:01</t>
  </si>
  <si>
    <t xml:space="preserve">2026-07-11 21:00:13</t>
  </si>
  <si>
    <t xml:space="preserve">2026-07-11 07:58:41</t>
  </si>
  <si>
    <t xml:space="preserve">2026-07-11 13:16:53</t>
  </si>
  <si>
    <t xml:space="preserve">2026-07-11 13:16:56</t>
  </si>
  <si>
    <t xml:space="preserve">2026-07-11 14:00:20</t>
  </si>
  <si>
    <t xml:space="preserve">2026-07-11 12:05:05</t>
  </si>
  <si>
    <t xml:space="preserve">2026-07-11 13:12:12</t>
  </si>
  <si>
    <t xml:space="preserve">8858125_IPSBENJ</t>
  </si>
  <si>
    <t xml:space="preserve">BENJEZSO</t>
  </si>
  <si>
    <t xml:space="preserve">2026-07-11 09:08:43</t>
  </si>
  <si>
    <t xml:space="preserve">2026-07-11 10:12:11</t>
  </si>
  <si>
    <t xml:space="preserve">YAKOUBAN</t>
  </si>
  <si>
    <t xml:space="preserve">2026-07-11 10:12:14</t>
  </si>
  <si>
    <t xml:space="preserve">2026-07-11 14:06:43</t>
  </si>
  <si>
    <t xml:space="preserve">2026-07-11 08:00:19</t>
  </si>
  <si>
    <t xml:space="preserve">2026-07-11 14:00:19</t>
  </si>
  <si>
    <t xml:space="preserve">2026-07-11 08:00:04</t>
  </si>
  <si>
    <t xml:space="preserve">2026-07-11 14:00:06</t>
  </si>
  <si>
    <t xml:space="preserve">2026-07-11 14:26:32</t>
  </si>
  <si>
    <t xml:space="preserve">2026-07-11 20:26:42</t>
  </si>
  <si>
    <t xml:space="preserve">8859110_IPSBETH</t>
  </si>
  <si>
    <t xml:space="preserve">BENMAKTH</t>
  </si>
  <si>
    <t xml:space="preserve">2026-07-11 07:58:48</t>
  </si>
  <si>
    <t xml:space="preserve">2026-07-11 12:32:38</t>
  </si>
  <si>
    <t xml:space="preserve">2026-07-11 13:29:17</t>
  </si>
  <si>
    <t xml:space="preserve">2026-07-11 17:01:32</t>
  </si>
  <si>
    <t xml:space="preserve">8858331_IPSBNSZ</t>
  </si>
  <si>
    <t xml:space="preserve">BENMESIS</t>
  </si>
  <si>
    <t xml:space="preserve">2026-07-11 09:00:02</t>
  </si>
  <si>
    <t xml:space="preserve">2026-07-11 14:00:27</t>
  </si>
  <si>
    <t xml:space="preserve">2026-07-11 15:01:28</t>
  </si>
  <si>
    <t xml:space="preserve">2026-07-11 19:00:21</t>
  </si>
  <si>
    <t xml:space="preserve">8859243_IPSTBMM</t>
  </si>
  <si>
    <t xml:space="preserve">BENMTAMO</t>
  </si>
  <si>
    <t xml:space="preserve">2026-07-11 20:49:33</t>
  </si>
  <si>
    <t xml:space="preserve">2026-07-12 04:49:33</t>
  </si>
  <si>
    <t xml:space="preserve">2026-07-11 08:53:01</t>
  </si>
  <si>
    <t xml:space="preserve">2026-07-11 13:35:37</t>
  </si>
  <si>
    <t xml:space="preserve">2026-07-11 14:22:46</t>
  </si>
  <si>
    <t xml:space="preserve">2026-07-11 18:00:09</t>
  </si>
  <si>
    <t xml:space="preserve">8859575_IPSBEZB</t>
  </si>
  <si>
    <t xml:space="preserve">BENNISZI</t>
  </si>
  <si>
    <t xml:space="preserve">2026-07-11 08:59:06</t>
  </si>
  <si>
    <t xml:space="preserve">2026-07-11 13:00:19</t>
  </si>
  <si>
    <t xml:space="preserve">2026-07-11 17:46:34</t>
  </si>
  <si>
    <t xml:space="preserve">2026-07-11 17:47:10</t>
  </si>
  <si>
    <t xml:space="preserve">2026-07-11 18:00:23</t>
  </si>
  <si>
    <t xml:space="preserve">2026-07-11 07:50:31</t>
  </si>
  <si>
    <t xml:space="preserve">2026-07-11 12:58:43</t>
  </si>
  <si>
    <t xml:space="preserve">2026-07-11 07:59:24</t>
  </si>
  <si>
    <t xml:space="preserve">2026-07-11 13:27:53</t>
  </si>
  <si>
    <t xml:space="preserve">2026-07-11 13:31:43</t>
  </si>
  <si>
    <t xml:space="preserve">2026-07-11 13:32:28</t>
  </si>
  <si>
    <t xml:space="preserve">2026-07-11 13:33:29</t>
  </si>
  <si>
    <t xml:space="preserve">2026-07-11 14:30:20</t>
  </si>
  <si>
    <t xml:space="preserve">2026-07-11 15:30:02</t>
  </si>
  <si>
    <t xml:space="preserve">2026-07-11 17:01:02</t>
  </si>
  <si>
    <t xml:space="preserve">2026-07-11 08:58:48</t>
  </si>
  <si>
    <t xml:space="preserve">2026-07-11 13:45:18</t>
  </si>
  <si>
    <t xml:space="preserve">2026-07-11 14:43:59</t>
  </si>
  <si>
    <t xml:space="preserve">2026-07-11 18:00:17</t>
  </si>
  <si>
    <t xml:space="preserve">2026-07-11 09:59:30</t>
  </si>
  <si>
    <t xml:space="preserve">2026-07-11 14:00:00</t>
  </si>
  <si>
    <t xml:space="preserve">2026-07-11 14:59:43</t>
  </si>
  <si>
    <t xml:space="preserve">2026-07-11 19:01:37</t>
  </si>
  <si>
    <t xml:space="preserve">2026-07-11 08:05:45</t>
  </si>
  <si>
    <t xml:space="preserve">2026-07-11 12:01:20</t>
  </si>
  <si>
    <t xml:space="preserve">2026-07-11 07:59:20</t>
  </si>
  <si>
    <t xml:space="preserve">2026-07-11 12:32:07</t>
  </si>
  <si>
    <t xml:space="preserve">2026-07-11 13:32:01</t>
  </si>
  <si>
    <t xml:space="preserve">2026-07-11 17:00:34</t>
  </si>
  <si>
    <t xml:space="preserve">8858646_IPSBSYA</t>
  </si>
  <si>
    <t xml:space="preserve">BENSMIYA</t>
  </si>
  <si>
    <t xml:space="preserve">2026-07-11 08:53:15</t>
  </si>
  <si>
    <t xml:space="preserve">2026-07-11 13:35:11</t>
  </si>
  <si>
    <t xml:space="preserve">2026-07-11 14:33:15</t>
  </si>
  <si>
    <t xml:space="preserve">2026-07-11 18:05:55</t>
  </si>
  <si>
    <t xml:space="preserve">2026-07-11 18:16:53</t>
  </si>
  <si>
    <t xml:space="preserve">2026-07-11 18:18:09</t>
  </si>
  <si>
    <t xml:space="preserve">8858750_IPSBEHS</t>
  </si>
  <si>
    <t xml:space="preserve">BERRIRHA</t>
  </si>
  <si>
    <t xml:space="preserve">2026-07-11 08:04:04</t>
  </si>
  <si>
    <t xml:space="preserve">2026-07-11 14:06:19</t>
  </si>
  <si>
    <t xml:space="preserve">2026-07-11 07:41:13</t>
  </si>
  <si>
    <t xml:space="preserve">2026-07-11 07:41:14</t>
  </si>
  <si>
    <t xml:space="preserve">2026-07-11 12:00:10</t>
  </si>
  <si>
    <t xml:space="preserve">2026-07-11 08:00:48</t>
  </si>
  <si>
    <t xml:space="preserve">2026-07-11 12:00:16</t>
  </si>
  <si>
    <t xml:space="preserve">8859253_IPSBZSM</t>
  </si>
  <si>
    <t xml:space="preserve">BOUAZISU</t>
  </si>
  <si>
    <t xml:space="preserve">2026-07-11 08:56:58</t>
  </si>
  <si>
    <t xml:space="preserve">2026-07-11 14:41:44</t>
  </si>
  <si>
    <t xml:space="preserve">2026-07-11 15:40:07</t>
  </si>
  <si>
    <t xml:space="preserve">2026-07-11 18:01:41</t>
  </si>
  <si>
    <t xml:space="preserve">8858770_IPSDOWN</t>
  </si>
  <si>
    <t xml:space="preserve">BOUCHANE</t>
  </si>
  <si>
    <t xml:space="preserve">2026-07-11 10:59:59</t>
  </si>
  <si>
    <t xml:space="preserve">2026-07-11 12:30:04</t>
  </si>
  <si>
    <t xml:space="preserve">2026-07-11 12:34:49</t>
  </si>
  <si>
    <t xml:space="preserve">2026-07-11 13:05:45</t>
  </si>
  <si>
    <t xml:space="preserve">2026-07-11 14:10:56</t>
  </si>
  <si>
    <t xml:space="preserve">2026-07-11 16:27:43</t>
  </si>
  <si>
    <t xml:space="preserve">2026-07-11 16:27:45</t>
  </si>
  <si>
    <t xml:space="preserve">2026-07-11 19:00:03</t>
  </si>
  <si>
    <t xml:space="preserve">8859580_IPSBORM</t>
  </si>
  <si>
    <t xml:space="preserve">BOUHALRI</t>
  </si>
  <si>
    <t xml:space="preserve">2026-07-11 08:53:42</t>
  </si>
  <si>
    <t xml:space="preserve">2026-07-11 12:57:28</t>
  </si>
  <si>
    <t xml:space="preserve">2026-07-11 13:59:35</t>
  </si>
  <si>
    <t xml:space="preserve">2026-07-11 08:35:34</t>
  </si>
  <si>
    <t xml:space="preserve">2026-07-11 13:15:49</t>
  </si>
  <si>
    <t xml:space="preserve">2026-07-11 13:16:04</t>
  </si>
  <si>
    <t xml:space="preserve">2026-07-11 17:00:37</t>
  </si>
  <si>
    <t xml:space="preserve">2026-07-11 08:00:01</t>
  </si>
  <si>
    <t xml:space="preserve">2026-07-11 08:00:31</t>
  </si>
  <si>
    <t xml:space="preserve">2026-07-11 12:00:51</t>
  </si>
  <si>
    <t xml:space="preserve">2026-07-11 07:50:46</t>
  </si>
  <si>
    <t xml:space="preserve">2026-07-11 12:05:45</t>
  </si>
  <si>
    <t xml:space="preserve">2026-07-11 07:57:09</t>
  </si>
  <si>
    <t xml:space="preserve">2026-07-11 12:05:47</t>
  </si>
  <si>
    <t xml:space="preserve">2026-07-11 07:59:34</t>
  </si>
  <si>
    <t xml:space="preserve">2026-07-11 12:00:13</t>
  </si>
  <si>
    <t xml:space="preserve">2026-07-11 07:51:01</t>
  </si>
  <si>
    <t xml:space="preserve">2026-07-11 12:00:37</t>
  </si>
  <si>
    <t xml:space="preserve">8859558_IPSBRHS</t>
  </si>
  <si>
    <t xml:space="preserve">2026-07-11 07:49:57</t>
  </si>
  <si>
    <t xml:space="preserve">2026-07-11 09:48:53</t>
  </si>
  <si>
    <t xml:space="preserve">2026-07-11 10:11:41</t>
  </si>
  <si>
    <t xml:space="preserve">2026-07-11 13:57:46</t>
  </si>
  <si>
    <t xml:space="preserve">2026-07-11 17:00:23</t>
  </si>
  <si>
    <t xml:space="preserve">8859262_IPSBOMB</t>
  </si>
  <si>
    <t xml:space="preserve">BOURAOMA</t>
  </si>
  <si>
    <t xml:space="preserve">2026-07-11 12:02:31</t>
  </si>
  <si>
    <t xml:space="preserve">2026-07-11 12:02:34</t>
  </si>
  <si>
    <t xml:space="preserve">2026-07-11 12:02:37</t>
  </si>
  <si>
    <t xml:space="preserve">2026-07-11 17:04:17</t>
  </si>
  <si>
    <t xml:space="preserve">2026-07-11 17:56:35</t>
  </si>
  <si>
    <t xml:space="preserve">2026-07-11 22:02:29</t>
  </si>
  <si>
    <t xml:space="preserve">2026-07-11 20:03:06</t>
  </si>
  <si>
    <t xml:space="preserve">2026-07-12 04:03:06</t>
  </si>
  <si>
    <t xml:space="preserve">2026-07-11 07:56:26</t>
  </si>
  <si>
    <t xml:space="preserve">2026-07-11 07:56:41</t>
  </si>
  <si>
    <t xml:space="preserve">2026-07-11 08:03:01</t>
  </si>
  <si>
    <t xml:space="preserve">2026-07-11 14:01:58</t>
  </si>
  <si>
    <t xml:space="preserve">2026-07-11 08:24:08</t>
  </si>
  <si>
    <t xml:space="preserve">2026-07-11 14:01:37</t>
  </si>
  <si>
    <t xml:space="preserve">8859407_IPSBODN</t>
  </si>
  <si>
    <t xml:space="preserve">BOYEME</t>
  </si>
  <si>
    <t xml:space="preserve">2026-07-11 09:00:39</t>
  </si>
  <si>
    <t xml:space="preserve">2026-07-11 13:00:10</t>
  </si>
  <si>
    <t xml:space="preserve">2026-07-11 14:00:54</t>
  </si>
  <si>
    <t xml:space="preserve">2026-07-11 18:01:29</t>
  </si>
  <si>
    <t xml:space="preserve">2026-07-11 08:51:42</t>
  </si>
  <si>
    <t xml:space="preserve">2026-07-11 08:54:37</t>
  </si>
  <si>
    <t xml:space="preserve">2026-07-11 08:59:24</t>
  </si>
  <si>
    <t xml:space="preserve">2026-07-11 13:02:53</t>
  </si>
  <si>
    <t xml:space="preserve">2026-07-11 13:03:36</t>
  </si>
  <si>
    <t xml:space="preserve">2026-07-11 13:14:07</t>
  </si>
  <si>
    <t xml:space="preserve">2026-07-11 14:10:46</t>
  </si>
  <si>
    <t xml:space="preserve">2026-07-11 16:00:41</t>
  </si>
  <si>
    <t xml:space="preserve">2026-07-11 07:59:52</t>
  </si>
  <si>
    <t xml:space="preserve">2026-07-11 13:00:05</t>
  </si>
  <si>
    <t xml:space="preserve">2026-07-11 17:10:58</t>
  </si>
  <si>
    <t xml:space="preserve">2026-07-11 09:00:24</t>
  </si>
  <si>
    <t xml:space="preserve">2026-07-11 09:06:44</t>
  </si>
  <si>
    <t xml:space="preserve">2026-07-11 09:00:25</t>
  </si>
  <si>
    <t xml:space="preserve">2026-07-11 09:07:28</t>
  </si>
  <si>
    <t xml:space="preserve">2026-07-11 13:14:36</t>
  </si>
  <si>
    <t xml:space="preserve">2026-07-11 09:07:29</t>
  </si>
  <si>
    <t xml:space="preserve">2026-07-11 14:13:46</t>
  </si>
  <si>
    <t xml:space="preserve">2026-07-11 18:00:01</t>
  </si>
  <si>
    <t xml:space="preserve">2026-07-11 14:13:47</t>
  </si>
  <si>
    <t xml:space="preserve">2026-07-11 07:54:25</t>
  </si>
  <si>
    <t xml:space="preserve">2026-07-11 12:02:00</t>
  </si>
  <si>
    <t xml:space="preserve">2026-07-11 08:57:02</t>
  </si>
  <si>
    <t xml:space="preserve">2026-07-11 08:57:23</t>
  </si>
  <si>
    <t xml:space="preserve">2026-07-11 08:59:29</t>
  </si>
  <si>
    <t xml:space="preserve">2026-07-11 12:10:17</t>
  </si>
  <si>
    <t xml:space="preserve">2026-07-11 13:10:18</t>
  </si>
  <si>
    <t xml:space="preserve">2026-07-11 16:00:22</t>
  </si>
  <si>
    <t xml:space="preserve">2026-07-11 08:08:44</t>
  </si>
  <si>
    <t xml:space="preserve">2026-07-11 14:05:09</t>
  </si>
  <si>
    <t xml:space="preserve">2026-07-11 07:58:53</t>
  </si>
  <si>
    <t xml:space="preserve">2026-07-11 08:00:00</t>
  </si>
  <si>
    <t xml:space="preserve">2026-07-11 09:10:48</t>
  </si>
  <si>
    <t xml:space="preserve">2026-07-11 09:13:46</t>
  </si>
  <si>
    <t xml:space="preserve">8858182_IPSCHEH</t>
  </si>
  <si>
    <t xml:space="preserve">CHEHIDIL</t>
  </si>
  <si>
    <t xml:space="preserve">2026-07-11 10:00:14</t>
  </si>
  <si>
    <t xml:space="preserve">2026-07-11 16:00:29</t>
  </si>
  <si>
    <t xml:space="preserve">2026-07-11 08:01:49</t>
  </si>
  <si>
    <t xml:space="preserve">2026-07-11 08:30:15</t>
  </si>
  <si>
    <t xml:space="preserve">2026-07-11 08:33:41</t>
  </si>
  <si>
    <t xml:space="preserve">2026-07-11 08:42:34</t>
  </si>
  <si>
    <t xml:space="preserve">2026-07-11 08:45:15</t>
  </si>
  <si>
    <t xml:space="preserve">2026-07-11 08:53:55</t>
  </si>
  <si>
    <t xml:space="preserve">2026-07-11 08:55:56</t>
  </si>
  <si>
    <t xml:space="preserve">2026-07-11 08:59:00</t>
  </si>
  <si>
    <t xml:space="preserve">2026-07-11 09:02:59</t>
  </si>
  <si>
    <t xml:space="preserve">2026-07-11 12:56:58</t>
  </si>
  <si>
    <t xml:space="preserve">2026-07-11 12:57:33</t>
  </si>
  <si>
    <t xml:space="preserve">2026-07-11 08:35:42</t>
  </si>
  <si>
    <t xml:space="preserve">2026-07-11 08:39:02</t>
  </si>
  <si>
    <t xml:space="preserve">2026-07-11 14:00:03</t>
  </si>
  <si>
    <t xml:space="preserve">2026-07-11 08:13:11</t>
  </si>
  <si>
    <t xml:space="preserve">2026-07-11 09:09:04</t>
  </si>
  <si>
    <t xml:space="preserve">2026-07-11 13:11:44</t>
  </si>
  <si>
    <t xml:space="preserve">2026-07-11 14:09:28</t>
  </si>
  <si>
    <t xml:space="preserve">2026-07-11 07:40:57</t>
  </si>
  <si>
    <t xml:space="preserve">2026-07-11 09:06:54</t>
  </si>
  <si>
    <t xml:space="preserve">2026-07-11 07:40:58</t>
  </si>
  <si>
    <t xml:space="preserve">2026-07-11 18:30:02</t>
  </si>
  <si>
    <t xml:space="preserve">2026-07-11 19:05:26</t>
  </si>
  <si>
    <t xml:space="preserve">2026-07-11 22:43:08</t>
  </si>
  <si>
    <t xml:space="preserve">2026-07-11 23:54:24</t>
  </si>
  <si>
    <t xml:space="preserve">2026-07-11 08:00:33</t>
  </si>
  <si>
    <t xml:space="preserve">2026-07-11 08:01:20</t>
  </si>
  <si>
    <t xml:space="preserve">2026-07-11 07:59:13</t>
  </si>
  <si>
    <t xml:space="preserve">2026-07-11 07:58:44</t>
  </si>
  <si>
    <t xml:space="preserve">2026-07-11 10:44:29</t>
  </si>
  <si>
    <t xml:space="preserve">2026-07-11 11:15:37</t>
  </si>
  <si>
    <t xml:space="preserve">2026-07-11 11:17:39</t>
  </si>
  <si>
    <t xml:space="preserve">2026-07-11 11:17:45</t>
  </si>
  <si>
    <t xml:space="preserve">2026-07-11 11:17:40</t>
  </si>
  <si>
    <t xml:space="preserve">2026-07-11 11:17:44</t>
  </si>
  <si>
    <t xml:space="preserve">2026-07-11 11:17:52</t>
  </si>
  <si>
    <t xml:space="preserve">2026-07-11 11:17:54</t>
  </si>
  <si>
    <t xml:space="preserve">2026-07-11 08:57:26</t>
  </si>
  <si>
    <t xml:space="preserve">2026-07-11 15:00:22</t>
  </si>
  <si>
    <t xml:space="preserve">2026-07-11 15:57:37</t>
  </si>
  <si>
    <t xml:space="preserve">2026-07-11 15:57:38</t>
  </si>
  <si>
    <t xml:space="preserve">8859528_IPSDAAZ</t>
  </si>
  <si>
    <t xml:space="preserve">DAHMANAZ</t>
  </si>
  <si>
    <t xml:space="preserve">2026-07-11 08:03:29</t>
  </si>
  <si>
    <t xml:space="preserve">2026-07-11 12:59:29</t>
  </si>
  <si>
    <t xml:space="preserve">2026-07-11 14:13:01</t>
  </si>
  <si>
    <t xml:space="preserve">2026-07-11 17:00:17</t>
  </si>
  <si>
    <t xml:space="preserve">8858465_IPSDESA</t>
  </si>
  <si>
    <t xml:space="preserve">DEBBICSA</t>
  </si>
  <si>
    <t xml:space="preserve">2026-07-11 08:26:40</t>
  </si>
  <si>
    <t xml:space="preserve">2026-07-11 13:35:43</t>
  </si>
  <si>
    <t xml:space="preserve">2026-07-11 14:16:35</t>
  </si>
  <si>
    <t xml:space="preserve">2026-07-11 14:16:40</t>
  </si>
  <si>
    <t xml:space="preserve">2026-07-11 14:32:06</t>
  </si>
  <si>
    <t xml:space="preserve">2026-07-11 15:35:48</t>
  </si>
  <si>
    <t xml:space="preserve">2026-07-11 15:40:10</t>
  </si>
  <si>
    <t xml:space="preserve">2026-07-11 17:05:32</t>
  </si>
  <si>
    <t xml:space="preserve">2026-07-11 10:48:42</t>
  </si>
  <si>
    <t xml:space="preserve">2026-07-11 16:51:04</t>
  </si>
  <si>
    <t xml:space="preserve">2026-07-11 07:59:33</t>
  </si>
  <si>
    <t xml:space="preserve">2026-07-11 13:30:33</t>
  </si>
  <si>
    <t xml:space="preserve">2026-07-11 14:29:12</t>
  </si>
  <si>
    <t xml:space="preserve">2026-07-11 09:59:20</t>
  </si>
  <si>
    <t xml:space="preserve">2026-07-11 16:03:00</t>
  </si>
  <si>
    <t xml:space="preserve">2026-07-11 16:03:01</t>
  </si>
  <si>
    <t xml:space="preserve">2026-07-11 16:57:28</t>
  </si>
  <si>
    <t xml:space="preserve">2026-07-11 21:56:44</t>
  </si>
  <si>
    <t xml:space="preserve">2026-07-11 21:56:46</t>
  </si>
  <si>
    <t xml:space="preserve">8859595_IPSDHTO</t>
  </si>
  <si>
    <t xml:space="preserve">DHIEBNO</t>
  </si>
  <si>
    <t xml:space="preserve">2026-07-11 08:59:38</t>
  </si>
  <si>
    <t xml:space="preserve">2026-07-11 09:04:09</t>
  </si>
  <si>
    <t xml:space="preserve">2026-07-11 09:04:56</t>
  </si>
  <si>
    <t xml:space="preserve">2026-07-11 14:06:05</t>
  </si>
  <si>
    <t xml:space="preserve">2026-07-11 18:02:00</t>
  </si>
  <si>
    <t xml:space="preserve">8858630_IPSDLMM</t>
  </si>
  <si>
    <t xml:space="preserve">DIALLOOT</t>
  </si>
  <si>
    <t xml:space="preserve">2026-07-11 08:02:51</t>
  </si>
  <si>
    <t xml:space="preserve">8859714_IPSDNSL</t>
  </si>
  <si>
    <t xml:space="preserve">DINISA</t>
  </si>
  <si>
    <t xml:space="preserve">2026-07-11 09:02:27</t>
  </si>
  <si>
    <t xml:space="preserve">2026-07-11 09:58:36</t>
  </si>
  <si>
    <t xml:space="preserve">2026-07-11 09:59:42</t>
  </si>
  <si>
    <t xml:space="preserve">2026-07-11 12:36:39</t>
  </si>
  <si>
    <t xml:space="preserve">2026-07-11 12:37:22</t>
  </si>
  <si>
    <t xml:space="preserve">2026-07-11 12:39:19</t>
  </si>
  <si>
    <t xml:space="preserve">2026-07-11 12:39:50</t>
  </si>
  <si>
    <t xml:space="preserve">2026-07-11 12:46:20</t>
  </si>
  <si>
    <t xml:space="preserve">2026-07-11 14:00:04</t>
  </si>
  <si>
    <t xml:space="preserve">2026-07-11 15:00:39</t>
  </si>
  <si>
    <t xml:space="preserve">2026-07-11 17:50:06</t>
  </si>
  <si>
    <t xml:space="preserve">2026-07-11 17:50:41</t>
  </si>
  <si>
    <t xml:space="preserve">2026-07-11 19:00:11</t>
  </si>
  <si>
    <t xml:space="preserve">2026-07-11 08:16:10</t>
  </si>
  <si>
    <t xml:space="preserve">2026-07-11 11:05:59</t>
  </si>
  <si>
    <t xml:space="preserve">2026-07-11 11:07:07</t>
  </si>
  <si>
    <t xml:space="preserve">2026-07-11 14:00:12</t>
  </si>
  <si>
    <t xml:space="preserve">8858333_IPSDIOX</t>
  </si>
  <si>
    <t xml:space="preserve">2026-07-11 10:48:28</t>
  </si>
  <si>
    <t xml:space="preserve">2026-07-11 13:07:08</t>
  </si>
  <si>
    <t xml:space="preserve">2026-07-11 13:07:38</t>
  </si>
  <si>
    <t xml:space="preserve">2026-07-11 15:03:16</t>
  </si>
  <si>
    <t xml:space="preserve">2026-07-11 16:00:02</t>
  </si>
  <si>
    <t xml:space="preserve">2026-07-11 17:41:50</t>
  </si>
  <si>
    <t xml:space="preserve">2026-07-11 17:42:42</t>
  </si>
  <si>
    <t xml:space="preserve">2026-07-11 21:00:11</t>
  </si>
  <si>
    <t xml:space="preserve">2026-07-11 08:16:39</t>
  </si>
  <si>
    <t xml:space="preserve">2026-07-11 14:20:33</t>
  </si>
  <si>
    <t xml:space="preserve">2026-07-11 20:00:10</t>
  </si>
  <si>
    <t xml:space="preserve">2026-07-11 07:55:35</t>
  </si>
  <si>
    <t xml:space="preserve">2026-07-11 13:04:19</t>
  </si>
  <si>
    <t xml:space="preserve">2026-07-11 13:59:03</t>
  </si>
  <si>
    <t xml:space="preserve">2026-07-11 17:03:24</t>
  </si>
  <si>
    <t xml:space="preserve">2026-07-11 06:52:49</t>
  </si>
  <si>
    <t xml:space="preserve">2026-07-11 14:01:01</t>
  </si>
  <si>
    <t xml:space="preserve">2026-07-11 14:26:12</t>
  </si>
  <si>
    <t xml:space="preserve">2026-07-11 16:32:17</t>
  </si>
  <si>
    <t xml:space="preserve">8858053_IPSRUSH</t>
  </si>
  <si>
    <t xml:space="preserve">ELALAMAY</t>
  </si>
  <si>
    <t xml:space="preserve">2026-07-11 09:08:47</t>
  </si>
  <si>
    <t xml:space="preserve">2026-07-11 10:42:26</t>
  </si>
  <si>
    <t xml:space="preserve">2026-07-11 10:43:25</t>
  </si>
  <si>
    <t xml:space="preserve">2026-07-11 13:10:22</t>
  </si>
  <si>
    <t xml:space="preserve">2026-07-11 14:12:31</t>
  </si>
  <si>
    <t xml:space="preserve">2026-07-11 19:00:04</t>
  </si>
  <si>
    <t xml:space="preserve">2026-07-11 07:46:21</t>
  </si>
  <si>
    <t xml:space="preserve">2026-07-11 07:46:33</t>
  </si>
  <si>
    <t xml:space="preserve">2026-07-11 08:02:50</t>
  </si>
  <si>
    <t xml:space="preserve">2026-07-11 08:07:00</t>
  </si>
  <si>
    <t xml:space="preserve">2026-07-11 08:08:13</t>
  </si>
  <si>
    <t xml:space="preserve">2026-07-11 08:08:14</t>
  </si>
  <si>
    <t xml:space="preserve">2026-07-11 12:00:11</t>
  </si>
  <si>
    <t xml:space="preserve">2026-07-11 00:30:07</t>
  </si>
  <si>
    <t xml:space="preserve">2026-07-11 01:08:43</t>
  </si>
  <si>
    <t xml:space="preserve">2026-07-11 08:58:58</t>
  </si>
  <si>
    <t xml:space="preserve">2026-07-11 15:00:27</t>
  </si>
  <si>
    <t xml:space="preserve">2026-07-11 08:58:59</t>
  </si>
  <si>
    <t xml:space="preserve">2026-07-11 16:55:57</t>
  </si>
  <si>
    <t xml:space="preserve">2026-07-11 19:04:55</t>
  </si>
  <si>
    <t xml:space="preserve">2026-07-11 16:55:58</t>
  </si>
  <si>
    <t xml:space="preserve">2026-07-11 07:51:20</t>
  </si>
  <si>
    <t xml:space="preserve">2026-07-11 12:01:48</t>
  </si>
  <si>
    <t xml:space="preserve">2026-07-11 07:59:50</t>
  </si>
  <si>
    <t xml:space="preserve">2026-07-11 14:00:39</t>
  </si>
  <si>
    <t xml:space="preserve">2026-07-11 14:00:42</t>
  </si>
  <si>
    <t xml:space="preserve">2026-07-11 07:59:28</t>
  </si>
  <si>
    <t xml:space="preserve">2026-07-11 14:03:58</t>
  </si>
  <si>
    <t xml:space="preserve">2026-07-11 08:56:43</t>
  </si>
  <si>
    <t xml:space="preserve">2026-07-11 15:45:01</t>
  </si>
  <si>
    <t xml:space="preserve">2026-07-11 16:40:07</t>
  </si>
  <si>
    <t xml:space="preserve">2026-07-11 18:00:05</t>
  </si>
  <si>
    <t xml:space="preserve">8859317_IPSRLTO</t>
  </si>
  <si>
    <t xml:space="preserve">2026-07-11 16:35:58</t>
  </si>
  <si>
    <t xml:space="preserve">2026-07-11 16:37:59</t>
  </si>
  <si>
    <t xml:space="preserve">2026-07-11 07:56:10</t>
  </si>
  <si>
    <t xml:space="preserve">2026-07-11 14:10:09</t>
  </si>
  <si>
    <t xml:space="preserve">2026-07-11 15:06:48</t>
  </si>
  <si>
    <t xml:space="preserve">2026-07-11 18:00:28</t>
  </si>
  <si>
    <t xml:space="preserve">2026-07-11 07:51:52</t>
  </si>
  <si>
    <t xml:space="preserve">2026-07-11 08:23:48</t>
  </si>
  <si>
    <t xml:space="preserve">2026-07-11 08:31:37</t>
  </si>
  <si>
    <t xml:space="preserve">2026-07-11 07:52:07</t>
  </si>
  <si>
    <t xml:space="preserve">2026-07-11 12:29:19</t>
  </si>
  <si>
    <t xml:space="preserve">2026-07-11 12:29:20</t>
  </si>
  <si>
    <t xml:space="preserve">2026-07-11 14:02:06</t>
  </si>
  <si>
    <t xml:space="preserve">8858368_IPSEHGH</t>
  </si>
  <si>
    <t xml:space="preserve">ELHAJRGH</t>
  </si>
  <si>
    <t xml:space="preserve">2026-07-11 07:48:29</t>
  </si>
  <si>
    <t xml:space="preserve">2026-07-11 07:48:35</t>
  </si>
  <si>
    <t xml:space="preserve">2026-07-11 08:00:14</t>
  </si>
  <si>
    <t xml:space="preserve">2026-07-11 08:01:15</t>
  </si>
  <si>
    <t xml:space="preserve">2026-07-11 14:02:13</t>
  </si>
  <si>
    <t xml:space="preserve">2026-07-11 10:56:07</t>
  </si>
  <si>
    <t xml:space="preserve">2026-07-11 11:05:25</t>
  </si>
  <si>
    <t xml:space="preserve">2026-07-11 11:10:11</t>
  </si>
  <si>
    <t xml:space="preserve">2026-07-11 15:14:06</t>
  </si>
  <si>
    <t xml:space="preserve">2026-07-11 16:11:11</t>
  </si>
  <si>
    <t xml:space="preserve">2026-07-11 21:00:03</t>
  </si>
  <si>
    <t xml:space="preserve">2026-07-11 07:41:24</t>
  </si>
  <si>
    <t xml:space="preserve">2026-07-11 07:41:55</t>
  </si>
  <si>
    <t xml:space="preserve">2026-07-11 08:00:05</t>
  </si>
  <si>
    <t xml:space="preserve">2026-07-11 07:59:57</t>
  </si>
  <si>
    <t xml:space="preserve">2026-07-11 13:00:51</t>
  </si>
  <si>
    <t xml:space="preserve">2026-07-11 14:00:36</t>
  </si>
  <si>
    <t xml:space="preserve">2026-07-11 17:01:22</t>
  </si>
  <si>
    <t xml:space="preserve">2026-07-11 10:59:40</t>
  </si>
  <si>
    <t xml:space="preserve">2026-07-11 15:59:54</t>
  </si>
  <si>
    <t xml:space="preserve">2026-07-11 16:18:28</t>
  </si>
  <si>
    <t xml:space="preserve">2026-07-11 16:23:57</t>
  </si>
  <si>
    <t xml:space="preserve">2026-07-11 21:00:28</t>
  </si>
  <si>
    <t xml:space="preserve">2026-07-11 07:40:50</t>
  </si>
  <si>
    <t xml:space="preserve">2026-07-11 12:00:39</t>
  </si>
  <si>
    <t xml:space="preserve">8859287_IPSEAMA</t>
  </si>
  <si>
    <t xml:space="preserve">ELLOUMAM</t>
  </si>
  <si>
    <t xml:space="preserve">2026-07-11 08:54:13</t>
  </si>
  <si>
    <t xml:space="preserve">2026-07-11 13:01:01</t>
  </si>
  <si>
    <t xml:space="preserve">2026-07-11 08:59:18</t>
  </si>
  <si>
    <t xml:space="preserve">2026-07-11 13:04:41</t>
  </si>
  <si>
    <t xml:space="preserve">2026-07-11 18:00:18</t>
  </si>
  <si>
    <t xml:space="preserve">2026-07-11 14:00:22</t>
  </si>
  <si>
    <t xml:space="preserve">2026-07-11 08:02:33</t>
  </si>
  <si>
    <t xml:space="preserve">2026-07-11 14:02:35</t>
  </si>
  <si>
    <t xml:space="preserve">2026-07-11 08:02:34</t>
  </si>
  <si>
    <t xml:space="preserve">2026-07-11 08:02:38</t>
  </si>
  <si>
    <t xml:space="preserve">2026-07-11 08:00:06</t>
  </si>
  <si>
    <t xml:space="preserve">2026-07-11 09:55:20</t>
  </si>
  <si>
    <t xml:space="preserve">2026-07-11 10:55:01</t>
  </si>
  <si>
    <t xml:space="preserve">2026-07-11 17:00:24</t>
  </si>
  <si>
    <t xml:space="preserve">2026-07-11 07:40:00</t>
  </si>
  <si>
    <t xml:space="preserve">2026-07-11 12:00:24</t>
  </si>
  <si>
    <t xml:space="preserve">2026-07-11 10:59:00</t>
  </si>
  <si>
    <t xml:space="preserve">2026-07-11 15:59:32</t>
  </si>
  <si>
    <t xml:space="preserve">2026-07-11 17:07:34</t>
  </si>
  <si>
    <t xml:space="preserve">2026-07-11 19:03:11</t>
  </si>
  <si>
    <t xml:space="preserve">2026-07-11 19:03:41</t>
  </si>
  <si>
    <t xml:space="preserve">2026-07-11 21:00:15</t>
  </si>
  <si>
    <t xml:space="preserve">2026-07-11 09:00:01</t>
  </si>
  <si>
    <t xml:space="preserve">2026-07-11 13:03:19</t>
  </si>
  <si>
    <t xml:space="preserve">2026-07-11 14:02:11</t>
  </si>
  <si>
    <t xml:space="preserve">2026-07-11 10:56:49</t>
  </si>
  <si>
    <t xml:space="preserve">2026-07-11 16:04:52</t>
  </si>
  <si>
    <t xml:space="preserve">2026-07-11 17:03:27</t>
  </si>
  <si>
    <t xml:space="preserve">2026-07-11 21:00:19</t>
  </si>
  <si>
    <t xml:space="preserve">2026-07-11 08:57:27</t>
  </si>
  <si>
    <t xml:space="preserve">2026-07-11 13:04:30</t>
  </si>
  <si>
    <t xml:space="preserve">2026-07-11 13:58:40</t>
  </si>
  <si>
    <t xml:space="preserve">2026-07-11 18:01:36</t>
  </si>
  <si>
    <t xml:space="preserve">2026-07-11 07:57:48</t>
  </si>
  <si>
    <t xml:space="preserve">2026-07-11 14:03:00</t>
  </si>
  <si>
    <t xml:space="preserve">2026-07-11 07:46:39</t>
  </si>
  <si>
    <t xml:space="preserve">2026-07-11 11:14:30</t>
  </si>
  <si>
    <t xml:space="preserve">2026-07-11 07:46:40</t>
  </si>
  <si>
    <t xml:space="preserve">2026-07-11 12:00:31</t>
  </si>
  <si>
    <t xml:space="preserve">2026-07-11 11:14:33</t>
  </si>
  <si>
    <t xml:space="preserve">2026-07-11 12:00:18</t>
  </si>
  <si>
    <t xml:space="preserve">2026-07-11 08:37:02</t>
  </si>
  <si>
    <t xml:space="preserve">2026-07-11 14:14:28</t>
  </si>
  <si>
    <t xml:space="preserve">2026-07-11 14:56:42</t>
  </si>
  <si>
    <t xml:space="preserve">2026-07-11 15:32:51</t>
  </si>
  <si>
    <t xml:space="preserve">2026-07-11 15:37:47</t>
  </si>
  <si>
    <t xml:space="preserve">2026-07-11 16:18:12</t>
  </si>
  <si>
    <t xml:space="preserve">2026-07-11 16:22:50</t>
  </si>
  <si>
    <t xml:space="preserve">2026-07-11 17:06:27</t>
  </si>
  <si>
    <t xml:space="preserve">2026-07-11 08:00:17</t>
  </si>
  <si>
    <t xml:space="preserve">2026-07-11 08:00:18</t>
  </si>
  <si>
    <t xml:space="preserve">2026-07-11 08:00:23</t>
  </si>
  <si>
    <t xml:space="preserve">2026-07-11 13:02:01</t>
  </si>
  <si>
    <t xml:space="preserve">2026-07-11 13:59:28</t>
  </si>
  <si>
    <t xml:space="preserve">2026-07-11 17:03:26</t>
  </si>
  <si>
    <t xml:space="preserve">2026-07-11 07:58:56</t>
  </si>
  <si>
    <t xml:space="preserve">8859148_IPSFIYA</t>
  </si>
  <si>
    <t xml:space="preserve">FILALIYS</t>
  </si>
  <si>
    <t xml:space="preserve">2026-07-11 07:59:26</t>
  </si>
  <si>
    <t xml:space="preserve">2026-07-11 08:07:20</t>
  </si>
  <si>
    <t xml:space="preserve">2026-07-11 14:03:43</t>
  </si>
  <si>
    <t xml:space="preserve">2026-07-11 08:58:12</t>
  </si>
  <si>
    <t xml:space="preserve">2026-07-11 15:00:31</t>
  </si>
  <si>
    <t xml:space="preserve">2026-07-11 08:58:14</t>
  </si>
  <si>
    <t xml:space="preserve">2026-07-11 15:00:35</t>
  </si>
  <si>
    <t xml:space="preserve">2026-07-11 17:05:43</t>
  </si>
  <si>
    <t xml:space="preserve">2026-07-11 22:03:57</t>
  </si>
  <si>
    <t xml:space="preserve">2026-07-11 17:05:44</t>
  </si>
  <si>
    <t xml:space="preserve">2026-07-11 22:03:59</t>
  </si>
  <si>
    <t xml:space="preserve">2026-07-11 07:53:59</t>
  </si>
  <si>
    <t xml:space="preserve">2026-07-11 12:56:32</t>
  </si>
  <si>
    <t xml:space="preserve">2026-07-11 12:56:33</t>
  </si>
  <si>
    <t xml:space="preserve">2026-07-11 17:56:22</t>
  </si>
  <si>
    <t xml:space="preserve">2026-07-11 22:00:10</t>
  </si>
  <si>
    <t xml:space="preserve">8858087_IPSGHTA</t>
  </si>
  <si>
    <t xml:space="preserve">2026-07-11 08:59:53</t>
  </si>
  <si>
    <t xml:space="preserve">2026-07-11 15:51:56</t>
  </si>
  <si>
    <t xml:space="preserve">ALLEMMES</t>
  </si>
  <si>
    <t xml:space="preserve">2026-07-11 13:58:05</t>
  </si>
  <si>
    <t xml:space="preserve">2026-07-11 15:13:31</t>
  </si>
  <si>
    <t xml:space="preserve">2026-07-11 13:58:06</t>
  </si>
  <si>
    <t xml:space="preserve">2026-07-11 15:22:08</t>
  </si>
  <si>
    <t xml:space="preserve">2026-07-11 22:01:07</t>
  </si>
  <si>
    <t xml:space="preserve">2026-07-11 07:47:36</t>
  </si>
  <si>
    <t xml:space="preserve">2026-07-11 12:00:05</t>
  </si>
  <si>
    <t xml:space="preserve">2026-07-11 07:59:23</t>
  </si>
  <si>
    <t xml:space="preserve">2026-07-11 08:00:22</t>
  </si>
  <si>
    <t xml:space="preserve">2026-07-11 09:18:11</t>
  </si>
  <si>
    <t xml:space="preserve">2026-07-11 09:18:37</t>
  </si>
  <si>
    <t xml:space="preserve">2026-07-11 10:09:27</t>
  </si>
  <si>
    <t xml:space="preserve">2026-07-11 10:46:45</t>
  </si>
  <si>
    <t xml:space="preserve">2026-07-11 10:48:30</t>
  </si>
  <si>
    <t xml:space="preserve">2026-07-11 11:22:49</t>
  </si>
  <si>
    <t xml:space="preserve">2026-07-11 13:30:35</t>
  </si>
  <si>
    <t xml:space="preserve">2026-07-11 14:29:20</t>
  </si>
  <si>
    <t xml:space="preserve">2026-07-11 14:43:35</t>
  </si>
  <si>
    <t xml:space="preserve">2026-07-11 14:43:38</t>
  </si>
  <si>
    <t xml:space="preserve">2026-07-11 14:52:02</t>
  </si>
  <si>
    <t xml:space="preserve">2026-07-11 14:52:04</t>
  </si>
  <si>
    <t xml:space="preserve">2026-07-11 17:00:47</t>
  </si>
  <si>
    <t xml:space="preserve">2026-07-11 11:58:05</t>
  </si>
  <si>
    <t xml:space="preserve">2026-07-11 17:00:09</t>
  </si>
  <si>
    <t xml:space="preserve">2026-07-11 17:56:41</t>
  </si>
  <si>
    <t xml:space="preserve">2026-07-11 18:02:38</t>
  </si>
  <si>
    <t xml:space="preserve">2026-07-11 22:00:12</t>
  </si>
  <si>
    <t xml:space="preserve">2026-07-11 07:43:38</t>
  </si>
  <si>
    <t xml:space="preserve">2026-07-11 07:43:41</t>
  </si>
  <si>
    <t xml:space="preserve">2026-07-11 08:00:27</t>
  </si>
  <si>
    <t xml:space="preserve">2026-07-11 14:01:24</t>
  </si>
  <si>
    <t xml:space="preserve">2026-07-11 13:01:02</t>
  </si>
  <si>
    <t xml:space="preserve">2026-07-11 13:59:19</t>
  </si>
  <si>
    <t xml:space="preserve">2026-07-11 17:00:29</t>
  </si>
  <si>
    <t xml:space="preserve">2026-07-11 12:01:04</t>
  </si>
  <si>
    <t xml:space="preserve">2026-07-11 12:03:57</t>
  </si>
  <si>
    <t xml:space="preserve">2026-07-11 12:06:30</t>
  </si>
  <si>
    <t xml:space="preserve">2026-07-11 17:03:45</t>
  </si>
  <si>
    <t xml:space="preserve">2026-07-11 18:22:34</t>
  </si>
  <si>
    <t xml:space="preserve">2026-07-11 18:24:27</t>
  </si>
  <si>
    <t xml:space="preserve">2026-07-11 20:47:21</t>
  </si>
  <si>
    <t xml:space="preserve">2026-07-11 20:48:04</t>
  </si>
  <si>
    <t xml:space="preserve">2026-07-11 21:00:09</t>
  </si>
  <si>
    <t xml:space="preserve">2026-07-11 09:12:50</t>
  </si>
  <si>
    <t xml:space="preserve">2026-07-11 13:59:54</t>
  </si>
  <si>
    <t xml:space="preserve">2026-07-11 18:01:21</t>
  </si>
  <si>
    <t xml:space="preserve">8858652_IPSJFUT</t>
  </si>
  <si>
    <t xml:space="preserve">HAJJAJOU</t>
  </si>
  <si>
    <t xml:space="preserve">2026-07-11 08:11:00</t>
  </si>
  <si>
    <t xml:space="preserve">2026-07-11 13:40:31</t>
  </si>
  <si>
    <t xml:space="preserve">2026-07-11 08:11:02</t>
  </si>
  <si>
    <t xml:space="preserve">2026-07-11 13:40:33</t>
  </si>
  <si>
    <t xml:space="preserve">2026-07-11 13:41:06</t>
  </si>
  <si>
    <t xml:space="preserve">2026-07-11 14:00:15</t>
  </si>
  <si>
    <t xml:space="preserve">2026-07-11 13:41:07</t>
  </si>
  <si>
    <t xml:space="preserve">2026-07-11 08:02:49</t>
  </si>
  <si>
    <t xml:space="preserve">2026-07-11 07:53:12</t>
  </si>
  <si>
    <t xml:space="preserve">8858886_IPSHAHT</t>
  </si>
  <si>
    <t xml:space="preserve">HAMLAOHA</t>
  </si>
  <si>
    <t xml:space="preserve">2026-07-11 08:57:14</t>
  </si>
  <si>
    <t xml:space="preserve">2026-07-11 14:58:41</t>
  </si>
  <si>
    <t xml:space="preserve">2026-07-11 18:00:13</t>
  </si>
  <si>
    <t xml:space="preserve">2026-07-11 18:00:14</t>
  </si>
  <si>
    <t xml:space="preserve">2026-07-11 07:49:08</t>
  </si>
  <si>
    <t xml:space="preserve">2026-07-11 15:25:03</t>
  </si>
  <si>
    <t xml:space="preserve">2026-07-11 15:58:36</t>
  </si>
  <si>
    <t xml:space="preserve">2026-07-11 18:05:44</t>
  </si>
  <si>
    <t xml:space="preserve">2026-07-11 08:58:32</t>
  </si>
  <si>
    <t xml:space="preserve">2026-07-11 12:59:25</t>
  </si>
  <si>
    <t xml:space="preserve">2026-07-11 08:58:33</t>
  </si>
  <si>
    <t xml:space="preserve">2026-07-11 16:59:53</t>
  </si>
  <si>
    <t xml:space="preserve">2026-07-11 21:59:30</t>
  </si>
  <si>
    <t xml:space="preserve">8858052_IPSHAIK</t>
  </si>
  <si>
    <t xml:space="preserve">2026-07-11 12:37:13</t>
  </si>
  <si>
    <t xml:space="preserve">2026-07-11 12:52:56</t>
  </si>
  <si>
    <t xml:space="preserve">2026-07-11 12:53:15</t>
  </si>
  <si>
    <t xml:space="preserve">2026-07-11 17:08:34</t>
  </si>
  <si>
    <t xml:space="preserve">2026-07-11 17:57:54</t>
  </si>
  <si>
    <t xml:space="preserve">2026-07-11 18:03:13</t>
  </si>
  <si>
    <t xml:space="preserve">8858118_IPSHZKH</t>
  </si>
  <si>
    <t xml:space="preserve">HARAKEKH</t>
  </si>
  <si>
    <t xml:space="preserve">2026-07-11 08:32:23</t>
  </si>
  <si>
    <t xml:space="preserve">2026-07-11 08:32:25</t>
  </si>
  <si>
    <t xml:space="preserve">2026-07-11 08:32:27</t>
  </si>
  <si>
    <t xml:space="preserve">2026-07-11 09:44:19</t>
  </si>
  <si>
    <t xml:space="preserve">2026-07-11 09:53:38</t>
  </si>
  <si>
    <t xml:space="preserve">2026-07-11 09:54:12</t>
  </si>
  <si>
    <t xml:space="preserve">2026-07-11 12:02:16</t>
  </si>
  <si>
    <t xml:space="preserve">2026-07-11 13:01:33</t>
  </si>
  <si>
    <t xml:space="preserve">2026-07-11 15:15:26</t>
  </si>
  <si>
    <t xml:space="preserve">2026-07-11 15:24:09</t>
  </si>
  <si>
    <t xml:space="preserve">2026-07-11 17:00:26</t>
  </si>
  <si>
    <t xml:space="preserve">2026-07-11 07:49:15</t>
  </si>
  <si>
    <t xml:space="preserve">2026-07-11 07:49:25</t>
  </si>
  <si>
    <t xml:space="preserve">2026-07-11 08:00:13</t>
  </si>
  <si>
    <t xml:space="preserve">2026-07-11 14:00:21</t>
  </si>
  <si>
    <t xml:space="preserve">8858030_IPSHSYN</t>
  </si>
  <si>
    <t xml:space="preserve">HASSARYO</t>
  </si>
  <si>
    <t xml:space="preserve">2026-07-11 07:59:37</t>
  </si>
  <si>
    <t xml:space="preserve">2026-07-11 09:43:03</t>
  </si>
  <si>
    <t xml:space="preserve">2026-07-11 09:43:37</t>
  </si>
  <si>
    <t xml:space="preserve">2026-07-11 14:01:14</t>
  </si>
  <si>
    <t xml:space="preserve">2026-07-11 08:58:00</t>
  </si>
  <si>
    <t xml:space="preserve">2026-07-11 14:00:34</t>
  </si>
  <si>
    <t xml:space="preserve">2026-07-11 08:58:10</t>
  </si>
  <si>
    <t xml:space="preserve">2026-07-11 15:45:57</t>
  </si>
  <si>
    <t xml:space="preserve">2026-07-11 16:40:45</t>
  </si>
  <si>
    <t xml:space="preserve">2026-07-11 18:00:30</t>
  </si>
  <si>
    <t xml:space="preserve">2026-07-11 12:00:29</t>
  </si>
  <si>
    <t xml:space="preserve">2026-07-11 17:06:53</t>
  </si>
  <si>
    <t xml:space="preserve">2026-07-11 20:02:38</t>
  </si>
  <si>
    <t xml:space="preserve">2026-07-11 17:06:56</t>
  </si>
  <si>
    <t xml:space="preserve">2026-07-11 20:02:37</t>
  </si>
  <si>
    <t xml:space="preserve">2026-07-11 21:01:02</t>
  </si>
  <si>
    <t xml:space="preserve">2026-07-12 02:00:06</t>
  </si>
  <si>
    <t xml:space="preserve">2026-07-11 08:30:25</t>
  </si>
  <si>
    <t xml:space="preserve">2026-07-11 13:10:25</t>
  </si>
  <si>
    <t xml:space="preserve">2026-07-11 13:59:30</t>
  </si>
  <si>
    <t xml:space="preserve">2026-07-11 17:00:14</t>
  </si>
  <si>
    <t xml:space="preserve">2026-07-11 07:03:27</t>
  </si>
  <si>
    <t xml:space="preserve">2026-07-11 14:45:07</t>
  </si>
  <si>
    <t xml:space="preserve">2026-07-11 14:55:02</t>
  </si>
  <si>
    <t xml:space="preserve">2026-07-11 16:59:03</t>
  </si>
  <si>
    <t xml:space="preserve">8858689_IPSHOAR</t>
  </si>
  <si>
    <t xml:space="preserve">HOUIJIAR</t>
  </si>
  <si>
    <t xml:space="preserve">2026-07-11 08:31:31</t>
  </si>
  <si>
    <t xml:space="preserve">2026-07-11 12:35:02</t>
  </si>
  <si>
    <t xml:space="preserve">2026-07-11 13:34:08</t>
  </si>
  <si>
    <t xml:space="preserve">2026-07-11 07:59:46</t>
  </si>
  <si>
    <t xml:space="preserve">2026-07-11 09:24:09</t>
  </si>
  <si>
    <t xml:space="preserve">2026-07-11 10:50:24</t>
  </si>
  <si>
    <t xml:space="preserve">2026-07-11 15:09:08</t>
  </si>
  <si>
    <t xml:space="preserve">2026-07-11 18:00:15</t>
  </si>
  <si>
    <t xml:space="preserve">2026-07-11 18:54:55</t>
  </si>
  <si>
    <t xml:space="preserve">2026-07-12 01:00:06</t>
  </si>
  <si>
    <t xml:space="preserve">2026-07-11 18:54:56</t>
  </si>
  <si>
    <t xml:space="preserve">2026-07-12 01:00:08</t>
  </si>
  <si>
    <t xml:space="preserve">2026-07-11 12:39:23</t>
  </si>
  <si>
    <t xml:space="preserve">2026-07-11 12:39:56</t>
  </si>
  <si>
    <t xml:space="preserve">2026-07-11 07:47:55</t>
  </si>
  <si>
    <t xml:space="preserve">2026-07-11 07:54:35</t>
  </si>
  <si>
    <t xml:space="preserve">2026-07-11 07:57:50</t>
  </si>
  <si>
    <t xml:space="preserve">2026-07-11 14:02:36</t>
  </si>
  <si>
    <t xml:space="preserve">2026-07-11 14:02:41</t>
  </si>
  <si>
    <t xml:space="preserve">2026-07-11 14:02:54</t>
  </si>
  <si>
    <t xml:space="preserve">2026-07-11 08:00:11</t>
  </si>
  <si>
    <t xml:space="preserve">8858375_IPSJAMH</t>
  </si>
  <si>
    <t xml:space="preserve">JAOUADMH</t>
  </si>
  <si>
    <t xml:space="preserve">2026-07-11 08:28:37</t>
  </si>
  <si>
    <t xml:space="preserve">2026-07-11 13:32:34</t>
  </si>
  <si>
    <t xml:space="preserve">2026-07-11 14:29:30</t>
  </si>
  <si>
    <t xml:space="preserve">2026-07-11 17:01:16</t>
  </si>
  <si>
    <t xml:space="preserve">2026-07-11 09:14:27</t>
  </si>
  <si>
    <t xml:space="preserve">2026-07-11 15:14:48</t>
  </si>
  <si>
    <t xml:space="preserve">2026-07-11 12:04:22</t>
  </si>
  <si>
    <t xml:space="preserve">2026-07-11 13:02:12</t>
  </si>
  <si>
    <t xml:space="preserve">2026-07-11 13:05:47</t>
  </si>
  <si>
    <t xml:space="preserve">2026-07-11 13:05:56</t>
  </si>
  <si>
    <t xml:space="preserve">2026-07-11 17:00:45</t>
  </si>
  <si>
    <t xml:space="preserve">2026-07-11 11:28:43</t>
  </si>
  <si>
    <t xml:space="preserve">2026-07-11 19:00:02</t>
  </si>
  <si>
    <t xml:space="preserve">2026-07-11 13:30:53</t>
  </si>
  <si>
    <t xml:space="preserve">2026-07-11 14:30:59</t>
  </si>
  <si>
    <t xml:space="preserve">2026-07-11 18:02:10</t>
  </si>
  <si>
    <t xml:space="preserve">2026-07-11 08:25:08</t>
  </si>
  <si>
    <t xml:space="preserve">2026-07-11 13:00:01</t>
  </si>
  <si>
    <t xml:space="preserve">2026-07-11 13:59:24</t>
  </si>
  <si>
    <t xml:space="preserve">2026-07-11 08:16:56</t>
  </si>
  <si>
    <t xml:space="preserve">2026-07-11 00:49:05</t>
  </si>
  <si>
    <t xml:space="preserve">2026-07-11 05:27:16</t>
  </si>
  <si>
    <t xml:space="preserve">2026-07-11 05:27:17</t>
  </si>
  <si>
    <t xml:space="preserve">2026-07-11 06:38:39</t>
  </si>
  <si>
    <t xml:space="preserve">2026-07-11 07:16:33</t>
  </si>
  <si>
    <t xml:space="preserve">2026-07-11 06:38:40</t>
  </si>
  <si>
    <t xml:space="preserve">2026-07-11 07:16:34</t>
  </si>
  <si>
    <t xml:space="preserve">2026-07-11 07:17:27</t>
  </si>
  <si>
    <t xml:space="preserve">2026-07-11 07:48:04</t>
  </si>
  <si>
    <t xml:space="preserve">2026-07-11 10:03:13</t>
  </si>
  <si>
    <t xml:space="preserve">2026-07-11 07:50:14</t>
  </si>
  <si>
    <t xml:space="preserve">2026-07-11 10:03:15</t>
  </si>
  <si>
    <t xml:space="preserve">2026-07-11 20:16:27</t>
  </si>
  <si>
    <t xml:space="preserve">2026-07-12 04:16:27</t>
  </si>
  <si>
    <t xml:space="preserve">2026-07-11 08:07:15</t>
  </si>
  <si>
    <t xml:space="preserve">2026-07-11 08:07:26</t>
  </si>
  <si>
    <t xml:space="preserve">2026-07-11 08:07:30</t>
  </si>
  <si>
    <t xml:space="preserve">2026-07-11 13:23:13</t>
  </si>
  <si>
    <t xml:space="preserve">2026-07-11 13:23:16</t>
  </si>
  <si>
    <t xml:space="preserve">2026-07-11 17:00:07</t>
  </si>
  <si>
    <t xml:space="preserve">8859172_IPSKAHQ</t>
  </si>
  <si>
    <t xml:space="preserve">KAROUIAE</t>
  </si>
  <si>
    <t xml:space="preserve">2026-07-11 01:06:13</t>
  </si>
  <si>
    <t xml:space="preserve">2026-07-11 03:59:27</t>
  </si>
  <si>
    <t xml:space="preserve">2026-07-11 01:06:14</t>
  </si>
  <si>
    <t xml:space="preserve">2026-07-11 05:09:48</t>
  </si>
  <si>
    <t xml:space="preserve">2026-07-11 10:00:05</t>
  </si>
  <si>
    <t xml:space="preserve">2026-07-11 09:09:45</t>
  </si>
  <si>
    <t xml:space="preserve">2026-07-11 08:26:15</t>
  </si>
  <si>
    <t xml:space="preserve">2026-07-11 13:03:41</t>
  </si>
  <si>
    <t xml:space="preserve">2026-07-11 13:03:56</t>
  </si>
  <si>
    <t xml:space="preserve">2026-07-11 14:30:01</t>
  </si>
  <si>
    <t xml:space="preserve">2026-07-11 08:19:09</t>
  </si>
  <si>
    <t xml:space="preserve">2026-07-11 13:00:43</t>
  </si>
  <si>
    <t xml:space="preserve">2026-07-11 13:56:15</t>
  </si>
  <si>
    <t xml:space="preserve">2026-07-11 17:00:28</t>
  </si>
  <si>
    <t xml:space="preserve">2026-07-11 08:01:13</t>
  </si>
  <si>
    <t xml:space="preserve">2026-07-11 14:07:21</t>
  </si>
  <si>
    <t xml:space="preserve">2026-07-11 08:10:30</t>
  </si>
  <si>
    <t xml:space="preserve">2026-07-11 08:34:21</t>
  </si>
  <si>
    <t xml:space="preserve">2026-07-11 08:34:52</t>
  </si>
  <si>
    <t xml:space="preserve">2026-07-11 09:14:06</t>
  </si>
  <si>
    <t xml:space="preserve">2026-07-11 11:57:12</t>
  </si>
  <si>
    <t xml:space="preserve">2026-07-11 16:59:30</t>
  </si>
  <si>
    <t xml:space="preserve">2026-07-11 18:01:12</t>
  </si>
  <si>
    <t xml:space="preserve">2026-07-11 19:22:25</t>
  </si>
  <si>
    <t xml:space="preserve">2026-07-11 19:22:27</t>
  </si>
  <si>
    <t xml:space="preserve">2026-07-11 21:00:35</t>
  </si>
  <si>
    <t xml:space="preserve">8858775_IPSAINT</t>
  </si>
  <si>
    <t xml:space="preserve">KINANAWD</t>
  </si>
  <si>
    <t xml:space="preserve">2026-07-11 10:50:52</t>
  </si>
  <si>
    <t xml:space="preserve">2026-07-11 13:02:44</t>
  </si>
  <si>
    <t xml:space="preserve">2026-07-11 14:01:26</t>
  </si>
  <si>
    <t xml:space="preserve">2026-07-11 16:21:36</t>
  </si>
  <si>
    <t xml:space="preserve">2026-07-11 16:22:07</t>
  </si>
  <si>
    <t xml:space="preserve">2026-07-11 07:59:30</t>
  </si>
  <si>
    <t xml:space="preserve">8859124_IPSKSDH</t>
  </si>
  <si>
    <t xml:space="preserve">KSOURIDH</t>
  </si>
  <si>
    <t xml:space="preserve">2026-07-11 07:59:10</t>
  </si>
  <si>
    <t xml:space="preserve">2026-07-11 08:11:40</t>
  </si>
  <si>
    <t xml:space="preserve">2026-07-11 07:59:11</t>
  </si>
  <si>
    <t xml:space="preserve">2026-07-11 08:11:42</t>
  </si>
  <si>
    <t xml:space="preserve">2026-07-11 08:12:18</t>
  </si>
  <si>
    <t xml:space="preserve">2026-07-11 08:33:15</t>
  </si>
  <si>
    <t xml:space="preserve">2026-07-11 08:12:19</t>
  </si>
  <si>
    <t xml:space="preserve">2026-07-11 08:40:10</t>
  </si>
  <si>
    <t xml:space="preserve">2026-07-11 13:12:03</t>
  </si>
  <si>
    <t xml:space="preserve">2026-07-11 08:40:11</t>
  </si>
  <si>
    <t xml:space="preserve">2026-07-11 14:09:45</t>
  </si>
  <si>
    <t xml:space="preserve">2026-07-11 08:57:44</t>
  </si>
  <si>
    <t xml:space="preserve">2026-07-11 09:13:12</t>
  </si>
  <si>
    <t xml:space="preserve">2026-07-11 09:13:14</t>
  </si>
  <si>
    <t xml:space="preserve">2026-07-11 15:00:19</t>
  </si>
  <si>
    <t xml:space="preserve">2026-07-11 15:00:21</t>
  </si>
  <si>
    <t xml:space="preserve">2026-07-11 15:57:26</t>
  </si>
  <si>
    <t xml:space="preserve">2026-07-11 16:15:58</t>
  </si>
  <si>
    <t xml:space="preserve">2026-07-11 16:16:01</t>
  </si>
  <si>
    <t xml:space="preserve">2026-07-11 18:41:39</t>
  </si>
  <si>
    <t xml:space="preserve">2026-07-11 18:42:01</t>
  </si>
  <si>
    <t xml:space="preserve">2026-07-11 18:45:00</t>
  </si>
  <si>
    <t xml:space="preserve">2026-07-11 18:45:02</t>
  </si>
  <si>
    <t xml:space="preserve">2026-07-11 19:00:24</t>
  </si>
  <si>
    <t xml:space="preserve">2026-07-11 07:49:45</t>
  </si>
  <si>
    <t xml:space="preserve">2026-07-11 14:00:14</t>
  </si>
  <si>
    <t xml:space="preserve">8858889_IPSLASM</t>
  </si>
  <si>
    <t xml:space="preserve">LABIDISM</t>
  </si>
  <si>
    <t xml:space="preserve">2026-07-11 12:58:10</t>
  </si>
  <si>
    <t xml:space="preserve">2026-07-11 17:02:14</t>
  </si>
  <si>
    <t xml:space="preserve">2026-07-11 12:58:11</t>
  </si>
  <si>
    <t xml:space="preserve">2026-07-11 19:06:31</t>
  </si>
  <si>
    <t xml:space="preserve">2026-07-11 22:04:27</t>
  </si>
  <si>
    <t xml:space="preserve">2026-07-11 19:06:32</t>
  </si>
  <si>
    <t xml:space="preserve">2026-07-11 13:05:21</t>
  </si>
  <si>
    <t xml:space="preserve">2026-07-11 14:01:43</t>
  </si>
  <si>
    <t xml:space="preserve">2026-07-11 17:00:06</t>
  </si>
  <si>
    <t xml:space="preserve">2026-07-11 18:00:43</t>
  </si>
  <si>
    <t xml:space="preserve">2026-07-12 02:00:43</t>
  </si>
  <si>
    <t xml:space="preserve">2026-07-11 13:30:23</t>
  </si>
  <si>
    <t xml:space="preserve">2026-07-11 14:30:05</t>
  </si>
  <si>
    <t xml:space="preserve">2026-07-11 18:04:45</t>
  </si>
  <si>
    <t xml:space="preserve">2026-07-11 18:04:51</t>
  </si>
  <si>
    <t xml:space="preserve">2026-07-11 18:04:58</t>
  </si>
  <si>
    <t xml:space="preserve">2026-07-11 18:05:50</t>
  </si>
  <si>
    <t xml:space="preserve">2026-07-12 03:32:33</t>
  </si>
  <si>
    <t xml:space="preserve">2026-07-11 08:23:25</t>
  </si>
  <si>
    <t xml:space="preserve">2026-07-11 14:26:39</t>
  </si>
  <si>
    <t xml:space="preserve">8858078_IPSLEIE</t>
  </si>
  <si>
    <t xml:space="preserve">LEBIEDFI</t>
  </si>
  <si>
    <t xml:space="preserve">2026-07-11 10:51:01</t>
  </si>
  <si>
    <t xml:space="preserve">2026-07-11 11:02:13</t>
  </si>
  <si>
    <t xml:space="preserve">2026-07-11 11:07:15</t>
  </si>
  <si>
    <t xml:space="preserve">2026-07-11 11:07:40</t>
  </si>
  <si>
    <t xml:space="preserve">2026-07-11 13:26:04</t>
  </si>
  <si>
    <t xml:space="preserve">2026-07-11 13:26:50</t>
  </si>
  <si>
    <t xml:space="preserve">2026-07-11 14:02:29</t>
  </si>
  <si>
    <t xml:space="preserve">8859710_IPSLHYA</t>
  </si>
  <si>
    <t xml:space="preserve">LHANOUYA</t>
  </si>
  <si>
    <t xml:space="preserve">2026-07-11 13:02:02</t>
  </si>
  <si>
    <t xml:space="preserve">2026-07-11 13:03:40</t>
  </si>
  <si>
    <t xml:space="preserve">2026-07-11 14:01:42</t>
  </si>
  <si>
    <t xml:space="preserve">2026-07-11 07:52:38</t>
  </si>
  <si>
    <t xml:space="preserve">2026-07-11 12:00:22</t>
  </si>
  <si>
    <t xml:space="preserve">8859341_IPSLOAM</t>
  </si>
  <si>
    <t xml:space="preserve">LOUNGOAM</t>
  </si>
  <si>
    <t xml:space="preserve">2026-07-11 08:48:11</t>
  </si>
  <si>
    <t xml:space="preserve">2026-07-11 08:48:15</t>
  </si>
  <si>
    <t xml:space="preserve">2026-07-11 08:55:08</t>
  </si>
  <si>
    <t xml:space="preserve">2026-07-11 10:48:16</t>
  </si>
  <si>
    <t xml:space="preserve">2026-07-11 10:49:19</t>
  </si>
  <si>
    <t xml:space="preserve">2026-07-11 14:04:43</t>
  </si>
  <si>
    <t xml:space="preserve">2026-07-11 15:01:30</t>
  </si>
  <si>
    <t xml:space="preserve">2026-07-11 19:12:20</t>
  </si>
  <si>
    <t xml:space="preserve">8858084_IPSPACE</t>
  </si>
  <si>
    <t xml:space="preserve">LYACOUHO</t>
  </si>
  <si>
    <t xml:space="preserve">2026-07-11 08:54:09</t>
  </si>
  <si>
    <t xml:space="preserve">2026-07-11 13:06:18</t>
  </si>
  <si>
    <t xml:space="preserve">2026-07-11 14:08:52</t>
  </si>
  <si>
    <t xml:space="preserve">2026-07-11 18:32:48</t>
  </si>
  <si>
    <t xml:space="preserve">2026-07-11 18:33:18</t>
  </si>
  <si>
    <t xml:space="preserve">2026-07-11 08:19:22</t>
  </si>
  <si>
    <t xml:space="preserve">2026-07-11 11:00:56</t>
  </si>
  <si>
    <t xml:space="preserve">2026-07-11 11:01:22</t>
  </si>
  <si>
    <t xml:space="preserve">2026-07-11 13:55:05</t>
  </si>
  <si>
    <t xml:space="preserve">2026-07-11 13:55:50</t>
  </si>
  <si>
    <t xml:space="preserve">2026-07-11 14:01:00</t>
  </si>
  <si>
    <t xml:space="preserve">2026-07-11 08:40:04</t>
  </si>
  <si>
    <t xml:space="preserve">2026-07-11 17:06:11</t>
  </si>
  <si>
    <t xml:space="preserve">2026-07-11 08:22:39</t>
  </si>
  <si>
    <t xml:space="preserve">2026-07-11 14:01:17</t>
  </si>
  <si>
    <t xml:space="preserve">2026-07-11 07:57:30</t>
  </si>
  <si>
    <t xml:space="preserve">2026-07-11 08:01:00</t>
  </si>
  <si>
    <t xml:space="preserve">8858514_IPSMAHX</t>
  </si>
  <si>
    <t xml:space="preserve">MANAIHA</t>
  </si>
  <si>
    <t xml:space="preserve">2026-07-11 09:27:42</t>
  </si>
  <si>
    <t xml:space="preserve">2026-07-11 13:58:16</t>
  </si>
  <si>
    <t xml:space="preserve">2026-07-11 15:38:12</t>
  </si>
  <si>
    <t xml:space="preserve">2026-07-11 07:53:32</t>
  </si>
  <si>
    <t xml:space="preserve">2026-07-11 07:53:36</t>
  </si>
  <si>
    <t xml:space="preserve">2026-07-11 07:59:04</t>
  </si>
  <si>
    <t xml:space="preserve">2026-07-11 07:51:41</t>
  </si>
  <si>
    <t xml:space="preserve">2026-07-11 07:51:47</t>
  </si>
  <si>
    <t xml:space="preserve">2026-07-11 13:04:03</t>
  </si>
  <si>
    <t xml:space="preserve">2026-07-11 13:59:44</t>
  </si>
  <si>
    <t xml:space="preserve">2026-07-11 07:57:40</t>
  </si>
  <si>
    <t xml:space="preserve">2026-07-11 13:00:37</t>
  </si>
  <si>
    <t xml:space="preserve">8859128_IPSMAIE</t>
  </si>
  <si>
    <t xml:space="preserve">MASSAOIM</t>
  </si>
  <si>
    <t xml:space="preserve">2026-07-11 07:45:35</t>
  </si>
  <si>
    <t xml:space="preserve">2026-07-11 10:45:17</t>
  </si>
  <si>
    <t xml:space="preserve">2026-07-11 07:45:36</t>
  </si>
  <si>
    <t xml:space="preserve">2026-07-11 10:45:08</t>
  </si>
  <si>
    <t xml:space="preserve">2026-07-11 10:56:22</t>
  </si>
  <si>
    <t xml:space="preserve">2026-07-11 13:23:03</t>
  </si>
  <si>
    <t xml:space="preserve">2026-07-11 10:56:23</t>
  </si>
  <si>
    <t xml:space="preserve">2026-07-11 14:19:11</t>
  </si>
  <si>
    <t xml:space="preserve">2026-07-11 15:08:50</t>
  </si>
  <si>
    <t xml:space="preserve">2026-07-11 15:08:51</t>
  </si>
  <si>
    <t xml:space="preserve">2026-07-11 15:09:59</t>
  </si>
  <si>
    <t xml:space="preserve">2026-07-11 15:35:42</t>
  </si>
  <si>
    <t xml:space="preserve">2026-07-11 15:36:18</t>
  </si>
  <si>
    <t xml:space="preserve">2026-07-11 17:00:51</t>
  </si>
  <si>
    <t xml:space="preserve">2026-07-11 18:00:12</t>
  </si>
  <si>
    <t xml:space="preserve">2026-07-12 02:00:12</t>
  </si>
  <si>
    <t xml:space="preserve">8859356_IPSMEAD</t>
  </si>
  <si>
    <t xml:space="preserve">MEJAATAD</t>
  </si>
  <si>
    <t xml:space="preserve">2026-07-11 07:56:16</t>
  </si>
  <si>
    <t xml:space="preserve">2026-07-11 10:29:40</t>
  </si>
  <si>
    <t xml:space="preserve">2026-07-11 10:44:40</t>
  </si>
  <si>
    <t xml:space="preserve">2026-07-11 13:15:31</t>
  </si>
  <si>
    <t xml:space="preserve">2026-07-11 13:58:11</t>
  </si>
  <si>
    <t xml:space="preserve">2026-07-11 15:26:55</t>
  </si>
  <si>
    <t xml:space="preserve">2026-07-11 15:26:58</t>
  </si>
  <si>
    <t xml:space="preserve">2026-07-11 07:54:20</t>
  </si>
  <si>
    <t xml:space="preserve">2026-07-11 09:16:14</t>
  </si>
  <si>
    <t xml:space="preserve">2026-07-11 09:16:35</t>
  </si>
  <si>
    <t xml:space="preserve">2026-07-11 12:30:15</t>
  </si>
  <si>
    <t xml:space="preserve">2026-07-11 13:03:57</t>
  </si>
  <si>
    <t xml:space="preserve">2026-07-11 14:17:42</t>
  </si>
  <si>
    <t xml:space="preserve">2026-07-11 15:10:05</t>
  </si>
  <si>
    <t xml:space="preserve">2026-07-11 18:23:57</t>
  </si>
  <si>
    <t xml:space="preserve">2026-07-11 10:47:13</t>
  </si>
  <si>
    <t xml:space="preserve">2026-07-11 14:00:38</t>
  </si>
  <si>
    <t xml:space="preserve">2026-07-11 07:58:15</t>
  </si>
  <si>
    <t xml:space="preserve">2026-07-11 07:53:30</t>
  </si>
  <si>
    <t xml:space="preserve">2026-07-11 12:01:52</t>
  </si>
  <si>
    <t xml:space="preserve">2026-07-11 08:00:36</t>
  </si>
  <si>
    <t xml:space="preserve">8858106_IPSMEAY</t>
  </si>
  <si>
    <t xml:space="preserve">MEZNIAY</t>
  </si>
  <si>
    <t xml:space="preserve">2026-07-11 08:17:48</t>
  </si>
  <si>
    <t xml:space="preserve">2026-07-11 12:30:06</t>
  </si>
  <si>
    <t xml:space="preserve">2026-07-11 13:30:07</t>
  </si>
  <si>
    <t xml:space="preserve">2026-07-11 13:03:10</t>
  </si>
  <si>
    <t xml:space="preserve">2026-07-11 14:02:23</t>
  </si>
  <si>
    <t xml:space="preserve">2026-07-11 17:02:47</t>
  </si>
  <si>
    <t xml:space="preserve">2026-07-11 07:48:08</t>
  </si>
  <si>
    <t xml:space="preserve">2026-07-11 08:18:38</t>
  </si>
  <si>
    <t xml:space="preserve">2026-07-11 08:20:17</t>
  </si>
  <si>
    <t xml:space="preserve">2026-07-11 13:18:59</t>
  </si>
  <si>
    <t xml:space="preserve">2026-07-11 14:15:22</t>
  </si>
  <si>
    <t xml:space="preserve">2026-07-11 17:01:47</t>
  </si>
  <si>
    <t xml:space="preserve">8858473_IPSMIRI</t>
  </si>
  <si>
    <t xml:space="preserve">MIMOUNRI</t>
  </si>
  <si>
    <t xml:space="preserve">2026-07-11 08:24:41</t>
  </si>
  <si>
    <t xml:space="preserve">2026-07-11 12:01:25</t>
  </si>
  <si>
    <t xml:space="preserve">2026-07-11 12:59:20</t>
  </si>
  <si>
    <t xml:space="preserve">2026-07-11 12:57:12</t>
  </si>
  <si>
    <t xml:space="preserve">2026-07-11 12:57:13</t>
  </si>
  <si>
    <t xml:space="preserve">2026-07-11 13:15:32</t>
  </si>
  <si>
    <t xml:space="preserve">2026-07-11 20:04:29</t>
  </si>
  <si>
    <t xml:space="preserve">2026-07-11 13:15:33</t>
  </si>
  <si>
    <t xml:space="preserve">2026-07-11 21:00:34</t>
  </si>
  <si>
    <t xml:space="preserve">2026-07-11 22:01:27</t>
  </si>
  <si>
    <t xml:space="preserve">2026-07-11 22:01:28</t>
  </si>
  <si>
    <t xml:space="preserve">2026-07-11 07:58:29</t>
  </si>
  <si>
    <t xml:space="preserve">2026-07-11 07:58:31</t>
  </si>
  <si>
    <t xml:space="preserve">2026-07-11 08:48:59</t>
  </si>
  <si>
    <t xml:space="preserve">2026-07-11 11:21:26</t>
  </si>
  <si>
    <t xml:space="preserve">2026-07-11 11:46:40</t>
  </si>
  <si>
    <t xml:space="preserve">2026-07-11 06:24:27</t>
  </si>
  <si>
    <t xml:space="preserve">2026-07-11 06:24:30</t>
  </si>
  <si>
    <t xml:space="preserve">2026-07-11 06:24:33</t>
  </si>
  <si>
    <t xml:space="preserve">2026-07-11 06:24:37</t>
  </si>
  <si>
    <t xml:space="preserve">2026-07-11 06:59:04</t>
  </si>
  <si>
    <t xml:space="preserve">2026-07-11 13:02:11</t>
  </si>
  <si>
    <t xml:space="preserve">2026-07-11 13:59:21</t>
  </si>
  <si>
    <t xml:space="preserve">SUP_EIDS</t>
  </si>
  <si>
    <t xml:space="preserve">8858511_IPSNARA</t>
  </si>
  <si>
    <t xml:space="preserve">2026-07-11 08:03:04</t>
  </si>
  <si>
    <t xml:space="preserve">2026-07-11 08:10:33</t>
  </si>
  <si>
    <t xml:space="preserve">TAABOUSA</t>
  </si>
  <si>
    <t xml:space="preserve">8858780_IPSNAYO</t>
  </si>
  <si>
    <t xml:space="preserve">NAFFETYO</t>
  </si>
  <si>
    <t xml:space="preserve">2026-07-11 08:01:12</t>
  </si>
  <si>
    <t xml:space="preserve">8859439_IPSNAKE</t>
  </si>
  <si>
    <t xml:space="preserve">NAKHLAAY</t>
  </si>
  <si>
    <t xml:space="preserve">2026-07-11 10:56:53</t>
  </si>
  <si>
    <t xml:space="preserve">2026-07-11 15:03:53</t>
  </si>
  <si>
    <t xml:space="preserve">2026-07-11 16:05:35</t>
  </si>
  <si>
    <t xml:space="preserve">2026-07-11 21:00:06</t>
  </si>
  <si>
    <t xml:space="preserve">2026-07-11 07:59:00</t>
  </si>
  <si>
    <t xml:space="preserve">2026-07-11 12:32:24</t>
  </si>
  <si>
    <t xml:space="preserve">2026-07-11 12:32:29</t>
  </si>
  <si>
    <t xml:space="preserve">2026-07-11 14:00:41</t>
  </si>
  <si>
    <t xml:space="preserve">2026-07-11 07:58:32</t>
  </si>
  <si>
    <t xml:space="preserve">2026-07-11 14:00:43</t>
  </si>
  <si>
    <t xml:space="preserve">2026-07-11 08:07:59</t>
  </si>
  <si>
    <t xml:space="preserve">2026-07-11 08:09:41</t>
  </si>
  <si>
    <t xml:space="preserve">2026-07-11 08:10:05</t>
  </si>
  <si>
    <t xml:space="preserve">2026-07-11 14:03:19</t>
  </si>
  <si>
    <t xml:space="preserve">2026-07-11 14:03:23</t>
  </si>
  <si>
    <t xml:space="preserve">2026-07-11 14:03:39</t>
  </si>
  <si>
    <t xml:space="preserve">8858831_IPSNMMN</t>
  </si>
  <si>
    <t xml:space="preserve">NEMMAOMO</t>
  </si>
  <si>
    <t xml:space="preserve">2026-07-11 11:57:56</t>
  </si>
  <si>
    <t xml:space="preserve">2026-07-11 16:45:32</t>
  </si>
  <si>
    <t xml:space="preserve">2026-07-11 16:55:40</t>
  </si>
  <si>
    <t xml:space="preserve">2026-07-11 17:00:18</t>
  </si>
  <si>
    <t xml:space="preserve">2026-07-11 17:30:29</t>
  </si>
  <si>
    <t xml:space="preserve">2026-07-11 17:30:33</t>
  </si>
  <si>
    <t xml:space="preserve">2026-07-11 17:54:49</t>
  </si>
  <si>
    <t xml:space="preserve">2026-07-11 21:00:08</t>
  </si>
  <si>
    <t xml:space="preserve">2026-07-11 07:58:46</t>
  </si>
  <si>
    <t xml:space="preserve">2026-07-11 13:00:11</t>
  </si>
  <si>
    <t xml:space="preserve">2026-07-11 17:00:10</t>
  </si>
  <si>
    <t xml:space="preserve">2026-07-11 11:06:49</t>
  </si>
  <si>
    <t xml:space="preserve">2026-07-11 15:00:26</t>
  </si>
  <si>
    <t xml:space="preserve">2026-07-11 15:58:28</t>
  </si>
  <si>
    <t xml:space="preserve">2026-07-11 15:58:34</t>
  </si>
  <si>
    <t xml:space="preserve">2026-07-11 15:59:13</t>
  </si>
  <si>
    <t xml:space="preserve">2026-07-11 20:26:10</t>
  </si>
  <si>
    <t xml:space="preserve">2026-07-11 20:28:23</t>
  </si>
  <si>
    <t xml:space="preserve">2026-07-11 21:00:20</t>
  </si>
  <si>
    <t xml:space="preserve">2026-07-11 07:56:44</t>
  </si>
  <si>
    <t xml:space="preserve">2026-07-11 07:56:50</t>
  </si>
  <si>
    <t xml:space="preserve">2026-07-11 15:37:31</t>
  </si>
  <si>
    <t xml:space="preserve">2026-07-11 16:37:25</t>
  </si>
  <si>
    <t xml:space="preserve">2026-07-11 17:09:28</t>
  </si>
  <si>
    <t xml:space="preserve">2026-07-11 09:37:17</t>
  </si>
  <si>
    <t xml:space="preserve">2026-07-11 08:46:11</t>
  </si>
  <si>
    <t xml:space="preserve">2026-07-11 08:46:17</t>
  </si>
  <si>
    <t xml:space="preserve">2026-07-11 08:52:08</t>
  </si>
  <si>
    <t xml:space="preserve">2026-07-11 13:54:34</t>
  </si>
  <si>
    <t xml:space="preserve">2026-07-11 18:02:08</t>
  </si>
  <si>
    <t xml:space="preserve">2026-07-11 13:30:25</t>
  </si>
  <si>
    <t xml:space="preserve">2026-07-11 07:58:50</t>
  </si>
  <si>
    <t xml:space="preserve">2026-07-11 13:30:27</t>
  </si>
  <si>
    <t xml:space="preserve">2026-07-11 13:31:02</t>
  </si>
  <si>
    <t xml:space="preserve">2026-07-11 13:31:04</t>
  </si>
  <si>
    <t xml:space="preserve">2026-07-11 10:59:34</t>
  </si>
  <si>
    <t xml:space="preserve">2026-07-11 15:14:18</t>
  </si>
  <si>
    <t xml:space="preserve">2026-07-11 16:31:37</t>
  </si>
  <si>
    <t xml:space="preserve">2026-07-11 07:56:09</t>
  </si>
  <si>
    <t xml:space="preserve">2026-07-11 14:01:57</t>
  </si>
  <si>
    <t xml:space="preserve">2026-07-11 16:44:56</t>
  </si>
  <si>
    <t xml:space="preserve">2026-07-11 16:53:24</t>
  </si>
  <si>
    <t xml:space="preserve">2026-07-11 08:01:09</t>
  </si>
  <si>
    <t xml:space="preserve">2026-07-11 14:01:53</t>
  </si>
  <si>
    <t xml:space="preserve">2026-07-11 18:06:44</t>
  </si>
  <si>
    <t xml:space="preserve">2026-07-12 02:06:44</t>
  </si>
  <si>
    <t xml:space="preserve">8859382_IPSRFAD</t>
  </si>
  <si>
    <t xml:space="preserve">RAOUIFA</t>
  </si>
  <si>
    <t xml:space="preserve">2026-07-11 09:00:03</t>
  </si>
  <si>
    <t xml:space="preserve">2026-07-11 13:28:08</t>
  </si>
  <si>
    <t xml:space="preserve">2026-07-11 14:27:40</t>
  </si>
  <si>
    <t xml:space="preserve">8858787_IPSRENO</t>
  </si>
  <si>
    <t xml:space="preserve">REZGUINO</t>
  </si>
  <si>
    <t xml:space="preserve">2026-07-11 13:33:21</t>
  </si>
  <si>
    <t xml:space="preserve">2026-07-11 13:34:05</t>
  </si>
  <si>
    <t xml:space="preserve">2026-07-11 07:58:38</t>
  </si>
  <si>
    <t xml:space="preserve">2026-07-11 12:00:07</t>
  </si>
  <si>
    <t xml:space="preserve">2026-07-11 10:34:45</t>
  </si>
  <si>
    <t xml:space="preserve">2026-07-11 16:36:52</t>
  </si>
  <si>
    <t xml:space="preserve">2026-07-11 09:18:32</t>
  </si>
  <si>
    <t xml:space="preserve">2026-07-11 09:18:35</t>
  </si>
  <si>
    <t xml:space="preserve">2026-07-11 10:10:14</t>
  </si>
  <si>
    <t xml:space="preserve">2026-07-11 10:10:16</t>
  </si>
  <si>
    <t xml:space="preserve">2026-07-11 10:44:48</t>
  </si>
  <si>
    <t xml:space="preserve">2026-07-11 10:44:49</t>
  </si>
  <si>
    <t xml:space="preserve">2026-07-11 10:55:54</t>
  </si>
  <si>
    <t xml:space="preserve">2026-07-11 10:55:55</t>
  </si>
  <si>
    <t xml:space="preserve">2026-07-11 11:13:37</t>
  </si>
  <si>
    <t xml:space="preserve">2026-07-11 11:13:40</t>
  </si>
  <si>
    <t xml:space="preserve">2026-07-11 11:18:22</t>
  </si>
  <si>
    <t xml:space="preserve">2026-07-11 11:18:25</t>
  </si>
  <si>
    <t xml:space="preserve">2026-07-11 11:24:25</t>
  </si>
  <si>
    <t xml:space="preserve">2026-07-11 11:24:27</t>
  </si>
  <si>
    <t xml:space="preserve">2026-07-11 11:42:08</t>
  </si>
  <si>
    <t xml:space="preserve">2026-07-11 11:42:11</t>
  </si>
  <si>
    <t xml:space="preserve">2026-07-11 11:52:19</t>
  </si>
  <si>
    <t xml:space="preserve">2026-07-11 11:52:21</t>
  </si>
  <si>
    <t xml:space="preserve">2026-07-11 11:57:45</t>
  </si>
  <si>
    <t xml:space="preserve">2026-07-11 11:57:48</t>
  </si>
  <si>
    <t xml:space="preserve">2026-07-11 12:01:50</t>
  </si>
  <si>
    <t xml:space="preserve">2026-07-11 12:01:53</t>
  </si>
  <si>
    <t xml:space="preserve">2026-07-11 12:14:03</t>
  </si>
  <si>
    <t xml:space="preserve">2026-07-11 12:29:57</t>
  </si>
  <si>
    <t xml:space="preserve">2026-07-11 12:33:10</t>
  </si>
  <si>
    <t xml:space="preserve">2026-07-11 12:33:12</t>
  </si>
  <si>
    <t xml:space="preserve">2026-07-11 12:38:06</t>
  </si>
  <si>
    <t xml:space="preserve">2026-07-11 12:38:19</t>
  </si>
  <si>
    <t xml:space="preserve">2026-07-11 12:55:36</t>
  </si>
  <si>
    <t xml:space="preserve">2026-07-11 12:55:39</t>
  </si>
  <si>
    <t xml:space="preserve">2026-07-11 12:57:41</t>
  </si>
  <si>
    <t xml:space="preserve">2026-07-11 13:58:45</t>
  </si>
  <si>
    <t xml:space="preserve">2026-07-11 14:06:18</t>
  </si>
  <si>
    <t xml:space="preserve">2026-07-11 14:06:21</t>
  </si>
  <si>
    <t xml:space="preserve">2026-07-11 14:10:39</t>
  </si>
  <si>
    <t xml:space="preserve">2026-07-11 14:11:17</t>
  </si>
  <si>
    <t xml:space="preserve">2026-07-11 14:30:51</t>
  </si>
  <si>
    <t xml:space="preserve">2026-07-11 14:30:54</t>
  </si>
  <si>
    <t xml:space="preserve">2026-07-11 14:37:22</t>
  </si>
  <si>
    <t xml:space="preserve">2026-07-11 14:37:24</t>
  </si>
  <si>
    <t xml:space="preserve">2026-07-11 14:42:47</t>
  </si>
  <si>
    <t xml:space="preserve">2026-07-11 14:42:50</t>
  </si>
  <si>
    <t xml:space="preserve">2026-07-11 14:45:24</t>
  </si>
  <si>
    <t xml:space="preserve">2026-07-11 14:45:26</t>
  </si>
  <si>
    <t xml:space="preserve">2026-07-11 15:42:11</t>
  </si>
  <si>
    <t xml:space="preserve">2026-07-11 15:42:14</t>
  </si>
  <si>
    <t xml:space="preserve">2026-07-11 15:48:30</t>
  </si>
  <si>
    <t xml:space="preserve">2026-07-11 15:48:33</t>
  </si>
  <si>
    <t xml:space="preserve">2026-07-11 16:01:35</t>
  </si>
  <si>
    <t xml:space="preserve">2026-07-11 16:01:38</t>
  </si>
  <si>
    <t xml:space="preserve">2026-07-11 17:00:05</t>
  </si>
  <si>
    <t xml:space="preserve">2026-07-11 08:25:21</t>
  </si>
  <si>
    <t xml:space="preserve">8858683_IPSSAAY</t>
  </si>
  <si>
    <t xml:space="preserve">SABRIAY</t>
  </si>
  <si>
    <t xml:space="preserve">2026-07-11 00:59:58</t>
  </si>
  <si>
    <t xml:space="preserve">2026-07-11 00:59:59</t>
  </si>
  <si>
    <t xml:space="preserve">2026-07-11 09:00:09</t>
  </si>
  <si>
    <t xml:space="preserve">2026-07-11 23:56:14</t>
  </si>
  <si>
    <t xml:space="preserve">2026-07-12 08:59:26</t>
  </si>
  <si>
    <t xml:space="preserve">2026-07-12 09:00:31</t>
  </si>
  <si>
    <t xml:space="preserve">2026-07-11 08:07:08</t>
  </si>
  <si>
    <t xml:space="preserve">2026-07-11 14:01:59</t>
  </si>
  <si>
    <t xml:space="preserve">8858187_IPSSAKE</t>
  </si>
  <si>
    <t xml:space="preserve">SAKETMO</t>
  </si>
  <si>
    <t xml:space="preserve">2026-07-11 07:59:32</t>
  </si>
  <si>
    <t xml:space="preserve">2026-07-11 17:41:12</t>
  </si>
  <si>
    <t xml:space="preserve">2026-07-11 23:00:43</t>
  </si>
  <si>
    <t xml:space="preserve">2026-07-11 08:58:04</t>
  </si>
  <si>
    <t xml:space="preserve">2026-07-11 12:42:43</t>
  </si>
  <si>
    <t xml:space="preserve">2026-07-11 12:43:16</t>
  </si>
  <si>
    <t xml:space="preserve">2026-07-11 14:10:53</t>
  </si>
  <si>
    <t xml:space="preserve">2026-07-11 15:09:56</t>
  </si>
  <si>
    <t xml:space="preserve">2026-07-11 17:33:52</t>
  </si>
  <si>
    <t xml:space="preserve">2026-07-11 17:35:56</t>
  </si>
  <si>
    <t xml:space="preserve">2026-07-11 19:00:09</t>
  </si>
  <si>
    <t xml:space="preserve">2026-07-11 07:51:05</t>
  </si>
  <si>
    <t xml:space="preserve">2026-07-11 07:51:09</t>
  </si>
  <si>
    <t xml:space="preserve">2026-07-11 07:56:52</t>
  </si>
  <si>
    <t xml:space="preserve">2026-07-11 07:56:59</t>
  </si>
  <si>
    <t xml:space="preserve">2026-07-11 07:57:37</t>
  </si>
  <si>
    <t xml:space="preserve">2026-07-11 12:22:26</t>
  </si>
  <si>
    <t xml:space="preserve">2026-07-11 13:18:37</t>
  </si>
  <si>
    <t xml:space="preserve">2026-07-11 13:21:00</t>
  </si>
  <si>
    <t xml:space="preserve">2026-07-11 13:21:50</t>
  </si>
  <si>
    <t xml:space="preserve">8858501_IPSSABA</t>
  </si>
  <si>
    <t xml:space="preserve">SANGABA</t>
  </si>
  <si>
    <t xml:space="preserve">2026-07-11 07:54:19</t>
  </si>
  <si>
    <t xml:space="preserve">2026-07-11 11:46:36</t>
  </si>
  <si>
    <t xml:space="preserve">2026-07-11 11:47:05</t>
  </si>
  <si>
    <t xml:space="preserve">2026-07-11 14:10:21</t>
  </si>
  <si>
    <t xml:space="preserve">2026-07-11 09:36:29</t>
  </si>
  <si>
    <t xml:space="preserve">2026-07-11 09:42:06</t>
  </si>
  <si>
    <t xml:space="preserve">2026-07-11 09:43:09</t>
  </si>
  <si>
    <t xml:space="preserve">2026-07-11 10:22:48</t>
  </si>
  <si>
    <t xml:space="preserve">2026-07-11 10:42:23</t>
  </si>
  <si>
    <t xml:space="preserve">2026-07-11 15:57:39</t>
  </si>
  <si>
    <t xml:space="preserve">2026-07-11 08:27:29</t>
  </si>
  <si>
    <t xml:space="preserve">2026-07-11 08:51:37</t>
  </si>
  <si>
    <t xml:space="preserve">2026-07-11 08:58:16</t>
  </si>
  <si>
    <t xml:space="preserve">2026-07-11 09:58:44</t>
  </si>
  <si>
    <t xml:space="preserve">2026-07-11 09:58:51</t>
  </si>
  <si>
    <t xml:space="preserve">2026-07-11 14:34:55</t>
  </si>
  <si>
    <t xml:space="preserve">2026-07-11 07:57:59</t>
  </si>
  <si>
    <t xml:space="preserve">2026-07-11 09:24:56</t>
  </si>
  <si>
    <t xml:space="preserve">2026-07-11 12:27:10</t>
  </si>
  <si>
    <t xml:space="preserve">2026-07-11 12:27:56</t>
  </si>
  <si>
    <t xml:space="preserve">2026-07-11 12:46:00</t>
  </si>
  <si>
    <t xml:space="preserve">2026-07-11 12:46:04</t>
  </si>
  <si>
    <t xml:space="preserve">2026-07-11 14:01:09</t>
  </si>
  <si>
    <t xml:space="preserve">2026-07-11 14:01:11</t>
  </si>
  <si>
    <t xml:space="preserve">8859133_IPSSHAT</t>
  </si>
  <si>
    <t xml:space="preserve">SHABOUAT</t>
  </si>
  <si>
    <t xml:space="preserve">2026-07-11 08:49:30</t>
  </si>
  <si>
    <t xml:space="preserve">2026-07-11 10:19:18</t>
  </si>
  <si>
    <t xml:space="preserve">2026-07-11 10:26:06</t>
  </si>
  <si>
    <t xml:space="preserve">2026-07-11 14:05:21</t>
  </si>
  <si>
    <t xml:space="preserve">2026-07-11 15:13:46</t>
  </si>
  <si>
    <t xml:space="preserve">2026-07-11 15:29:09</t>
  </si>
  <si>
    <t xml:space="preserve">2026-07-11 15:50:36</t>
  </si>
  <si>
    <t xml:space="preserve">2026-07-11 15:50:53</t>
  </si>
  <si>
    <t xml:space="preserve">2026-07-11 15:50:37</t>
  </si>
  <si>
    <t xml:space="preserve">2026-07-11 15:50:56</t>
  </si>
  <si>
    <t xml:space="preserve">2026-07-11 17:31:24</t>
  </si>
  <si>
    <t xml:space="preserve">2026-07-11 17:38:13</t>
  </si>
  <si>
    <t xml:space="preserve">2026-07-11 17:48:39</t>
  </si>
  <si>
    <t xml:space="preserve">2026-07-11 08:58:54</t>
  </si>
  <si>
    <t xml:space="preserve">2026-07-11 15:39:18</t>
  </si>
  <si>
    <t xml:space="preserve">2026-07-11 08:58:55</t>
  </si>
  <si>
    <t xml:space="preserve">2026-07-11 15:39:20</t>
  </si>
  <si>
    <t xml:space="preserve">2026-07-11 16:39:51</t>
  </si>
  <si>
    <t xml:space="preserve">2026-07-11 18:10:13</t>
  </si>
  <si>
    <t xml:space="preserve">2026-07-11 16:39:52</t>
  </si>
  <si>
    <t xml:space="preserve">2026-07-11 18:10:15</t>
  </si>
  <si>
    <t xml:space="preserve">2026-07-11 07:59:21</t>
  </si>
  <si>
    <t xml:space="preserve">2026-07-11 14:00:23</t>
  </si>
  <si>
    <t xml:space="preserve">8859157_IPSSOUA</t>
  </si>
  <si>
    <t xml:space="preserve">SOYEDMR</t>
  </si>
  <si>
    <t xml:space="preserve">2026-07-11 08:50:55</t>
  </si>
  <si>
    <t xml:space="preserve">2026-07-11 14:17:09</t>
  </si>
  <si>
    <t xml:space="preserve">2026-07-11 14:22:40</t>
  </si>
  <si>
    <t xml:space="preserve">2026-07-11 14:57:30</t>
  </si>
  <si>
    <t xml:space="preserve">2026-07-11 14:59:34</t>
  </si>
  <si>
    <t xml:space="preserve">2026-07-11 15:03:04</t>
  </si>
  <si>
    <t xml:space="preserve">2026-07-11 15:04:16</t>
  </si>
  <si>
    <t xml:space="preserve">2026-07-11 15:16:02</t>
  </si>
  <si>
    <t xml:space="preserve">2026-07-11 15:51:22</t>
  </si>
  <si>
    <t xml:space="preserve">2026-07-11 15:16:03</t>
  </si>
  <si>
    <t xml:space="preserve">2026-07-11 15:51:55</t>
  </si>
  <si>
    <t xml:space="preserve">2026-07-11 15:51:34</t>
  </si>
  <si>
    <t xml:space="preserve">2026-07-11 16:59:15</t>
  </si>
  <si>
    <t xml:space="preserve">2026-07-11 17:03:51</t>
  </si>
  <si>
    <t xml:space="preserve">2026-07-11 17:06:00</t>
  </si>
  <si>
    <t xml:space="preserve">2026-07-11 17:06:58</t>
  </si>
  <si>
    <t xml:space="preserve">2026-07-11 17:24:13</t>
  </si>
  <si>
    <t xml:space="preserve">2026-07-11 17:24:21</t>
  </si>
  <si>
    <t xml:space="preserve">2026-07-11 17:37:57</t>
  </si>
  <si>
    <t xml:space="preserve">2026-07-11 18:05:12</t>
  </si>
  <si>
    <t xml:space="preserve">2026-07-11 07:58:24</t>
  </si>
  <si>
    <t xml:space="preserve">2026-07-11 07:58:34</t>
  </si>
  <si>
    <t xml:space="preserve">2026-07-11 08:46:37</t>
  </si>
  <si>
    <t xml:space="preserve">2026-07-11 12:30:39</t>
  </si>
  <si>
    <t xml:space="preserve">2026-07-11 13:29:44</t>
  </si>
  <si>
    <t xml:space="preserve">2026-07-11 16:54:57</t>
  </si>
  <si>
    <t xml:space="preserve">2026-07-11 09:14:24</t>
  </si>
  <si>
    <t xml:space="preserve">2026-07-11 15:30:01</t>
  </si>
  <si>
    <t xml:space="preserve">2026-07-11 09:14:26</t>
  </si>
  <si>
    <t xml:space="preserve">2026-07-11 16:15:34</t>
  </si>
  <si>
    <t xml:space="preserve">2026-07-11 18:02:57</t>
  </si>
  <si>
    <t xml:space="preserve">2026-07-11 18:03:03</t>
  </si>
  <si>
    <t xml:space="preserve">2026-07-11 09:59:21</t>
  </si>
  <si>
    <t xml:space="preserve">2026-07-11 15:01:34</t>
  </si>
  <si>
    <t xml:space="preserve">2026-07-11 19:03:10</t>
  </si>
  <si>
    <t xml:space="preserve">8859156_IPSTMMA</t>
  </si>
  <si>
    <t xml:space="preserve">TMIMIMA</t>
  </si>
  <si>
    <t xml:space="preserve">2026-07-11 08:54:59</t>
  </si>
  <si>
    <t xml:space="preserve">2026-07-11 14:08:34</t>
  </si>
  <si>
    <t xml:space="preserve">2026-07-11 08:55:00</t>
  </si>
  <si>
    <t xml:space="preserve">2026-07-11 18:25:43</t>
  </si>
  <si>
    <t xml:space="preserve">2026-07-11 08:57:47</t>
  </si>
  <si>
    <t xml:space="preserve">2026-07-11 15:45:15</t>
  </si>
  <si>
    <t xml:space="preserve">2026-07-11 16:38:22</t>
  </si>
  <si>
    <t xml:space="preserve">2026-07-11 18:00:21</t>
  </si>
  <si>
    <t xml:space="preserve">2026-07-11 10:17:40</t>
  </si>
  <si>
    <t xml:space="preserve">2026-07-11 11:01:12</t>
  </si>
  <si>
    <t xml:space="preserve">2026-07-11 14:38:18</t>
  </si>
  <si>
    <t xml:space="preserve">2026-07-11 14:39:01</t>
  </si>
  <si>
    <t xml:space="preserve">2026-07-11 14:48:20</t>
  </si>
  <si>
    <t xml:space="preserve">2026-07-11 08:59:30</t>
  </si>
  <si>
    <t xml:space="preserve">2026-07-11 14:06:47</t>
  </si>
  <si>
    <t xml:space="preserve">2026-07-11 15:06:26</t>
  </si>
  <si>
    <t xml:space="preserve">2026-07-11 06:50:53</t>
  </si>
  <si>
    <t xml:space="preserve">2026-07-11 12:58:15</t>
  </si>
  <si>
    <t xml:space="preserve">8858840_IPSTRMW</t>
  </si>
  <si>
    <t xml:space="preserve">TRIKIMA</t>
  </si>
  <si>
    <t xml:space="preserve">2026-07-11 07:51:24</t>
  </si>
  <si>
    <t xml:space="preserve">2026-07-11 09:00:45</t>
  </si>
  <si>
    <t xml:space="preserve">2026-07-11 14:41:48</t>
  </si>
  <si>
    <t xml:space="preserve">2026-07-11 15:40:17</t>
  </si>
  <si>
    <t xml:space="preserve">2026-07-11 18:01:45</t>
  </si>
  <si>
    <t xml:space="preserve">2026-07-11 09:06:39</t>
  </si>
  <si>
    <t xml:space="preserve">2026-07-11 17:03:12</t>
  </si>
  <si>
    <t xml:space="preserve">2026-07-11 00:06:03</t>
  </si>
  <si>
    <t xml:space="preserve">2026-07-11 02:02:40</t>
  </si>
  <si>
    <t xml:space="preserve">2026-07-11 02:02:42</t>
  </si>
  <si>
    <t xml:space="preserve">2026-07-11 17:05:29</t>
  </si>
  <si>
    <t xml:space="preserve">2026-07-11 21:05:05</t>
  </si>
  <si>
    <t xml:space="preserve">2026-07-11 21:42:13</t>
  </si>
  <si>
    <t xml:space="preserve">2026-07-11 22:14:29</t>
  </si>
  <si>
    <t xml:space="preserve">2026-07-11 23:10:02</t>
  </si>
  <si>
    <t xml:space="preserve">2026-07-12 02:00:02</t>
  </si>
  <si>
    <t xml:space="preserve">2026-07-12 02:00:04</t>
  </si>
  <si>
    <t xml:space="preserve">8859425_IPSYZSA</t>
  </si>
  <si>
    <t xml:space="preserve">YAZIDISA</t>
  </si>
  <si>
    <t xml:space="preserve">2026-07-11 07:36:26</t>
  </si>
  <si>
    <t xml:space="preserve">2026-07-11 07:37:37</t>
  </si>
  <si>
    <t xml:space="preserve">2026-07-11 07:58:21</t>
  </si>
  <si>
    <t xml:space="preserve">2026-07-11 09:48:47</t>
  </si>
  <si>
    <t xml:space="preserve">2026-07-11 09:52:49</t>
  </si>
  <si>
    <t xml:space="preserve">2026-07-11 12:01:46</t>
  </si>
  <si>
    <t xml:space="preserve">2026-07-11 12:58:49</t>
  </si>
  <si>
    <t xml:space="preserve">2026-07-11 13:44:14</t>
  </si>
  <si>
    <t xml:space="preserve">2026-07-11 13:53:04</t>
  </si>
  <si>
    <t xml:space="preserve">2026-07-11 17:00:57</t>
  </si>
  <si>
    <t xml:space="preserve">2026-07-11 10:53:47</t>
  </si>
  <si>
    <t xml:space="preserve">2026-07-11 10:54:23</t>
  </si>
  <si>
    <t xml:space="preserve">2026-07-11 08:13:58</t>
  </si>
  <si>
    <t xml:space="preserve">2026-07-11 09:40:17</t>
  </si>
  <si>
    <t xml:space="preserve">2026-07-11 08:13:59</t>
  </si>
  <si>
    <t xml:space="preserve">2026-07-11 09:41:03</t>
  </si>
  <si>
    <t xml:space="preserve">2026-07-11 09:41:04</t>
  </si>
  <si>
    <t xml:space="preserve">2026-07-11 09:41:08</t>
  </si>
  <si>
    <t xml:space="preserve">2026-07-11 12:32:00</t>
  </si>
  <si>
    <t xml:space="preserve">2026-07-11 13:28:41</t>
  </si>
  <si>
    <t xml:space="preserve">2026-07-11 17:23:21</t>
  </si>
  <si>
    <t xml:space="preserve">2026-07-11 13:28:42</t>
  </si>
  <si>
    <t xml:space="preserve">2026-07-11 21:41:11</t>
  </si>
  <si>
    <t xml:space="preserve">2026-07-12 05:41:11</t>
  </si>
  <si>
    <t xml:space="preserve">2026-07-11 07:57:53</t>
  </si>
  <si>
    <t xml:space="preserve">2026-07-11 12:00:08</t>
  </si>
  <si>
    <t xml:space="preserve">2026-07-11 08:05:02</t>
  </si>
  <si>
    <t xml:space="preserve">2026-07-11 09:41:25</t>
  </si>
  <si>
    <t xml:space="preserve">2026-07-11 11:16:49</t>
  </si>
  <si>
    <t xml:space="preserve">2026-07-11 14:03:42</t>
  </si>
  <si>
    <t xml:space="preserve">2026-07-11 11:33:15</t>
  </si>
  <si>
    <t xml:space="preserve">2026-07-11 11:56:05</t>
  </si>
  <si>
    <t xml:space="preserve">2026-07-11 12:30:10</t>
  </si>
  <si>
    <t xml:space="preserve">2026-07-11 12:40:19</t>
  </si>
  <si>
    <t xml:space="preserve">2026-07-11 13:29:46</t>
  </si>
  <si>
    <t xml:space="preserve">2026-07-11 14:04:07</t>
  </si>
  <si>
    <t xml:space="preserve">2026-07-11 14:59:28</t>
  </si>
  <si>
    <t xml:space="preserve">2026-07-11 15:38:48</t>
  </si>
  <si>
    <t xml:space="preserve">2026-07-11 14:59:29</t>
  </si>
  <si>
    <t xml:space="preserve">2026-07-11 15:38:51</t>
  </si>
  <si>
    <t xml:space="preserve">2026-07-11 18:04:34</t>
  </si>
  <si>
    <t xml:space="preserve">2026-07-11 18:04:40</t>
  </si>
  <si>
    <t xml:space="preserve">2026-07-11 20:34:33</t>
  </si>
  <si>
    <t xml:space="preserve">2026-07-11 20:35:57</t>
  </si>
  <si>
    <t xml:space="preserve">2026-07-11 20:56:46</t>
  </si>
  <si>
    <t xml:space="preserve">2026-07-12 04:00:04</t>
  </si>
  <si>
    <t xml:space="preserve">2026-07-11 07:51:35</t>
  </si>
  <si>
    <t xml:space="preserve">2026-07-11 13:21:48</t>
  </si>
  <si>
    <t xml:space="preserve">2026-07-11 13:29:59</t>
  </si>
  <si>
    <t xml:space="preserve">2026-07-11 14:05:07</t>
  </si>
  <si>
    <t xml:space="preserve">2026-07-11 15:00:07</t>
  </si>
  <si>
    <t xml:space="preserve">2026-07-11 07:58:22</t>
  </si>
  <si>
    <t xml:space="preserve">2026-07-11 14:01:15</t>
  </si>
  <si>
    <t xml:space="preserve">2026-07-11 16:25:09</t>
  </si>
  <si>
    <t xml:space="preserve">2026-07-11 16:35:13</t>
  </si>
  <si>
    <t xml:space="preserve">2026-07-11 17:01:43</t>
  </si>
  <si>
    <t xml:space="preserve">8858800_IPSZIMA</t>
  </si>
  <si>
    <t xml:space="preserve">ZITOUNMR</t>
  </si>
  <si>
    <t xml:space="preserve">2026-07-11 07:52:48</t>
  </si>
  <si>
    <t xml:space="preserve">2026-07-11 07:52:57</t>
  </si>
  <si>
    <t xml:space="preserve">2026-07-11 08:01:37</t>
  </si>
  <si>
    <t xml:space="preserve">2026-07-11 12:40:48</t>
  </si>
  <si>
    <t xml:space="preserve">2026-07-11 12:47:18</t>
  </si>
  <si>
    <t xml:space="preserve">2026-07-11 13:57:38</t>
  </si>
  <si>
    <t xml:space="preserve">2026-07-11 14:02:17</t>
  </si>
  <si>
    <t xml:space="preserve">2026-07-11 14:15:38</t>
  </si>
  <si>
    <t xml:space="preserve">2026-07-11 09:01:02</t>
  </si>
  <si>
    <t xml:space="preserve">2026-07-11 13:00:46</t>
  </si>
  <si>
    <t xml:space="preserve">2026-07-11 09:01:03</t>
  </si>
  <si>
    <t xml:space="preserve">2026-07-11 13:00:47</t>
  </si>
  <si>
    <t xml:space="preserve">2026-07-11 13:52:42</t>
  </si>
  <si>
    <t xml:space="preserve">2026-07-11 18:01:04</t>
  </si>
  <si>
    <t xml:space="preserve">2026-07-11 13:52:43</t>
  </si>
  <si>
    <t xml:space="preserve">2026-07-11 18:01:06</t>
  </si>
  <si>
    <t xml:space="preserve">2026-07-11 07:58:57</t>
  </si>
  <si>
    <t xml:space="preserve">2026-07-11 13:06:06</t>
  </si>
  <si>
    <t xml:space="preserve">2026-07-11 17:00:16</t>
  </si>
  <si>
    <t xml:space="preserve">2026-07-11 07:59:19</t>
  </si>
  <si>
    <t xml:space="preserve">2026-07-11 13:05:09</t>
  </si>
  <si>
    <t xml:space="preserve">2026-07-11 14:04:27</t>
  </si>
  <si>
    <t xml:space="preserve">2026-07-12 08:58:53</t>
  </si>
  <si>
    <t xml:space="preserve">2026-07-12 15:00:46</t>
  </si>
  <si>
    <t xml:space="preserve">2026-07-12 08:58:54</t>
  </si>
  <si>
    <t xml:space="preserve">2026-07-12 15:00:48</t>
  </si>
  <si>
    <t xml:space="preserve">2026-07-12 15:59:46</t>
  </si>
  <si>
    <t xml:space="preserve">2026-07-12 19:01:13</t>
  </si>
  <si>
    <t xml:space="preserve">2026-07-12 15:59:47</t>
  </si>
  <si>
    <t xml:space="preserve">2026-07-12 19:01:15</t>
  </si>
  <si>
    <t xml:space="preserve">2026-07-12 10:59:57</t>
  </si>
  <si>
    <t xml:space="preserve">2026-07-12 11:01:50</t>
  </si>
  <si>
    <t xml:space="preserve">2026-07-12 11:02:26</t>
  </si>
  <si>
    <t xml:space="preserve">2026-07-12 15:02:51</t>
  </si>
  <si>
    <t xml:space="preserve">2026-07-12 16:01:01</t>
  </si>
  <si>
    <t xml:space="preserve">2026-07-12 21:00:12</t>
  </si>
  <si>
    <t xml:space="preserve">2026-07-12 10:56:48</t>
  </si>
  <si>
    <t xml:space="preserve">2026-07-12 13:18:53</t>
  </si>
  <si>
    <t xml:space="preserve">2026-07-12 13:19:11</t>
  </si>
  <si>
    <t xml:space="preserve">2026-07-12 15:11:16</t>
  </si>
  <si>
    <t xml:space="preserve">2026-07-12 16:05:13</t>
  </si>
  <si>
    <t xml:space="preserve">2026-07-12 16:08:01</t>
  </si>
  <si>
    <t xml:space="preserve">2026-07-12 16:08:06</t>
  </si>
  <si>
    <t xml:space="preserve">2026-07-12 16:31:06</t>
  </si>
  <si>
    <t xml:space="preserve">2026-07-12 16:31:16</t>
  </si>
  <si>
    <t xml:space="preserve">2026-07-12 21:00:28</t>
  </si>
  <si>
    <t xml:space="preserve">2026-07-12 08:58:36</t>
  </si>
  <si>
    <t xml:space="preserve">2026-07-12 15:05:53</t>
  </si>
  <si>
    <t xml:space="preserve">2026-07-12 16:06:14</t>
  </si>
  <si>
    <t xml:space="preserve">2026-07-12 18:00:07</t>
  </si>
  <si>
    <t xml:space="preserve">2026-07-12 16:06:15</t>
  </si>
  <si>
    <t xml:space="preserve">2026-07-12 14:58:33</t>
  </si>
  <si>
    <t xml:space="preserve">2026-07-12 15:50:55</t>
  </si>
  <si>
    <t xml:space="preserve">2026-07-12 15:51:09</t>
  </si>
  <si>
    <t xml:space="preserve">2026-07-12 16:09:03</t>
  </si>
  <si>
    <t xml:space="preserve">2026-07-12 16:09:06</t>
  </si>
  <si>
    <t xml:space="preserve">2026-07-12 16:26:47</t>
  </si>
  <si>
    <t xml:space="preserve">2026-07-12 16:26:50</t>
  </si>
  <si>
    <t xml:space="preserve">2026-07-12 16:38:23</t>
  </si>
  <si>
    <t xml:space="preserve">2026-07-12 16:38:26</t>
  </si>
  <si>
    <t xml:space="preserve">2026-07-12 17:17:21</t>
  </si>
  <si>
    <t xml:space="preserve">2026-07-12 17:17:27</t>
  </si>
  <si>
    <t xml:space="preserve">2026-07-12 17:17:28</t>
  </si>
  <si>
    <t xml:space="preserve">2026-07-12 17:17:32</t>
  </si>
  <si>
    <t xml:space="preserve">2026-07-12 17:17:38</t>
  </si>
  <si>
    <t xml:space="preserve">2026-07-12 17:17:41</t>
  </si>
  <si>
    <t xml:space="preserve">2026-07-12 18:04:22</t>
  </si>
  <si>
    <t xml:space="preserve">2026-07-12 19:05:33</t>
  </si>
  <si>
    <t xml:space="preserve">2026-07-13 01:03:02</t>
  </si>
  <si>
    <t xml:space="preserve">2026-07-12 19:05:34</t>
  </si>
  <si>
    <t xml:space="preserve">2026-07-12 05:00:37</t>
  </si>
  <si>
    <t xml:space="preserve">2026-07-12 07:00:40</t>
  </si>
  <si>
    <t xml:space="preserve">2026-07-12 11:29:10</t>
  </si>
  <si>
    <t xml:space="preserve">2026-07-12 11:29:22</t>
  </si>
  <si>
    <t xml:space="preserve">2026-07-12 11:29:11</t>
  </si>
  <si>
    <t xml:space="preserve">2026-07-12 11:29:23</t>
  </si>
  <si>
    <t xml:space="preserve">2026-07-12 11:54:04</t>
  </si>
  <si>
    <t xml:space="preserve">2026-07-12 17:01:21</t>
  </si>
  <si>
    <t xml:space="preserve">2026-07-12 11:54:05</t>
  </si>
  <si>
    <t xml:space="preserve">2026-07-12 17:01:20</t>
  </si>
  <si>
    <t xml:space="preserve">2026-07-12 17:59:11</t>
  </si>
  <si>
    <t xml:space="preserve">2026-07-12 21:00:09</t>
  </si>
  <si>
    <t xml:space="preserve">2026-07-12 17:59:12</t>
  </si>
  <si>
    <t xml:space="preserve">2026-07-12 21:00:07</t>
  </si>
  <si>
    <t xml:space="preserve">2026-07-12 09:10:05</t>
  </si>
  <si>
    <t xml:space="preserve">2026-07-12 09:43:01</t>
  </si>
  <si>
    <t xml:space="preserve">2026-07-12 09:10:06</t>
  </si>
  <si>
    <t xml:space="preserve">2026-07-12 09:43:03</t>
  </si>
  <si>
    <t xml:space="preserve">2026-07-12 12:02:09</t>
  </si>
  <si>
    <t xml:space="preserve">2026-07-12 12:59:26</t>
  </si>
  <si>
    <t xml:space="preserve">2026-07-12 17:24:38</t>
  </si>
  <si>
    <t xml:space="preserve">2026-07-12 17:24:39</t>
  </si>
  <si>
    <t xml:space="preserve">2026-07-12 18:02:51</t>
  </si>
  <si>
    <t xml:space="preserve">2026-07-12 05:57:30</t>
  </si>
  <si>
    <t xml:space="preserve">2026-07-12 07:00:21</t>
  </si>
  <si>
    <t xml:space="preserve">2026-07-12 20:48:56</t>
  </si>
  <si>
    <t xml:space="preserve">2026-07-12 20:50:04</t>
  </si>
  <si>
    <t xml:space="preserve">2026-07-12 11:58:26</t>
  </si>
  <si>
    <t xml:space="preserve">2026-07-12 11:58:35</t>
  </si>
  <si>
    <t xml:space="preserve">2026-07-12 11:59:59</t>
  </si>
  <si>
    <t xml:space="preserve">2026-07-12 13:03:10</t>
  </si>
  <si>
    <t xml:space="preserve">2026-07-12 13:04:45</t>
  </si>
  <si>
    <t xml:space="preserve">2026-07-12 13:05:01</t>
  </si>
  <si>
    <t xml:space="preserve">2026-07-12 13:06:08</t>
  </si>
  <si>
    <t xml:space="preserve">2026-07-12 16:00:48</t>
  </si>
  <si>
    <t xml:space="preserve">2026-07-12 16:59:59</t>
  </si>
  <si>
    <t xml:space="preserve">2026-07-12 18:21:48</t>
  </si>
  <si>
    <t xml:space="preserve">2026-07-12 18:22:16</t>
  </si>
  <si>
    <t xml:space="preserve">2026-07-12 18:22:22</t>
  </si>
  <si>
    <t xml:space="preserve">2026-07-12 18:23:02</t>
  </si>
  <si>
    <t xml:space="preserve">2026-07-12 19:51:57</t>
  </si>
  <si>
    <t xml:space="preserve">2026-07-12 19:54:08</t>
  </si>
  <si>
    <t xml:space="preserve">2026-07-12 20:20:29</t>
  </si>
  <si>
    <t xml:space="preserve">2026-07-12 20:21:35</t>
  </si>
  <si>
    <t xml:space="preserve">2026-07-12 20:35:23</t>
  </si>
  <si>
    <t xml:space="preserve">2026-07-12 20:38:01</t>
  </si>
  <si>
    <t xml:space="preserve">2026-07-12 20:39:57</t>
  </si>
  <si>
    <t xml:space="preserve">2026-07-12 20:44:36</t>
  </si>
  <si>
    <t xml:space="preserve">2026-07-12 21:10:20</t>
  </si>
  <si>
    <t xml:space="preserve">2026-07-12 17:00:42</t>
  </si>
  <si>
    <t xml:space="preserve">2026-07-13 01:00:42</t>
  </si>
  <si>
    <t xml:space="preserve">2026-07-12 07:51:19</t>
  </si>
  <si>
    <t xml:space="preserve">2026-07-12 13:00:11</t>
  </si>
  <si>
    <t xml:space="preserve">2026-07-12 13:59:37</t>
  </si>
  <si>
    <t xml:space="preserve">2026-07-12 17:34:56</t>
  </si>
  <si>
    <t xml:space="preserve">2026-07-12 17:37:08</t>
  </si>
  <si>
    <t xml:space="preserve">2026-07-12 18:00:17</t>
  </si>
  <si>
    <t xml:space="preserve">2026-07-12 10:43:48</t>
  </si>
  <si>
    <t xml:space="preserve">2026-07-12 10:54:07</t>
  </si>
  <si>
    <t xml:space="preserve">2026-07-12 10:59:28</t>
  </si>
  <si>
    <t xml:space="preserve">2026-07-12 12:56:17</t>
  </si>
  <si>
    <t xml:space="preserve">2026-07-12 13:01:23</t>
  </si>
  <si>
    <t xml:space="preserve">2026-07-12 14:47:11</t>
  </si>
  <si>
    <t xml:space="preserve">2026-07-12 14:47:40</t>
  </si>
  <si>
    <t xml:space="preserve">2026-07-12 15:03:28</t>
  </si>
  <si>
    <t xml:space="preserve">2026-07-12 15:59:41</t>
  </si>
  <si>
    <t xml:space="preserve">2026-07-12 21:00:05</t>
  </si>
  <si>
    <t xml:space="preserve">2026-07-12 09:03:00</t>
  </si>
  <si>
    <t xml:space="preserve">2026-07-12 15:03:34</t>
  </si>
  <si>
    <t xml:space="preserve">2026-07-12 09:03:01</t>
  </si>
  <si>
    <t xml:space="preserve">2026-07-12 15:54:59</t>
  </si>
  <si>
    <t xml:space="preserve">2026-07-12 16:37:16</t>
  </si>
  <si>
    <t xml:space="preserve">2026-07-12 15:55:00</t>
  </si>
  <si>
    <t xml:space="preserve">2026-07-12 16:38:52</t>
  </si>
  <si>
    <t xml:space="preserve">2026-07-12 17:51:48</t>
  </si>
  <si>
    <t xml:space="preserve">2026-07-12 17:52:15</t>
  </si>
  <si>
    <t xml:space="preserve">2026-07-12 18:10:45</t>
  </si>
  <si>
    <t xml:space="preserve">2026-07-12 18:10:48</t>
  </si>
  <si>
    <t xml:space="preserve">2026-07-12 19:00:15</t>
  </si>
  <si>
    <t xml:space="preserve">2026-07-12 10:59:23</t>
  </si>
  <si>
    <t xml:space="preserve">2026-07-12 11:24:30</t>
  </si>
  <si>
    <t xml:space="preserve">2026-07-12 11:25:26</t>
  </si>
  <si>
    <t xml:space="preserve">2026-07-12 15:00:28</t>
  </si>
  <si>
    <t xml:space="preserve">2026-07-12 15:59:07</t>
  </si>
  <si>
    <t xml:space="preserve">2026-07-12 08:00:07</t>
  </si>
  <si>
    <t xml:space="preserve">2026-07-12 11:06:40</t>
  </si>
  <si>
    <t xml:space="preserve">2026-07-12 11:07:15</t>
  </si>
  <si>
    <t xml:space="preserve">2026-07-12 12:00:14</t>
  </si>
  <si>
    <t xml:space="preserve">2026-07-12 13:00:16</t>
  </si>
  <si>
    <t xml:space="preserve">2026-07-12 17:00:57</t>
  </si>
  <si>
    <t xml:space="preserve">2026-07-12 14:00:27</t>
  </si>
  <si>
    <t xml:space="preserve">2026-07-12 22:00:27</t>
  </si>
  <si>
    <t xml:space="preserve">2026-07-12 07:47:38</t>
  </si>
  <si>
    <t xml:space="preserve">2026-07-12 15:47:38</t>
  </si>
  <si>
    <t xml:space="preserve">2026-07-12 16:30:10</t>
  </si>
  <si>
    <t xml:space="preserve">2026-07-12 16:40:29</t>
  </si>
  <si>
    <t xml:space="preserve">2026-07-12 17:58:07</t>
  </si>
  <si>
    <t xml:space="preserve">2026-07-12 18:08:26</t>
  </si>
  <si>
    <t xml:space="preserve">2026-07-12 19:29:16</t>
  </si>
  <si>
    <t xml:space="preserve">2026-07-12 22:19:35</t>
  </si>
  <si>
    <t xml:space="preserve">2026-07-12 17:03:16</t>
  </si>
  <si>
    <t xml:space="preserve">2026-07-12 21:15:23</t>
  </si>
  <si>
    <t xml:space="preserve">2026-07-12 07:59:49</t>
  </si>
  <si>
    <t xml:space="preserve">2026-07-12 13:04:51</t>
  </si>
  <si>
    <t xml:space="preserve">2026-07-12 14:08:20</t>
  </si>
  <si>
    <t xml:space="preserve">2026-07-12 14:39:32</t>
  </si>
  <si>
    <t xml:space="preserve">2026-07-12 14:40:08</t>
  </si>
  <si>
    <t xml:space="preserve">2026-07-12 17:05:08</t>
  </si>
  <si>
    <t xml:space="preserve">2026-07-12 17:50:55</t>
  </si>
  <si>
    <t xml:space="preserve">2026-07-12 17:51:15</t>
  </si>
  <si>
    <t xml:space="preserve">2026-07-12 00:57:07</t>
  </si>
  <si>
    <t xml:space="preserve">2026-07-12 01:18:23</t>
  </si>
  <si>
    <t xml:space="preserve">2026-07-12 02:47:20</t>
  </si>
  <si>
    <t xml:space="preserve">2026-07-12 02:00:56</t>
  </si>
  <si>
    <t xml:space="preserve">2026-07-12 02:47:22</t>
  </si>
  <si>
    <t xml:space="preserve">2026-07-12 02:48:10</t>
  </si>
  <si>
    <t xml:space="preserve">2026-07-12 04:04:54</t>
  </si>
  <si>
    <t xml:space="preserve">2026-07-12 02:48:11</t>
  </si>
  <si>
    <t xml:space="preserve">2026-07-12 04:04:56</t>
  </si>
  <si>
    <t xml:space="preserve">2026-07-12 05:06:37</t>
  </si>
  <si>
    <t xml:space="preserve">2026-07-12 06:26:55</t>
  </si>
  <si>
    <t xml:space="preserve">2026-07-12 07:22:56</t>
  </si>
  <si>
    <t xml:space="preserve">2026-07-12 07:22:03</t>
  </si>
  <si>
    <t xml:space="preserve">2026-07-12 07:22:57</t>
  </si>
  <si>
    <t xml:space="preserve">2026-07-12 07:23:51</t>
  </si>
  <si>
    <t xml:space="preserve">2026-07-12 07:59:38</t>
  </si>
  <si>
    <t xml:space="preserve">2026-07-12 07:23:52</t>
  </si>
  <si>
    <t xml:space="preserve">2026-07-12 07:59:42</t>
  </si>
  <si>
    <t xml:space="preserve">2026-07-12 08:00:31</t>
  </si>
  <si>
    <t xml:space="preserve">2026-07-12 10:01:08</t>
  </si>
  <si>
    <t xml:space="preserve">2026-07-12 08:00:32</t>
  </si>
  <si>
    <t xml:space="preserve">2026-07-12 10:01:10</t>
  </si>
  <si>
    <t xml:space="preserve">2026-07-12 07:15:58</t>
  </si>
  <si>
    <t xml:space="preserve">2026-07-12 10:00:45</t>
  </si>
  <si>
    <t xml:space="preserve">2026-07-12 07:56:01</t>
  </si>
  <si>
    <t xml:space="preserve">2026-07-12 10:00:51</t>
  </si>
  <si>
    <t xml:space="preserve">2026-07-12 13:00:03</t>
  </si>
  <si>
    <t xml:space="preserve">2026-07-12 13:45:07</t>
  </si>
  <si>
    <t xml:space="preserve">2026-07-12 18:00:20</t>
  </si>
  <si>
    <t xml:space="preserve">2026-07-12 13:54:36</t>
  </si>
  <si>
    <t xml:space="preserve">2026-07-12 18:00:06</t>
  </si>
  <si>
    <t xml:space="preserve">2026-07-12 00:54:11</t>
  </si>
  <si>
    <t xml:space="preserve">2026-07-12 05:05:57</t>
  </si>
  <si>
    <t xml:space="preserve">2026-07-12 00:54:12</t>
  </si>
  <si>
    <t xml:space="preserve">2026-07-12 06:11:11</t>
  </si>
  <si>
    <t xml:space="preserve">2026-07-12 10:00:04</t>
  </si>
  <si>
    <t xml:space="preserve">2026-07-12 06:56:11</t>
  </si>
  <si>
    <t xml:space="preserve">2026-07-12 13:01:05</t>
  </si>
  <si>
    <t xml:space="preserve">2026-07-12 13:27:42</t>
  </si>
  <si>
    <t xml:space="preserve">2026-07-12 16:30:07</t>
  </si>
  <si>
    <t xml:space="preserve">2026-07-12 12:05:07</t>
  </si>
  <si>
    <t xml:space="preserve">2026-07-12 13:16:14</t>
  </si>
  <si>
    <t xml:space="preserve">2026-07-12 13:16:44</t>
  </si>
  <si>
    <t xml:space="preserve">2026-07-12 17:18:49</t>
  </si>
  <si>
    <t xml:space="preserve">2026-07-12 18:07:27</t>
  </si>
  <si>
    <t xml:space="preserve">2026-07-12 21:00:10</t>
  </si>
  <si>
    <t xml:space="preserve">2026-07-12 23:34:37</t>
  </si>
  <si>
    <t xml:space="preserve">2026-07-12 23:34:42</t>
  </si>
  <si>
    <t xml:space="preserve">2026-07-12 17:00:13</t>
  </si>
  <si>
    <t xml:space="preserve">2026-07-13 01:00:13</t>
  </si>
  <si>
    <t xml:space="preserve">2026-07-12 08:57:16</t>
  </si>
  <si>
    <t xml:space="preserve">2026-07-12 15:00:51</t>
  </si>
  <si>
    <t xml:space="preserve">2026-07-12 15:53:22</t>
  </si>
  <si>
    <t xml:space="preserve">2026-07-12 18:43:56</t>
  </si>
  <si>
    <t xml:space="preserve">2026-07-12 18:44:12</t>
  </si>
  <si>
    <t xml:space="preserve">2026-07-12 18:44:18</t>
  </si>
  <si>
    <t xml:space="preserve">2026-07-12 18:44:20</t>
  </si>
  <si>
    <t xml:space="preserve">2026-07-12 19:00:20</t>
  </si>
  <si>
    <t xml:space="preserve">2026-07-12 19:00:22</t>
  </si>
  <si>
    <t xml:space="preserve">2026-07-12 19:01:11</t>
  </si>
  <si>
    <t xml:space="preserve">2026-07-12 10:49:31</t>
  </si>
  <si>
    <t xml:space="preserve">2026-07-12 10:49:47</t>
  </si>
  <si>
    <t xml:space="preserve">2026-07-12 11:56:02</t>
  </si>
  <si>
    <t xml:space="preserve">2026-07-12 16:47:28</t>
  </si>
  <si>
    <t xml:space="preserve">2026-07-12 17:08:17</t>
  </si>
  <si>
    <t xml:space="preserve">2026-07-12 17:08:55</t>
  </si>
  <si>
    <t xml:space="preserve">2026-07-12 17:10:50</t>
  </si>
  <si>
    <t xml:space="preserve">2026-07-12 17:26:18</t>
  </si>
  <si>
    <t xml:space="preserve">2026-07-12 18:01:03</t>
  </si>
  <si>
    <t xml:space="preserve">2026-07-12 22:09:43</t>
  </si>
  <si>
    <t xml:space="preserve">2026-07-12 06:34:02</t>
  </si>
  <si>
    <t xml:space="preserve">2026-07-12 06:34:06</t>
  </si>
  <si>
    <t xml:space="preserve">2026-07-12 06:59:07</t>
  </si>
  <si>
    <t xml:space="preserve">2026-07-12 13:03:02</t>
  </si>
  <si>
    <t xml:space="preserve">2026-07-12 13:58:53</t>
  </si>
  <si>
    <t xml:space="preserve">2026-07-12 17:00:03</t>
  </si>
  <si>
    <t xml:space="preserve">2026-07-12 14:59:25</t>
  </si>
  <si>
    <t xml:space="preserve">2026-07-12 18:04:41</t>
  </si>
  <si>
    <t xml:space="preserve">2026-07-12 19:00:14</t>
  </si>
  <si>
    <t xml:space="preserve">2026-07-13 01:00:48</t>
  </si>
  <si>
    <t xml:space="preserve">2026-07-12 07:59:11</t>
  </si>
  <si>
    <t xml:space="preserve">2026-07-12 13:02:16</t>
  </si>
  <si>
    <t xml:space="preserve">2026-07-12 13:59:07</t>
  </si>
  <si>
    <t xml:space="preserve">2026-07-12 17:00:06</t>
  </si>
  <si>
    <t xml:space="preserve">2026-07-12 11:01:31</t>
  </si>
  <si>
    <t xml:space="preserve">2026-07-12 15:03:47</t>
  </si>
  <si>
    <t xml:space="preserve">2026-07-12 16:01:17</t>
  </si>
  <si>
    <t xml:space="preserve">2026-07-12 19:44:31</t>
  </si>
  <si>
    <t xml:space="preserve">2026-07-12 19:46:21</t>
  </si>
  <si>
    <t xml:space="preserve">2026-07-12 21:11:32</t>
  </si>
  <si>
    <t xml:space="preserve">2026-07-12 07:56:22</t>
  </si>
  <si>
    <t xml:space="preserve">2026-07-12 11:03:06</t>
  </si>
  <si>
    <t xml:space="preserve">2026-07-12 11:03:15</t>
  </si>
  <si>
    <t xml:space="preserve">2026-07-12 13:10:04</t>
  </si>
  <si>
    <t xml:space="preserve">2026-07-12 14:08:11</t>
  </si>
  <si>
    <t xml:space="preserve">2026-07-12 18:00:36</t>
  </si>
  <si>
    <t xml:space="preserve">2026-07-12 00:01:10</t>
  </si>
  <si>
    <t xml:space="preserve">2026-07-12 01:01:45</t>
  </si>
  <si>
    <t xml:space="preserve">2026-07-12 01:02:07</t>
  </si>
  <si>
    <t xml:space="preserve">2026-07-12 01:40:41</t>
  </si>
  <si>
    <t xml:space="preserve">2026-07-12 03:00:18</t>
  </si>
  <si>
    <t xml:space="preserve">2026-07-12 01:40:42</t>
  </si>
  <si>
    <t xml:space="preserve">2026-07-12 17:30:20</t>
  </si>
  <si>
    <t xml:space="preserve">2026-07-12 20:16:15</t>
  </si>
  <si>
    <t xml:space="preserve">2026-07-12 20:17:40</t>
  </si>
  <si>
    <t xml:space="preserve">2026-07-12 20:17:51</t>
  </si>
  <si>
    <t xml:space="preserve">2026-07-12 20:21:54</t>
  </si>
  <si>
    <t xml:space="preserve">2026-07-12 20:23:38</t>
  </si>
  <si>
    <t xml:space="preserve">2026-07-12 21:56:55</t>
  </si>
  <si>
    <t xml:space="preserve">2026-07-12 20:23:39</t>
  </si>
  <si>
    <t xml:space="preserve">2026-07-12 21:57:11</t>
  </si>
  <si>
    <t xml:space="preserve">2026-07-12 22:08:14</t>
  </si>
  <si>
    <t xml:space="preserve">2026-07-12 22:09:04</t>
  </si>
  <si>
    <t xml:space="preserve">2026-07-12 23:18:30</t>
  </si>
  <si>
    <t xml:space="preserve">2026-07-12 08:59:28</t>
  </si>
  <si>
    <t xml:space="preserve">2026-07-12 13:02:19</t>
  </si>
  <si>
    <t xml:space="preserve">2026-07-12 14:00:47</t>
  </si>
  <si>
    <t xml:space="preserve">2026-07-12 14:00:53</t>
  </si>
  <si>
    <t xml:space="preserve">2026-07-12 14:13:00</t>
  </si>
  <si>
    <t xml:space="preserve">2026-07-12 18:21:04</t>
  </si>
  <si>
    <t xml:space="preserve">2026-07-12 15:00:42</t>
  </si>
  <si>
    <t xml:space="preserve">2026-07-12 15:56:52</t>
  </si>
  <si>
    <t xml:space="preserve">2026-07-12 22:05:58</t>
  </si>
  <si>
    <t xml:space="preserve">2026-07-12 16:59:18</t>
  </si>
  <si>
    <t xml:space="preserve">2026-07-12 22:16:30</t>
  </si>
  <si>
    <t xml:space="preserve">2026-07-12 23:18:05</t>
  </si>
  <si>
    <t xml:space="preserve">2026-07-12 23:58:57</t>
  </si>
  <si>
    <t xml:space="preserve">2026-07-13 00:01:40</t>
  </si>
  <si>
    <t xml:space="preserve">2026-07-12 09:46:42</t>
  </si>
  <si>
    <t xml:space="preserve">2026-07-12 18:00:28</t>
  </si>
  <si>
    <t xml:space="preserve">2026-07-12 09:46:43</t>
  </si>
  <si>
    <t xml:space="preserve">2026-07-12 10:13:45</t>
  </si>
  <si>
    <t xml:space="preserve">2026-07-12 10:19:57</t>
  </si>
  <si>
    <t xml:space="preserve">2026-07-12 10:29:29</t>
  </si>
  <si>
    <t xml:space="preserve">2026-07-12 12:02:59</t>
  </si>
  <si>
    <t xml:space="preserve">2026-07-12 12:47:44</t>
  </si>
  <si>
    <t xml:space="preserve">2026-07-12 14:54:53</t>
  </si>
  <si>
    <t xml:space="preserve">2026-07-12 18:00:31</t>
  </si>
  <si>
    <t xml:space="preserve">2026-07-12 04:55:43</t>
  </si>
  <si>
    <t xml:space="preserve">2026-07-12 07:06:26</t>
  </si>
  <si>
    <t xml:space="preserve">8858103_IPSZIDO</t>
  </si>
  <si>
    <t xml:space="preserve">2026-07-12 08:06:22</t>
  </si>
  <si>
    <t xml:space="preserve">2026-07-12 11:56:35</t>
  </si>
  <si>
    <t xml:space="preserve">2026-07-12 12:09:05</t>
  </si>
  <si>
    <t xml:space="preserve">2026-07-12 12:35:21</t>
  </si>
  <si>
    <t xml:space="preserve">2026-07-12 12:36:22</t>
  </si>
  <si>
    <t xml:space="preserve">2026-07-12 13:00:04</t>
  </si>
  <si>
    <t xml:space="preserve">2026-07-12 13:59:53</t>
  </si>
  <si>
    <t xml:space="preserve">2026-07-12 17:00:05</t>
  </si>
  <si>
    <t xml:space="preserve">2026-07-12 10:57:31</t>
  </si>
  <si>
    <t xml:space="preserve">2026-07-12 15:00:04</t>
  </si>
  <si>
    <t xml:space="preserve">2026-07-12 15:58:28</t>
  </si>
  <si>
    <t xml:space="preserve">2026-07-12 18:45:29</t>
  </si>
  <si>
    <t xml:space="preserve">2026-07-12 19:08:38</t>
  </si>
  <si>
    <t xml:space="preserve">2026-07-12 21:06:07</t>
  </si>
  <si>
    <t xml:space="preserve">2026-07-12 08:59:27</t>
  </si>
  <si>
    <t xml:space="preserve">2026-07-12 13:00:53</t>
  </si>
  <si>
    <t xml:space="preserve">2026-07-12 13:00:56</t>
  </si>
  <si>
    <t xml:space="preserve">2026-07-12 13:56:16</t>
  </si>
  <si>
    <t xml:space="preserve">2026-07-12 17:45:52</t>
  </si>
  <si>
    <t xml:space="preserve">2026-07-12 17:46:02</t>
  </si>
  <si>
    <t xml:space="preserve">2026-07-12 18:00:14</t>
  </si>
  <si>
    <t xml:space="preserve">2026-07-13 00:01:41</t>
  </si>
  <si>
    <t xml:space="preserve">2026-07-13 00:02:21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</si>
</sst>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(* #,##0.00_);_(* \(#,##0.00\);_(* \-??_);_(@_)"/>
    <numFmt numFmtId="166" formatCode="0%"/>
    <numFmt numFmtId="167" formatCode="[$-F400]h:mm:ss\ AM/PM"/>
    <numFmt numFmtId="168" formatCode="[h]:mm;@"/>
    <numFmt numFmtId="169" formatCode="h:mm"/>
    <numFmt numFmtId="170" formatCode="[h]:mm:ss;@"/>
    <numFmt numFmtId="171" formatCode="00000"/>
    <numFmt numFmtId="172" formatCode="m/d/yyyy"/>
    <numFmt numFmtId="173" formatCode="hh:mm:ss"/>
    <numFmt numFmtId="174" formatCode="h:mm;@"/>
    <numFmt numFmtId="175" formatCode="yyyy"/>
    <numFmt numFmtId="176" formatCode="0"/>
    <numFmt numFmtId="177" formatCode="_-* #,##0.00_-;\-* #,##0.00_-;_-* \-??_-;_-@_-"/>
    <numFmt numFmtId="178" formatCode="# ?/?"/>
    <numFmt numFmtId="179" formatCode="0.00%"/>
    <numFmt numFmtId="180" formatCode="m/d/yyyy\ h:mm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rgb="FF002060"/>
      <name val="Calibri"/>
      <family val="2"/>
      <charset val="1"/>
    </font>
    <font>
      <sz val="10"/>
      <color theme="1" tint="0.0499"/>
      <name val="Calibri"/>
      <family val="2"/>
      <charset val="1"/>
    </font>
    <font>
      <sz val="10"/>
      <color rgb="FF00206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  <charset val="1"/>
    </font>
    <font>
      <sz val="10"/>
      <color rgb="FF0D0D0D"/>
      <name val="Calibri"/>
      <family val="2"/>
      <charset val="1"/>
    </font>
    <font>
      <b val="true"/>
      <sz val="10"/>
      <color rgb="FF00B050"/>
      <name val="Calibri"/>
      <family val="2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name val="Arial"/>
      <family val="0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0"/>
      <color rgb="FFFFFFFF"/>
      <name val="Trebuchet MS"/>
      <family val="2"/>
      <charset val="1"/>
    </font>
    <font>
      <sz val="11"/>
      <color theme="0"/>
      <name val="Calibri"/>
      <family val="2"/>
      <charset val="1"/>
    </font>
    <font>
      <sz val="10"/>
      <color rgb="FF000000"/>
      <name val="Trebuchet MS"/>
      <family val="2"/>
      <charset val="1"/>
    </font>
    <font>
      <sz val="11"/>
      <color rgb="FF000000"/>
      <name val="Trebuchet MS"/>
      <family val="2"/>
      <charset val="1"/>
    </font>
    <font>
      <sz val="12"/>
      <color rgb="FF000000"/>
      <name val="Trebuchet MS"/>
      <family val="2"/>
      <charset val="1"/>
    </font>
    <font>
      <sz val="11"/>
      <color theme="1"/>
      <name val="Trebuchet MS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EDEDED"/>
      </patternFill>
    </fill>
    <fill>
      <patternFill patternType="solid">
        <fgColor theme="4" tint="0.7999"/>
        <bgColor rgb="FFEDEDED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FF9900"/>
      </patternFill>
    </fill>
    <fill>
      <patternFill patternType="solid">
        <fgColor rgb="FFFFEB9C"/>
        <bgColor rgb="FFFFE699"/>
      </patternFill>
    </fill>
    <fill>
      <patternFill patternType="solid">
        <fgColor rgb="FFC6EFCE"/>
        <bgColor rgb="FFD6DCE5"/>
      </patternFill>
    </fill>
    <fill>
      <patternFill patternType="solid">
        <fgColor theme="4" tint="0.3999"/>
        <bgColor rgb="FFADB9CA"/>
      </patternFill>
    </fill>
    <fill>
      <patternFill patternType="solid">
        <fgColor rgb="FF92D050"/>
        <bgColor rgb="FFAFABAB"/>
      </patternFill>
    </fill>
    <fill>
      <patternFill patternType="solid">
        <fgColor rgb="FF00B050"/>
        <bgColor rgb="FF008080"/>
      </patternFill>
    </fill>
    <fill>
      <patternFill patternType="solid">
        <fgColor theme="7" tint="0.5999"/>
        <bgColor rgb="FFFFEB9C"/>
      </patternFill>
    </fill>
    <fill>
      <patternFill patternType="solid">
        <fgColor theme="2" tint="-0.1"/>
        <bgColor rgb="FFD9D9D9"/>
      </patternFill>
    </fill>
    <fill>
      <patternFill patternType="solid">
        <fgColor theme="2" tint="-0.25"/>
        <bgColor rgb="FFADB9CA"/>
      </patternFill>
    </fill>
    <fill>
      <patternFill patternType="solid">
        <fgColor theme="3" tint="0.5999"/>
        <bgColor rgb="FFBFBFBF"/>
      </patternFill>
    </fill>
    <fill>
      <patternFill patternType="solid">
        <fgColor theme="7" tint="0.7999"/>
        <bgColor rgb="FFF2F2F2"/>
      </patternFill>
    </fill>
    <fill>
      <patternFill patternType="solid">
        <fgColor theme="3" tint="0.7999"/>
        <bgColor rgb="FFD9D9D9"/>
      </patternFill>
    </fill>
    <fill>
      <patternFill patternType="solid">
        <fgColor theme="6" tint="0.7999"/>
        <bgColor rgb="FFF2F2F2"/>
      </patternFill>
    </fill>
    <fill>
      <patternFill patternType="solid">
        <fgColor rgb="FF254061"/>
        <bgColor rgb="FF33339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ck">
        <color theme="0" tint="-0.2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ck">
        <color theme="0" tint="-0.25"/>
      </left>
      <right/>
      <top/>
      <bottom style="thin">
        <color theme="0" tint="-0.25"/>
      </bottom>
      <diagonal/>
    </border>
    <border diagonalUp="false" diagonalDown="false">
      <left/>
      <right/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8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4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2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2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2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0" fillId="1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CS_Normal" xfId="20"/>
    <cellStyle name="Milliers 2" xfId="21"/>
    <cellStyle name="Milliers 2 2" xfId="22"/>
    <cellStyle name="Milliers 2 2 2" xfId="23"/>
    <cellStyle name="Milliers 2 2 2 2" xfId="24"/>
    <cellStyle name="Milliers 2 2 2 3" xfId="25"/>
    <cellStyle name="Milliers 2 2 3" xfId="26"/>
    <cellStyle name="Milliers 2 2 4" xfId="27"/>
    <cellStyle name="Milliers 2 3" xfId="28"/>
    <cellStyle name="Milliers 2 3 2" xfId="29"/>
    <cellStyle name="Milliers 2 3 3" xfId="30"/>
    <cellStyle name="Milliers 2 4" xfId="31"/>
    <cellStyle name="Milliers 2 5" xfId="32"/>
    <cellStyle name="Milliers 3" xfId="33"/>
    <cellStyle name="Milliers 3 2" xfId="34"/>
    <cellStyle name="Milliers 3 2 2" xfId="35"/>
    <cellStyle name="Milliers 3 2 3" xfId="36"/>
    <cellStyle name="Milliers 3 3" xfId="37"/>
    <cellStyle name="Milliers 3 4" xfId="38"/>
    <cellStyle name="Milliers 4" xfId="39"/>
    <cellStyle name="Milliers 4 2" xfId="40"/>
    <cellStyle name="Milliers 4 3" xfId="41"/>
    <cellStyle name="Milliers 5" xfId="42"/>
    <cellStyle name="Milliers 6" xfId="43"/>
    <cellStyle name="Normal 10" xfId="44"/>
    <cellStyle name="Normal 10 2" xfId="45"/>
    <cellStyle name="Normal 11" xfId="46"/>
    <cellStyle name="Normal 11 2" xfId="47"/>
    <cellStyle name="Normal 12" xfId="48"/>
    <cellStyle name="Normal 12 2" xfId="49"/>
    <cellStyle name="Normal 13" xfId="50"/>
    <cellStyle name="Normal 13 2" xfId="51"/>
    <cellStyle name="Normal 14" xfId="52"/>
    <cellStyle name="Normal 14 2" xfId="53"/>
    <cellStyle name="Normal 15" xfId="54"/>
    <cellStyle name="Normal 15 2" xfId="55"/>
    <cellStyle name="Normal 16" xfId="56"/>
    <cellStyle name="Normal 17" xfId="57"/>
    <cellStyle name="Normal 17 2" xfId="58"/>
    <cellStyle name="Normal 2" xfId="59"/>
    <cellStyle name="Normal 2 10 2" xfId="60"/>
    <cellStyle name="Normal 3" xfId="61"/>
    <cellStyle name="Normal 4" xfId="62"/>
    <cellStyle name="Normal 4 2" xfId="63"/>
    <cellStyle name="Normal 5" xfId="64"/>
    <cellStyle name="Normal 5 2" xfId="65"/>
    <cellStyle name="Normal 58 2" xfId="66"/>
    <cellStyle name="Normal 59" xfId="67"/>
    <cellStyle name="Normal 6" xfId="68"/>
    <cellStyle name="Normal 6 2" xfId="69"/>
    <cellStyle name="Normal 60" xfId="70"/>
    <cellStyle name="Normal 61" xfId="71"/>
    <cellStyle name="Normal 62" xfId="72"/>
    <cellStyle name="Normal 63" xfId="73"/>
    <cellStyle name="Normal 64" xfId="74"/>
    <cellStyle name="Normal 65" xfId="75"/>
    <cellStyle name="Normal 66" xfId="76"/>
    <cellStyle name="Normal 68" xfId="77"/>
    <cellStyle name="Normal 68 2" xfId="78"/>
    <cellStyle name="Normal 7" xfId="79"/>
    <cellStyle name="Normal 7 2" xfId="80"/>
    <cellStyle name="Normal 8" xfId="81"/>
    <cellStyle name="Normal 8 2" xfId="82"/>
    <cellStyle name="Normal 9" xfId="83"/>
    <cellStyle name="Normal 9 2" xfId="84"/>
    <cellStyle name="Nor}al" xfId="85"/>
    <cellStyle name="Pourcentage 2" xfId="86"/>
  </cellStyles>
  <dxfs count="28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D9D9D9"/>
      </font>
    </dxf>
    <dxf>
      <font>
        <color rgb="FFFFFFFF"/>
      </font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AFABAB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25406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Calibri"/>
        <charset val="1"/>
        <family val="2"/>
        <color rgb="FF000000"/>
        <sz val="11"/>
      </font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ADB9CA"/>
      <rgbColor rgb="FF993366"/>
      <rgbColor rgb="FFFFF2CC"/>
      <rgbColor rgb="FFDEEBF7"/>
      <rgbColor rgb="FF660066"/>
      <rgbColor rgb="FFEDEDED"/>
      <rgbColor rgb="FF0070C0"/>
      <rgbColor rgb="FFD6DCE5"/>
      <rgbColor rgb="FF000080"/>
      <rgbColor rgb="FFFF00FF"/>
      <rgbColor rgb="FFFFE699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9DC3E6"/>
      <rgbColor rgb="FFD9D9D9"/>
      <rgbColor rgb="FFD0CECE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AFABAB"/>
      <rgbColor rgb="FF002060"/>
      <rgbColor rgb="FF00B050"/>
      <rgbColor rgb="FF0D0D0D"/>
      <rgbColor rgb="FF333300"/>
      <rgbColor rgb="FF993300"/>
      <rgbColor rgb="FF993366"/>
      <rgbColor rgb="FF333399"/>
      <rgbColor rgb="FF25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lanning2" displayName="Planning2" ref="A1:H225" headerRowCount="1" totalsRowCount="0" totalsRowShown="0">
  <autoFilter ref="A1:H225">
    <filterColumn colId="0">
      <filters>
        <filter val="KANTAOUI SALMA"/>
      </filters>
    </filterColumn>
  </autoFilter>
  <tableColumns count="8">
    <tableColumn id="1" name="Nom"/>
    <tableColumn id="2" name="Date"/>
    <tableColumn id="3" name="Entrée"/>
    <tableColumn id="4" name="Sortie"/>
    <tableColumn id="5" name="No Semaine"/>
    <tableColumn id="6" name="Segment"/>
    <tableColumn id="7" name="Colonne1"/>
    <tableColumn id="8" name="Colonne2"/>
  </tableColumns>
</table>
</file>

<file path=xl/tables/table2.xml><?xml version="1.0" encoding="utf-8"?>
<table xmlns="http://schemas.openxmlformats.org/spreadsheetml/2006/main" id="2" name="Tableau132" displayName="Tableau132" ref="C4:J64" headerRowCount="1" totalsRowCount="0" totalsRowShown="0">
  <tableColumns count="8">
    <tableColumn id="1" name="Matricule"/>
    <tableColumn id="2" name="Activité"/>
    <tableColumn id="3" name="Manager"/>
    <tableColumn id="4" name="Nom et Prénom du salarié"/>
    <tableColumn id="5" name="Date début de l'arrêt"/>
    <tableColumn id="6" name="Date de reprise"/>
    <tableColumn id="7" name="Date de dépôt du CM"/>
    <tableColumn id="8" name="Durée de l'arrêt"/>
  </tableColumns>
</table>
</file>

<file path=xl/tables/table3.xml><?xml version="1.0" encoding="utf-8"?>
<table xmlns="http://schemas.openxmlformats.org/spreadsheetml/2006/main" id="3" name="Tableau4" displayName="Tableau4" ref="N5:Q16" headerRowCount="1" totalsRowCount="0" totalsRowShown="0">
  <autoFilter ref="N5:Q16"/>
  <tableColumns count="4">
    <tableColumn id="1" name="Nom De l'agent"/>
    <tableColumn id="2" name="Date"/>
    <tableColumn id="3" name="Somme de Théorique"/>
    <tableColumn id="4" name="Commentaire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G2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169" activePane="bottomRight" state="frozen"/>
      <selection pane="topLeft" activeCell="A1" activeCellId="0" sqref="A1"/>
      <selection pane="topRight" activeCell="C1" activeCellId="0" sqref="C1"/>
      <selection pane="bottomLeft" activeCell="A169" activeCellId="0" sqref="A169"/>
      <selection pane="bottomRight" activeCell="F162" activeCellId="0" sqref="F162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2" width="27.29"/>
    <col collapsed="false" customWidth="true" hidden="false" outlineLevel="0" max="3" min="3" style="3" width="16.43"/>
    <col collapsed="false" customWidth="true" hidden="false" outlineLevel="0" max="4" min="4" style="4" width="16.43"/>
    <col collapsed="false" customWidth="true" hidden="false" outlineLevel="0" max="5" min="5" style="5" width="13.71"/>
    <col collapsed="false" customWidth="true" hidden="false" outlineLevel="0" max="6" min="6" style="5" width="14"/>
    <col collapsed="false" customWidth="true" hidden="false" outlineLevel="0" max="7" min="7" style="6" width="14.57"/>
    <col collapsed="false" customWidth="true" hidden="false" outlineLevel="0" max="8" min="8" style="6" width="17.71"/>
    <col collapsed="false" customWidth="true" hidden="false" outlineLevel="0" max="9" min="9" style="6" width="16.29"/>
    <col collapsed="false" customWidth="true" hidden="false" outlineLevel="0" max="11" min="10" style="6" width="13.71"/>
    <col collapsed="false" customWidth="true" hidden="false" outlineLevel="0" max="12" min="12" style="6" width="12.71"/>
    <col collapsed="false" customWidth="true" hidden="false" outlineLevel="0" max="13" min="13" style="1" width="12.71"/>
    <col collapsed="false" customWidth="true" hidden="false" outlineLevel="0" max="14" min="14" style="6" width="14.71"/>
    <col collapsed="false" customWidth="true" hidden="false" outlineLevel="0" max="15" min="15" style="6" width="14.57"/>
    <col collapsed="false" customWidth="true" hidden="false" outlineLevel="0" max="16" min="16" style="1" width="12.57"/>
    <col collapsed="false" customWidth="true" hidden="false" outlineLevel="0" max="17" min="17" style="1" width="10.42"/>
    <col collapsed="false" customWidth="true" hidden="false" outlineLevel="0" max="18" min="18" style="1" width="14.71"/>
    <col collapsed="false" customWidth="true" hidden="false" outlineLevel="0" max="19" min="19" style="1" width="16.71"/>
    <col collapsed="false" customWidth="true" hidden="false" outlineLevel="0" max="20" min="20" style="1" width="12.29"/>
    <col collapsed="false" customWidth="true" hidden="false" outlineLevel="0" max="21" min="21" style="1" width="9.29"/>
    <col collapsed="false" customWidth="true" hidden="false" outlineLevel="0" max="22" min="22" style="1" width="10.71"/>
    <col collapsed="false" customWidth="true" hidden="false" outlineLevel="0" max="23" min="23" style="1" width="8.71"/>
    <col collapsed="false" customWidth="true" hidden="false" outlineLevel="0" max="24" min="24" style="5" width="14.57"/>
    <col collapsed="false" customWidth="true" hidden="false" outlineLevel="0" max="25" min="25" style="1" width="25.29"/>
    <col collapsed="false" customWidth="true" hidden="false" outlineLevel="0" max="26" min="26" style="1" width="12.29"/>
    <col collapsed="false" customWidth="true" hidden="false" outlineLevel="0" max="27" min="27" style="7" width="10.42"/>
    <col collapsed="false" customWidth="true" hidden="false" outlineLevel="0" max="28" min="28" style="1" width="14.57"/>
    <col collapsed="false" customWidth="true" hidden="false" outlineLevel="0" max="29" min="29" style="1" width="18.71"/>
    <col collapsed="false" customWidth="true" hidden="false" outlineLevel="0" max="30" min="30" style="1" width="16"/>
    <col collapsed="false" customWidth="true" hidden="false" outlineLevel="0" max="31" min="31" style="1" width="13"/>
    <col collapsed="false" customWidth="true" hidden="false" outlineLevel="0" max="32" min="32" style="1" width="38.29"/>
    <col collapsed="false" customWidth="true" hidden="false" outlineLevel="0" max="33" min="33" style="1" width="16.43"/>
    <col collapsed="false" customWidth="false" hidden="false" outlineLevel="0" max="16384" min="34" style="1" width="11.43"/>
  </cols>
  <sheetData>
    <row r="1" customFormat="false" ht="35.25" hidden="false" customHeight="true" outlineLevel="0" collapsed="false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5" t="s">
        <v>13</v>
      </c>
      <c r="O1" s="11" t="s">
        <v>14</v>
      </c>
      <c r="P1" s="11" t="s">
        <v>15</v>
      </c>
      <c r="Q1" s="16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8" t="s">
        <v>22</v>
      </c>
      <c r="X1" s="19" t="s">
        <v>23</v>
      </c>
      <c r="Y1" s="17" t="s">
        <v>24</v>
      </c>
      <c r="Z1" s="17" t="s">
        <v>25</v>
      </c>
      <c r="AA1" s="20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21" t="s">
        <v>31</v>
      </c>
      <c r="AG1" s="17" t="s">
        <v>32</v>
      </c>
    </row>
    <row r="2" customFormat="false" ht="12.75" hidden="true" customHeight="true" outlineLevel="0" collapsed="false">
      <c r="A2" s="22" t="n">
        <f aca="false">VLOOKUP(B2,Annuaire_roster!B:F,5,0)</f>
        <v>742</v>
      </c>
      <c r="B2" s="23" t="s">
        <v>33</v>
      </c>
      <c r="C2" s="24" t="str">
        <f aca="false">IFERROR(IF(COUNTIFS(Pointage_brut!$E:$E,VLOOKUP($B2,Annuaire_roster!$B:$J,9,0),Pointage_brut!$A:$A,TEXT($Q2,"yyyymmdd")*1)=0,"",MOD(_xlfn.MINIFS(Pointage_brut!$F:$F,Pointage_brut!$E:$E,VLOOKUP($B2,Annuaire_roster!$B:$J,9,0),Pointage_brut!$A:$A,TEXT($Q2,"yyyymmdd")*1),1)),"")</f>
        <v/>
      </c>
      <c r="D2" s="25" t="n">
        <f aca="false" t="array" ref="D2:D2">IFERROR(INDEX(Planning2[],MATCH(1,(Planning2[Nom]=B2)*(Planning2[Date]=Q2),0),3),"-")</f>
        <v>0.291666666666667</v>
      </c>
      <c r="E2" s="26" t="str">
        <f aca="false">IFERROR(IF(COUNTIFS(Pointage_brut!$E:$E,VLOOKUP($B2,Annuaire_roster!$B:$J,9,0),Pointage_brut!$A:$A,TEXT($Q2,"yyyymmdd")*1)=0,"",MOD(_xlfn.MAXIFS(Pointage_brut!$G:$G,Pointage_brut!$E:$E,VLOOKUP($B2,Annuaire_roster!$B:$J,9,0),Pointage_brut!$A:$A,TEXT($Q2,"yyyymmdd")*1),1)),"")</f>
        <v/>
      </c>
      <c r="F2" s="27" t="n">
        <f aca="false" t="array" ref="F2:F2">IFERROR(INDEX(Planning2[],MATCH(1,(Planning2[Nom]=B2)*(Planning2[Date]=Q2),0),4),"-")</f>
        <v>0.666666666666667</v>
      </c>
      <c r="G2" s="28"/>
      <c r="H2" s="28"/>
      <c r="I2" s="29" t="str">
        <f aca="false">IF(IF(OR(C2="",D2="Congé",D2="OFF",D2="Congé spécial"),"",IF(D2&gt;F2,D2-C2,IF(C2-D2&lt;0,0,C2-D2)))&lt;0.00068287037037037,"",IF(OR(D2="Congé",D2="OFF",C2="",D2="Congé spécial"),"",IF(D2&gt;F2,D2-C2,IF(C2-D2&lt;0,0,C2-D2))))</f>
        <v/>
      </c>
      <c r="J2" s="28"/>
      <c r="K2" s="30" t="n">
        <f aca="false">IF(SUM(H2:J2)&lt;0.00068287037037037,0,SUM(H2:J2))</f>
        <v>0</v>
      </c>
      <c r="L2" s="28" t="n">
        <f aca="false">IF(OR(F2="Congé",F2="OFF",M2="Abs",F2="Congé sans solde",F2="Férié",F2="Congé spécial",D2="Congé spécial"),0,IF(F2-E2&lt;0,0,IF(F2-E2&lt;=0.00068287037037037,0,F2-E2)))</f>
        <v>0</v>
      </c>
      <c r="M2" s="31" t="str">
        <f aca="false">IF(AND(O2&lt;&gt;0,C2=""),"Abs",0)</f>
        <v>Abs</v>
      </c>
      <c r="N2" s="32" t="str">
        <f aca="false">IFERROR(IF(OR(D2="OFF",D2="Congé",M2="Abs",D2="Congé sans solde",D2="Férié"),"",IF(O2-K2-L2&gt;O2,O2,IF(O2-K2-L2&lt;0,"",O2-K2-L2))),"")</f>
        <v/>
      </c>
      <c r="O2" s="33" t="n">
        <f aca="false">IF(AG2="2H Pause déjeuner",IF(F2-D2-0.0833333333333333&lt;0,F2-D2-0.0833333333333333+1,F2-D2-0.0833333333333333),IF(OR(AND(F2="OFF",D2="OFF"),AND(F2="Congé",D2="Congé"),AND(F2="Congé sans solde",D2="Congé sans solde"),AND(F2="Congé spécial",D2="Congé spécial"),AND(F2="Férié",D2="Férié"),AND(F2="OFF",D2="Congé"),AND(F2="OFF",D2="Congé sans solde"),AND(F2="OFF",D2="Congé spécial"),AND(F2="OFF",D2="Férié"),AND(F2="Congé",D2="OFF"),AND(F2="Congé",D2="Congé sans solde"),AND(F2="Congé",D2="Congé spécial"),AND(F2="Congé",D2="Férié"),AND(F2="Congé sans solde",D2="OFF"),AND(F2="Congé sans solde",D2="Congé"),AND(F2="Congé sans solde",D2="Congé spécial"),AND(F2="Congé sans solde",D2="Férié"),AND(F2="Congé spécial",D2="OFF"),AND(F2="Congé spécial",D2="Congé"),AND(F2="Congé spécial",D2="Congé sans solde"),AND(F2="Congé spécial",D2="Férié"),AND(F2="Férié",D2="OFF"),AND(F2="Férié",D2="Congé"),AND(F2="Férié",D2="Congé sans solde"),AND(F2="Férié",D2="Congé spécial")),0,IF(OR(F2="OFF",F2="Congé",F2="Congé spécial",F2="Congé sans solde",D2="OFF",D2="Congé",D2="Congé spécial",D2="Congé sans solde"),0.208333333333334,IF(AND(AG2="",F2-D2&lt;0),("24:00:00"-D2)+("00:00:00"+F2)-0.0416666666666667,IF(AND(OR(AG2="Allaitement",AG2="Sans déjeuner"),F2-D2&lt;0),("24:00:00"-D2)+("00:00:00"+F2),IF(AND(AG2="",F2-D2&gt;0.166666666666667),F2-D2-0.0416666666666667,IF(AND(OR(AG2="Allaitement",AG2="Sans déjeuner"),F2-D2&gt;0.166666666666667),F2-D2,F2-D2)))))))</f>
        <v>0.333333333333333</v>
      </c>
      <c r="P2" s="34" t="str">
        <f aca="false">IFERROR(VLOOKUP($B2,Annuaire_roster!$B:$G,MATCH(P$1,Annuaire_roster!$B$1:$G$1,0),0),"-")</f>
        <v>Google Leads</v>
      </c>
      <c r="Q2" s="35" t="n">
        <v>44717</v>
      </c>
      <c r="R2" s="36" t="n">
        <f aca="false">IF(M2="Abs",O2,0)</f>
        <v>0.333333333333333</v>
      </c>
      <c r="S2" s="36" t="n">
        <f aca="false">SUM(R2,L2,I2,J2,W2,H2)</f>
        <v>0.333333333333333</v>
      </c>
      <c r="T2" s="1" t="str">
        <f aca="false">"Sem - "&amp;WEEKNUM(Q2,21)</f>
        <v>Sem - 23</v>
      </c>
      <c r="U2" s="1" t="str">
        <f aca="false">PROPER(TEXT(Q2,"mmmm"))</f>
        <v>June</v>
      </c>
      <c r="V2" s="37" t="str">
        <f aca="false">+TEXT(Q2,"aaa")</f>
        <v>Sat</v>
      </c>
      <c r="W2" s="32"/>
      <c r="X2" s="38" t="n">
        <f aca="false">IFERROR(IF(M2="Abs",0,IF((D2-C2+E2-F2)&lt;0.000694444444444444,0,(D2-C2+E2-F2))),0)</f>
        <v>0</v>
      </c>
      <c r="Y2" s="39" t="str">
        <f aca="false">IFERROR(VLOOKUP(B2,Annuaire_roster!B:E,4,0),"-")</f>
        <v>OUAQERROUCH Nour-El Houda</v>
      </c>
      <c r="Z2" s="39" t="str">
        <f aca="false">IFERROR(VLOOKUP(B2,Annuaire_roster!B:F,3,0),"-")</f>
        <v>Google Leads</v>
      </c>
      <c r="AA2" s="39" t="str">
        <f aca="false">IFERROR(VLOOKUP(B2,Annuaire_roster!B:I,6,0),"-")</f>
        <v>Forfaitaire</v>
      </c>
      <c r="AB2" s="40" t="str">
        <f aca="false">IF(AND(D2="Congé",F2="Congé"),0.333333333333333,IF(OR(AND(D2="Congé",F2&lt;&gt;"Congé"),(AND(F2="Congé",D2&lt;&gt;"Congé"))),0.166666666666667,""))</f>
        <v/>
      </c>
      <c r="AC2" s="40" t="str">
        <f aca="false">IF(AND(D2="Congé sans solde",F2="Congé sans solde"),0.333333333333333,IF(OR(AND(D2="Congé sans solde",F2&lt;&gt;"Congé sans solde"),(AND(F2="Congé sans solde",D2&lt;&gt;"Congé sans solde"))),0.166666666666667,""))</f>
        <v/>
      </c>
      <c r="AD2" s="40" t="str">
        <f aca="false">IF(AND(D2="Congé spécial",F2="Congé spécial"),0.333333333333333,IF(OR(AND(D2="Congé spécial",F2&lt;&gt;"Congé décès"),(AND(F2="Congé spécial",D2&lt;&gt;"Congé spécial"))),0.166666666666667,""))</f>
        <v/>
      </c>
      <c r="AE2" s="41" t="str">
        <f aca="false">IF(AND(D2="Férié",F2="Férié"),0.333333333333333,IF(OR(AND(D2="Férié",F2&lt;&gt;"Férié"),(AND(F2="Férié",D2&lt;&gt;"Férié"))),0.166666666666667,""))</f>
        <v/>
      </c>
      <c r="AF2" s="41"/>
      <c r="AG2" s="36"/>
    </row>
    <row r="3" customFormat="false" ht="12.75" hidden="true" customHeight="true" outlineLevel="0" collapsed="false">
      <c r="A3" s="22" t="n">
        <f aca="false">VLOOKUP(B3,Annuaire_roster!B:F,5,0)</f>
        <v>0</v>
      </c>
      <c r="B3" s="23" t="s">
        <v>34</v>
      </c>
      <c r="C3" s="24" t="str">
        <f aca="false">IFERROR(IF(COUNTIFS(Pointage_brut!$E:$E,VLOOKUP($B3,Annuaire_roster!$B:$J,9,0),Pointage_brut!$A:$A,TEXT($Q3,"yyyymmdd")*1)=0,"",MOD(_xlfn.MINIFS(Pointage_brut!$F:$F,Pointage_brut!$E:$E,VLOOKUP($B3,Annuaire_roster!$B:$J,9,0),Pointage_brut!$A:$A,TEXT($Q3,"yyyymmdd")*1),1)),"")</f>
        <v/>
      </c>
      <c r="D3" s="25" t="n">
        <f aca="false" t="array" ref="D3:D3">IFERROR(INDEX(Planning2[],MATCH(1,(Planning2[Nom]=B3)*(Planning2[Date]=Q3),0),3),"-")</f>
        <v>0.291666666666667</v>
      </c>
      <c r="E3" s="26" t="str">
        <f aca="false">IFERROR(IF(COUNTIFS(Pointage_brut!$E:$E,VLOOKUP($B3,Annuaire_roster!$B:$J,9,0),Pointage_brut!$A:$A,TEXT($Q3,"yyyymmdd")*1)=0,"",MOD(_xlfn.MAXIFS(Pointage_brut!$G:$G,Pointage_brut!$E:$E,VLOOKUP($B3,Annuaire_roster!$B:$J,9,0),Pointage_brut!$A:$A,TEXT($Q3,"yyyymmdd")*1),1)),"")</f>
        <v/>
      </c>
      <c r="F3" s="27" t="n">
        <f aca="false" t="array" ref="F3:F3">IFERROR(INDEX(Planning2[],MATCH(1,(Planning2[Nom]=B3)*(Planning2[Date]=Q3),0),4),"-")</f>
        <v>0.708333333333333</v>
      </c>
      <c r="G3" s="28"/>
      <c r="H3" s="28"/>
      <c r="I3" s="29" t="str">
        <f aca="false">IF(IF(OR(C3="",D3="Congé",D3="OFF",D3="Congé spécial"),"",IF(D3&gt;F3,D3-C3,IF(C3-D3&lt;0,0,C3-D3)))&lt;0.00068287037037037,"",IF(OR(D3="Congé",D3="OFF",C3="",D3="Congé spécial"),"",IF(D3&gt;F3,D3-C3,IF(C3-D3&lt;0,0,C3-D3))))</f>
        <v/>
      </c>
      <c r="J3" s="28"/>
      <c r="K3" s="30" t="n">
        <f aca="false">IF(SUM(H3:J3)&lt;0.00068287037037037,0,SUM(H3:J3))</f>
        <v>0</v>
      </c>
      <c r="L3" s="28" t="n">
        <f aca="false">IF(OR(F3="Congé",F3="OFF",M3="Abs",F3="Congé sans solde",F3="Férié",F3="Congé spécial",D3="Congé spécial"),0,IF(F3-E3&lt;0,0,IF(F3-E3&lt;=0.00068287037037037,0,F3-E3)))</f>
        <v>0</v>
      </c>
      <c r="M3" s="31" t="str">
        <f aca="false">IF(AND(O3&lt;&gt;0,C3=""),"Abs",0)</f>
        <v>Abs</v>
      </c>
      <c r="N3" s="32" t="str">
        <f aca="false">IFERROR(IF(OR(D3="OFF",D3="Congé",M3="Abs",D3="Congé sans solde",D3="Férié"),"",IF(O3-K3-L3&gt;O3,O3,IF(O3-K3-L3&lt;0,"",O3-K3-L3))),"")</f>
        <v/>
      </c>
      <c r="O3" s="33" t="n">
        <f aca="false">IF(AG3="2H Pause déjeuner",IF(F3-D3-0.0833333333333333&lt;0,F3-D3-0.0833333333333333+1,F3-D3-0.0833333333333333),IF(OR(AND(F3="OFF",D3="OFF"),AND(F3="Congé",D3="Congé"),AND(F3="Congé sans solde",D3="Congé sans solde"),AND(F3="Congé spécial",D3="Congé spécial"),AND(F3="Férié",D3="Férié"),AND(F3="OFF",D3="Congé"),AND(F3="OFF",D3="Congé sans solde"),AND(F3="OFF",D3="Congé spécial"),AND(F3="OFF",D3="Férié"),AND(F3="Congé",D3="OFF"),AND(F3="Congé",D3="Congé sans solde"),AND(F3="Congé",D3="Congé spécial"),AND(F3="Congé",D3="Férié"),AND(F3="Congé sans solde",D3="OFF"),AND(F3="Congé sans solde",D3="Congé"),AND(F3="Congé sans solde",D3="Congé spécial"),AND(F3="Congé sans solde",D3="Férié"),AND(F3="Congé spécial",D3="OFF"),AND(F3="Congé spécial",D3="Congé"),AND(F3="Congé spécial",D3="Congé sans solde"),AND(F3="Congé spécial",D3="Férié"),AND(F3="Férié",D3="OFF"),AND(F3="Férié",D3="Congé"),AND(F3="Férié",D3="Congé sans solde"),AND(F3="Férié",D3="Congé spécial")),0,IF(OR(F3="OFF",F3="Congé",F3="Congé spécial",F3="Congé sans solde",D3="OFF",D3="Congé",D3="Congé spécial",D3="Congé sans solde"),0.208333333333334,IF(AND(AG3="",F3-D3&lt;0),("24:00:00"-D3)+("00:00:00"+F3)-0.0416666666666667,IF(AND(OR(AG3="Allaitement",AG3="Sans déjeuner"),F3-D3&lt;0),("24:00:00"-D3)+("00:00:00"+F3),IF(AND(AG3="",F3-D3&gt;0.166666666666667),F3-D3-0.0416666666666667,IF(AND(OR(AG3="Allaitement",AG3="Sans déjeuner"),F3-D3&gt;0.166666666666667),F3-D3,F3-D3)))))))</f>
        <v>0.375</v>
      </c>
      <c r="P3" s="34" t="str">
        <f aca="false">IFERROR(VLOOKUP($B3,Annuaire_roster!$B:$G,MATCH(P$1,Annuaire_roster!$B$1:$G$1,0),0),"-")</f>
        <v>Google Leads</v>
      </c>
      <c r="Q3" s="35" t="n">
        <v>44717</v>
      </c>
      <c r="R3" s="36" t="n">
        <f aca="false">IF(M3="Abs",O3,0)</f>
        <v>0.375</v>
      </c>
      <c r="S3" s="36" t="n">
        <f aca="false">SUM(R3,L3,I3,J3,W3,H3)</f>
        <v>0.375</v>
      </c>
      <c r="T3" s="1" t="str">
        <f aca="false">"Sem - "&amp;WEEKNUM(Q3,21)</f>
        <v>Sem - 23</v>
      </c>
      <c r="U3" s="1" t="str">
        <f aca="false">PROPER(TEXT(Q3,"mmmm"))</f>
        <v>June</v>
      </c>
      <c r="V3" s="37" t="str">
        <f aca="false">+TEXT(Q3,"aaa")</f>
        <v>Sat</v>
      </c>
      <c r="W3" s="32"/>
      <c r="X3" s="38" t="n">
        <f aca="false">IFERROR(IF(M3="Abs",0,IF((D3-C3+E3-F3)&lt;0.000694444444444444,0,(D3-C3+E3-F3))),0)</f>
        <v>0</v>
      </c>
      <c r="Y3" s="39" t="n">
        <f aca="false">IFERROR(VLOOKUP(B3,Annuaire_roster!B:E,4,0),"-")</f>
        <v>0</v>
      </c>
      <c r="Z3" s="39" t="str">
        <f aca="false">IFERROR(VLOOKUP(B3,Annuaire_roster!B:F,3,0),"-")</f>
        <v>Google Leads</v>
      </c>
      <c r="AA3" s="39" t="n">
        <f aca="false">IFERROR(VLOOKUP(B3,Annuaire_roster!B:I,6,0),"-")</f>
        <v>0</v>
      </c>
      <c r="AB3" s="40" t="str">
        <f aca="false">IF(AND(D3="Congé",F3="Congé"),0.333333333333333,IF(OR(AND(D3="Congé",F3&lt;&gt;"Congé"),(AND(F3="Congé",D3&lt;&gt;"Congé"))),0.166666666666667,""))</f>
        <v/>
      </c>
      <c r="AC3" s="40" t="str">
        <f aca="false">IF(AND(D3="Congé sans solde",F3="Congé sans solde"),0.333333333333333,IF(OR(AND(D3="Congé sans solde",F3&lt;&gt;"Congé sans solde"),(AND(F3="Congé sans solde",D3&lt;&gt;"Congé sans solde"))),0.166666666666667,""))</f>
        <v/>
      </c>
      <c r="AD3" s="40" t="str">
        <f aca="false">IF(AND(D3="Congé spécial",F3="Congé spécial"),0.333333333333333,IF(OR(AND(D3="Congé spécial",F3&lt;&gt;"Congé décès"),(AND(F3="Congé spécial",D3&lt;&gt;"Congé spécial"))),0.166666666666667,""))</f>
        <v/>
      </c>
      <c r="AE3" s="41" t="str">
        <f aca="false">IF(AND(D3="Férié",F3="Férié"),0.333333333333333,IF(OR(AND(D3="Férié",F3&lt;&gt;"Férié"),(AND(F3="Férié",D3&lt;&gt;"Férié"))),0.166666666666667,""))</f>
        <v/>
      </c>
      <c r="AF3" s="41"/>
      <c r="AG3" s="36"/>
    </row>
    <row r="4" s="42" customFormat="true" ht="12.75" hidden="true" customHeight="true" outlineLevel="0" collapsed="false">
      <c r="A4" s="22" t="n">
        <f aca="false">VLOOKUP(B4,Annuaire_roster!B:F,5,0)</f>
        <v>0</v>
      </c>
      <c r="B4" s="23" t="s">
        <v>35</v>
      </c>
      <c r="C4" s="24" t="str">
        <f aca="false">IFERROR(IF(COUNTIFS(Pointage_brut!$E:$E,VLOOKUP($B4,Annuaire_roster!$B:$J,9,0),Pointage_brut!$A:$A,TEXT($Q4,"yyyymmdd")*1)=0,"",MOD(_xlfn.MINIFS(Pointage_brut!$F:$F,Pointage_brut!$E:$E,VLOOKUP($B4,Annuaire_roster!$B:$J,9,0),Pointage_brut!$A:$A,TEXT($Q4,"yyyymmdd")*1),1)),"")</f>
        <v/>
      </c>
      <c r="D4" s="25" t="n">
        <f aca="false" t="array" ref="D4:D4">IFERROR(INDEX(Planning2[],MATCH(1,(Planning2[Nom]=B4)*(Planning2[Date]=Q4),0),3),"-")</f>
        <v>0.291666666666667</v>
      </c>
      <c r="E4" s="26" t="str">
        <f aca="false">IFERROR(IF(COUNTIFS(Pointage_brut!$E:$E,VLOOKUP($B4,Annuaire_roster!$B:$J,9,0),Pointage_brut!$A:$A,TEXT($Q4,"yyyymmdd")*1)=0,"",MOD(_xlfn.MAXIFS(Pointage_brut!$G:$G,Pointage_brut!$E:$E,VLOOKUP($B4,Annuaire_roster!$B:$J,9,0),Pointage_brut!$A:$A,TEXT($Q4,"yyyymmdd")*1),1)),"")</f>
        <v/>
      </c>
      <c r="F4" s="27" t="n">
        <f aca="false" t="array" ref="F4:F4">IFERROR(INDEX(Planning2[],MATCH(1,(Planning2[Nom]=B4)*(Planning2[Date]=Q4),0),4),"-")</f>
        <v>0.708333333333333</v>
      </c>
      <c r="G4" s="28"/>
      <c r="H4" s="28"/>
      <c r="I4" s="29" t="str">
        <f aca="false">IF(IF(OR(C4="",D4="Congé",D4="OFF",D4="Congé spécial"),"",IF(D4&gt;F4,D4-C4,IF(C4-D4&lt;0,0,C4-D4)))&lt;0.00068287037037037,"",IF(OR(D4="Congé",D4="OFF",C4="",D4="Congé spécial"),"",IF(D4&gt;F4,D4-C4,IF(C4-D4&lt;0,0,C4-D4))))</f>
        <v/>
      </c>
      <c r="J4" s="28"/>
      <c r="K4" s="30" t="n">
        <f aca="false">IF(SUM(H4:J4)&lt;0.00068287037037037,0,SUM(H4:J4))</f>
        <v>0</v>
      </c>
      <c r="L4" s="28" t="n">
        <f aca="false">IF(OR(F4="Congé",F4="OFF",M4="Abs",F4="Congé sans solde",F4="Férié",F4="Congé spécial",D4="Congé spécial"),0,IF(F4-E4&lt;0,0,IF(F4-E4&lt;=0.00068287037037037,0,F4-E4)))</f>
        <v>0</v>
      </c>
      <c r="M4" s="31" t="str">
        <f aca="false">IF(AND(O4&lt;&gt;0,C4=""),"Abs",0)</f>
        <v>Abs</v>
      </c>
      <c r="N4" s="32" t="str">
        <f aca="false">IFERROR(IF(OR(D4="OFF",D4="Congé",M4="Abs",D4="Congé sans solde",D4="Férié"),"",IF(O4-K4-L4&gt;O4,O4,IF(O4-K4-L4&lt;0,"",O4-K4-L4))),"")</f>
        <v/>
      </c>
      <c r="O4" s="33" t="n">
        <f aca="false">IF(AG4="2H Pause déjeuner",IF(F4-D4-0.0833333333333333&lt;0,F4-D4-0.0833333333333333+1,F4-D4-0.0833333333333333),IF(OR(AND(F4="OFF",D4="OFF"),AND(F4="Congé",D4="Congé"),AND(F4="Congé sans solde",D4="Congé sans solde"),AND(F4="Congé spécial",D4="Congé spécial"),AND(F4="Férié",D4="Férié"),AND(F4="OFF",D4="Congé"),AND(F4="OFF",D4="Congé sans solde"),AND(F4="OFF",D4="Congé spécial"),AND(F4="OFF",D4="Férié"),AND(F4="Congé",D4="OFF"),AND(F4="Congé",D4="Congé sans solde"),AND(F4="Congé",D4="Congé spécial"),AND(F4="Congé",D4="Férié"),AND(F4="Congé sans solde",D4="OFF"),AND(F4="Congé sans solde",D4="Congé"),AND(F4="Congé sans solde",D4="Congé spécial"),AND(F4="Congé sans solde",D4="Férié"),AND(F4="Congé spécial",D4="OFF"),AND(F4="Congé spécial",D4="Congé"),AND(F4="Congé spécial",D4="Congé sans solde"),AND(F4="Congé spécial",D4="Férié"),AND(F4="Férié",D4="OFF"),AND(F4="Férié",D4="Congé"),AND(F4="Férié",D4="Congé sans solde"),AND(F4="Férié",D4="Congé spécial")),0,IF(OR(F4="OFF",F4="Congé",F4="Congé spécial",F4="Congé sans solde",D4="OFF",D4="Congé",D4="Congé spécial",D4="Congé sans solde"),0.208333333333334,IF(AND(AG4="",F4-D4&lt;0),("24:00:00"-D4)+("00:00:00"+F4)-0.0416666666666667,IF(AND(OR(AG4="Allaitement",AG4="Sans déjeuner"),F4-D4&lt;0),("24:00:00"-D4)+("00:00:00"+F4),IF(AND(AG4="",F4-D4&gt;0.166666666666667),F4-D4-0.0416666666666667,IF(AND(OR(AG4="Allaitement",AG4="Sans déjeuner"),F4-D4&gt;0.166666666666667),F4-D4,F4-D4)))))))</f>
        <v>0.375</v>
      </c>
      <c r="P4" s="34" t="str">
        <f aca="false">IFERROR(VLOOKUP($B4,Annuaire_roster!$B:$G,MATCH(P$1,Annuaire_roster!$B$1:$G$1,0),0),"-")</f>
        <v>Google Leads</v>
      </c>
      <c r="Q4" s="35" t="n">
        <v>44717</v>
      </c>
      <c r="R4" s="36" t="n">
        <f aca="false">IF(M4="Abs",O4,0)</f>
        <v>0.375</v>
      </c>
      <c r="S4" s="36" t="n">
        <f aca="false">SUM(R4,L4,I4,J4,W4,H4)</f>
        <v>0.375</v>
      </c>
      <c r="T4" s="1" t="str">
        <f aca="false">"Sem - "&amp;WEEKNUM(Q4,21)</f>
        <v>Sem - 23</v>
      </c>
      <c r="U4" s="1" t="str">
        <f aca="false">PROPER(TEXT(Q4,"mmmm"))</f>
        <v>June</v>
      </c>
      <c r="V4" s="37" t="str">
        <f aca="false">+TEXT(Q4,"aaa")</f>
        <v>Sat</v>
      </c>
      <c r="W4" s="32"/>
      <c r="X4" s="38" t="n">
        <f aca="false">IFERROR(IF(M4="Abs",0,IF((D4-C4+E4-F4)&lt;0.000694444444444444,0,(D4-C4+E4-F4))),0)</f>
        <v>0</v>
      </c>
      <c r="Y4" s="39" t="n">
        <f aca="false">IFERROR(VLOOKUP(B4,Annuaire_roster!B:E,4,0),"-")</f>
        <v>0</v>
      </c>
      <c r="Z4" s="39" t="str">
        <f aca="false">IFERROR(VLOOKUP(B4,Annuaire_roster!B:F,3,0),"-")</f>
        <v>Google Leads</v>
      </c>
      <c r="AA4" s="39" t="n">
        <f aca="false">IFERROR(VLOOKUP(B4,Annuaire_roster!B:I,6,0),"-")</f>
        <v>0</v>
      </c>
      <c r="AB4" s="40" t="str">
        <f aca="false">IF(AND(D4="Congé",F4="Congé"),0.333333333333333,IF(OR(AND(D4="Congé",F4&lt;&gt;"Congé"),(AND(F4="Congé",D4&lt;&gt;"Congé"))),0.166666666666667,""))</f>
        <v/>
      </c>
      <c r="AC4" s="40" t="str">
        <f aca="false">IF(AND(D4="Congé sans solde",F4="Congé sans solde"),0.333333333333333,IF(OR(AND(D4="Congé sans solde",F4&lt;&gt;"Congé sans solde"),(AND(F4="Congé sans solde",D4&lt;&gt;"Congé sans solde"))),0.166666666666667,""))</f>
        <v/>
      </c>
      <c r="AD4" s="40" t="str">
        <f aca="false">IF(AND(D4="Congé spécial",F4="Congé spécial"),0.333333333333333,IF(OR(AND(D4="Congé spécial",F4&lt;&gt;"Congé décès"),(AND(F4="Congé spécial",D4&lt;&gt;"Congé spécial"))),0.166666666666667,""))</f>
        <v/>
      </c>
      <c r="AE4" s="41" t="str">
        <f aca="false">IF(AND(D4="Férié",F4="Férié"),0.333333333333333,IF(OR(AND(D4="Férié",F4&lt;&gt;"Férié"),(AND(F4="Férié",D4&lt;&gt;"Férié"))),0.166666666666667,""))</f>
        <v/>
      </c>
      <c r="AF4" s="41"/>
      <c r="AG4" s="40"/>
    </row>
    <row r="5" customFormat="false" ht="12.75" hidden="true" customHeight="true" outlineLevel="0" collapsed="false">
      <c r="A5" s="22" t="n">
        <f aca="false">VLOOKUP(B5,Annuaire_roster!B:F,5,0)</f>
        <v>0</v>
      </c>
      <c r="B5" s="23" t="s">
        <v>36</v>
      </c>
      <c r="C5" s="24" t="str">
        <f aca="false">IFERROR(IF(COUNTIFS(Pointage_brut!$E:$E,VLOOKUP($B5,Annuaire_roster!$B:$J,9,0),Pointage_brut!$A:$A,TEXT($Q5,"yyyymmdd")*1)=0,"",MOD(_xlfn.MINIFS(Pointage_brut!$F:$F,Pointage_brut!$E:$E,VLOOKUP($B5,Annuaire_roster!$B:$J,9,0),Pointage_brut!$A:$A,TEXT($Q5,"yyyymmdd")*1),1)),"")</f>
        <v/>
      </c>
      <c r="D5" s="25" t="n">
        <f aca="false" t="array" ref="D5:D5">IFERROR(INDEX(Planning2[],MATCH(1,(Planning2[Nom]=B5)*(Planning2[Date]=Q5),0),3),"-")</f>
        <v>0.291666666666667</v>
      </c>
      <c r="E5" s="26" t="str">
        <f aca="false">IFERROR(IF(COUNTIFS(Pointage_brut!$E:$E,VLOOKUP($B5,Annuaire_roster!$B:$J,9,0),Pointage_brut!$A:$A,TEXT($Q5,"yyyymmdd")*1)=0,"",MOD(_xlfn.MAXIFS(Pointage_brut!$G:$G,Pointage_brut!$E:$E,VLOOKUP($B5,Annuaire_roster!$B:$J,9,0),Pointage_brut!$A:$A,TEXT($Q5,"yyyymmdd")*1),1)),"")</f>
        <v/>
      </c>
      <c r="F5" s="27" t="n">
        <f aca="false" t="array" ref="F5:F5">IFERROR(INDEX(Planning2[],MATCH(1,(Planning2[Nom]=B5)*(Planning2[Date]=Q5),0),4),"-")</f>
        <v>0.708333333333333</v>
      </c>
      <c r="G5" s="28"/>
      <c r="H5" s="28"/>
      <c r="I5" s="29" t="str">
        <f aca="false">IF(IF(OR(C5="",D5="Congé",D5="OFF",D5="Congé spécial"),"",IF(D5&gt;F5,D5-C5,IF(C5-D5&lt;0,0,C5-D5)))&lt;0.00068287037037037,"",IF(OR(D5="Congé",D5="OFF",C5="",D5="Congé spécial"),"",IF(D5&gt;F5,D5-C5,IF(C5-D5&lt;0,0,C5-D5))))</f>
        <v/>
      </c>
      <c r="J5" s="28"/>
      <c r="K5" s="30" t="n">
        <f aca="false">IF(SUM(H5:J5)&lt;0.00068287037037037,0,SUM(H5:J5))</f>
        <v>0</v>
      </c>
      <c r="L5" s="28" t="n">
        <f aca="false">IF(OR(F5="Congé",F5="OFF",M5="Abs",F5="Congé sans solde",F5="Férié",F5="Congé spécial",D5="Congé spécial"),0,IF(F5-E5&lt;0,0,IF(F5-E5&lt;=0.00068287037037037,0,F5-E5)))</f>
        <v>0</v>
      </c>
      <c r="M5" s="31" t="str">
        <f aca="false">IF(AND(O5&lt;&gt;0,C5=""),"Abs",0)</f>
        <v>Abs</v>
      </c>
      <c r="N5" s="32" t="str">
        <f aca="false">IFERROR(IF(OR(D5="OFF",D5="Congé",M5="Abs",D5="Congé sans solde",D5="Férié"),"",IF(O5-K5-L5&gt;O5,O5,IF(O5-K5-L5&lt;0,"",O5-K5-L5))),"")</f>
        <v/>
      </c>
      <c r="O5" s="33" t="n">
        <f aca="false">IF(AG5="2H Pause déjeuner",IF(F5-D5-0.0833333333333333&lt;0,F5-D5-0.0833333333333333+1,F5-D5-0.0833333333333333),IF(OR(AND(F5="OFF",D5="OFF"),AND(F5="Congé",D5="Congé"),AND(F5="Congé sans solde",D5="Congé sans solde"),AND(F5="Congé spécial",D5="Congé spécial"),AND(F5="Férié",D5="Férié"),AND(F5="OFF",D5="Congé"),AND(F5="OFF",D5="Congé sans solde"),AND(F5="OFF",D5="Congé spécial"),AND(F5="OFF",D5="Férié"),AND(F5="Congé",D5="OFF"),AND(F5="Congé",D5="Congé sans solde"),AND(F5="Congé",D5="Congé spécial"),AND(F5="Congé",D5="Férié"),AND(F5="Congé sans solde",D5="OFF"),AND(F5="Congé sans solde",D5="Congé"),AND(F5="Congé sans solde",D5="Congé spécial"),AND(F5="Congé sans solde",D5="Férié"),AND(F5="Congé spécial",D5="OFF"),AND(F5="Congé spécial",D5="Congé"),AND(F5="Congé spécial",D5="Congé sans solde"),AND(F5="Congé spécial",D5="Férié"),AND(F5="Férié",D5="OFF"),AND(F5="Férié",D5="Congé"),AND(F5="Férié",D5="Congé sans solde"),AND(F5="Férié",D5="Congé spécial")),0,IF(OR(F5="OFF",F5="Congé",F5="Congé spécial",F5="Congé sans solde",D5="OFF",D5="Congé",D5="Congé spécial",D5="Congé sans solde"),0.208333333333334,IF(AND(AG5="",F5-D5&lt;0),("24:00:00"-D5)+("00:00:00"+F5)-0.0416666666666667,IF(AND(OR(AG5="Allaitement",AG5="Sans déjeuner"),F5-D5&lt;0),("24:00:00"-D5)+("00:00:00"+F5),IF(AND(AG5="",F5-D5&gt;0.166666666666667),F5-D5-0.0416666666666667,IF(AND(OR(AG5="Allaitement",AG5="Sans déjeuner"),F5-D5&gt;0.166666666666667),F5-D5,F5-D5)))))))</f>
        <v>0.375</v>
      </c>
      <c r="P5" s="34" t="str">
        <f aca="false">IFERROR(VLOOKUP($B5,Annuaire_roster!$B:$G,MATCH(P$1,Annuaire_roster!$B$1:$G$1,0),0),"-")</f>
        <v>Google Leads</v>
      </c>
      <c r="Q5" s="35" t="n">
        <v>44717</v>
      </c>
      <c r="R5" s="36" t="n">
        <f aca="false">IF(M5="Abs",O5,0)</f>
        <v>0.375</v>
      </c>
      <c r="S5" s="36" t="n">
        <f aca="false">SUM(R5,L5,I5,J5,W5,H5)</f>
        <v>0.375</v>
      </c>
      <c r="T5" s="1" t="str">
        <f aca="false">"Sem - "&amp;WEEKNUM(Q5,21)</f>
        <v>Sem - 23</v>
      </c>
      <c r="U5" s="1" t="str">
        <f aca="false">PROPER(TEXT(Q5,"mmmm"))</f>
        <v>June</v>
      </c>
      <c r="V5" s="37" t="str">
        <f aca="false">+TEXT(Q5,"aaa")</f>
        <v>Sat</v>
      </c>
      <c r="W5" s="32"/>
      <c r="X5" s="38" t="n">
        <f aca="false">IFERROR(IF(M5="Abs",0,IF((D5-C5+E5-F5)&lt;0.000694444444444444,0,(D5-C5+E5-F5))),0)</f>
        <v>0</v>
      </c>
      <c r="Y5" s="39" t="n">
        <f aca="false">IFERROR(VLOOKUP(B5,Annuaire_roster!B:E,4,0),"-")</f>
        <v>0</v>
      </c>
      <c r="Z5" s="39" t="str">
        <f aca="false">IFERROR(VLOOKUP(B5,Annuaire_roster!B:F,3,0),"-")</f>
        <v>Google Leads</v>
      </c>
      <c r="AA5" s="39" t="n">
        <f aca="false">IFERROR(VLOOKUP(B5,Annuaire_roster!B:I,6,0),"-")</f>
        <v>0</v>
      </c>
      <c r="AB5" s="40" t="str">
        <f aca="false">IF(AND(D5="Congé",F5="Congé"),0.333333333333333,IF(OR(AND(D5="Congé",F5&lt;&gt;"Congé"),(AND(F5="Congé",D5&lt;&gt;"Congé"))),0.166666666666667,""))</f>
        <v/>
      </c>
      <c r="AC5" s="40" t="str">
        <f aca="false">IF(AND(D5="Congé sans solde",F5="Congé sans solde"),0.333333333333333,IF(OR(AND(D5="Congé sans solde",F5&lt;&gt;"Congé sans solde"),(AND(F5="Congé sans solde",D5&lt;&gt;"Congé sans solde"))),0.166666666666667,""))</f>
        <v/>
      </c>
      <c r="AD5" s="40" t="str">
        <f aca="false">IF(AND(D5="Congé spécial",F5="Congé spécial"),0.333333333333333,IF(OR(AND(D5="Congé spécial",F5&lt;&gt;"Congé décès"),(AND(F5="Congé spécial",D5&lt;&gt;"Congé spécial"))),0.166666666666667,""))</f>
        <v/>
      </c>
      <c r="AE5" s="41" t="str">
        <f aca="false">IF(AND(D5="Férié",F5="Férié"),0.333333333333333,IF(OR(AND(D5="Férié",F5&lt;&gt;"Férié"),(AND(F5="Férié",D5&lt;&gt;"Férié"))),0.166666666666667,""))</f>
        <v/>
      </c>
      <c r="AF5" s="41"/>
      <c r="AG5" s="36"/>
    </row>
    <row r="6" s="50" customFormat="true" ht="12.75" hidden="true" customHeight="true" outlineLevel="0" collapsed="false">
      <c r="A6" s="43" t="n">
        <f aca="false">VLOOKUP(B6,Annuaire_roster!B:F,5,0)</f>
        <v>0</v>
      </c>
      <c r="B6" s="23" t="s">
        <v>37</v>
      </c>
      <c r="C6" s="24" t="str">
        <f aca="false">IFERROR(IF(COUNTIFS(Pointage_brut!$E:$E,VLOOKUP($B6,Annuaire_roster!$B:$J,9,0),Pointage_brut!$A:$A,TEXT($Q6,"yyyymmdd")*1)=0,"",MOD(_xlfn.MINIFS(Pointage_brut!$F:$F,Pointage_brut!$E:$E,VLOOKUP($B6,Annuaire_roster!$B:$J,9,0),Pointage_brut!$A:$A,TEXT($Q6,"yyyymmdd")*1),1)),"")</f>
        <v/>
      </c>
      <c r="D6" s="25" t="n">
        <f aca="false" t="array" ref="D6:D6">IFERROR(INDEX(Planning2[],MATCH(1,(Planning2[Nom]=B6)*(Planning2[Date]=Q6),0),3),"-")</f>
        <v>0.291666666666667</v>
      </c>
      <c r="E6" s="26" t="str">
        <f aca="false">IFERROR(IF(COUNTIFS(Pointage_brut!$E:$E,VLOOKUP($B6,Annuaire_roster!$B:$J,9,0),Pointage_brut!$A:$A,TEXT($Q6,"yyyymmdd")*1)=0,"",MOD(_xlfn.MAXIFS(Pointage_brut!$G:$G,Pointage_brut!$E:$E,VLOOKUP($B6,Annuaire_roster!$B:$J,9,0),Pointage_brut!$A:$A,TEXT($Q6,"yyyymmdd")*1),1)),"")</f>
        <v/>
      </c>
      <c r="F6" s="27" t="n">
        <f aca="false" t="array" ref="F6:F6">IFERROR(INDEX(Planning2[],MATCH(1,(Planning2[Nom]=B6)*(Planning2[Date]=Q6),0),4),"-")</f>
        <v>0.708333333333333</v>
      </c>
      <c r="G6" s="28"/>
      <c r="H6" s="28"/>
      <c r="I6" s="29" t="str">
        <f aca="false">IF(IF(OR(C6="",D6="Congé",D6="OFF",D6="Congé spécial"),"",IF(D6&gt;F6,D6-C6,IF(C6-D6&lt;0,0,C6-D6)))&lt;0.00068287037037037,"",IF(OR(D6="Congé",D6="OFF",C6="",D6="Congé spécial"),"",IF(D6&gt;F6,D6-C6,IF(C6-D6&lt;0,0,C6-D6))))</f>
        <v/>
      </c>
      <c r="J6" s="28"/>
      <c r="K6" s="30" t="n">
        <f aca="false">IF(SUM(H6:J6)&lt;0.00068287037037037,0,SUM(H6:J6))</f>
        <v>0</v>
      </c>
      <c r="L6" s="28" t="n">
        <f aca="false">IF(OR(F6="Congé",F6="OFF",M6="Abs",F6="Congé sans solde",F6="Férié",F6="Congé spécial",D6="Congé spécial"),0,IF(F6-E6&lt;0,0,IF(F6-E6&lt;=0.00068287037037037,0,F6-E6)))</f>
        <v>0</v>
      </c>
      <c r="M6" s="31" t="str">
        <f aca="false">IF(AND(O6&lt;&gt;0,C6=""),"Abs",0)</f>
        <v>Abs</v>
      </c>
      <c r="N6" s="44" t="str">
        <f aca="false">IFERROR(IF(OR(D6="OFF",D6="Congé",M6="Abs",D6="Congé sans solde",D6="Férié"),"",IF(O6-K6-L6&gt;O6,O6,IF(O6-K6-L6&lt;0,"",O6-K6-L6))),"")</f>
        <v/>
      </c>
      <c r="O6" s="33" t="n">
        <f aca="false">IF(AG6="2H Pause déjeuner",IF(F6-D6-0.0833333333333333&lt;0,F6-D6-0.0833333333333333+1,F6-D6-0.0833333333333333),IF(OR(AND(F6="OFF",D6="OFF"),AND(F6="Congé",D6="Congé"),AND(F6="Congé sans solde",D6="Congé sans solde"),AND(F6="Congé spécial",D6="Congé spécial"),AND(F6="Férié",D6="Férié"),AND(F6="OFF",D6="Congé"),AND(F6="OFF",D6="Congé sans solde"),AND(F6="OFF",D6="Congé spécial"),AND(F6="OFF",D6="Férié"),AND(F6="Congé",D6="OFF"),AND(F6="Congé",D6="Congé sans solde"),AND(F6="Congé",D6="Congé spécial"),AND(F6="Congé",D6="Férié"),AND(F6="Congé sans solde",D6="OFF"),AND(F6="Congé sans solde",D6="Congé"),AND(F6="Congé sans solde",D6="Congé spécial"),AND(F6="Congé sans solde",D6="Férié"),AND(F6="Congé spécial",D6="OFF"),AND(F6="Congé spécial",D6="Congé"),AND(F6="Congé spécial",D6="Congé sans solde"),AND(F6="Congé spécial",D6="Férié"),AND(F6="Férié",D6="OFF"),AND(F6="Férié",D6="Congé"),AND(F6="Férié",D6="Congé sans solde"),AND(F6="Férié",D6="Congé spécial")),0,IF(OR(F6="OFF",F6="Congé",F6="Congé spécial",F6="Congé sans solde",D6="OFF",D6="Congé",D6="Congé spécial",D6="Congé sans solde"),0.208333333333334,IF(AND(AG6="",F6-D6&lt;0),("24:00:00"-D6)+("00:00:00"+F6)-0.0416666666666667,IF(AND(OR(AG6="Allaitement",AG6="Sans déjeuner"),F6-D6&lt;0),("24:00:00"-D6)+("00:00:00"+F6),IF(AND(AG6="",F6-D6&gt;0.166666666666667),F6-D6-0.0416666666666667,IF(AND(OR(AG6="Allaitement",AG6="Sans déjeuner"),F6-D6&gt;0.166666666666667),F6-D6,F6-D6)))))))</f>
        <v>0.375</v>
      </c>
      <c r="P6" s="34" t="str">
        <f aca="false">IFERROR(VLOOKUP($B6,Annuaire_roster!$B:$G,MATCH(P$1,Annuaire_roster!$B$1:$G$1,0),0),"-")</f>
        <v>Google Leads</v>
      </c>
      <c r="Q6" s="45" t="n">
        <v>44717</v>
      </c>
      <c r="R6" s="40" t="n">
        <f aca="false">IF(M6="Abs",O6,0)</f>
        <v>0.375</v>
      </c>
      <c r="S6" s="40" t="n">
        <f aca="false">SUM(R6,L6,I6,J6,W6,H6)</f>
        <v>0.375</v>
      </c>
      <c r="T6" s="1" t="str">
        <f aca="false">"Sem - "&amp;WEEKNUM(Q6,21)</f>
        <v>Sem - 23</v>
      </c>
      <c r="U6" s="1" t="str">
        <f aca="false">PROPER(TEXT(Q6,"mmmm"))</f>
        <v>June</v>
      </c>
      <c r="V6" s="46" t="str">
        <f aca="false">+TEXT(Q6,"aaa")</f>
        <v>Sat</v>
      </c>
      <c r="W6" s="44"/>
      <c r="X6" s="47" t="n">
        <f aca="false">IFERROR(IF(M6="Abs",0,IF((D6-C6+E6-F6)&lt;0.000694444444444444,0,(D6-C6+E6-F6))),0)</f>
        <v>0</v>
      </c>
      <c r="Y6" s="48" t="n">
        <f aca="false">IFERROR(VLOOKUP(B6,Annuaire_roster!B:E,4,0),"-")</f>
        <v>0</v>
      </c>
      <c r="Z6" s="48" t="str">
        <f aca="false">IFERROR(VLOOKUP(B6,Annuaire_roster!B:F,3,0),"-")</f>
        <v>Google Leads</v>
      </c>
      <c r="AA6" s="48" t="n">
        <f aca="false">IFERROR(VLOOKUP(B6,Annuaire_roster!B:I,6,0),"-")</f>
        <v>0</v>
      </c>
      <c r="AB6" s="40" t="str">
        <f aca="false">IF(AND(D6="Congé",F6="Congé"),0.333333333333333,IF(OR(AND(D6="Congé",F6&lt;&gt;"Congé"),(AND(F6="Congé",D6&lt;&gt;"Congé"))),0.166666666666667,""))</f>
        <v/>
      </c>
      <c r="AC6" s="40" t="str">
        <f aca="false">IF(AND(D6="Congé sans solde",F6="Congé sans solde"),0.333333333333333,IF(OR(AND(D6="Congé sans solde",F6&lt;&gt;"Congé sans solde"),(AND(F6="Congé sans solde",D6&lt;&gt;"Congé sans solde"))),0.166666666666667,""))</f>
        <v/>
      </c>
      <c r="AD6" s="40" t="str">
        <f aca="false">IF(AND(D6="Congé spécial",F6="Congé spécial"),0.333333333333333,IF(OR(AND(D6="Congé spécial",F6&lt;&gt;"Congé décès"),(AND(F6="Congé spécial",D6&lt;&gt;"Congé spécial"))),0.166666666666667,""))</f>
        <v/>
      </c>
      <c r="AE6" s="49" t="str">
        <f aca="false">IF(AND(D6="Férié",F6="Férié"),0.333333333333333,IF(OR(AND(D6="Férié",F6&lt;&gt;"Férié"),(AND(F6="Férié",D6&lt;&gt;"Férié"))),0.166666666666667,""))</f>
        <v/>
      </c>
      <c r="AF6" s="41"/>
      <c r="AG6" s="40"/>
    </row>
    <row r="7" customFormat="false" ht="12.75" hidden="true" customHeight="true" outlineLevel="0" collapsed="false">
      <c r="A7" s="22" t="n">
        <f aca="false">VLOOKUP(B7,Annuaire_roster!B:F,5,0)</f>
        <v>669</v>
      </c>
      <c r="B7" s="23" t="s">
        <v>38</v>
      </c>
      <c r="C7" s="24" t="str">
        <f aca="false">IFERROR(IF(COUNTIFS(Pointage_brut!$E:$E,VLOOKUP($B7,Annuaire_roster!$B:$J,9,0),Pointage_brut!$A:$A,TEXT($Q7,"yyyymmdd")*1)=0,"",MOD(_xlfn.MINIFS(Pointage_brut!$F:$F,Pointage_brut!$E:$E,VLOOKUP($B7,Annuaire_roster!$B:$J,9,0),Pointage_brut!$A:$A,TEXT($Q7,"yyyymmdd")*1),1)),"")</f>
        <v/>
      </c>
      <c r="D7" s="25" t="n">
        <f aca="false" t="array" ref="D7:D7">IFERROR(INDEX(Planning2[],MATCH(1,(Planning2[Nom]=B7)*(Planning2[Date]=Q7),0),3),"-")</f>
        <v>0.291666666666667</v>
      </c>
      <c r="E7" s="26" t="str">
        <f aca="false">IFERROR(IF(COUNTIFS(Pointage_brut!$E:$E,VLOOKUP($B7,Annuaire_roster!$B:$J,9,0),Pointage_brut!$A:$A,TEXT($Q7,"yyyymmdd")*1)=0,"",MOD(_xlfn.MAXIFS(Pointage_brut!$G:$G,Pointage_brut!$E:$E,VLOOKUP($B7,Annuaire_roster!$B:$J,9,0),Pointage_brut!$A:$A,TEXT($Q7,"yyyymmdd")*1),1)),"")</f>
        <v/>
      </c>
      <c r="F7" s="27" t="n">
        <f aca="false" t="array" ref="F7:F7">IFERROR(INDEX(Planning2[],MATCH(1,(Planning2[Nom]=B7)*(Planning2[Date]=Q7),0),4),"-")</f>
        <v>0.708333333333333</v>
      </c>
      <c r="G7" s="28"/>
      <c r="H7" s="28"/>
      <c r="I7" s="29" t="str">
        <f aca="false">IF(IF(OR(C7="",D7="Congé",D7="OFF",D7="Congé spécial"),"",IF(D7&gt;F7,D7-C7,IF(C7-D7&lt;0,0,C7-D7)))&lt;0.00068287037037037,"",IF(OR(D7="Congé",D7="OFF",C7="",D7="Congé spécial"),"",IF(D7&gt;F7,D7-C7,IF(C7-D7&lt;0,0,C7-D7))))</f>
        <v/>
      </c>
      <c r="J7" s="28"/>
      <c r="K7" s="30" t="n">
        <f aca="false">IF(SUM(H7:J7)&lt;0.00068287037037037,0,SUM(H7:J7))</f>
        <v>0</v>
      </c>
      <c r="L7" s="28" t="n">
        <f aca="false">IF(OR(F7="Congé",F7="OFF",M7="Abs",F7="Congé sans solde",F7="Férié",F7="Congé spécial",D7="Congé spécial"),0,IF(F7-E7&lt;0,0,IF(F7-E7&lt;=0.00068287037037037,0,F7-E7)))</f>
        <v>0</v>
      </c>
      <c r="M7" s="31" t="str">
        <f aca="false">IF(AND(O7&lt;&gt;0,C7=""),"Abs",0)</f>
        <v>Abs</v>
      </c>
      <c r="N7" s="32" t="str">
        <f aca="false">IFERROR(IF(OR(D7="OFF",D7="Congé",M7="Abs",D7="Congé sans solde",D7="Férié"),"",IF(O7-K7-L7&gt;O7,O7,IF(O7-K7-L7&lt;0,"",O7-K7-L7))),"")</f>
        <v/>
      </c>
      <c r="O7" s="33" t="n">
        <f aca="false">IF(AG7="2H Pause déjeuner",IF(F7-D7-0.0833333333333333&lt;0,F7-D7-0.0833333333333333+1,F7-D7-0.0833333333333333),IF(OR(AND(F7="OFF",D7="OFF"),AND(F7="Congé",D7="Congé"),AND(F7="Congé sans solde",D7="Congé sans solde"),AND(F7="Congé spécial",D7="Congé spécial"),AND(F7="Férié",D7="Férié"),AND(F7="OFF",D7="Congé"),AND(F7="OFF",D7="Congé sans solde"),AND(F7="OFF",D7="Congé spécial"),AND(F7="OFF",D7="Férié"),AND(F7="Congé",D7="OFF"),AND(F7="Congé",D7="Congé sans solde"),AND(F7="Congé",D7="Congé spécial"),AND(F7="Congé",D7="Férié"),AND(F7="Congé sans solde",D7="OFF"),AND(F7="Congé sans solde",D7="Congé"),AND(F7="Congé sans solde",D7="Congé spécial"),AND(F7="Congé sans solde",D7="Férié"),AND(F7="Congé spécial",D7="OFF"),AND(F7="Congé spécial",D7="Congé"),AND(F7="Congé spécial",D7="Congé sans solde"),AND(F7="Congé spécial",D7="Férié"),AND(F7="Férié",D7="OFF"),AND(F7="Férié",D7="Congé"),AND(F7="Férié",D7="Congé sans solde"),AND(F7="Férié",D7="Congé spécial")),0,IF(OR(F7="OFF",F7="Congé",F7="Congé spécial",F7="Congé sans solde",D7="OFF",D7="Congé",D7="Congé spécial",D7="Congé sans solde"),0.208333333333334,IF(AND(AG7="",F7-D7&lt;0),("24:00:00"-D7)+("00:00:00"+F7)-0.0416666666666667,IF(AND(OR(AG7="Allaitement",AG7="Sans déjeuner"),F7-D7&lt;0),("24:00:00"-D7)+("00:00:00"+F7),IF(AND(AG7="",F7-D7&gt;0.166666666666667),F7-D7-0.0416666666666667,IF(AND(OR(AG7="Allaitement",AG7="Sans déjeuner"),F7-D7&gt;0.166666666666667),F7-D7,F7-D7)))))))</f>
        <v>0.375</v>
      </c>
      <c r="P7" s="34" t="str">
        <f aca="false">IFERROR(VLOOKUP($B7,Annuaire_roster!$B:$G,MATCH(P$1,Annuaire_roster!$B$1:$G$1,0),0),"-")</f>
        <v>Google Leads</v>
      </c>
      <c r="Q7" s="35" t="n">
        <v>44717</v>
      </c>
      <c r="R7" s="36" t="n">
        <f aca="false">IF(M7="Abs",O7,0)</f>
        <v>0.375</v>
      </c>
      <c r="S7" s="36" t="n">
        <f aca="false">SUM(R7,L7,I7,J7,W7,H7)</f>
        <v>0.375</v>
      </c>
      <c r="T7" s="1" t="str">
        <f aca="false">"Sem - "&amp;WEEKNUM(Q7,21)</f>
        <v>Sem - 23</v>
      </c>
      <c r="U7" s="1" t="str">
        <f aca="false">PROPER(TEXT(Q7,"mmmm"))</f>
        <v>June</v>
      </c>
      <c r="V7" s="37" t="str">
        <f aca="false">+TEXT(Q7,"aaa")</f>
        <v>Sat</v>
      </c>
      <c r="W7" s="32"/>
      <c r="X7" s="38" t="n">
        <f aca="false">IFERROR(IF(M7="Abs",0,IF((D7-C7+E7-F7)&lt;0.000694444444444444,0,(D7-C7+E7-F7))),0)</f>
        <v>0</v>
      </c>
      <c r="Y7" s="39" t="str">
        <f aca="false">IFERROR(VLOOKUP(B7,Annuaire_roster!B:E,4,0),"-")</f>
        <v>CHOUIFI Mustapha</v>
      </c>
      <c r="Z7" s="39" t="str">
        <f aca="false">IFERROR(VLOOKUP(B7,Annuaire_roster!B:F,3,0),"-")</f>
        <v>Google Leads</v>
      </c>
      <c r="AA7" s="39" t="str">
        <f aca="false">IFERROR(VLOOKUP(B7,Annuaire_roster!B:I,6,0),"-")</f>
        <v>Forfaitaire</v>
      </c>
      <c r="AB7" s="40" t="str">
        <f aca="false">IF(AND(D7="Congé",F7="Congé"),0.333333333333333,IF(OR(AND(D7="Congé",F7&lt;&gt;"Congé"),(AND(F7="Congé",D7&lt;&gt;"Congé"))),0.166666666666667,""))</f>
        <v/>
      </c>
      <c r="AC7" s="40" t="str">
        <f aca="false">IF(AND(D7="Congé sans solde",F7="Congé sans solde"),0.333333333333333,IF(OR(AND(D7="Congé sans solde",F7&lt;&gt;"Congé sans solde"),(AND(F7="Congé sans solde",D7&lt;&gt;"Congé sans solde"))),0.166666666666667,""))</f>
        <v/>
      </c>
      <c r="AD7" s="40" t="str">
        <f aca="false">IF(AND(D7="Congé spécial",F7="Congé spécial"),0.333333333333333,IF(OR(AND(D7="Congé spécial",F7&lt;&gt;"Congé décès"),(AND(F7="Congé spécial",D7&lt;&gt;"Congé spécial"))),0.166666666666667,""))</f>
        <v/>
      </c>
      <c r="AE7" s="41" t="str">
        <f aca="false">IF(AND(D7="Férié",F7="Férié"),0.333333333333333,IF(OR(AND(D7="Férié",F7&lt;&gt;"Férié"),(AND(F7="Férié",D7&lt;&gt;"Férié"))),0.166666666666667,""))</f>
        <v/>
      </c>
      <c r="AF7" s="41"/>
      <c r="AG7" s="36"/>
    </row>
    <row r="8" customFormat="false" ht="12.75" hidden="true" customHeight="true" outlineLevel="0" collapsed="false">
      <c r="A8" s="43" t="n">
        <f aca="false">VLOOKUP(B8,Annuaire_roster!B:F,5,0)</f>
        <v>0</v>
      </c>
      <c r="B8" s="23" t="s">
        <v>39</v>
      </c>
      <c r="C8" s="24" t="str">
        <f aca="false">IFERROR(IF(COUNTIFS(Pointage_brut!$E:$E,VLOOKUP($B8,Annuaire_roster!$B:$J,9,0),Pointage_brut!$A:$A,TEXT($Q8,"yyyymmdd")*1)=0,"",MOD(_xlfn.MINIFS(Pointage_brut!$F:$F,Pointage_brut!$E:$E,VLOOKUP($B8,Annuaire_roster!$B:$J,9,0),Pointage_brut!$A:$A,TEXT($Q8,"yyyymmdd")*1),1)),"")</f>
        <v/>
      </c>
      <c r="D8" s="25" t="n">
        <f aca="false" t="array" ref="D8:D8">IFERROR(INDEX(Planning2[],MATCH(1,(Planning2[Nom]=B8)*(Planning2[Date]=Q8),0),3),"-")</f>
        <v>0.291666666666667</v>
      </c>
      <c r="E8" s="26" t="str">
        <f aca="false">IFERROR(IF(COUNTIFS(Pointage_brut!$E:$E,VLOOKUP($B8,Annuaire_roster!$B:$J,9,0),Pointage_brut!$A:$A,TEXT($Q8,"yyyymmdd")*1)=0,"",MOD(_xlfn.MAXIFS(Pointage_brut!$G:$G,Pointage_brut!$E:$E,VLOOKUP($B8,Annuaire_roster!$B:$J,9,0),Pointage_brut!$A:$A,TEXT($Q8,"yyyymmdd")*1),1)),"")</f>
        <v/>
      </c>
      <c r="F8" s="27" t="n">
        <f aca="false" t="array" ref="F8:F8">IFERROR(INDEX(Planning2[],MATCH(1,(Planning2[Nom]=B8)*(Planning2[Date]=Q8),0),4),"-")</f>
        <v>0.708333333333333</v>
      </c>
      <c r="G8" s="28"/>
      <c r="H8" s="28"/>
      <c r="I8" s="29" t="str">
        <f aca="false">IF(IF(OR(C8="",D8="Congé",D8="OFF",D8="Congé spécial"),"",IF(D8&gt;F8,D8-C8,IF(C8-D8&lt;0,0,C8-D8)))&lt;0.00068287037037037,"",IF(OR(D8="Congé",D8="OFF",C8="",D8="Congé spécial"),"",IF(D8&gt;F8,D8-C8,IF(C8-D8&lt;0,0,C8-D8))))</f>
        <v/>
      </c>
      <c r="J8" s="28"/>
      <c r="K8" s="30" t="n">
        <f aca="false">IF(SUM(H8:J8)&lt;0.00068287037037037,0,SUM(H8:J8))</f>
        <v>0</v>
      </c>
      <c r="L8" s="28" t="n">
        <f aca="false">IF(OR(F8="Congé",F8="OFF",M8="Abs",F8="Congé sans solde",F8="Férié",F8="Congé spécial",D8="Congé spécial"),0,IF(F8-E8&lt;0,0,IF(F8-E8&lt;=0.00068287037037037,0,F8-E8)))</f>
        <v>0</v>
      </c>
      <c r="M8" s="31" t="str">
        <f aca="false">IF(AND(O8&lt;&gt;0,C8=""),"Abs",0)</f>
        <v>Abs</v>
      </c>
      <c r="N8" s="44" t="str">
        <f aca="false">IFERROR(IF(OR(D8="OFF",D8="Congé",M8="Abs",D8="Congé sans solde",D8="Férié"),"",IF(O8-K8-L8&gt;O8,O8,IF(O8-K8-L8&lt;0,"",O8-K8-L8))),"")</f>
        <v/>
      </c>
      <c r="O8" s="33" t="n">
        <f aca="false">IF(AG8="2H Pause déjeuner",IF(F8-D8-0.0833333333333333&lt;0,F8-D8-0.0833333333333333+1,F8-D8-0.0833333333333333),IF(OR(AND(F8="OFF",D8="OFF"),AND(F8="Congé",D8="Congé"),AND(F8="Congé sans solde",D8="Congé sans solde"),AND(F8="Congé spécial",D8="Congé spécial"),AND(F8="Férié",D8="Férié"),AND(F8="OFF",D8="Congé"),AND(F8="OFF",D8="Congé sans solde"),AND(F8="OFF",D8="Congé spécial"),AND(F8="OFF",D8="Férié"),AND(F8="Congé",D8="OFF"),AND(F8="Congé",D8="Congé sans solde"),AND(F8="Congé",D8="Congé spécial"),AND(F8="Congé",D8="Férié"),AND(F8="Congé sans solde",D8="OFF"),AND(F8="Congé sans solde",D8="Congé"),AND(F8="Congé sans solde",D8="Congé spécial"),AND(F8="Congé sans solde",D8="Férié"),AND(F8="Congé spécial",D8="OFF"),AND(F8="Congé spécial",D8="Congé"),AND(F8="Congé spécial",D8="Congé sans solde"),AND(F8="Congé spécial",D8="Férié"),AND(F8="Férié",D8="OFF"),AND(F8="Férié",D8="Congé"),AND(F8="Férié",D8="Congé sans solde"),AND(F8="Férié",D8="Congé spécial")),0,IF(OR(F8="OFF",F8="Congé",F8="Congé spécial",F8="Congé sans solde",D8="OFF",D8="Congé",D8="Congé spécial",D8="Congé sans solde"),0.208333333333334,IF(AND(AG8="",F8-D8&lt;0),("24:00:00"-D8)+("00:00:00"+F8)-0.0416666666666667,IF(AND(OR(AG8="Allaitement",AG8="Sans déjeuner"),F8-D8&lt;0),("24:00:00"-D8)+("00:00:00"+F8),IF(AND(AG8="",F8-D8&gt;0.166666666666667),F8-D8-0.0416666666666667,IF(AND(OR(AG8="Allaitement",AG8="Sans déjeuner"),F8-D8&gt;0.166666666666667),F8-D8,F8-D8)))))))</f>
        <v>0.375</v>
      </c>
      <c r="P8" s="34" t="str">
        <f aca="false">IFERROR(VLOOKUP($B8,Annuaire_roster!$B:$G,MATCH(P$1,Annuaire_roster!$B$1:$G$1,0),0),"-")</f>
        <v>Google Leads</v>
      </c>
      <c r="Q8" s="45" t="n">
        <v>44717</v>
      </c>
      <c r="R8" s="40" t="n">
        <f aca="false">IF(M8="Abs",O8,0)</f>
        <v>0.375</v>
      </c>
      <c r="S8" s="40" t="n">
        <f aca="false">SUM(R8,L8,I8,J8,W8,H8)</f>
        <v>0.375</v>
      </c>
      <c r="T8" s="1" t="str">
        <f aca="false">"Sem - "&amp;WEEKNUM(Q8,21)</f>
        <v>Sem - 23</v>
      </c>
      <c r="U8" s="1" t="str">
        <f aca="false">PROPER(TEXT(Q8,"mmmm"))</f>
        <v>June</v>
      </c>
      <c r="V8" s="46" t="str">
        <f aca="false">+TEXT(Q8,"aaa")</f>
        <v>Sat</v>
      </c>
      <c r="W8" s="44"/>
      <c r="X8" s="47" t="n">
        <f aca="false">IFERROR(IF(M8="Abs",0,IF((D8-C8+E8-F8)&lt;0.000694444444444444,0,(D8-C8+E8-F8))),0)</f>
        <v>0</v>
      </c>
      <c r="Y8" s="48" t="n">
        <f aca="false">IFERROR(VLOOKUP(B8,Annuaire_roster!B:E,4,0),"-")</f>
        <v>0</v>
      </c>
      <c r="Z8" s="48" t="str">
        <f aca="false">IFERROR(VLOOKUP(B8,Annuaire_roster!B:F,3,0),"-")</f>
        <v>Google Leads</v>
      </c>
      <c r="AA8" s="48" t="n">
        <f aca="false">IFERROR(VLOOKUP(B8,Annuaire_roster!B:I,6,0),"-")</f>
        <v>0</v>
      </c>
      <c r="AB8" s="40" t="str">
        <f aca="false">IF(AND(D8="Congé",F8="Congé"),0.333333333333333,IF(OR(AND(D8="Congé",F8&lt;&gt;"Congé"),(AND(F8="Congé",D8&lt;&gt;"Congé"))),0.166666666666667,""))</f>
        <v/>
      </c>
      <c r="AC8" s="40" t="str">
        <f aca="false">IF(AND(D8="Congé sans solde",F8="Congé sans solde"),0.333333333333333,IF(OR(AND(D8="Congé sans solde",F8&lt;&gt;"Congé sans solde"),(AND(F8="Congé sans solde",D8&lt;&gt;"Congé sans solde"))),0.166666666666667,""))</f>
        <v/>
      </c>
      <c r="AD8" s="40" t="str">
        <f aca="false">IF(AND(D8="Congé spécial",F8="Congé spécial"),0.333333333333333,IF(OR(AND(D8="Congé spécial",F8&lt;&gt;"Congé décès"),(AND(F8="Congé spécial",D8&lt;&gt;"Congé spécial"))),0.166666666666667,""))</f>
        <v/>
      </c>
      <c r="AE8" s="49" t="str">
        <f aca="false">IF(AND(D8="Férié",F8="Férié"),0.333333333333333,IF(OR(AND(D8="Férié",F8&lt;&gt;"Férié"),(AND(F8="Férié",D8&lt;&gt;"Férié"))),0.166666666666667,""))</f>
        <v/>
      </c>
      <c r="AF8" s="41"/>
      <c r="AG8" s="40"/>
    </row>
    <row r="9" customFormat="false" ht="12.75" hidden="true" customHeight="true" outlineLevel="0" collapsed="false">
      <c r="A9" s="43" t="n">
        <f aca="false">VLOOKUP(B9,Annuaire_roster!B:F,5,0)</f>
        <v>1165</v>
      </c>
      <c r="B9" s="23" t="s">
        <v>40</v>
      </c>
      <c r="C9" s="24" t="str">
        <f aca="false">IFERROR(IF(COUNTIFS(Pointage_brut!$E:$E,VLOOKUP($B9,Annuaire_roster!$B:$J,9,0),Pointage_brut!$A:$A,TEXT($Q9,"yyyymmdd")*1)=0,"",MOD(_xlfn.MINIFS(Pointage_brut!$F:$F,Pointage_brut!$E:$E,VLOOKUP($B9,Annuaire_roster!$B:$J,9,0),Pointage_brut!$A:$A,TEXT($Q9,"yyyymmdd")*1),1)),"")</f>
        <v/>
      </c>
      <c r="D9" s="25" t="n">
        <f aca="false" t="array" ref="D9:D9">IFERROR(INDEX(Planning2[],MATCH(1,(Planning2[Nom]=B9)*(Planning2[Date]=Q9),0),3),"-")</f>
        <v>0.291666666666667</v>
      </c>
      <c r="E9" s="26" t="str">
        <f aca="false">IFERROR(IF(COUNTIFS(Pointage_brut!$E:$E,VLOOKUP($B9,Annuaire_roster!$B:$J,9,0),Pointage_brut!$A:$A,TEXT($Q9,"yyyymmdd")*1)=0,"",MOD(_xlfn.MAXIFS(Pointage_brut!$G:$G,Pointage_brut!$E:$E,VLOOKUP($B9,Annuaire_roster!$B:$J,9,0),Pointage_brut!$A:$A,TEXT($Q9,"yyyymmdd")*1),1)),"")</f>
        <v/>
      </c>
      <c r="F9" s="27" t="n">
        <f aca="false" t="array" ref="F9:F9">IFERROR(INDEX(Planning2[],MATCH(1,(Planning2[Nom]=B9)*(Planning2[Date]=Q9),0),4),"-")</f>
        <v>0.708333333333333</v>
      </c>
      <c r="G9" s="28"/>
      <c r="H9" s="28"/>
      <c r="I9" s="29" t="str">
        <f aca="false">IF(IF(OR(C9="",D9="Congé",D9="OFF",D9="Congé spécial"),"",IF(D9&gt;F9,D9-C9,IF(C9-D9&lt;0,0,C9-D9)))&lt;0.00068287037037037,"",IF(OR(D9="Congé",D9="OFF",C9="",D9="Congé spécial"),"",IF(D9&gt;F9,D9-C9,IF(C9-D9&lt;0,0,C9-D9))))</f>
        <v/>
      </c>
      <c r="J9" s="28"/>
      <c r="K9" s="30" t="n">
        <f aca="false">IF(SUM(H9:J9)&lt;0.00068287037037037,0,SUM(H9:J9))</f>
        <v>0</v>
      </c>
      <c r="L9" s="28" t="n">
        <f aca="false">IF(OR(F9="Congé",F9="OFF",M9="Abs",F9="Congé sans solde",F9="Férié",F9="Congé spécial",D9="Congé spécial"),0,IF(F9-E9&lt;0,0,IF(F9-E9&lt;=0.00068287037037037,0,F9-E9)))</f>
        <v>0</v>
      </c>
      <c r="M9" s="31" t="str">
        <f aca="false">IF(AND(O9&lt;&gt;0,C9=""),"Abs",0)</f>
        <v>Abs</v>
      </c>
      <c r="N9" s="44" t="str">
        <f aca="false">IFERROR(IF(OR(D9="OFF",D9="Congé",M9="Abs",D9="Congé sans solde",D9="Férié"),"",IF(O9-K9-L9&gt;O9,O9,IF(O9-K9-L9&lt;0,"",O9-K9-L9))),"")</f>
        <v/>
      </c>
      <c r="O9" s="33" t="n">
        <f aca="false">IF(AG9="2H Pause déjeuner",IF(F9-D9-0.0833333333333333&lt;0,F9-D9-0.0833333333333333+1,F9-D9-0.0833333333333333),IF(OR(AND(F9="OFF",D9="OFF"),AND(F9="Congé",D9="Congé"),AND(F9="Congé sans solde",D9="Congé sans solde"),AND(F9="Congé spécial",D9="Congé spécial"),AND(F9="Férié",D9="Férié"),AND(F9="OFF",D9="Congé"),AND(F9="OFF",D9="Congé sans solde"),AND(F9="OFF",D9="Congé spécial"),AND(F9="OFF",D9="Férié"),AND(F9="Congé",D9="OFF"),AND(F9="Congé",D9="Congé sans solde"),AND(F9="Congé",D9="Congé spécial"),AND(F9="Congé",D9="Férié"),AND(F9="Congé sans solde",D9="OFF"),AND(F9="Congé sans solde",D9="Congé"),AND(F9="Congé sans solde",D9="Congé spécial"),AND(F9="Congé sans solde",D9="Férié"),AND(F9="Congé spécial",D9="OFF"),AND(F9="Congé spécial",D9="Congé"),AND(F9="Congé spécial",D9="Congé sans solde"),AND(F9="Congé spécial",D9="Férié"),AND(F9="Férié",D9="OFF"),AND(F9="Férié",D9="Congé"),AND(F9="Férié",D9="Congé sans solde"),AND(F9="Férié",D9="Congé spécial")),0,IF(OR(F9="OFF",F9="Congé",F9="Congé spécial",F9="Congé sans solde",D9="OFF",D9="Congé",D9="Congé spécial",D9="Congé sans solde"),0.208333333333334,IF(AND(AG9="",F9-D9&lt;0),("24:00:00"-D9)+("00:00:00"+F9)-0.0416666666666667,IF(AND(OR(AG9="Allaitement",AG9="Sans déjeuner"),F9-D9&lt;0),("24:00:00"-D9)+("00:00:00"+F9),IF(AND(AG9="",F9-D9&gt;0.166666666666667),F9-D9-0.0416666666666667,IF(AND(OR(AG9="Allaitement",AG9="Sans déjeuner"),F9-D9&gt;0.166666666666667),F9-D9,F9-D9)))))))</f>
        <v>0.375</v>
      </c>
      <c r="P9" s="34" t="str">
        <f aca="false">IFERROR(VLOOKUP($B9,Annuaire_roster!$B:$G,MATCH(P$1,Annuaire_roster!$B$1:$G$1,0),0),"-")</f>
        <v>Google Leads</v>
      </c>
      <c r="Q9" s="45" t="n">
        <v>44717</v>
      </c>
      <c r="R9" s="40" t="n">
        <f aca="false">IF(M9="Abs",O9,0)</f>
        <v>0.375</v>
      </c>
      <c r="S9" s="40" t="n">
        <f aca="false">SUM(R9,L9,I9,J9,W9,H9)</f>
        <v>0.375</v>
      </c>
      <c r="T9" s="1" t="str">
        <f aca="false">"Sem - "&amp;WEEKNUM(Q9,21)</f>
        <v>Sem - 23</v>
      </c>
      <c r="U9" s="1" t="str">
        <f aca="false">PROPER(TEXT(Q9,"mmmm"))</f>
        <v>June</v>
      </c>
      <c r="V9" s="46" t="str">
        <f aca="false">+TEXT(Q9,"aaa")</f>
        <v>Sat</v>
      </c>
      <c r="W9" s="44"/>
      <c r="X9" s="47" t="n">
        <f aca="false">IFERROR(IF(M9="Abs",0,IF((D9-C9+E9-F9)&lt;0.000694444444444444,0,(D9-C9+E9-F9))),0)</f>
        <v>0</v>
      </c>
      <c r="Y9" s="48" t="str">
        <f aca="false">IFERROR(VLOOKUP(B9,Annuaire_roster!B:E,4,0),"-")</f>
        <v>OUAQERROUCH Nour-El Houda</v>
      </c>
      <c r="Z9" s="48" t="str">
        <f aca="false">IFERROR(VLOOKUP(B9,Annuaire_roster!B:F,3,0),"-")</f>
        <v>Google Leads</v>
      </c>
      <c r="AA9" s="48" t="str">
        <f aca="false">IFERROR(VLOOKUP(B9,Annuaire_roster!B:I,6,0),"-")</f>
        <v>Forfaitaire</v>
      </c>
      <c r="AB9" s="40" t="str">
        <f aca="false">IF(AND(D9="Congé",F9="Congé"),0.333333333333333,IF(OR(AND(D9="Congé",F9&lt;&gt;"Congé"),(AND(F9="Congé",D9&lt;&gt;"Congé"))),0.166666666666667,""))</f>
        <v/>
      </c>
      <c r="AC9" s="40" t="str">
        <f aca="false">IF(AND(D9="Congé sans solde",F9="Congé sans solde"),0.333333333333333,IF(OR(AND(D9="Congé sans solde",F9&lt;&gt;"Congé sans solde"),(AND(F9="Congé sans solde",D9&lt;&gt;"Congé sans solde"))),0.166666666666667,""))</f>
        <v/>
      </c>
      <c r="AD9" s="40" t="str">
        <f aca="false">IF(AND(D9="Congé spécial",F9="Congé spécial"),0.333333333333333,IF(OR(AND(D9="Congé spécial",F9&lt;&gt;"Congé décès"),(AND(F9="Congé spécial",D9&lt;&gt;"Congé spécial"))),0.166666666666667,""))</f>
        <v/>
      </c>
      <c r="AE9" s="49" t="str">
        <f aca="false">IF(AND(D9="Férié",F9="Férié"),0.333333333333333,IF(OR(AND(D9="Férié",F9&lt;&gt;"Férié"),(AND(F9="Férié",D9&lt;&gt;"Férié"))),0.166666666666667,""))</f>
        <v/>
      </c>
      <c r="AF9" s="49"/>
      <c r="AG9" s="40"/>
    </row>
    <row r="10" customFormat="false" ht="12.75" hidden="true" customHeight="true" outlineLevel="0" collapsed="false">
      <c r="A10" s="43" t="n">
        <f aca="false">VLOOKUP(B10,Annuaire_roster!B:F,5,0)</f>
        <v>0</v>
      </c>
      <c r="B10" s="23" t="s">
        <v>41</v>
      </c>
      <c r="C10" s="24" t="str">
        <f aca="false">IFERROR(IF(COUNTIFS(Pointage_brut!$E:$E,VLOOKUP($B10,Annuaire_roster!$B:$J,9,0),Pointage_brut!$A:$A,TEXT($Q10,"yyyymmdd")*1)=0,"",MOD(_xlfn.MINIFS(Pointage_brut!$F:$F,Pointage_brut!$E:$E,VLOOKUP($B10,Annuaire_roster!$B:$J,9,0),Pointage_brut!$A:$A,TEXT($Q10,"yyyymmdd")*1),1)),"")</f>
        <v/>
      </c>
      <c r="D10" s="25" t="n">
        <f aca="false" t="array" ref="D10:D10">IFERROR(INDEX(Planning2[],MATCH(1,(Planning2[Nom]=B10)*(Planning2[Date]=Q10),0),3),"-")</f>
        <v>0.291666666666667</v>
      </c>
      <c r="E10" s="26" t="str">
        <f aca="false">IFERROR(IF(COUNTIFS(Pointage_brut!$E:$E,VLOOKUP($B10,Annuaire_roster!$B:$J,9,0),Pointage_brut!$A:$A,TEXT($Q10,"yyyymmdd")*1)=0,"",MOD(_xlfn.MAXIFS(Pointage_brut!$G:$G,Pointage_brut!$E:$E,VLOOKUP($B10,Annuaire_roster!$B:$J,9,0),Pointage_brut!$A:$A,TEXT($Q10,"yyyymmdd")*1),1)),"")</f>
        <v/>
      </c>
      <c r="F10" s="27" t="n">
        <f aca="false" t="array" ref="F10:F10">IFERROR(INDEX(Planning2[],MATCH(1,(Planning2[Nom]=B10)*(Planning2[Date]=Q10),0),4),"-")</f>
        <v>0.708333333333333</v>
      </c>
      <c r="G10" s="28"/>
      <c r="H10" s="28"/>
      <c r="I10" s="29" t="str">
        <f aca="false">IF(IF(OR(C10="",D10="Congé",D10="OFF",D10="Congé spécial"),"",IF(D10&gt;F10,D10-C10,IF(C10-D10&lt;0,0,C10-D10)))&lt;0.00068287037037037,"",IF(OR(D10="Congé",D10="OFF",C10="",D10="Congé spécial"),"",IF(D10&gt;F10,D10-C10,IF(C10-D10&lt;0,0,C10-D10))))</f>
        <v/>
      </c>
      <c r="J10" s="28"/>
      <c r="K10" s="30" t="n">
        <f aca="false">IF(SUM(H10:J10)&lt;0.00068287037037037,0,SUM(H10:J10))</f>
        <v>0</v>
      </c>
      <c r="L10" s="28" t="n">
        <f aca="false">IF(OR(F10="Congé",F10="OFF",M10="Abs",F10="Congé sans solde",F10="Férié",F10="Congé spécial",D10="Congé spécial"),0,IF(F10-E10&lt;0,0,IF(F10-E10&lt;=0.00068287037037037,0,F10-E10)))</f>
        <v>0</v>
      </c>
      <c r="M10" s="31" t="str">
        <f aca="false">IF(AND(O10&lt;&gt;0,C10=""),"Abs",0)</f>
        <v>Abs</v>
      </c>
      <c r="N10" s="44" t="str">
        <f aca="false">IFERROR(IF(OR(D10="OFF",D10="Congé",M10="Abs",D10="Congé sans solde",D10="Férié"),"",IF(O10-K10-L10&gt;O10,O10,IF(O10-K10-L10&lt;0,"",O10-K10-L10))),"")</f>
        <v/>
      </c>
      <c r="O10" s="33" t="n">
        <f aca="false">IF(AG10="2H Pause déjeuner",IF(F10-D10-0.0833333333333333&lt;0,F10-D10-0.0833333333333333+1,F10-D10-0.0833333333333333),IF(OR(AND(F10="OFF",D10="OFF"),AND(F10="Congé",D10="Congé"),AND(F10="Congé sans solde",D10="Congé sans solde"),AND(F10="Congé spécial",D10="Congé spécial"),AND(F10="Férié",D10="Férié"),AND(F10="OFF",D10="Congé"),AND(F10="OFF",D10="Congé sans solde"),AND(F10="OFF",D10="Congé spécial"),AND(F10="OFF",D10="Férié"),AND(F10="Congé",D10="OFF"),AND(F10="Congé",D10="Congé sans solde"),AND(F10="Congé",D10="Congé spécial"),AND(F10="Congé",D10="Férié"),AND(F10="Congé sans solde",D10="OFF"),AND(F10="Congé sans solde",D10="Congé"),AND(F10="Congé sans solde",D10="Congé spécial"),AND(F10="Congé sans solde",D10="Férié"),AND(F10="Congé spécial",D10="OFF"),AND(F10="Congé spécial",D10="Congé"),AND(F10="Congé spécial",D10="Congé sans solde"),AND(F10="Congé spécial",D10="Férié"),AND(F10="Férié",D10="OFF"),AND(F10="Férié",D10="Congé"),AND(F10="Férié",D10="Congé sans solde"),AND(F10="Férié",D10="Congé spécial")),0,IF(OR(F10="OFF",F10="Congé",F10="Congé spécial",F10="Congé sans solde",D10="OFF",D10="Congé",D10="Congé spécial",D10="Congé sans solde"),0.208333333333334,IF(AND(AG10="",F10-D10&lt;0),("24:00:00"-D10)+("00:00:00"+F10)-0.0416666666666667,IF(AND(OR(AG10="Allaitement",AG10="Sans déjeuner"),F10-D10&lt;0),("24:00:00"-D10)+("00:00:00"+F10),IF(AND(AG10="",F10-D10&gt;0.166666666666667),F10-D10-0.0416666666666667,IF(AND(OR(AG10="Allaitement",AG10="Sans déjeuner"),F10-D10&gt;0.166666666666667),F10-D10,F10-D10)))))))</f>
        <v>0.375</v>
      </c>
      <c r="P10" s="34" t="str">
        <f aca="false">IFERROR(VLOOKUP($B10,Annuaire_roster!$B:$G,MATCH(P$1,Annuaire_roster!$B$1:$G$1,0),0),"-")</f>
        <v>Google Leads</v>
      </c>
      <c r="Q10" s="45" t="n">
        <v>44717</v>
      </c>
      <c r="R10" s="40" t="n">
        <f aca="false">IF(M10="Abs",O10,0)</f>
        <v>0.375</v>
      </c>
      <c r="S10" s="40" t="n">
        <f aca="false">SUM(R10,L10,I10,J10,W10,H10)</f>
        <v>0.375</v>
      </c>
      <c r="T10" s="1" t="str">
        <f aca="false">"Sem - "&amp;WEEKNUM(Q10,21)</f>
        <v>Sem - 23</v>
      </c>
      <c r="U10" s="1" t="str">
        <f aca="false">PROPER(TEXT(Q10,"mmmm"))</f>
        <v>June</v>
      </c>
      <c r="V10" s="46" t="str">
        <f aca="false">+TEXT(Q10,"aaa")</f>
        <v>Sat</v>
      </c>
      <c r="W10" s="44"/>
      <c r="X10" s="47" t="n">
        <f aca="false">IFERROR(IF(M10="Abs",0,IF((D10-C10+E10-F10)&lt;0.000694444444444444,0,(D10-C10+E10-F10))),0)</f>
        <v>0</v>
      </c>
      <c r="Y10" s="48" t="str">
        <f aca="false">IFERROR(VLOOKUP(B10,Annuaire_roster!B:E,4,0),"-")</f>
        <v>CHOUIFI Mustapha</v>
      </c>
      <c r="Z10" s="48" t="str">
        <f aca="false">IFERROR(VLOOKUP(B10,Annuaire_roster!B:F,3,0),"-")</f>
        <v>Google Leads</v>
      </c>
      <c r="AA10" s="48" t="str">
        <f aca="false">IFERROR(VLOOKUP(B10,Annuaire_roster!B:I,6,0),"-")</f>
        <v>Forfaitaire</v>
      </c>
      <c r="AB10" s="40" t="str">
        <f aca="false">IF(AND(D10="Congé",F10="Congé"),0.333333333333333,IF(OR(AND(D10="Congé",F10&lt;&gt;"Congé"),(AND(F10="Congé",D10&lt;&gt;"Congé"))),0.166666666666667,""))</f>
        <v/>
      </c>
      <c r="AC10" s="40" t="str">
        <f aca="false">IF(AND(D10="Congé sans solde",F10="Congé sans solde"),0.333333333333333,IF(OR(AND(D10="Congé sans solde",F10&lt;&gt;"Congé sans solde"),(AND(F10="Congé sans solde",D10&lt;&gt;"Congé sans solde"))),0.166666666666667,""))</f>
        <v/>
      </c>
      <c r="AD10" s="40" t="str">
        <f aca="false">IF(AND(D10="Congé spécial",F10="Congé spécial"),0.333333333333333,IF(OR(AND(D10="Congé spécial",F10&lt;&gt;"Congé décès"),(AND(F10="Congé spécial",D10&lt;&gt;"Congé spécial"))),0.166666666666667,""))</f>
        <v/>
      </c>
      <c r="AE10" s="49" t="str">
        <f aca="false">IF(AND(D10="Férié",F10="Férié"),0.333333333333333,IF(OR(AND(D10="Férié",F10&lt;&gt;"Férié"),(AND(F10="Férié",D10&lt;&gt;"Férié"))),0.166666666666667,""))</f>
        <v/>
      </c>
      <c r="AF10" s="41"/>
      <c r="AG10" s="40"/>
    </row>
    <row r="11" customFormat="false" ht="12.75" hidden="true" customHeight="true" outlineLevel="0" collapsed="false">
      <c r="A11" s="43" t="n">
        <f aca="false">VLOOKUP(B11,Annuaire_roster!B:F,5,0)</f>
        <v>0</v>
      </c>
      <c r="B11" s="23" t="s">
        <v>42</v>
      </c>
      <c r="C11" s="24" t="str">
        <f aca="false">IFERROR(IF(COUNTIFS(Pointage_brut!$E:$E,VLOOKUP($B11,Annuaire_roster!$B:$J,9,0),Pointage_brut!$A:$A,TEXT($Q11,"yyyymmdd")*1)=0,"",MOD(_xlfn.MINIFS(Pointage_brut!$F:$F,Pointage_brut!$E:$E,VLOOKUP($B11,Annuaire_roster!$B:$J,9,0),Pointage_brut!$A:$A,TEXT($Q11,"yyyymmdd")*1),1)),"")</f>
        <v/>
      </c>
      <c r="D11" s="25" t="n">
        <f aca="false" t="array" ref="D11:D11">IFERROR(INDEX(Planning2[],MATCH(1,(Planning2[Nom]=B11)*(Planning2[Date]=Q11),0),3),"-")</f>
        <v>0.291666666666667</v>
      </c>
      <c r="E11" s="26" t="str">
        <f aca="false">IFERROR(IF(COUNTIFS(Pointage_brut!$E:$E,VLOOKUP($B11,Annuaire_roster!$B:$J,9,0),Pointage_brut!$A:$A,TEXT($Q11,"yyyymmdd")*1)=0,"",MOD(_xlfn.MAXIFS(Pointage_brut!$G:$G,Pointage_brut!$E:$E,VLOOKUP($B11,Annuaire_roster!$B:$J,9,0),Pointage_brut!$A:$A,TEXT($Q11,"yyyymmdd")*1),1)),"")</f>
        <v/>
      </c>
      <c r="F11" s="27" t="n">
        <f aca="false" t="array" ref="F11:F11">IFERROR(INDEX(Planning2[],MATCH(1,(Planning2[Nom]=B11)*(Planning2[Date]=Q11),0),4),"-")</f>
        <v>0.708333333333333</v>
      </c>
      <c r="G11" s="28"/>
      <c r="H11" s="28"/>
      <c r="I11" s="29" t="str">
        <f aca="false">IF(IF(OR(C11="",D11="Congé",D11="OFF",D11="Congé spécial"),"",IF(D11&gt;F11,D11-C11,IF(C11-D11&lt;0,0,C11-D11)))&lt;0.00068287037037037,"",IF(OR(D11="Congé",D11="OFF",C11="",D11="Congé spécial"),"",IF(D11&gt;F11,D11-C11,IF(C11-D11&lt;0,0,C11-D11))))</f>
        <v/>
      </c>
      <c r="J11" s="28"/>
      <c r="K11" s="30" t="n">
        <f aca="false">IF(SUM(H11:J11)&lt;0.00068287037037037,0,SUM(H11:J11))</f>
        <v>0</v>
      </c>
      <c r="L11" s="28" t="n">
        <f aca="false">IF(OR(F11="Congé",F11="OFF",M11="Abs",F11="Congé sans solde",F11="Férié",F11="Congé spécial",D11="Congé spécial"),0,IF(F11-E11&lt;0,0,IF(F11-E11&lt;=0.00068287037037037,0,F11-E11)))</f>
        <v>0</v>
      </c>
      <c r="M11" s="31" t="str">
        <f aca="false">IF(AND(O11&lt;&gt;0,C11=""),"Abs",0)</f>
        <v>Abs</v>
      </c>
      <c r="N11" s="44" t="str">
        <f aca="false">IFERROR(IF(OR(D11="OFF",D11="Congé",M11="Abs",D11="Congé sans solde",D11="Férié"),"",IF(O11-K11-L11&gt;O11,O11,IF(O11-K11-L11&lt;0,"",O11-K11-L11))),"")</f>
        <v/>
      </c>
      <c r="O11" s="33" t="n">
        <f aca="false">IF(AG11="2H Pause déjeuner",IF(F11-D11-0.0833333333333333&lt;0,F11-D11-0.0833333333333333+1,F11-D11-0.0833333333333333),IF(OR(AND(F11="OFF",D11="OFF"),AND(F11="Congé",D11="Congé"),AND(F11="Congé sans solde",D11="Congé sans solde"),AND(F11="Congé spécial",D11="Congé spécial"),AND(F11="Férié",D11="Férié"),AND(F11="OFF",D11="Congé"),AND(F11="OFF",D11="Congé sans solde"),AND(F11="OFF",D11="Congé spécial"),AND(F11="OFF",D11="Férié"),AND(F11="Congé",D11="OFF"),AND(F11="Congé",D11="Congé sans solde"),AND(F11="Congé",D11="Congé spécial"),AND(F11="Congé",D11="Férié"),AND(F11="Congé sans solde",D11="OFF"),AND(F11="Congé sans solde",D11="Congé"),AND(F11="Congé sans solde",D11="Congé spécial"),AND(F11="Congé sans solde",D11="Férié"),AND(F11="Congé spécial",D11="OFF"),AND(F11="Congé spécial",D11="Congé"),AND(F11="Congé spécial",D11="Congé sans solde"),AND(F11="Congé spécial",D11="Férié"),AND(F11="Férié",D11="OFF"),AND(F11="Férié",D11="Congé"),AND(F11="Férié",D11="Congé sans solde"),AND(F11="Férié",D11="Congé spécial")),0,IF(OR(F11="OFF",F11="Congé",F11="Congé spécial",F11="Congé sans solde",D11="OFF",D11="Congé",D11="Congé spécial",D11="Congé sans solde"),0.208333333333334,IF(AND(AG11="",F11-D11&lt;0),("24:00:00"-D11)+("00:00:00"+F11)-0.0416666666666667,IF(AND(OR(AG11="Allaitement",AG11="Sans déjeuner"),F11-D11&lt;0),("24:00:00"-D11)+("00:00:00"+F11),IF(AND(AG11="",F11-D11&gt;0.166666666666667),F11-D11-0.0416666666666667,IF(AND(OR(AG11="Allaitement",AG11="Sans déjeuner"),F11-D11&gt;0.166666666666667),F11-D11,F11-D11)))))))</f>
        <v>0.375</v>
      </c>
      <c r="P11" s="34" t="str">
        <f aca="false">IFERROR(VLOOKUP($B11,Annuaire_roster!$B:$G,MATCH(P$1,Annuaire_roster!$B$1:$G$1,0),0),"-")</f>
        <v>Google Leads</v>
      </c>
      <c r="Q11" s="45" t="n">
        <v>44717</v>
      </c>
      <c r="R11" s="40" t="n">
        <f aca="false">IF(M11="Abs",O11,0)</f>
        <v>0.375</v>
      </c>
      <c r="S11" s="40" t="n">
        <f aca="false">SUM(R11,L11,I11,J11,W11,H11)</f>
        <v>0.375</v>
      </c>
      <c r="T11" s="1" t="str">
        <f aca="false">"Sem - "&amp;WEEKNUM(Q11,21)</f>
        <v>Sem - 23</v>
      </c>
      <c r="U11" s="1" t="str">
        <f aca="false">PROPER(TEXT(Q11,"mmmm"))</f>
        <v>June</v>
      </c>
      <c r="V11" s="46" t="str">
        <f aca="false">+TEXT(Q11,"aaa")</f>
        <v>Sat</v>
      </c>
      <c r="W11" s="44"/>
      <c r="X11" s="47" t="n">
        <f aca="false">IFERROR(IF(M11="Abs",0,IF((D11-C11+E11-F11)&lt;0.000694444444444444,0,(D11-C11+E11-F11))),0)</f>
        <v>0</v>
      </c>
      <c r="Y11" s="48" t="n">
        <f aca="false">IFERROR(VLOOKUP(B11,Annuaire_roster!B:E,4,0),"-")</f>
        <v>0</v>
      </c>
      <c r="Z11" s="48" t="str">
        <f aca="false">IFERROR(VLOOKUP(B11,Annuaire_roster!B:F,3,0),"-")</f>
        <v>Google Leads</v>
      </c>
      <c r="AA11" s="48" t="n">
        <f aca="false">IFERROR(VLOOKUP(B11,Annuaire_roster!B:I,6,0),"-")</f>
        <v>0</v>
      </c>
      <c r="AB11" s="40" t="str">
        <f aca="false">IF(AND(D11="Congé",F11="Congé"),0.333333333333333,IF(OR(AND(D11="Congé",F11&lt;&gt;"Congé"),(AND(F11="Congé",D11&lt;&gt;"Congé"))),0.166666666666667,""))</f>
        <v/>
      </c>
      <c r="AC11" s="40" t="str">
        <f aca="false">IF(AND(D11="Congé sans solde",F11="Congé sans solde"),0.333333333333333,IF(OR(AND(D11="Congé sans solde",F11&lt;&gt;"Congé sans solde"),(AND(F11="Congé sans solde",D11&lt;&gt;"Congé sans solde"))),0.166666666666667,""))</f>
        <v/>
      </c>
      <c r="AD11" s="40" t="str">
        <f aca="false">IF(AND(D11="Congé spécial",F11="Congé spécial"),0.333333333333333,IF(OR(AND(D11="Congé spécial",F11&lt;&gt;"Congé décès"),(AND(F11="Congé spécial",D11&lt;&gt;"Congé spécial"))),0.166666666666667,""))</f>
        <v/>
      </c>
      <c r="AE11" s="49" t="str">
        <f aca="false">IF(AND(D11="Férié",F11="Férié"),0.333333333333333,IF(OR(AND(D11="Férié",F11&lt;&gt;"Férié"),(AND(F11="Férié",D11&lt;&gt;"Férié"))),0.166666666666667,""))</f>
        <v/>
      </c>
      <c r="AF11" s="49"/>
      <c r="AG11" s="40"/>
    </row>
    <row r="12" customFormat="false" ht="12.75" hidden="true" customHeight="true" outlineLevel="0" collapsed="false">
      <c r="A12" s="43" t="n">
        <f aca="false">VLOOKUP(B12,Annuaire_roster!B:F,5,0)</f>
        <v>364</v>
      </c>
      <c r="B12" s="23" t="s">
        <v>43</v>
      </c>
      <c r="C12" s="24" t="str">
        <f aca="false">IFERROR(IF(COUNTIFS(Pointage_brut!$E:$E,VLOOKUP($B12,Annuaire_roster!$B:$J,9,0),Pointage_brut!$A:$A,TEXT($Q12,"yyyymmdd")*1)=0,"",MOD(_xlfn.MINIFS(Pointage_brut!$F:$F,Pointage_brut!$E:$E,VLOOKUP($B12,Annuaire_roster!$B:$J,9,0),Pointage_brut!$A:$A,TEXT($Q12,"yyyymmdd")*1),1)),"")</f>
        <v/>
      </c>
      <c r="D12" s="25" t="n">
        <f aca="false" t="array" ref="D12:D12">IFERROR(INDEX(Planning2[],MATCH(1,(Planning2[Nom]=B12)*(Planning2[Date]=Q12),0),3),"-")</f>
        <v>0.416666666666667</v>
      </c>
      <c r="E12" s="26" t="str">
        <f aca="false">IFERROR(IF(COUNTIFS(Pointage_brut!$E:$E,VLOOKUP($B12,Annuaire_roster!$B:$J,9,0),Pointage_brut!$A:$A,TEXT($Q12,"yyyymmdd")*1)=0,"",MOD(_xlfn.MAXIFS(Pointage_brut!$G:$G,Pointage_brut!$E:$E,VLOOKUP($B12,Annuaire_roster!$B:$J,9,0),Pointage_brut!$A:$A,TEXT($Q12,"yyyymmdd")*1),1)),"")</f>
        <v/>
      </c>
      <c r="F12" s="27" t="n">
        <f aca="false" t="array" ref="F12:F12">IFERROR(INDEX(Planning2[],MATCH(1,(Planning2[Nom]=B12)*(Planning2[Date]=Q12),0),4),"-")</f>
        <v>0.833333333333333</v>
      </c>
      <c r="G12" s="28"/>
      <c r="H12" s="28"/>
      <c r="I12" s="29" t="str">
        <f aca="false">IF(IF(OR(C12="",D12="Congé",D12="OFF",D12="Congé spécial"),"",IF(D12&gt;F12,D12-C12,IF(C12-D12&lt;0,0,C12-D12)))&lt;0.00068287037037037,"",IF(OR(D12="Congé",D12="OFF",C12="",D12="Congé spécial"),"",IF(D12&gt;F12,D12-C12,IF(C12-D12&lt;0,0,C12-D12))))</f>
        <v/>
      </c>
      <c r="J12" s="28"/>
      <c r="K12" s="30" t="n">
        <f aca="false">IF(SUM(H12:J12)&lt;0.00068287037037037,0,SUM(H12:J12))</f>
        <v>0</v>
      </c>
      <c r="L12" s="28" t="n">
        <f aca="false">IF(OR(F12="Congé",F12="OFF",M12="Abs",F12="Congé sans solde",F12="Férié",F12="Congé spécial",D12="Congé spécial"),0,IF(F12-E12&lt;0,0,IF(F12-E12&lt;=0.00068287037037037,0,F12-E12)))</f>
        <v>0</v>
      </c>
      <c r="M12" s="31" t="str">
        <f aca="false">IF(AND(O12&lt;&gt;0,C12=""),"Abs",0)</f>
        <v>Abs</v>
      </c>
      <c r="N12" s="44" t="str">
        <f aca="false">IFERROR(IF(OR(D12="OFF",D12="Congé",M12="Abs",D12="Congé sans solde",D12="Férié"),"",IF(O12-K12-L12&gt;O12,O12,IF(O12-K12-L12&lt;0,"",O12-K12-L12))),"")</f>
        <v/>
      </c>
      <c r="O12" s="33" t="n">
        <f aca="false">IF(AG12="2H Pause déjeuner",IF(F12-D12-0.0833333333333333&lt;0,F12-D12-0.0833333333333333+1,F12-D12-0.0833333333333333),IF(OR(AND(F12="OFF",D12="OFF"),AND(F12="Congé",D12="Congé"),AND(F12="Congé sans solde",D12="Congé sans solde"),AND(F12="Congé spécial",D12="Congé spécial"),AND(F12="Férié",D12="Férié"),AND(F12="OFF",D12="Congé"),AND(F12="OFF",D12="Congé sans solde"),AND(F12="OFF",D12="Congé spécial"),AND(F12="OFF",D12="Férié"),AND(F12="Congé",D12="OFF"),AND(F12="Congé",D12="Congé sans solde"),AND(F12="Congé",D12="Congé spécial"),AND(F12="Congé",D12="Férié"),AND(F12="Congé sans solde",D12="OFF"),AND(F12="Congé sans solde",D12="Congé"),AND(F12="Congé sans solde",D12="Congé spécial"),AND(F12="Congé sans solde",D12="Férié"),AND(F12="Congé spécial",D12="OFF"),AND(F12="Congé spécial",D12="Congé"),AND(F12="Congé spécial",D12="Congé sans solde"),AND(F12="Congé spécial",D12="Férié"),AND(F12="Férié",D12="OFF"),AND(F12="Férié",D12="Congé"),AND(F12="Férié",D12="Congé sans solde"),AND(F12="Férié",D12="Congé spécial")),0,IF(OR(F12="OFF",F12="Congé",F12="Congé spécial",F12="Congé sans solde",D12="OFF",D12="Congé",D12="Congé spécial",D12="Congé sans solde"),0.208333333333334,IF(AND(AG12="",F12-D12&lt;0),("24:00:00"-D12)+("00:00:00"+F12)-0.0416666666666667,IF(AND(OR(AG12="Allaitement",AG12="Sans déjeuner"),F12-D12&lt;0),("24:00:00"-D12)+("00:00:00"+F12),IF(AND(AG12="",F12-D12&gt;0.166666666666667),F12-D12-0.0416666666666667,IF(AND(OR(AG12="Allaitement",AG12="Sans déjeuner"),F12-D12&gt;0.166666666666667),F12-D12,F12-D12)))))))</f>
        <v>0.375</v>
      </c>
      <c r="P12" s="34" t="str">
        <f aca="false">IFERROR(VLOOKUP($B12,Annuaire_roster!$B:$G,MATCH(P$1,Annuaire_roster!$B$1:$G$1,0),0),"-")</f>
        <v>Google Leads</v>
      </c>
      <c r="Q12" s="45" t="n">
        <v>44717</v>
      </c>
      <c r="R12" s="40" t="n">
        <f aca="false">IF(M12="Abs",O12,0)</f>
        <v>0.375</v>
      </c>
      <c r="S12" s="40" t="n">
        <f aca="false">SUM(R12,L12,I12,J12,W12,H12)</f>
        <v>0.375</v>
      </c>
      <c r="T12" s="1" t="str">
        <f aca="false">"Sem - "&amp;WEEKNUM(Q12,21)</f>
        <v>Sem - 23</v>
      </c>
      <c r="U12" s="1" t="str">
        <f aca="false">PROPER(TEXT(Q12,"mmmm"))</f>
        <v>June</v>
      </c>
      <c r="V12" s="46" t="str">
        <f aca="false">+TEXT(Q12,"aaa")</f>
        <v>Sat</v>
      </c>
      <c r="W12" s="44"/>
      <c r="X12" s="47" t="n">
        <f aca="false">IFERROR(IF(M12="Abs",0,IF((D12-C12+E12-F12)&lt;0.000694444444444444,0,(D12-C12+E12-F12))),0)</f>
        <v>0</v>
      </c>
      <c r="Y12" s="48" t="str">
        <f aca="false">IFERROR(VLOOKUP(B12,Annuaire_roster!B:E,4,0),"-")</f>
        <v>OUAQERROUCH Nour-El Houda</v>
      </c>
      <c r="Z12" s="48" t="str">
        <f aca="false">IFERROR(VLOOKUP(B12,Annuaire_roster!B:F,3,0),"-")</f>
        <v>Google Leads</v>
      </c>
      <c r="AA12" s="48" t="str">
        <f aca="false">IFERROR(VLOOKUP(B12,Annuaire_roster!B:I,6,0),"-")</f>
        <v>Forfaitaire</v>
      </c>
      <c r="AB12" s="40" t="str">
        <f aca="false">IF(AND(D12="Congé",F12="Congé"),0.333333333333333,IF(OR(AND(D12="Congé",F12&lt;&gt;"Congé"),(AND(F12="Congé",D12&lt;&gt;"Congé"))),0.166666666666667,""))</f>
        <v/>
      </c>
      <c r="AC12" s="40" t="str">
        <f aca="false">IF(AND(D12="Congé sans solde",F12="Congé sans solde"),0.333333333333333,IF(OR(AND(D12="Congé sans solde",F12&lt;&gt;"Congé sans solde"),(AND(F12="Congé sans solde",D12&lt;&gt;"Congé sans solde"))),0.166666666666667,""))</f>
        <v/>
      </c>
      <c r="AD12" s="40" t="str">
        <f aca="false">IF(AND(D12="Congé spécial",F12="Congé spécial"),0.333333333333333,IF(OR(AND(D12="Congé spécial",F12&lt;&gt;"Congé décès"),(AND(F12="Congé spécial",D12&lt;&gt;"Congé spécial"))),0.166666666666667,""))</f>
        <v/>
      </c>
      <c r="AE12" s="49" t="str">
        <f aca="false">IF(AND(D12="Férié",F12="Férié"),0.333333333333333,IF(OR(AND(D12="Férié",F12&lt;&gt;"Férié"),(AND(F12="Férié",D12&lt;&gt;"Férié"))),0.166666666666667,""))</f>
        <v/>
      </c>
      <c r="AF12" s="49"/>
      <c r="AG12" s="40"/>
    </row>
    <row r="13" customFormat="false" ht="12.75" hidden="true" customHeight="true" outlineLevel="0" collapsed="false">
      <c r="A13" s="43" t="n">
        <f aca="false">VLOOKUP(B13,Annuaire_roster!B:F,5,0)</f>
        <v>1009</v>
      </c>
      <c r="B13" s="23" t="s">
        <v>44</v>
      </c>
      <c r="C13" s="24" t="str">
        <f aca="false">IFERROR(IF(COUNTIFS(Pointage_brut!$E:$E,VLOOKUP($B13,Annuaire_roster!$B:$J,9,0),Pointage_brut!$A:$A,TEXT($Q13,"yyyymmdd")*1)=0,"",MOD(_xlfn.MINIFS(Pointage_brut!$F:$F,Pointage_brut!$E:$E,VLOOKUP($B13,Annuaire_roster!$B:$J,9,0),Pointage_brut!$A:$A,TEXT($Q13,"yyyymmdd")*1),1)),"")</f>
        <v/>
      </c>
      <c r="D13" s="25" t="n">
        <f aca="false" t="array" ref="D13:D13">IFERROR(INDEX(Planning2[],MATCH(1,(Planning2[Nom]=B13)*(Planning2[Date]=Q13),0),3),"-")</f>
        <v>0.416666666666667</v>
      </c>
      <c r="E13" s="26" t="str">
        <f aca="false">IFERROR(IF(COUNTIFS(Pointage_brut!$E:$E,VLOOKUP($B13,Annuaire_roster!$B:$J,9,0),Pointage_brut!$A:$A,TEXT($Q13,"yyyymmdd")*1)=0,"",MOD(_xlfn.MAXIFS(Pointage_brut!$G:$G,Pointage_brut!$E:$E,VLOOKUP($B13,Annuaire_roster!$B:$J,9,0),Pointage_brut!$A:$A,TEXT($Q13,"yyyymmdd")*1),1)),"")</f>
        <v/>
      </c>
      <c r="F13" s="27" t="n">
        <f aca="false" t="array" ref="F13:F13">IFERROR(INDEX(Planning2[],MATCH(1,(Planning2[Nom]=B13)*(Planning2[Date]=Q13),0),4),"-")</f>
        <v>0.833333333333333</v>
      </c>
      <c r="G13" s="28"/>
      <c r="H13" s="28"/>
      <c r="I13" s="29" t="str">
        <f aca="false">IF(IF(OR(C13="",D13="Congé",D13="OFF",D13="Congé spécial"),"",IF(D13&gt;F13,D13-C13,IF(C13-D13&lt;0,0,C13-D13)))&lt;0.00068287037037037,"",IF(OR(D13="Congé",D13="OFF",C13="",D13="Congé spécial"),"",IF(D13&gt;F13,D13-C13,IF(C13-D13&lt;0,0,C13-D13))))</f>
        <v/>
      </c>
      <c r="J13" s="28"/>
      <c r="K13" s="30" t="n">
        <f aca="false">IF(SUM(H13:J13)&lt;0.00068287037037037,0,SUM(H13:J13))</f>
        <v>0</v>
      </c>
      <c r="L13" s="28" t="n">
        <f aca="false">IF(OR(F13="Congé",F13="OFF",M13="Abs",F13="Congé sans solde",F13="Férié",F13="Congé spécial",D13="Congé spécial"),0,IF(F13-E13&lt;0,0,IF(F13-E13&lt;=0.00068287037037037,0,F13-E13)))</f>
        <v>0</v>
      </c>
      <c r="M13" s="31" t="str">
        <f aca="false">IF(AND(O13&lt;&gt;0,C13=""),"Abs",0)</f>
        <v>Abs</v>
      </c>
      <c r="N13" s="44" t="str">
        <f aca="false">IFERROR(IF(OR(D13="OFF",D13="Congé",M13="Abs",D13="Congé sans solde",D13="Férié"),"",IF(O13-K13-L13&gt;O13,O13,IF(O13-K13-L13&lt;0,"",O13-K13-L13))),"")</f>
        <v/>
      </c>
      <c r="O13" s="33" t="n">
        <f aca="false">IF(AG13="2H Pause déjeuner",IF(F13-D13-0.0833333333333333&lt;0,F13-D13-0.0833333333333333+1,F13-D13-0.0833333333333333),IF(OR(AND(F13="OFF",D13="OFF"),AND(F13="Congé",D13="Congé"),AND(F13="Congé sans solde",D13="Congé sans solde"),AND(F13="Congé spécial",D13="Congé spécial"),AND(F13="Férié",D13="Férié"),AND(F13="OFF",D13="Congé"),AND(F13="OFF",D13="Congé sans solde"),AND(F13="OFF",D13="Congé spécial"),AND(F13="OFF",D13="Férié"),AND(F13="Congé",D13="OFF"),AND(F13="Congé",D13="Congé sans solde"),AND(F13="Congé",D13="Congé spécial"),AND(F13="Congé",D13="Férié"),AND(F13="Congé sans solde",D13="OFF"),AND(F13="Congé sans solde",D13="Congé"),AND(F13="Congé sans solde",D13="Congé spécial"),AND(F13="Congé sans solde",D13="Férié"),AND(F13="Congé spécial",D13="OFF"),AND(F13="Congé spécial",D13="Congé"),AND(F13="Congé spécial",D13="Congé sans solde"),AND(F13="Congé spécial",D13="Férié"),AND(F13="Férié",D13="OFF"),AND(F13="Férié",D13="Congé"),AND(F13="Férié",D13="Congé sans solde"),AND(F13="Férié",D13="Congé spécial")),0,IF(OR(F13="OFF",F13="Congé",F13="Congé spécial",F13="Congé sans solde",D13="OFF",D13="Congé",D13="Congé spécial",D13="Congé sans solde"),0.208333333333334,IF(AND(AG13="",F13-D13&lt;0),("24:00:00"-D13)+("00:00:00"+F13)-0.0416666666666667,IF(AND(OR(AG13="Allaitement",AG13="Sans déjeuner"),F13-D13&lt;0),("24:00:00"-D13)+("00:00:00"+F13),IF(AND(AG13="",F13-D13&gt;0.166666666666667),F13-D13-0.0416666666666667,IF(AND(OR(AG13="Allaitement",AG13="Sans déjeuner"),F13-D13&gt;0.166666666666667),F13-D13,F13-D13)))))))</f>
        <v>0.375</v>
      </c>
      <c r="P13" s="34" t="str">
        <f aca="false">IFERROR(VLOOKUP($B13,Annuaire_roster!$B:$G,MATCH(P$1,Annuaire_roster!$B$1:$G$1,0),0),"-")</f>
        <v>Google Leads</v>
      </c>
      <c r="Q13" s="45" t="n">
        <v>44717</v>
      </c>
      <c r="R13" s="40" t="n">
        <f aca="false">IF(M13="Abs",O13,0)</f>
        <v>0.375</v>
      </c>
      <c r="S13" s="40" t="n">
        <f aca="false">SUM(R13,L13,I13,J13,W13,H13)</f>
        <v>0.375</v>
      </c>
      <c r="T13" s="1" t="str">
        <f aca="false">"Sem - "&amp;WEEKNUM(Q13,21)</f>
        <v>Sem - 23</v>
      </c>
      <c r="U13" s="1" t="str">
        <f aca="false">PROPER(TEXT(Q13,"mmmm"))</f>
        <v>June</v>
      </c>
      <c r="V13" s="46" t="str">
        <f aca="false">+TEXT(Q13,"aaa")</f>
        <v>Sat</v>
      </c>
      <c r="W13" s="44"/>
      <c r="X13" s="47" t="n">
        <f aca="false">IFERROR(IF(M13="Abs",0,IF((D13-C13+E13-F13)&lt;0.000694444444444444,0,(D13-C13+E13-F13))),0)</f>
        <v>0</v>
      </c>
      <c r="Y13" s="48" t="str">
        <f aca="false">IFERROR(VLOOKUP(B13,Annuaire_roster!B:E,4,0),"-")</f>
        <v>OUAQERROUCH Nour-El Houda</v>
      </c>
      <c r="Z13" s="48" t="str">
        <f aca="false">IFERROR(VLOOKUP(B13,Annuaire_roster!B:F,3,0),"-")</f>
        <v>Google Leads</v>
      </c>
      <c r="AA13" s="48" t="str">
        <f aca="false">IFERROR(VLOOKUP(B13,Annuaire_roster!B:I,6,0),"-")</f>
        <v>Forfaitaire</v>
      </c>
      <c r="AB13" s="40" t="str">
        <f aca="false">IF(AND(D13="Congé",F13="Congé"),0.333333333333333,IF(OR(AND(D13="Congé",F13&lt;&gt;"Congé"),(AND(F13="Congé",D13&lt;&gt;"Congé"))),0.166666666666667,""))</f>
        <v/>
      </c>
      <c r="AC13" s="40" t="str">
        <f aca="false">IF(AND(D13="Congé sans solde",F13="Congé sans solde"),0.333333333333333,IF(OR(AND(D13="Congé sans solde",F13&lt;&gt;"Congé sans solde"),(AND(F13="Congé sans solde",D13&lt;&gt;"Congé sans solde"))),0.166666666666667,""))</f>
        <v/>
      </c>
      <c r="AD13" s="40" t="str">
        <f aca="false">IF(AND(D13="Congé spécial",F13="Congé spécial"),0.333333333333333,IF(OR(AND(D13="Congé spécial",F13&lt;&gt;"Congé décès"),(AND(F13="Congé spécial",D13&lt;&gt;"Congé spécial"))),0.166666666666667,""))</f>
        <v/>
      </c>
      <c r="AE13" s="49" t="str">
        <f aca="false">IF(AND(D13="Férié",F13="Férié"),0.333333333333333,IF(OR(AND(D13="Férié",F13&lt;&gt;"Férié"),(AND(F13="Férié",D13&lt;&gt;"Férié"))),0.166666666666667,""))</f>
        <v/>
      </c>
      <c r="AF13" s="49"/>
      <c r="AG13" s="40"/>
    </row>
    <row r="14" customFormat="false" ht="12.75" hidden="true" customHeight="true" outlineLevel="0" collapsed="false">
      <c r="A14" s="22" t="n">
        <f aca="false">VLOOKUP(B14,Annuaire_roster!B:F,5,0)</f>
        <v>0</v>
      </c>
      <c r="B14" s="23" t="s">
        <v>45</v>
      </c>
      <c r="C14" s="24" t="str">
        <f aca="false">IFERROR(IF(COUNTIFS(Pointage_brut!$E:$E,VLOOKUP($B14,Annuaire_roster!$B:$J,9,0),Pointage_brut!$A:$A,TEXT($Q14,"yyyymmdd")*1)=0,"",MOD(_xlfn.MINIFS(Pointage_brut!$F:$F,Pointage_brut!$E:$E,VLOOKUP($B14,Annuaire_roster!$B:$J,9,0),Pointage_brut!$A:$A,TEXT($Q14,"yyyymmdd")*1),1)),"")</f>
        <v/>
      </c>
      <c r="D14" s="25" t="n">
        <f aca="false" t="array" ref="D14:D14">IFERROR(INDEX(Planning2[],MATCH(1,(Planning2[Nom]=B14)*(Planning2[Date]=Q14),0),3),"-")</f>
        <v>0.416666666666667</v>
      </c>
      <c r="E14" s="26" t="str">
        <f aca="false">IFERROR(IF(COUNTIFS(Pointage_brut!$E:$E,VLOOKUP($B14,Annuaire_roster!$B:$J,9,0),Pointage_brut!$A:$A,TEXT($Q14,"yyyymmdd")*1)=0,"",MOD(_xlfn.MAXIFS(Pointage_brut!$G:$G,Pointage_brut!$E:$E,VLOOKUP($B14,Annuaire_roster!$B:$J,9,0),Pointage_brut!$A:$A,TEXT($Q14,"yyyymmdd")*1),1)),"")</f>
        <v/>
      </c>
      <c r="F14" s="27" t="n">
        <f aca="false" t="array" ref="F14:F14">IFERROR(INDEX(Planning2[],MATCH(1,(Planning2[Nom]=B14)*(Planning2[Date]=Q14),0),4),"-")</f>
        <v>0.833333333333333</v>
      </c>
      <c r="G14" s="28"/>
      <c r="H14" s="28"/>
      <c r="I14" s="29" t="str">
        <f aca="false">IF(IF(OR(C14="",D14="Congé",D14="OFF",D14="Congé spécial"),"",IF(D14&gt;F14,D14-C14,IF(C14-D14&lt;0,0,C14-D14)))&lt;0.00068287037037037,"",IF(OR(D14="Congé",D14="OFF",C14="",D14="Congé spécial"),"",IF(D14&gt;F14,D14-C14,IF(C14-D14&lt;0,0,C14-D14))))</f>
        <v/>
      </c>
      <c r="J14" s="28"/>
      <c r="K14" s="30" t="n">
        <f aca="false">IF(SUM(H14:J14)&lt;0.00068287037037037,0,SUM(H14:J14))</f>
        <v>0</v>
      </c>
      <c r="L14" s="28" t="n">
        <f aca="false">IF(OR(F14="Congé",F14="OFF",M14="Abs",F14="Congé sans solde",F14="Férié",F14="Congé spécial",D14="Congé spécial"),0,IF(F14-E14&lt;0,0,IF(F14-E14&lt;=0.00068287037037037,0,F14-E14)))</f>
        <v>0</v>
      </c>
      <c r="M14" s="31" t="str">
        <f aca="false">IF(AND(O14&lt;&gt;0,C14=""),"Abs",0)</f>
        <v>Abs</v>
      </c>
      <c r="N14" s="32" t="str">
        <f aca="false">IFERROR(IF(OR(D14="OFF",D14="Congé",M14="Abs",D14="Congé sans solde",D14="Férié"),"",IF(O14-K14-L14&gt;O14,O14,IF(O14-K14-L14&lt;0,"",O14-K14-L14))),"")</f>
        <v/>
      </c>
      <c r="O14" s="33" t="n">
        <f aca="false">IF(AG14="2H Pause déjeuner",IF(F14-D14-0.0833333333333333&lt;0,F14-D14-0.0833333333333333+1,F14-D14-0.0833333333333333),IF(OR(AND(F14="OFF",D14="OFF"),AND(F14="Congé",D14="Congé"),AND(F14="Congé sans solde",D14="Congé sans solde"),AND(F14="Congé spécial",D14="Congé spécial"),AND(F14="Férié",D14="Férié"),AND(F14="OFF",D14="Congé"),AND(F14="OFF",D14="Congé sans solde"),AND(F14="OFF",D14="Congé spécial"),AND(F14="OFF",D14="Férié"),AND(F14="Congé",D14="OFF"),AND(F14="Congé",D14="Congé sans solde"),AND(F14="Congé",D14="Congé spécial"),AND(F14="Congé",D14="Férié"),AND(F14="Congé sans solde",D14="OFF"),AND(F14="Congé sans solde",D14="Congé"),AND(F14="Congé sans solde",D14="Congé spécial"),AND(F14="Congé sans solde",D14="Férié"),AND(F14="Congé spécial",D14="OFF"),AND(F14="Congé spécial",D14="Congé"),AND(F14="Congé spécial",D14="Congé sans solde"),AND(F14="Congé spécial",D14="Férié"),AND(F14="Férié",D14="OFF"),AND(F14="Férié",D14="Congé"),AND(F14="Férié",D14="Congé sans solde"),AND(F14="Férié",D14="Congé spécial")),0,IF(OR(F14="OFF",F14="Congé",F14="Congé spécial",F14="Congé sans solde",D14="OFF",D14="Congé",D14="Congé spécial",D14="Congé sans solde"),0.208333333333334,IF(AND(AG14="",F14-D14&lt;0),("24:00:00"-D14)+("00:00:00"+F14)-0.0416666666666667,IF(AND(OR(AG14="Allaitement",AG14="Sans déjeuner"),F14-D14&lt;0),("24:00:00"-D14)+("00:00:00"+F14),IF(AND(AG14="",F14-D14&gt;0.166666666666667),F14-D14-0.0416666666666667,IF(AND(OR(AG14="Allaitement",AG14="Sans déjeuner"),F14-D14&gt;0.166666666666667),F14-D14,F14-D14)))))))</f>
        <v>0.375</v>
      </c>
      <c r="P14" s="34" t="str">
        <f aca="false">IFERROR(VLOOKUP($B14,Annuaire_roster!$B:$G,MATCH(P$1,Annuaire_roster!$B$1:$G$1,0),0),"-")</f>
        <v>Google Leads</v>
      </c>
      <c r="Q14" s="35" t="n">
        <v>44717</v>
      </c>
      <c r="R14" s="36" t="n">
        <f aca="false">IF(M14="Abs",O14,0)</f>
        <v>0.375</v>
      </c>
      <c r="S14" s="36" t="n">
        <f aca="false">SUM(R14,L14,I14,J14,W14,H14)</f>
        <v>0.375</v>
      </c>
      <c r="T14" s="1" t="str">
        <f aca="false">"Sem - "&amp;WEEKNUM(Q14,21)</f>
        <v>Sem - 23</v>
      </c>
      <c r="U14" s="1" t="str">
        <f aca="false">PROPER(TEXT(Q14,"mmmm"))</f>
        <v>June</v>
      </c>
      <c r="V14" s="37" t="str">
        <f aca="false">+TEXT(Q14,"aaa")</f>
        <v>Sat</v>
      </c>
      <c r="W14" s="32"/>
      <c r="X14" s="38" t="n">
        <f aca="false">IFERROR(IF(M14="Abs",0,IF((D14-C14+E14-F14)&lt;0.000694444444444444,0,(D14-C14+E14-F14))),0)</f>
        <v>0</v>
      </c>
      <c r="Y14" s="39" t="n">
        <f aca="false">IFERROR(VLOOKUP(B14,Annuaire_roster!B:E,4,0),"-")</f>
        <v>0</v>
      </c>
      <c r="Z14" s="39" t="str">
        <f aca="false">IFERROR(VLOOKUP(B14,Annuaire_roster!B:F,3,0),"-")</f>
        <v>Google Leads</v>
      </c>
      <c r="AA14" s="39" t="n">
        <f aca="false">IFERROR(VLOOKUP(B14,Annuaire_roster!B:I,6,0),"-")</f>
        <v>0</v>
      </c>
      <c r="AB14" s="40" t="str">
        <f aca="false">IF(AND(D14="Congé",F14="Congé"),0.333333333333333,IF(OR(AND(D14="Congé",F14&lt;&gt;"Congé"),(AND(F14="Congé",D14&lt;&gt;"Congé"))),0.166666666666667,""))</f>
        <v/>
      </c>
      <c r="AC14" s="40" t="str">
        <f aca="false">IF(AND(D14="Congé sans solde",F14="Congé sans solde"),0.333333333333333,IF(OR(AND(D14="Congé sans solde",F14&lt;&gt;"Congé sans solde"),(AND(F14="Congé sans solde",D14&lt;&gt;"Congé sans solde"))),0.166666666666667,""))</f>
        <v/>
      </c>
      <c r="AD14" s="40" t="str">
        <f aca="false">IF(AND(D14="Congé spécial",F14="Congé spécial"),0.333333333333333,IF(OR(AND(D14="Congé spécial",F14&lt;&gt;"Congé décès"),(AND(F14="Congé spécial",D14&lt;&gt;"Congé spécial"))),0.166666666666667,""))</f>
        <v/>
      </c>
      <c r="AE14" s="41" t="str">
        <f aca="false">IF(AND(D14="Férié",F14="Férié"),0.333333333333333,IF(OR(AND(D14="Férié",F14&lt;&gt;"Férié"),(AND(F14="Férié",D14&lt;&gt;"Férié"))),0.166666666666667,""))</f>
        <v/>
      </c>
      <c r="AF14" s="41"/>
      <c r="AG14" s="36"/>
    </row>
    <row r="15" customFormat="false" ht="12.75" hidden="true" customHeight="true" outlineLevel="0" collapsed="false">
      <c r="A15" s="22" t="n">
        <f aca="false">VLOOKUP(B15,Annuaire_roster!B:F,5,0)</f>
        <v>0</v>
      </c>
      <c r="B15" s="23" t="s">
        <v>46</v>
      </c>
      <c r="C15" s="24" t="str">
        <f aca="false">IFERROR(IF(COUNTIFS(Pointage_brut!$E:$E,VLOOKUP($B15,Annuaire_roster!$B:$J,9,0),Pointage_brut!$A:$A,TEXT($Q15,"yyyymmdd")*1)=0,"",MOD(_xlfn.MINIFS(Pointage_brut!$F:$F,Pointage_brut!$E:$E,VLOOKUP($B15,Annuaire_roster!$B:$J,9,0),Pointage_brut!$A:$A,TEXT($Q15,"yyyymmdd")*1),1)),"")</f>
        <v/>
      </c>
      <c r="D15" s="25" t="n">
        <f aca="false" t="array" ref="D15:D15">IFERROR(INDEX(Planning2[],MATCH(1,(Planning2[Nom]=B15)*(Planning2[Date]=Q15),0),3),"-")</f>
        <v>0.416666666666667</v>
      </c>
      <c r="E15" s="26" t="str">
        <f aca="false">IFERROR(IF(COUNTIFS(Pointage_brut!$E:$E,VLOOKUP($B15,Annuaire_roster!$B:$J,9,0),Pointage_brut!$A:$A,TEXT($Q15,"yyyymmdd")*1)=0,"",MOD(_xlfn.MAXIFS(Pointage_brut!$G:$G,Pointage_brut!$E:$E,VLOOKUP($B15,Annuaire_roster!$B:$J,9,0),Pointage_brut!$A:$A,TEXT($Q15,"yyyymmdd")*1),1)),"")</f>
        <v/>
      </c>
      <c r="F15" s="27" t="n">
        <f aca="false" t="array" ref="F15:F15">IFERROR(INDEX(Planning2[],MATCH(1,(Planning2[Nom]=B15)*(Planning2[Date]=Q15),0),4),"-")</f>
        <v>0.833333333333333</v>
      </c>
      <c r="G15" s="28"/>
      <c r="H15" s="28"/>
      <c r="I15" s="29" t="str">
        <f aca="false">IF(IF(OR(C15="",D15="Congé",D15="OFF",D15="Congé spécial"),"",IF(D15&gt;F15,D15-C15,IF(C15-D15&lt;0,0,C15-D15)))&lt;0.00068287037037037,"",IF(OR(D15="Congé",D15="OFF",C15="",D15="Congé spécial"),"",IF(D15&gt;F15,D15-C15,IF(C15-D15&lt;0,0,C15-D15))))</f>
        <v/>
      </c>
      <c r="J15" s="28"/>
      <c r="K15" s="30" t="n">
        <f aca="false">IF(SUM(H15:J15)&lt;0.00068287037037037,0,SUM(H15:J15))</f>
        <v>0</v>
      </c>
      <c r="L15" s="28" t="n">
        <f aca="false">IF(OR(F15="Congé",F15="OFF",M15="Abs",F15="Congé sans solde",F15="Férié",F15="Congé spécial",D15="Congé spécial"),0,IF(F15-E15&lt;0,0,IF(F15-E15&lt;=0.00068287037037037,0,F15-E15)))</f>
        <v>0</v>
      </c>
      <c r="M15" s="31" t="str">
        <f aca="false">IF(AND(O15&lt;&gt;0,C15=""),"Abs",0)</f>
        <v>Abs</v>
      </c>
      <c r="N15" s="32" t="str">
        <f aca="false">IFERROR(IF(OR(D15="OFF",D15="Congé",M15="Abs",D15="Congé sans solde",D15="Férié"),"",IF(O15-K15-L15&gt;O15,O15,IF(O15-K15-L15&lt;0,"",O15-K15-L15))),"")</f>
        <v/>
      </c>
      <c r="O15" s="33" t="n">
        <f aca="false">IF(AG15="2H Pause déjeuner",IF(F15-D15-0.0833333333333333&lt;0,F15-D15-0.0833333333333333+1,F15-D15-0.0833333333333333),IF(OR(AND(F15="OFF",D15="OFF"),AND(F15="Congé",D15="Congé"),AND(F15="Congé sans solde",D15="Congé sans solde"),AND(F15="Congé spécial",D15="Congé spécial"),AND(F15="Férié",D15="Férié"),AND(F15="OFF",D15="Congé"),AND(F15="OFF",D15="Congé sans solde"),AND(F15="OFF",D15="Congé spécial"),AND(F15="OFF",D15="Férié"),AND(F15="Congé",D15="OFF"),AND(F15="Congé",D15="Congé sans solde"),AND(F15="Congé",D15="Congé spécial"),AND(F15="Congé",D15="Férié"),AND(F15="Congé sans solde",D15="OFF"),AND(F15="Congé sans solde",D15="Congé"),AND(F15="Congé sans solde",D15="Congé spécial"),AND(F15="Congé sans solde",D15="Férié"),AND(F15="Congé spécial",D15="OFF"),AND(F15="Congé spécial",D15="Congé"),AND(F15="Congé spécial",D15="Congé sans solde"),AND(F15="Congé spécial",D15="Férié"),AND(F15="Férié",D15="OFF"),AND(F15="Férié",D15="Congé"),AND(F15="Férié",D15="Congé sans solde"),AND(F15="Férié",D15="Congé spécial")),0,IF(OR(F15="OFF",F15="Congé",F15="Congé spécial",F15="Congé sans solde",D15="OFF",D15="Congé",D15="Congé spécial",D15="Congé sans solde"),0.208333333333334,IF(AND(AG15="",F15-D15&lt;0),("24:00:00"-D15)+("00:00:00"+F15)-0.0416666666666667,IF(AND(OR(AG15="Allaitement",AG15="Sans déjeuner"),F15-D15&lt;0),("24:00:00"-D15)+("00:00:00"+F15),IF(AND(AG15="",F15-D15&gt;0.166666666666667),F15-D15-0.0416666666666667,IF(AND(OR(AG15="Allaitement",AG15="Sans déjeuner"),F15-D15&gt;0.166666666666667),F15-D15,F15-D15)))))))</f>
        <v>0.375</v>
      </c>
      <c r="P15" s="34" t="str">
        <f aca="false">IFERROR(VLOOKUP($B15,Annuaire_roster!$B:$G,MATCH(P$1,Annuaire_roster!$B$1:$G$1,0),0),"-")</f>
        <v>Google Leads</v>
      </c>
      <c r="Q15" s="35" t="n">
        <v>44717</v>
      </c>
      <c r="R15" s="36" t="n">
        <f aca="false">IF(M15="Abs",O15,0)</f>
        <v>0.375</v>
      </c>
      <c r="S15" s="36" t="n">
        <f aca="false">SUM(R15,L15,I15,J15,W15,H15)</f>
        <v>0.375</v>
      </c>
      <c r="T15" s="1" t="str">
        <f aca="false">"Sem - "&amp;WEEKNUM(Q15,21)</f>
        <v>Sem - 23</v>
      </c>
      <c r="U15" s="1" t="str">
        <f aca="false">PROPER(TEXT(Q15,"mmmm"))</f>
        <v>June</v>
      </c>
      <c r="V15" s="37" t="str">
        <f aca="false">+TEXT(Q15,"aaa")</f>
        <v>Sat</v>
      </c>
      <c r="W15" s="32"/>
      <c r="X15" s="38" t="n">
        <f aca="false">IFERROR(IF(M15="Abs",0,IF((D15-C15+E15-F15)&lt;0.000694444444444444,0,(D15-C15+E15-F15))),0)</f>
        <v>0</v>
      </c>
      <c r="Y15" s="39" t="n">
        <f aca="false">IFERROR(VLOOKUP(B15,Annuaire_roster!B:E,4,0),"-")</f>
        <v>0</v>
      </c>
      <c r="Z15" s="39" t="str">
        <f aca="false">IFERROR(VLOOKUP(B15,Annuaire_roster!B:F,3,0),"-")</f>
        <v>Google Leads</v>
      </c>
      <c r="AA15" s="39" t="n">
        <f aca="false">IFERROR(VLOOKUP(B15,Annuaire_roster!B:I,6,0),"-")</f>
        <v>0</v>
      </c>
      <c r="AB15" s="40" t="str">
        <f aca="false">IF(AND(D15="Congé",F15="Congé"),0.333333333333333,IF(OR(AND(D15="Congé",F15&lt;&gt;"Congé"),(AND(F15="Congé",D15&lt;&gt;"Congé"))),0.166666666666667,""))</f>
        <v/>
      </c>
      <c r="AC15" s="40" t="str">
        <f aca="false">IF(AND(D15="Congé sans solde",F15="Congé sans solde"),0.333333333333333,IF(OR(AND(D15="Congé sans solde",F15&lt;&gt;"Congé sans solde"),(AND(F15="Congé sans solde",D15&lt;&gt;"Congé sans solde"))),0.166666666666667,""))</f>
        <v/>
      </c>
      <c r="AD15" s="40" t="str">
        <f aca="false">IF(AND(D15="Congé spécial",F15="Congé spécial"),0.333333333333333,IF(OR(AND(D15="Congé spécial",F15&lt;&gt;"Congé décès"),(AND(F15="Congé spécial",D15&lt;&gt;"Congé spécial"))),0.166666666666667,""))</f>
        <v/>
      </c>
      <c r="AE15" s="41" t="str">
        <f aca="false">IF(AND(D15="Férié",F15="Férié"),0.333333333333333,IF(OR(AND(D15="Férié",F15&lt;&gt;"Férié"),(AND(F15="Férié",D15&lt;&gt;"Férié"))),0.166666666666667,""))</f>
        <v/>
      </c>
      <c r="AF15" s="41"/>
      <c r="AG15" s="40"/>
    </row>
    <row r="16" customFormat="false" ht="12.75" hidden="true" customHeight="true" outlineLevel="0" collapsed="false">
      <c r="A16" s="22" t="n">
        <f aca="false">VLOOKUP(B16,Annuaire_roster!B:F,5,0)</f>
        <v>0</v>
      </c>
      <c r="B16" s="23" t="s">
        <v>47</v>
      </c>
      <c r="C16" s="24" t="str">
        <f aca="false">IFERROR(IF(COUNTIFS(Pointage_brut!$E:$E,VLOOKUP($B16,Annuaire_roster!$B:$J,9,0),Pointage_brut!$A:$A,TEXT($Q16,"yyyymmdd")*1)=0,"",MOD(_xlfn.MINIFS(Pointage_brut!$F:$F,Pointage_brut!$E:$E,VLOOKUP($B16,Annuaire_roster!$B:$J,9,0),Pointage_brut!$A:$A,TEXT($Q16,"yyyymmdd")*1),1)),"")</f>
        <v/>
      </c>
      <c r="D16" s="25" t="n">
        <f aca="false" t="array" ref="D16:D16">IFERROR(INDEX(Planning2[],MATCH(1,(Planning2[Nom]=B16)*(Planning2[Date]=Q16),0),3),"-")</f>
        <v>0.416666666666667</v>
      </c>
      <c r="E16" s="26" t="str">
        <f aca="false">IFERROR(IF(COUNTIFS(Pointage_brut!$E:$E,VLOOKUP($B16,Annuaire_roster!$B:$J,9,0),Pointage_brut!$A:$A,TEXT($Q16,"yyyymmdd")*1)=0,"",MOD(_xlfn.MAXIFS(Pointage_brut!$G:$G,Pointage_brut!$E:$E,VLOOKUP($B16,Annuaire_roster!$B:$J,9,0),Pointage_brut!$A:$A,TEXT($Q16,"yyyymmdd")*1),1)),"")</f>
        <v/>
      </c>
      <c r="F16" s="27" t="n">
        <f aca="false" t="array" ref="F16:F16">IFERROR(INDEX(Planning2[],MATCH(1,(Planning2[Nom]=B16)*(Planning2[Date]=Q16),0),4),"-")</f>
        <v>0.833333333333333</v>
      </c>
      <c r="G16" s="28"/>
      <c r="H16" s="28"/>
      <c r="I16" s="29" t="str">
        <f aca="false">IF(IF(OR(C16="",D16="Congé",D16="OFF",D16="Congé spécial"),"",IF(D16&gt;F16,D16-C16,IF(C16-D16&lt;0,0,C16-D16)))&lt;0.00068287037037037,"",IF(OR(D16="Congé",D16="OFF",C16="",D16="Congé spécial"),"",IF(D16&gt;F16,D16-C16,IF(C16-D16&lt;0,0,C16-D16))))</f>
        <v/>
      </c>
      <c r="J16" s="28"/>
      <c r="K16" s="30" t="n">
        <f aca="false">IF(SUM(H16:J16)&lt;0.00068287037037037,0,SUM(H16:J16))</f>
        <v>0</v>
      </c>
      <c r="L16" s="28" t="n">
        <f aca="false">IF(OR(F16="Congé",F16="OFF",M16="Abs",F16="Congé sans solde",F16="Férié",F16="Congé spécial",D16="Congé spécial"),0,IF(F16-E16&lt;0,0,IF(F16-E16&lt;=0.00068287037037037,0,F16-E16)))</f>
        <v>0</v>
      </c>
      <c r="M16" s="31" t="str">
        <f aca="false">IF(AND(O16&lt;&gt;0,C16=""),"Abs",0)</f>
        <v>Abs</v>
      </c>
      <c r="N16" s="32" t="str">
        <f aca="false">IFERROR(IF(OR(D16="OFF",D16="Congé",M16="Abs",D16="Congé sans solde",D16="Férié"),"",IF(O16-K16-L16&gt;O16,O16,IF(O16-K16-L16&lt;0,"",O16-K16-L16))),"")</f>
        <v/>
      </c>
      <c r="O16" s="33" t="n">
        <f aca="false">IF(AG16="2H Pause déjeuner",IF(F16-D16-0.0833333333333333&lt;0,F16-D16-0.0833333333333333+1,F16-D16-0.0833333333333333),IF(OR(AND(F16="OFF",D16="OFF"),AND(F16="Congé",D16="Congé"),AND(F16="Congé sans solde",D16="Congé sans solde"),AND(F16="Congé spécial",D16="Congé spécial"),AND(F16="Férié",D16="Férié"),AND(F16="OFF",D16="Congé"),AND(F16="OFF",D16="Congé sans solde"),AND(F16="OFF",D16="Congé spécial"),AND(F16="OFF",D16="Férié"),AND(F16="Congé",D16="OFF"),AND(F16="Congé",D16="Congé sans solde"),AND(F16="Congé",D16="Congé spécial"),AND(F16="Congé",D16="Férié"),AND(F16="Congé sans solde",D16="OFF"),AND(F16="Congé sans solde",D16="Congé"),AND(F16="Congé sans solde",D16="Congé spécial"),AND(F16="Congé sans solde",D16="Férié"),AND(F16="Congé spécial",D16="OFF"),AND(F16="Congé spécial",D16="Congé"),AND(F16="Congé spécial",D16="Congé sans solde"),AND(F16="Congé spécial",D16="Férié"),AND(F16="Férié",D16="OFF"),AND(F16="Férié",D16="Congé"),AND(F16="Férié",D16="Congé sans solde"),AND(F16="Férié",D16="Congé spécial")),0,IF(OR(F16="OFF",F16="Congé",F16="Congé spécial",F16="Congé sans solde",D16="OFF",D16="Congé",D16="Congé spécial",D16="Congé sans solde"),0.208333333333334,IF(AND(AG16="",F16-D16&lt;0),("24:00:00"-D16)+("00:00:00"+F16)-0.0416666666666667,IF(AND(OR(AG16="Allaitement",AG16="Sans déjeuner"),F16-D16&lt;0),("24:00:00"-D16)+("00:00:00"+F16),IF(AND(AG16="",F16-D16&gt;0.166666666666667),F16-D16-0.0416666666666667,IF(AND(OR(AG16="Allaitement",AG16="Sans déjeuner"),F16-D16&gt;0.166666666666667),F16-D16,F16-D16)))))))</f>
        <v>0.375</v>
      </c>
      <c r="P16" s="34" t="str">
        <f aca="false">IFERROR(VLOOKUP($B16,Annuaire_roster!$B:$G,MATCH(P$1,Annuaire_roster!$B$1:$G$1,0),0),"-")</f>
        <v>Google Leads</v>
      </c>
      <c r="Q16" s="35" t="n">
        <v>44717</v>
      </c>
      <c r="R16" s="36" t="n">
        <f aca="false">IF(M16="Abs",O16,0)</f>
        <v>0.375</v>
      </c>
      <c r="S16" s="36" t="n">
        <f aca="false">SUM(R16,L16,I16,J16,W16,H16)</f>
        <v>0.375</v>
      </c>
      <c r="T16" s="1" t="str">
        <f aca="false">"Sem - "&amp;WEEKNUM(Q16,21)</f>
        <v>Sem - 23</v>
      </c>
      <c r="U16" s="1" t="str">
        <f aca="false">PROPER(TEXT(Q16,"mmmm"))</f>
        <v>June</v>
      </c>
      <c r="V16" s="37" t="str">
        <f aca="false">+TEXT(Q16,"aaa")</f>
        <v>Sat</v>
      </c>
      <c r="W16" s="32"/>
      <c r="X16" s="38" t="n">
        <f aca="false">IFERROR(IF(M16="Abs",0,IF((D16-C16+E16-F16)&lt;0.000694444444444444,0,(D16-C16+E16-F16))),0)</f>
        <v>0</v>
      </c>
      <c r="Y16" s="39" t="n">
        <f aca="false">IFERROR(VLOOKUP(B16,Annuaire_roster!B:E,4,0),"-")</f>
        <v>0</v>
      </c>
      <c r="Z16" s="39" t="str">
        <f aca="false">IFERROR(VLOOKUP(B16,Annuaire_roster!B:F,3,0),"-")</f>
        <v>Google Leads</v>
      </c>
      <c r="AA16" s="39" t="n">
        <f aca="false">IFERROR(VLOOKUP(B16,Annuaire_roster!B:I,6,0),"-")</f>
        <v>0</v>
      </c>
      <c r="AB16" s="40" t="str">
        <f aca="false">IF(AND(D16="Congé",F16="Congé"),0.333333333333333,IF(OR(AND(D16="Congé",F16&lt;&gt;"Congé"),(AND(F16="Congé",D16&lt;&gt;"Congé"))),0.166666666666667,""))</f>
        <v/>
      </c>
      <c r="AC16" s="40" t="str">
        <f aca="false">IF(AND(D16="Congé sans solde",F16="Congé sans solde"),0.333333333333333,IF(OR(AND(D16="Congé sans solde",F16&lt;&gt;"Congé sans solde"),(AND(F16="Congé sans solde",D16&lt;&gt;"Congé sans solde"))),0.166666666666667,""))</f>
        <v/>
      </c>
      <c r="AD16" s="40" t="str">
        <f aca="false">IF(AND(D16="Congé spécial",F16="Congé spécial"),0.333333333333333,IF(OR(AND(D16="Congé spécial",F16&lt;&gt;"Congé décès"),(AND(F16="Congé spécial",D16&lt;&gt;"Congé spécial"))),0.166666666666667,""))</f>
        <v/>
      </c>
      <c r="AE16" s="41" t="str">
        <f aca="false">IF(AND(D16="Férié",F16="Férié"),0.333333333333333,IF(OR(AND(D16="Férié",F16&lt;&gt;"Férié"),(AND(F16="Férié",D16&lt;&gt;"Férié"))),0.166666666666667,""))</f>
        <v/>
      </c>
      <c r="AF16" s="41"/>
      <c r="AG16" s="36"/>
    </row>
    <row r="17" customFormat="false" ht="12.75" hidden="true" customHeight="true" outlineLevel="0" collapsed="false">
      <c r="A17" s="43" t="n">
        <f aca="false">VLOOKUP(B17,Annuaire_roster!B:F,5,0)</f>
        <v>949</v>
      </c>
      <c r="B17" s="23" t="s">
        <v>48</v>
      </c>
      <c r="C17" s="24" t="str">
        <f aca="false">IFERROR(IF(COUNTIFS(Pointage_brut!$E:$E,VLOOKUP($B17,Annuaire_roster!$B:$J,9,0),Pointage_brut!$A:$A,TEXT($Q17,"yyyymmdd")*1)=0,"",MOD(_xlfn.MINIFS(Pointage_brut!$F:$F,Pointage_brut!$E:$E,VLOOKUP($B17,Annuaire_roster!$B:$J,9,0),Pointage_brut!$A:$A,TEXT($Q17,"yyyymmdd")*1),1)),"")</f>
        <v/>
      </c>
      <c r="D17" s="25" t="n">
        <f aca="false" t="array" ref="D17:D17">IFERROR(INDEX(Planning2[],MATCH(1,(Planning2[Nom]=B17)*(Planning2[Date]=Q17),0),3),"-")</f>
        <v>0.416666666666667</v>
      </c>
      <c r="E17" s="26" t="str">
        <f aca="false">IFERROR(IF(COUNTIFS(Pointage_brut!$E:$E,VLOOKUP($B17,Annuaire_roster!$B:$J,9,0),Pointage_brut!$A:$A,TEXT($Q17,"yyyymmdd")*1)=0,"",MOD(_xlfn.MAXIFS(Pointage_brut!$G:$G,Pointage_brut!$E:$E,VLOOKUP($B17,Annuaire_roster!$B:$J,9,0),Pointage_brut!$A:$A,TEXT($Q17,"yyyymmdd")*1),1)),"")</f>
        <v/>
      </c>
      <c r="F17" s="27" t="n">
        <f aca="false" t="array" ref="F17:F17">IFERROR(INDEX(Planning2[],MATCH(1,(Planning2[Nom]=B17)*(Planning2[Date]=Q17),0),4),"-")</f>
        <v>0.833333333333333</v>
      </c>
      <c r="G17" s="28"/>
      <c r="H17" s="28"/>
      <c r="I17" s="29" t="str">
        <f aca="false">IF(IF(OR(C17="",D17="Congé",D17="OFF",D17="Congé spécial"),"",IF(D17&gt;F17,D17-C17,IF(C17-D17&lt;0,0,C17-D17)))&lt;0.00068287037037037,"",IF(OR(D17="Congé",D17="OFF",C17="",D17="Congé spécial"),"",IF(D17&gt;F17,D17-C17,IF(C17-D17&lt;0,0,C17-D17))))</f>
        <v/>
      </c>
      <c r="J17" s="28"/>
      <c r="K17" s="30" t="n">
        <f aca="false">IF(SUM(H17:J17)&lt;0.00068287037037037,0,SUM(H17:J17))</f>
        <v>0</v>
      </c>
      <c r="L17" s="28" t="n">
        <f aca="false">IF(OR(F17="Congé",F17="OFF",M17="Abs",F17="Congé sans solde",F17="Férié",F17="Congé spécial",D17="Congé spécial"),0,IF(F17-E17&lt;0,0,IF(F17-E17&lt;=0.00068287037037037,0,F17-E17)))</f>
        <v>0</v>
      </c>
      <c r="M17" s="31" t="str">
        <f aca="false">IF(AND(O17&lt;&gt;0,C17=""),"Abs",0)</f>
        <v>Abs</v>
      </c>
      <c r="N17" s="44" t="str">
        <f aca="false">IFERROR(IF(OR(D17="OFF",D17="Congé",M17="Abs",D17="Congé sans solde",D17="Férié"),"",IF(O17-K17-L17&gt;O17,O17,IF(O17-K17-L17&lt;0,"",O17-K17-L17))),"")</f>
        <v/>
      </c>
      <c r="O17" s="33" t="n">
        <f aca="false">IF(AG17="2H Pause déjeuner",IF(F17-D17-0.0833333333333333&lt;0,F17-D17-0.0833333333333333+1,F17-D17-0.0833333333333333),IF(OR(AND(F17="OFF",D17="OFF"),AND(F17="Congé",D17="Congé"),AND(F17="Congé sans solde",D17="Congé sans solde"),AND(F17="Congé spécial",D17="Congé spécial"),AND(F17="Férié",D17="Férié"),AND(F17="OFF",D17="Congé"),AND(F17="OFF",D17="Congé sans solde"),AND(F17="OFF",D17="Congé spécial"),AND(F17="OFF",D17="Férié"),AND(F17="Congé",D17="OFF"),AND(F17="Congé",D17="Congé sans solde"),AND(F17="Congé",D17="Congé spécial"),AND(F17="Congé",D17="Férié"),AND(F17="Congé sans solde",D17="OFF"),AND(F17="Congé sans solde",D17="Congé"),AND(F17="Congé sans solde",D17="Congé spécial"),AND(F17="Congé sans solde",D17="Férié"),AND(F17="Congé spécial",D17="OFF"),AND(F17="Congé spécial",D17="Congé"),AND(F17="Congé spécial",D17="Congé sans solde"),AND(F17="Congé spécial",D17="Férié"),AND(F17="Férié",D17="OFF"),AND(F17="Férié",D17="Congé"),AND(F17="Férié",D17="Congé sans solde"),AND(F17="Férié",D17="Congé spécial")),0,IF(OR(F17="OFF",F17="Congé",F17="Congé spécial",F17="Congé sans solde",D17="OFF",D17="Congé",D17="Congé spécial",D17="Congé sans solde"),0.208333333333334,IF(AND(AG17="",F17-D17&lt;0),("24:00:00"-D17)+("00:00:00"+F17)-0.0416666666666667,IF(AND(OR(AG17="Allaitement",AG17="Sans déjeuner"),F17-D17&lt;0),("24:00:00"-D17)+("00:00:00"+F17),IF(AND(AG17="",F17-D17&gt;0.166666666666667),F17-D17-0.0416666666666667,IF(AND(OR(AG17="Allaitement",AG17="Sans déjeuner"),F17-D17&gt;0.166666666666667),F17-D17,F17-D17)))))))</f>
        <v>0.375</v>
      </c>
      <c r="P17" s="34" t="str">
        <f aca="false">IFERROR(VLOOKUP($B17,Annuaire_roster!$B:$G,MATCH(P$1,Annuaire_roster!$B$1:$G$1,0),0),"-")</f>
        <v>Google Leads</v>
      </c>
      <c r="Q17" s="45" t="n">
        <v>44717</v>
      </c>
      <c r="R17" s="40" t="n">
        <f aca="false">IF(M17="Abs",O17,0)</f>
        <v>0.375</v>
      </c>
      <c r="S17" s="40" t="n">
        <f aca="false">SUM(R17,L17,I17,J17,W17,H17)</f>
        <v>0.375</v>
      </c>
      <c r="T17" s="1" t="str">
        <f aca="false">"Sem - "&amp;WEEKNUM(Q17,21)</f>
        <v>Sem - 23</v>
      </c>
      <c r="U17" s="1" t="str">
        <f aca="false">PROPER(TEXT(Q17,"mmmm"))</f>
        <v>June</v>
      </c>
      <c r="V17" s="46" t="str">
        <f aca="false">+TEXT(Q17,"aaa")</f>
        <v>Sat</v>
      </c>
      <c r="W17" s="44"/>
      <c r="X17" s="47" t="n">
        <f aca="false">IFERROR(IF(M17="Abs",0,IF((D17-C17+E17-F17)&lt;0.000694444444444444,0,(D17-C17+E17-F17))),0)</f>
        <v>0</v>
      </c>
      <c r="Y17" s="48" t="str">
        <f aca="false">IFERROR(VLOOKUP(B17,Annuaire_roster!B:E,4,0),"-")</f>
        <v>CHOUIFI Mustapha</v>
      </c>
      <c r="Z17" s="48" t="str">
        <f aca="false">IFERROR(VLOOKUP(B17,Annuaire_roster!B:F,3,0),"-")</f>
        <v>Google Leads</v>
      </c>
      <c r="AA17" s="48" t="str">
        <f aca="false">IFERROR(VLOOKUP(B17,Annuaire_roster!B:I,6,0),"-")</f>
        <v>Forfaitaire</v>
      </c>
      <c r="AB17" s="40" t="str">
        <f aca="false">IF(AND(D17="Congé",F17="Congé"),0.333333333333333,IF(OR(AND(D17="Congé",F17&lt;&gt;"Congé"),(AND(F17="Congé",D17&lt;&gt;"Congé"))),0.166666666666667,""))</f>
        <v/>
      </c>
      <c r="AC17" s="40" t="str">
        <f aca="false">IF(AND(D17="Congé sans solde",F17="Congé sans solde"),0.333333333333333,IF(OR(AND(D17="Congé sans solde",F17&lt;&gt;"Congé sans solde"),(AND(F17="Congé sans solde",D17&lt;&gt;"Congé sans solde"))),0.166666666666667,""))</f>
        <v/>
      </c>
      <c r="AD17" s="40" t="str">
        <f aca="false">IF(AND(D17="Congé spécial",F17="Congé spécial"),0.333333333333333,IF(OR(AND(D17="Congé spécial",F17&lt;&gt;"Congé décès"),(AND(F17="Congé spécial",D17&lt;&gt;"Congé spécial"))),0.166666666666667,""))</f>
        <v/>
      </c>
      <c r="AE17" s="49" t="str">
        <f aca="false">IF(AND(D17="Férié",F17="Férié"),0.333333333333333,IF(OR(AND(D17="Férié",F17&lt;&gt;"Férié"),(AND(F17="Férié",D17&lt;&gt;"Férié"))),0.166666666666667,""))</f>
        <v/>
      </c>
      <c r="AF17" s="41"/>
      <c r="AG17" s="40"/>
    </row>
    <row r="18" customFormat="false" ht="12.75" hidden="true" customHeight="true" outlineLevel="0" collapsed="false">
      <c r="A18" s="22" t="n">
        <f aca="false">VLOOKUP(B18,Annuaire_roster!B:F,5,0)</f>
        <v>0</v>
      </c>
      <c r="B18" s="23" t="s">
        <v>49</v>
      </c>
      <c r="C18" s="24" t="str">
        <f aca="false">IFERROR(IF(COUNTIFS(Pointage_brut!$E:$E,VLOOKUP($B18,Annuaire_roster!$B:$J,9,0),Pointage_brut!$A:$A,TEXT($Q18,"yyyymmdd")*1)=0,"",MOD(_xlfn.MINIFS(Pointage_brut!$F:$F,Pointage_brut!$E:$E,VLOOKUP($B18,Annuaire_roster!$B:$J,9,0),Pointage_brut!$A:$A,TEXT($Q18,"yyyymmdd")*1),1)),"")</f>
        <v/>
      </c>
      <c r="D18" s="25" t="n">
        <f aca="false" t="array" ref="D18:D18">IFERROR(INDEX(Planning2[],MATCH(1,(Planning2[Nom]=B18)*(Planning2[Date]=Q18),0),3),"-")</f>
        <v>0.416666666666667</v>
      </c>
      <c r="E18" s="26" t="str">
        <f aca="false">IFERROR(IF(COUNTIFS(Pointage_brut!$E:$E,VLOOKUP($B18,Annuaire_roster!$B:$J,9,0),Pointage_brut!$A:$A,TEXT($Q18,"yyyymmdd")*1)=0,"",MOD(_xlfn.MAXIFS(Pointage_brut!$G:$G,Pointage_brut!$E:$E,VLOOKUP($B18,Annuaire_roster!$B:$J,9,0),Pointage_brut!$A:$A,TEXT($Q18,"yyyymmdd")*1),1)),"")</f>
        <v/>
      </c>
      <c r="F18" s="27" t="n">
        <f aca="false" t="array" ref="F18:F18">IFERROR(INDEX(Planning2[],MATCH(1,(Planning2[Nom]=B18)*(Planning2[Date]=Q18),0),4),"-")</f>
        <v>0.833333333333333</v>
      </c>
      <c r="G18" s="28"/>
      <c r="H18" s="28"/>
      <c r="I18" s="29" t="str">
        <f aca="false">IF(IF(OR(C18="",D18="Congé",D18="OFF",D18="Congé spécial"),"",IF(D18&gt;F18,D18-C18,IF(C18-D18&lt;0,0,C18-D18)))&lt;0.00068287037037037,"",IF(OR(D18="Congé",D18="OFF",C18="",D18="Congé spécial"),"",IF(D18&gt;F18,D18-C18,IF(C18-D18&lt;0,0,C18-D18))))</f>
        <v/>
      </c>
      <c r="J18" s="28"/>
      <c r="K18" s="30" t="n">
        <f aca="false">IF(SUM(H18:J18)&lt;0.00068287037037037,0,SUM(H18:J18))</f>
        <v>0</v>
      </c>
      <c r="L18" s="28" t="n">
        <f aca="false">IF(OR(F18="Congé",F18="OFF",M18="Abs",F18="Congé sans solde",F18="Férié",F18="Congé spécial",D18="Congé spécial"),0,IF(F18-E18&lt;0,0,IF(F18-E18&lt;=0.00068287037037037,0,F18-E18)))</f>
        <v>0</v>
      </c>
      <c r="M18" s="31" t="str">
        <f aca="false">IF(AND(O18&lt;&gt;0,C18=""),"Abs",0)</f>
        <v>Abs</v>
      </c>
      <c r="N18" s="32" t="str">
        <f aca="false">IFERROR(IF(OR(D18="OFF",D18="Congé",M18="Abs",D18="Congé sans solde",D18="Férié"),"",IF(O18-K18-L18&gt;O18,O18,IF(O18-K18-L18&lt;0,"",O18-K18-L18))),"")</f>
        <v/>
      </c>
      <c r="O18" s="33" t="n">
        <f aca="false">IF(AG18="2H Pause déjeuner",IF(F18-D18-0.0833333333333333&lt;0,F18-D18-0.0833333333333333+1,F18-D18-0.0833333333333333),IF(OR(AND(F18="OFF",D18="OFF"),AND(F18="Congé",D18="Congé"),AND(F18="Congé sans solde",D18="Congé sans solde"),AND(F18="Congé spécial",D18="Congé spécial"),AND(F18="Férié",D18="Férié"),AND(F18="OFF",D18="Congé"),AND(F18="OFF",D18="Congé sans solde"),AND(F18="OFF",D18="Congé spécial"),AND(F18="OFF",D18="Férié"),AND(F18="Congé",D18="OFF"),AND(F18="Congé",D18="Congé sans solde"),AND(F18="Congé",D18="Congé spécial"),AND(F18="Congé",D18="Férié"),AND(F18="Congé sans solde",D18="OFF"),AND(F18="Congé sans solde",D18="Congé"),AND(F18="Congé sans solde",D18="Congé spécial"),AND(F18="Congé sans solde",D18="Férié"),AND(F18="Congé spécial",D18="OFF"),AND(F18="Congé spécial",D18="Congé"),AND(F18="Congé spécial",D18="Congé sans solde"),AND(F18="Congé spécial",D18="Férié"),AND(F18="Férié",D18="OFF"),AND(F18="Férié",D18="Congé"),AND(F18="Férié",D18="Congé sans solde"),AND(F18="Férié",D18="Congé spécial")),0,IF(OR(F18="OFF",F18="Congé",F18="Congé spécial",F18="Congé sans solde",D18="OFF",D18="Congé",D18="Congé spécial",D18="Congé sans solde"),0.208333333333334,IF(AND(AG18="",F18-D18&lt;0),("24:00:00"-D18)+("00:00:00"+F18)-0.0416666666666667,IF(AND(OR(AG18="Allaitement",AG18="Sans déjeuner"),F18-D18&lt;0),("24:00:00"-D18)+("00:00:00"+F18),IF(AND(AG18="",F18-D18&gt;0.166666666666667),F18-D18-0.0416666666666667,IF(AND(OR(AG18="Allaitement",AG18="Sans déjeuner"),F18-D18&gt;0.166666666666667),F18-D18,F18-D18)))))))</f>
        <v>0.375</v>
      </c>
      <c r="P18" s="34" t="str">
        <f aca="false">IFERROR(VLOOKUP($B18,Annuaire_roster!$B:$G,MATCH(P$1,Annuaire_roster!$B$1:$G$1,0),0),"-")</f>
        <v>Google Leads</v>
      </c>
      <c r="Q18" s="35" t="n">
        <v>44717</v>
      </c>
      <c r="R18" s="36" t="n">
        <f aca="false">IF(M18="Abs",O18,0)</f>
        <v>0.375</v>
      </c>
      <c r="S18" s="36" t="n">
        <f aca="false">SUM(R18,L18,I18,J18,W18,H18)</f>
        <v>0.375</v>
      </c>
      <c r="T18" s="1" t="str">
        <f aca="false">"Sem - "&amp;WEEKNUM(Q18,21)</f>
        <v>Sem - 23</v>
      </c>
      <c r="U18" s="1" t="str">
        <f aca="false">PROPER(TEXT(Q18,"mmmm"))</f>
        <v>June</v>
      </c>
      <c r="V18" s="37" t="str">
        <f aca="false">+TEXT(Q18,"aaa")</f>
        <v>Sat</v>
      </c>
      <c r="W18" s="32"/>
      <c r="X18" s="38" t="n">
        <f aca="false">IFERROR(IF(M18="Abs",0,IF((D18-C18+E18-F18)&lt;0.000694444444444444,0,(D18-C18+E18-F18))),0)</f>
        <v>0</v>
      </c>
      <c r="Y18" s="39" t="n">
        <f aca="false">IFERROR(VLOOKUP(B18,Annuaire_roster!B:E,4,0),"-")</f>
        <v>0</v>
      </c>
      <c r="Z18" s="39" t="str">
        <f aca="false">IFERROR(VLOOKUP(B18,Annuaire_roster!B:F,3,0),"-")</f>
        <v>Google Leads</v>
      </c>
      <c r="AA18" s="39" t="n">
        <f aca="false">IFERROR(VLOOKUP(B18,Annuaire_roster!B:I,6,0),"-")</f>
        <v>0</v>
      </c>
      <c r="AB18" s="40" t="str">
        <f aca="false">IF(AND(D18="Congé",F18="Congé"),0.333333333333333,IF(OR(AND(D18="Congé",F18&lt;&gt;"Congé"),(AND(F18="Congé",D18&lt;&gt;"Congé"))),0.166666666666667,""))</f>
        <v/>
      </c>
      <c r="AC18" s="40" t="str">
        <f aca="false">IF(AND(D18="Congé sans solde",F18="Congé sans solde"),0.333333333333333,IF(OR(AND(D18="Congé sans solde",F18&lt;&gt;"Congé sans solde"),(AND(F18="Congé sans solde",D18&lt;&gt;"Congé sans solde"))),0.166666666666667,""))</f>
        <v/>
      </c>
      <c r="AD18" s="40" t="str">
        <f aca="false">IF(AND(D18="Congé spécial",F18="Congé spécial"),0.333333333333333,IF(OR(AND(D18="Congé spécial",F18&lt;&gt;"Congé décès"),(AND(F18="Congé spécial",D18&lt;&gt;"Congé spécial"))),0.166666666666667,""))</f>
        <v/>
      </c>
      <c r="AE18" s="41" t="str">
        <f aca="false">IF(AND(D18="Férié",F18="Férié"),0.333333333333333,IF(OR(AND(D18="Férié",F18&lt;&gt;"Férié"),(AND(F18="Férié",D18&lt;&gt;"Férié"))),0.166666666666667,""))</f>
        <v/>
      </c>
      <c r="AF18" s="41"/>
      <c r="AG18" s="40"/>
    </row>
    <row r="19" customFormat="false" ht="12.75" hidden="true" customHeight="true" outlineLevel="0" collapsed="false">
      <c r="A19" s="22" t="n">
        <f aca="false">VLOOKUP(B19,Annuaire_roster!B:F,5,0)</f>
        <v>1131</v>
      </c>
      <c r="B19" s="23" t="s">
        <v>50</v>
      </c>
      <c r="C19" s="24" t="str">
        <f aca="false">IFERROR(IF(COUNTIFS(Pointage_brut!$E:$E,VLOOKUP($B19,Annuaire_roster!$B:$J,9,0),Pointage_brut!$A:$A,TEXT($Q19,"yyyymmdd")*1)=0,"",MOD(_xlfn.MINIFS(Pointage_brut!$F:$F,Pointage_brut!$E:$E,VLOOKUP($B19,Annuaire_roster!$B:$J,9,0),Pointage_brut!$A:$A,TEXT($Q19,"yyyymmdd")*1),1)),"")</f>
        <v/>
      </c>
      <c r="D19" s="25" t="n">
        <f aca="false" t="array" ref="D19:D19">IFERROR(INDEX(Planning2[],MATCH(1,(Planning2[Nom]=B19)*(Planning2[Date]=Q19),0),3),"-")</f>
        <v>0.416666666666667</v>
      </c>
      <c r="E19" s="26" t="str">
        <f aca="false">IFERROR(IF(COUNTIFS(Pointage_brut!$E:$E,VLOOKUP($B19,Annuaire_roster!$B:$J,9,0),Pointage_brut!$A:$A,TEXT($Q19,"yyyymmdd")*1)=0,"",MOD(_xlfn.MAXIFS(Pointage_brut!$G:$G,Pointage_brut!$E:$E,VLOOKUP($B19,Annuaire_roster!$B:$J,9,0),Pointage_brut!$A:$A,TEXT($Q19,"yyyymmdd")*1),1)),"")</f>
        <v/>
      </c>
      <c r="F19" s="27" t="n">
        <f aca="false" t="array" ref="F19:F19">IFERROR(INDEX(Planning2[],MATCH(1,(Planning2[Nom]=B19)*(Planning2[Date]=Q19),0),4),"-")</f>
        <v>0.833333333333333</v>
      </c>
      <c r="G19" s="28"/>
      <c r="H19" s="28"/>
      <c r="I19" s="51" t="str">
        <f aca="false">IF(IF(OR(C19="",D19="Congé",D19="OFF",D19="Congé spécial"),"",IF(D19&gt;F19,D19-C19,IF(C19-D19&lt;0,0,C19-D19)))&lt;0.00068287037037037,"",IF(OR(D19="Congé",D19="OFF",C19="",D19="Congé spécial"),"",IF(D19&gt;F19,D19-C19,IF(C19-D19&lt;0,0,C19-D19))))</f>
        <v/>
      </c>
      <c r="J19" s="28"/>
      <c r="K19" s="30" t="n">
        <f aca="false">IF(SUM(H19:J19)&lt;0.00068287037037037,0,SUM(H19:J19))</f>
        <v>0</v>
      </c>
      <c r="L19" s="28" t="n">
        <f aca="false">IF(OR(F19="Congé",F19="OFF",M19="Abs",F19="Congé sans solde",F19="Férié",F19="Congé spécial",D19="Congé spécial"),0,IF(F19-E19&lt;0,0,IF(F19-E19&lt;=0.00068287037037037,0,F19-E19)))</f>
        <v>0</v>
      </c>
      <c r="M19" s="31" t="str">
        <f aca="false">IF(AND(O19&lt;&gt;0,C19=""),"Abs",0)</f>
        <v>Abs</v>
      </c>
      <c r="N19" s="32" t="str">
        <f aca="false">IFERROR(IF(OR(D19="OFF",D19="Congé",M19="Abs",D19="Congé sans solde",D19="Férié"),"",IF(O19-K19-L19&gt;O19,O19,IF(O19-K19-L19&lt;0,"",O19-K19-L19))),"")</f>
        <v/>
      </c>
      <c r="O19" s="33" t="n">
        <f aca="false">IF(AG19="2H Pause déjeuner",IF(F19-D19-0.0833333333333333&lt;0,F19-D19-0.0833333333333333+1,F19-D19-0.0833333333333333),IF(OR(AND(F19="OFF",D19="OFF"),AND(F19="Congé",D19="Congé"),AND(F19="Congé sans solde",D19="Congé sans solde"),AND(F19="Congé spécial",D19="Congé spécial"),AND(F19="Férié",D19="Férié"),AND(F19="OFF",D19="Congé"),AND(F19="OFF",D19="Congé sans solde"),AND(F19="OFF",D19="Congé spécial"),AND(F19="OFF",D19="Férié"),AND(F19="Congé",D19="OFF"),AND(F19="Congé",D19="Congé sans solde"),AND(F19="Congé",D19="Congé spécial"),AND(F19="Congé",D19="Férié"),AND(F19="Congé sans solde",D19="OFF"),AND(F19="Congé sans solde",D19="Congé"),AND(F19="Congé sans solde",D19="Congé spécial"),AND(F19="Congé sans solde",D19="Férié"),AND(F19="Congé spécial",D19="OFF"),AND(F19="Congé spécial",D19="Congé"),AND(F19="Congé spécial",D19="Congé sans solde"),AND(F19="Congé spécial",D19="Férié"),AND(F19="Férié",D19="OFF"),AND(F19="Férié",D19="Congé"),AND(F19="Férié",D19="Congé sans solde"),AND(F19="Férié",D19="Congé spécial")),0,IF(OR(F19="OFF",F19="Congé",F19="Congé spécial",F19="Congé sans solde",D19="OFF",D19="Congé",D19="Congé spécial",D19="Congé sans solde"),0.208333333333334,IF(AND(AG19="",F19-D19&lt;0),("24:00:00"-D19)+("00:00:00"+F19)-0.0416666666666667,IF(AND(OR(AG19="Allaitement",AG19="Sans déjeuner"),F19-D19&lt;0),("24:00:00"-D19)+("00:00:00"+F19),IF(AND(AG19="",F19-D19&gt;0.166666666666667),F19-D19-0.0416666666666667,IF(AND(OR(AG19="Allaitement",AG19="Sans déjeuner"),F19-D19&gt;0.166666666666667),F19-D19,F19-D19)))))))</f>
        <v>0.375</v>
      </c>
      <c r="P19" s="34" t="str">
        <f aca="false">IFERROR(VLOOKUP($B19,Annuaire_roster!$B:$G,MATCH(P$1,Annuaire_roster!$B$1:$G$1,0),0),"-")</f>
        <v>Google Leads</v>
      </c>
      <c r="Q19" s="35" t="n">
        <v>44717</v>
      </c>
      <c r="R19" s="36" t="n">
        <f aca="false">IF(M19="Abs",O19,0)</f>
        <v>0.375</v>
      </c>
      <c r="S19" s="36" t="n">
        <f aca="false">SUM(R19,L19,I19,J19,W19,H19)</f>
        <v>0.375</v>
      </c>
      <c r="T19" s="1" t="str">
        <f aca="false">"Sem - "&amp;WEEKNUM(Q19,21)</f>
        <v>Sem - 23</v>
      </c>
      <c r="U19" s="1" t="str">
        <f aca="false">PROPER(TEXT(Q19,"mmmm"))</f>
        <v>June</v>
      </c>
      <c r="V19" s="37" t="str">
        <f aca="false">+TEXT(Q19,"aaa")</f>
        <v>Sat</v>
      </c>
      <c r="W19" s="32"/>
      <c r="X19" s="38" t="n">
        <f aca="false">IFERROR(IF(M19="Abs",0,IF((D19-C19+E19-F19)&lt;0.000694444444444444,0,(D19-C19+E19-F19))),0)</f>
        <v>0</v>
      </c>
      <c r="Y19" s="39" t="str">
        <f aca="false">IFERROR(VLOOKUP(B19,Annuaire_roster!B:E,4,0),"-")</f>
        <v>CHOUIFI Mustapha</v>
      </c>
      <c r="Z19" s="39" t="str">
        <f aca="false">IFERROR(VLOOKUP(B19,Annuaire_roster!B:F,3,0),"-")</f>
        <v>Google Leads</v>
      </c>
      <c r="AA19" s="39" t="str">
        <f aca="false">IFERROR(VLOOKUP(B19,Annuaire_roster!B:I,6,0),"-")</f>
        <v>Forfaitaire</v>
      </c>
      <c r="AB19" s="40" t="str">
        <f aca="false">IF(AND(D19="Congé",F19="Congé"),0.333333333333333,IF(OR(AND(D19="Congé",F19&lt;&gt;"Congé"),(AND(F19="Congé",D19&lt;&gt;"Congé"))),0.166666666666667,""))</f>
        <v/>
      </c>
      <c r="AC19" s="40" t="str">
        <f aca="false">IF(AND(D19="Congé sans solde",F19="Congé sans solde"),0.333333333333333,IF(OR(AND(D19="Congé sans solde",F19&lt;&gt;"Congé sans solde"),(AND(F19="Congé sans solde",D19&lt;&gt;"Congé sans solde"))),0.166666666666667,""))</f>
        <v/>
      </c>
      <c r="AD19" s="40" t="str">
        <f aca="false">IF(AND(D19="Congé spécial",F19="Congé spécial"),0.333333333333333,IF(OR(AND(D19="Congé spécial",F19&lt;&gt;"Congé décès"),(AND(F19="Congé spécial",D19&lt;&gt;"Congé spécial"))),0.166666666666667,""))</f>
        <v/>
      </c>
      <c r="AE19" s="41" t="str">
        <f aca="false">IF(AND(D19="Férié",F19="Férié"),0.333333333333333,IF(OR(AND(D19="Férié",F19&lt;&gt;"Férié"),(AND(F19="Férié",D19&lt;&gt;"Férié"))),0.166666666666667,""))</f>
        <v/>
      </c>
      <c r="AF19" s="41"/>
      <c r="AG19" s="36"/>
    </row>
    <row r="20" customFormat="false" ht="12.75" hidden="true" customHeight="true" outlineLevel="0" collapsed="false">
      <c r="A20" s="43" t="n">
        <f aca="false">VLOOKUP(B20,Annuaire_roster!B:F,5,0)</f>
        <v>0</v>
      </c>
      <c r="B20" s="23" t="s">
        <v>51</v>
      </c>
      <c r="C20" s="24" t="str">
        <f aca="false">IFERROR(IF(COUNTIFS(Pointage_brut!$E:$E,VLOOKUP($B20,Annuaire_roster!$B:$J,9,0),Pointage_brut!$A:$A,TEXT($Q20,"yyyymmdd")*1)=0,"",MOD(_xlfn.MINIFS(Pointage_brut!$F:$F,Pointage_brut!$E:$E,VLOOKUP($B20,Annuaire_roster!$B:$J,9,0),Pointage_brut!$A:$A,TEXT($Q20,"yyyymmdd")*1),1)),"")</f>
        <v/>
      </c>
      <c r="D20" s="25" t="n">
        <f aca="false" t="array" ref="D20:D20">IFERROR(INDEX(Planning2[],MATCH(1,(Planning2[Nom]=B20)*(Planning2[Date]=Q20),0),3),"-")</f>
        <v>0.416666666666667</v>
      </c>
      <c r="E20" s="26" t="str">
        <f aca="false">IFERROR(IF(COUNTIFS(Pointage_brut!$E:$E,VLOOKUP($B20,Annuaire_roster!$B:$J,9,0),Pointage_brut!$A:$A,TEXT($Q20,"yyyymmdd")*1)=0,"",MOD(_xlfn.MAXIFS(Pointage_brut!$G:$G,Pointage_brut!$E:$E,VLOOKUP($B20,Annuaire_roster!$B:$J,9,0),Pointage_brut!$A:$A,TEXT($Q20,"yyyymmdd")*1),1)),"")</f>
        <v/>
      </c>
      <c r="F20" s="27" t="n">
        <f aca="false" t="array" ref="F20:F20">IFERROR(INDEX(Planning2[],MATCH(1,(Planning2[Nom]=B20)*(Planning2[Date]=Q20),0),4),"-")</f>
        <v>0.833333333333333</v>
      </c>
      <c r="G20" s="28"/>
      <c r="H20" s="28"/>
      <c r="I20" s="29" t="str">
        <f aca="false">IF(IF(OR(C20="",D20="Congé",D20="OFF",D20="Congé spécial"),"",IF(D20&gt;F20,D20-C20,IF(C20-D20&lt;0,0,C20-D20)))&lt;0.00068287037037037,"",IF(OR(D20="Congé",D20="OFF",C20="",D20="Congé spécial"),"",IF(D20&gt;F20,D20-C20,IF(C20-D20&lt;0,0,C20-D20))))</f>
        <v/>
      </c>
      <c r="J20" s="28"/>
      <c r="K20" s="30" t="n">
        <f aca="false">IF(SUM(H20:J20)&lt;0.00068287037037037,0,SUM(H20:J20))</f>
        <v>0</v>
      </c>
      <c r="L20" s="28" t="n">
        <f aca="false">IF(OR(F20="Congé",F20="OFF",M20="Abs",F20="Congé sans solde",F20="Férié",F20="Congé spécial",D20="Congé spécial"),0,IF(F20-E20&lt;0,0,IF(F20-E20&lt;=0.00068287037037037,0,F20-E20)))</f>
        <v>0</v>
      </c>
      <c r="M20" s="31" t="str">
        <f aca="false">IF(AND(O20&lt;&gt;0,C20=""),"Abs",0)</f>
        <v>Abs</v>
      </c>
      <c r="N20" s="44" t="str">
        <f aca="false">IFERROR(IF(OR(D20="OFF",D20="Congé",M20="Abs",D20="Congé sans solde",D20="Férié"),"",IF(O20-K20-L20&gt;O20,O20,IF(O20-K20-L20&lt;0,"",O20-K20-L20))),"")</f>
        <v/>
      </c>
      <c r="O20" s="33" t="n">
        <f aca="false">IF(AG20="2H Pause déjeuner",IF(F20-D20-0.0833333333333333&lt;0,F20-D20-0.0833333333333333+1,F20-D20-0.0833333333333333),IF(OR(AND(F20="OFF",D20="OFF"),AND(F20="Congé",D20="Congé"),AND(F20="Congé sans solde",D20="Congé sans solde"),AND(F20="Congé spécial",D20="Congé spécial"),AND(F20="Férié",D20="Férié"),AND(F20="OFF",D20="Congé"),AND(F20="OFF",D20="Congé sans solde"),AND(F20="OFF",D20="Congé spécial"),AND(F20="OFF",D20="Férié"),AND(F20="Congé",D20="OFF"),AND(F20="Congé",D20="Congé sans solde"),AND(F20="Congé",D20="Congé spécial"),AND(F20="Congé",D20="Férié"),AND(F20="Congé sans solde",D20="OFF"),AND(F20="Congé sans solde",D20="Congé"),AND(F20="Congé sans solde",D20="Congé spécial"),AND(F20="Congé sans solde",D20="Férié"),AND(F20="Congé spécial",D20="OFF"),AND(F20="Congé spécial",D20="Congé"),AND(F20="Congé spécial",D20="Congé sans solde"),AND(F20="Congé spécial",D20="Férié"),AND(F20="Férié",D20="OFF"),AND(F20="Férié",D20="Congé"),AND(F20="Férié",D20="Congé sans solde"),AND(F20="Férié",D20="Congé spécial")),0,IF(OR(F20="OFF",F20="Congé",F20="Congé spécial",F20="Congé sans solde",D20="OFF",D20="Congé",D20="Congé spécial",D20="Congé sans solde"),0.208333333333334,IF(AND(AG20="",F20-D20&lt;0),("24:00:00"-D20)+("00:00:00"+F20)-0.0416666666666667,IF(AND(OR(AG20="Allaitement",AG20="Sans déjeuner"),F20-D20&lt;0),("24:00:00"-D20)+("00:00:00"+F20),IF(AND(AG20="",F20-D20&gt;0.166666666666667),F20-D20-0.0416666666666667,IF(AND(OR(AG20="Allaitement",AG20="Sans déjeuner"),F20-D20&gt;0.166666666666667),F20-D20,F20-D20)))))))</f>
        <v>0.375</v>
      </c>
      <c r="P20" s="34" t="str">
        <f aca="false">IFERROR(VLOOKUP($B20,Annuaire_roster!$B:$G,MATCH(P$1,Annuaire_roster!$B$1:$G$1,0),0),"-")</f>
        <v>Google Leads</v>
      </c>
      <c r="Q20" s="45" t="n">
        <v>44717</v>
      </c>
      <c r="R20" s="40" t="n">
        <f aca="false">IF(M20="Abs",O20,0)</f>
        <v>0.375</v>
      </c>
      <c r="S20" s="40" t="n">
        <f aca="false">SUM(R20,L20,I20,J20,W20,H20)</f>
        <v>0.375</v>
      </c>
      <c r="T20" s="1" t="str">
        <f aca="false">"Sem - "&amp;WEEKNUM(Q20,21)</f>
        <v>Sem - 23</v>
      </c>
      <c r="U20" s="1" t="str">
        <f aca="false">PROPER(TEXT(Q20,"mmmm"))</f>
        <v>June</v>
      </c>
      <c r="V20" s="46" t="str">
        <f aca="false">+TEXT(Q20,"aaa")</f>
        <v>Sat</v>
      </c>
      <c r="W20" s="44"/>
      <c r="X20" s="47" t="n">
        <f aca="false">IFERROR(IF(M20="Abs",0,IF((D20-C20+E20-F20)&lt;0.000694444444444444,0,(D20-C20+E20-F20))),0)</f>
        <v>0</v>
      </c>
      <c r="Y20" s="48" t="n">
        <f aca="false">IFERROR(VLOOKUP(B20,Annuaire_roster!B:E,4,0),"-")</f>
        <v>0</v>
      </c>
      <c r="Z20" s="48" t="str">
        <f aca="false">IFERROR(VLOOKUP(B20,Annuaire_roster!B:F,3,0),"-")</f>
        <v>Google Leads</v>
      </c>
      <c r="AA20" s="48" t="n">
        <f aca="false">IFERROR(VLOOKUP(B20,Annuaire_roster!B:I,6,0),"-")</f>
        <v>0</v>
      </c>
      <c r="AB20" s="40" t="str">
        <f aca="false">IF(AND(D20="Congé",F20="Congé"),0.333333333333333,IF(OR(AND(D20="Congé",F20&lt;&gt;"Congé"),(AND(F20="Congé",D20&lt;&gt;"Congé"))),0.166666666666667,""))</f>
        <v/>
      </c>
      <c r="AC20" s="40" t="str">
        <f aca="false">IF(AND(D20="Congé sans solde",F20="Congé sans solde"),0.333333333333333,IF(OR(AND(D20="Congé sans solde",F20&lt;&gt;"Congé sans solde"),(AND(F20="Congé sans solde",D20&lt;&gt;"Congé sans solde"))),0.166666666666667,""))</f>
        <v/>
      </c>
      <c r="AD20" s="40" t="str">
        <f aca="false">IF(AND(D20="Congé spécial",F20="Congé spécial"),0.333333333333333,IF(OR(AND(D20="Congé spécial",F20&lt;&gt;"Congé décès"),(AND(F20="Congé spécial",D20&lt;&gt;"Congé spécial"))),0.166666666666667,""))</f>
        <v/>
      </c>
      <c r="AE20" s="49" t="str">
        <f aca="false">IF(AND(D20="Férié",F20="Férié"),0.333333333333333,IF(OR(AND(D20="Férié",F20&lt;&gt;"Férié"),(AND(F20="Férié",D20&lt;&gt;"Férié"))),0.166666666666667,""))</f>
        <v/>
      </c>
      <c r="AF20" s="49"/>
      <c r="AG20" s="40"/>
    </row>
    <row r="21" customFormat="false" ht="12.75" hidden="true" customHeight="true" outlineLevel="0" collapsed="false">
      <c r="A21" s="22" t="n">
        <f aca="false">VLOOKUP(B21,Annuaire_roster!B:F,5,0)</f>
        <v>1132</v>
      </c>
      <c r="B21" s="23" t="s">
        <v>52</v>
      </c>
      <c r="C21" s="24" t="str">
        <f aca="false">IFERROR(IF(COUNTIFS(Pointage_brut!$E:$E,VLOOKUP($B21,Annuaire_roster!$B:$J,9,0),Pointage_brut!$A:$A,TEXT($Q21,"yyyymmdd")*1)=0,"",MOD(_xlfn.MINIFS(Pointage_brut!$F:$F,Pointage_brut!$E:$E,VLOOKUP($B21,Annuaire_roster!$B:$J,9,0),Pointage_brut!$A:$A,TEXT($Q21,"yyyymmdd")*1),1)),"")</f>
        <v/>
      </c>
      <c r="D21" s="25" t="n">
        <v>0.291666666666667</v>
      </c>
      <c r="E21" s="26" t="str">
        <f aca="false">IFERROR(IF(COUNTIFS(Pointage_brut!$E:$E,VLOOKUP($B21,Annuaire_roster!$B:$J,9,0),Pointage_brut!$A:$A,TEXT($Q21,"yyyymmdd")*1)=0,"",MOD(_xlfn.MAXIFS(Pointage_brut!$G:$G,Pointage_brut!$E:$E,VLOOKUP($B21,Annuaire_roster!$B:$J,9,0),Pointage_brut!$A:$A,TEXT($Q21,"yyyymmdd")*1),1)),"")</f>
        <v/>
      </c>
      <c r="F21" s="27" t="n">
        <f aca="false" t="array" ref="F21:F21">IFERROR(INDEX(Planning2[],MATCH(1,(Planning2[Nom]=B21)*(Planning2[Date]=Q21),0),4),"-")</f>
        <v>0.708333333333333</v>
      </c>
      <c r="G21" s="28"/>
      <c r="H21" s="28"/>
      <c r="I21" s="29" t="str">
        <f aca="false">IF(IF(OR(C21="",D21="Congé",D21="OFF",D21="Congé spécial"),"",IF(D21&gt;F21,D21-C21,IF(C21-D21&lt;0,0,C21-D21)))&lt;0.00068287037037037,"",IF(OR(D21="Congé",D21="OFF",C21="",D21="Congé spécial"),"",IF(D21&gt;F21,D21-C21,IF(C21-D21&lt;0,0,C21-D21))))</f>
        <v/>
      </c>
      <c r="J21" s="28"/>
      <c r="K21" s="30" t="n">
        <f aca="false">IF(SUM(H21:J21)&lt;0.00068287037037037,0,SUM(H21:J21))</f>
        <v>0</v>
      </c>
      <c r="L21" s="28" t="n">
        <f aca="false">IF(OR(F21="Congé",F21="OFF",M21="Abs",F21="Congé sans solde",F21="Férié",F21="Congé spécial",D21="Congé spécial"),0,IF(F21-E21&lt;0,0,IF(F21-E21&lt;=0.00068287037037037,0,F21-E21)))</f>
        <v>0</v>
      </c>
      <c r="M21" s="31" t="str">
        <f aca="false">IF(AND(O21&lt;&gt;0,C21=""),"Abs",0)</f>
        <v>Abs</v>
      </c>
      <c r="N21" s="32" t="str">
        <f aca="false">IFERROR(IF(OR(D21="OFF",D21="Congé",M21="Abs",D21="Congé sans solde",D21="Férié"),"",IF(O21-K21-L21&gt;O21,O21,IF(O21-K21-L21&lt;0,"",O21-K21-L21))),"")</f>
        <v/>
      </c>
      <c r="O21" s="33" t="n">
        <f aca="false">IF(AG21="2H Pause déjeuner",IF(F21-D21-0.0833333333333333&lt;0,F21-D21-0.0833333333333333+1,F21-D21-0.0833333333333333),IF(OR(AND(F21="OFF",D21="OFF"),AND(F21="Congé",D21="Congé"),AND(F21="Congé sans solde",D21="Congé sans solde"),AND(F21="Congé spécial",D21="Congé spécial"),AND(F21="Férié",D21="Férié"),AND(F21="OFF",D21="Congé"),AND(F21="OFF",D21="Congé sans solde"),AND(F21="OFF",D21="Congé spécial"),AND(F21="OFF",D21="Férié"),AND(F21="Congé",D21="OFF"),AND(F21="Congé",D21="Congé sans solde"),AND(F21="Congé",D21="Congé spécial"),AND(F21="Congé",D21="Férié"),AND(F21="Congé sans solde",D21="OFF"),AND(F21="Congé sans solde",D21="Congé"),AND(F21="Congé sans solde",D21="Congé spécial"),AND(F21="Congé sans solde",D21="Férié"),AND(F21="Congé spécial",D21="OFF"),AND(F21="Congé spécial",D21="Congé"),AND(F21="Congé spécial",D21="Congé sans solde"),AND(F21="Congé spécial",D21="Férié"),AND(F21="Férié",D21="OFF"),AND(F21="Férié",D21="Congé"),AND(F21="Férié",D21="Congé sans solde"),AND(F21="Férié",D21="Congé spécial")),0,IF(OR(F21="OFF",F21="Congé",F21="Congé spécial",F21="Congé sans solde",D21="OFF",D21="Congé",D21="Congé spécial",D21="Congé sans solde"),0.208333333333334,IF(AND(AG21="",F21-D21&lt;0),("24:00:00"-D21)+("00:00:00"+F21)-0.0416666666666667,IF(AND(OR(AG21="Allaitement",AG21="Sans déjeuner"),F21-D21&lt;0),("24:00:00"-D21)+("00:00:00"+F21),IF(AND(AG21="",F21-D21&gt;0.166666666666667),F21-D21-0.0416666666666667,IF(AND(OR(AG21="Allaitement",AG21="Sans déjeuner"),F21-D21&gt;0.166666666666667),F21-D21,F21-D21)))))))</f>
        <v>0.375</v>
      </c>
      <c r="P21" s="34" t="str">
        <f aca="false">IFERROR(VLOOKUP($B21,Annuaire_roster!$B:$G,MATCH(P$1,Annuaire_roster!$B$1:$G$1,0),0),"-")</f>
        <v>Google Leads</v>
      </c>
      <c r="Q21" s="35" t="n">
        <v>44717</v>
      </c>
      <c r="R21" s="36" t="n">
        <f aca="false">IF(M21="Abs",O21,0)</f>
        <v>0.375</v>
      </c>
      <c r="S21" s="36" t="n">
        <f aca="false">SUM(R21,L21,I21,J21,W21,H21)</f>
        <v>0.375</v>
      </c>
      <c r="T21" s="1" t="str">
        <f aca="false">"Sem - "&amp;WEEKNUM(Q21,21)</f>
        <v>Sem - 23</v>
      </c>
      <c r="U21" s="1" t="str">
        <f aca="false">PROPER(TEXT(Q21,"mmmm"))</f>
        <v>June</v>
      </c>
      <c r="V21" s="37" t="str">
        <f aca="false">+TEXT(Q21,"aaa")</f>
        <v>Sat</v>
      </c>
      <c r="W21" s="32"/>
      <c r="X21" s="38" t="n">
        <f aca="false">IFERROR(IF(M21="Abs",0,IF((D21-C21+E21-F21)&lt;0.000694444444444444,0,(D21-C21+E21-F21))),0)</f>
        <v>0</v>
      </c>
      <c r="Y21" s="39" t="str">
        <f aca="false">IFERROR(VLOOKUP(B21,Annuaire_roster!B:E,4,0),"-")</f>
        <v>CHOUIFI Mustapha</v>
      </c>
      <c r="Z21" s="39" t="str">
        <f aca="false">IFERROR(VLOOKUP(B21,Annuaire_roster!B:F,3,0),"-")</f>
        <v>Google Leads</v>
      </c>
      <c r="AA21" s="39" t="str">
        <f aca="false">IFERROR(VLOOKUP(B21,Annuaire_roster!B:I,6,0),"-")</f>
        <v>Forfaitaire</v>
      </c>
      <c r="AB21" s="40" t="str">
        <f aca="false">IF(AND(D21="Congé",F21="Congé"),0.333333333333333,IF(OR(AND(D21="Congé",F21&lt;&gt;"Congé"),(AND(F21="Congé",D21&lt;&gt;"Congé"))),0.166666666666667,""))</f>
        <v/>
      </c>
      <c r="AC21" s="40" t="str">
        <f aca="false">IF(AND(D21="Congé sans solde",F21="Congé sans solde"),0.333333333333333,IF(OR(AND(D21="Congé sans solde",F21&lt;&gt;"Congé sans solde"),(AND(F21="Congé sans solde",D21&lt;&gt;"Congé sans solde"))),0.166666666666667,""))</f>
        <v/>
      </c>
      <c r="AD21" s="40" t="str">
        <f aca="false">IF(AND(D21="Congé spécial",F21="Congé spécial"),0.333333333333333,IF(OR(AND(D21="Congé spécial",F21&lt;&gt;"Congé décès"),(AND(F21="Congé spécial",D21&lt;&gt;"Congé spécial"))),0.166666666666667,""))</f>
        <v/>
      </c>
      <c r="AE21" s="41" t="str">
        <f aca="false">IF(AND(D21="Férié",F21="Férié"),0.333333333333333,IF(OR(AND(D21="Férié",F21&lt;&gt;"Férié"),(AND(F21="Férié",D21&lt;&gt;"Férié"))),0.166666666666667,""))</f>
        <v/>
      </c>
      <c r="AF21" s="41"/>
      <c r="AG21" s="36"/>
    </row>
    <row r="22" customFormat="false" ht="12.75" hidden="true" customHeight="true" outlineLevel="0" collapsed="false">
      <c r="A22" s="22" t="n">
        <f aca="false">VLOOKUP(B22,Annuaire_roster!B:F,5,0)</f>
        <v>1154</v>
      </c>
      <c r="B22" s="23" t="s">
        <v>53</v>
      </c>
      <c r="C22" s="24" t="str">
        <f aca="false">IFERROR(IF(COUNTIFS(Pointage_brut!$E:$E,VLOOKUP($B22,Annuaire_roster!$B:$J,9,0),Pointage_brut!$A:$A,TEXT($Q22,"yyyymmdd")*1)=0,"",MOD(_xlfn.MINIFS(Pointage_brut!$F:$F,Pointage_brut!$E:$E,VLOOKUP($B22,Annuaire_roster!$B:$J,9,0),Pointage_brut!$A:$A,TEXT($Q22,"yyyymmdd")*1),1)),"")</f>
        <v/>
      </c>
      <c r="D22" s="25" t="n">
        <v>0.291666666666667</v>
      </c>
      <c r="E22" s="26" t="str">
        <f aca="false">IFERROR(IF(COUNTIFS(Pointage_brut!$E:$E,VLOOKUP($B22,Annuaire_roster!$B:$J,9,0),Pointage_brut!$A:$A,TEXT($Q22,"yyyymmdd")*1)=0,"",MOD(_xlfn.MAXIFS(Pointage_brut!$G:$G,Pointage_brut!$E:$E,VLOOKUP($B22,Annuaire_roster!$B:$J,9,0),Pointage_brut!$A:$A,TEXT($Q22,"yyyymmdd")*1),1)),"")</f>
        <v/>
      </c>
      <c r="F22" s="27" t="n">
        <f aca="false" t="array" ref="F22:F22">IFERROR(INDEX(Planning2[],MATCH(1,(Planning2[Nom]=B22)*(Planning2[Date]=Q22),0),4),"-")</f>
        <v>0.708333333333333</v>
      </c>
      <c r="G22" s="28"/>
      <c r="H22" s="28"/>
      <c r="I22" s="29" t="str">
        <f aca="false">IF(IF(OR(C22="",D22="Congé",D22="OFF",D22="Congé spécial"),"",IF(D22&gt;F22,D22-C22,IF(C22-D22&lt;0,0,C22-D22)))&lt;0.00068287037037037,"",IF(OR(D22="Congé",D22="OFF",C22="",D22="Congé spécial"),"",IF(D22&gt;F22,D22-C22,IF(C22-D22&lt;0,0,C22-D22))))</f>
        <v/>
      </c>
      <c r="J22" s="28"/>
      <c r="K22" s="30" t="n">
        <f aca="false">IF(SUM(H22:J22)&lt;0.00068287037037037,0,SUM(H22:J22))</f>
        <v>0</v>
      </c>
      <c r="L22" s="28" t="n">
        <f aca="false">IF(OR(F22="Congé",F22="OFF",M22="Abs",F22="Congé sans solde",F22="Férié",F22="Congé spécial",D22="Congé spécial"),0,IF(F22-E22&lt;0,0,IF(F22-E22&lt;=0.00068287037037037,0,F22-E22)))</f>
        <v>0</v>
      </c>
      <c r="M22" s="31" t="str">
        <f aca="false">IF(AND(O22&lt;&gt;0,C22=""),"Abs",0)</f>
        <v>Abs</v>
      </c>
      <c r="N22" s="32" t="str">
        <f aca="false">IFERROR(IF(OR(D22="OFF",D22="Congé",M22="Abs",D22="Congé sans solde",D22="Férié"),"",IF(O22-K22-L22&gt;O22,O22,IF(O22-K22-L22&lt;0,"",O22-K22-L22))),"")</f>
        <v/>
      </c>
      <c r="O22" s="33" t="n">
        <f aca="false">IF(AG22="2H Pause déjeuner",IF(F22-D22-0.0833333333333333&lt;0,F22-D22-0.0833333333333333+1,F22-D22-0.0833333333333333),IF(OR(AND(F22="OFF",D22="OFF"),AND(F22="Congé",D22="Congé"),AND(F22="Congé sans solde",D22="Congé sans solde"),AND(F22="Congé spécial",D22="Congé spécial"),AND(F22="Férié",D22="Férié"),AND(F22="OFF",D22="Congé"),AND(F22="OFF",D22="Congé sans solde"),AND(F22="OFF",D22="Congé spécial"),AND(F22="OFF",D22="Férié"),AND(F22="Congé",D22="OFF"),AND(F22="Congé",D22="Congé sans solde"),AND(F22="Congé",D22="Congé spécial"),AND(F22="Congé",D22="Férié"),AND(F22="Congé sans solde",D22="OFF"),AND(F22="Congé sans solde",D22="Congé"),AND(F22="Congé sans solde",D22="Congé spécial"),AND(F22="Congé sans solde",D22="Férié"),AND(F22="Congé spécial",D22="OFF"),AND(F22="Congé spécial",D22="Congé"),AND(F22="Congé spécial",D22="Congé sans solde"),AND(F22="Congé spécial",D22="Férié"),AND(F22="Férié",D22="OFF"),AND(F22="Férié",D22="Congé"),AND(F22="Férié",D22="Congé sans solde"),AND(F22="Férié",D22="Congé spécial")),0,IF(OR(F22="OFF",F22="Congé",F22="Congé spécial",F22="Congé sans solde",D22="OFF",D22="Congé",D22="Congé spécial",D22="Congé sans solde"),0.208333333333334,IF(AND(AG22="",F22-D22&lt;0),("24:00:00"-D22)+("00:00:00"+F22)-0.0416666666666667,IF(AND(OR(AG22="Allaitement",AG22="Sans déjeuner"),F22-D22&lt;0),("24:00:00"-D22)+("00:00:00"+F22),IF(AND(AG22="",F22-D22&gt;0.166666666666667),F22-D22-0.0416666666666667,IF(AND(OR(AG22="Allaitement",AG22="Sans déjeuner"),F22-D22&gt;0.166666666666667),F22-D22,F22-D22)))))))</f>
        <v>0.375</v>
      </c>
      <c r="P22" s="34" t="str">
        <f aca="false">IFERROR(VLOOKUP($B22,Annuaire_roster!$B:$G,MATCH(P$1,Annuaire_roster!$B$1:$G$1,0),0),"-")</f>
        <v>Google Leads</v>
      </c>
      <c r="Q22" s="35" t="n">
        <v>44717</v>
      </c>
      <c r="R22" s="36" t="n">
        <f aca="false">IF(M22="Abs",O22,0)</f>
        <v>0.375</v>
      </c>
      <c r="S22" s="36" t="n">
        <f aca="false">SUM(R22,L22,I22,J22,W22,H22)</f>
        <v>0.375</v>
      </c>
      <c r="T22" s="1" t="str">
        <f aca="false">"Sem - "&amp;WEEKNUM(Q22,21)</f>
        <v>Sem - 23</v>
      </c>
      <c r="U22" s="1" t="str">
        <f aca="false">PROPER(TEXT(Q22,"mmmm"))</f>
        <v>June</v>
      </c>
      <c r="V22" s="37" t="str">
        <f aca="false">+TEXT(Q22,"aaa")</f>
        <v>Sat</v>
      </c>
      <c r="W22" s="32"/>
      <c r="X22" s="38" t="n">
        <f aca="false">IFERROR(IF(M22="Abs",0,IF((D22-C22+E22-F22)&lt;0.000694444444444444,0,(D22-C22+E22-F22))),0)</f>
        <v>0</v>
      </c>
      <c r="Y22" s="39" t="str">
        <f aca="false">IFERROR(VLOOKUP(B22,Annuaire_roster!B:E,4,0),"-")</f>
        <v>CHOUIFI Mustapha</v>
      </c>
      <c r="Z22" s="39" t="str">
        <f aca="false">IFERROR(VLOOKUP(B22,Annuaire_roster!B:F,3,0),"-")</f>
        <v>Google Leads</v>
      </c>
      <c r="AA22" s="39" t="str">
        <f aca="false">IFERROR(VLOOKUP(B22,Annuaire_roster!B:I,6,0),"-")</f>
        <v>Forfaitaire</v>
      </c>
      <c r="AB22" s="40" t="str">
        <f aca="false">IF(AND(D22="Congé",F22="Congé"),0.333333333333333,IF(OR(AND(D22="Congé",F22&lt;&gt;"Congé"),(AND(F22="Congé",D22&lt;&gt;"Congé"))),0.166666666666667,""))</f>
        <v/>
      </c>
      <c r="AC22" s="40" t="str">
        <f aca="false">IF(AND(D22="Congé sans solde",F22="Congé sans solde"),0.333333333333333,IF(OR(AND(D22="Congé sans solde",F22&lt;&gt;"Congé sans solde"),(AND(F22="Congé sans solde",D22&lt;&gt;"Congé sans solde"))),0.166666666666667,""))</f>
        <v/>
      </c>
      <c r="AD22" s="40" t="str">
        <f aca="false">IF(AND(D22="Congé spécial",F22="Congé spécial"),0.333333333333333,IF(OR(AND(D22="Congé spécial",F22&lt;&gt;"Congé décès"),(AND(F22="Congé spécial",D22&lt;&gt;"Congé spécial"))),0.166666666666667,""))</f>
        <v/>
      </c>
      <c r="AE22" s="41" t="str">
        <f aca="false">IF(AND(D22="Férié",F22="Férié"),0.333333333333333,IF(OR(AND(D22="Férié",F22&lt;&gt;"Férié"),(AND(F22="Férié",D22&lt;&gt;"Férié"))),0.166666666666667,""))</f>
        <v/>
      </c>
      <c r="AF22" s="41"/>
      <c r="AG22" s="36"/>
    </row>
    <row r="23" customFormat="false" ht="12.75" hidden="true" customHeight="true" outlineLevel="0" collapsed="false">
      <c r="A23" s="22" t="n">
        <f aca="false">VLOOKUP(B23,Annuaire_roster!B:F,5,0)</f>
        <v>1274</v>
      </c>
      <c r="B23" s="23" t="s">
        <v>54</v>
      </c>
      <c r="C23" s="24" t="str">
        <f aca="false">IFERROR(IF(COUNTIFS(Pointage_brut!$E:$E,VLOOKUP($B23,Annuaire_roster!$B:$J,9,0),Pointage_brut!$A:$A,TEXT($Q23,"yyyymmdd")*1)=0,"",MOD(_xlfn.MINIFS(Pointage_brut!$F:$F,Pointage_brut!$E:$E,VLOOKUP($B23,Annuaire_roster!$B:$J,9,0),Pointage_brut!$A:$A,TEXT($Q23,"yyyymmdd")*1),1)),"")</f>
        <v/>
      </c>
      <c r="D23" s="25" t="n">
        <v>0.291666666666667</v>
      </c>
      <c r="E23" s="26" t="str">
        <f aca="false">IFERROR(IF(COUNTIFS(Pointage_brut!$E:$E,VLOOKUP($B23,Annuaire_roster!$B:$J,9,0),Pointage_brut!$A:$A,TEXT($Q23,"yyyymmdd")*1)=0,"",MOD(_xlfn.MAXIFS(Pointage_brut!$G:$G,Pointage_brut!$E:$E,VLOOKUP($B23,Annuaire_roster!$B:$J,9,0),Pointage_brut!$A:$A,TEXT($Q23,"yyyymmdd")*1),1)),"")</f>
        <v/>
      </c>
      <c r="F23" s="27" t="n">
        <f aca="false" t="array" ref="F23:F23">IFERROR(INDEX(Planning2[],MATCH(1,(Planning2[Nom]=B23)*(Planning2[Date]=Q23),0),4),"-")</f>
        <v>0.708333333333333</v>
      </c>
      <c r="G23" s="28"/>
      <c r="H23" s="28"/>
      <c r="I23" s="29" t="str">
        <f aca="false">IF(IF(OR(C23="",D23="Congé",D23="OFF",D23="Congé spécial"),"",IF(D23&gt;F23,D23-C23,IF(C23-D23&lt;0,0,C23-D23)))&lt;0.00068287037037037,"",IF(OR(D23="Congé",D23="OFF",C23="",D23="Congé spécial"),"",IF(D23&gt;F23,D23-C23,IF(C23-D23&lt;0,0,C23-D23))))</f>
        <v/>
      </c>
      <c r="J23" s="28"/>
      <c r="K23" s="30" t="n">
        <f aca="false">IF(SUM(H23:J23)&lt;0.00068287037037037,0,SUM(H23:J23))</f>
        <v>0</v>
      </c>
      <c r="L23" s="28" t="n">
        <f aca="false">IF(OR(F23="Congé",F23="OFF",M23="Abs",F23="Congé sans solde",F23="Férié",F23="Congé spécial",D23="Congé spécial"),0,IF(F23-E23&lt;0,0,IF(F23-E23&lt;=0.00068287037037037,0,F23-E23)))</f>
        <v>0</v>
      </c>
      <c r="M23" s="31" t="str">
        <f aca="false">IF(AND(O23&lt;&gt;0,C23=""),"Abs",0)</f>
        <v>Abs</v>
      </c>
      <c r="N23" s="32" t="str">
        <f aca="false">IFERROR(IF(OR(D23="OFF",D23="Congé",M23="Abs",D23="Congé sans solde",D23="Férié"),"",IF(O23-K23-L23&gt;O23,O23,IF(O23-K23-L23&lt;0,"",O23-K23-L23))),"")</f>
        <v/>
      </c>
      <c r="O23" s="33" t="n">
        <f aca="false">IF(AG23="2H Pause déjeuner",IF(F23-D23-0.0833333333333333&lt;0,F23-D23-0.0833333333333333+1,F23-D23-0.0833333333333333),IF(OR(AND(F23="OFF",D23="OFF"),AND(F23="Congé",D23="Congé"),AND(F23="Congé sans solde",D23="Congé sans solde"),AND(F23="Congé spécial",D23="Congé spécial"),AND(F23="Férié",D23="Férié"),AND(F23="OFF",D23="Congé"),AND(F23="OFF",D23="Congé sans solde"),AND(F23="OFF",D23="Congé spécial"),AND(F23="OFF",D23="Férié"),AND(F23="Congé",D23="OFF"),AND(F23="Congé",D23="Congé sans solde"),AND(F23="Congé",D23="Congé spécial"),AND(F23="Congé",D23="Férié"),AND(F23="Congé sans solde",D23="OFF"),AND(F23="Congé sans solde",D23="Congé"),AND(F23="Congé sans solde",D23="Congé spécial"),AND(F23="Congé sans solde",D23="Férié"),AND(F23="Congé spécial",D23="OFF"),AND(F23="Congé spécial",D23="Congé"),AND(F23="Congé spécial",D23="Congé sans solde"),AND(F23="Congé spécial",D23="Férié"),AND(F23="Férié",D23="OFF"),AND(F23="Férié",D23="Congé"),AND(F23="Férié",D23="Congé sans solde"),AND(F23="Férié",D23="Congé spécial")),0,IF(OR(F23="OFF",F23="Congé",F23="Congé spécial",F23="Congé sans solde",D23="OFF",D23="Congé",D23="Congé spécial",D23="Congé sans solde"),0.208333333333334,IF(AND(AG23="",F23-D23&lt;0),("24:00:00"-D23)+("00:00:00"+F23)-0.0416666666666667,IF(AND(OR(AG23="Allaitement",AG23="Sans déjeuner"),F23-D23&lt;0),("24:00:00"-D23)+("00:00:00"+F23),IF(AND(AG23="",F23-D23&gt;0.166666666666667),F23-D23-0.0416666666666667,IF(AND(OR(AG23="Allaitement",AG23="Sans déjeuner"),F23-D23&gt;0.166666666666667),F23-D23,F23-D23)))))))</f>
        <v>0.375</v>
      </c>
      <c r="P23" s="34" t="str">
        <f aca="false">IFERROR(VLOOKUP($B23,Annuaire_roster!$B:$G,MATCH(P$1,Annuaire_roster!$B$1:$G$1,0),0),"-")</f>
        <v>Google Leads</v>
      </c>
      <c r="Q23" s="35" t="n">
        <v>44717</v>
      </c>
      <c r="R23" s="36" t="n">
        <f aca="false">IF(M23="Abs",O23,0)</f>
        <v>0.375</v>
      </c>
      <c r="S23" s="36" t="n">
        <f aca="false">SUM(R23,L23,I23,J23,W23,H23)</f>
        <v>0.375</v>
      </c>
      <c r="T23" s="1" t="str">
        <f aca="false">"Sem - "&amp;WEEKNUM(Q23,21)</f>
        <v>Sem - 23</v>
      </c>
      <c r="U23" s="1" t="str">
        <f aca="false">PROPER(TEXT(Q23,"mmmm"))</f>
        <v>June</v>
      </c>
      <c r="V23" s="37" t="str">
        <f aca="false">+TEXT(Q23,"aaa")</f>
        <v>Sat</v>
      </c>
      <c r="W23" s="32"/>
      <c r="X23" s="38" t="n">
        <f aca="false">IFERROR(IF(M23="Abs",0,IF((D23-C23+E23-F23)&lt;0.000694444444444444,0,(D23-C23+E23-F23))),0)</f>
        <v>0</v>
      </c>
      <c r="Y23" s="39" t="str">
        <f aca="false">IFERROR(VLOOKUP(B23,Annuaire_roster!B:E,4,0),"-")</f>
        <v>OUAQERROUCH Nour-El Houda</v>
      </c>
      <c r="Z23" s="39" t="str">
        <f aca="false">IFERROR(VLOOKUP(B23,Annuaire_roster!B:F,3,0),"-")</f>
        <v>Google Leads</v>
      </c>
      <c r="AA23" s="39" t="str">
        <f aca="false">IFERROR(VLOOKUP(B23,Annuaire_roster!B:I,6,0),"-")</f>
        <v>Forfaitaire</v>
      </c>
      <c r="AB23" s="40" t="str">
        <f aca="false">IF(AND(D23="Congé",F23="Congé"),0.333333333333333,IF(OR(AND(D23="Congé",F23&lt;&gt;"Congé"),(AND(F23="Congé",D23&lt;&gt;"Congé"))),0.166666666666667,""))</f>
        <v/>
      </c>
      <c r="AC23" s="40" t="str">
        <f aca="false">IF(AND(D23="Congé sans solde",F23="Congé sans solde"),0.333333333333333,IF(OR(AND(D23="Congé sans solde",F23&lt;&gt;"Congé sans solde"),(AND(F23="Congé sans solde",D23&lt;&gt;"Congé sans solde"))),0.166666666666667,""))</f>
        <v/>
      </c>
      <c r="AD23" s="40" t="str">
        <f aca="false">IF(AND(D23="Congé spécial",F23="Congé spécial"),0.333333333333333,IF(OR(AND(D23="Congé spécial",F23&lt;&gt;"Congé décès"),(AND(F23="Congé spécial",D23&lt;&gt;"Congé spécial"))),0.166666666666667,""))</f>
        <v/>
      </c>
      <c r="AE23" s="41" t="str">
        <f aca="false">IF(AND(D23="Férié",F23="Férié"),0.333333333333333,IF(OR(AND(D23="Férié",F23&lt;&gt;"Férié"),(AND(F23="Férié",D23&lt;&gt;"Férié"))),0.166666666666667,""))</f>
        <v/>
      </c>
      <c r="AF23" s="41"/>
      <c r="AG23" s="36"/>
    </row>
    <row r="24" customFormat="false" ht="12.75" hidden="true" customHeight="true" outlineLevel="0" collapsed="false">
      <c r="A24" s="22" t="n">
        <f aca="false">VLOOKUP(B24,Annuaire_roster!B:F,5,0)</f>
        <v>1167</v>
      </c>
      <c r="B24" s="52" t="s">
        <v>55</v>
      </c>
      <c r="C24" s="24" t="str">
        <f aca="false">IFERROR(IF(COUNTIFS(Pointage_brut!$E:$E,VLOOKUP($B24,Annuaire_roster!$B:$J,9,0),Pointage_brut!$A:$A,TEXT($Q24,"yyyymmdd")*1)=0,"",MOD(_xlfn.MINIFS(Pointage_brut!$F:$F,Pointage_brut!$E:$E,VLOOKUP($B24,Annuaire_roster!$B:$J,9,0),Pointage_brut!$A:$A,TEXT($Q24,"yyyymmdd")*1),1)),"")</f>
        <v/>
      </c>
      <c r="D24" s="25" t="n">
        <v>0.291666666666667</v>
      </c>
      <c r="E24" s="26" t="str">
        <f aca="false">IFERROR(IF(COUNTIFS(Pointage_brut!$E:$E,VLOOKUP($B24,Annuaire_roster!$B:$J,9,0),Pointage_brut!$A:$A,TEXT($Q24,"yyyymmdd")*1)=0,"",MOD(_xlfn.MAXIFS(Pointage_brut!$G:$G,Pointage_brut!$E:$E,VLOOKUP($B24,Annuaire_roster!$B:$J,9,0),Pointage_brut!$A:$A,TEXT($Q24,"yyyymmdd")*1),1)),"")</f>
        <v/>
      </c>
      <c r="F24" s="27" t="n">
        <f aca="false" t="array" ref="F24:F24">IFERROR(INDEX(Planning2[],MATCH(1,(Planning2[Nom]=B24)*(Planning2[Date]=Q24),0),4),"-")</f>
        <v>0.708333333333333</v>
      </c>
      <c r="G24" s="28"/>
      <c r="H24" s="28"/>
      <c r="I24" s="29" t="str">
        <f aca="false">IF(IF(OR(C24="",D24="Congé",D24="OFF",D24="Congé spécial"),"",IF(D24&gt;F24,D24-C24,IF(C24-D24&lt;0,0,C24-D24)))&lt;0.00068287037037037,"",IF(OR(D24="Congé",D24="OFF",C24="",D24="Congé spécial"),"",IF(D24&gt;F24,D24-C24,IF(C24-D24&lt;0,0,C24-D24))))</f>
        <v/>
      </c>
      <c r="J24" s="28"/>
      <c r="K24" s="30" t="n">
        <f aca="false">IF(SUM(H24:J24)&lt;0.00068287037037037,0,SUM(H24:J24))</f>
        <v>0</v>
      </c>
      <c r="L24" s="28" t="n">
        <f aca="false">IF(OR(F24="Congé",F24="OFF",M24="Abs",F24="Congé sans solde",F24="Férié",F24="Congé spécial",D24="Congé spécial"),0,IF(F24-E24&lt;0,0,IF(F24-E24&lt;=0.00068287037037037,0,F24-E24)))</f>
        <v>0</v>
      </c>
      <c r="M24" s="31" t="str">
        <f aca="false">IF(AND(O24&lt;&gt;0,C24=""),"Abs",0)</f>
        <v>Abs</v>
      </c>
      <c r="N24" s="32" t="str">
        <f aca="false">IFERROR(IF(OR(D24="OFF",D24="Congé",M24="Abs",D24="Congé sans solde",D24="Férié"),"",IF(O24-K24-L24&gt;O24,O24,IF(O24-K24-L24&lt;0,"",O24-K24-L24))),"")</f>
        <v/>
      </c>
      <c r="O24" s="33" t="n">
        <f aca="false">IF(AG24="2H Pause déjeuner",IF(F24-D24-0.0833333333333333&lt;0,F24-D24-0.0833333333333333+1,F24-D24-0.0833333333333333),IF(OR(AND(F24="OFF",D24="OFF"),AND(F24="Congé",D24="Congé"),AND(F24="Congé sans solde",D24="Congé sans solde"),AND(F24="Congé spécial",D24="Congé spécial"),AND(F24="Férié",D24="Férié"),AND(F24="OFF",D24="Congé"),AND(F24="OFF",D24="Congé sans solde"),AND(F24="OFF",D24="Congé spécial"),AND(F24="OFF",D24="Férié"),AND(F24="Congé",D24="OFF"),AND(F24="Congé",D24="Congé sans solde"),AND(F24="Congé",D24="Congé spécial"),AND(F24="Congé",D24="Férié"),AND(F24="Congé sans solde",D24="OFF"),AND(F24="Congé sans solde",D24="Congé"),AND(F24="Congé sans solde",D24="Congé spécial"),AND(F24="Congé sans solde",D24="Férié"),AND(F24="Congé spécial",D24="OFF"),AND(F24="Congé spécial",D24="Congé"),AND(F24="Congé spécial",D24="Congé sans solde"),AND(F24="Congé spécial",D24="Férié"),AND(F24="Férié",D24="OFF"),AND(F24="Férié",D24="Congé"),AND(F24="Férié",D24="Congé sans solde"),AND(F24="Férié",D24="Congé spécial")),0,IF(OR(F24="OFF",F24="Congé",F24="Congé spécial",F24="Congé sans solde",D24="OFF",D24="Congé",D24="Congé spécial",D24="Congé sans solde"),0.208333333333334,IF(AND(AG24="",F24-D24&lt;0),("24:00:00"-D24)+("00:00:00"+F24)-0.0416666666666667,IF(AND(OR(AG24="Allaitement",AG24="Sans déjeuner"),F24-D24&lt;0),("24:00:00"-D24)+("00:00:00"+F24),IF(AND(AG24="",F24-D24&gt;0.166666666666667),F24-D24-0.0416666666666667,IF(AND(OR(AG24="Allaitement",AG24="Sans déjeuner"),F24-D24&gt;0.166666666666667),F24-D24,F24-D24)))))))</f>
        <v>0.375</v>
      </c>
      <c r="P24" s="34" t="str">
        <f aca="false">IFERROR(VLOOKUP($B24,Annuaire_roster!$B:$G,MATCH(P$1,Annuaire_roster!$B$1:$G$1,0),0),"-")</f>
        <v>Google Leads</v>
      </c>
      <c r="Q24" s="35" t="n">
        <v>44717</v>
      </c>
      <c r="R24" s="36" t="n">
        <f aca="false">IF(M24="Abs",O24,0)</f>
        <v>0.375</v>
      </c>
      <c r="S24" s="36" t="n">
        <f aca="false">SUM(R24,L24,I24,J24,W24,H24)</f>
        <v>0.375</v>
      </c>
      <c r="T24" s="1" t="str">
        <f aca="false">"Sem - "&amp;WEEKNUM(Q24,21)</f>
        <v>Sem - 23</v>
      </c>
      <c r="U24" s="1" t="str">
        <f aca="false">PROPER(TEXT(Q24,"mmmm"))</f>
        <v>June</v>
      </c>
      <c r="V24" s="37" t="str">
        <f aca="false">+TEXT(Q24,"aaa")</f>
        <v>Sat</v>
      </c>
      <c r="W24" s="32"/>
      <c r="X24" s="38" t="n">
        <f aca="false">IFERROR(IF(M24="Abs",0,IF((D24-C24+E24-F24)&lt;0.000694444444444444,0,(D24-C24+E24-F24))),0)</f>
        <v>0</v>
      </c>
      <c r="Y24" s="39" t="str">
        <f aca="false">IFERROR(VLOOKUP(B24,Annuaire_roster!B:E,4,0),"-")</f>
        <v>OUAQERROUCH Nour-El Houda</v>
      </c>
      <c r="Z24" s="39" t="str">
        <f aca="false">IFERROR(VLOOKUP(B24,Annuaire_roster!B:F,3,0),"-")</f>
        <v>Google Leads</v>
      </c>
      <c r="AA24" s="39" t="str">
        <f aca="false">IFERROR(VLOOKUP(B24,Annuaire_roster!B:I,6,0),"-")</f>
        <v>Forfaitaire</v>
      </c>
      <c r="AB24" s="40" t="str">
        <f aca="false">IF(AND(D24="Congé",F24="Congé"),0.333333333333333,IF(OR(AND(D24="Congé",F24&lt;&gt;"Congé"),(AND(F24="Congé",D24&lt;&gt;"Congé"))),0.166666666666667,""))</f>
        <v/>
      </c>
      <c r="AC24" s="40" t="str">
        <f aca="false">IF(AND(D24="Congé sans solde",F24="Congé sans solde"),0.333333333333333,IF(OR(AND(D24="Congé sans solde",F24&lt;&gt;"Congé sans solde"),(AND(F24="Congé sans solde",D24&lt;&gt;"Congé sans solde"))),0.166666666666667,""))</f>
        <v/>
      </c>
      <c r="AD24" s="40" t="str">
        <f aca="false">IF(AND(D24="Congé spécial",F24="Congé spécial"),0.333333333333333,IF(OR(AND(D24="Congé spécial",F24&lt;&gt;"Congé décès"),(AND(F24="Congé spécial",D24&lt;&gt;"Congé spécial"))),0.166666666666667,""))</f>
        <v/>
      </c>
      <c r="AE24" s="41" t="str">
        <f aca="false">IF(AND(D24="Férié",F24="Férié"),0.333333333333333,IF(OR(AND(D24="Férié",F24&lt;&gt;"Férié"),(AND(F24="Férié",D24&lt;&gt;"Férié"))),0.166666666666667,""))</f>
        <v/>
      </c>
      <c r="AF24" s="41"/>
      <c r="AG24" s="40"/>
    </row>
    <row r="25" customFormat="false" ht="12.75" hidden="true" customHeight="true" outlineLevel="0" collapsed="false">
      <c r="A25" s="22" t="n">
        <f aca="false">VLOOKUP(B25,Annuaire_roster!B:F,5,0)</f>
        <v>397</v>
      </c>
      <c r="B25" s="23" t="s">
        <v>56</v>
      </c>
      <c r="C25" s="24" t="str">
        <f aca="false">IFERROR(IF(COUNTIFS(Pointage_brut!$E:$E,VLOOKUP($B25,Annuaire_roster!$B:$J,9,0),Pointage_brut!$A:$A,TEXT($Q25,"yyyymmdd")*1)=0,"",MOD(_xlfn.MINIFS(Pointage_brut!$F:$F,Pointage_brut!$E:$E,VLOOKUP($B25,Annuaire_roster!$B:$J,9,0),Pointage_brut!$A:$A,TEXT($Q25,"yyyymmdd")*1),1)),"")</f>
        <v/>
      </c>
      <c r="D25" s="25" t="str">
        <f aca="false" t="array" ref="D25:D25">IFERROR(INDEX(Planning2[],MATCH(1,(Planning2[Nom]=B25)*(Planning2[Date]=Q25),0),3),"-")</f>
        <v>Congé</v>
      </c>
      <c r="E25" s="26" t="str">
        <f aca="false">IFERROR(IF(COUNTIFS(Pointage_brut!$E:$E,VLOOKUP($B25,Annuaire_roster!$B:$J,9,0),Pointage_brut!$A:$A,TEXT($Q25,"yyyymmdd")*1)=0,"",MOD(_xlfn.MAXIFS(Pointage_brut!$G:$G,Pointage_brut!$E:$E,VLOOKUP($B25,Annuaire_roster!$B:$J,9,0),Pointage_brut!$A:$A,TEXT($Q25,"yyyymmdd")*1),1)),"")</f>
        <v/>
      </c>
      <c r="F25" s="27" t="str">
        <f aca="false" t="array" ref="F25:F25">IFERROR(INDEX(Planning2[],MATCH(1,(Planning2[Nom]=B25)*(Planning2[Date]=Q25),0),4),"-")</f>
        <v>Congé</v>
      </c>
      <c r="G25" s="28"/>
      <c r="H25" s="28"/>
      <c r="I25" s="29" t="str">
        <f aca="false">IF(IF(OR(C25="",D25="Congé",D25="OFF",D25="Congé spécial"),"",IF(D25&gt;F25,D25-C25,IF(C25-D25&lt;0,0,C25-D25)))&lt;0.00068287037037037,"",IF(OR(D25="Congé",D25="OFF",C25="",D25="Congé spécial"),"",IF(D25&gt;F25,D25-C25,IF(C25-D25&lt;0,0,C25-D25))))</f>
        <v/>
      </c>
      <c r="J25" s="28"/>
      <c r="K25" s="30" t="n">
        <f aca="false">IF(SUM(H25:J25)&lt;0.00068287037037037,0,SUM(H25:J25))</f>
        <v>0</v>
      </c>
      <c r="L25" s="28" t="n">
        <f aca="false">IF(OR(F25="Congé",F25="OFF",M25="Abs",F25="Congé sans solde",F25="Férié",F25="Congé spécial",D25="Congé spécial"),0,IF(F25-E25&lt;0,0,IF(F25-E25&lt;=0.00068287037037037,0,F25-E25)))</f>
        <v>0</v>
      </c>
      <c r="M25" s="31" t="n">
        <f aca="false">IF(AND(O25&lt;&gt;0,C25=""),"Abs",0)</f>
        <v>0</v>
      </c>
      <c r="N25" s="32" t="str">
        <f aca="false">IFERROR(IF(OR(D25="OFF",D25="Congé",M25="Abs",D25="Congé sans solde",D25="Férié"),"",IF(O25-K25-L25&gt;O25,O25,IF(O25-K25-L25&lt;0,"",O25-K25-L25))),"")</f>
        <v/>
      </c>
      <c r="O25" s="33" t="n">
        <f aca="false">IF(AG25="2H Pause déjeuner",IF(F25-D25-0.0833333333333333&lt;0,F25-D25-0.0833333333333333+1,F25-D25-0.0833333333333333),IF(OR(AND(F25="OFF",D25="OFF"),AND(F25="Congé",D25="Congé"),AND(F25="Congé sans solde",D25="Congé sans solde"),AND(F25="Congé spécial",D25="Congé spécial"),AND(F25="Férié",D25="Férié"),AND(F25="OFF",D25="Congé"),AND(F25="OFF",D25="Congé sans solde"),AND(F25="OFF",D25="Congé spécial"),AND(F25="OFF",D25="Férié"),AND(F25="Congé",D25="OFF"),AND(F25="Congé",D25="Congé sans solde"),AND(F25="Congé",D25="Congé spécial"),AND(F25="Congé",D25="Férié"),AND(F25="Congé sans solde",D25="OFF"),AND(F25="Congé sans solde",D25="Congé"),AND(F25="Congé sans solde",D25="Congé spécial"),AND(F25="Congé sans solde",D25="Férié"),AND(F25="Congé spécial",D25="OFF"),AND(F25="Congé spécial",D25="Congé"),AND(F25="Congé spécial",D25="Congé sans solde"),AND(F25="Congé spécial",D25="Férié"),AND(F25="Férié",D25="OFF"),AND(F25="Férié",D25="Congé"),AND(F25="Férié",D25="Congé sans solde"),AND(F25="Férié",D25="Congé spécial")),0,IF(OR(F25="OFF",F25="Congé",F25="Congé spécial",F25="Congé sans solde",D25="OFF",D25="Congé",D25="Congé spécial",D25="Congé sans solde"),0.208333333333334,IF(AND(AG25="",F25-D25&lt;0),("24:00:00"-D25)+("00:00:00"+F25)-0.0416666666666667,IF(AND(OR(AG25="Allaitement",AG25="Sans déjeuner"),F25-D25&lt;0),("24:00:00"-D25)+("00:00:00"+F25),IF(AND(AG25="",F25-D25&gt;0.166666666666667),F25-D25-0.0416666666666667,IF(AND(OR(AG25="Allaitement",AG25="Sans déjeuner"),F25-D25&gt;0.166666666666667),F25-D25,F25-D25)))))))</f>
        <v>0</v>
      </c>
      <c r="P25" s="34" t="str">
        <f aca="false">IFERROR(VLOOKUP($B25,Annuaire_roster!$B:$G,MATCH(P$1,Annuaire_roster!$B$1:$G$1,0),0),"-")</f>
        <v>Google Leads</v>
      </c>
      <c r="Q25" s="35" t="n">
        <v>44717</v>
      </c>
      <c r="R25" s="36" t="n">
        <f aca="false">IF(M25="Abs",O25,0)</f>
        <v>0</v>
      </c>
      <c r="S25" s="36" t="n">
        <f aca="false">SUM(R25,L25,I25,J25,W25,H25)</f>
        <v>0</v>
      </c>
      <c r="T25" s="1" t="str">
        <f aca="false">"Sem - "&amp;WEEKNUM(Q25,21)</f>
        <v>Sem - 23</v>
      </c>
      <c r="U25" s="1" t="str">
        <f aca="false">PROPER(TEXT(Q25,"mmmm"))</f>
        <v>June</v>
      </c>
      <c r="V25" s="37" t="str">
        <f aca="false">+TEXT(Q25,"aaa")</f>
        <v>Sat</v>
      </c>
      <c r="W25" s="32"/>
      <c r="X25" s="38" t="n">
        <f aca="false">IFERROR(IF(M25="Abs",0,IF((D25-C25+E25-F25)&lt;0.000694444444444444,0,(D25-C25+E25-F25))),0)</f>
        <v>0</v>
      </c>
      <c r="Y25" s="39" t="str">
        <f aca="false">IFERROR(VLOOKUP(B25,Annuaire_roster!B:E,4,0),"-")</f>
        <v>OUAQERROUCH Nour-El Houda</v>
      </c>
      <c r="Z25" s="39" t="str">
        <f aca="false">IFERROR(VLOOKUP(B25,Annuaire_roster!B:F,3,0),"-")</f>
        <v>Google Leads</v>
      </c>
      <c r="AA25" s="39" t="str">
        <f aca="false">IFERROR(VLOOKUP(B25,Annuaire_roster!B:I,6,0),"-")</f>
        <v>Forfaitaire</v>
      </c>
      <c r="AB25" s="40" t="n">
        <f aca="false">IF(AND(D25="Congé",F25="Congé"),0.333333333333333,IF(OR(AND(D25="Congé",F25&lt;&gt;"Congé"),(AND(F25="Congé",D25&lt;&gt;"Congé"))),0.166666666666667,""))</f>
        <v>0.333333333333333</v>
      </c>
      <c r="AC25" s="40" t="str">
        <f aca="false">IF(AND(D25="Congé sans solde",F25="Congé sans solde"),0.333333333333333,IF(OR(AND(D25="Congé sans solde",F25&lt;&gt;"Congé sans solde"),(AND(F25="Congé sans solde",D25&lt;&gt;"Congé sans solde"))),0.166666666666667,""))</f>
        <v/>
      </c>
      <c r="AD25" s="40" t="str">
        <f aca="false">IF(AND(D25="Congé spécial",F25="Congé spécial"),0.333333333333333,IF(OR(AND(D25="Congé spécial",F25&lt;&gt;"Congé décès"),(AND(F25="Congé spécial",D25&lt;&gt;"Congé spécial"))),0.166666666666667,""))</f>
        <v/>
      </c>
      <c r="AE25" s="41" t="str">
        <f aca="false">IF(AND(D25="Férié",F25="Férié"),0.333333333333333,IF(OR(AND(D25="Férié",F25&lt;&gt;"Férié"),(AND(F25="Férié",D25&lt;&gt;"Férié"))),0.166666666666667,""))</f>
        <v/>
      </c>
      <c r="AF25" s="41"/>
      <c r="AG25" s="36"/>
    </row>
    <row r="26" customFormat="false" ht="12.75" hidden="true" customHeight="true" outlineLevel="0" collapsed="false">
      <c r="A26" s="22" t="n">
        <f aca="false">VLOOKUP(B26,Annuaire_roster!B:F,5,0)</f>
        <v>894</v>
      </c>
      <c r="B26" s="23" t="s">
        <v>57</v>
      </c>
      <c r="C26" s="24" t="str">
        <f aca="false">IFERROR(IF(COUNTIFS(Pointage_brut!$E:$E,VLOOKUP($B26,Annuaire_roster!$B:$J,9,0),Pointage_brut!$A:$A,TEXT($Q26,"yyyymmdd")*1)=0,"",MOD(_xlfn.MINIFS(Pointage_brut!$F:$F,Pointage_brut!$E:$E,VLOOKUP($B26,Annuaire_roster!$B:$J,9,0),Pointage_brut!$A:$A,TEXT($Q26,"yyyymmdd")*1),1)),"")</f>
        <v/>
      </c>
      <c r="D26" s="25" t="n">
        <v>0.333333333333333</v>
      </c>
      <c r="E26" s="26" t="str">
        <f aca="false">IFERROR(IF(COUNTIFS(Pointage_brut!$E:$E,VLOOKUP($B26,Annuaire_roster!$B:$J,9,0),Pointage_brut!$A:$A,TEXT($Q26,"yyyymmdd")*1)=0,"",MOD(_xlfn.MAXIFS(Pointage_brut!$G:$G,Pointage_brut!$E:$E,VLOOKUP($B26,Annuaire_roster!$B:$J,9,0),Pointage_brut!$A:$A,TEXT($Q26,"yyyymmdd")*1),1)),"")</f>
        <v/>
      </c>
      <c r="F26" s="27" t="n">
        <v>0.708333333333333</v>
      </c>
      <c r="G26" s="28"/>
      <c r="H26" s="28"/>
      <c r="I26" s="29" t="str">
        <f aca="false">IF(IF(OR(C26="",D26="Congé",D26="OFF",D26="Congé spécial"),"",IF(D26&gt;F26,D26-C26,IF(C26-D26&lt;0,0,C26-D26)))&lt;0.00068287037037037,"",IF(OR(D26="Congé",D26="OFF",C26="",D26="Congé spécial"),"",IF(D26&gt;F26,D26-C26,IF(C26-D26&lt;0,0,C26-D26))))</f>
        <v/>
      </c>
      <c r="J26" s="28"/>
      <c r="K26" s="30" t="n">
        <f aca="false">IF(SUM(H26:J26)&lt;0.00068287037037037,0,SUM(H26:J26))</f>
        <v>0</v>
      </c>
      <c r="L26" s="28" t="n">
        <f aca="false">IF(OR(F26="Congé",F26="OFF",M26="Abs",F26="Congé sans solde",F26="Férié",F26="Congé spécial",D26="Congé spécial"),0,IF(F26-E26&lt;0,0,IF(F26-E26&lt;=0.00068287037037037,0,F26-E26)))</f>
        <v>0</v>
      </c>
      <c r="M26" s="31" t="str">
        <f aca="false">IF(AND(O26&lt;&gt;0,C26=""),"Abs",0)</f>
        <v>Abs</v>
      </c>
      <c r="N26" s="32" t="str">
        <f aca="false">IFERROR(IF(OR(D26="OFF",D26="Congé",M26="Abs",D26="Congé sans solde",D26="Férié"),"",IF(O26-K26-L26&gt;O26,O26,IF(O26-K26-L26&lt;0,"",O26-K26-L26))),"")</f>
        <v/>
      </c>
      <c r="O26" s="33" t="n">
        <f aca="false">IF(AG26="2H Pause déjeuner",IF(F26-D26-0.0833333333333333&lt;0,F26-D26-0.0833333333333333+1,F26-D26-0.0833333333333333),IF(OR(AND(F26="OFF",D26="OFF"),AND(F26="Congé",D26="Congé"),AND(F26="Congé sans solde",D26="Congé sans solde"),AND(F26="Congé spécial",D26="Congé spécial"),AND(F26="Férié",D26="Férié"),AND(F26="OFF",D26="Congé"),AND(F26="OFF",D26="Congé sans solde"),AND(F26="OFF",D26="Congé spécial"),AND(F26="OFF",D26="Férié"),AND(F26="Congé",D26="OFF"),AND(F26="Congé",D26="Congé sans solde"),AND(F26="Congé",D26="Congé spécial"),AND(F26="Congé",D26="Férié"),AND(F26="Congé sans solde",D26="OFF"),AND(F26="Congé sans solde",D26="Congé"),AND(F26="Congé sans solde",D26="Congé spécial"),AND(F26="Congé sans solde",D26="Férié"),AND(F26="Congé spécial",D26="OFF"),AND(F26="Congé spécial",D26="Congé"),AND(F26="Congé spécial",D26="Congé sans solde"),AND(F26="Congé spécial",D26="Férié"),AND(F26="Férié",D26="OFF"),AND(F26="Férié",D26="Congé"),AND(F26="Férié",D26="Congé sans solde"),AND(F26="Férié",D26="Congé spécial")),0,IF(OR(F26="OFF",F26="Congé",F26="Congé spécial",F26="Congé sans solde",D26="OFF",D26="Congé",D26="Congé spécial",D26="Congé sans solde"),0.208333333333334,IF(AND(AG26="",F26-D26&lt;0),("24:00:00"-D26)+("00:00:00"+F26)-0.0416666666666667,IF(AND(OR(AG26="Allaitement",AG26="Sans déjeuner"),F26-D26&lt;0),("24:00:00"-D26)+("00:00:00"+F26),IF(AND(AG26="",F26-D26&gt;0.166666666666667),F26-D26-0.0416666666666667,IF(AND(OR(AG26="Allaitement",AG26="Sans déjeuner"),F26-D26&gt;0.166666666666667),F26-D26,F26-D26)))))))</f>
        <v>0.333333333333333</v>
      </c>
      <c r="P26" s="34" t="str">
        <f aca="false">IFERROR(VLOOKUP($B26,Annuaire_roster!$B:$G,MATCH(P$1,Annuaire_roster!$B$1:$G$1,0),0),"-")</f>
        <v>Google Leads</v>
      </c>
      <c r="Q26" s="35" t="n">
        <v>44717</v>
      </c>
      <c r="R26" s="36" t="n">
        <f aca="false">IF(M26="Abs",O26,0)</f>
        <v>0.333333333333333</v>
      </c>
      <c r="S26" s="36" t="n">
        <f aca="false">SUM(R26,L26,I26,J26,W26,H26)</f>
        <v>0.333333333333333</v>
      </c>
      <c r="T26" s="1" t="str">
        <f aca="false">"Sem - "&amp;WEEKNUM(Q26,21)</f>
        <v>Sem - 23</v>
      </c>
      <c r="U26" s="1" t="str">
        <f aca="false">PROPER(TEXT(Q26,"mmmm"))</f>
        <v>June</v>
      </c>
      <c r="V26" s="37" t="str">
        <f aca="false">+TEXT(Q26,"aaa")</f>
        <v>Sat</v>
      </c>
      <c r="W26" s="32"/>
      <c r="X26" s="38" t="n">
        <f aca="false">IFERROR(IF(M26="Abs",0,IF((D26-C26+E26-F26)&lt;0.000694444444444444,0,(D26-C26+E26-F26))),0)</f>
        <v>0</v>
      </c>
      <c r="Y26" s="39" t="str">
        <f aca="false">IFERROR(VLOOKUP(B26,Annuaire_roster!B:E,4,0),"-")</f>
        <v>OUAQERROUCH Nour-El Houda</v>
      </c>
      <c r="Z26" s="39" t="str">
        <f aca="false">IFERROR(VLOOKUP(B26,Annuaire_roster!B:F,3,0),"-")</f>
        <v>Google Leads</v>
      </c>
      <c r="AA26" s="39" t="str">
        <f aca="false">IFERROR(VLOOKUP(B26,Annuaire_roster!B:I,6,0),"-")</f>
        <v>Forfaitaire</v>
      </c>
      <c r="AB26" s="40" t="str">
        <f aca="false">IF(AND(D26="Congé",F26="Congé"),0.333333333333333,IF(OR(AND(D26="Congé",F26&lt;&gt;"Congé"),(AND(F26="Congé",D26&lt;&gt;"Congé"))),0.166666666666667,""))</f>
        <v/>
      </c>
      <c r="AC26" s="40" t="str">
        <f aca="false">IF(AND(D26="Congé sans solde",F26="Congé sans solde"),0.333333333333333,IF(OR(AND(D26="Congé sans solde",F26&lt;&gt;"Congé sans solde"),(AND(F26="Congé sans solde",D26&lt;&gt;"Congé sans solde"))),0.166666666666667,""))</f>
        <v/>
      </c>
      <c r="AD26" s="40" t="str">
        <f aca="false">IF(AND(D26="Congé spécial",F26="Congé spécial"),0.333333333333333,IF(OR(AND(D26="Congé spécial",F26&lt;&gt;"Congé décès"),(AND(F26="Congé spécial",D26&lt;&gt;"Congé spécial"))),0.166666666666667,""))</f>
        <v/>
      </c>
      <c r="AE26" s="41" t="str">
        <f aca="false">IF(AND(D26="Férié",F26="Férié"),0.333333333333333,IF(OR(AND(D26="Férié",F26&lt;&gt;"Férié"),(AND(F26="Férié",D26&lt;&gt;"Férié"))),0.166666666666667,""))</f>
        <v/>
      </c>
      <c r="AF26" s="41"/>
      <c r="AG26" s="36"/>
    </row>
    <row r="27" customFormat="false" ht="12.75" hidden="true" customHeight="true" outlineLevel="0" collapsed="false">
      <c r="A27" s="22" t="n">
        <f aca="false">VLOOKUP(B27,Annuaire_roster!B:F,5,0)</f>
        <v>971</v>
      </c>
      <c r="B27" s="23" t="s">
        <v>58</v>
      </c>
      <c r="C27" s="24" t="str">
        <f aca="false">IFERROR(IF(COUNTIFS(Pointage_brut!$E:$E,VLOOKUP($B27,Annuaire_roster!$B:$J,9,0),Pointage_brut!$A:$A,TEXT($Q27,"yyyymmdd")*1)=0,"",MOD(_xlfn.MINIFS(Pointage_brut!$F:$F,Pointage_brut!$E:$E,VLOOKUP($B27,Annuaire_roster!$B:$J,9,0),Pointage_brut!$A:$A,TEXT($Q27,"yyyymmdd")*1),1)),"")</f>
        <v/>
      </c>
      <c r="D27" s="25" t="str">
        <f aca="false" t="array" ref="D27:D27">IFERROR(INDEX(Planning2[],MATCH(1,(Planning2[Nom]=B27)*(Planning2[Date]=Q27),0),3),"-")</f>
        <v>OFF</v>
      </c>
      <c r="E27" s="26" t="str">
        <f aca="false">IFERROR(IF(COUNTIFS(Pointage_brut!$E:$E,VLOOKUP($B27,Annuaire_roster!$B:$J,9,0),Pointage_brut!$A:$A,TEXT($Q27,"yyyymmdd")*1)=0,"",MOD(_xlfn.MAXIFS(Pointage_brut!$G:$G,Pointage_brut!$E:$E,VLOOKUP($B27,Annuaire_roster!$B:$J,9,0),Pointage_brut!$A:$A,TEXT($Q27,"yyyymmdd")*1),1)),"")</f>
        <v/>
      </c>
      <c r="F27" s="27" t="str">
        <f aca="false" t="array" ref="F27:F27">IFERROR(INDEX(Planning2[],MATCH(1,(Planning2[Nom]=B27)*(Planning2[Date]=Q27),0),4),"-")</f>
        <v>OFF</v>
      </c>
      <c r="G27" s="28"/>
      <c r="H27" s="28"/>
      <c r="I27" s="29" t="str">
        <f aca="false">IF(IF(OR(C27="",D27="Congé",D27="OFF",D27="Congé spécial"),"",IF(D27&gt;F27,D27-C27,IF(C27-D27&lt;0,0,C27-D27)))&lt;0.00068287037037037,"",IF(OR(D27="Congé",D27="OFF",C27="",D27="Congé spécial"),"",IF(D27&gt;F27,D27-C27,IF(C27-D27&lt;0,0,C27-D27))))</f>
        <v/>
      </c>
      <c r="J27" s="28"/>
      <c r="K27" s="30" t="n">
        <f aca="false">IF(SUM(H27:J27)&lt;0.00068287037037037,0,SUM(H27:J27))</f>
        <v>0</v>
      </c>
      <c r="L27" s="28" t="n">
        <f aca="false">IF(OR(F27="Congé",F27="OFF",M27="Abs",F27="Congé sans solde",F27="Férié",F27="Congé spécial",D27="Congé spécial"),0,IF(F27-E27&lt;0,0,IF(F27-E27&lt;=0.00068287037037037,0,F27-E27)))</f>
        <v>0</v>
      </c>
      <c r="M27" s="31" t="n">
        <f aca="false">IF(AND(O27&lt;&gt;0,C27=""),"Abs",0)</f>
        <v>0</v>
      </c>
      <c r="N27" s="32" t="str">
        <f aca="false">IFERROR(IF(OR(D27="OFF",D27="Congé",M27="Abs",D27="Congé sans solde",D27="Férié"),"",IF(O27-K27-L27&gt;O27,O27,IF(O27-K27-L27&lt;0,"",O27-K27-L27))),"")</f>
        <v/>
      </c>
      <c r="O27" s="33" t="n">
        <f aca="false">IF(AG27="2H Pause déjeuner",IF(F27-D27-0.0833333333333333&lt;0,F27-D27-0.0833333333333333+1,F27-D27-0.0833333333333333),IF(OR(AND(F27="OFF",D27="OFF"),AND(F27="Congé",D27="Congé"),AND(F27="Congé sans solde",D27="Congé sans solde"),AND(F27="Congé spécial",D27="Congé spécial"),AND(F27="Férié",D27="Férié"),AND(F27="OFF",D27="Congé"),AND(F27="OFF",D27="Congé sans solde"),AND(F27="OFF",D27="Congé spécial"),AND(F27="OFF",D27="Férié"),AND(F27="Congé",D27="OFF"),AND(F27="Congé",D27="Congé sans solde"),AND(F27="Congé",D27="Congé spécial"),AND(F27="Congé",D27="Férié"),AND(F27="Congé sans solde",D27="OFF"),AND(F27="Congé sans solde",D27="Congé"),AND(F27="Congé sans solde",D27="Congé spécial"),AND(F27="Congé sans solde",D27="Férié"),AND(F27="Congé spécial",D27="OFF"),AND(F27="Congé spécial",D27="Congé"),AND(F27="Congé spécial",D27="Congé sans solde"),AND(F27="Congé spécial",D27="Férié"),AND(F27="Férié",D27="OFF"),AND(F27="Férié",D27="Congé"),AND(F27="Férié",D27="Congé sans solde"),AND(F27="Férié",D27="Congé spécial")),0,IF(OR(F27="OFF",F27="Congé",F27="Congé spécial",F27="Congé sans solde",D27="OFF",D27="Congé",D27="Congé spécial",D27="Congé sans solde"),0.208333333333334,IF(AND(AG27="",F27-D27&lt;0),("24:00:00"-D27)+("00:00:00"+F27)-0.0416666666666667,IF(AND(OR(AG27="Allaitement",AG27="Sans déjeuner"),F27-D27&lt;0),("24:00:00"-D27)+("00:00:00"+F27),IF(AND(AG27="",F27-D27&gt;0.166666666666667),F27-D27-0.0416666666666667,IF(AND(OR(AG27="Allaitement",AG27="Sans déjeuner"),F27-D27&gt;0.166666666666667),F27-D27,F27-D27)))))))</f>
        <v>0</v>
      </c>
      <c r="P27" s="34" t="str">
        <f aca="false">IFERROR(VLOOKUP($B27,Annuaire_roster!$B:$G,MATCH(P$1,Annuaire_roster!$B$1:$G$1,0),0),"-")</f>
        <v>Google Leads</v>
      </c>
      <c r="Q27" s="35" t="n">
        <v>44717</v>
      </c>
      <c r="R27" s="36" t="n">
        <f aca="false">IF(M27="Abs",O27,0)</f>
        <v>0</v>
      </c>
      <c r="S27" s="36" t="n">
        <f aca="false">SUM(R27,L27,I27,J27,W27,H27)</f>
        <v>0</v>
      </c>
      <c r="T27" s="1" t="str">
        <f aca="false">"Sem - "&amp;WEEKNUM(Q27,21)</f>
        <v>Sem - 23</v>
      </c>
      <c r="U27" s="1" t="str">
        <f aca="false">PROPER(TEXT(Q27,"mmmm"))</f>
        <v>June</v>
      </c>
      <c r="V27" s="37" t="str">
        <f aca="false">+TEXT(Q27,"aaa")</f>
        <v>Sat</v>
      </c>
      <c r="W27" s="32"/>
      <c r="X27" s="38" t="n">
        <f aca="false">IFERROR(IF(M27="Abs",0,IF((D27-C27+E27-F27)&lt;0.000694444444444444,0,(D27-C27+E27-F27))),0)</f>
        <v>0</v>
      </c>
      <c r="Y27" s="39" t="str">
        <f aca="false">IFERROR(VLOOKUP(B27,Annuaire_roster!B:E,4,0),"-")</f>
        <v>CHOUIFI Mustapha</v>
      </c>
      <c r="Z27" s="39" t="str">
        <f aca="false">IFERROR(VLOOKUP(B27,Annuaire_roster!B:F,3,0),"-")</f>
        <v>Google Leads</v>
      </c>
      <c r="AA27" s="39" t="str">
        <f aca="false">IFERROR(VLOOKUP(B27,Annuaire_roster!B:I,6,0),"-")</f>
        <v>Forfaitaire</v>
      </c>
      <c r="AB27" s="40" t="str">
        <f aca="false">IF(AND(D27="Congé",F27="Congé"),0.333333333333333,IF(OR(AND(D27="Congé",F27&lt;&gt;"Congé"),(AND(F27="Congé",D27&lt;&gt;"Congé"))),0.166666666666667,""))</f>
        <v/>
      </c>
      <c r="AC27" s="40" t="str">
        <f aca="false">IF(AND(D27="Congé sans solde",F27="Congé sans solde"),0.333333333333333,IF(OR(AND(D27="Congé sans solde",F27&lt;&gt;"Congé sans solde"),(AND(F27="Congé sans solde",D27&lt;&gt;"Congé sans solde"))),0.166666666666667,""))</f>
        <v/>
      </c>
      <c r="AD27" s="40" t="str">
        <f aca="false">IF(AND(D27="Congé spécial",F27="Congé spécial"),0.333333333333333,IF(OR(AND(D27="Congé spécial",F27&lt;&gt;"Congé décès"),(AND(F27="Congé spécial",D27&lt;&gt;"Congé spécial"))),0.166666666666667,""))</f>
        <v/>
      </c>
      <c r="AE27" s="41" t="str">
        <f aca="false">IF(AND(D27="Férié",F27="Férié"),0.333333333333333,IF(OR(AND(D27="Férié",F27&lt;&gt;"Férié"),(AND(F27="Férié",D27&lt;&gt;"Férié"))),0.166666666666667,""))</f>
        <v/>
      </c>
      <c r="AF27" s="41"/>
      <c r="AG27" s="36"/>
    </row>
    <row r="28" customFormat="false" ht="12.75" hidden="true" customHeight="true" outlineLevel="0" collapsed="false">
      <c r="A28" s="43" t="n">
        <f aca="false">VLOOKUP(B28,Annuaire_roster!B:F,5,0)</f>
        <v>1007</v>
      </c>
      <c r="B28" s="23" t="s">
        <v>59</v>
      </c>
      <c r="C28" s="24" t="str">
        <f aca="false">IFERROR(IF(COUNTIFS(Pointage_brut!$E:$E,VLOOKUP($B28,Annuaire_roster!$B:$J,9,0),Pointage_brut!$A:$A,TEXT($Q28,"yyyymmdd")*1)=0,"",MOD(_xlfn.MINIFS(Pointage_brut!$F:$F,Pointage_brut!$E:$E,VLOOKUP($B28,Annuaire_roster!$B:$J,9,0),Pointage_brut!$A:$A,TEXT($Q28,"yyyymmdd")*1),1)),"")</f>
        <v/>
      </c>
      <c r="D28" s="25" t="str">
        <f aca="false" t="array" ref="D28:D28">IFERROR(INDEX(Planning2[],MATCH(1,(Planning2[Nom]=B28)*(Planning2[Date]=Q28),0),3),"-")</f>
        <v>OFF</v>
      </c>
      <c r="E28" s="26" t="str">
        <f aca="false">IFERROR(IF(COUNTIFS(Pointage_brut!$E:$E,VLOOKUP($B28,Annuaire_roster!$B:$J,9,0),Pointage_brut!$A:$A,TEXT($Q28,"yyyymmdd")*1)=0,"",MOD(_xlfn.MAXIFS(Pointage_brut!$G:$G,Pointage_brut!$E:$E,VLOOKUP($B28,Annuaire_roster!$B:$J,9,0),Pointage_brut!$A:$A,TEXT($Q28,"yyyymmdd")*1),1)),"")</f>
        <v/>
      </c>
      <c r="F28" s="27" t="str">
        <f aca="false" t="array" ref="F28:F28">IFERROR(INDEX(Planning2[],MATCH(1,(Planning2[Nom]=B28)*(Planning2[Date]=Q28),0),4),"-")</f>
        <v>OFF</v>
      </c>
      <c r="G28" s="28"/>
      <c r="H28" s="28"/>
      <c r="I28" s="29" t="str">
        <f aca="false">IF(IF(OR(C28="",D28="Congé",D28="OFF",D28="Congé spécial"),"",IF(D28&gt;F28,D28-C28,IF(C28-D28&lt;0,0,C28-D28)))&lt;0.00068287037037037,"",IF(OR(D28="Congé",D28="OFF",C28="",D28="Congé spécial"),"",IF(D28&gt;F28,D28-C28,IF(C28-D28&lt;0,0,C28-D28))))</f>
        <v/>
      </c>
      <c r="J28" s="28"/>
      <c r="K28" s="30" t="n">
        <f aca="false">IF(SUM(H28:J28)&lt;0.00068287037037037,0,SUM(H28:J28))</f>
        <v>0</v>
      </c>
      <c r="L28" s="28" t="n">
        <f aca="false">IF(OR(F28="Congé",F28="OFF",M28="Abs",F28="Congé sans solde",F28="Férié",F28="Congé spécial",D28="Congé spécial"),0,IF(F28-E28&lt;0,0,IF(F28-E28&lt;=0.00068287037037037,0,F28-E28)))</f>
        <v>0</v>
      </c>
      <c r="M28" s="31" t="n">
        <f aca="false">IF(AND(O28&lt;&gt;0,C28=""),"Abs",0)</f>
        <v>0</v>
      </c>
      <c r="N28" s="44" t="str">
        <f aca="false">IFERROR(IF(OR(D28="OFF",D28="Congé",M28="Abs",D28="Congé sans solde",D28="Férié"),"",IF(O28-K28-L28&gt;O28,O28,IF(O28-K28-L28&lt;0,"",O28-K28-L28))),"")</f>
        <v/>
      </c>
      <c r="O28" s="33" t="n">
        <f aca="false">IF(AG28="2H Pause déjeuner",IF(F28-D28-0.0833333333333333&lt;0,F28-D28-0.0833333333333333+1,F28-D28-0.0833333333333333),IF(OR(AND(F28="OFF",D28="OFF"),AND(F28="Congé",D28="Congé"),AND(F28="Congé sans solde",D28="Congé sans solde"),AND(F28="Congé spécial",D28="Congé spécial"),AND(F28="Férié",D28="Férié"),AND(F28="OFF",D28="Congé"),AND(F28="OFF",D28="Congé sans solde"),AND(F28="OFF",D28="Congé spécial"),AND(F28="OFF",D28="Férié"),AND(F28="Congé",D28="OFF"),AND(F28="Congé",D28="Congé sans solde"),AND(F28="Congé",D28="Congé spécial"),AND(F28="Congé",D28="Férié"),AND(F28="Congé sans solde",D28="OFF"),AND(F28="Congé sans solde",D28="Congé"),AND(F28="Congé sans solde",D28="Congé spécial"),AND(F28="Congé sans solde",D28="Férié"),AND(F28="Congé spécial",D28="OFF"),AND(F28="Congé spécial",D28="Congé"),AND(F28="Congé spécial",D28="Congé sans solde"),AND(F28="Congé spécial",D28="Férié"),AND(F28="Férié",D28="OFF"),AND(F28="Férié",D28="Congé"),AND(F28="Férié",D28="Congé sans solde"),AND(F28="Férié",D28="Congé spécial")),0,IF(OR(F28="OFF",F28="Congé",F28="Congé spécial",F28="Congé sans solde",D28="OFF",D28="Congé",D28="Congé spécial",D28="Congé sans solde"),0.208333333333334,IF(AND(AG28="",F28-D28&lt;0),("24:00:00"-D28)+("00:00:00"+F28)-0.0416666666666667,IF(AND(OR(AG28="Allaitement",AG28="Sans déjeuner"),F28-D28&lt;0),("24:00:00"-D28)+("00:00:00"+F28),IF(AND(AG28="",F28-D28&gt;0.166666666666667),F28-D28-0.0416666666666667,IF(AND(OR(AG28="Allaitement",AG28="Sans déjeuner"),F28-D28&gt;0.166666666666667),F28-D28,F28-D28)))))))</f>
        <v>0</v>
      </c>
      <c r="P28" s="34" t="str">
        <f aca="false">IFERROR(VLOOKUP($B28,Annuaire_roster!$B:$G,MATCH(P$1,Annuaire_roster!$B$1:$G$1,0),0),"-")</f>
        <v>Google Leads</v>
      </c>
      <c r="Q28" s="45" t="n">
        <v>44717</v>
      </c>
      <c r="R28" s="40" t="n">
        <f aca="false">IF(M28="Abs",O28,0)</f>
        <v>0</v>
      </c>
      <c r="S28" s="40" t="n">
        <f aca="false">SUM(R28,L28,I28,J28,W28,H28)</f>
        <v>0</v>
      </c>
      <c r="T28" s="1" t="str">
        <f aca="false">"Sem - "&amp;WEEKNUM(Q28,21)</f>
        <v>Sem - 23</v>
      </c>
      <c r="U28" s="1" t="str">
        <f aca="false">PROPER(TEXT(Q28,"mmmm"))</f>
        <v>June</v>
      </c>
      <c r="V28" s="46" t="str">
        <f aca="false">+TEXT(Q28,"aaa")</f>
        <v>Sat</v>
      </c>
      <c r="W28" s="44"/>
      <c r="X28" s="47" t="n">
        <f aca="false">IFERROR(IF(M28="Abs",0,IF((D28-C28+E28-F28)&lt;0.000694444444444444,0,(D28-C28+E28-F28))),0)</f>
        <v>0</v>
      </c>
      <c r="Y28" s="48" t="str">
        <f aca="false">IFERROR(VLOOKUP(B28,Annuaire_roster!B:E,4,0),"-")</f>
        <v>OUAQERROUCH Nour-El Houda</v>
      </c>
      <c r="Z28" s="48" t="str">
        <f aca="false">IFERROR(VLOOKUP(B28,Annuaire_roster!B:F,3,0),"-")</f>
        <v>Google Leads</v>
      </c>
      <c r="AA28" s="48" t="str">
        <f aca="false">IFERROR(VLOOKUP(B28,Annuaire_roster!B:I,6,0),"-")</f>
        <v>Forfaitaire</v>
      </c>
      <c r="AB28" s="40" t="str">
        <f aca="false">IF(AND(D28="Congé",F28="Congé"),0.333333333333333,IF(OR(AND(D28="Congé",F28&lt;&gt;"Congé"),(AND(F28="Congé",D28&lt;&gt;"Congé"))),0.166666666666667,""))</f>
        <v/>
      </c>
      <c r="AC28" s="40" t="str">
        <f aca="false">IF(AND(D28="Congé sans solde",F28="Congé sans solde"),0.333333333333333,IF(OR(AND(D28="Congé sans solde",F28&lt;&gt;"Congé sans solde"),(AND(F28="Congé sans solde",D28&lt;&gt;"Congé sans solde"))),0.166666666666667,""))</f>
        <v/>
      </c>
      <c r="AD28" s="40" t="str">
        <f aca="false">IF(AND(D28="Congé spécial",F28="Congé spécial"),0.333333333333333,IF(OR(AND(D28="Congé spécial",F28&lt;&gt;"Congé décès"),(AND(F28="Congé spécial",D28&lt;&gt;"Congé spécial"))),0.166666666666667,""))</f>
        <v/>
      </c>
      <c r="AE28" s="49" t="str">
        <f aca="false">IF(AND(D28="Férié",F28="Férié"),0.333333333333333,IF(OR(AND(D28="Férié",F28&lt;&gt;"Férié"),(AND(F28="Férié",D28&lt;&gt;"Férié"))),0.166666666666667,""))</f>
        <v/>
      </c>
      <c r="AF28" s="41"/>
      <c r="AG28" s="40"/>
    </row>
    <row r="29" customFormat="false" ht="12.75" hidden="true" customHeight="true" outlineLevel="0" collapsed="false">
      <c r="A29" s="22" t="n">
        <f aca="false">VLOOKUP(B29,Annuaire_roster!B:F,5,0)</f>
        <v>1008</v>
      </c>
      <c r="B29" s="23" t="s">
        <v>60</v>
      </c>
      <c r="C29" s="24" t="str">
        <f aca="false">IFERROR(IF(COUNTIFS(Pointage_brut!$E:$E,VLOOKUP($B29,Annuaire_roster!$B:$J,9,0),Pointage_brut!$A:$A,TEXT($Q29,"yyyymmdd")*1)=0,"",MOD(_xlfn.MINIFS(Pointage_brut!$F:$F,Pointage_brut!$E:$E,VLOOKUP($B29,Annuaire_roster!$B:$J,9,0),Pointage_brut!$A:$A,TEXT($Q29,"yyyymmdd")*1),1)),"")</f>
        <v/>
      </c>
      <c r="D29" s="25" t="str">
        <f aca="false" t="array" ref="D29:D29">IFERROR(INDEX(Planning2[],MATCH(1,(Planning2[Nom]=B29)*(Planning2[Date]=Q29),0),3),"-")</f>
        <v>OFF</v>
      </c>
      <c r="E29" s="26" t="str">
        <f aca="false">IFERROR(IF(COUNTIFS(Pointage_brut!$E:$E,VLOOKUP($B29,Annuaire_roster!$B:$J,9,0),Pointage_brut!$A:$A,TEXT($Q29,"yyyymmdd")*1)=0,"",MOD(_xlfn.MAXIFS(Pointage_brut!$G:$G,Pointage_brut!$E:$E,VLOOKUP($B29,Annuaire_roster!$B:$J,9,0),Pointage_brut!$A:$A,TEXT($Q29,"yyyymmdd")*1),1)),"")</f>
        <v/>
      </c>
      <c r="F29" s="27" t="str">
        <f aca="false" t="array" ref="F29:F29">IFERROR(INDEX(Planning2[],MATCH(1,(Planning2[Nom]=B29)*(Planning2[Date]=Q29),0),4),"-")</f>
        <v>OFF</v>
      </c>
      <c r="G29" s="28"/>
      <c r="H29" s="28"/>
      <c r="I29" s="29" t="str">
        <f aca="false">IF(IF(OR(C29="",D29="Congé",D29="OFF",D29="Congé spécial"),"",IF(D29&gt;F29,D29-C29,IF(C29-D29&lt;0,0,C29-D29)))&lt;0.00068287037037037,"",IF(OR(D29="Congé",D29="OFF",C29="",D29="Congé spécial"),"",IF(D29&gt;F29,D29-C29,IF(C29-D29&lt;0,0,C29-D29))))</f>
        <v/>
      </c>
      <c r="J29" s="28"/>
      <c r="K29" s="30" t="n">
        <f aca="false">IF(SUM(H29:J29)&lt;0.00068287037037037,0,SUM(H29:J29))</f>
        <v>0</v>
      </c>
      <c r="L29" s="28" t="n">
        <f aca="false">IF(OR(F29="Congé",F29="OFF",M29="Abs",F29="Congé sans solde",F29="Férié",F29="Congé spécial",D29="Congé spécial"),0,IF(F29-E29&lt;0,0,IF(F29-E29&lt;=0.00068287037037037,0,F29-E29)))</f>
        <v>0</v>
      </c>
      <c r="M29" s="31" t="n">
        <f aca="false">IF(AND(O29&lt;&gt;0,C29=""),"Abs",0)</f>
        <v>0</v>
      </c>
      <c r="N29" s="32" t="str">
        <f aca="false">IFERROR(IF(OR(D29="OFF",D29="Congé",M29="Abs",D29="Congé sans solde",D29="Férié"),"",IF(O29-K29-L29&gt;O29,O29,IF(O29-K29-L29&lt;0,"",O29-K29-L29))),"")</f>
        <v/>
      </c>
      <c r="O29" s="33" t="n">
        <f aca="false">IF(AG29="2H Pause déjeuner",IF(F29-D29-0.0833333333333333&lt;0,F29-D29-0.0833333333333333+1,F29-D29-0.0833333333333333),IF(OR(AND(F29="OFF",D29="OFF"),AND(F29="Congé",D29="Congé"),AND(F29="Congé sans solde",D29="Congé sans solde"),AND(F29="Congé spécial",D29="Congé spécial"),AND(F29="Férié",D29="Férié"),AND(F29="OFF",D29="Congé"),AND(F29="OFF",D29="Congé sans solde"),AND(F29="OFF",D29="Congé spécial"),AND(F29="OFF",D29="Férié"),AND(F29="Congé",D29="OFF"),AND(F29="Congé",D29="Congé sans solde"),AND(F29="Congé",D29="Congé spécial"),AND(F29="Congé",D29="Férié"),AND(F29="Congé sans solde",D29="OFF"),AND(F29="Congé sans solde",D29="Congé"),AND(F29="Congé sans solde",D29="Congé spécial"),AND(F29="Congé sans solde",D29="Férié"),AND(F29="Congé spécial",D29="OFF"),AND(F29="Congé spécial",D29="Congé"),AND(F29="Congé spécial",D29="Congé sans solde"),AND(F29="Congé spécial",D29="Férié"),AND(F29="Férié",D29="OFF"),AND(F29="Férié",D29="Congé"),AND(F29="Férié",D29="Congé sans solde"),AND(F29="Férié",D29="Congé spécial")),0,IF(OR(F29="OFF",F29="Congé",F29="Congé spécial",F29="Congé sans solde",D29="OFF",D29="Congé",D29="Congé spécial",D29="Congé sans solde"),0.208333333333334,IF(AND(AG29="",F29-D29&lt;0),("24:00:00"-D29)+("00:00:00"+F29)-0.0416666666666667,IF(AND(OR(AG29="Allaitement",AG29="Sans déjeuner"),F29-D29&lt;0),("24:00:00"-D29)+("00:00:00"+F29),IF(AND(AG29="",F29-D29&gt;0.166666666666667),F29-D29-0.0416666666666667,IF(AND(OR(AG29="Allaitement",AG29="Sans déjeuner"),F29-D29&gt;0.166666666666667),F29-D29,F29-D29)))))))</f>
        <v>0</v>
      </c>
      <c r="P29" s="34" t="str">
        <f aca="false">IFERROR(VLOOKUP($B29,Annuaire_roster!$B:$G,MATCH(P$1,Annuaire_roster!$B$1:$G$1,0),0),"-")</f>
        <v>Google Leads</v>
      </c>
      <c r="Q29" s="35" t="n">
        <v>44717</v>
      </c>
      <c r="R29" s="36" t="n">
        <f aca="false">IF(M29="Abs",O29,0)</f>
        <v>0</v>
      </c>
      <c r="S29" s="36" t="n">
        <f aca="false">SUM(R29,L29,I29,J29,W29,H29)</f>
        <v>0</v>
      </c>
      <c r="T29" s="1" t="str">
        <f aca="false">"Sem - "&amp;WEEKNUM(Q29,21)</f>
        <v>Sem - 23</v>
      </c>
      <c r="U29" s="1" t="str">
        <f aca="false">PROPER(TEXT(Q29,"mmmm"))</f>
        <v>June</v>
      </c>
      <c r="V29" s="37" t="str">
        <f aca="false">+TEXT(Q29,"aaa")</f>
        <v>Sat</v>
      </c>
      <c r="W29" s="32"/>
      <c r="X29" s="38" t="n">
        <f aca="false">IFERROR(IF(M29="Abs",0,IF((D29-C29+E29-F29)&lt;0.000694444444444444,0,(D29-C29+E29-F29))),0)</f>
        <v>0</v>
      </c>
      <c r="Y29" s="39" t="str">
        <f aca="false">IFERROR(VLOOKUP(B29,Annuaire_roster!B:E,4,0),"-")</f>
        <v>CHOUIFI Mustapha</v>
      </c>
      <c r="Z29" s="39" t="str">
        <f aca="false">IFERROR(VLOOKUP(B29,Annuaire_roster!B:F,3,0),"-")</f>
        <v>Google Leads</v>
      </c>
      <c r="AA29" s="39" t="str">
        <f aca="false">IFERROR(VLOOKUP(B29,Annuaire_roster!B:I,6,0),"-")</f>
        <v>Forfaitaire</v>
      </c>
      <c r="AB29" s="40" t="str">
        <f aca="false">IF(AND(D29="Congé",F29="Congé"),0.333333333333333,IF(OR(AND(D29="Congé",F29&lt;&gt;"Congé"),(AND(F29="Congé",D29&lt;&gt;"Congé"))),0.166666666666667,""))</f>
        <v/>
      </c>
      <c r="AC29" s="40" t="str">
        <f aca="false">IF(AND(D29="Congé sans solde",F29="Congé sans solde"),0.333333333333333,IF(OR(AND(D29="Congé sans solde",F29&lt;&gt;"Congé sans solde"),(AND(F29="Congé sans solde",D29&lt;&gt;"Congé sans solde"))),0.166666666666667,""))</f>
        <v/>
      </c>
      <c r="AD29" s="40" t="str">
        <f aca="false">IF(AND(D29="Congé spécial",F29="Congé spécial"),0.333333333333333,IF(OR(AND(D29="Congé spécial",F29&lt;&gt;"Congé décès"),(AND(F29="Congé spécial",D29&lt;&gt;"Congé spécial"))),0.166666666666667,""))</f>
        <v/>
      </c>
      <c r="AE29" s="41" t="str">
        <f aca="false">IF(AND(D29="Férié",F29="Férié"),0.333333333333333,IF(OR(AND(D29="Férié",F29&lt;&gt;"Férié"),(AND(F29="Férié",D29&lt;&gt;"Férié"))),0.166666666666667,""))</f>
        <v/>
      </c>
      <c r="AF29" s="41"/>
      <c r="AG29" s="36"/>
    </row>
    <row r="30" customFormat="false" ht="12.75" hidden="true" customHeight="true" outlineLevel="0" collapsed="false">
      <c r="A30" s="22" t="n">
        <f aca="false">VLOOKUP(B30,Annuaire_roster!B:F,5,0)</f>
        <v>1145</v>
      </c>
      <c r="B30" s="23" t="s">
        <v>61</v>
      </c>
      <c r="C30" s="24" t="str">
        <f aca="false">IFERROR(IF(COUNTIFS(Pointage_brut!$E:$E,VLOOKUP($B30,Annuaire_roster!$B:$J,9,0),Pointage_brut!$A:$A,TEXT($Q30,"yyyymmdd")*1)=0,"",MOD(_xlfn.MINIFS(Pointage_brut!$F:$F,Pointage_brut!$E:$E,VLOOKUP($B30,Annuaire_roster!$B:$J,9,0),Pointage_brut!$A:$A,TEXT($Q30,"yyyymmdd")*1),1)),"")</f>
        <v/>
      </c>
      <c r="D30" s="25" t="str">
        <f aca="false" t="array" ref="D30:D30">IFERROR(INDEX(Planning2[],MATCH(1,(Planning2[Nom]=B30)*(Planning2[Date]=Q30),0),3),"-")</f>
        <v>OFF</v>
      </c>
      <c r="E30" s="26" t="str">
        <f aca="false">IFERROR(IF(COUNTIFS(Pointage_brut!$E:$E,VLOOKUP($B30,Annuaire_roster!$B:$J,9,0),Pointage_brut!$A:$A,TEXT($Q30,"yyyymmdd")*1)=0,"",MOD(_xlfn.MAXIFS(Pointage_brut!$G:$G,Pointage_brut!$E:$E,VLOOKUP($B30,Annuaire_roster!$B:$J,9,0),Pointage_brut!$A:$A,TEXT($Q30,"yyyymmdd")*1),1)),"")</f>
        <v/>
      </c>
      <c r="F30" s="27" t="str">
        <f aca="false" t="array" ref="F30:F30">IFERROR(INDEX(Planning2[],MATCH(1,(Planning2[Nom]=B30)*(Planning2[Date]=Q30),0),4),"-")</f>
        <v>OFF</v>
      </c>
      <c r="G30" s="28"/>
      <c r="H30" s="28"/>
      <c r="I30" s="29" t="str">
        <f aca="false">IF(IF(OR(C30="",D30="Congé",D30="OFF",D30="Congé spécial"),"",IF(D30&gt;F30,D30-C30,IF(C30-D30&lt;0,0,C30-D30)))&lt;0.00068287037037037,"",IF(OR(D30="Congé",D30="OFF",C30="",D30="Congé spécial"),"",IF(D30&gt;F30,D30-C30,IF(C30-D30&lt;0,0,C30-D30))))</f>
        <v/>
      </c>
      <c r="J30" s="28"/>
      <c r="K30" s="30" t="n">
        <f aca="false">IF(SUM(H30:J30)&lt;0.00068287037037037,0,SUM(H30:J30))</f>
        <v>0</v>
      </c>
      <c r="L30" s="28" t="n">
        <f aca="false">IF(OR(F30="Congé",F30="OFF",M30="Abs",F30="Congé sans solde",F30="Férié",F30="Congé spécial",D30="Congé spécial"),0,IF(F30-E30&lt;0,0,IF(F30-E30&lt;=0.00068287037037037,0,F30-E30)))</f>
        <v>0</v>
      </c>
      <c r="M30" s="31" t="n">
        <f aca="false">IF(AND(O30&lt;&gt;0,C30=""),"Abs",0)</f>
        <v>0</v>
      </c>
      <c r="N30" s="32" t="str">
        <f aca="false">IFERROR(IF(OR(D30="OFF",D30="Congé",M30="Abs",D30="Congé sans solde",D30="Férié"),"",IF(O30-K30-L30&gt;O30,O30,IF(O30-K30-L30&lt;0,"",O30-K30-L30))),"")</f>
        <v/>
      </c>
      <c r="O30" s="33" t="n">
        <f aca="false">IF(AG30="2H Pause déjeuner",IF(F30-D30-0.0833333333333333&lt;0,F30-D30-0.0833333333333333+1,F30-D30-0.0833333333333333),IF(OR(AND(F30="OFF",D30="OFF"),AND(F30="Congé",D30="Congé"),AND(F30="Congé sans solde",D30="Congé sans solde"),AND(F30="Congé spécial",D30="Congé spécial"),AND(F30="Férié",D30="Férié"),AND(F30="OFF",D30="Congé"),AND(F30="OFF",D30="Congé sans solde"),AND(F30="OFF",D30="Congé spécial"),AND(F30="OFF",D30="Férié"),AND(F30="Congé",D30="OFF"),AND(F30="Congé",D30="Congé sans solde"),AND(F30="Congé",D30="Congé spécial"),AND(F30="Congé",D30="Férié"),AND(F30="Congé sans solde",D30="OFF"),AND(F30="Congé sans solde",D30="Congé"),AND(F30="Congé sans solde",D30="Congé spécial"),AND(F30="Congé sans solde",D30="Férié"),AND(F30="Congé spécial",D30="OFF"),AND(F30="Congé spécial",D30="Congé"),AND(F30="Congé spécial",D30="Congé sans solde"),AND(F30="Congé spécial",D30="Férié"),AND(F30="Férié",D30="OFF"),AND(F30="Férié",D30="Congé"),AND(F30="Férié",D30="Congé sans solde"),AND(F30="Férié",D30="Congé spécial")),0,IF(OR(F30="OFF",F30="Congé",F30="Congé spécial",F30="Congé sans solde",D30="OFF",D30="Congé",D30="Congé spécial",D30="Congé sans solde"),0.208333333333334,IF(AND(AG30="",F30-D30&lt;0),("24:00:00"-D30)+("00:00:00"+F30)-0.0416666666666667,IF(AND(OR(AG30="Allaitement",AG30="Sans déjeuner"),F30-D30&lt;0),("24:00:00"-D30)+("00:00:00"+F30),IF(AND(AG30="",F30-D30&gt;0.166666666666667),F30-D30-0.0416666666666667,IF(AND(OR(AG30="Allaitement",AG30="Sans déjeuner"),F30-D30&gt;0.166666666666667),F30-D30,F30-D30)))))))</f>
        <v>0</v>
      </c>
      <c r="P30" s="34" t="str">
        <f aca="false">IFERROR(VLOOKUP($B30,Annuaire_roster!$B:$G,MATCH(P$1,Annuaire_roster!$B$1:$G$1,0),0),"-")</f>
        <v>Google Leads</v>
      </c>
      <c r="Q30" s="35" t="n">
        <v>44717</v>
      </c>
      <c r="R30" s="36" t="n">
        <f aca="false">IF(M30="Abs",O30,0)</f>
        <v>0</v>
      </c>
      <c r="S30" s="36" t="n">
        <f aca="false">SUM(R30,L30,I30,J30,W30,H30)</f>
        <v>0</v>
      </c>
      <c r="T30" s="1" t="str">
        <f aca="false">"Sem - "&amp;WEEKNUM(Q30,21)</f>
        <v>Sem - 23</v>
      </c>
      <c r="U30" s="1" t="str">
        <f aca="false">PROPER(TEXT(Q30,"mmmm"))</f>
        <v>June</v>
      </c>
      <c r="V30" s="37" t="str">
        <f aca="false">+TEXT(Q30,"aaa")</f>
        <v>Sat</v>
      </c>
      <c r="W30" s="32"/>
      <c r="X30" s="38" t="n">
        <f aca="false">IFERROR(IF(M30="Abs",0,IF((D30-C30+E30-F30)&lt;0.000694444444444444,0,(D30-C30+E30-F30))),0)</f>
        <v>0</v>
      </c>
      <c r="Y30" s="39" t="str">
        <f aca="false">IFERROR(VLOOKUP(B30,Annuaire_roster!B:E,4,0),"-")</f>
        <v>CHOUIFI Mustapha</v>
      </c>
      <c r="Z30" s="39" t="str">
        <f aca="false">IFERROR(VLOOKUP(B30,Annuaire_roster!B:F,3,0),"-")</f>
        <v>Google Leads</v>
      </c>
      <c r="AA30" s="39" t="str">
        <f aca="false">IFERROR(VLOOKUP(B30,Annuaire_roster!B:I,6,0),"-")</f>
        <v>Forfaitaire</v>
      </c>
      <c r="AB30" s="40" t="str">
        <f aca="false">IF(AND(D30="Congé",F30="Congé"),0.333333333333333,IF(OR(AND(D30="Congé",F30&lt;&gt;"Congé"),(AND(F30="Congé",D30&lt;&gt;"Congé"))),0.166666666666667,""))</f>
        <v/>
      </c>
      <c r="AC30" s="40" t="str">
        <f aca="false">IF(AND(D30="Congé sans solde",F30="Congé sans solde"),0.333333333333333,IF(OR(AND(D30="Congé sans solde",F30&lt;&gt;"Congé sans solde"),(AND(F30="Congé sans solde",D30&lt;&gt;"Congé sans solde"))),0.166666666666667,""))</f>
        <v/>
      </c>
      <c r="AD30" s="40" t="str">
        <f aca="false">IF(AND(D30="Congé spécial",F30="Congé spécial"),0.333333333333333,IF(OR(AND(D30="Congé spécial",F30&lt;&gt;"Congé décès"),(AND(F30="Congé spécial",D30&lt;&gt;"Congé spécial"))),0.166666666666667,""))</f>
        <v/>
      </c>
      <c r="AE30" s="41" t="str">
        <f aca="false">IF(AND(D30="Férié",F30="Férié"),0.333333333333333,IF(OR(AND(D30="Férié",F30&lt;&gt;"Férié"),(AND(F30="Férié",D30&lt;&gt;"Férié"))),0.166666666666667,""))</f>
        <v/>
      </c>
      <c r="AF30" s="41"/>
      <c r="AG30" s="36"/>
    </row>
    <row r="31" customFormat="false" ht="12.75" hidden="true" customHeight="true" outlineLevel="0" collapsed="false">
      <c r="A31" s="22" t="n">
        <f aca="false">VLOOKUP(B31,Annuaire_roster!B:F,5,0)</f>
        <v>0</v>
      </c>
      <c r="B31" s="23" t="s">
        <v>62</v>
      </c>
      <c r="C31" s="24" t="str">
        <f aca="false">IFERROR(IF(COUNTIFS(Pointage_brut!$E:$E,VLOOKUP($B31,Annuaire_roster!$B:$J,9,0),Pointage_brut!$A:$A,TEXT($Q31,"yyyymmdd")*1)=0,"",MOD(_xlfn.MINIFS(Pointage_brut!$F:$F,Pointage_brut!$E:$E,VLOOKUP($B31,Annuaire_roster!$B:$J,9,0),Pointage_brut!$A:$A,TEXT($Q31,"yyyymmdd")*1),1)),"")</f>
        <v/>
      </c>
      <c r="D31" s="25" t="str">
        <f aca="false" t="array" ref="D31:D31">IFERROR(INDEX(Planning2[],MATCH(1,(Planning2[Nom]=B31)*(Planning2[Date]=Q31),0),3),"-")</f>
        <v>OFF</v>
      </c>
      <c r="E31" s="26" t="str">
        <f aca="false">IFERROR(IF(COUNTIFS(Pointage_brut!$E:$E,VLOOKUP($B31,Annuaire_roster!$B:$J,9,0),Pointage_brut!$A:$A,TEXT($Q31,"yyyymmdd")*1)=0,"",MOD(_xlfn.MAXIFS(Pointage_brut!$G:$G,Pointage_brut!$E:$E,VLOOKUP($B31,Annuaire_roster!$B:$J,9,0),Pointage_brut!$A:$A,TEXT($Q31,"yyyymmdd")*1),1)),"")</f>
        <v/>
      </c>
      <c r="F31" s="27" t="str">
        <f aca="false" t="array" ref="F31:F31">IFERROR(INDEX(Planning2[],MATCH(1,(Planning2[Nom]=B31)*(Planning2[Date]=Q31),0),4),"-")</f>
        <v>OFF</v>
      </c>
      <c r="G31" s="28"/>
      <c r="H31" s="28"/>
      <c r="I31" s="29" t="str">
        <f aca="false">IF(IF(OR(C31="",D31="Congé",D31="OFF",D31="Congé spécial"),"",IF(D31&gt;F31,D31-C31,IF(C31-D31&lt;0,0,C31-D31)))&lt;0.00068287037037037,"",IF(OR(D31="Congé",D31="OFF",C31="",D31="Congé spécial"),"",IF(D31&gt;F31,D31-C31,IF(C31-D31&lt;0,0,C31-D31))))</f>
        <v/>
      </c>
      <c r="J31" s="28"/>
      <c r="K31" s="30" t="n">
        <f aca="false">IF(SUM(H31:J31)&lt;0.00068287037037037,0,SUM(H31:J31))</f>
        <v>0</v>
      </c>
      <c r="L31" s="28" t="n">
        <f aca="false">IF(OR(F31="Congé",F31="OFF",M31="Abs",F31="Congé sans solde",F31="Férié",F31="Congé spécial",D31="Congé spécial"),0,IF(F31-E31&lt;0,0,IF(F31-E31&lt;=0.00068287037037037,0,F31-E31)))</f>
        <v>0</v>
      </c>
      <c r="M31" s="31" t="n">
        <f aca="false">IF(AND(O31&lt;&gt;0,C31=""),"Abs",0)</f>
        <v>0</v>
      </c>
      <c r="N31" s="32" t="str">
        <f aca="false">IFERROR(IF(OR(D31="OFF",D31="Congé",M31="Abs",D31="Congé sans solde",D31="Férié"),"",IF(O31-K31-L31&gt;O31,O31,IF(O31-K31-L31&lt;0,"",O31-K31-L31))),"")</f>
        <v/>
      </c>
      <c r="O31" s="33" t="n">
        <f aca="false">IF(AG31="2H Pause déjeuner",IF(F31-D31-0.0833333333333333&lt;0,F31-D31-0.0833333333333333+1,F31-D31-0.0833333333333333),IF(OR(AND(F31="OFF",D31="OFF"),AND(F31="Congé",D31="Congé"),AND(F31="Congé sans solde",D31="Congé sans solde"),AND(F31="Congé spécial",D31="Congé spécial"),AND(F31="Férié",D31="Férié"),AND(F31="OFF",D31="Congé"),AND(F31="OFF",D31="Congé sans solde"),AND(F31="OFF",D31="Congé spécial"),AND(F31="OFF",D31="Férié"),AND(F31="Congé",D31="OFF"),AND(F31="Congé",D31="Congé sans solde"),AND(F31="Congé",D31="Congé spécial"),AND(F31="Congé",D31="Férié"),AND(F31="Congé sans solde",D31="OFF"),AND(F31="Congé sans solde",D31="Congé"),AND(F31="Congé sans solde",D31="Congé spécial"),AND(F31="Congé sans solde",D31="Férié"),AND(F31="Congé spécial",D31="OFF"),AND(F31="Congé spécial",D31="Congé"),AND(F31="Congé spécial",D31="Congé sans solde"),AND(F31="Congé spécial",D31="Férié"),AND(F31="Férié",D31="OFF"),AND(F31="Férié",D31="Congé"),AND(F31="Férié",D31="Congé sans solde"),AND(F31="Férié",D31="Congé spécial")),0,IF(OR(F31="OFF",F31="Congé",F31="Congé spécial",F31="Congé sans solde",D31="OFF",D31="Congé",D31="Congé spécial",D31="Congé sans solde"),0.208333333333334,IF(AND(AG31="",F31-D31&lt;0),("24:00:00"-D31)+("00:00:00"+F31)-0.0416666666666667,IF(AND(OR(AG31="Allaitement",AG31="Sans déjeuner"),F31-D31&lt;0),("24:00:00"-D31)+("00:00:00"+F31),IF(AND(AG31="",F31-D31&gt;0.166666666666667),F31-D31-0.0416666666666667,IF(AND(OR(AG31="Allaitement",AG31="Sans déjeuner"),F31-D31&gt;0.166666666666667),F31-D31,F31-D31)))))))</f>
        <v>0</v>
      </c>
      <c r="P31" s="34" t="str">
        <f aca="false">IFERROR(VLOOKUP($B31,Annuaire_roster!$B:$G,MATCH(P$1,Annuaire_roster!$B$1:$G$1,0),0),"-")</f>
        <v>Google Leads</v>
      </c>
      <c r="Q31" s="35" t="n">
        <v>44717</v>
      </c>
      <c r="R31" s="36" t="n">
        <f aca="false">IF(M31="Abs",O31,0)</f>
        <v>0</v>
      </c>
      <c r="S31" s="36" t="n">
        <f aca="false">SUM(R31,L31,I31,J31,W31,H31)</f>
        <v>0</v>
      </c>
      <c r="T31" s="1" t="str">
        <f aca="false">"Sem - "&amp;WEEKNUM(Q31,21)</f>
        <v>Sem - 23</v>
      </c>
      <c r="U31" s="1" t="str">
        <f aca="false">PROPER(TEXT(Q31,"mmmm"))</f>
        <v>June</v>
      </c>
      <c r="V31" s="37" t="str">
        <f aca="false">+TEXT(Q31,"aaa")</f>
        <v>Sat</v>
      </c>
      <c r="W31" s="32"/>
      <c r="X31" s="38" t="n">
        <f aca="false">IFERROR(IF(M31="Abs",0,IF((D31-C31+E31-F31)&lt;0.000694444444444444,0,(D31-C31+E31-F31))),0)</f>
        <v>0</v>
      </c>
      <c r="Y31" s="39" t="n">
        <f aca="false">IFERROR(VLOOKUP(B31,Annuaire_roster!B:E,4,0),"-")</f>
        <v>0</v>
      </c>
      <c r="Z31" s="39" t="str">
        <f aca="false">IFERROR(VLOOKUP(B31,Annuaire_roster!B:F,3,0),"-")</f>
        <v>Google Leads</v>
      </c>
      <c r="AA31" s="39" t="n">
        <f aca="false">IFERROR(VLOOKUP(B31,Annuaire_roster!B:I,6,0),"-")</f>
        <v>0</v>
      </c>
      <c r="AB31" s="40" t="str">
        <f aca="false">IF(AND(D31="Congé",F31="Congé"),0.333333333333333,IF(OR(AND(D31="Congé",F31&lt;&gt;"Congé"),(AND(F31="Congé",D31&lt;&gt;"Congé"))),0.166666666666667,""))</f>
        <v/>
      </c>
      <c r="AC31" s="40" t="str">
        <f aca="false">IF(AND(D31="Congé sans solde",F31="Congé sans solde"),0.333333333333333,IF(OR(AND(D31="Congé sans solde",F31&lt;&gt;"Congé sans solde"),(AND(F31="Congé sans solde",D31&lt;&gt;"Congé sans solde"))),0.166666666666667,""))</f>
        <v/>
      </c>
      <c r="AD31" s="40" t="str">
        <f aca="false">IF(AND(D31="Congé spécial",F31="Congé spécial"),0.333333333333333,IF(OR(AND(D31="Congé spécial",F31&lt;&gt;"Congé décès"),(AND(F31="Congé spécial",D31&lt;&gt;"Congé spécial"))),0.166666666666667,""))</f>
        <v/>
      </c>
      <c r="AE31" s="41" t="str">
        <f aca="false">IF(AND(D31="Férié",F31="Férié"),0.333333333333333,IF(OR(AND(D31="Férié",F31&lt;&gt;"Férié"),(AND(F31="Férié",D31&lt;&gt;"Férié"))),0.166666666666667,""))</f>
        <v/>
      </c>
      <c r="AF31" s="41"/>
      <c r="AG31" s="36"/>
    </row>
    <row r="32" customFormat="false" ht="12.75" hidden="true" customHeight="true" outlineLevel="0" collapsed="false">
      <c r="A32" s="22" t="n">
        <f aca="false">VLOOKUP(B32,Annuaire_roster!B:F,5,0)</f>
        <v>952</v>
      </c>
      <c r="B32" s="23" t="s">
        <v>63</v>
      </c>
      <c r="C32" s="24" t="str">
        <f aca="false">IFERROR(IF(COUNTIFS(Pointage_brut!$E:$E,VLOOKUP($B32,Annuaire_roster!$B:$J,9,0),Pointage_brut!$A:$A,TEXT($Q32,"yyyymmdd")*1)=0,"",MOD(_xlfn.MINIFS(Pointage_brut!$F:$F,Pointage_brut!$E:$E,VLOOKUP($B32,Annuaire_roster!$B:$J,9,0),Pointage_brut!$A:$A,TEXT($Q32,"yyyymmdd")*1),1)),"")</f>
        <v/>
      </c>
      <c r="D32" s="25" t="str">
        <f aca="false" t="array" ref="D32:D32">IFERROR(INDEX(Planning2[],MATCH(1,(Planning2[Nom]=B32)*(Planning2[Date]=Q32),0),3),"-")</f>
        <v>OFF</v>
      </c>
      <c r="E32" s="26" t="str">
        <f aca="false">IFERROR(IF(COUNTIFS(Pointage_brut!$E:$E,VLOOKUP($B32,Annuaire_roster!$B:$J,9,0),Pointage_brut!$A:$A,TEXT($Q32,"yyyymmdd")*1)=0,"",MOD(_xlfn.MAXIFS(Pointage_brut!$G:$G,Pointage_brut!$E:$E,VLOOKUP($B32,Annuaire_roster!$B:$J,9,0),Pointage_brut!$A:$A,TEXT($Q32,"yyyymmdd")*1),1)),"")</f>
        <v/>
      </c>
      <c r="F32" s="27" t="str">
        <f aca="false" t="array" ref="F32:F32">IFERROR(INDEX(Planning2[],MATCH(1,(Planning2[Nom]=B32)*(Planning2[Date]=Q32),0),4),"-")</f>
        <v>OFF</v>
      </c>
      <c r="G32" s="28"/>
      <c r="H32" s="28"/>
      <c r="I32" s="29" t="str">
        <f aca="false">IF(IF(OR(C32="",D32="Congé",D32="OFF",D32="Congé spécial"),"",IF(D32&gt;F32,D32-C32,IF(C32-D32&lt;0,0,C32-D32)))&lt;0.00068287037037037,"",IF(OR(D32="Congé",D32="OFF",C32="",D32="Congé spécial"),"",IF(D32&gt;F32,D32-C32,IF(C32-D32&lt;0,0,C32-D32))))</f>
        <v/>
      </c>
      <c r="J32" s="28"/>
      <c r="K32" s="30" t="n">
        <f aca="false">IF(SUM(H32:J32)&lt;0.00068287037037037,0,SUM(H32:J32))</f>
        <v>0</v>
      </c>
      <c r="L32" s="28" t="n">
        <f aca="false">IF(OR(F32="Congé",F32="OFF",M32="Abs",F32="Congé sans solde",F32="Férié",F32="Congé spécial",D32="Congé spécial"),0,IF(F32-E32&lt;0,0,IF(F32-E32&lt;=0.00068287037037037,0,F32-E32)))</f>
        <v>0</v>
      </c>
      <c r="M32" s="31" t="n">
        <f aca="false">IF(AND(O32&lt;&gt;0,C32=""),"Abs",0)</f>
        <v>0</v>
      </c>
      <c r="N32" s="32" t="str">
        <f aca="false">IFERROR(IF(OR(D32="OFF",D32="Congé",M32="Abs",D32="Congé sans solde",D32="Férié"),"",IF(O32-K32-L32&gt;O32,O32,IF(O32-K32-L32&lt;0,"",O32-K32-L32))),"")</f>
        <v/>
      </c>
      <c r="O32" s="33" t="n">
        <f aca="false">IF(AG32="2H Pause déjeuner",IF(F32-D32-0.0833333333333333&lt;0,F32-D32-0.0833333333333333+1,F32-D32-0.0833333333333333),IF(OR(AND(F32="OFF",D32="OFF"),AND(F32="Congé",D32="Congé"),AND(F32="Congé sans solde",D32="Congé sans solde"),AND(F32="Congé spécial",D32="Congé spécial"),AND(F32="Férié",D32="Férié"),AND(F32="OFF",D32="Congé"),AND(F32="OFF",D32="Congé sans solde"),AND(F32="OFF",D32="Congé spécial"),AND(F32="OFF",D32="Férié"),AND(F32="Congé",D32="OFF"),AND(F32="Congé",D32="Congé sans solde"),AND(F32="Congé",D32="Congé spécial"),AND(F32="Congé",D32="Férié"),AND(F32="Congé sans solde",D32="OFF"),AND(F32="Congé sans solde",D32="Congé"),AND(F32="Congé sans solde",D32="Congé spécial"),AND(F32="Congé sans solde",D32="Férié"),AND(F32="Congé spécial",D32="OFF"),AND(F32="Congé spécial",D32="Congé"),AND(F32="Congé spécial",D32="Congé sans solde"),AND(F32="Congé spécial",D32="Férié"),AND(F32="Férié",D32="OFF"),AND(F32="Férié",D32="Congé"),AND(F32="Férié",D32="Congé sans solde"),AND(F32="Férié",D32="Congé spécial")),0,IF(OR(F32="OFF",F32="Congé",F32="Congé spécial",F32="Congé sans solde",D32="OFF",D32="Congé",D32="Congé spécial",D32="Congé sans solde"),0.208333333333334,IF(AND(AG32="",F32-D32&lt;0),("24:00:00"-D32)+("00:00:00"+F32)-0.0416666666666667,IF(AND(OR(AG32="Allaitement",AG32="Sans déjeuner"),F32-D32&lt;0),("24:00:00"-D32)+("00:00:00"+F32),IF(AND(AG32="",F32-D32&gt;0.166666666666667),F32-D32-0.0416666666666667,IF(AND(OR(AG32="Allaitement",AG32="Sans déjeuner"),F32-D32&gt;0.166666666666667),F32-D32,F32-D32)))))))</f>
        <v>0</v>
      </c>
      <c r="P32" s="34" t="str">
        <f aca="false">IFERROR(VLOOKUP($B32,Annuaire_roster!$B:$G,MATCH(P$1,Annuaire_roster!$B$1:$G$1,0),0),"-")</f>
        <v>Google Leads</v>
      </c>
      <c r="Q32" s="35" t="n">
        <v>44717</v>
      </c>
      <c r="R32" s="36" t="n">
        <f aca="false">IF(M32="Abs",O32,0)</f>
        <v>0</v>
      </c>
      <c r="S32" s="36" t="n">
        <f aca="false">SUM(R32,L32,I32,J32,W32,H32)</f>
        <v>0</v>
      </c>
      <c r="T32" s="1" t="str">
        <f aca="false">"Sem - "&amp;WEEKNUM(Q32,21)</f>
        <v>Sem - 23</v>
      </c>
      <c r="U32" s="1" t="str">
        <f aca="false">PROPER(TEXT(Q32,"mmmm"))</f>
        <v>June</v>
      </c>
      <c r="V32" s="37" t="str">
        <f aca="false">+TEXT(Q32,"aaa")</f>
        <v>Sat</v>
      </c>
      <c r="W32" s="32"/>
      <c r="X32" s="38" t="n">
        <f aca="false">IFERROR(IF(M32="Abs",0,IF((D32-C32+E32-F32)&lt;0.000694444444444444,0,(D32-C32+E32-F32))),0)</f>
        <v>0</v>
      </c>
      <c r="Y32" s="39" t="str">
        <f aca="false">IFERROR(VLOOKUP(B32,Annuaire_roster!B:E,4,0),"-")</f>
        <v>OUAQERROUCH Nour-El Houda</v>
      </c>
      <c r="Z32" s="39" t="str">
        <f aca="false">IFERROR(VLOOKUP(B32,Annuaire_roster!B:F,3,0),"-")</f>
        <v>Google Leads</v>
      </c>
      <c r="AA32" s="39" t="str">
        <f aca="false">IFERROR(VLOOKUP(B32,Annuaire_roster!B:I,6,0),"-")</f>
        <v>Forfaitaire</v>
      </c>
      <c r="AB32" s="40" t="str">
        <f aca="false">IF(AND(D32="Congé",F32="Congé"),0.333333333333333,IF(OR(AND(D32="Congé",F32&lt;&gt;"Congé"),(AND(F32="Congé",D32&lt;&gt;"Congé"))),0.166666666666667,""))</f>
        <v/>
      </c>
      <c r="AC32" s="40" t="str">
        <f aca="false">IF(AND(D32="Congé sans solde",F32="Congé sans solde"),0.333333333333333,IF(OR(AND(D32="Congé sans solde",F32&lt;&gt;"Congé sans solde"),(AND(F32="Congé sans solde",D32&lt;&gt;"Congé sans solde"))),0.166666666666667,""))</f>
        <v/>
      </c>
      <c r="AD32" s="40" t="str">
        <f aca="false">IF(AND(D32="Congé spécial",F32="Congé spécial"),0.333333333333333,IF(OR(AND(D32="Congé spécial",F32&lt;&gt;"Congé décès"),(AND(F32="Congé spécial",D32&lt;&gt;"Congé spécial"))),0.166666666666667,""))</f>
        <v/>
      </c>
      <c r="AE32" s="41" t="str">
        <f aca="false">IF(AND(D32="Férié",F32="Férié"),0.333333333333333,IF(OR(AND(D32="Férié",F32&lt;&gt;"Férié"),(AND(F32="Férié",D32&lt;&gt;"Férié"))),0.166666666666667,""))</f>
        <v/>
      </c>
      <c r="AF32" s="41"/>
      <c r="AG32" s="40"/>
    </row>
    <row r="33" customFormat="false" ht="12.75" hidden="true" customHeight="true" outlineLevel="0" collapsed="false">
      <c r="A33" s="22" t="n">
        <f aca="false">VLOOKUP(B33,Annuaire_roster!B:F,5,0)</f>
        <v>1170</v>
      </c>
      <c r="B33" s="23" t="s">
        <v>64</v>
      </c>
      <c r="C33" s="24" t="str">
        <f aca="false">IFERROR(IF(COUNTIFS(Pointage_brut!$E:$E,VLOOKUP($B33,Annuaire_roster!$B:$J,9,0),Pointage_brut!$A:$A,TEXT($Q33,"yyyymmdd")*1)=0,"",MOD(_xlfn.MINIFS(Pointage_brut!$F:$F,Pointage_brut!$E:$E,VLOOKUP($B33,Annuaire_roster!$B:$J,9,0),Pointage_brut!$A:$A,TEXT($Q33,"yyyymmdd")*1),1)),"")</f>
        <v/>
      </c>
      <c r="D33" s="25" t="str">
        <f aca="false" t="array" ref="D33:D33">IFERROR(INDEX(Planning2[],MATCH(1,(Planning2[Nom]=B33)*(Planning2[Date]=Q33),0),3),"-")</f>
        <v>OFF</v>
      </c>
      <c r="E33" s="26" t="str">
        <f aca="false">IFERROR(IF(COUNTIFS(Pointage_brut!$E:$E,VLOOKUP($B33,Annuaire_roster!$B:$J,9,0),Pointage_brut!$A:$A,TEXT($Q33,"yyyymmdd")*1)=0,"",MOD(_xlfn.MAXIFS(Pointage_brut!$G:$G,Pointage_brut!$E:$E,VLOOKUP($B33,Annuaire_roster!$B:$J,9,0),Pointage_brut!$A:$A,TEXT($Q33,"yyyymmdd")*1),1)),"")</f>
        <v/>
      </c>
      <c r="F33" s="27" t="str">
        <f aca="false" t="array" ref="F33:F33">IFERROR(INDEX(Planning2[],MATCH(1,(Planning2[Nom]=B33)*(Planning2[Date]=Q33),0),4),"-")</f>
        <v>OFF</v>
      </c>
      <c r="G33" s="28"/>
      <c r="H33" s="28"/>
      <c r="I33" s="29" t="str">
        <f aca="false">IF(IF(OR(C33="",D33="Congé",D33="OFF",D33="Congé spécial"),"",IF(D33&gt;F33,D33-C33,IF(C33-D33&lt;0,0,C33-D33)))&lt;0.00068287037037037,"",IF(OR(D33="Congé",D33="OFF",C33="",D33="Congé spécial"),"",IF(D33&gt;F33,D33-C33,IF(C33-D33&lt;0,0,C33-D33))))</f>
        <v/>
      </c>
      <c r="J33" s="28"/>
      <c r="K33" s="30" t="n">
        <f aca="false">IF(SUM(H33:J33)&lt;0.00068287037037037,0,SUM(H33:J33))</f>
        <v>0</v>
      </c>
      <c r="L33" s="28" t="n">
        <f aca="false">IF(OR(F33="Congé",F33="OFF",M33="Abs",F33="Congé sans solde",F33="Férié",F33="Congé spécial",D33="Congé spécial"),0,IF(F33-E33&lt;0,0,IF(F33-E33&lt;=0.00068287037037037,0,F33-E33)))</f>
        <v>0</v>
      </c>
      <c r="M33" s="31" t="n">
        <f aca="false">IF(AND(O33&lt;&gt;0,C33=""),"Abs",0)</f>
        <v>0</v>
      </c>
      <c r="N33" s="32" t="str">
        <f aca="false">IFERROR(IF(OR(D33="OFF",D33="Congé",M33="Abs",D33="Congé sans solde",D33="Férié"),"",IF(O33-K33-L33&gt;O33,O33,IF(O33-K33-L33&lt;0,"",O33-K33-L33))),"")</f>
        <v/>
      </c>
      <c r="O33" s="33" t="n">
        <f aca="false">IF(AG33="2H Pause déjeuner",IF(F33-D33-0.0833333333333333&lt;0,F33-D33-0.0833333333333333+1,F33-D33-0.0833333333333333),IF(OR(AND(F33="OFF",D33="OFF"),AND(F33="Congé",D33="Congé"),AND(F33="Congé sans solde",D33="Congé sans solde"),AND(F33="Congé spécial",D33="Congé spécial"),AND(F33="Férié",D33="Férié"),AND(F33="OFF",D33="Congé"),AND(F33="OFF",D33="Congé sans solde"),AND(F33="OFF",D33="Congé spécial"),AND(F33="OFF",D33="Férié"),AND(F33="Congé",D33="OFF"),AND(F33="Congé",D33="Congé sans solde"),AND(F33="Congé",D33="Congé spécial"),AND(F33="Congé",D33="Férié"),AND(F33="Congé sans solde",D33="OFF"),AND(F33="Congé sans solde",D33="Congé"),AND(F33="Congé sans solde",D33="Congé spécial"),AND(F33="Congé sans solde",D33="Férié"),AND(F33="Congé spécial",D33="OFF"),AND(F33="Congé spécial",D33="Congé"),AND(F33="Congé spécial",D33="Congé sans solde"),AND(F33="Congé spécial",D33="Férié"),AND(F33="Férié",D33="OFF"),AND(F33="Férié",D33="Congé"),AND(F33="Férié",D33="Congé sans solde"),AND(F33="Férié",D33="Congé spécial")),0,IF(OR(F33="OFF",F33="Congé",F33="Congé spécial",F33="Congé sans solde",D33="OFF",D33="Congé",D33="Congé spécial",D33="Congé sans solde"),0.208333333333334,IF(AND(AG33="",F33-D33&lt;0),("24:00:00"-D33)+("00:00:00"+F33)-0.0416666666666667,IF(AND(OR(AG33="Allaitement",AG33="Sans déjeuner"),F33-D33&lt;0),("24:00:00"-D33)+("00:00:00"+F33),IF(AND(AG33="",F33-D33&gt;0.166666666666667),F33-D33-0.0416666666666667,IF(AND(OR(AG33="Allaitement",AG33="Sans déjeuner"),F33-D33&gt;0.166666666666667),F33-D33,F33-D33)))))))</f>
        <v>0</v>
      </c>
      <c r="P33" s="34" t="str">
        <f aca="false">IFERROR(VLOOKUP($B33,Annuaire_roster!$B:$G,MATCH(P$1,Annuaire_roster!$B$1:$G$1,0),0),"-")</f>
        <v>Google Leads</v>
      </c>
      <c r="Q33" s="35" t="n">
        <v>44717</v>
      </c>
      <c r="R33" s="36" t="n">
        <f aca="false">IF(M33="Abs",O33,0)</f>
        <v>0</v>
      </c>
      <c r="S33" s="36" t="n">
        <f aca="false">SUM(R33,L33,I33,J33,W33,H33)</f>
        <v>0</v>
      </c>
      <c r="T33" s="1" t="str">
        <f aca="false">"Sem - "&amp;WEEKNUM(Q33,21)</f>
        <v>Sem - 23</v>
      </c>
      <c r="U33" s="1" t="str">
        <f aca="false">PROPER(TEXT(Q33,"mmmm"))</f>
        <v>June</v>
      </c>
      <c r="V33" s="37" t="str">
        <f aca="false">+TEXT(Q33,"aaa")</f>
        <v>Sat</v>
      </c>
      <c r="W33" s="32"/>
      <c r="X33" s="38" t="n">
        <f aca="false">IFERROR(IF(M33="Abs",0,IF((D33-C33+E33-F33)&lt;0.000694444444444444,0,(D33-C33+E33-F33))),0)</f>
        <v>0</v>
      </c>
      <c r="Y33" s="39" t="str">
        <f aca="false">IFERROR(VLOOKUP(B33,Annuaire_roster!B:E,4,0),"-")</f>
        <v>CHOUIFI Mustapha</v>
      </c>
      <c r="Z33" s="39" t="str">
        <f aca="false">IFERROR(VLOOKUP(B33,Annuaire_roster!B:F,3,0),"-")</f>
        <v>Google Leads</v>
      </c>
      <c r="AA33" s="39" t="str">
        <f aca="false">IFERROR(VLOOKUP(B33,Annuaire_roster!B:I,6,0),"-")</f>
        <v>Forfaitaire</v>
      </c>
      <c r="AB33" s="40" t="str">
        <f aca="false">IF(AND(D33="Congé",F33="Congé"),0.333333333333333,IF(OR(AND(D33="Congé",F33&lt;&gt;"Congé"),(AND(F33="Congé",D33&lt;&gt;"Congé"))),0.166666666666667,""))</f>
        <v/>
      </c>
      <c r="AC33" s="40" t="str">
        <f aca="false">IF(AND(D33="Congé sans solde",F33="Congé sans solde"),0.333333333333333,IF(OR(AND(D33="Congé sans solde",F33&lt;&gt;"Congé sans solde"),(AND(F33="Congé sans solde",D33&lt;&gt;"Congé sans solde"))),0.166666666666667,""))</f>
        <v/>
      </c>
      <c r="AD33" s="40" t="str">
        <f aca="false">IF(AND(D33="Congé spécial",F33="Congé spécial"),0.333333333333333,IF(OR(AND(D33="Congé spécial",F33&lt;&gt;"Congé décès"),(AND(F33="Congé spécial",D33&lt;&gt;"Congé spécial"))),0.166666666666667,""))</f>
        <v/>
      </c>
      <c r="AE33" s="41" t="str">
        <f aca="false">IF(AND(D33="Férié",F33="Férié"),0.333333333333333,IF(OR(AND(D33="Férié",F33&lt;&gt;"Férié"),(AND(F33="Férié",D33&lt;&gt;"Férié"))),0.166666666666667,""))</f>
        <v/>
      </c>
      <c r="AF33" s="41"/>
      <c r="AG33" s="36"/>
    </row>
    <row r="34" customFormat="false" ht="12.75" hidden="true" customHeight="true" outlineLevel="0" collapsed="false">
      <c r="A34" s="43" t="n">
        <f aca="false">VLOOKUP(B34,Annuaire_roster!B:F,5,0)</f>
        <v>742</v>
      </c>
      <c r="B34" s="23" t="s">
        <v>33</v>
      </c>
      <c r="C34" s="24" t="str">
        <f aca="false">IFERROR(IF(COUNTIFS(Pointage_brut!$E:$E,VLOOKUP($B34,Annuaire_roster!$B:$J,9,0),Pointage_brut!$A:$A,TEXT($Q34,"yyyymmdd")*1)=0,"",MOD(_xlfn.MINIFS(Pointage_brut!$F:$F,Pointage_brut!$E:$E,VLOOKUP($B34,Annuaire_roster!$B:$J,9,0),Pointage_brut!$A:$A,TEXT($Q34,"yyyymmdd")*1),1)),"")</f>
        <v/>
      </c>
      <c r="D34" s="25" t="n">
        <f aca="false" t="array" ref="D34:D34">IFERROR(INDEX(Planning2[],MATCH(1,(Planning2[Nom]=B34)*(Planning2[Date]=Q34),0),3),"-")</f>
        <v>0.291666666666667</v>
      </c>
      <c r="E34" s="26" t="str">
        <f aca="false">IFERROR(IF(COUNTIFS(Pointage_brut!$E:$E,VLOOKUP($B34,Annuaire_roster!$B:$J,9,0),Pointage_brut!$A:$A,TEXT($Q34,"yyyymmdd")*1)=0,"",MOD(_xlfn.MAXIFS(Pointage_brut!$G:$G,Pointage_brut!$E:$E,VLOOKUP($B34,Annuaire_roster!$B:$J,9,0),Pointage_brut!$A:$A,TEXT($Q34,"yyyymmdd")*1),1)),"")</f>
        <v/>
      </c>
      <c r="F34" s="27" t="n">
        <f aca="false" t="array" ref="F34:F34">IFERROR(INDEX(Planning2[],MATCH(1,(Planning2[Nom]=B34)*(Planning2[Date]=Q34),0),4),"-")</f>
        <v>0.708333333333333</v>
      </c>
      <c r="G34" s="28"/>
      <c r="H34" s="28"/>
      <c r="I34" s="29" t="str">
        <f aca="false">IF(IF(OR(C34="",D34="Congé",D34="OFF",D34="Congé spécial"),"",IF(D34&gt;F34,D34-C34,IF(C34-D34&lt;0,0,C34-D34)))&lt;0.00068287037037037,"",IF(OR(D34="Congé",D34="OFF",C34="",D34="Congé spécial"),"",IF(D34&gt;F34,D34-C34,IF(C34-D34&lt;0,0,C34-D34))))</f>
        <v/>
      </c>
      <c r="J34" s="28"/>
      <c r="K34" s="30" t="n">
        <f aca="false">IF(SUM(H34:J34)&lt;0.00068287037037037,0,SUM(H34:J34))</f>
        <v>0</v>
      </c>
      <c r="L34" s="28" t="n">
        <f aca="false">IF(OR(F34="Congé",F34="OFF",M34="Abs",F34="Congé sans solde",F34="Férié",F34="Congé spécial",D34="Congé spécial"),0,IF(F34-E34&lt;0,0,IF(F34-E34&lt;=0.00068287037037037,0,F34-E34)))</f>
        <v>0</v>
      </c>
      <c r="M34" s="31" t="str">
        <f aca="false">IF(AND(O34&lt;&gt;0,C34=""),"Abs",0)</f>
        <v>Abs</v>
      </c>
      <c r="N34" s="44" t="str">
        <f aca="false">IFERROR(IF(OR(D34="OFF",D34="Congé",M34="Abs",D34="Congé sans solde",D34="Férié"),"",IF(O34-K34-L34&gt;O34,O34,IF(O34-K34-L34&lt;0,"",O34-K34-L34))),"")</f>
        <v/>
      </c>
      <c r="O34" s="33" t="n">
        <f aca="false">IF(AG34="2H Pause déjeuner",IF(F34-D34-0.0833333333333333&lt;0,F34-D34-0.0833333333333333+1,F34-D34-0.0833333333333333),IF(OR(AND(F34="OFF",D34="OFF"),AND(F34="Congé",D34="Congé"),AND(F34="Congé sans solde",D34="Congé sans solde"),AND(F34="Congé spécial",D34="Congé spécial"),AND(F34="Férié",D34="Férié"),AND(F34="OFF",D34="Congé"),AND(F34="OFF",D34="Congé sans solde"),AND(F34="OFF",D34="Congé spécial"),AND(F34="OFF",D34="Férié"),AND(F34="Congé",D34="OFF"),AND(F34="Congé",D34="Congé sans solde"),AND(F34="Congé",D34="Congé spécial"),AND(F34="Congé",D34="Férié"),AND(F34="Congé sans solde",D34="OFF"),AND(F34="Congé sans solde",D34="Congé"),AND(F34="Congé sans solde",D34="Congé spécial"),AND(F34="Congé sans solde",D34="Férié"),AND(F34="Congé spécial",D34="OFF"),AND(F34="Congé spécial",D34="Congé"),AND(F34="Congé spécial",D34="Congé sans solde"),AND(F34="Congé spécial",D34="Férié"),AND(F34="Férié",D34="OFF"),AND(F34="Férié",D34="Congé"),AND(F34="Férié",D34="Congé sans solde"),AND(F34="Férié",D34="Congé spécial")),0,IF(OR(F34="OFF",F34="Congé",F34="Congé spécial",F34="Congé sans solde",D34="OFF",D34="Congé",D34="Congé spécial",D34="Congé sans solde"),0.208333333333334,IF(AND(AG34="",F34-D34&lt;0),("24:00:00"-D34)+("00:00:00"+F34)-0.0416666666666667,IF(AND(OR(AG34="Allaitement",AG34="Sans déjeuner"),F34-D34&lt;0),("24:00:00"-D34)+("00:00:00"+F34),IF(AND(AG34="",F34-D34&gt;0.166666666666667),F34-D34-0.0416666666666667,IF(AND(OR(AG34="Allaitement",AG34="Sans déjeuner"),F34-D34&gt;0.166666666666667),F34-D34,F34-D34)))))))</f>
        <v>0.375</v>
      </c>
      <c r="P34" s="34" t="str">
        <f aca="false">IFERROR(VLOOKUP($B34,Annuaire_roster!$B:$G,MATCH(P$1,Annuaire_roster!$B$1:$G$1,0),0),"-")</f>
        <v>Google Leads</v>
      </c>
      <c r="Q34" s="45" t="n">
        <v>44718</v>
      </c>
      <c r="R34" s="40" t="n">
        <f aca="false">IF(M34="Abs",O34,0)</f>
        <v>0.375</v>
      </c>
      <c r="S34" s="40" t="n">
        <f aca="false">SUM(R34,L34,I34,J34,W34,H34)</f>
        <v>0.375</v>
      </c>
      <c r="T34" s="1" t="str">
        <f aca="false">"Sem - "&amp;WEEKNUM(Q34,21)</f>
        <v>Sem - 23</v>
      </c>
      <c r="U34" s="1" t="str">
        <f aca="false">PROPER(TEXT(Q34,"mmmm"))</f>
        <v>June</v>
      </c>
      <c r="V34" s="46" t="str">
        <f aca="false">+TEXT(Q34,"aaa")</f>
        <v>Sun</v>
      </c>
      <c r="W34" s="44"/>
      <c r="X34" s="47" t="n">
        <f aca="false">IFERROR(IF(M34="Abs",0,IF((D34-C34+E34-F34)&lt;0.000694444444444444,0,(D34-C34+E34-F34))),0)</f>
        <v>0</v>
      </c>
      <c r="Y34" s="48" t="str">
        <f aca="false">IFERROR(VLOOKUP(B34,Annuaire_roster!B:E,4,0),"-")</f>
        <v>OUAQERROUCH Nour-El Houda</v>
      </c>
      <c r="Z34" s="48" t="str">
        <f aca="false">IFERROR(VLOOKUP(B34,Annuaire_roster!B:F,3,0),"-")</f>
        <v>Google Leads</v>
      </c>
      <c r="AA34" s="48" t="str">
        <f aca="false">IFERROR(VLOOKUP(B34,Annuaire_roster!B:I,6,0),"-")</f>
        <v>Forfaitaire</v>
      </c>
      <c r="AB34" s="40" t="str">
        <f aca="false">IF(AND(D34="Congé",F34="Congé"),0.333333333333333,IF(OR(AND(D34="Congé",F34&lt;&gt;"Congé"),(AND(F34="Congé",D34&lt;&gt;"Congé"))),0.166666666666667,""))</f>
        <v/>
      </c>
      <c r="AC34" s="40" t="str">
        <f aca="false">IF(AND(D34="Congé sans solde",F34="Congé sans solde"),0.333333333333333,IF(OR(AND(D34="Congé sans solde",F34&lt;&gt;"Congé sans solde"),(AND(F34="Congé sans solde",D34&lt;&gt;"Congé sans solde"))),0.166666666666667,""))</f>
        <v/>
      </c>
      <c r="AD34" s="40" t="str">
        <f aca="false">IF(AND(D34="Congé spécial",F34="Congé spécial"),0.333333333333333,IF(OR(AND(D34="Congé spécial",F34&lt;&gt;"Congé décès"),(AND(F34="Congé spécial",D34&lt;&gt;"Congé spécial"))),0.166666666666667,""))</f>
        <v/>
      </c>
      <c r="AE34" s="49" t="str">
        <f aca="false">IF(AND(D34="Férié",F34="Férié"),0.333333333333333,IF(OR(AND(D34="Férié",F34&lt;&gt;"Férié"),(AND(F34="Férié",D34&lt;&gt;"Férié"))),0.166666666666667,""))</f>
        <v/>
      </c>
      <c r="AF34" s="49"/>
      <c r="AG34" s="40"/>
    </row>
    <row r="35" customFormat="false" ht="12.75" hidden="true" customHeight="true" outlineLevel="0" collapsed="false">
      <c r="A35" s="22" t="n">
        <f aca="false">VLOOKUP(B35,Annuaire_roster!B:F,5,0)</f>
        <v>1007</v>
      </c>
      <c r="B35" s="52" t="s">
        <v>59</v>
      </c>
      <c r="C35" s="24" t="str">
        <f aca="false">IFERROR(IF(COUNTIFS(Pointage_brut!$E:$E,VLOOKUP($B35,Annuaire_roster!$B:$J,9,0),Pointage_brut!$A:$A,TEXT($Q35,"yyyymmdd")*1)=0,"",MOD(_xlfn.MINIFS(Pointage_brut!$F:$F,Pointage_brut!$E:$E,VLOOKUP($B35,Annuaire_roster!$B:$J,9,0),Pointage_brut!$A:$A,TEXT($Q35,"yyyymmdd")*1),1)),"")</f>
        <v/>
      </c>
      <c r="D35" s="25" t="n">
        <f aca="false" t="array" ref="D35:D35">IFERROR(INDEX(Planning2[],MATCH(1,(Planning2[Nom]=B35)*(Planning2[Date]=Q35),0),3),"-")</f>
        <v>0.291666666666667</v>
      </c>
      <c r="E35" s="26" t="str">
        <f aca="false">IFERROR(IF(COUNTIFS(Pointage_brut!$E:$E,VLOOKUP($B35,Annuaire_roster!$B:$J,9,0),Pointage_brut!$A:$A,TEXT($Q35,"yyyymmdd")*1)=0,"",MOD(_xlfn.MAXIFS(Pointage_brut!$G:$G,Pointage_brut!$E:$E,VLOOKUP($B35,Annuaire_roster!$B:$J,9,0),Pointage_brut!$A:$A,TEXT($Q35,"yyyymmdd")*1),1)),"")</f>
        <v/>
      </c>
      <c r="F35" s="27" t="n">
        <f aca="false" t="array" ref="F35:F35">IFERROR(INDEX(Planning2[],MATCH(1,(Planning2[Nom]=B35)*(Planning2[Date]=Q35),0),4),"-")</f>
        <v>0.708333333333333</v>
      </c>
      <c r="G35" s="28"/>
      <c r="H35" s="28"/>
      <c r="I35" s="29" t="str">
        <f aca="false">IF(IF(OR(C35="",D35="Congé",D35="OFF",D35="Congé spécial"),"",IF(D35&gt;F35,D35-C35,IF(C35-D35&lt;0,0,C35-D35)))&lt;0.00068287037037037,"",IF(OR(D35="Congé",D35="OFF",C35="",D35="Congé spécial"),"",IF(D35&gt;F35,D35-C35,IF(C35-D35&lt;0,0,C35-D35))))</f>
        <v/>
      </c>
      <c r="J35" s="28"/>
      <c r="K35" s="30" t="n">
        <f aca="false">IF(SUM(H35:J35)&lt;0.00068287037037037,0,SUM(H35:J35))</f>
        <v>0</v>
      </c>
      <c r="L35" s="28" t="n">
        <f aca="false">IF(OR(F35="Congé",F35="OFF",M35="Abs",F35="Congé sans solde",F35="Férié",F35="Congé spécial",D35="Congé spécial"),0,IF(F35-E35&lt;0,0,IF(F35-E35&lt;=0.00068287037037037,0,F35-E35)))</f>
        <v>0</v>
      </c>
      <c r="M35" s="31" t="str">
        <f aca="false">IF(AND(O35&lt;&gt;0,C35=""),"Abs",0)</f>
        <v>Abs</v>
      </c>
      <c r="N35" s="32" t="str">
        <f aca="false">IFERROR(IF(OR(D35="OFF",D35="Congé",M35="Abs",D35="Congé sans solde",D35="Férié"),"",IF(O35-K35-L35&gt;O35,O35,IF(O35-K35-L35&lt;0,"",O35-K35-L35))),"")</f>
        <v/>
      </c>
      <c r="O35" s="33" t="n">
        <f aca="false">IF(AG35="2H Pause déjeuner",IF(F35-D35-0.0833333333333333&lt;0,F35-D35-0.0833333333333333+1,F35-D35-0.0833333333333333),IF(OR(AND(F35="OFF",D35="OFF"),AND(F35="Congé",D35="Congé"),AND(F35="Congé sans solde",D35="Congé sans solde"),AND(F35="Congé spécial",D35="Congé spécial"),AND(F35="Férié",D35="Férié"),AND(F35="OFF",D35="Congé"),AND(F35="OFF",D35="Congé sans solde"),AND(F35="OFF",D35="Congé spécial"),AND(F35="OFF",D35="Férié"),AND(F35="Congé",D35="OFF"),AND(F35="Congé",D35="Congé sans solde"),AND(F35="Congé",D35="Congé spécial"),AND(F35="Congé",D35="Férié"),AND(F35="Congé sans solde",D35="OFF"),AND(F35="Congé sans solde",D35="Congé"),AND(F35="Congé sans solde",D35="Congé spécial"),AND(F35="Congé sans solde",D35="Férié"),AND(F35="Congé spécial",D35="OFF"),AND(F35="Congé spécial",D35="Congé"),AND(F35="Congé spécial",D35="Congé sans solde"),AND(F35="Congé spécial",D35="Férié"),AND(F35="Férié",D35="OFF"),AND(F35="Férié",D35="Congé"),AND(F35="Férié",D35="Congé sans solde"),AND(F35="Férié",D35="Congé spécial")),0,IF(OR(F35="OFF",F35="Congé",F35="Congé spécial",F35="Congé sans solde",D35="OFF",D35="Congé",D35="Congé spécial",D35="Congé sans solde"),0.208333333333334,IF(AND(AG35="",F35-D35&lt;0),("24:00:00"-D35)+("00:00:00"+F35)-0.0416666666666667,IF(AND(OR(AG35="Allaitement",AG35="Sans déjeuner"),F35-D35&lt;0),("24:00:00"-D35)+("00:00:00"+F35),IF(AND(AG35="",F35-D35&gt;0.166666666666667),F35-D35-0.0416666666666667,IF(AND(OR(AG35="Allaitement",AG35="Sans déjeuner"),F35-D35&gt;0.166666666666667),F35-D35,F35-D35)))))))</f>
        <v>0.375</v>
      </c>
      <c r="P35" s="34" t="str">
        <f aca="false">IFERROR(VLOOKUP($B35,Annuaire_roster!$B:$G,MATCH(P$1,Annuaire_roster!$B$1:$G$1,0),0),"-")</f>
        <v>Google Leads</v>
      </c>
      <c r="Q35" s="35" t="n">
        <v>44718</v>
      </c>
      <c r="R35" s="36" t="n">
        <f aca="false">IF(M35="Abs",O35,0)</f>
        <v>0.375</v>
      </c>
      <c r="S35" s="36" t="n">
        <f aca="false">SUM(R35,L35,I35,J35,W35,H35)</f>
        <v>0.375</v>
      </c>
      <c r="T35" s="1" t="str">
        <f aca="false">"Sem - "&amp;WEEKNUM(Q35,21)</f>
        <v>Sem - 23</v>
      </c>
      <c r="U35" s="1" t="str">
        <f aca="false">PROPER(TEXT(Q35,"mmmm"))</f>
        <v>June</v>
      </c>
      <c r="V35" s="37" t="str">
        <f aca="false">+TEXT(Q35,"aaa")</f>
        <v>Sun</v>
      </c>
      <c r="W35" s="32"/>
      <c r="X35" s="38" t="n">
        <f aca="false">IFERROR(IF(M35="Abs",0,IF((D35-C35+E35-F35)&lt;0.000694444444444444,0,(D35-C35+E35-F35))),0)</f>
        <v>0</v>
      </c>
      <c r="Y35" s="39" t="str">
        <f aca="false">IFERROR(VLOOKUP(B35,Annuaire_roster!B:E,4,0),"-")</f>
        <v>OUAQERROUCH Nour-El Houda</v>
      </c>
      <c r="Z35" s="39" t="str">
        <f aca="false">IFERROR(VLOOKUP(B35,Annuaire_roster!B:F,3,0),"-")</f>
        <v>Google Leads</v>
      </c>
      <c r="AA35" s="39" t="str">
        <f aca="false">IFERROR(VLOOKUP(B35,Annuaire_roster!B:I,6,0),"-")</f>
        <v>Forfaitaire</v>
      </c>
      <c r="AB35" s="40" t="str">
        <f aca="false">IF(AND(D35="Congé",F35="Congé"),0.333333333333333,IF(OR(AND(D35="Congé",F35&lt;&gt;"Congé"),(AND(F35="Congé",D35&lt;&gt;"Congé"))),0.166666666666667,""))</f>
        <v/>
      </c>
      <c r="AC35" s="40" t="str">
        <f aca="false">IF(AND(D35="Congé sans solde",F35="Congé sans solde"),0.333333333333333,IF(OR(AND(D35="Congé sans solde",F35&lt;&gt;"Congé sans solde"),(AND(F35="Congé sans solde",D35&lt;&gt;"Congé sans solde"))),0.166666666666667,""))</f>
        <v/>
      </c>
      <c r="AD35" s="40" t="str">
        <f aca="false">IF(AND(D35="Congé spécial",F35="Congé spécial"),0.333333333333333,IF(OR(AND(D35="Congé spécial",F35&lt;&gt;"Congé décès"),(AND(F35="Congé spécial",D35&lt;&gt;"Congé spécial"))),0.166666666666667,""))</f>
        <v/>
      </c>
      <c r="AE35" s="41" t="str">
        <f aca="false">IF(AND(D35="Férié",F35="Férié"),0.333333333333333,IF(OR(AND(D35="Férié",F35&lt;&gt;"Férié"),(AND(F35="Férié",D35&lt;&gt;"Férié"))),0.166666666666667,""))</f>
        <v/>
      </c>
      <c r="AF35" s="41"/>
      <c r="AG35" s="36"/>
    </row>
    <row r="36" customFormat="false" ht="12.75" hidden="true" customHeight="true" outlineLevel="0" collapsed="false">
      <c r="A36" s="43" t="n">
        <f aca="false">VLOOKUP(B36,Annuaire_roster!B:F,5,0)</f>
        <v>1145</v>
      </c>
      <c r="B36" s="23" t="s">
        <v>61</v>
      </c>
      <c r="C36" s="24" t="str">
        <f aca="false">IFERROR(IF(COUNTIFS(Pointage_brut!$E:$E,VLOOKUP($B36,Annuaire_roster!$B:$J,9,0),Pointage_brut!$A:$A,TEXT($Q36,"yyyymmdd")*1)=0,"",MOD(_xlfn.MINIFS(Pointage_brut!$F:$F,Pointage_brut!$E:$E,VLOOKUP($B36,Annuaire_roster!$B:$J,9,0),Pointage_brut!$A:$A,TEXT($Q36,"yyyymmdd")*1),1)),"")</f>
        <v/>
      </c>
      <c r="D36" s="25" t="n">
        <f aca="false" t="array" ref="D36:D36">IFERROR(INDEX(Planning2[],MATCH(1,(Planning2[Nom]=B36)*(Planning2[Date]=Q36),0),3),"-")</f>
        <v>0.291666666666667</v>
      </c>
      <c r="E36" s="26" t="str">
        <f aca="false">IFERROR(IF(COUNTIFS(Pointage_brut!$E:$E,VLOOKUP($B36,Annuaire_roster!$B:$J,9,0),Pointage_brut!$A:$A,TEXT($Q36,"yyyymmdd")*1)=0,"",MOD(_xlfn.MAXIFS(Pointage_brut!$G:$G,Pointage_brut!$E:$E,VLOOKUP($B36,Annuaire_roster!$B:$J,9,0),Pointage_brut!$A:$A,TEXT($Q36,"yyyymmdd")*1),1)),"")</f>
        <v/>
      </c>
      <c r="F36" s="27" t="n">
        <f aca="false" t="array" ref="F36:F36">IFERROR(INDEX(Planning2[],MATCH(1,(Planning2[Nom]=B36)*(Planning2[Date]=Q36),0),4),"-")</f>
        <v>0.666666666666667</v>
      </c>
      <c r="G36" s="28"/>
      <c r="H36" s="28"/>
      <c r="I36" s="29" t="str">
        <f aca="false">IF(IF(OR(C36="",D36="Congé",D36="OFF",D36="Congé spécial"),"",IF(D36&gt;F36,D36-C36,IF(C36-D36&lt;0,0,C36-D36)))&lt;0.00068287037037037,"",IF(OR(D36="Congé",D36="OFF",C36="",D36="Congé spécial"),"",IF(D36&gt;F36,D36-C36,IF(C36-D36&lt;0,0,C36-D36))))</f>
        <v/>
      </c>
      <c r="J36" s="28"/>
      <c r="K36" s="30" t="n">
        <f aca="false">IF(SUM(H36:J36)&lt;0.00068287037037037,0,SUM(H36:J36))</f>
        <v>0</v>
      </c>
      <c r="L36" s="28" t="n">
        <f aca="false">IF(OR(F36="Congé",F36="OFF",M36="Abs",F36="Congé sans solde",F36="Férié",F36="Congé spécial",D36="Congé spécial"),0,IF(F36-E36&lt;0,0,IF(F36-E36&lt;=0.00068287037037037,0,F36-E36)))</f>
        <v>0</v>
      </c>
      <c r="M36" s="31" t="str">
        <f aca="false">IF(AND(O36&lt;&gt;0,C36=""),"Abs",0)</f>
        <v>Abs</v>
      </c>
      <c r="N36" s="44" t="str">
        <f aca="false">IFERROR(IF(OR(D36="OFF",D36="Congé",M36="Abs",D36="Congé sans solde",D36="Férié"),"",IF(O36-K36-L36&gt;O36,O36,IF(O36-K36-L36&lt;0,"",O36-K36-L36))),"")</f>
        <v/>
      </c>
      <c r="O36" s="33" t="n">
        <f aca="false">IF(AG36="2H Pause déjeuner",IF(F36-D36-0.0833333333333333&lt;0,F36-D36-0.0833333333333333+1,F36-D36-0.0833333333333333),IF(OR(AND(F36="OFF",D36="OFF"),AND(F36="Congé",D36="Congé"),AND(F36="Congé sans solde",D36="Congé sans solde"),AND(F36="Congé spécial",D36="Congé spécial"),AND(F36="Férié",D36="Férié"),AND(F36="OFF",D36="Congé"),AND(F36="OFF",D36="Congé sans solde"),AND(F36="OFF",D36="Congé spécial"),AND(F36="OFF",D36="Férié"),AND(F36="Congé",D36="OFF"),AND(F36="Congé",D36="Congé sans solde"),AND(F36="Congé",D36="Congé spécial"),AND(F36="Congé",D36="Férié"),AND(F36="Congé sans solde",D36="OFF"),AND(F36="Congé sans solde",D36="Congé"),AND(F36="Congé sans solde",D36="Congé spécial"),AND(F36="Congé sans solde",D36="Férié"),AND(F36="Congé spécial",D36="OFF"),AND(F36="Congé spécial",D36="Congé"),AND(F36="Congé spécial",D36="Congé sans solde"),AND(F36="Congé spécial",D36="Férié"),AND(F36="Férié",D36="OFF"),AND(F36="Férié",D36="Congé"),AND(F36="Férié",D36="Congé sans solde"),AND(F36="Férié",D36="Congé spécial")),0,IF(OR(F36="OFF",F36="Congé",F36="Congé spécial",F36="Congé sans solde",D36="OFF",D36="Congé",D36="Congé spécial",D36="Congé sans solde"),0.208333333333334,IF(AND(AG36="",F36-D36&lt;0),("24:00:00"-D36)+("00:00:00"+F36)-0.0416666666666667,IF(AND(OR(AG36="Allaitement",AG36="Sans déjeuner"),F36-D36&lt;0),("24:00:00"-D36)+("00:00:00"+F36),IF(AND(AG36="",F36-D36&gt;0.166666666666667),F36-D36-0.0416666666666667,IF(AND(OR(AG36="Allaitement",AG36="Sans déjeuner"),F36-D36&gt;0.166666666666667),F36-D36,F36-D36)))))))</f>
        <v>0.333333333333333</v>
      </c>
      <c r="P36" s="34" t="str">
        <f aca="false">IFERROR(VLOOKUP($B36,Annuaire_roster!$B:$G,MATCH(P$1,Annuaire_roster!$B$1:$G$1,0),0),"-")</f>
        <v>Google Leads</v>
      </c>
      <c r="Q36" s="45" t="n">
        <v>44718</v>
      </c>
      <c r="R36" s="40" t="n">
        <f aca="false">IF(M36="Abs",O36,0)</f>
        <v>0.333333333333333</v>
      </c>
      <c r="S36" s="40" t="n">
        <f aca="false">SUM(R36,L36,I36,J36,W36,H36)</f>
        <v>0.333333333333333</v>
      </c>
      <c r="T36" s="1" t="str">
        <f aca="false">"Sem - "&amp;WEEKNUM(Q36,21)</f>
        <v>Sem - 23</v>
      </c>
      <c r="U36" s="1" t="str">
        <f aca="false">PROPER(TEXT(Q36,"mmmm"))</f>
        <v>June</v>
      </c>
      <c r="V36" s="46" t="str">
        <f aca="false">+TEXT(Q36,"aaa")</f>
        <v>Sun</v>
      </c>
      <c r="W36" s="44"/>
      <c r="X36" s="47" t="n">
        <f aca="false">IFERROR(IF(M36="Abs",0,IF((D36-C36+E36-F36)&lt;0.000694444444444444,0,(D36-C36+E36-F36))),0)</f>
        <v>0</v>
      </c>
      <c r="Y36" s="48" t="str">
        <f aca="false">IFERROR(VLOOKUP(B36,Annuaire_roster!B:E,4,0),"-")</f>
        <v>CHOUIFI Mustapha</v>
      </c>
      <c r="Z36" s="48" t="str">
        <f aca="false">IFERROR(VLOOKUP(B36,Annuaire_roster!B:F,3,0),"-")</f>
        <v>Google Leads</v>
      </c>
      <c r="AA36" s="48" t="str">
        <f aca="false">IFERROR(VLOOKUP(B36,Annuaire_roster!B:I,6,0),"-")</f>
        <v>Forfaitaire</v>
      </c>
      <c r="AB36" s="40" t="str">
        <f aca="false">IF(AND(D36="Congé",F36="Congé"),0.333333333333333,IF(OR(AND(D36="Congé",F36&lt;&gt;"Congé"),(AND(F36="Congé",D36&lt;&gt;"Congé"))),0.166666666666667,""))</f>
        <v/>
      </c>
      <c r="AC36" s="40" t="str">
        <f aca="false">IF(AND(D36="Congé sans solde",F36="Congé sans solde"),0.333333333333333,IF(OR(AND(D36="Congé sans solde",F36&lt;&gt;"Congé sans solde"),(AND(F36="Congé sans solde",D36&lt;&gt;"Congé sans solde"))),0.166666666666667,""))</f>
        <v/>
      </c>
      <c r="AD36" s="40" t="str">
        <f aca="false">IF(AND(D36="Congé spécial",F36="Congé spécial"),0.333333333333333,IF(OR(AND(D36="Congé spécial",F36&lt;&gt;"Congé décès"),(AND(F36="Congé spécial",D36&lt;&gt;"Congé spécial"))),0.166666666666667,""))</f>
        <v/>
      </c>
      <c r="AE36" s="49" t="str">
        <f aca="false">IF(AND(D36="Férié",F36="Férié"),0.333333333333333,IF(OR(AND(D36="Férié",F36&lt;&gt;"Férié"),(AND(F36="Férié",D36&lt;&gt;"Férié"))),0.166666666666667,""))</f>
        <v/>
      </c>
      <c r="AF36" s="41"/>
      <c r="AG36" s="40"/>
    </row>
    <row r="37" customFormat="false" ht="12.75" hidden="true" customHeight="true" outlineLevel="0" collapsed="false">
      <c r="A37" s="43" t="n">
        <f aca="false">VLOOKUP(B37,Annuaire_roster!B:F,5,0)</f>
        <v>0</v>
      </c>
      <c r="B37" s="52" t="s">
        <v>34</v>
      </c>
      <c r="C37" s="24" t="str">
        <f aca="false">IFERROR(IF(COUNTIFS(Pointage_brut!$E:$E,VLOOKUP($B37,Annuaire_roster!$B:$J,9,0),Pointage_brut!$A:$A,TEXT($Q37,"yyyymmdd")*1)=0,"",MOD(_xlfn.MINIFS(Pointage_brut!$F:$F,Pointage_brut!$E:$E,VLOOKUP($B37,Annuaire_roster!$B:$J,9,0),Pointage_brut!$A:$A,TEXT($Q37,"yyyymmdd")*1),1)),"")</f>
        <v/>
      </c>
      <c r="D37" s="25" t="n">
        <f aca="false" t="array" ref="D37:D37">IFERROR(INDEX(Planning2[],MATCH(1,(Planning2[Nom]=B37)*(Planning2[Date]=Q37),0),3),"-")</f>
        <v>0.291666666666667</v>
      </c>
      <c r="E37" s="26" t="str">
        <f aca="false">IFERROR(IF(COUNTIFS(Pointage_brut!$E:$E,VLOOKUP($B37,Annuaire_roster!$B:$J,9,0),Pointage_brut!$A:$A,TEXT($Q37,"yyyymmdd")*1)=0,"",MOD(_xlfn.MAXIFS(Pointage_brut!$G:$G,Pointage_brut!$E:$E,VLOOKUP($B37,Annuaire_roster!$B:$J,9,0),Pointage_brut!$A:$A,TEXT($Q37,"yyyymmdd")*1),1)),"")</f>
        <v/>
      </c>
      <c r="F37" s="27" t="n">
        <f aca="false" t="array" ref="F37:F37">IFERROR(INDEX(Planning2[],MATCH(1,(Planning2[Nom]=B37)*(Planning2[Date]=Q37),0),4),"-")</f>
        <v>0.708333333333333</v>
      </c>
      <c r="G37" s="28"/>
      <c r="H37" s="28"/>
      <c r="I37" s="29" t="n">
        <v>0.235416666666667</v>
      </c>
      <c r="J37" s="28"/>
      <c r="K37" s="30" t="n">
        <f aca="false">IF(SUM(H37:J37)&lt;0.00068287037037037,0,SUM(H37:J37))</f>
        <v>0.235416666666667</v>
      </c>
      <c r="L37" s="28" t="n">
        <f aca="false">IF(OR(F37="Congé",F37="OFF",M37="Abs",F37="Congé sans solde",F37="Férié",F37="Congé spécial",D37="Congé spécial"),0,IF(F37-E37&lt;0,0,IF(F37-E37&lt;=0.00068287037037037,0,F37-E37)))</f>
        <v>0</v>
      </c>
      <c r="M37" s="31" t="str">
        <f aca="false">IF(AND(O37&lt;&gt;0,C37=""),"Abs",0)</f>
        <v>Abs</v>
      </c>
      <c r="N37" s="44" t="str">
        <f aca="false">IFERROR(IF(OR(D37="OFF",D37="Congé",M37="Abs",D37="Congé sans solde",D37="Férié"),"",IF(O37-K37-L37&gt;O37,O37,IF(O37-K37-L37&lt;0,"",O37-K37-L37))),"")</f>
        <v/>
      </c>
      <c r="O37" s="33" t="n">
        <f aca="false">IF(AG37="2H Pause déjeuner",IF(F37-D37-0.0833333333333333&lt;0,F37-D37-0.0833333333333333+1,F37-D37-0.0833333333333333),IF(OR(AND(F37="OFF",D37="OFF"),AND(F37="Congé",D37="Congé"),AND(F37="Congé sans solde",D37="Congé sans solde"),AND(F37="Congé spécial",D37="Congé spécial"),AND(F37="Férié",D37="Férié"),AND(F37="OFF",D37="Congé"),AND(F37="OFF",D37="Congé sans solde"),AND(F37="OFF",D37="Congé spécial"),AND(F37="OFF",D37="Férié"),AND(F37="Congé",D37="OFF"),AND(F37="Congé",D37="Congé sans solde"),AND(F37="Congé",D37="Congé spécial"),AND(F37="Congé",D37="Férié"),AND(F37="Congé sans solde",D37="OFF"),AND(F37="Congé sans solde",D37="Congé"),AND(F37="Congé sans solde",D37="Congé spécial"),AND(F37="Congé sans solde",D37="Férié"),AND(F37="Congé spécial",D37="OFF"),AND(F37="Congé spécial",D37="Congé"),AND(F37="Congé spécial",D37="Congé sans solde"),AND(F37="Congé spécial",D37="Férié"),AND(F37="Férié",D37="OFF"),AND(F37="Férié",D37="Congé"),AND(F37="Férié",D37="Congé sans solde"),AND(F37="Férié",D37="Congé spécial")),0,IF(OR(F37="OFF",F37="Congé",F37="Congé spécial",F37="Congé sans solde",D37="OFF",D37="Congé",D37="Congé spécial",D37="Congé sans solde"),0.208333333333334,IF(AND(AG37="",F37-D37&lt;0),("24:00:00"-D37)+("00:00:00"+F37)-0.0416666666666667,IF(AND(OR(AG37="Allaitement",AG37="Sans déjeuner"),F37-D37&lt;0),("24:00:00"-D37)+("00:00:00"+F37),IF(AND(AG37="",F37-D37&gt;0.166666666666667),F37-D37-0.0416666666666667,IF(AND(OR(AG37="Allaitement",AG37="Sans déjeuner"),F37-D37&gt;0.166666666666667),F37-D37,F37-D37)))))))</f>
        <v>0.375</v>
      </c>
      <c r="P37" s="34" t="str">
        <f aca="false">IFERROR(VLOOKUP($B37,Annuaire_roster!$B:$G,MATCH(P$1,Annuaire_roster!$B$1:$G$1,0),0),"-")</f>
        <v>Google Leads</v>
      </c>
      <c r="Q37" s="45" t="n">
        <v>44718</v>
      </c>
      <c r="R37" s="40" t="n">
        <f aca="false">IF(M37="Abs",O37,0)</f>
        <v>0.375</v>
      </c>
      <c r="S37" s="40" t="n">
        <f aca="false">SUM(R37,L37,I37,J37,W37,H37)</f>
        <v>0.610416666666667</v>
      </c>
      <c r="T37" s="1" t="str">
        <f aca="false">"Sem - "&amp;WEEKNUM(Q37,21)</f>
        <v>Sem - 23</v>
      </c>
      <c r="U37" s="1" t="str">
        <f aca="false">PROPER(TEXT(Q37,"mmmm"))</f>
        <v>June</v>
      </c>
      <c r="V37" s="46" t="str">
        <f aca="false">+TEXT(Q37,"aaa")</f>
        <v>Sun</v>
      </c>
      <c r="W37" s="44"/>
      <c r="X37" s="47" t="n">
        <f aca="false">IFERROR(IF(M37="Abs",0,IF((D37-C37+E37-F37)&lt;0.000694444444444444,0,(D37-C37+E37-F37))),0)</f>
        <v>0</v>
      </c>
      <c r="Y37" s="48" t="n">
        <f aca="false">IFERROR(VLOOKUP(B37,Annuaire_roster!B:E,4,0),"-")</f>
        <v>0</v>
      </c>
      <c r="Z37" s="48" t="str">
        <f aca="false">IFERROR(VLOOKUP(B37,Annuaire_roster!B:F,3,0),"-")</f>
        <v>Google Leads</v>
      </c>
      <c r="AA37" s="48" t="n">
        <f aca="false">IFERROR(VLOOKUP(B37,Annuaire_roster!B:I,6,0),"-")</f>
        <v>0</v>
      </c>
      <c r="AB37" s="40" t="str">
        <f aca="false">IF(AND(D37="Congé",F37="Congé"),0.333333333333333,IF(OR(AND(D37="Congé",F37&lt;&gt;"Congé"),(AND(F37="Congé",D37&lt;&gt;"Congé"))),0.166666666666667,""))</f>
        <v/>
      </c>
      <c r="AC37" s="40" t="str">
        <f aca="false">IF(AND(D37="Congé sans solde",F37="Congé sans solde"),0.333333333333333,IF(OR(AND(D37="Congé sans solde",F37&lt;&gt;"Congé sans solde"),(AND(F37="Congé sans solde",D37&lt;&gt;"Congé sans solde"))),0.166666666666667,""))</f>
        <v/>
      </c>
      <c r="AD37" s="40" t="str">
        <f aca="false">IF(AND(D37="Congé spécial",F37="Congé spécial"),0.333333333333333,IF(OR(AND(D37="Congé spécial",F37&lt;&gt;"Congé décès"),(AND(F37="Congé spécial",D37&lt;&gt;"Congé spécial"))),0.166666666666667,""))</f>
        <v/>
      </c>
      <c r="AE37" s="49" t="str">
        <f aca="false">IF(AND(D37="Férié",F37="Férié"),0.333333333333333,IF(OR(AND(D37="Férié",F37&lt;&gt;"Férié"),(AND(F37="Férié",D37&lt;&gt;"Férié"))),0.166666666666667,""))</f>
        <v/>
      </c>
      <c r="AF37" s="49"/>
      <c r="AG37" s="40"/>
    </row>
    <row r="38" customFormat="false" ht="12.75" hidden="true" customHeight="true" outlineLevel="0" collapsed="false">
      <c r="A38" s="22" t="n">
        <f aca="false">VLOOKUP(B38,Annuaire_roster!B:F,5,0)</f>
        <v>0</v>
      </c>
      <c r="B38" s="23" t="s">
        <v>35</v>
      </c>
      <c r="C38" s="24" t="str">
        <f aca="false">IFERROR(IF(COUNTIFS(Pointage_brut!$E:$E,VLOOKUP($B38,Annuaire_roster!$B:$J,9,0),Pointage_brut!$A:$A,TEXT($Q38,"yyyymmdd")*1)=0,"",MOD(_xlfn.MINIFS(Pointage_brut!$F:$F,Pointage_brut!$E:$E,VLOOKUP($B38,Annuaire_roster!$B:$J,9,0),Pointage_brut!$A:$A,TEXT($Q38,"yyyymmdd")*1),1)),"")</f>
        <v/>
      </c>
      <c r="D38" s="25" t="n">
        <f aca="false" t="array" ref="D38:D38">IFERROR(INDEX(Planning2[],MATCH(1,(Planning2[Nom]=B38)*(Planning2[Date]=Q38),0),3),"-")</f>
        <v>0.291666666666667</v>
      </c>
      <c r="E38" s="26" t="str">
        <f aca="false">IFERROR(IF(COUNTIFS(Pointage_brut!$E:$E,VLOOKUP($B38,Annuaire_roster!$B:$J,9,0),Pointage_brut!$A:$A,TEXT($Q38,"yyyymmdd")*1)=0,"",MOD(_xlfn.MAXIFS(Pointage_brut!$G:$G,Pointage_brut!$E:$E,VLOOKUP($B38,Annuaire_roster!$B:$J,9,0),Pointage_brut!$A:$A,TEXT($Q38,"yyyymmdd")*1),1)),"")</f>
        <v/>
      </c>
      <c r="F38" s="27" t="n">
        <f aca="false" t="array" ref="F38:F38">IFERROR(INDEX(Planning2[],MATCH(1,(Planning2[Nom]=B38)*(Planning2[Date]=Q38),0),4),"-")</f>
        <v>0.666666666666667</v>
      </c>
      <c r="G38" s="28"/>
      <c r="H38" s="28"/>
      <c r="I38" s="29" t="str">
        <f aca="false">IF(IF(OR(C38="",D38="Congé",D38="OFF",D38="Congé spécial"),"",IF(D38&gt;F38,D38-C38,IF(C38-D38&lt;0,0,C38-D38)))&lt;0.00068287037037037,"",IF(OR(D38="Congé",D38="OFF",C38="",D38="Congé spécial"),"",IF(D38&gt;F38,D38-C38,IF(C38-D38&lt;0,0,C38-D38))))</f>
        <v/>
      </c>
      <c r="J38" s="28"/>
      <c r="K38" s="30" t="n">
        <f aca="false">IF(SUM(H38:J38)&lt;0.00068287037037037,0,SUM(H38:J38))</f>
        <v>0</v>
      </c>
      <c r="L38" s="28" t="n">
        <f aca="false">IF(OR(F38="Congé",F38="OFF",M38="Abs",F38="Congé sans solde",F38="Férié",F38="Congé spécial",D38="Congé spécial"),0,IF(F38-E38&lt;0,0,IF(F38-E38&lt;=0.00068287037037037,0,F38-E38)))</f>
        <v>0</v>
      </c>
      <c r="M38" s="31" t="str">
        <f aca="false">IF(AND(O38&lt;&gt;0,C38=""),"Abs",0)</f>
        <v>Abs</v>
      </c>
      <c r="N38" s="32" t="str">
        <f aca="false">IFERROR(IF(OR(D38="OFF",D38="Congé",M38="Abs",D38="Congé sans solde",D38="Férié"),"",IF(O38-K38-L38&gt;O38,O38,IF(O38-K38-L38&lt;0,"",O38-K38-L38))),"")</f>
        <v/>
      </c>
      <c r="O38" s="33" t="n">
        <f aca="false">IF(AG38="2H Pause déjeuner",IF(F38-D38-0.0833333333333333&lt;0,F38-D38-0.0833333333333333+1,F38-D38-0.0833333333333333),IF(OR(AND(F38="OFF",D38="OFF"),AND(F38="Congé",D38="Congé"),AND(F38="Congé sans solde",D38="Congé sans solde"),AND(F38="Congé spécial",D38="Congé spécial"),AND(F38="Férié",D38="Férié"),AND(F38="OFF",D38="Congé"),AND(F38="OFF",D38="Congé sans solde"),AND(F38="OFF",D38="Congé spécial"),AND(F38="OFF",D38="Férié"),AND(F38="Congé",D38="OFF"),AND(F38="Congé",D38="Congé sans solde"),AND(F38="Congé",D38="Congé spécial"),AND(F38="Congé",D38="Férié"),AND(F38="Congé sans solde",D38="OFF"),AND(F38="Congé sans solde",D38="Congé"),AND(F38="Congé sans solde",D38="Congé spécial"),AND(F38="Congé sans solde",D38="Férié"),AND(F38="Congé spécial",D38="OFF"),AND(F38="Congé spécial",D38="Congé"),AND(F38="Congé spécial",D38="Congé sans solde"),AND(F38="Congé spécial",D38="Férié"),AND(F38="Férié",D38="OFF"),AND(F38="Férié",D38="Congé"),AND(F38="Férié",D38="Congé sans solde"),AND(F38="Férié",D38="Congé spécial")),0,IF(OR(F38="OFF",F38="Congé",F38="Congé spécial",F38="Congé sans solde",D38="OFF",D38="Congé",D38="Congé spécial",D38="Congé sans solde"),0.208333333333334,IF(AND(AG38="",F38-D38&lt;0),("24:00:00"-D38)+("00:00:00"+F38)-0.0416666666666667,IF(AND(OR(AG38="Allaitement",AG38="Sans déjeuner"),F38-D38&lt;0),("24:00:00"-D38)+("00:00:00"+F38),IF(AND(AG38="",F38-D38&gt;0.166666666666667),F38-D38-0.0416666666666667,IF(AND(OR(AG38="Allaitement",AG38="Sans déjeuner"),F38-D38&gt;0.166666666666667),F38-D38,F38-D38)))))))</f>
        <v>0.333333333333333</v>
      </c>
      <c r="P38" s="34" t="str">
        <f aca="false">IFERROR(VLOOKUP($B38,Annuaire_roster!$B:$G,MATCH(P$1,Annuaire_roster!$B$1:$G$1,0),0),"-")</f>
        <v>Google Leads</v>
      </c>
      <c r="Q38" s="35" t="n">
        <v>44718</v>
      </c>
      <c r="R38" s="36" t="n">
        <f aca="false">IF(M38="Abs",O38,0)</f>
        <v>0.333333333333333</v>
      </c>
      <c r="S38" s="36" t="n">
        <f aca="false">SUM(R38,L38,I38,J38,W38,H38)</f>
        <v>0.333333333333333</v>
      </c>
      <c r="T38" s="1" t="str">
        <f aca="false">"Sem - "&amp;WEEKNUM(Q38,21)</f>
        <v>Sem - 23</v>
      </c>
      <c r="U38" s="1" t="str">
        <f aca="false">PROPER(TEXT(Q38,"mmmm"))</f>
        <v>June</v>
      </c>
      <c r="V38" s="37" t="str">
        <f aca="false">+TEXT(Q38,"aaa")</f>
        <v>Sun</v>
      </c>
      <c r="W38" s="32"/>
      <c r="X38" s="38" t="n">
        <f aca="false">IFERROR(IF(M38="Abs",0,IF((D38-C38+E38-F38)&lt;0.000694444444444444,0,(D38-C38+E38-F38))),0)</f>
        <v>0</v>
      </c>
      <c r="Y38" s="39" t="n">
        <f aca="false">IFERROR(VLOOKUP(B38,Annuaire_roster!B:E,4,0),"-")</f>
        <v>0</v>
      </c>
      <c r="Z38" s="39" t="str">
        <f aca="false">IFERROR(VLOOKUP(B38,Annuaire_roster!B:F,3,0),"-")</f>
        <v>Google Leads</v>
      </c>
      <c r="AA38" s="39" t="n">
        <f aca="false">IFERROR(VLOOKUP(B38,Annuaire_roster!B:I,6,0),"-")</f>
        <v>0</v>
      </c>
      <c r="AB38" s="40" t="str">
        <f aca="false">IF(AND(D38="Congé",F38="Congé"),0.333333333333333,IF(OR(AND(D38="Congé",F38&lt;&gt;"Congé"),(AND(F38="Congé",D38&lt;&gt;"Congé"))),0.166666666666667,""))</f>
        <v/>
      </c>
      <c r="AC38" s="40" t="str">
        <f aca="false">IF(AND(D38="Congé sans solde",F38="Congé sans solde"),0.333333333333333,IF(OR(AND(D38="Congé sans solde",F38&lt;&gt;"Congé sans solde"),(AND(F38="Congé sans solde",D38&lt;&gt;"Congé sans solde"))),0.166666666666667,""))</f>
        <v/>
      </c>
      <c r="AD38" s="40" t="str">
        <f aca="false">IF(AND(D38="Congé spécial",F38="Congé spécial"),0.333333333333333,IF(OR(AND(D38="Congé spécial",F38&lt;&gt;"Congé décès"),(AND(F38="Congé spécial",D38&lt;&gt;"Congé spécial"))),0.166666666666667,""))</f>
        <v/>
      </c>
      <c r="AE38" s="41" t="str">
        <f aca="false">IF(AND(D38="Férié",F38="Férié"),0.333333333333333,IF(OR(AND(D38="Férié",F38&lt;&gt;"Férié"),(AND(F38="Férié",D38&lt;&gt;"Férié"))),0.166666666666667,""))</f>
        <v/>
      </c>
      <c r="AF38" s="41"/>
      <c r="AG38" s="36"/>
    </row>
    <row r="39" customFormat="false" ht="12.75" hidden="true" customHeight="true" outlineLevel="0" collapsed="false">
      <c r="A39" s="22" t="n">
        <f aca="false">VLOOKUP(B39,Annuaire_roster!B:F,5,0)</f>
        <v>0</v>
      </c>
      <c r="B39" s="23" t="s">
        <v>36</v>
      </c>
      <c r="C39" s="24" t="str">
        <f aca="false">IFERROR(IF(COUNTIFS(Pointage_brut!$E:$E,VLOOKUP($B39,Annuaire_roster!$B:$J,9,0),Pointage_brut!$A:$A,TEXT($Q39,"yyyymmdd")*1)=0,"",MOD(_xlfn.MINIFS(Pointage_brut!$F:$F,Pointage_brut!$E:$E,VLOOKUP($B39,Annuaire_roster!$B:$J,9,0),Pointage_brut!$A:$A,TEXT($Q39,"yyyymmdd")*1),1)),"")</f>
        <v/>
      </c>
      <c r="D39" s="25" t="n">
        <f aca="false" t="array" ref="D39:D39">IFERROR(INDEX(Planning2[],MATCH(1,(Planning2[Nom]=B39)*(Planning2[Date]=Q39),0),3),"-")</f>
        <v>0.291666666666667</v>
      </c>
      <c r="E39" s="26" t="str">
        <f aca="false">IFERROR(IF(COUNTIFS(Pointage_brut!$E:$E,VLOOKUP($B39,Annuaire_roster!$B:$J,9,0),Pointage_brut!$A:$A,TEXT($Q39,"yyyymmdd")*1)=0,"",MOD(_xlfn.MAXIFS(Pointage_brut!$G:$G,Pointage_brut!$E:$E,VLOOKUP($B39,Annuaire_roster!$B:$J,9,0),Pointage_brut!$A:$A,TEXT($Q39,"yyyymmdd")*1),1)),"")</f>
        <v/>
      </c>
      <c r="F39" s="27" t="n">
        <f aca="false" t="array" ref="F39:F39">IFERROR(INDEX(Planning2[],MATCH(1,(Planning2[Nom]=B39)*(Planning2[Date]=Q39),0),4),"-")</f>
        <v>0.708333333333333</v>
      </c>
      <c r="G39" s="28"/>
      <c r="H39" s="28"/>
      <c r="I39" s="29" t="str">
        <f aca="false">IF(IF(OR(C39="",D39="Congé",D39="OFF",D39="Congé spécial"),"",IF(D39&gt;F39,D39-C39,IF(C39-D39&lt;0,0,C39-D39)))&lt;0.00068287037037037,"",IF(OR(D39="Congé",D39="OFF",C39="",D39="Congé spécial"),"",IF(D39&gt;F39,D39-C39,IF(C39-D39&lt;0,0,C39-D39))))</f>
        <v/>
      </c>
      <c r="J39" s="28"/>
      <c r="K39" s="30" t="n">
        <f aca="false">IF(SUM(H39:J39)&lt;0.00068287037037037,0,SUM(H39:J39))</f>
        <v>0</v>
      </c>
      <c r="L39" s="28" t="n">
        <f aca="false">IF(OR(F39="Congé",F39="OFF",M39="Abs",F39="Congé sans solde",F39="Férié",F39="Congé spécial",D39="Congé spécial"),0,IF(F39-E39&lt;0,0,IF(F39-E39&lt;=0.00068287037037037,0,F39-E39)))</f>
        <v>0</v>
      </c>
      <c r="M39" s="31" t="str">
        <f aca="false">IF(AND(O39&lt;&gt;0,C39=""),"Abs",0)</f>
        <v>Abs</v>
      </c>
      <c r="N39" s="32" t="str">
        <f aca="false">IFERROR(IF(OR(D39="OFF",D39="Congé",M39="Abs",D39="Congé sans solde",D39="Férié"),"",IF(O39-K39-L39&gt;O39,O39,IF(O39-K39-L39&lt;0,"",O39-K39-L39))),"")</f>
        <v/>
      </c>
      <c r="O39" s="33" t="n">
        <f aca="false">IF(AG39="2H Pause déjeuner",IF(F39-D39-0.0833333333333333&lt;0,F39-D39-0.0833333333333333+1,F39-D39-0.0833333333333333),IF(OR(AND(F39="OFF",D39="OFF"),AND(F39="Congé",D39="Congé"),AND(F39="Congé sans solde",D39="Congé sans solde"),AND(F39="Congé spécial",D39="Congé spécial"),AND(F39="Férié",D39="Férié"),AND(F39="OFF",D39="Congé"),AND(F39="OFF",D39="Congé sans solde"),AND(F39="OFF",D39="Congé spécial"),AND(F39="OFF",D39="Férié"),AND(F39="Congé",D39="OFF"),AND(F39="Congé",D39="Congé sans solde"),AND(F39="Congé",D39="Congé spécial"),AND(F39="Congé",D39="Férié"),AND(F39="Congé sans solde",D39="OFF"),AND(F39="Congé sans solde",D39="Congé"),AND(F39="Congé sans solde",D39="Congé spécial"),AND(F39="Congé sans solde",D39="Férié"),AND(F39="Congé spécial",D39="OFF"),AND(F39="Congé spécial",D39="Congé"),AND(F39="Congé spécial",D39="Congé sans solde"),AND(F39="Congé spécial",D39="Férié"),AND(F39="Férié",D39="OFF"),AND(F39="Férié",D39="Congé"),AND(F39="Férié",D39="Congé sans solde"),AND(F39="Férié",D39="Congé spécial")),0,IF(OR(F39="OFF",F39="Congé",F39="Congé spécial",F39="Congé sans solde",D39="OFF",D39="Congé",D39="Congé spécial",D39="Congé sans solde"),0.208333333333334,IF(AND(AG39="",F39-D39&lt;0),("24:00:00"-D39)+("00:00:00"+F39)-0.0416666666666667,IF(AND(OR(AG39="Allaitement",AG39="Sans déjeuner"),F39-D39&lt;0),("24:00:00"-D39)+("00:00:00"+F39),IF(AND(AG39="",F39-D39&gt;0.166666666666667),F39-D39-0.0416666666666667,IF(AND(OR(AG39="Allaitement",AG39="Sans déjeuner"),F39-D39&gt;0.166666666666667),F39-D39,F39-D39)))))))</f>
        <v>0.375</v>
      </c>
      <c r="P39" s="34" t="str">
        <f aca="false">IFERROR(VLOOKUP($B39,Annuaire_roster!$B:$G,MATCH(P$1,Annuaire_roster!$B$1:$G$1,0),0),"-")</f>
        <v>Google Leads</v>
      </c>
      <c r="Q39" s="35" t="n">
        <v>44718</v>
      </c>
      <c r="R39" s="36" t="n">
        <f aca="false">IF(M39="Abs",O39,0)</f>
        <v>0.375</v>
      </c>
      <c r="S39" s="36" t="n">
        <f aca="false">SUM(R39,L39,I39,J39,W39,H39)</f>
        <v>0.375</v>
      </c>
      <c r="T39" s="1" t="str">
        <f aca="false">"Sem - "&amp;WEEKNUM(Q39,21)</f>
        <v>Sem - 23</v>
      </c>
      <c r="U39" s="1" t="str">
        <f aca="false">PROPER(TEXT(Q39,"mmmm"))</f>
        <v>June</v>
      </c>
      <c r="V39" s="37" t="str">
        <f aca="false">+TEXT(Q39,"aaa")</f>
        <v>Sun</v>
      </c>
      <c r="W39" s="32"/>
      <c r="X39" s="38" t="n">
        <f aca="false">IFERROR(IF(M39="Abs",0,IF((D39-C39+E39-F39)&lt;0.000694444444444444,0,(D39-C39+E39-F39))),0)</f>
        <v>0</v>
      </c>
      <c r="Y39" s="39" t="n">
        <f aca="false">IFERROR(VLOOKUP(B39,Annuaire_roster!B:E,4,0),"-")</f>
        <v>0</v>
      </c>
      <c r="Z39" s="39" t="str">
        <f aca="false">IFERROR(VLOOKUP(B39,Annuaire_roster!B:F,3,0),"-")</f>
        <v>Google Leads</v>
      </c>
      <c r="AA39" s="39" t="n">
        <f aca="false">IFERROR(VLOOKUP(B39,Annuaire_roster!B:I,6,0),"-")</f>
        <v>0</v>
      </c>
      <c r="AB39" s="40" t="str">
        <f aca="false">IF(AND(D39="Congé",F39="Congé"),0.333333333333333,IF(OR(AND(D39="Congé",F39&lt;&gt;"Congé"),(AND(F39="Congé",D39&lt;&gt;"Congé"))),0.166666666666667,""))</f>
        <v/>
      </c>
      <c r="AC39" s="40" t="str">
        <f aca="false">IF(AND(D39="Congé sans solde",F39="Congé sans solde"),0.333333333333333,IF(OR(AND(D39="Congé sans solde",F39&lt;&gt;"Congé sans solde"),(AND(F39="Congé sans solde",D39&lt;&gt;"Congé sans solde"))),0.166666666666667,""))</f>
        <v/>
      </c>
      <c r="AD39" s="40" t="str">
        <f aca="false">IF(AND(D39="Congé spécial",F39="Congé spécial"),0.333333333333333,IF(OR(AND(D39="Congé spécial",F39&lt;&gt;"Congé décès"),(AND(F39="Congé spécial",D39&lt;&gt;"Congé spécial"))),0.166666666666667,""))</f>
        <v/>
      </c>
      <c r="AE39" s="41" t="str">
        <f aca="false">IF(AND(D39="Férié",F39="Férié"),0.333333333333333,IF(OR(AND(D39="Férié",F39&lt;&gt;"Férié"),(AND(F39="Férié",D39&lt;&gt;"Férié"))),0.166666666666667,""))</f>
        <v/>
      </c>
      <c r="AF39" s="41"/>
      <c r="AG39" s="36"/>
    </row>
    <row r="40" customFormat="false" ht="12.75" hidden="true" customHeight="true" outlineLevel="0" collapsed="false">
      <c r="A40" s="22" t="n">
        <f aca="false">VLOOKUP(B40,Annuaire_roster!B:F,5,0)</f>
        <v>0</v>
      </c>
      <c r="B40" s="23" t="s">
        <v>42</v>
      </c>
      <c r="C40" s="24" t="str">
        <f aca="false">IFERROR(IF(COUNTIFS(Pointage_brut!$E:$E,VLOOKUP($B40,Annuaire_roster!$B:$J,9,0),Pointage_brut!$A:$A,TEXT($Q40,"yyyymmdd")*1)=0,"",MOD(_xlfn.MINIFS(Pointage_brut!$F:$F,Pointage_brut!$E:$E,VLOOKUP($B40,Annuaire_roster!$B:$J,9,0),Pointage_brut!$A:$A,TEXT($Q40,"yyyymmdd")*1),1)),"")</f>
        <v/>
      </c>
      <c r="D40" s="25" t="n">
        <f aca="false" t="array" ref="D40:D40">IFERROR(INDEX(Planning2[],MATCH(1,(Planning2[Nom]=B40)*(Planning2[Date]=Q40),0),3),"-")</f>
        <v>0.291666666666667</v>
      </c>
      <c r="E40" s="26" t="str">
        <f aca="false">IFERROR(IF(COUNTIFS(Pointage_brut!$E:$E,VLOOKUP($B40,Annuaire_roster!$B:$J,9,0),Pointage_brut!$A:$A,TEXT($Q40,"yyyymmdd")*1)=0,"",MOD(_xlfn.MAXIFS(Pointage_brut!$G:$G,Pointage_brut!$E:$E,VLOOKUP($B40,Annuaire_roster!$B:$J,9,0),Pointage_brut!$A:$A,TEXT($Q40,"yyyymmdd")*1),1)),"")</f>
        <v/>
      </c>
      <c r="F40" s="27" t="n">
        <f aca="false" t="array" ref="F40:F40">IFERROR(INDEX(Planning2[],MATCH(1,(Planning2[Nom]=B40)*(Planning2[Date]=Q40),0),4),"-")</f>
        <v>0.708333333333333</v>
      </c>
      <c r="G40" s="28"/>
      <c r="H40" s="28"/>
      <c r="I40" s="29" t="str">
        <f aca="false">IF(IF(OR(C40="",D40="Congé",D40="OFF",D40="Congé spécial"),"",IF(D40&gt;F40,D40-C40,IF(C40-D40&lt;0,0,C40-D40)))&lt;0.00068287037037037,"",IF(OR(D40="Congé",D40="OFF",C40="",D40="Congé spécial"),"",IF(D40&gt;F40,D40-C40,IF(C40-D40&lt;0,0,C40-D40))))</f>
        <v/>
      </c>
      <c r="J40" s="28"/>
      <c r="K40" s="30" t="n">
        <f aca="false">IF(SUM(H40:J40)&lt;0.00068287037037037,0,SUM(H40:J40))</f>
        <v>0</v>
      </c>
      <c r="L40" s="28" t="n">
        <f aca="false">IF(OR(F40="Congé",F40="OFF",M40="Abs",F40="Congé sans solde",F40="Férié",F40="Congé spécial",D40="Congé spécial"),0,IF(F40-E40&lt;0,0,IF(F40-E40&lt;=0.00068287037037037,0,F40-E40)))</f>
        <v>0</v>
      </c>
      <c r="M40" s="31" t="str">
        <f aca="false">IF(AND(O40&lt;&gt;0,C40=""),"Abs",0)</f>
        <v>Abs</v>
      </c>
      <c r="N40" s="32" t="str">
        <f aca="false">IFERROR(IF(OR(D40="OFF",D40="Congé",M40="Abs",D40="Congé sans solde",D40="Férié"),"",IF(O40-K40-L40&gt;O40,O40,IF(O40-K40-L40&lt;0,"",O40-K40-L40))),"")</f>
        <v/>
      </c>
      <c r="O40" s="33" t="n">
        <f aca="false">IF(AG40="2H Pause déjeuner",IF(F40-D40-0.0833333333333333&lt;0,F40-D40-0.0833333333333333+1,F40-D40-0.0833333333333333),IF(OR(AND(F40="OFF",D40="OFF"),AND(F40="Congé",D40="Congé"),AND(F40="Congé sans solde",D40="Congé sans solde"),AND(F40="Congé spécial",D40="Congé spécial"),AND(F40="Férié",D40="Férié"),AND(F40="OFF",D40="Congé"),AND(F40="OFF",D40="Congé sans solde"),AND(F40="OFF",D40="Congé spécial"),AND(F40="OFF",D40="Férié"),AND(F40="Congé",D40="OFF"),AND(F40="Congé",D40="Congé sans solde"),AND(F40="Congé",D40="Congé spécial"),AND(F40="Congé",D40="Férié"),AND(F40="Congé sans solde",D40="OFF"),AND(F40="Congé sans solde",D40="Congé"),AND(F40="Congé sans solde",D40="Congé spécial"),AND(F40="Congé sans solde",D40="Férié"),AND(F40="Congé spécial",D40="OFF"),AND(F40="Congé spécial",D40="Congé"),AND(F40="Congé spécial",D40="Congé sans solde"),AND(F40="Congé spécial",D40="Férié"),AND(F40="Férié",D40="OFF"),AND(F40="Férié",D40="Congé"),AND(F40="Férié",D40="Congé sans solde"),AND(F40="Férié",D40="Congé spécial")),0,IF(OR(F40="OFF",F40="Congé",F40="Congé spécial",F40="Congé sans solde",D40="OFF",D40="Congé",D40="Congé spécial",D40="Congé sans solde"),0.208333333333334,IF(AND(AG40="",F40-D40&lt;0),("24:00:00"-D40)+("00:00:00"+F40)-0.0416666666666667,IF(AND(OR(AG40="Allaitement",AG40="Sans déjeuner"),F40-D40&lt;0),("24:00:00"-D40)+("00:00:00"+F40),IF(AND(AG40="",F40-D40&gt;0.166666666666667),F40-D40-0.0416666666666667,IF(AND(OR(AG40="Allaitement",AG40="Sans déjeuner"),F40-D40&gt;0.166666666666667),F40-D40,F40-D40)))))))</f>
        <v>0.375</v>
      </c>
      <c r="P40" s="34" t="str">
        <f aca="false">IFERROR(VLOOKUP($B40,Annuaire_roster!$B:$G,MATCH(P$1,Annuaire_roster!$B$1:$G$1,0),0),"-")</f>
        <v>Google Leads</v>
      </c>
      <c r="Q40" s="35" t="n">
        <v>44718</v>
      </c>
      <c r="R40" s="36" t="n">
        <f aca="false">IF(M40="Abs",O40,0)</f>
        <v>0.375</v>
      </c>
      <c r="S40" s="36" t="n">
        <f aca="false">SUM(R40,L40,I40,J40,W40,H40)</f>
        <v>0.375</v>
      </c>
      <c r="T40" s="1" t="str">
        <f aca="false">"Sem - "&amp;WEEKNUM(Q40,21)</f>
        <v>Sem - 23</v>
      </c>
      <c r="U40" s="1" t="str">
        <f aca="false">PROPER(TEXT(Q40,"mmmm"))</f>
        <v>June</v>
      </c>
      <c r="V40" s="37" t="str">
        <f aca="false">+TEXT(Q40,"aaa")</f>
        <v>Sun</v>
      </c>
      <c r="W40" s="32"/>
      <c r="X40" s="38" t="n">
        <f aca="false">IFERROR(IF(M40="Abs",0,IF((D40-C40+E40-F40)&lt;0.000694444444444444,0,(D40-C40+E40-F40))),0)</f>
        <v>0</v>
      </c>
      <c r="Y40" s="39" t="n">
        <f aca="false">IFERROR(VLOOKUP(B40,Annuaire_roster!B:E,4,0),"-")</f>
        <v>0</v>
      </c>
      <c r="Z40" s="39" t="str">
        <f aca="false">IFERROR(VLOOKUP(B40,Annuaire_roster!B:F,3,0),"-")</f>
        <v>Google Leads</v>
      </c>
      <c r="AA40" s="39" t="n">
        <f aca="false">IFERROR(VLOOKUP(B40,Annuaire_roster!B:I,6,0),"-")</f>
        <v>0</v>
      </c>
      <c r="AB40" s="40" t="str">
        <f aca="false">IF(AND(D40="Congé",F40="Congé"),0.333333333333333,IF(OR(AND(D40="Congé",F40&lt;&gt;"Congé"),(AND(F40="Congé",D40&lt;&gt;"Congé"))),0.166666666666667,""))</f>
        <v/>
      </c>
      <c r="AC40" s="40" t="str">
        <f aca="false">IF(AND(D40="Congé sans solde",F40="Congé sans solde"),0.333333333333333,IF(OR(AND(D40="Congé sans solde",F40&lt;&gt;"Congé sans solde"),(AND(F40="Congé sans solde",D40&lt;&gt;"Congé sans solde"))),0.166666666666667,""))</f>
        <v/>
      </c>
      <c r="AD40" s="40" t="str">
        <f aca="false">IF(AND(D40="Congé spécial",F40="Congé spécial"),0.333333333333333,IF(OR(AND(D40="Congé spécial",F40&lt;&gt;"Congé décès"),(AND(F40="Congé spécial",D40&lt;&gt;"Congé spécial"))),0.166666666666667,""))</f>
        <v/>
      </c>
      <c r="AE40" s="41" t="str">
        <f aca="false">IF(AND(D40="Férié",F40="Férié"),0.333333333333333,IF(OR(AND(D40="Férié",F40&lt;&gt;"Férié"),(AND(F40="Férié",D40&lt;&gt;"Férié"))),0.166666666666667,""))</f>
        <v/>
      </c>
      <c r="AF40" s="41"/>
      <c r="AG40" s="36"/>
    </row>
    <row r="41" customFormat="false" ht="12.75" hidden="true" customHeight="true" outlineLevel="0" collapsed="false">
      <c r="A41" s="22" t="n">
        <f aca="false">VLOOKUP(B41,Annuaire_roster!B:F,5,0)</f>
        <v>669</v>
      </c>
      <c r="B41" s="23" t="s">
        <v>38</v>
      </c>
      <c r="C41" s="24" t="str">
        <f aca="false">IFERROR(IF(COUNTIFS(Pointage_brut!$E:$E,VLOOKUP($B41,Annuaire_roster!$B:$J,9,0),Pointage_brut!$A:$A,TEXT($Q41,"yyyymmdd")*1)=0,"",MOD(_xlfn.MINIFS(Pointage_brut!$F:$F,Pointage_brut!$E:$E,VLOOKUP($B41,Annuaire_roster!$B:$J,9,0),Pointage_brut!$A:$A,TEXT($Q41,"yyyymmdd")*1),1)),"")</f>
        <v/>
      </c>
      <c r="D41" s="25" t="n">
        <f aca="false" t="array" ref="D41:D41">IFERROR(INDEX(Planning2[],MATCH(1,(Planning2[Nom]=B41)*(Planning2[Date]=Q41),0),3),"-")</f>
        <v>0.291666666666667</v>
      </c>
      <c r="E41" s="26" t="str">
        <f aca="false">IFERROR(IF(COUNTIFS(Pointage_brut!$E:$E,VLOOKUP($B41,Annuaire_roster!$B:$J,9,0),Pointage_brut!$A:$A,TEXT($Q41,"yyyymmdd")*1)=0,"",MOD(_xlfn.MAXIFS(Pointage_brut!$G:$G,Pointage_brut!$E:$E,VLOOKUP($B41,Annuaire_roster!$B:$J,9,0),Pointage_brut!$A:$A,TEXT($Q41,"yyyymmdd")*1),1)),"")</f>
        <v/>
      </c>
      <c r="F41" s="27" t="n">
        <f aca="false" t="array" ref="F41:F41">IFERROR(INDEX(Planning2[],MATCH(1,(Planning2[Nom]=B41)*(Planning2[Date]=Q41),0),4),"-")</f>
        <v>0.708333333333333</v>
      </c>
      <c r="G41" s="28"/>
      <c r="H41" s="28"/>
      <c r="I41" s="29" t="str">
        <f aca="false">IF(IF(OR(C41="",D41="Congé",D41="OFF",D41="Congé spécial"),"",IF(D41&gt;F41,D41-C41,IF(C41-D41&lt;0,0,C41-D41)))&lt;0.00068287037037037,"",IF(OR(D41="Congé",D41="OFF",C41="",D41="Congé spécial"),"",IF(D41&gt;F41,D41-C41,IF(C41-D41&lt;0,0,C41-D41))))</f>
        <v/>
      </c>
      <c r="J41" s="28"/>
      <c r="K41" s="30" t="n">
        <f aca="false">IF(SUM(H41:J41)&lt;0.00068287037037037,0,SUM(H41:J41))</f>
        <v>0</v>
      </c>
      <c r="L41" s="28" t="n">
        <f aca="false">IF(OR(F41="Congé",F41="OFF",M41="Abs",F41="Congé sans solde",F41="Férié",F41="Congé spécial",D41="Congé spécial"),0,IF(F41-E41&lt;0,0,IF(F41-E41&lt;=0.00068287037037037,0,F41-E41)))</f>
        <v>0</v>
      </c>
      <c r="M41" s="31" t="str">
        <f aca="false">IF(AND(O41&lt;&gt;0,C41=""),"Abs",0)</f>
        <v>Abs</v>
      </c>
      <c r="N41" s="32" t="str">
        <f aca="false">IFERROR(IF(OR(D41="OFF",D41="Congé",M41="Abs",D41="Congé sans solde",D41="Férié"),"",IF(O41-K41-L41&gt;O41,O41,IF(O41-K41-L41&lt;0,"",O41-K41-L41))),"")</f>
        <v/>
      </c>
      <c r="O41" s="33" t="n">
        <f aca="false">IF(AG41="2H Pause déjeuner",IF(F41-D41-0.0833333333333333&lt;0,F41-D41-0.0833333333333333+1,F41-D41-0.0833333333333333),IF(OR(AND(F41="OFF",D41="OFF"),AND(F41="Congé",D41="Congé"),AND(F41="Congé sans solde",D41="Congé sans solde"),AND(F41="Congé spécial",D41="Congé spécial"),AND(F41="Férié",D41="Férié"),AND(F41="OFF",D41="Congé"),AND(F41="OFF",D41="Congé sans solde"),AND(F41="OFF",D41="Congé spécial"),AND(F41="OFF",D41="Férié"),AND(F41="Congé",D41="OFF"),AND(F41="Congé",D41="Congé sans solde"),AND(F41="Congé",D41="Congé spécial"),AND(F41="Congé",D41="Férié"),AND(F41="Congé sans solde",D41="OFF"),AND(F41="Congé sans solde",D41="Congé"),AND(F41="Congé sans solde",D41="Congé spécial"),AND(F41="Congé sans solde",D41="Férié"),AND(F41="Congé spécial",D41="OFF"),AND(F41="Congé spécial",D41="Congé"),AND(F41="Congé spécial",D41="Congé sans solde"),AND(F41="Congé spécial",D41="Férié"),AND(F41="Férié",D41="OFF"),AND(F41="Férié",D41="Congé"),AND(F41="Férié",D41="Congé sans solde"),AND(F41="Férié",D41="Congé spécial")),0,IF(OR(F41="OFF",F41="Congé",F41="Congé spécial",F41="Congé sans solde",D41="OFF",D41="Congé",D41="Congé spécial",D41="Congé sans solde"),0.208333333333334,IF(AND(AG41="",F41-D41&lt;0),("24:00:00"-D41)+("00:00:00"+F41)-0.0416666666666667,IF(AND(OR(AG41="Allaitement",AG41="Sans déjeuner"),F41-D41&lt;0),("24:00:00"-D41)+("00:00:00"+F41),IF(AND(AG41="",F41-D41&gt;0.166666666666667),F41-D41-0.0416666666666667,IF(AND(OR(AG41="Allaitement",AG41="Sans déjeuner"),F41-D41&gt;0.166666666666667),F41-D41,F41-D41)))))))</f>
        <v>0.375</v>
      </c>
      <c r="P41" s="34" t="str">
        <f aca="false">IFERROR(VLOOKUP($B41,Annuaire_roster!$B:$G,MATCH(P$1,Annuaire_roster!$B$1:$G$1,0),0),"-")</f>
        <v>Google Leads</v>
      </c>
      <c r="Q41" s="35" t="n">
        <v>44718</v>
      </c>
      <c r="R41" s="36" t="n">
        <f aca="false">IF(M41="Abs",O41,0)</f>
        <v>0.375</v>
      </c>
      <c r="S41" s="36" t="n">
        <f aca="false">SUM(R41,L41,I41,J41,W41,H41)</f>
        <v>0.375</v>
      </c>
      <c r="T41" s="1" t="str">
        <f aca="false">"Sem - "&amp;WEEKNUM(Q41,21)</f>
        <v>Sem - 23</v>
      </c>
      <c r="U41" s="1" t="str">
        <f aca="false">PROPER(TEXT(Q41,"mmmm"))</f>
        <v>June</v>
      </c>
      <c r="V41" s="37" t="str">
        <f aca="false">+TEXT(Q41,"aaa")</f>
        <v>Sun</v>
      </c>
      <c r="W41" s="32"/>
      <c r="X41" s="38" t="n">
        <f aca="false">IFERROR(IF(M41="Abs",0,IF((D41-C41+E41-F41)&lt;0.000694444444444444,0,(D41-C41+E41-F41))),0)</f>
        <v>0</v>
      </c>
      <c r="Y41" s="39" t="str">
        <f aca="false">IFERROR(VLOOKUP(B41,Annuaire_roster!B:E,4,0),"-")</f>
        <v>CHOUIFI Mustapha</v>
      </c>
      <c r="Z41" s="39" t="str">
        <f aca="false">IFERROR(VLOOKUP(B41,Annuaire_roster!B:F,3,0),"-")</f>
        <v>Google Leads</v>
      </c>
      <c r="AA41" s="39" t="str">
        <f aca="false">IFERROR(VLOOKUP(B41,Annuaire_roster!B:I,6,0),"-")</f>
        <v>Forfaitaire</v>
      </c>
      <c r="AB41" s="40" t="str">
        <f aca="false">IF(AND(D41="Congé",F41="Congé"),0.333333333333333,IF(OR(AND(D41="Congé",F41&lt;&gt;"Congé"),(AND(F41="Congé",D41&lt;&gt;"Congé"))),0.166666666666667,""))</f>
        <v/>
      </c>
      <c r="AC41" s="40" t="str">
        <f aca="false">IF(AND(D41="Congé sans solde",F41="Congé sans solde"),0.333333333333333,IF(OR(AND(D41="Congé sans solde",F41&lt;&gt;"Congé sans solde"),(AND(F41="Congé sans solde",D41&lt;&gt;"Congé sans solde"))),0.166666666666667,""))</f>
        <v/>
      </c>
      <c r="AD41" s="40" t="str">
        <f aca="false">IF(AND(D41="Congé spécial",F41="Congé spécial"),0.333333333333333,IF(OR(AND(D41="Congé spécial",F41&lt;&gt;"Congé décès"),(AND(F41="Congé spécial",D41&lt;&gt;"Congé spécial"))),0.166666666666667,""))</f>
        <v/>
      </c>
      <c r="AE41" s="41" t="str">
        <f aca="false">IF(AND(D41="Férié",F41="Férié"),0.333333333333333,IF(OR(AND(D41="Férié",F41&lt;&gt;"Férié"),(AND(F41="Férié",D41&lt;&gt;"Férié"))),0.166666666666667,""))</f>
        <v/>
      </c>
      <c r="AF41" s="41"/>
      <c r="AG41" s="36"/>
    </row>
    <row r="42" customFormat="false" ht="12.75" hidden="true" customHeight="true" outlineLevel="0" collapsed="false">
      <c r="A42" s="22" t="n">
        <f aca="false">VLOOKUP(B42,Annuaire_roster!B:F,5,0)</f>
        <v>0</v>
      </c>
      <c r="B42" s="23" t="s">
        <v>49</v>
      </c>
      <c r="C42" s="24" t="str">
        <f aca="false">IFERROR(IF(COUNTIFS(Pointage_brut!$E:$E,VLOOKUP($B42,Annuaire_roster!$B:$J,9,0),Pointage_brut!$A:$A,TEXT($Q42,"yyyymmdd")*1)=0,"",MOD(_xlfn.MINIFS(Pointage_brut!$F:$F,Pointage_brut!$E:$E,VLOOKUP($B42,Annuaire_roster!$B:$J,9,0),Pointage_brut!$A:$A,TEXT($Q42,"yyyymmdd")*1),1)),"")</f>
        <v/>
      </c>
      <c r="D42" s="25" t="n">
        <f aca="false" t="array" ref="D42:D42">IFERROR(INDEX(Planning2[],MATCH(1,(Planning2[Nom]=B42)*(Planning2[Date]=Q42),0),3),"-")</f>
        <v>0.291666666666667</v>
      </c>
      <c r="E42" s="26" t="str">
        <f aca="false">IFERROR(IF(COUNTIFS(Pointage_brut!$E:$E,VLOOKUP($B42,Annuaire_roster!$B:$J,9,0),Pointage_brut!$A:$A,TEXT($Q42,"yyyymmdd")*1)=0,"",MOD(_xlfn.MAXIFS(Pointage_brut!$G:$G,Pointage_brut!$E:$E,VLOOKUP($B42,Annuaire_roster!$B:$J,9,0),Pointage_brut!$A:$A,TEXT($Q42,"yyyymmdd")*1),1)),"")</f>
        <v/>
      </c>
      <c r="F42" s="27" t="n">
        <f aca="false" t="array" ref="F42:F42">IFERROR(INDEX(Planning2[],MATCH(1,(Planning2[Nom]=B42)*(Planning2[Date]=Q42),0),4),"-")</f>
        <v>0.708333333333333</v>
      </c>
      <c r="G42" s="28"/>
      <c r="H42" s="28"/>
      <c r="I42" s="29" t="str">
        <f aca="false">IF(IF(OR(C42="",D42="Congé",D42="OFF",D42="Congé spécial"),"",IF(D42&gt;F42,D42-C42,IF(C42-D42&lt;0,0,C42-D42)))&lt;0.00068287037037037,"",IF(OR(D42="Congé",D42="OFF",C42="",D42="Congé spécial"),"",IF(D42&gt;F42,D42-C42,IF(C42-D42&lt;0,0,C42-D42))))</f>
        <v/>
      </c>
      <c r="J42" s="28"/>
      <c r="K42" s="30" t="n">
        <f aca="false">IF(SUM(H42:J42)&lt;0.00068287037037037,0,SUM(H42:J42))</f>
        <v>0</v>
      </c>
      <c r="L42" s="28" t="n">
        <f aca="false">IF(OR(F42="Congé",F42="OFF",M42="Abs",F42="Congé sans solde",F42="Férié",F42="Congé spécial",D42="Congé spécial"),0,IF(F42-E42&lt;0,0,IF(F42-E42&lt;=0.00068287037037037,0,F42-E42)))</f>
        <v>0</v>
      </c>
      <c r="M42" s="31" t="str">
        <f aca="false">IF(AND(O42&lt;&gt;0,C42=""),"Abs",0)</f>
        <v>Abs</v>
      </c>
      <c r="N42" s="32" t="str">
        <f aca="false">IFERROR(IF(OR(D42="OFF",D42="Congé",M42="Abs",D42="Congé sans solde",D42="Férié"),"",IF(O42-K42-L42&gt;O42,O42,IF(O42-K42-L42&lt;0,"",O42-K42-L42))),"")</f>
        <v/>
      </c>
      <c r="O42" s="33" t="n">
        <f aca="false">IF(AG42="2H Pause déjeuner",IF(F42-D42-0.0833333333333333&lt;0,F42-D42-0.0833333333333333+1,F42-D42-0.0833333333333333),IF(OR(AND(F42="OFF",D42="OFF"),AND(F42="Congé",D42="Congé"),AND(F42="Congé sans solde",D42="Congé sans solde"),AND(F42="Congé spécial",D42="Congé spécial"),AND(F42="Férié",D42="Férié"),AND(F42="OFF",D42="Congé"),AND(F42="OFF",D42="Congé sans solde"),AND(F42="OFF",D42="Congé spécial"),AND(F42="OFF",D42="Férié"),AND(F42="Congé",D42="OFF"),AND(F42="Congé",D42="Congé sans solde"),AND(F42="Congé",D42="Congé spécial"),AND(F42="Congé",D42="Férié"),AND(F42="Congé sans solde",D42="OFF"),AND(F42="Congé sans solde",D42="Congé"),AND(F42="Congé sans solde",D42="Congé spécial"),AND(F42="Congé sans solde",D42="Férié"),AND(F42="Congé spécial",D42="OFF"),AND(F42="Congé spécial",D42="Congé"),AND(F42="Congé spécial",D42="Congé sans solde"),AND(F42="Congé spécial",D42="Férié"),AND(F42="Férié",D42="OFF"),AND(F42="Férié",D42="Congé"),AND(F42="Férié",D42="Congé sans solde"),AND(F42="Férié",D42="Congé spécial")),0,IF(OR(F42="OFF",F42="Congé",F42="Congé spécial",F42="Congé sans solde",D42="OFF",D42="Congé",D42="Congé spécial",D42="Congé sans solde"),0.208333333333334,IF(AND(AG42="",F42-D42&lt;0),("24:00:00"-D42)+("00:00:00"+F42)-0.0416666666666667,IF(AND(OR(AG42="Allaitement",AG42="Sans déjeuner"),F42-D42&lt;0),("24:00:00"-D42)+("00:00:00"+F42),IF(AND(AG42="",F42-D42&gt;0.166666666666667),F42-D42-0.0416666666666667,IF(AND(OR(AG42="Allaitement",AG42="Sans déjeuner"),F42-D42&gt;0.166666666666667),F42-D42,F42-D42)))))))</f>
        <v>0.375</v>
      </c>
      <c r="P42" s="34" t="str">
        <f aca="false">IFERROR(VLOOKUP($B42,Annuaire_roster!$B:$G,MATCH(P$1,Annuaire_roster!$B$1:$G$1,0),0),"-")</f>
        <v>Google Leads</v>
      </c>
      <c r="Q42" s="35" t="n">
        <v>44718</v>
      </c>
      <c r="R42" s="36" t="n">
        <f aca="false">IF(M42="Abs",O42,0)</f>
        <v>0.375</v>
      </c>
      <c r="S42" s="36" t="n">
        <f aca="false">SUM(R42,L42,I42,J42,W42,H42)</f>
        <v>0.375</v>
      </c>
      <c r="T42" s="1" t="str">
        <f aca="false">"Sem - "&amp;WEEKNUM(Q42,21)</f>
        <v>Sem - 23</v>
      </c>
      <c r="U42" s="1" t="str">
        <f aca="false">PROPER(TEXT(Q42,"mmmm"))</f>
        <v>June</v>
      </c>
      <c r="V42" s="37" t="str">
        <f aca="false">+TEXT(Q42,"aaa")</f>
        <v>Sun</v>
      </c>
      <c r="W42" s="32"/>
      <c r="X42" s="38" t="n">
        <f aca="false">IFERROR(IF(M42="Abs",0,IF((D42-C42+E42-F42)&lt;0.000694444444444444,0,(D42-C42+E42-F42))),0)</f>
        <v>0</v>
      </c>
      <c r="Y42" s="39" t="n">
        <f aca="false">IFERROR(VLOOKUP(B42,Annuaire_roster!B:E,4,0),"-")</f>
        <v>0</v>
      </c>
      <c r="Z42" s="39" t="str">
        <f aca="false">IFERROR(VLOOKUP(B42,Annuaire_roster!B:F,3,0),"-")</f>
        <v>Google Leads</v>
      </c>
      <c r="AA42" s="39" t="n">
        <f aca="false">IFERROR(VLOOKUP(B42,Annuaire_roster!B:I,6,0),"-")</f>
        <v>0</v>
      </c>
      <c r="AB42" s="40" t="str">
        <f aca="false">IF(AND(D42="Congé",F42="Congé"),0.333333333333333,IF(OR(AND(D42="Congé",F42&lt;&gt;"Congé"),(AND(F42="Congé",D42&lt;&gt;"Congé"))),0.166666666666667,""))</f>
        <v/>
      </c>
      <c r="AC42" s="40" t="str">
        <f aca="false">IF(AND(D42="Congé sans solde",F42="Congé sans solde"),0.333333333333333,IF(OR(AND(D42="Congé sans solde",F42&lt;&gt;"Congé sans solde"),(AND(F42="Congé sans solde",D42&lt;&gt;"Congé sans solde"))),0.166666666666667,""))</f>
        <v/>
      </c>
      <c r="AD42" s="40" t="str">
        <f aca="false">IF(AND(D42="Congé spécial",F42="Congé spécial"),0.333333333333333,IF(OR(AND(D42="Congé spécial",F42&lt;&gt;"Congé décès"),(AND(F42="Congé spécial",D42&lt;&gt;"Congé spécial"))),0.166666666666667,""))</f>
        <v/>
      </c>
      <c r="AE42" s="41" t="str">
        <f aca="false">IF(AND(D42="Férié",F42="Férié"),0.333333333333333,IF(OR(AND(D42="Férié",F42&lt;&gt;"Férié"),(AND(F42="Férié",D42&lt;&gt;"Férié"))),0.166666666666667,""))</f>
        <v/>
      </c>
      <c r="AF42" s="41"/>
      <c r="AG42" s="36"/>
    </row>
    <row r="43" customFormat="false" ht="12.75" hidden="true" customHeight="true" outlineLevel="0" collapsed="false">
      <c r="A43" s="43" t="n">
        <f aca="false">VLOOKUP(B43,Annuaire_roster!B:F,5,0)</f>
        <v>0</v>
      </c>
      <c r="B43" s="23" t="s">
        <v>39</v>
      </c>
      <c r="C43" s="24" t="str">
        <f aca="false">IFERROR(IF(COUNTIFS(Pointage_brut!$E:$E,VLOOKUP($B43,Annuaire_roster!$B:$J,9,0),Pointage_brut!$A:$A,TEXT($Q43,"yyyymmdd")*1)=0,"",MOD(_xlfn.MINIFS(Pointage_brut!$F:$F,Pointage_brut!$E:$E,VLOOKUP($B43,Annuaire_roster!$B:$J,9,0),Pointage_brut!$A:$A,TEXT($Q43,"yyyymmdd")*1),1)),"")</f>
        <v/>
      </c>
      <c r="D43" s="25" t="n">
        <f aca="false" t="array" ref="D43:D43">IFERROR(INDEX(Planning2[],MATCH(1,(Planning2[Nom]=B43)*(Planning2[Date]=Q43),0),3),"-")</f>
        <v>0.291666666666667</v>
      </c>
      <c r="E43" s="26" t="str">
        <f aca="false">IFERROR(IF(COUNTIFS(Pointage_brut!$E:$E,VLOOKUP($B43,Annuaire_roster!$B:$J,9,0),Pointage_brut!$A:$A,TEXT($Q43,"yyyymmdd")*1)=0,"",MOD(_xlfn.MAXIFS(Pointage_brut!$G:$G,Pointage_brut!$E:$E,VLOOKUP($B43,Annuaire_roster!$B:$J,9,0),Pointage_brut!$A:$A,TEXT($Q43,"yyyymmdd")*1),1)),"")</f>
        <v/>
      </c>
      <c r="F43" s="27" t="n">
        <f aca="false" t="array" ref="F43:F43">IFERROR(INDEX(Planning2[],MATCH(1,(Planning2[Nom]=B43)*(Planning2[Date]=Q43),0),4),"-")</f>
        <v>0.708333333333333</v>
      </c>
      <c r="G43" s="28"/>
      <c r="H43" s="28"/>
      <c r="I43" s="29" t="str">
        <f aca="false">IF(IF(OR(C43="",D43="Congé",D43="OFF",D43="Congé spécial"),"",IF(D43&gt;F43,D43-C43,IF(C43-D43&lt;0,0,C43-D43)))&lt;0.00068287037037037,"",IF(OR(D43="Congé",D43="OFF",C43="",D43="Congé spécial"),"",IF(D43&gt;F43,D43-C43,IF(C43-D43&lt;0,0,C43-D43))))</f>
        <v/>
      </c>
      <c r="J43" s="28"/>
      <c r="K43" s="30" t="n">
        <f aca="false">IF(SUM(H43:J43)&lt;0.00068287037037037,0,SUM(H43:J43))</f>
        <v>0</v>
      </c>
      <c r="L43" s="28" t="n">
        <f aca="false">IF(OR(F43="Congé",F43="OFF",M43="Abs",F43="Congé sans solde",F43="Férié",F43="Congé spécial",D43="Congé spécial"),0,IF(F43-E43&lt;0,0,IF(F43-E43&lt;=0.00068287037037037,0,F43-E43)))</f>
        <v>0</v>
      </c>
      <c r="M43" s="31" t="str">
        <f aca="false">IF(AND(O43&lt;&gt;0,C43=""),"Abs",0)</f>
        <v>Abs</v>
      </c>
      <c r="N43" s="44" t="str">
        <f aca="false">IFERROR(IF(OR(D43="OFF",D43="Congé",M43="Abs",D43="Congé sans solde",D43="Férié"),"",IF(O43-K43-L43&gt;O43,O43,IF(O43-K43-L43&lt;0,"",O43-K43-L43))),"")</f>
        <v/>
      </c>
      <c r="O43" s="33" t="n">
        <f aca="false">IF(AG43="2H Pause déjeuner",IF(F43-D43-0.0833333333333333&lt;0,F43-D43-0.0833333333333333+1,F43-D43-0.0833333333333333),IF(OR(AND(F43="OFF",D43="OFF"),AND(F43="Congé",D43="Congé"),AND(F43="Congé sans solde",D43="Congé sans solde"),AND(F43="Congé spécial",D43="Congé spécial"),AND(F43="Férié",D43="Férié"),AND(F43="OFF",D43="Congé"),AND(F43="OFF",D43="Congé sans solde"),AND(F43="OFF",D43="Congé spécial"),AND(F43="OFF",D43="Férié"),AND(F43="Congé",D43="OFF"),AND(F43="Congé",D43="Congé sans solde"),AND(F43="Congé",D43="Congé spécial"),AND(F43="Congé",D43="Férié"),AND(F43="Congé sans solde",D43="OFF"),AND(F43="Congé sans solde",D43="Congé"),AND(F43="Congé sans solde",D43="Congé spécial"),AND(F43="Congé sans solde",D43="Férié"),AND(F43="Congé spécial",D43="OFF"),AND(F43="Congé spécial",D43="Congé"),AND(F43="Congé spécial",D43="Congé sans solde"),AND(F43="Congé spécial",D43="Férié"),AND(F43="Férié",D43="OFF"),AND(F43="Férié",D43="Congé"),AND(F43="Férié",D43="Congé sans solde"),AND(F43="Férié",D43="Congé spécial")),0,IF(OR(F43="OFF",F43="Congé",F43="Congé spécial",F43="Congé sans solde",D43="OFF",D43="Congé",D43="Congé spécial",D43="Congé sans solde"),0.208333333333334,IF(AND(AG43="",F43-D43&lt;0),("24:00:00"-D43)+("00:00:00"+F43)-0.0416666666666667,IF(AND(OR(AG43="Allaitement",AG43="Sans déjeuner"),F43-D43&lt;0),("24:00:00"-D43)+("00:00:00"+F43),IF(AND(AG43="",F43-D43&gt;0.166666666666667),F43-D43-0.0416666666666667,IF(AND(OR(AG43="Allaitement",AG43="Sans déjeuner"),F43-D43&gt;0.166666666666667),F43-D43,F43-D43)))))))</f>
        <v>0.375</v>
      </c>
      <c r="P43" s="34" t="str">
        <f aca="false">IFERROR(VLOOKUP($B43,Annuaire_roster!$B:$G,MATCH(P$1,Annuaire_roster!$B$1:$G$1,0),0),"-")</f>
        <v>Google Leads</v>
      </c>
      <c r="Q43" s="45" t="n">
        <v>44718</v>
      </c>
      <c r="R43" s="40" t="n">
        <f aca="false">IF(M43="Abs",O43,0)</f>
        <v>0.375</v>
      </c>
      <c r="S43" s="40" t="n">
        <f aca="false">SUM(R43,L43,I43,J43,W43,H43)</f>
        <v>0.375</v>
      </c>
      <c r="T43" s="1" t="str">
        <f aca="false">"Sem - "&amp;WEEKNUM(Q43,21)</f>
        <v>Sem - 23</v>
      </c>
      <c r="U43" s="1" t="str">
        <f aca="false">PROPER(TEXT(Q43,"mmmm"))</f>
        <v>June</v>
      </c>
      <c r="V43" s="46" t="str">
        <f aca="false">+TEXT(Q43,"aaa")</f>
        <v>Sun</v>
      </c>
      <c r="W43" s="44"/>
      <c r="X43" s="47" t="n">
        <f aca="false">IFERROR(IF(M43="Abs",0,IF((D43-C43+E43-F43)&lt;0.000694444444444444,0,(D43-C43+E43-F43))),0)</f>
        <v>0</v>
      </c>
      <c r="Y43" s="48" t="n">
        <f aca="false">IFERROR(VLOOKUP(B43,Annuaire_roster!B:E,4,0),"-")</f>
        <v>0</v>
      </c>
      <c r="Z43" s="48" t="str">
        <f aca="false">IFERROR(VLOOKUP(B43,Annuaire_roster!B:F,3,0),"-")</f>
        <v>Google Leads</v>
      </c>
      <c r="AA43" s="48" t="n">
        <f aca="false">IFERROR(VLOOKUP(B43,Annuaire_roster!B:I,6,0),"-")</f>
        <v>0</v>
      </c>
      <c r="AB43" s="40" t="str">
        <f aca="false">IF(AND(D43="Congé",F43="Congé"),0.333333333333333,IF(OR(AND(D43="Congé",F43&lt;&gt;"Congé"),(AND(F43="Congé",D43&lt;&gt;"Congé"))),0.166666666666667,""))</f>
        <v/>
      </c>
      <c r="AC43" s="40" t="str">
        <f aca="false">IF(AND(D43="Congé sans solde",F43="Congé sans solde"),0.333333333333333,IF(OR(AND(D43="Congé sans solde",F43&lt;&gt;"Congé sans solde"),(AND(F43="Congé sans solde",D43&lt;&gt;"Congé sans solde"))),0.166666666666667,""))</f>
        <v/>
      </c>
      <c r="AD43" s="40" t="str">
        <f aca="false">IF(AND(D43="Congé spécial",F43="Congé spécial"),0.333333333333333,IF(OR(AND(D43="Congé spécial",F43&lt;&gt;"Congé décès"),(AND(F43="Congé spécial",D43&lt;&gt;"Congé spécial"))),0.166666666666667,""))</f>
        <v/>
      </c>
      <c r="AE43" s="49" t="str">
        <f aca="false">IF(AND(D43="Férié",F43="Férié"),0.333333333333333,IF(OR(AND(D43="Férié",F43&lt;&gt;"Férié"),(AND(F43="Férié",D43&lt;&gt;"Férié"))),0.166666666666667,""))</f>
        <v/>
      </c>
      <c r="AF43" s="49"/>
      <c r="AG43" s="40"/>
    </row>
    <row r="44" customFormat="false" ht="12.75" hidden="true" customHeight="true" outlineLevel="0" collapsed="false">
      <c r="A44" s="22" t="n">
        <f aca="false">VLOOKUP(B44,Annuaire_roster!B:F,5,0)</f>
        <v>0</v>
      </c>
      <c r="B44" s="23" t="s">
        <v>37</v>
      </c>
      <c r="C44" s="24" t="str">
        <f aca="false">IFERROR(IF(COUNTIFS(Pointage_brut!$E:$E,VLOOKUP($B44,Annuaire_roster!$B:$J,9,0),Pointage_brut!$A:$A,TEXT($Q44,"yyyymmdd")*1)=0,"",MOD(_xlfn.MINIFS(Pointage_brut!$F:$F,Pointage_brut!$E:$E,VLOOKUP($B44,Annuaire_roster!$B:$J,9,0),Pointage_brut!$A:$A,TEXT($Q44,"yyyymmdd")*1),1)),"")</f>
        <v/>
      </c>
      <c r="D44" s="25" t="n">
        <f aca="false" t="array" ref="D44:D44">IFERROR(INDEX(Planning2[],MATCH(1,(Planning2[Nom]=B44)*(Planning2[Date]=Q44),0),3),"-")</f>
        <v>0.291666666666667</v>
      </c>
      <c r="E44" s="26" t="str">
        <f aca="false">IFERROR(IF(COUNTIFS(Pointage_brut!$E:$E,VLOOKUP($B44,Annuaire_roster!$B:$J,9,0),Pointage_brut!$A:$A,TEXT($Q44,"yyyymmdd")*1)=0,"",MOD(_xlfn.MAXIFS(Pointage_brut!$G:$G,Pointage_brut!$E:$E,VLOOKUP($B44,Annuaire_roster!$B:$J,9,0),Pointage_brut!$A:$A,TEXT($Q44,"yyyymmdd")*1),1)),"")</f>
        <v/>
      </c>
      <c r="F44" s="27" t="n">
        <f aca="false" t="array" ref="F44:F44">IFERROR(INDEX(Planning2[],MATCH(1,(Planning2[Nom]=B44)*(Planning2[Date]=Q44),0),4),"-")</f>
        <v>0.708333333333333</v>
      </c>
      <c r="G44" s="28"/>
      <c r="H44" s="28"/>
      <c r="I44" s="29" t="str">
        <f aca="false">IF(IF(OR(C44="",D44="Congé",D44="OFF",D44="Congé spécial"),"",IF(D44&gt;F44,D44-C44,IF(C44-D44&lt;0,0,C44-D44)))&lt;0.00068287037037037,"",IF(OR(D44="Congé",D44="OFF",C44="",D44="Congé spécial"),"",IF(D44&gt;F44,D44-C44,IF(C44-D44&lt;0,0,C44-D44))))</f>
        <v/>
      </c>
      <c r="J44" s="28"/>
      <c r="K44" s="30" t="n">
        <f aca="false">IF(SUM(H44:J44)&lt;0.00068287037037037,0,SUM(H44:J44))</f>
        <v>0</v>
      </c>
      <c r="L44" s="28" t="n">
        <f aca="false">IF(OR(F44="Congé",F44="OFF",M44="Abs",F44="Congé sans solde",F44="Férié",F44="Congé spécial",D44="Congé spécial"),0,IF(F44-E44&lt;0,0,IF(F44-E44&lt;=0.00068287037037037,0,F44-E44)))</f>
        <v>0</v>
      </c>
      <c r="M44" s="31" t="str">
        <f aca="false">IF(AND(O44&lt;&gt;0,C44=""),"Abs",0)</f>
        <v>Abs</v>
      </c>
      <c r="N44" s="32" t="str">
        <f aca="false">IFERROR(IF(OR(D44="OFF",D44="Congé",M44="Abs",D44="Congé sans solde",D44="Férié"),"",IF(O44-K44-L44&gt;O44,O44,IF(O44-K44-L44&lt;0,"",O44-K44-L44))),"")</f>
        <v/>
      </c>
      <c r="O44" s="33" t="n">
        <f aca="false">IF(AG44="2H Pause déjeuner",IF(F44-D44-0.0833333333333333&lt;0,F44-D44-0.0833333333333333+1,F44-D44-0.0833333333333333),IF(OR(AND(F44="OFF",D44="OFF"),AND(F44="Congé",D44="Congé"),AND(F44="Congé sans solde",D44="Congé sans solde"),AND(F44="Congé spécial",D44="Congé spécial"),AND(F44="Férié",D44="Férié"),AND(F44="OFF",D44="Congé"),AND(F44="OFF",D44="Congé sans solde"),AND(F44="OFF",D44="Congé spécial"),AND(F44="OFF",D44="Férié"),AND(F44="Congé",D44="OFF"),AND(F44="Congé",D44="Congé sans solde"),AND(F44="Congé",D44="Congé spécial"),AND(F44="Congé",D44="Férié"),AND(F44="Congé sans solde",D44="OFF"),AND(F44="Congé sans solde",D44="Congé"),AND(F44="Congé sans solde",D44="Congé spécial"),AND(F44="Congé sans solde",D44="Férié"),AND(F44="Congé spécial",D44="OFF"),AND(F44="Congé spécial",D44="Congé"),AND(F44="Congé spécial",D44="Congé sans solde"),AND(F44="Congé spécial",D44="Férié"),AND(F44="Férié",D44="OFF"),AND(F44="Férié",D44="Congé"),AND(F44="Férié",D44="Congé sans solde"),AND(F44="Férié",D44="Congé spécial")),0,IF(OR(F44="OFF",F44="Congé",F44="Congé spécial",F44="Congé sans solde",D44="OFF",D44="Congé",D44="Congé spécial",D44="Congé sans solde"),0.208333333333334,IF(AND(AG44="",F44-D44&lt;0),("24:00:00"-D44)+("00:00:00"+F44)-0.0416666666666667,IF(AND(OR(AG44="Allaitement",AG44="Sans déjeuner"),F44-D44&lt;0),("24:00:00"-D44)+("00:00:00"+F44),IF(AND(AG44="",F44-D44&gt;0.166666666666667),F44-D44-0.0416666666666667,IF(AND(OR(AG44="Allaitement",AG44="Sans déjeuner"),F44-D44&gt;0.166666666666667),F44-D44,F44-D44)))))))</f>
        <v>0.375</v>
      </c>
      <c r="P44" s="34" t="str">
        <f aca="false">IFERROR(VLOOKUP($B44,Annuaire_roster!$B:$G,MATCH(P$1,Annuaire_roster!$B$1:$G$1,0),0),"-")</f>
        <v>Google Leads</v>
      </c>
      <c r="Q44" s="35" t="n">
        <v>44718</v>
      </c>
      <c r="R44" s="36" t="n">
        <f aca="false">IF(M44="Abs",O44,0)</f>
        <v>0.375</v>
      </c>
      <c r="S44" s="36" t="n">
        <f aca="false">SUM(R44,L44,I44,J44,W44,H44)</f>
        <v>0.375</v>
      </c>
      <c r="T44" s="1" t="str">
        <f aca="false">"Sem - "&amp;WEEKNUM(Q44,21)</f>
        <v>Sem - 23</v>
      </c>
      <c r="U44" s="1" t="str">
        <f aca="false">PROPER(TEXT(Q44,"mmmm"))</f>
        <v>June</v>
      </c>
      <c r="V44" s="37" t="str">
        <f aca="false">+TEXT(Q44,"aaa")</f>
        <v>Sun</v>
      </c>
      <c r="W44" s="32"/>
      <c r="X44" s="38" t="n">
        <f aca="false">IFERROR(IF(M44="Abs",0,IF((D44-C44+E44-F44)&lt;0.000694444444444444,0,(D44-C44+E44-F44))),0)</f>
        <v>0</v>
      </c>
      <c r="Y44" s="39" t="n">
        <f aca="false">IFERROR(VLOOKUP(B44,Annuaire_roster!B:E,4,0),"-")</f>
        <v>0</v>
      </c>
      <c r="Z44" s="39" t="str">
        <f aca="false">IFERROR(VLOOKUP(B44,Annuaire_roster!B:F,3,0),"-")</f>
        <v>Google Leads</v>
      </c>
      <c r="AA44" s="39" t="n">
        <f aca="false">IFERROR(VLOOKUP(B44,Annuaire_roster!B:I,6,0),"-")</f>
        <v>0</v>
      </c>
      <c r="AB44" s="40" t="str">
        <f aca="false">IF(AND(D44="Congé",F44="Congé"),0.333333333333333,IF(OR(AND(D44="Congé",F44&lt;&gt;"Congé"),(AND(F44="Congé",D44&lt;&gt;"Congé"))),0.166666666666667,""))</f>
        <v/>
      </c>
      <c r="AC44" s="40" t="str">
        <f aca="false">IF(AND(D44="Congé sans solde",F44="Congé sans solde"),0.333333333333333,IF(OR(AND(D44="Congé sans solde",F44&lt;&gt;"Congé sans solde"),(AND(F44="Congé sans solde",D44&lt;&gt;"Congé sans solde"))),0.166666666666667,""))</f>
        <v/>
      </c>
      <c r="AD44" s="40" t="str">
        <f aca="false">IF(AND(D44="Congé spécial",F44="Congé spécial"),0.333333333333333,IF(OR(AND(D44="Congé spécial",F44&lt;&gt;"Congé décès"),(AND(F44="Congé spécial",D44&lt;&gt;"Congé spécial"))),0.166666666666667,""))</f>
        <v/>
      </c>
      <c r="AE44" s="41" t="str">
        <f aca="false">IF(AND(D44="Férié",F44="Férié"),0.333333333333333,IF(OR(AND(D44="Férié",F44&lt;&gt;"Férié"),(AND(F44="Férié",D44&lt;&gt;"Férié"))),0.166666666666667,""))</f>
        <v/>
      </c>
      <c r="AF44" s="49"/>
      <c r="AG44" s="36"/>
    </row>
    <row r="45" customFormat="false" ht="12.75" hidden="true" customHeight="true" outlineLevel="0" collapsed="false">
      <c r="A45" s="43" t="n">
        <f aca="false">VLOOKUP(B45,Annuaire_roster!B:F,5,0)</f>
        <v>0</v>
      </c>
      <c r="B45" s="52" t="s">
        <v>41</v>
      </c>
      <c r="C45" s="24" t="str">
        <f aca="false">IFERROR(IF(COUNTIFS(Pointage_brut!$E:$E,VLOOKUP($B45,Annuaire_roster!$B:$J,9,0),Pointage_brut!$A:$A,TEXT($Q45,"yyyymmdd")*1)=0,"",MOD(_xlfn.MINIFS(Pointage_brut!$F:$F,Pointage_brut!$E:$E,VLOOKUP($B45,Annuaire_roster!$B:$J,9,0),Pointage_brut!$A:$A,TEXT($Q45,"yyyymmdd")*1),1)),"")</f>
        <v/>
      </c>
      <c r="D45" s="25" t="n">
        <f aca="false" t="array" ref="D45:D45">IFERROR(INDEX(Planning2[],MATCH(1,(Planning2[Nom]=B45)*(Planning2[Date]=Q45),0),3),"-")</f>
        <v>0.291666666666667</v>
      </c>
      <c r="E45" s="26" t="str">
        <f aca="false">IFERROR(IF(COUNTIFS(Pointage_brut!$E:$E,VLOOKUP($B45,Annuaire_roster!$B:$J,9,0),Pointage_brut!$A:$A,TEXT($Q45,"yyyymmdd")*1)=0,"",MOD(_xlfn.MAXIFS(Pointage_brut!$G:$G,Pointage_brut!$E:$E,VLOOKUP($B45,Annuaire_roster!$B:$J,9,0),Pointage_brut!$A:$A,TEXT($Q45,"yyyymmdd")*1),1)),"")</f>
        <v/>
      </c>
      <c r="F45" s="27" t="n">
        <f aca="false" t="array" ref="F45:F45">IFERROR(INDEX(Planning2[],MATCH(1,(Planning2[Nom]=B45)*(Planning2[Date]=Q45),0),4),"-")</f>
        <v>0.708333333333333</v>
      </c>
      <c r="G45" s="28"/>
      <c r="H45" s="28"/>
      <c r="I45" s="29" t="str">
        <f aca="false">IF(IF(OR(C45="",D45="Congé",D45="OFF",D45="Congé spécial"),"",IF(D45&gt;F45,D45-C45,IF(C45-D45&lt;0,0,C45-D45)))&lt;0.00068287037037037,"",IF(OR(D45="Congé",D45="OFF",C45="",D45="Congé spécial"),"",IF(D45&gt;F45,D45-C45,IF(C45-D45&lt;0,0,C45-D45))))</f>
        <v/>
      </c>
      <c r="J45" s="28"/>
      <c r="K45" s="30" t="n">
        <f aca="false">IF(SUM(H45:J45)&lt;0.00068287037037037,0,SUM(H45:J45))</f>
        <v>0</v>
      </c>
      <c r="L45" s="28" t="n">
        <f aca="false">IF(OR(F45="Congé",F45="OFF",M45="Abs",F45="Congé sans solde",F45="Férié",F45="Congé spécial",D45="Congé spécial"),0,IF(F45-E45&lt;0,0,IF(F45-E45&lt;=0.00068287037037037,0,F45-E45)))</f>
        <v>0</v>
      </c>
      <c r="M45" s="31" t="str">
        <f aca="false">IF(AND(O45&lt;&gt;0,C45=""),"Abs",0)</f>
        <v>Abs</v>
      </c>
      <c r="N45" s="44" t="str">
        <f aca="false">IFERROR(IF(OR(D45="OFF",D45="Congé",M45="Abs",D45="Congé sans solde",D45="Férié"),"",IF(O45-K45-L45&gt;O45,O45,IF(O45-K45-L45&lt;0,"",O45-K45-L45))),"")</f>
        <v/>
      </c>
      <c r="O45" s="33" t="n">
        <f aca="false">IF(AG45="2H Pause déjeuner",IF(F45-D45-0.0833333333333333&lt;0,F45-D45-0.0833333333333333+1,F45-D45-0.0833333333333333),IF(OR(AND(F45="OFF",D45="OFF"),AND(F45="Congé",D45="Congé"),AND(F45="Congé sans solde",D45="Congé sans solde"),AND(F45="Congé spécial",D45="Congé spécial"),AND(F45="Férié",D45="Férié"),AND(F45="OFF",D45="Congé"),AND(F45="OFF",D45="Congé sans solde"),AND(F45="OFF",D45="Congé spécial"),AND(F45="OFF",D45="Férié"),AND(F45="Congé",D45="OFF"),AND(F45="Congé",D45="Congé sans solde"),AND(F45="Congé",D45="Congé spécial"),AND(F45="Congé",D45="Férié"),AND(F45="Congé sans solde",D45="OFF"),AND(F45="Congé sans solde",D45="Congé"),AND(F45="Congé sans solde",D45="Congé spécial"),AND(F45="Congé sans solde",D45="Férié"),AND(F45="Congé spécial",D45="OFF"),AND(F45="Congé spécial",D45="Congé"),AND(F45="Congé spécial",D45="Congé sans solde"),AND(F45="Congé spécial",D45="Férié"),AND(F45="Férié",D45="OFF"),AND(F45="Férié",D45="Congé"),AND(F45="Férié",D45="Congé sans solde"),AND(F45="Férié",D45="Congé spécial")),0,IF(OR(F45="OFF",F45="Congé",F45="Congé spécial",F45="Congé sans solde",D45="OFF",D45="Congé",D45="Congé spécial",D45="Congé sans solde"),0.208333333333334,IF(AND(AG45="",F45-D45&lt;0),("24:00:00"-D45)+("00:00:00"+F45)-0.0416666666666667,IF(AND(OR(AG45="Allaitement",AG45="Sans déjeuner"),F45-D45&lt;0),("24:00:00"-D45)+("00:00:00"+F45),IF(AND(AG45="",F45-D45&gt;0.166666666666667),F45-D45-0.0416666666666667,IF(AND(OR(AG45="Allaitement",AG45="Sans déjeuner"),F45-D45&gt;0.166666666666667),F45-D45,F45-D45)))))))</f>
        <v>0.375</v>
      </c>
      <c r="P45" s="34" t="str">
        <f aca="false">IFERROR(VLOOKUP($B45,Annuaire_roster!$B:$G,MATCH(P$1,Annuaire_roster!$B$1:$G$1,0),0),"-")</f>
        <v>Google Leads</v>
      </c>
      <c r="Q45" s="45" t="n">
        <v>44718</v>
      </c>
      <c r="R45" s="40" t="n">
        <f aca="false">IF(M45="Abs",O45,0)</f>
        <v>0.375</v>
      </c>
      <c r="S45" s="40" t="n">
        <f aca="false">SUM(R45,L45,I45,J45,W45,H45)</f>
        <v>0.375</v>
      </c>
      <c r="T45" s="1" t="str">
        <f aca="false">"Sem - "&amp;WEEKNUM(Q45,21)</f>
        <v>Sem - 23</v>
      </c>
      <c r="U45" s="1" t="str">
        <f aca="false">PROPER(TEXT(Q45,"mmmm"))</f>
        <v>June</v>
      </c>
      <c r="V45" s="46" t="str">
        <f aca="false">+TEXT(Q45,"aaa")</f>
        <v>Sun</v>
      </c>
      <c r="W45" s="44"/>
      <c r="X45" s="47" t="n">
        <f aca="false">IFERROR(IF(M45="Abs",0,IF((D45-C45+E45-F45)&lt;0.000694444444444444,0,(D45-C45+E45-F45))),0)</f>
        <v>0</v>
      </c>
      <c r="Y45" s="48" t="str">
        <f aca="false">IFERROR(VLOOKUP(B45,Annuaire_roster!B:E,4,0),"-")</f>
        <v>CHOUIFI Mustapha</v>
      </c>
      <c r="Z45" s="48" t="str">
        <f aca="false">IFERROR(VLOOKUP(B45,Annuaire_roster!B:F,3,0),"-")</f>
        <v>Google Leads</v>
      </c>
      <c r="AA45" s="48" t="str">
        <f aca="false">IFERROR(VLOOKUP(B45,Annuaire_roster!B:I,6,0),"-")</f>
        <v>Forfaitaire</v>
      </c>
      <c r="AB45" s="40" t="str">
        <f aca="false">IF(AND(D45="Congé",F45="Congé"),0.333333333333333,IF(OR(AND(D45="Congé",F45&lt;&gt;"Congé"),(AND(F45="Congé",D45&lt;&gt;"Congé"))),0.166666666666667,""))</f>
        <v/>
      </c>
      <c r="AC45" s="40" t="str">
        <f aca="false">IF(AND(D45="Congé sans solde",F45="Congé sans solde"),0.333333333333333,IF(OR(AND(D45="Congé sans solde",F45&lt;&gt;"Congé sans solde"),(AND(F45="Congé sans solde",D45&lt;&gt;"Congé sans solde"))),0.166666666666667,""))</f>
        <v/>
      </c>
      <c r="AD45" s="40" t="str">
        <f aca="false">IF(AND(D45="Congé spécial",F45="Congé spécial"),0.333333333333333,IF(OR(AND(D45="Congé spécial",F45&lt;&gt;"Congé décès"),(AND(F45="Congé spécial",D45&lt;&gt;"Congé spécial"))),0.166666666666667,""))</f>
        <v/>
      </c>
      <c r="AE45" s="49" t="str">
        <f aca="false">IF(AND(D45="Férié",F45="Férié"),0.333333333333333,IF(OR(AND(D45="Férié",F45&lt;&gt;"Férié"),(AND(F45="Férié",D45&lt;&gt;"Férié"))),0.166666666666667,""))</f>
        <v/>
      </c>
      <c r="AF45" s="49"/>
      <c r="AG45" s="40"/>
    </row>
    <row r="46" customFormat="false" ht="12.75" hidden="true" customHeight="true" outlineLevel="0" collapsed="false">
      <c r="A46" s="22" t="n">
        <f aca="false">VLOOKUP(B46,Annuaire_roster!B:F,5,0)</f>
        <v>364</v>
      </c>
      <c r="B46" s="23" t="s">
        <v>43</v>
      </c>
      <c r="C46" s="24" t="str">
        <f aca="false">IFERROR(IF(COUNTIFS(Pointage_brut!$E:$E,VLOOKUP($B46,Annuaire_roster!$B:$J,9,0),Pointage_brut!$A:$A,TEXT($Q46,"yyyymmdd")*1)=0,"",MOD(_xlfn.MINIFS(Pointage_brut!$F:$F,Pointage_brut!$E:$E,VLOOKUP($B46,Annuaire_roster!$B:$J,9,0),Pointage_brut!$A:$A,TEXT($Q46,"yyyymmdd")*1),1)),"")</f>
        <v/>
      </c>
      <c r="D46" s="25" t="n">
        <f aca="false" t="array" ref="D46:D46">IFERROR(INDEX(Planning2[],MATCH(1,(Planning2[Nom]=B46)*(Planning2[Date]=Q46),0),3),"-")</f>
        <v>0.416666666666667</v>
      </c>
      <c r="E46" s="26" t="str">
        <f aca="false">IFERROR(IF(COUNTIFS(Pointage_brut!$E:$E,VLOOKUP($B46,Annuaire_roster!$B:$J,9,0),Pointage_brut!$A:$A,TEXT($Q46,"yyyymmdd")*1)=0,"",MOD(_xlfn.MAXIFS(Pointage_brut!$G:$G,Pointage_brut!$E:$E,VLOOKUP($B46,Annuaire_roster!$B:$J,9,0),Pointage_brut!$A:$A,TEXT($Q46,"yyyymmdd")*1),1)),"")</f>
        <v/>
      </c>
      <c r="F46" s="27" t="n">
        <f aca="false" t="array" ref="F46:F46">IFERROR(INDEX(Planning2[],MATCH(1,(Planning2[Nom]=B46)*(Planning2[Date]=Q46),0),4),"-")</f>
        <v>0.833333333333333</v>
      </c>
      <c r="G46" s="28"/>
      <c r="H46" s="28"/>
      <c r="I46" s="29" t="str">
        <f aca="false">IF(IF(OR(C46="",D46="Congé",D46="OFF",D46="Congé spécial"),"",IF(D46&gt;F46,D46-C46,IF(C46-D46&lt;0,0,C46-D46)))&lt;0.00068287037037037,"",IF(OR(D46="Congé",D46="OFF",C46="",D46="Congé spécial"),"",IF(D46&gt;F46,D46-C46,IF(C46-D46&lt;0,0,C46-D46))))</f>
        <v/>
      </c>
      <c r="J46" s="28"/>
      <c r="K46" s="30" t="n">
        <f aca="false">IF(SUM(H46:J46)&lt;0.00068287037037037,0,SUM(H46:J46))</f>
        <v>0</v>
      </c>
      <c r="L46" s="28" t="n">
        <f aca="false">IF(OR(F46="Congé",F46="OFF",M46="Abs",F46="Congé sans solde",F46="Férié",F46="Congé spécial",D46="Congé spécial"),0,IF(F46-E46&lt;0,0,IF(F46-E46&lt;=0.00068287037037037,0,F46-E46)))</f>
        <v>0</v>
      </c>
      <c r="M46" s="31" t="str">
        <f aca="false">IF(AND(O46&lt;&gt;0,C46=""),"Abs",0)</f>
        <v>Abs</v>
      </c>
      <c r="N46" s="32" t="str">
        <f aca="false">IFERROR(IF(OR(D46="OFF",D46="Congé",M46="Abs",D46="Congé sans solde",D46="Férié"),"",IF(O46-K46-L46&gt;O46,O46,IF(O46-K46-L46&lt;0,"",O46-K46-L46))),"")</f>
        <v/>
      </c>
      <c r="O46" s="33" t="n">
        <f aca="false">IF(AG46="2H Pause déjeuner",IF(F46-D46-0.0833333333333333&lt;0,F46-D46-0.0833333333333333+1,F46-D46-0.0833333333333333),IF(OR(AND(F46="OFF",D46="OFF"),AND(F46="Congé",D46="Congé"),AND(F46="Congé sans solde",D46="Congé sans solde"),AND(F46="Congé spécial",D46="Congé spécial"),AND(F46="Férié",D46="Férié"),AND(F46="OFF",D46="Congé"),AND(F46="OFF",D46="Congé sans solde"),AND(F46="OFF",D46="Congé spécial"),AND(F46="OFF",D46="Férié"),AND(F46="Congé",D46="OFF"),AND(F46="Congé",D46="Congé sans solde"),AND(F46="Congé",D46="Congé spécial"),AND(F46="Congé",D46="Férié"),AND(F46="Congé sans solde",D46="OFF"),AND(F46="Congé sans solde",D46="Congé"),AND(F46="Congé sans solde",D46="Congé spécial"),AND(F46="Congé sans solde",D46="Férié"),AND(F46="Congé spécial",D46="OFF"),AND(F46="Congé spécial",D46="Congé"),AND(F46="Congé spécial",D46="Congé sans solde"),AND(F46="Congé spécial",D46="Férié"),AND(F46="Férié",D46="OFF"),AND(F46="Férié",D46="Congé"),AND(F46="Férié",D46="Congé sans solde"),AND(F46="Férié",D46="Congé spécial")),0,IF(OR(F46="OFF",F46="Congé",F46="Congé spécial",F46="Congé sans solde",D46="OFF",D46="Congé",D46="Congé spécial",D46="Congé sans solde"),0.208333333333334,IF(AND(AG46="",F46-D46&lt;0),("24:00:00"-D46)+("00:00:00"+F46)-0.0416666666666667,IF(AND(OR(AG46="Allaitement",AG46="Sans déjeuner"),F46-D46&lt;0),("24:00:00"-D46)+("00:00:00"+F46),IF(AND(AG46="",F46-D46&gt;0.166666666666667),F46-D46-0.0416666666666667,IF(AND(OR(AG46="Allaitement",AG46="Sans déjeuner"),F46-D46&gt;0.166666666666667),F46-D46,F46-D46)))))))</f>
        <v>0.375</v>
      </c>
      <c r="P46" s="34" t="str">
        <f aca="false">IFERROR(VLOOKUP($B46,Annuaire_roster!$B:$G,MATCH(P$1,Annuaire_roster!$B$1:$G$1,0),0),"-")</f>
        <v>Google Leads</v>
      </c>
      <c r="Q46" s="35" t="n">
        <v>44718</v>
      </c>
      <c r="R46" s="36" t="n">
        <f aca="false">IF(M46="Abs",O46,0)</f>
        <v>0.375</v>
      </c>
      <c r="S46" s="36" t="n">
        <f aca="false">SUM(R46,L46,I46,J46,W46,H46)</f>
        <v>0.375</v>
      </c>
      <c r="T46" s="1" t="str">
        <f aca="false">"Sem - "&amp;WEEKNUM(Q46,21)</f>
        <v>Sem - 23</v>
      </c>
      <c r="U46" s="1" t="str">
        <f aca="false">PROPER(TEXT(Q46,"mmmm"))</f>
        <v>June</v>
      </c>
      <c r="V46" s="37" t="str">
        <f aca="false">+TEXT(Q46,"aaa")</f>
        <v>Sun</v>
      </c>
      <c r="W46" s="32"/>
      <c r="X46" s="38" t="n">
        <f aca="false">IFERROR(IF(M46="Abs",0,IF((D46-C46+E46-F46)&lt;0.000694444444444444,0,(D46-C46+E46-F46))),0)</f>
        <v>0</v>
      </c>
      <c r="Y46" s="39" t="str">
        <f aca="false">IFERROR(VLOOKUP(B46,Annuaire_roster!B:E,4,0),"-")</f>
        <v>OUAQERROUCH Nour-El Houda</v>
      </c>
      <c r="Z46" s="39" t="str">
        <f aca="false">IFERROR(VLOOKUP(B46,Annuaire_roster!B:F,3,0),"-")</f>
        <v>Google Leads</v>
      </c>
      <c r="AA46" s="39" t="str">
        <f aca="false">IFERROR(VLOOKUP(B46,Annuaire_roster!B:I,6,0),"-")</f>
        <v>Forfaitaire</v>
      </c>
      <c r="AB46" s="40" t="str">
        <f aca="false">IF(AND(D46="Congé",F46="Congé"),0.333333333333333,IF(OR(AND(D46="Congé",F46&lt;&gt;"Congé"),(AND(F46="Congé",D46&lt;&gt;"Congé"))),0.166666666666667,""))</f>
        <v/>
      </c>
      <c r="AC46" s="40" t="str">
        <f aca="false">IF(AND(D46="Congé sans solde",F46="Congé sans solde"),0.333333333333333,IF(OR(AND(D46="Congé sans solde",F46&lt;&gt;"Congé sans solde"),(AND(F46="Congé sans solde",D46&lt;&gt;"Congé sans solde"))),0.166666666666667,""))</f>
        <v/>
      </c>
      <c r="AD46" s="40" t="str">
        <f aca="false">IF(AND(D46="Congé spécial",F46="Congé spécial"),0.333333333333333,IF(OR(AND(D46="Congé spécial",F46&lt;&gt;"Congé décès"),(AND(F46="Congé spécial",D46&lt;&gt;"Congé spécial"))),0.166666666666667,""))</f>
        <v/>
      </c>
      <c r="AE46" s="41" t="str">
        <f aca="false">IF(AND(D46="Férié",F46="Férié"),0.333333333333333,IF(OR(AND(D46="Férié",F46&lt;&gt;"Férié"),(AND(F46="Férié",D46&lt;&gt;"Férié"))),0.166666666666667,""))</f>
        <v/>
      </c>
      <c r="AF46" s="41"/>
      <c r="AG46" s="36"/>
    </row>
    <row r="47" customFormat="false" ht="12.75" hidden="true" customHeight="true" outlineLevel="0" collapsed="false">
      <c r="A47" s="22" t="n">
        <f aca="false">VLOOKUP(B47,Annuaire_roster!B:F,5,0)</f>
        <v>949</v>
      </c>
      <c r="B47" s="23" t="s">
        <v>48</v>
      </c>
      <c r="C47" s="24" t="str">
        <f aca="false">IFERROR(IF(COUNTIFS(Pointage_brut!$E:$E,VLOOKUP($B47,Annuaire_roster!$B:$J,9,0),Pointage_brut!$A:$A,TEXT($Q47,"yyyymmdd")*1)=0,"",MOD(_xlfn.MINIFS(Pointage_brut!$F:$F,Pointage_brut!$E:$E,VLOOKUP($B47,Annuaire_roster!$B:$J,9,0),Pointage_brut!$A:$A,TEXT($Q47,"yyyymmdd")*1),1)),"")</f>
        <v/>
      </c>
      <c r="D47" s="25" t="n">
        <f aca="false" t="array" ref="D47:D47">IFERROR(INDEX(Planning2[],MATCH(1,(Planning2[Nom]=B47)*(Planning2[Date]=Q47),0),3),"-")</f>
        <v>0.416666666666667</v>
      </c>
      <c r="E47" s="26" t="str">
        <f aca="false">IFERROR(IF(COUNTIFS(Pointage_brut!$E:$E,VLOOKUP($B47,Annuaire_roster!$B:$J,9,0),Pointage_brut!$A:$A,TEXT($Q47,"yyyymmdd")*1)=0,"",MOD(_xlfn.MAXIFS(Pointage_brut!$G:$G,Pointage_brut!$E:$E,VLOOKUP($B47,Annuaire_roster!$B:$J,9,0),Pointage_brut!$A:$A,TEXT($Q47,"yyyymmdd")*1),1)),"")</f>
        <v/>
      </c>
      <c r="F47" s="27" t="n">
        <f aca="false" t="array" ref="F47:F47">IFERROR(INDEX(Planning2[],MATCH(1,(Planning2[Nom]=B47)*(Planning2[Date]=Q47),0),4),"-")</f>
        <v>0.833333333333333</v>
      </c>
      <c r="G47" s="28"/>
      <c r="H47" s="28"/>
      <c r="I47" s="29" t="str">
        <f aca="false">IF(IF(OR(C47="",D47="Congé",D47="OFF",D47="Congé spécial"),"",IF(D47&gt;F47,D47-C47,IF(C47-D47&lt;0,0,C47-D47)))&lt;0.00068287037037037,"",IF(OR(D47="Congé",D47="OFF",C47="",D47="Congé spécial"),"",IF(D47&gt;F47,D47-C47,IF(C47-D47&lt;0,0,C47-D47))))</f>
        <v/>
      </c>
      <c r="J47" s="28"/>
      <c r="K47" s="30" t="n">
        <f aca="false">IF(SUM(H47:J47)&lt;0.00068287037037037,0,SUM(H47:J47))</f>
        <v>0</v>
      </c>
      <c r="L47" s="28" t="n">
        <f aca="false">IF(OR(F47="Congé",F47="OFF",M47="Abs",F47="Congé sans solde",F47="Férié",F47="Congé spécial",D47="Congé spécial"),0,IF(F47-E47&lt;0,0,IF(F47-E47&lt;=0.00068287037037037,0,F47-E47)))</f>
        <v>0</v>
      </c>
      <c r="M47" s="31" t="str">
        <f aca="false">IF(AND(O47&lt;&gt;0,C47=""),"Abs",0)</f>
        <v>Abs</v>
      </c>
      <c r="N47" s="32" t="str">
        <f aca="false">IFERROR(IF(OR(D47="OFF",D47="Congé",M47="Abs",D47="Congé sans solde",D47="Férié"),"",IF(O47-K47-L47&gt;O47,O47,IF(O47-K47-L47&lt;0,"",O47-K47-L47))),"")</f>
        <v/>
      </c>
      <c r="O47" s="33" t="n">
        <f aca="false">IF(AG47="2H Pause déjeuner",IF(F47-D47-0.0833333333333333&lt;0,F47-D47-0.0833333333333333+1,F47-D47-0.0833333333333333),IF(OR(AND(F47="OFF",D47="OFF"),AND(F47="Congé",D47="Congé"),AND(F47="Congé sans solde",D47="Congé sans solde"),AND(F47="Congé spécial",D47="Congé spécial"),AND(F47="Férié",D47="Férié"),AND(F47="OFF",D47="Congé"),AND(F47="OFF",D47="Congé sans solde"),AND(F47="OFF",D47="Congé spécial"),AND(F47="OFF",D47="Férié"),AND(F47="Congé",D47="OFF"),AND(F47="Congé",D47="Congé sans solde"),AND(F47="Congé",D47="Congé spécial"),AND(F47="Congé",D47="Férié"),AND(F47="Congé sans solde",D47="OFF"),AND(F47="Congé sans solde",D47="Congé"),AND(F47="Congé sans solde",D47="Congé spécial"),AND(F47="Congé sans solde",D47="Férié"),AND(F47="Congé spécial",D47="OFF"),AND(F47="Congé spécial",D47="Congé"),AND(F47="Congé spécial",D47="Congé sans solde"),AND(F47="Congé spécial",D47="Férié"),AND(F47="Férié",D47="OFF"),AND(F47="Férié",D47="Congé"),AND(F47="Férié",D47="Congé sans solde"),AND(F47="Férié",D47="Congé spécial")),0,IF(OR(F47="OFF",F47="Congé",F47="Congé spécial",F47="Congé sans solde",D47="OFF",D47="Congé",D47="Congé spécial",D47="Congé sans solde"),0.208333333333334,IF(AND(AG47="",F47-D47&lt;0),("24:00:00"-D47)+("00:00:00"+F47)-0.0416666666666667,IF(AND(OR(AG47="Allaitement",AG47="Sans déjeuner"),F47-D47&lt;0),("24:00:00"-D47)+("00:00:00"+F47),IF(AND(AG47="",F47-D47&gt;0.166666666666667),F47-D47-0.0416666666666667,IF(AND(OR(AG47="Allaitement",AG47="Sans déjeuner"),F47-D47&gt;0.166666666666667),F47-D47,F47-D47)))))))</f>
        <v>0.375</v>
      </c>
      <c r="P47" s="34" t="str">
        <f aca="false">IFERROR(VLOOKUP($B47,Annuaire_roster!$B:$G,MATCH(P$1,Annuaire_roster!$B$1:$G$1,0),0),"-")</f>
        <v>Google Leads</v>
      </c>
      <c r="Q47" s="35" t="n">
        <v>44718</v>
      </c>
      <c r="R47" s="36" t="n">
        <f aca="false">IF(M47="Abs",O47,0)</f>
        <v>0.375</v>
      </c>
      <c r="S47" s="36" t="n">
        <f aca="false">SUM(R47,L47,I47,J47,W47,H47)</f>
        <v>0.375</v>
      </c>
      <c r="T47" s="1" t="str">
        <f aca="false">"Sem - "&amp;WEEKNUM(Q47,21)</f>
        <v>Sem - 23</v>
      </c>
      <c r="U47" s="1" t="str">
        <f aca="false">PROPER(TEXT(Q47,"mmmm"))</f>
        <v>June</v>
      </c>
      <c r="V47" s="37" t="str">
        <f aca="false">+TEXT(Q47,"aaa")</f>
        <v>Sun</v>
      </c>
      <c r="W47" s="32"/>
      <c r="X47" s="38" t="n">
        <f aca="false">IFERROR(IF(M47="Abs",0,IF((D47-C47+E47-F47)&lt;0.000694444444444444,0,(D47-C47+E47-F47))),0)</f>
        <v>0</v>
      </c>
      <c r="Y47" s="39" t="str">
        <f aca="false">IFERROR(VLOOKUP(B47,Annuaire_roster!B:E,4,0),"-")</f>
        <v>CHOUIFI Mustapha</v>
      </c>
      <c r="Z47" s="39" t="str">
        <f aca="false">IFERROR(VLOOKUP(B47,Annuaire_roster!B:F,3,0),"-")</f>
        <v>Google Leads</v>
      </c>
      <c r="AA47" s="39" t="str">
        <f aca="false">IFERROR(VLOOKUP(B47,Annuaire_roster!B:I,6,0),"-")</f>
        <v>Forfaitaire</v>
      </c>
      <c r="AB47" s="40" t="str">
        <f aca="false">IF(AND(D47="Congé",F47="Congé"),0.333333333333333,IF(OR(AND(D47="Congé",F47&lt;&gt;"Congé"),(AND(F47="Congé",D47&lt;&gt;"Congé"))),0.166666666666667,""))</f>
        <v/>
      </c>
      <c r="AC47" s="40" t="str">
        <f aca="false">IF(AND(D47="Congé sans solde",F47="Congé sans solde"),0.333333333333333,IF(OR(AND(D47="Congé sans solde",F47&lt;&gt;"Congé sans solde"),(AND(F47="Congé sans solde",D47&lt;&gt;"Congé sans solde"))),0.166666666666667,""))</f>
        <v/>
      </c>
      <c r="AD47" s="40" t="str">
        <f aca="false">IF(AND(D47="Congé spécial",F47="Congé spécial"),0.333333333333333,IF(OR(AND(D47="Congé spécial",F47&lt;&gt;"Congé décès"),(AND(F47="Congé spécial",D47&lt;&gt;"Congé spécial"))),0.166666666666667,""))</f>
        <v/>
      </c>
      <c r="AE47" s="41" t="str">
        <f aca="false">IF(AND(D47="Férié",F47="Férié"),0.333333333333333,IF(OR(AND(D47="Férié",F47&lt;&gt;"Férié"),(AND(F47="Férié",D47&lt;&gt;"Férié"))),0.166666666666667,""))</f>
        <v/>
      </c>
      <c r="AF47" s="41"/>
      <c r="AG47" s="36"/>
    </row>
    <row r="48" customFormat="false" ht="12.75" hidden="true" customHeight="true" outlineLevel="0" collapsed="false">
      <c r="A48" s="43" t="n">
        <f aca="false">VLOOKUP(B48,Annuaire_roster!B:F,5,0)</f>
        <v>1009</v>
      </c>
      <c r="B48" s="23" t="s">
        <v>44</v>
      </c>
      <c r="C48" s="24" t="str">
        <f aca="false">IFERROR(IF(COUNTIFS(Pointage_brut!$E:$E,VLOOKUP($B48,Annuaire_roster!$B:$J,9,0),Pointage_brut!$A:$A,TEXT($Q48,"yyyymmdd")*1)=0,"",MOD(_xlfn.MINIFS(Pointage_brut!$F:$F,Pointage_brut!$E:$E,VLOOKUP($B48,Annuaire_roster!$B:$J,9,0),Pointage_brut!$A:$A,TEXT($Q48,"yyyymmdd")*1),1)),"")</f>
        <v/>
      </c>
      <c r="D48" s="25" t="n">
        <f aca="false" t="array" ref="D48:D48">IFERROR(INDEX(Planning2[],MATCH(1,(Planning2[Nom]=B48)*(Planning2[Date]=Q48),0),3),"-")</f>
        <v>0.416666666666667</v>
      </c>
      <c r="E48" s="26" t="str">
        <f aca="false">IFERROR(IF(COUNTIFS(Pointage_brut!$E:$E,VLOOKUP($B48,Annuaire_roster!$B:$J,9,0),Pointage_brut!$A:$A,TEXT($Q48,"yyyymmdd")*1)=0,"",MOD(_xlfn.MAXIFS(Pointage_brut!$G:$G,Pointage_brut!$E:$E,VLOOKUP($B48,Annuaire_roster!$B:$J,9,0),Pointage_brut!$A:$A,TEXT($Q48,"yyyymmdd")*1),1)),"")</f>
        <v/>
      </c>
      <c r="F48" s="27" t="n">
        <f aca="false" t="array" ref="F48:F48">IFERROR(INDEX(Planning2[],MATCH(1,(Planning2[Nom]=B48)*(Planning2[Date]=Q48),0),4),"-")</f>
        <v>0.833333333333333</v>
      </c>
      <c r="G48" s="28"/>
      <c r="H48" s="28"/>
      <c r="I48" s="29" t="str">
        <f aca="false">IF(IF(OR(C48="",D48="Congé",D48="OFF",D48="Congé spécial"),"",IF(D48&gt;F48,D48-C48,IF(C48-D48&lt;0,0,C48-D48)))&lt;0.00068287037037037,"",IF(OR(D48="Congé",D48="OFF",C48="",D48="Congé spécial"),"",IF(D48&gt;F48,D48-C48,IF(C48-D48&lt;0,0,C48-D48))))</f>
        <v/>
      </c>
      <c r="J48" s="28"/>
      <c r="K48" s="30" t="n">
        <f aca="false">IF(SUM(H48:J48)&lt;0.00068287037037037,0,SUM(H48:J48))</f>
        <v>0</v>
      </c>
      <c r="L48" s="28" t="n">
        <f aca="false">IF(OR(F48="Congé",F48="OFF",M48="Abs",F48="Congé sans solde",F48="Férié",F48="Congé spécial",D48="Congé spécial"),0,IF(F48-E48&lt;0,0,IF(F48-E48&lt;=0.00068287037037037,0,F48-E48)))</f>
        <v>0</v>
      </c>
      <c r="M48" s="31" t="str">
        <f aca="false">IF(AND(O48&lt;&gt;0,C48=""),"Abs",0)</f>
        <v>Abs</v>
      </c>
      <c r="N48" s="44" t="str">
        <f aca="false">IFERROR(IF(OR(D48="OFF",D48="Congé",M48="Abs",D48="Congé sans solde",D48="Férié"),"",IF(O48-K48-L48&gt;O48,O48,IF(O48-K48-L48&lt;0,"",O48-K48-L48))),"")</f>
        <v/>
      </c>
      <c r="O48" s="33" t="n">
        <f aca="false">IF(AG48="2H Pause déjeuner",IF(F48-D48-0.0833333333333333&lt;0,F48-D48-0.0833333333333333+1,F48-D48-0.0833333333333333),IF(OR(AND(F48="OFF",D48="OFF"),AND(F48="Congé",D48="Congé"),AND(F48="Congé sans solde",D48="Congé sans solde"),AND(F48="Congé spécial",D48="Congé spécial"),AND(F48="Férié",D48="Férié"),AND(F48="OFF",D48="Congé"),AND(F48="OFF",D48="Congé sans solde"),AND(F48="OFF",D48="Congé spécial"),AND(F48="OFF",D48="Férié"),AND(F48="Congé",D48="OFF"),AND(F48="Congé",D48="Congé sans solde"),AND(F48="Congé",D48="Congé spécial"),AND(F48="Congé",D48="Férié"),AND(F48="Congé sans solde",D48="OFF"),AND(F48="Congé sans solde",D48="Congé"),AND(F48="Congé sans solde",D48="Congé spécial"),AND(F48="Congé sans solde",D48="Férié"),AND(F48="Congé spécial",D48="OFF"),AND(F48="Congé spécial",D48="Congé"),AND(F48="Congé spécial",D48="Congé sans solde"),AND(F48="Congé spécial",D48="Férié"),AND(F48="Férié",D48="OFF"),AND(F48="Férié",D48="Congé"),AND(F48="Férié",D48="Congé sans solde"),AND(F48="Férié",D48="Congé spécial")),0,IF(OR(F48="OFF",F48="Congé",F48="Congé spécial",F48="Congé sans solde",D48="OFF",D48="Congé",D48="Congé spécial",D48="Congé sans solde"),0.208333333333334,IF(AND(AG48="",F48-D48&lt;0),("24:00:00"-D48)+("00:00:00"+F48)-0.0416666666666667,IF(AND(OR(AG48="Allaitement",AG48="Sans déjeuner"),F48-D48&lt;0),("24:00:00"-D48)+("00:00:00"+F48),IF(AND(AG48="",F48-D48&gt;0.166666666666667),F48-D48-0.0416666666666667,IF(AND(OR(AG48="Allaitement",AG48="Sans déjeuner"),F48-D48&gt;0.166666666666667),F48-D48,F48-D48)))))))</f>
        <v>0.375</v>
      </c>
      <c r="P48" s="34" t="str">
        <f aca="false">IFERROR(VLOOKUP($B48,Annuaire_roster!$B:$G,MATCH(P$1,Annuaire_roster!$B$1:$G$1,0),0),"-")</f>
        <v>Google Leads</v>
      </c>
      <c r="Q48" s="45" t="n">
        <v>44718</v>
      </c>
      <c r="R48" s="40" t="n">
        <f aca="false">IF(M48="Abs",O48,0)</f>
        <v>0.375</v>
      </c>
      <c r="S48" s="40" t="n">
        <f aca="false">SUM(R48,L48,I48,J48,W48,H48)</f>
        <v>0.375</v>
      </c>
      <c r="T48" s="1" t="str">
        <f aca="false">"Sem - "&amp;WEEKNUM(Q48,21)</f>
        <v>Sem - 23</v>
      </c>
      <c r="U48" s="1" t="str">
        <f aca="false">PROPER(TEXT(Q48,"mmmm"))</f>
        <v>June</v>
      </c>
      <c r="V48" s="46" t="str">
        <f aca="false">+TEXT(Q48,"aaa")</f>
        <v>Sun</v>
      </c>
      <c r="W48" s="44"/>
      <c r="X48" s="47" t="n">
        <f aca="false">IFERROR(IF(M48="Abs",0,IF((D48-C48+E48-F48)&lt;0.000694444444444444,0,(D48-C48+E48-F48))),0)</f>
        <v>0</v>
      </c>
      <c r="Y48" s="48" t="str">
        <f aca="false">IFERROR(VLOOKUP(B48,Annuaire_roster!B:E,4,0),"-")</f>
        <v>OUAQERROUCH Nour-El Houda</v>
      </c>
      <c r="Z48" s="48" t="str">
        <f aca="false">IFERROR(VLOOKUP(B48,Annuaire_roster!B:F,3,0),"-")</f>
        <v>Google Leads</v>
      </c>
      <c r="AA48" s="48" t="str">
        <f aca="false">IFERROR(VLOOKUP(B48,Annuaire_roster!B:I,6,0),"-")</f>
        <v>Forfaitaire</v>
      </c>
      <c r="AB48" s="40" t="str">
        <f aca="false">IF(AND(D48="Congé",F48="Congé"),0.333333333333333,IF(OR(AND(D48="Congé",F48&lt;&gt;"Congé"),(AND(F48="Congé",D48&lt;&gt;"Congé"))),0.166666666666667,""))</f>
        <v/>
      </c>
      <c r="AC48" s="40" t="str">
        <f aca="false">IF(AND(D48="Congé sans solde",F48="Congé sans solde"),0.333333333333333,IF(OR(AND(D48="Congé sans solde",F48&lt;&gt;"Congé sans solde"),(AND(F48="Congé sans solde",D48&lt;&gt;"Congé sans solde"))),0.166666666666667,""))</f>
        <v/>
      </c>
      <c r="AD48" s="40" t="str">
        <f aca="false">IF(AND(D48="Congé spécial",F48="Congé spécial"),0.333333333333333,IF(OR(AND(D48="Congé spécial",F48&lt;&gt;"Congé décès"),(AND(F48="Congé spécial",D48&lt;&gt;"Congé spécial"))),0.166666666666667,""))</f>
        <v/>
      </c>
      <c r="AE48" s="49" t="str">
        <f aca="false">IF(AND(D48="Férié",F48="Férié"),0.333333333333333,IF(OR(AND(D48="Férié",F48&lt;&gt;"Férié"),(AND(F48="Férié",D48&lt;&gt;"Férié"))),0.166666666666667,""))</f>
        <v/>
      </c>
      <c r="AF48" s="41"/>
      <c r="AG48" s="40"/>
    </row>
    <row r="49" customFormat="false" ht="12.75" hidden="true" customHeight="true" outlineLevel="0" collapsed="false">
      <c r="A49" s="22" t="n">
        <f aca="false">VLOOKUP(B49,Annuaire_roster!B:F,5,0)</f>
        <v>1131</v>
      </c>
      <c r="B49" s="23" t="s">
        <v>50</v>
      </c>
      <c r="C49" s="24" t="str">
        <f aca="false">IFERROR(IF(COUNTIFS(Pointage_brut!$E:$E,VLOOKUP($B49,Annuaire_roster!$B:$J,9,0),Pointage_brut!$A:$A,TEXT($Q49,"yyyymmdd")*1)=0,"",MOD(_xlfn.MINIFS(Pointage_brut!$F:$F,Pointage_brut!$E:$E,VLOOKUP($B49,Annuaire_roster!$B:$J,9,0),Pointage_brut!$A:$A,TEXT($Q49,"yyyymmdd")*1),1)),"")</f>
        <v/>
      </c>
      <c r="D49" s="25" t="n">
        <f aca="false" t="array" ref="D49:D49">IFERROR(INDEX(Planning2[],MATCH(1,(Planning2[Nom]=B49)*(Planning2[Date]=Q49),0),3),"-")</f>
        <v>0.416666666666667</v>
      </c>
      <c r="E49" s="26" t="str">
        <f aca="false">IFERROR(IF(COUNTIFS(Pointage_brut!$E:$E,VLOOKUP($B49,Annuaire_roster!$B:$J,9,0),Pointage_brut!$A:$A,TEXT($Q49,"yyyymmdd")*1)=0,"",MOD(_xlfn.MAXIFS(Pointage_brut!$G:$G,Pointage_brut!$E:$E,VLOOKUP($B49,Annuaire_roster!$B:$J,9,0),Pointage_brut!$A:$A,TEXT($Q49,"yyyymmdd")*1),1)),"")</f>
        <v/>
      </c>
      <c r="F49" s="27" t="n">
        <f aca="false" t="array" ref="F49:F49">IFERROR(INDEX(Planning2[],MATCH(1,(Planning2[Nom]=B49)*(Planning2[Date]=Q49),0),4),"-")</f>
        <v>0.833333333333333</v>
      </c>
      <c r="G49" s="28"/>
      <c r="H49" s="28"/>
      <c r="I49" s="29" t="str">
        <f aca="false">IF(IF(OR(C49="",D49="Congé",D49="OFF",D49="Congé spécial"),"",IF(D49&gt;F49,D49-C49,IF(C49-D49&lt;0,0,C49-D49)))&lt;0.00068287037037037,"",IF(OR(D49="Congé",D49="OFF",C49="",D49="Congé spécial"),"",IF(D49&gt;F49,D49-C49,IF(C49-D49&lt;0,0,C49-D49))))</f>
        <v/>
      </c>
      <c r="J49" s="28"/>
      <c r="K49" s="30" t="n">
        <f aca="false">IF(SUM(H49:J49)&lt;0.00068287037037037,0,SUM(H49:J49))</f>
        <v>0</v>
      </c>
      <c r="L49" s="28" t="n">
        <f aca="false">IF(OR(F49="Congé",F49="OFF",M49="Abs",F49="Congé sans solde",F49="Férié",F49="Congé spécial",D49="Congé spécial"),0,IF(F49-E49&lt;0,0,IF(F49-E49&lt;=0.00068287037037037,0,F49-E49)))</f>
        <v>0</v>
      </c>
      <c r="M49" s="31" t="str">
        <f aca="false">IF(AND(O49&lt;&gt;0,C49=""),"Abs",0)</f>
        <v>Abs</v>
      </c>
      <c r="N49" s="32" t="str">
        <f aca="false">IFERROR(IF(OR(D49="OFF",D49="Congé",M49="Abs",D49="Congé sans solde",D49="Férié"),"",IF(O49-K49-L49&gt;O49,O49,IF(O49-K49-L49&lt;0,"",O49-K49-L49))),"")</f>
        <v/>
      </c>
      <c r="O49" s="33" t="n">
        <f aca="false">IF(AG49="2H Pause déjeuner",IF(F49-D49-0.0833333333333333&lt;0,F49-D49-0.0833333333333333+1,F49-D49-0.0833333333333333),IF(OR(AND(F49="OFF",D49="OFF"),AND(F49="Congé",D49="Congé"),AND(F49="Congé sans solde",D49="Congé sans solde"),AND(F49="Congé spécial",D49="Congé spécial"),AND(F49="Férié",D49="Férié"),AND(F49="OFF",D49="Congé"),AND(F49="OFF",D49="Congé sans solde"),AND(F49="OFF",D49="Congé spécial"),AND(F49="OFF",D49="Férié"),AND(F49="Congé",D49="OFF"),AND(F49="Congé",D49="Congé sans solde"),AND(F49="Congé",D49="Congé spécial"),AND(F49="Congé",D49="Férié"),AND(F49="Congé sans solde",D49="OFF"),AND(F49="Congé sans solde",D49="Congé"),AND(F49="Congé sans solde",D49="Congé spécial"),AND(F49="Congé sans solde",D49="Férié"),AND(F49="Congé spécial",D49="OFF"),AND(F49="Congé spécial",D49="Congé"),AND(F49="Congé spécial",D49="Congé sans solde"),AND(F49="Congé spécial",D49="Férié"),AND(F49="Férié",D49="OFF"),AND(F49="Férié",D49="Congé"),AND(F49="Férié",D49="Congé sans solde"),AND(F49="Férié",D49="Congé spécial")),0,IF(OR(F49="OFF",F49="Congé",F49="Congé spécial",F49="Congé sans solde",D49="OFF",D49="Congé",D49="Congé spécial",D49="Congé sans solde"),0.208333333333334,IF(AND(AG49="",F49-D49&lt;0),("24:00:00"-D49)+("00:00:00"+F49)-0.0416666666666667,IF(AND(OR(AG49="Allaitement",AG49="Sans déjeuner"),F49-D49&lt;0),("24:00:00"-D49)+("00:00:00"+F49),IF(AND(AG49="",F49-D49&gt;0.166666666666667),F49-D49-0.0416666666666667,IF(AND(OR(AG49="Allaitement",AG49="Sans déjeuner"),F49-D49&gt;0.166666666666667),F49-D49,F49-D49)))))))</f>
        <v>0.375</v>
      </c>
      <c r="P49" s="34" t="str">
        <f aca="false">IFERROR(VLOOKUP($B49,Annuaire_roster!$B:$G,MATCH(P$1,Annuaire_roster!$B$1:$G$1,0),0),"-")</f>
        <v>Google Leads</v>
      </c>
      <c r="Q49" s="35" t="n">
        <v>44718</v>
      </c>
      <c r="R49" s="36" t="n">
        <f aca="false">IF(M49="Abs",O49,0)</f>
        <v>0.375</v>
      </c>
      <c r="S49" s="36" t="n">
        <f aca="false">SUM(R49,L49,I49,J49,W49,H49)</f>
        <v>0.375</v>
      </c>
      <c r="T49" s="1" t="str">
        <f aca="false">"Sem - "&amp;WEEKNUM(Q49,21)</f>
        <v>Sem - 23</v>
      </c>
      <c r="U49" s="1" t="str">
        <f aca="false">PROPER(TEXT(Q49,"mmmm"))</f>
        <v>June</v>
      </c>
      <c r="V49" s="37" t="str">
        <f aca="false">+TEXT(Q49,"aaa")</f>
        <v>Sun</v>
      </c>
      <c r="W49" s="32"/>
      <c r="X49" s="38" t="n">
        <f aca="false">IFERROR(IF(M49="Abs",0,IF((D49-C49+E49-F49)&lt;0.000694444444444444,0,(D49-C49+E49-F49))),0)</f>
        <v>0</v>
      </c>
      <c r="Y49" s="39" t="str">
        <f aca="false">IFERROR(VLOOKUP(B49,Annuaire_roster!B:E,4,0),"-")</f>
        <v>CHOUIFI Mustapha</v>
      </c>
      <c r="Z49" s="39" t="str">
        <f aca="false">IFERROR(VLOOKUP(B49,Annuaire_roster!B:F,3,0),"-")</f>
        <v>Google Leads</v>
      </c>
      <c r="AA49" s="39" t="str">
        <f aca="false">IFERROR(VLOOKUP(B49,Annuaire_roster!B:I,6,0),"-")</f>
        <v>Forfaitaire</v>
      </c>
      <c r="AB49" s="40" t="str">
        <f aca="false">IF(AND(D49="Congé",F49="Congé"),0.333333333333333,IF(OR(AND(D49="Congé",F49&lt;&gt;"Congé"),(AND(F49="Congé",D49&lt;&gt;"Congé"))),0.166666666666667,""))</f>
        <v/>
      </c>
      <c r="AC49" s="40" t="str">
        <f aca="false">IF(AND(D49="Congé sans solde",F49="Congé sans solde"),0.333333333333333,IF(OR(AND(D49="Congé sans solde",F49&lt;&gt;"Congé sans solde"),(AND(F49="Congé sans solde",D49&lt;&gt;"Congé sans solde"))),0.166666666666667,""))</f>
        <v/>
      </c>
      <c r="AD49" s="40" t="str">
        <f aca="false">IF(AND(D49="Congé spécial",F49="Congé spécial"),0.333333333333333,IF(OR(AND(D49="Congé spécial",F49&lt;&gt;"Congé décès"),(AND(F49="Congé spécial",D49&lt;&gt;"Congé spécial"))),0.166666666666667,""))</f>
        <v/>
      </c>
      <c r="AE49" s="41" t="str">
        <f aca="false">IF(AND(D49="Férié",F49="Férié"),0.333333333333333,IF(OR(AND(D49="Férié",F49&lt;&gt;"Férié"),(AND(F49="Férié",D49&lt;&gt;"Férié"))),0.166666666666667,""))</f>
        <v/>
      </c>
      <c r="AF49" s="41"/>
      <c r="AG49" s="36"/>
    </row>
    <row r="50" customFormat="false" ht="12.75" hidden="true" customHeight="true" outlineLevel="0" collapsed="false">
      <c r="A50" s="22" t="n">
        <f aca="false">VLOOKUP(B50,Annuaire_roster!B:F,5,0)</f>
        <v>1170</v>
      </c>
      <c r="B50" s="23" t="s">
        <v>64</v>
      </c>
      <c r="C50" s="24" t="str">
        <f aca="false">IFERROR(IF(COUNTIFS(Pointage_brut!$E:$E,VLOOKUP($B50,Annuaire_roster!$B:$J,9,0),Pointage_brut!$A:$A,TEXT($Q50,"yyyymmdd")*1)=0,"",MOD(_xlfn.MINIFS(Pointage_brut!$F:$F,Pointage_brut!$E:$E,VLOOKUP($B50,Annuaire_roster!$B:$J,9,0),Pointage_brut!$A:$A,TEXT($Q50,"yyyymmdd")*1),1)),"")</f>
        <v/>
      </c>
      <c r="D50" s="25" t="n">
        <f aca="false" t="array" ref="D50:D50">IFERROR(INDEX(Planning2[],MATCH(1,(Planning2[Nom]=B50)*(Planning2[Date]=Q50),0),3),"-")</f>
        <v>0.416666666666667</v>
      </c>
      <c r="E50" s="26" t="str">
        <f aca="false">IFERROR(IF(COUNTIFS(Pointage_brut!$E:$E,VLOOKUP($B50,Annuaire_roster!$B:$J,9,0),Pointage_brut!$A:$A,TEXT($Q50,"yyyymmdd")*1)=0,"",MOD(_xlfn.MAXIFS(Pointage_brut!$G:$G,Pointage_brut!$E:$E,VLOOKUP($B50,Annuaire_roster!$B:$J,9,0),Pointage_brut!$A:$A,TEXT($Q50,"yyyymmdd")*1),1)),"")</f>
        <v/>
      </c>
      <c r="F50" s="27" t="n">
        <f aca="false" t="array" ref="F50:F50">IFERROR(INDEX(Planning2[],MATCH(1,(Planning2[Nom]=B50)*(Planning2[Date]=Q50),0),4),"-")</f>
        <v>0.833333333333333</v>
      </c>
      <c r="G50" s="28"/>
      <c r="H50" s="28"/>
      <c r="I50" s="29" t="str">
        <f aca="false">IF(IF(OR(C50="",D50="Congé",D50="OFF",D50="Congé spécial"),"",IF(D50&gt;F50,D50-C50,IF(C50-D50&lt;0,0,C50-D50)))&lt;0.00068287037037037,"",IF(OR(D50="Congé",D50="OFF",C50="",D50="Congé spécial"),"",IF(D50&gt;F50,D50-C50,IF(C50-D50&lt;0,0,C50-D50))))</f>
        <v/>
      </c>
      <c r="J50" s="28"/>
      <c r="K50" s="30" t="n">
        <f aca="false">IF(SUM(H50:J50)&lt;0.00068287037037037,0,SUM(H50:J50))</f>
        <v>0</v>
      </c>
      <c r="L50" s="28" t="n">
        <f aca="false">IF(OR(F50="Congé",F50="OFF",M50="Abs",F50="Congé sans solde",F50="Férié",F50="Congé spécial",D50="Congé spécial"),0,IF(F50-E50&lt;0,0,IF(F50-E50&lt;=0.00068287037037037,0,F50-E50)))</f>
        <v>0</v>
      </c>
      <c r="M50" s="31" t="str">
        <f aca="false">IF(AND(O50&lt;&gt;0,C50=""),"Abs",0)</f>
        <v>Abs</v>
      </c>
      <c r="N50" s="32" t="str">
        <f aca="false">IFERROR(IF(OR(D50="OFF",D50="Congé",M50="Abs",D50="Congé sans solde",D50="Férié"),"",IF(O50-K50-L50&gt;O50,O50,IF(O50-K50-L50&lt;0,"",O50-K50-L50))),"")</f>
        <v/>
      </c>
      <c r="O50" s="33" t="n">
        <f aca="false">IF(AG50="2H Pause déjeuner",IF(F50-D50-0.0833333333333333&lt;0,F50-D50-0.0833333333333333+1,F50-D50-0.0833333333333333),IF(OR(AND(F50="OFF",D50="OFF"),AND(F50="Congé",D50="Congé"),AND(F50="Congé sans solde",D50="Congé sans solde"),AND(F50="Congé spécial",D50="Congé spécial"),AND(F50="Férié",D50="Férié"),AND(F50="OFF",D50="Congé"),AND(F50="OFF",D50="Congé sans solde"),AND(F50="OFF",D50="Congé spécial"),AND(F50="OFF",D50="Férié"),AND(F50="Congé",D50="OFF"),AND(F50="Congé",D50="Congé sans solde"),AND(F50="Congé",D50="Congé spécial"),AND(F50="Congé",D50="Férié"),AND(F50="Congé sans solde",D50="OFF"),AND(F50="Congé sans solde",D50="Congé"),AND(F50="Congé sans solde",D50="Congé spécial"),AND(F50="Congé sans solde",D50="Férié"),AND(F50="Congé spécial",D50="OFF"),AND(F50="Congé spécial",D50="Congé"),AND(F50="Congé spécial",D50="Congé sans solde"),AND(F50="Congé spécial",D50="Férié"),AND(F50="Férié",D50="OFF"),AND(F50="Férié",D50="Congé"),AND(F50="Férié",D50="Congé sans solde"),AND(F50="Férié",D50="Congé spécial")),0,IF(OR(F50="OFF",F50="Congé",F50="Congé spécial",F50="Congé sans solde",D50="OFF",D50="Congé",D50="Congé spécial",D50="Congé sans solde"),0.208333333333334,IF(AND(AG50="",F50-D50&lt;0),("24:00:00"-D50)+("00:00:00"+F50)-0.0416666666666667,IF(AND(OR(AG50="Allaitement",AG50="Sans déjeuner"),F50-D50&lt;0),("24:00:00"-D50)+("00:00:00"+F50),IF(AND(AG50="",F50-D50&gt;0.166666666666667),F50-D50-0.0416666666666667,IF(AND(OR(AG50="Allaitement",AG50="Sans déjeuner"),F50-D50&gt;0.166666666666667),F50-D50,F50-D50)))))))</f>
        <v>0.375</v>
      </c>
      <c r="P50" s="34" t="str">
        <f aca="false">IFERROR(VLOOKUP($B50,Annuaire_roster!$B:$G,MATCH(P$1,Annuaire_roster!$B$1:$G$1,0),0),"-")</f>
        <v>Google Leads</v>
      </c>
      <c r="Q50" s="35" t="n">
        <v>44718</v>
      </c>
      <c r="R50" s="36" t="n">
        <f aca="false">IF(M50="Abs",O50,0)</f>
        <v>0.375</v>
      </c>
      <c r="S50" s="36" t="n">
        <f aca="false">SUM(R50,L50,I50,J50,W50,H50)</f>
        <v>0.375</v>
      </c>
      <c r="T50" s="1" t="str">
        <f aca="false">"Sem - "&amp;WEEKNUM(Q50,21)</f>
        <v>Sem - 23</v>
      </c>
      <c r="U50" s="1" t="str">
        <f aca="false">PROPER(TEXT(Q50,"mmmm"))</f>
        <v>June</v>
      </c>
      <c r="V50" s="37" t="str">
        <f aca="false">+TEXT(Q50,"aaa")</f>
        <v>Sun</v>
      </c>
      <c r="W50" s="32"/>
      <c r="X50" s="38" t="n">
        <f aca="false">IFERROR(IF(M50="Abs",0,IF((D50-C50+E50-F50)&lt;0.000694444444444444,0,(D50-C50+E50-F50))),0)</f>
        <v>0</v>
      </c>
      <c r="Y50" s="39" t="str">
        <f aca="false">IFERROR(VLOOKUP(B50,Annuaire_roster!B:E,4,0),"-")</f>
        <v>CHOUIFI Mustapha</v>
      </c>
      <c r="Z50" s="39" t="str">
        <f aca="false">IFERROR(VLOOKUP(B50,Annuaire_roster!B:F,3,0),"-")</f>
        <v>Google Leads</v>
      </c>
      <c r="AA50" s="39" t="str">
        <f aca="false">IFERROR(VLOOKUP(B50,Annuaire_roster!B:I,6,0),"-")</f>
        <v>Forfaitaire</v>
      </c>
      <c r="AB50" s="40" t="str">
        <f aca="false">IF(AND(D50="Congé",F50="Congé"),0.333333333333333,IF(OR(AND(D50="Congé",F50&lt;&gt;"Congé"),(AND(F50="Congé",D50&lt;&gt;"Congé"))),0.166666666666667,""))</f>
        <v/>
      </c>
      <c r="AC50" s="40" t="str">
        <f aca="false">IF(AND(D50="Congé sans solde",F50="Congé sans solde"),0.333333333333333,IF(OR(AND(D50="Congé sans solde",F50&lt;&gt;"Congé sans solde"),(AND(F50="Congé sans solde",D50&lt;&gt;"Congé sans solde"))),0.166666666666667,""))</f>
        <v/>
      </c>
      <c r="AD50" s="40" t="str">
        <f aca="false">IF(AND(D50="Congé spécial",F50="Congé spécial"),0.333333333333333,IF(OR(AND(D50="Congé spécial",F50&lt;&gt;"Congé décès"),(AND(F50="Congé spécial",D50&lt;&gt;"Congé spécial"))),0.166666666666667,""))</f>
        <v/>
      </c>
      <c r="AE50" s="41" t="str">
        <f aca="false">IF(AND(D50="Férié",F50="Férié"),0.333333333333333,IF(OR(AND(D50="Férié",F50&lt;&gt;"Férié"),(AND(F50="Férié",D50&lt;&gt;"Férié"))),0.166666666666667,""))</f>
        <v/>
      </c>
      <c r="AF50" s="41"/>
      <c r="AG50" s="36"/>
    </row>
    <row r="51" customFormat="false" ht="12.75" hidden="true" customHeight="true" outlineLevel="0" collapsed="false">
      <c r="A51" s="22" t="n">
        <f aca="false">VLOOKUP(B51,Annuaire_roster!B:F,5,0)</f>
        <v>1154</v>
      </c>
      <c r="B51" s="23" t="s">
        <v>53</v>
      </c>
      <c r="C51" s="24" t="str">
        <f aca="false">IFERROR(IF(COUNTIFS(Pointage_brut!$E:$E,VLOOKUP($B51,Annuaire_roster!$B:$J,9,0),Pointage_brut!$A:$A,TEXT($Q51,"yyyymmdd")*1)=0,"",MOD(_xlfn.MINIFS(Pointage_brut!$F:$F,Pointage_brut!$E:$E,VLOOKUP($B51,Annuaire_roster!$B:$J,9,0),Pointage_brut!$A:$A,TEXT($Q51,"yyyymmdd")*1),1)),"")</f>
        <v/>
      </c>
      <c r="D51" s="25" t="n">
        <f aca="false" t="array" ref="D51:D51">IFERROR(INDEX(Planning2[],MATCH(1,(Planning2[Nom]=B51)*(Planning2[Date]=Q51),0),3),"-")</f>
        <v>0.416666666666667</v>
      </c>
      <c r="E51" s="26" t="str">
        <f aca="false">IFERROR(IF(COUNTIFS(Pointage_brut!$E:$E,VLOOKUP($B51,Annuaire_roster!$B:$J,9,0),Pointage_brut!$A:$A,TEXT($Q51,"yyyymmdd")*1)=0,"",MOD(_xlfn.MAXIFS(Pointage_brut!$G:$G,Pointage_brut!$E:$E,VLOOKUP($B51,Annuaire_roster!$B:$J,9,0),Pointage_brut!$A:$A,TEXT($Q51,"yyyymmdd")*1),1)),"")</f>
        <v/>
      </c>
      <c r="F51" s="27" t="n">
        <f aca="false" t="array" ref="F51:F51">IFERROR(INDEX(Planning2[],MATCH(1,(Planning2[Nom]=B51)*(Planning2[Date]=Q51),0),4),"-")</f>
        <v>0.833333333333333</v>
      </c>
      <c r="G51" s="28"/>
      <c r="H51" s="28"/>
      <c r="I51" s="29" t="str">
        <f aca="false">IF(IF(OR(C51="",D51="Congé",D51="OFF",D51="Congé spécial"),"",IF(D51&gt;F51,D51-C51,IF(C51-D51&lt;0,0,C51-D51)))&lt;0.00068287037037037,"",IF(OR(D51="Congé",D51="OFF",C51="",D51="Congé spécial"),"",IF(D51&gt;F51,D51-C51,IF(C51-D51&lt;0,0,C51-D51))))</f>
        <v/>
      </c>
      <c r="J51" s="28"/>
      <c r="K51" s="30" t="n">
        <f aca="false">IF(SUM(H51:J51)&lt;0.00068287037037037,0,SUM(H51:J51))</f>
        <v>0</v>
      </c>
      <c r="L51" s="28" t="n">
        <f aca="false">IF(OR(F51="Congé",F51="OFF",M51="Abs",F51="Congé sans solde",F51="Férié",F51="Congé spécial",D51="Congé spécial"),0,IF(F51-E51&lt;0,0,IF(F51-E51&lt;=0.00068287037037037,0,F51-E51)))</f>
        <v>0</v>
      </c>
      <c r="M51" s="31" t="str">
        <f aca="false">IF(AND(O51&lt;&gt;0,C51=""),"Abs",0)</f>
        <v>Abs</v>
      </c>
      <c r="N51" s="32" t="str">
        <f aca="false">IFERROR(IF(OR(D51="OFF",D51="Congé",M51="Abs",D51="Congé sans solde",D51="Férié"),"",IF(O51-K51-L51&gt;O51,O51,IF(O51-K51-L51&lt;0,"",O51-K51-L51))),"")</f>
        <v/>
      </c>
      <c r="O51" s="33" t="n">
        <f aca="false">IF(AG51="2H Pause déjeuner",IF(F51-D51-0.0833333333333333&lt;0,F51-D51-0.0833333333333333+1,F51-D51-0.0833333333333333),IF(OR(AND(F51="OFF",D51="OFF"),AND(F51="Congé",D51="Congé"),AND(F51="Congé sans solde",D51="Congé sans solde"),AND(F51="Congé spécial",D51="Congé spécial"),AND(F51="Férié",D51="Férié"),AND(F51="OFF",D51="Congé"),AND(F51="OFF",D51="Congé sans solde"),AND(F51="OFF",D51="Congé spécial"),AND(F51="OFF",D51="Férié"),AND(F51="Congé",D51="OFF"),AND(F51="Congé",D51="Congé sans solde"),AND(F51="Congé",D51="Congé spécial"),AND(F51="Congé",D51="Férié"),AND(F51="Congé sans solde",D51="OFF"),AND(F51="Congé sans solde",D51="Congé"),AND(F51="Congé sans solde",D51="Congé spécial"),AND(F51="Congé sans solde",D51="Férié"),AND(F51="Congé spécial",D51="OFF"),AND(F51="Congé spécial",D51="Congé"),AND(F51="Congé spécial",D51="Congé sans solde"),AND(F51="Congé spécial",D51="Férié"),AND(F51="Férié",D51="OFF"),AND(F51="Férié",D51="Congé"),AND(F51="Férié",D51="Congé sans solde"),AND(F51="Férié",D51="Congé spécial")),0,IF(OR(F51="OFF",F51="Congé",F51="Congé spécial",F51="Congé sans solde",D51="OFF",D51="Congé",D51="Congé spécial",D51="Congé sans solde"),0.208333333333334,IF(AND(AG51="",F51-D51&lt;0),("24:00:00"-D51)+("00:00:00"+F51)-0.0416666666666667,IF(AND(OR(AG51="Allaitement",AG51="Sans déjeuner"),F51-D51&lt;0),("24:00:00"-D51)+("00:00:00"+F51),IF(AND(AG51="",F51-D51&gt;0.166666666666667),F51-D51-0.0416666666666667,IF(AND(OR(AG51="Allaitement",AG51="Sans déjeuner"),F51-D51&gt;0.166666666666667),F51-D51,F51-D51)))))))</f>
        <v>0.375</v>
      </c>
      <c r="P51" s="34" t="str">
        <f aca="false">IFERROR(VLOOKUP($B51,Annuaire_roster!$B:$G,MATCH(P$1,Annuaire_roster!$B$1:$G$1,0),0),"-")</f>
        <v>Google Leads</v>
      </c>
      <c r="Q51" s="35" t="n">
        <v>44718</v>
      </c>
      <c r="R51" s="36" t="n">
        <f aca="false">IF(M51="Abs",O51,0)</f>
        <v>0.375</v>
      </c>
      <c r="S51" s="36" t="n">
        <f aca="false">SUM(R51,L51,I51,J51,W51,H51)</f>
        <v>0.375</v>
      </c>
      <c r="T51" s="1" t="str">
        <f aca="false">"Sem - "&amp;WEEKNUM(Q51,21)</f>
        <v>Sem - 23</v>
      </c>
      <c r="U51" s="1" t="str">
        <f aca="false">PROPER(TEXT(Q51,"mmmm"))</f>
        <v>June</v>
      </c>
      <c r="V51" s="37" t="str">
        <f aca="false">+TEXT(Q51,"aaa")</f>
        <v>Sun</v>
      </c>
      <c r="W51" s="32"/>
      <c r="X51" s="38" t="n">
        <f aca="false">IFERROR(IF(M51="Abs",0,IF((D51-C51+E51-F51)&lt;0.000694444444444444,0,(D51-C51+E51-F51))),0)</f>
        <v>0</v>
      </c>
      <c r="Y51" s="39" t="str">
        <f aca="false">IFERROR(VLOOKUP(B51,Annuaire_roster!B:E,4,0),"-")</f>
        <v>CHOUIFI Mustapha</v>
      </c>
      <c r="Z51" s="39" t="str">
        <f aca="false">IFERROR(VLOOKUP(B51,Annuaire_roster!B:F,3,0),"-")</f>
        <v>Google Leads</v>
      </c>
      <c r="AA51" s="39" t="str">
        <f aca="false">IFERROR(VLOOKUP(B51,Annuaire_roster!B:I,6,0),"-")</f>
        <v>Forfaitaire</v>
      </c>
      <c r="AB51" s="40" t="str">
        <f aca="false">IF(AND(D51="Congé",F51="Congé"),0.333333333333333,IF(OR(AND(D51="Congé",F51&lt;&gt;"Congé"),(AND(F51="Congé",D51&lt;&gt;"Congé"))),0.166666666666667,""))</f>
        <v/>
      </c>
      <c r="AC51" s="40" t="str">
        <f aca="false">IF(AND(D51="Congé sans solde",F51="Congé sans solde"),0.333333333333333,IF(OR(AND(D51="Congé sans solde",F51&lt;&gt;"Congé sans solde"),(AND(F51="Congé sans solde",D51&lt;&gt;"Congé sans solde"))),0.166666666666667,""))</f>
        <v/>
      </c>
      <c r="AD51" s="40" t="str">
        <f aca="false">IF(AND(D51="Congé spécial",F51="Congé spécial"),0.333333333333333,IF(OR(AND(D51="Congé spécial",F51&lt;&gt;"Congé décès"),(AND(F51="Congé spécial",D51&lt;&gt;"Congé spécial"))),0.166666666666667,""))</f>
        <v/>
      </c>
      <c r="AE51" s="41" t="str">
        <f aca="false">IF(AND(D51="Férié",F51="Férié"),0.333333333333333,IF(OR(AND(D51="Férié",F51&lt;&gt;"Férié"),(AND(F51="Férié",D51&lt;&gt;"Férié"))),0.166666666666667,""))</f>
        <v/>
      </c>
      <c r="AF51" s="49"/>
      <c r="AG51" s="36"/>
    </row>
    <row r="52" customFormat="false" ht="12.75" hidden="true" customHeight="true" outlineLevel="0" collapsed="false">
      <c r="A52" s="43" t="n">
        <f aca="false">VLOOKUP(B52,Annuaire_roster!B:F,5,0)</f>
        <v>0</v>
      </c>
      <c r="B52" s="23" t="s">
        <v>47</v>
      </c>
      <c r="C52" s="24" t="str">
        <f aca="false">IFERROR(IF(COUNTIFS(Pointage_brut!$E:$E,VLOOKUP($B52,Annuaire_roster!$B:$J,9,0),Pointage_brut!$A:$A,TEXT($Q52,"yyyymmdd")*1)=0,"",MOD(_xlfn.MINIFS(Pointage_brut!$F:$F,Pointage_brut!$E:$E,VLOOKUP($B52,Annuaire_roster!$B:$J,9,0),Pointage_brut!$A:$A,TEXT($Q52,"yyyymmdd")*1),1)),"")</f>
        <v/>
      </c>
      <c r="D52" s="25" t="n">
        <f aca="false" t="array" ref="D52:D52">IFERROR(INDEX(Planning2[],MATCH(1,(Planning2[Nom]=B52)*(Planning2[Date]=Q52),0),3),"-")</f>
        <v>0.416666666666667</v>
      </c>
      <c r="E52" s="26" t="str">
        <f aca="false">IFERROR(IF(COUNTIFS(Pointage_brut!$E:$E,VLOOKUP($B52,Annuaire_roster!$B:$J,9,0),Pointage_brut!$A:$A,TEXT($Q52,"yyyymmdd")*1)=0,"",MOD(_xlfn.MAXIFS(Pointage_brut!$G:$G,Pointage_brut!$E:$E,VLOOKUP($B52,Annuaire_roster!$B:$J,9,0),Pointage_brut!$A:$A,TEXT($Q52,"yyyymmdd")*1),1)),"")</f>
        <v/>
      </c>
      <c r="F52" s="27" t="n">
        <f aca="false" t="array" ref="F52:F52">IFERROR(INDEX(Planning2[],MATCH(1,(Planning2[Nom]=B52)*(Planning2[Date]=Q52),0),4),"-")</f>
        <v>0.833333333333333</v>
      </c>
      <c r="G52" s="28"/>
      <c r="H52" s="28"/>
      <c r="I52" s="29" t="str">
        <f aca="false">IF(IF(OR(C52="",D52="Congé",D52="OFF",D52="Congé spécial"),"",IF(D52&gt;F52,D52-C52,IF(C52-D52&lt;0,0,C52-D52)))&lt;0.00068287037037037,"",IF(OR(D52="Congé",D52="OFF",C52="",D52="Congé spécial"),"",IF(D52&gt;F52,D52-C52,IF(C52-D52&lt;0,0,C52-D52))))</f>
        <v/>
      </c>
      <c r="J52" s="28"/>
      <c r="K52" s="30" t="n">
        <f aca="false">IF(SUM(H52:J52)&lt;0.00068287037037037,0,SUM(H52:J52))</f>
        <v>0</v>
      </c>
      <c r="L52" s="28" t="n">
        <f aca="false">IF(OR(F52="Congé",F52="OFF",M52="Abs",F52="Congé sans solde",F52="Férié",F52="Congé spécial",D52="Congé spécial"),0,IF(F52-E52&lt;0,0,IF(F52-E52&lt;=0.00068287037037037,0,F52-E52)))</f>
        <v>0</v>
      </c>
      <c r="M52" s="31" t="str">
        <f aca="false">IF(AND(O52&lt;&gt;0,C52=""),"Abs",0)</f>
        <v>Abs</v>
      </c>
      <c r="N52" s="44" t="str">
        <f aca="false">IFERROR(IF(OR(D52="OFF",D52="Congé",M52="Abs",D52="Congé sans solde",D52="Férié"),"",IF(O52-K52-L52&gt;O52,O52,IF(O52-K52-L52&lt;0,"",O52-K52-L52))),"")</f>
        <v/>
      </c>
      <c r="O52" s="33" t="n">
        <f aca="false">IF(AG52="2H Pause déjeuner",IF(F52-D52-0.0833333333333333&lt;0,F52-D52-0.0833333333333333+1,F52-D52-0.0833333333333333),IF(OR(AND(F52="OFF",D52="OFF"),AND(F52="Congé",D52="Congé"),AND(F52="Congé sans solde",D52="Congé sans solde"),AND(F52="Congé spécial",D52="Congé spécial"),AND(F52="Férié",D52="Férié"),AND(F52="OFF",D52="Congé"),AND(F52="OFF",D52="Congé sans solde"),AND(F52="OFF",D52="Congé spécial"),AND(F52="OFF",D52="Férié"),AND(F52="Congé",D52="OFF"),AND(F52="Congé",D52="Congé sans solde"),AND(F52="Congé",D52="Congé spécial"),AND(F52="Congé",D52="Férié"),AND(F52="Congé sans solde",D52="OFF"),AND(F52="Congé sans solde",D52="Congé"),AND(F52="Congé sans solde",D52="Congé spécial"),AND(F52="Congé sans solde",D52="Férié"),AND(F52="Congé spécial",D52="OFF"),AND(F52="Congé spécial",D52="Congé"),AND(F52="Congé spécial",D52="Congé sans solde"),AND(F52="Congé spécial",D52="Férié"),AND(F52="Férié",D52="OFF"),AND(F52="Férié",D52="Congé"),AND(F52="Férié",D52="Congé sans solde"),AND(F52="Férié",D52="Congé spécial")),0,IF(OR(F52="OFF",F52="Congé",F52="Congé spécial",F52="Congé sans solde",D52="OFF",D52="Congé",D52="Congé spécial",D52="Congé sans solde"),0.208333333333334,IF(AND(AG52="",F52-D52&lt;0),("24:00:00"-D52)+("00:00:00"+F52)-0.0416666666666667,IF(AND(OR(AG52="Allaitement",AG52="Sans déjeuner"),F52-D52&lt;0),("24:00:00"-D52)+("00:00:00"+F52),IF(AND(AG52="",F52-D52&gt;0.166666666666667),F52-D52-0.0416666666666667,IF(AND(OR(AG52="Allaitement",AG52="Sans déjeuner"),F52-D52&gt;0.166666666666667),F52-D52,F52-D52)))))))</f>
        <v>0.375</v>
      </c>
      <c r="P52" s="34" t="str">
        <f aca="false">IFERROR(VLOOKUP($B52,Annuaire_roster!$B:$G,MATCH(P$1,Annuaire_roster!$B$1:$G$1,0),0),"-")</f>
        <v>Google Leads</v>
      </c>
      <c r="Q52" s="45" t="n">
        <v>44718</v>
      </c>
      <c r="R52" s="40" t="n">
        <f aca="false">IF(M52="Abs",O52,0)</f>
        <v>0.375</v>
      </c>
      <c r="S52" s="40" t="n">
        <f aca="false">SUM(R52,L52,I52,J52,W52,H52)</f>
        <v>0.375</v>
      </c>
      <c r="T52" s="1" t="str">
        <f aca="false">"Sem - "&amp;WEEKNUM(Q52,21)</f>
        <v>Sem - 23</v>
      </c>
      <c r="U52" s="1" t="str">
        <f aca="false">PROPER(TEXT(Q52,"mmmm"))</f>
        <v>June</v>
      </c>
      <c r="V52" s="46" t="str">
        <f aca="false">+TEXT(Q52,"aaa")</f>
        <v>Sun</v>
      </c>
      <c r="W52" s="44"/>
      <c r="X52" s="47" t="n">
        <f aca="false">IFERROR(IF(M52="Abs",0,IF((D52-C52+E52-F52)&lt;0.000694444444444444,0,(D52-C52+E52-F52))),0)</f>
        <v>0</v>
      </c>
      <c r="Y52" s="48" t="n">
        <f aca="false">IFERROR(VLOOKUP(B52,Annuaire_roster!B:E,4,0),"-")</f>
        <v>0</v>
      </c>
      <c r="Z52" s="48" t="str">
        <f aca="false">IFERROR(VLOOKUP(B52,Annuaire_roster!B:F,3,0),"-")</f>
        <v>Google Leads</v>
      </c>
      <c r="AA52" s="48" t="n">
        <f aca="false">IFERROR(VLOOKUP(B52,Annuaire_roster!B:I,6,0),"-")</f>
        <v>0</v>
      </c>
      <c r="AB52" s="40" t="str">
        <f aca="false">IF(AND(D52="Congé",F52="Congé"),0.333333333333333,IF(OR(AND(D52="Congé",F52&lt;&gt;"Congé"),(AND(F52="Congé",D52&lt;&gt;"Congé"))),0.166666666666667,""))</f>
        <v/>
      </c>
      <c r="AC52" s="40" t="str">
        <f aca="false">IF(AND(D52="Congé sans solde",F52="Congé sans solde"),0.333333333333333,IF(OR(AND(D52="Congé sans solde",F52&lt;&gt;"Congé sans solde"),(AND(F52="Congé sans solde",D52&lt;&gt;"Congé sans solde"))),0.166666666666667,""))</f>
        <v/>
      </c>
      <c r="AD52" s="40" t="str">
        <f aca="false">IF(AND(D52="Congé spécial",F52="Congé spécial"),0.333333333333333,IF(OR(AND(D52="Congé spécial",F52&lt;&gt;"Congé décès"),(AND(F52="Congé spécial",D52&lt;&gt;"Congé spécial"))),0.166666666666667,""))</f>
        <v/>
      </c>
      <c r="AE52" s="49" t="str">
        <f aca="false">IF(AND(D52="Férié",F52="Férié"),0.333333333333333,IF(OR(AND(D52="Férié",F52&lt;&gt;"Férié"),(AND(F52="Férié",D52&lt;&gt;"Férié"))),0.166666666666667,""))</f>
        <v/>
      </c>
      <c r="AF52" s="49"/>
      <c r="AG52" s="40"/>
    </row>
    <row r="53" customFormat="false" ht="12.75" hidden="true" customHeight="true" outlineLevel="0" collapsed="false">
      <c r="A53" s="43" t="n">
        <f aca="false">VLOOKUP(B53,Annuaire_roster!B:F,5,0)</f>
        <v>1274</v>
      </c>
      <c r="B53" s="23" t="s">
        <v>54</v>
      </c>
      <c r="C53" s="24" t="str">
        <f aca="false">IFERROR(IF(COUNTIFS(Pointage_brut!$E:$E,VLOOKUP($B53,Annuaire_roster!$B:$J,9,0),Pointage_brut!$A:$A,TEXT($Q53,"yyyymmdd")*1)=0,"",MOD(_xlfn.MINIFS(Pointage_brut!$F:$F,Pointage_brut!$E:$E,VLOOKUP($B53,Annuaire_roster!$B:$J,9,0),Pointage_brut!$A:$A,TEXT($Q53,"yyyymmdd")*1),1)),"")</f>
        <v/>
      </c>
      <c r="D53" s="25" t="n">
        <f aca="false" t="array" ref="D53:D53">IFERROR(INDEX(Planning2[],MATCH(1,(Planning2[Nom]=B53)*(Planning2[Date]=Q53),0),3),"-")</f>
        <v>0.416666666666667</v>
      </c>
      <c r="E53" s="26" t="str">
        <f aca="false">IFERROR(IF(COUNTIFS(Pointage_brut!$E:$E,VLOOKUP($B53,Annuaire_roster!$B:$J,9,0),Pointage_brut!$A:$A,TEXT($Q53,"yyyymmdd")*1)=0,"",MOD(_xlfn.MAXIFS(Pointage_brut!$G:$G,Pointage_brut!$E:$E,VLOOKUP($B53,Annuaire_roster!$B:$J,9,0),Pointage_brut!$A:$A,TEXT($Q53,"yyyymmdd")*1),1)),"")</f>
        <v/>
      </c>
      <c r="F53" s="27" t="n">
        <f aca="false" t="array" ref="F53:F53">IFERROR(INDEX(Planning2[],MATCH(1,(Planning2[Nom]=B53)*(Planning2[Date]=Q53),0),4),"-")</f>
        <v>0.833333333333333</v>
      </c>
      <c r="G53" s="28"/>
      <c r="H53" s="28"/>
      <c r="I53" s="29" t="str">
        <f aca="false">IF(IF(OR(C53="",D53="Congé",D53="OFF",D53="Congé spécial"),"",IF(D53&gt;F53,D53-C53,IF(C53-D53&lt;0,0,C53-D53)))&lt;0.00068287037037037,"",IF(OR(D53="Congé",D53="OFF",C53="",D53="Congé spécial"),"",IF(D53&gt;F53,D53-C53,IF(C53-D53&lt;0,0,C53-D53))))</f>
        <v/>
      </c>
      <c r="J53" s="28"/>
      <c r="K53" s="30" t="n">
        <f aca="false">IF(SUM(H53:J53)&lt;0.00068287037037037,0,SUM(H53:J53))</f>
        <v>0</v>
      </c>
      <c r="L53" s="28" t="n">
        <f aca="false">IF(OR(F53="Congé",F53="OFF",M53="Abs",F53="Congé sans solde",F53="Férié",F53="Congé spécial",D53="Congé spécial"),0,IF(F53-E53&lt;0,0,IF(F53-E53&lt;=0.00068287037037037,0,F53-E53)))</f>
        <v>0</v>
      </c>
      <c r="M53" s="31" t="str">
        <f aca="false">IF(AND(O53&lt;&gt;0,C53=""),"Abs",0)</f>
        <v>Abs</v>
      </c>
      <c r="N53" s="44" t="str">
        <f aca="false">IFERROR(IF(OR(D53="OFF",D53="Congé",M53="Abs",D53="Congé sans solde",D53="Férié"),"",IF(O53-K53-L53&gt;O53,O53,IF(O53-K53-L53&lt;0,"",O53-K53-L53))),"")</f>
        <v/>
      </c>
      <c r="O53" s="33" t="n">
        <f aca="false">IF(AG53="2H Pause déjeuner",IF(F53-D53-0.0833333333333333&lt;0,F53-D53-0.0833333333333333+1,F53-D53-0.0833333333333333),IF(OR(AND(F53="OFF",D53="OFF"),AND(F53="Congé",D53="Congé"),AND(F53="Congé sans solde",D53="Congé sans solde"),AND(F53="Congé spécial",D53="Congé spécial"),AND(F53="Férié",D53="Férié"),AND(F53="OFF",D53="Congé"),AND(F53="OFF",D53="Congé sans solde"),AND(F53="OFF",D53="Congé spécial"),AND(F53="OFF",D53="Férié"),AND(F53="Congé",D53="OFF"),AND(F53="Congé",D53="Congé sans solde"),AND(F53="Congé",D53="Congé spécial"),AND(F53="Congé",D53="Férié"),AND(F53="Congé sans solde",D53="OFF"),AND(F53="Congé sans solde",D53="Congé"),AND(F53="Congé sans solde",D53="Congé spécial"),AND(F53="Congé sans solde",D53="Férié"),AND(F53="Congé spécial",D53="OFF"),AND(F53="Congé spécial",D53="Congé"),AND(F53="Congé spécial",D53="Congé sans solde"),AND(F53="Congé spécial",D53="Férié"),AND(F53="Férié",D53="OFF"),AND(F53="Férié",D53="Congé"),AND(F53="Férié",D53="Congé sans solde"),AND(F53="Férié",D53="Congé spécial")),0,IF(OR(F53="OFF",F53="Congé",F53="Congé spécial",F53="Congé sans solde",D53="OFF",D53="Congé",D53="Congé spécial",D53="Congé sans solde"),0.208333333333334,IF(AND(AG53="",F53-D53&lt;0),("24:00:00"-D53)+("00:00:00"+F53)-0.0416666666666667,IF(AND(OR(AG53="Allaitement",AG53="Sans déjeuner"),F53-D53&lt;0),("24:00:00"-D53)+("00:00:00"+F53),IF(AND(AG53="",F53-D53&gt;0.166666666666667),F53-D53-0.0416666666666667,IF(AND(OR(AG53="Allaitement",AG53="Sans déjeuner"),F53-D53&gt;0.166666666666667),F53-D53,F53-D53)))))))</f>
        <v>0.375</v>
      </c>
      <c r="P53" s="34" t="str">
        <f aca="false">IFERROR(VLOOKUP($B53,Annuaire_roster!$B:$G,MATCH(P$1,Annuaire_roster!$B$1:$G$1,0),0),"-")</f>
        <v>Google Leads</v>
      </c>
      <c r="Q53" s="45" t="n">
        <v>44718</v>
      </c>
      <c r="R53" s="40" t="n">
        <f aca="false">IF(M53="Abs",O53,0)</f>
        <v>0.375</v>
      </c>
      <c r="S53" s="40" t="n">
        <f aca="false">SUM(R53,L53,I53,J53,W53,H53)</f>
        <v>0.375</v>
      </c>
      <c r="T53" s="1" t="str">
        <f aca="false">"Sem - "&amp;WEEKNUM(Q53,21)</f>
        <v>Sem - 23</v>
      </c>
      <c r="U53" s="1" t="str">
        <f aca="false">PROPER(TEXT(Q53,"mmmm"))</f>
        <v>June</v>
      </c>
      <c r="V53" s="46" t="str">
        <f aca="false">+TEXT(Q53,"aaa")</f>
        <v>Sun</v>
      </c>
      <c r="W53" s="44"/>
      <c r="X53" s="47" t="n">
        <f aca="false">IFERROR(IF(M53="Abs",0,IF((D53-C53+E53-F53)&lt;0.000694444444444444,0,(D53-C53+E53-F53))),0)</f>
        <v>0</v>
      </c>
      <c r="Y53" s="48" t="str">
        <f aca="false">IFERROR(VLOOKUP(B53,Annuaire_roster!B:E,4,0),"-")</f>
        <v>OUAQERROUCH Nour-El Houda</v>
      </c>
      <c r="Z53" s="48" t="str">
        <f aca="false">IFERROR(VLOOKUP(B53,Annuaire_roster!B:F,3,0),"-")</f>
        <v>Google Leads</v>
      </c>
      <c r="AA53" s="48" t="str">
        <f aca="false">IFERROR(VLOOKUP(B53,Annuaire_roster!B:I,6,0),"-")</f>
        <v>Forfaitaire</v>
      </c>
      <c r="AB53" s="40" t="str">
        <f aca="false">IF(AND(D53="Congé",F53="Congé"),0.333333333333333,IF(OR(AND(D53="Congé",F53&lt;&gt;"Congé"),(AND(F53="Congé",D53&lt;&gt;"Congé"))),0.166666666666667,""))</f>
        <v/>
      </c>
      <c r="AC53" s="40" t="str">
        <f aca="false">IF(AND(D53="Congé sans solde",F53="Congé sans solde"),0.333333333333333,IF(OR(AND(D53="Congé sans solde",F53&lt;&gt;"Congé sans solde"),(AND(F53="Congé sans solde",D53&lt;&gt;"Congé sans solde"))),0.166666666666667,""))</f>
        <v/>
      </c>
      <c r="AD53" s="40" t="str">
        <f aca="false">IF(AND(D53="Congé spécial",F53="Congé spécial"),0.333333333333333,IF(OR(AND(D53="Congé spécial",F53&lt;&gt;"Congé décès"),(AND(F53="Congé spécial",D53&lt;&gt;"Congé spécial"))),0.166666666666667,""))</f>
        <v/>
      </c>
      <c r="AE53" s="49" t="str">
        <f aca="false">IF(AND(D53="Férié",F53="Férié"),0.333333333333333,IF(OR(AND(D53="Férié",F53&lt;&gt;"Férié"),(AND(F53="Férié",D53&lt;&gt;"Férié"))),0.166666666666667,""))</f>
        <v/>
      </c>
      <c r="AF53" s="49"/>
      <c r="AG53" s="40"/>
    </row>
    <row r="54" customFormat="false" ht="12.75" hidden="true" customHeight="true" outlineLevel="0" collapsed="false">
      <c r="A54" s="22" t="n">
        <f aca="false">VLOOKUP(B54,Annuaire_roster!B:F,5,0)</f>
        <v>1165</v>
      </c>
      <c r="B54" s="23" t="s">
        <v>40</v>
      </c>
      <c r="C54" s="24" t="str">
        <f aca="false">IFERROR(IF(COUNTIFS(Pointage_brut!$E:$E,VLOOKUP($B54,Annuaire_roster!$B:$J,9,0),Pointage_brut!$A:$A,TEXT($Q54,"yyyymmdd")*1)=0,"",MOD(_xlfn.MINIFS(Pointage_brut!$F:$F,Pointage_brut!$E:$E,VLOOKUP($B54,Annuaire_roster!$B:$J,9,0),Pointage_brut!$A:$A,TEXT($Q54,"yyyymmdd")*1),1)),"")</f>
        <v/>
      </c>
      <c r="D54" s="25" t="n">
        <f aca="false" t="array" ref="D54:D54">IFERROR(INDEX(Planning2[],MATCH(1,(Planning2[Nom]=B54)*(Planning2[Date]=Q54),0),3),"-")</f>
        <v>0.416666666666667</v>
      </c>
      <c r="E54" s="26" t="str">
        <f aca="false">IFERROR(IF(COUNTIFS(Pointage_brut!$E:$E,VLOOKUP($B54,Annuaire_roster!$B:$J,9,0),Pointage_brut!$A:$A,TEXT($Q54,"yyyymmdd")*1)=0,"",MOD(_xlfn.MAXIFS(Pointage_brut!$G:$G,Pointage_brut!$E:$E,VLOOKUP($B54,Annuaire_roster!$B:$J,9,0),Pointage_brut!$A:$A,TEXT($Q54,"yyyymmdd")*1),1)),"")</f>
        <v/>
      </c>
      <c r="F54" s="27" t="n">
        <f aca="false" t="array" ref="F54:F54">IFERROR(INDEX(Planning2[],MATCH(1,(Planning2[Nom]=B54)*(Planning2[Date]=Q54),0),4),"-")</f>
        <v>0.833333333333333</v>
      </c>
      <c r="G54" s="28"/>
      <c r="H54" s="28"/>
      <c r="I54" s="29" t="str">
        <f aca="false">IF(IF(OR(C54="",D54="Congé",D54="OFF",D54="Congé spécial"),"",IF(D54&gt;F54,D54-C54,IF(C54-D54&lt;0,0,C54-D54)))&lt;0.00068287037037037,"",IF(OR(D54="Congé",D54="OFF",C54="",D54="Congé spécial"),"",IF(D54&gt;F54,D54-C54,IF(C54-D54&lt;0,0,C54-D54))))</f>
        <v/>
      </c>
      <c r="J54" s="28"/>
      <c r="K54" s="30" t="n">
        <f aca="false">IF(SUM(H54:J54)&lt;0.00068287037037037,0,SUM(H54:J54))</f>
        <v>0</v>
      </c>
      <c r="L54" s="28" t="n">
        <f aca="false">IF(OR(F54="Congé",F54="OFF",M54="Abs",F54="Congé sans solde",F54="Férié",F54="Congé spécial",D54="Congé spécial"),0,IF(F54-E54&lt;0,0,IF(F54-E54&lt;=0.00068287037037037,0,F54-E54)))</f>
        <v>0</v>
      </c>
      <c r="M54" s="31" t="str">
        <f aca="false">IF(AND(O54&lt;&gt;0,C54=""),"Abs",0)</f>
        <v>Abs</v>
      </c>
      <c r="N54" s="32" t="str">
        <f aca="false">IFERROR(IF(OR(D54="OFF",D54="Congé",M54="Abs",D54="Congé sans solde",D54="Férié"),"",IF(O54-K54-L54&gt;O54,O54,IF(O54-K54-L54&lt;0,"",O54-K54-L54))),"")</f>
        <v/>
      </c>
      <c r="O54" s="33" t="n">
        <f aca="false">IF(AG54="2H Pause déjeuner",IF(F54-D54-0.0833333333333333&lt;0,F54-D54-0.0833333333333333+1,F54-D54-0.0833333333333333),IF(OR(AND(F54="OFF",D54="OFF"),AND(F54="Congé",D54="Congé"),AND(F54="Congé sans solde",D54="Congé sans solde"),AND(F54="Congé spécial",D54="Congé spécial"),AND(F54="Férié",D54="Férié"),AND(F54="OFF",D54="Congé"),AND(F54="OFF",D54="Congé sans solde"),AND(F54="OFF",D54="Congé spécial"),AND(F54="OFF",D54="Férié"),AND(F54="Congé",D54="OFF"),AND(F54="Congé",D54="Congé sans solde"),AND(F54="Congé",D54="Congé spécial"),AND(F54="Congé",D54="Férié"),AND(F54="Congé sans solde",D54="OFF"),AND(F54="Congé sans solde",D54="Congé"),AND(F54="Congé sans solde",D54="Congé spécial"),AND(F54="Congé sans solde",D54="Férié"),AND(F54="Congé spécial",D54="OFF"),AND(F54="Congé spécial",D54="Congé"),AND(F54="Congé spécial",D54="Congé sans solde"),AND(F54="Congé spécial",D54="Férié"),AND(F54="Férié",D54="OFF"),AND(F54="Férié",D54="Congé"),AND(F54="Férié",D54="Congé sans solde"),AND(F54="Férié",D54="Congé spécial")),0,IF(OR(F54="OFF",F54="Congé",F54="Congé spécial",F54="Congé sans solde",D54="OFF",D54="Congé",D54="Congé spécial",D54="Congé sans solde"),0.208333333333334,IF(AND(AG54="",F54-D54&lt;0),("24:00:00"-D54)+("00:00:00"+F54)-0.0416666666666667,IF(AND(OR(AG54="Allaitement",AG54="Sans déjeuner"),F54-D54&lt;0),("24:00:00"-D54)+("00:00:00"+F54),IF(AND(AG54="",F54-D54&gt;0.166666666666667),F54-D54-0.0416666666666667,IF(AND(OR(AG54="Allaitement",AG54="Sans déjeuner"),F54-D54&gt;0.166666666666667),F54-D54,F54-D54)))))))</f>
        <v>0.375</v>
      </c>
      <c r="P54" s="34" t="str">
        <f aca="false">IFERROR(VLOOKUP($B54,Annuaire_roster!$B:$G,MATCH(P$1,Annuaire_roster!$B$1:$G$1,0),0),"-")</f>
        <v>Google Leads</v>
      </c>
      <c r="Q54" s="35" t="n">
        <v>44718</v>
      </c>
      <c r="R54" s="36" t="n">
        <f aca="false">IF(M54="Abs",O54,0)</f>
        <v>0.375</v>
      </c>
      <c r="S54" s="36" t="n">
        <f aca="false">SUM(R54,L54,I54,J54,W54,H54)</f>
        <v>0.375</v>
      </c>
      <c r="T54" s="1" t="str">
        <f aca="false">"Sem - "&amp;WEEKNUM(Q54,21)</f>
        <v>Sem - 23</v>
      </c>
      <c r="U54" s="1" t="str">
        <f aca="false">PROPER(TEXT(Q54,"mmmm"))</f>
        <v>June</v>
      </c>
      <c r="V54" s="37" t="str">
        <f aca="false">+TEXT(Q54,"aaa")</f>
        <v>Sun</v>
      </c>
      <c r="W54" s="32"/>
      <c r="X54" s="38" t="n">
        <f aca="false">IFERROR(IF(M54="Abs",0,IF((D54-C54+E54-F54)&lt;0.000694444444444444,0,(D54-C54+E54-F54))),0)</f>
        <v>0</v>
      </c>
      <c r="Y54" s="39" t="str">
        <f aca="false">IFERROR(VLOOKUP(B54,Annuaire_roster!B:E,4,0),"-")</f>
        <v>OUAQERROUCH Nour-El Houda</v>
      </c>
      <c r="Z54" s="39" t="str">
        <f aca="false">IFERROR(VLOOKUP(B54,Annuaire_roster!B:F,3,0),"-")</f>
        <v>Google Leads</v>
      </c>
      <c r="AA54" s="39" t="str">
        <f aca="false">IFERROR(VLOOKUP(B54,Annuaire_roster!B:I,6,0),"-")</f>
        <v>Forfaitaire</v>
      </c>
      <c r="AB54" s="40" t="str">
        <f aca="false">IF(AND(D54="Congé",F54="Congé"),0.333333333333333,IF(OR(AND(D54="Congé",F54&lt;&gt;"Congé"),(AND(F54="Congé",D54&lt;&gt;"Congé"))),0.166666666666667,""))</f>
        <v/>
      </c>
      <c r="AC54" s="40" t="str">
        <f aca="false">IF(AND(D54="Congé sans solde",F54="Congé sans solde"),0.333333333333333,IF(OR(AND(D54="Congé sans solde",F54&lt;&gt;"Congé sans solde"),(AND(F54="Congé sans solde",D54&lt;&gt;"Congé sans solde"))),0.166666666666667,""))</f>
        <v/>
      </c>
      <c r="AD54" s="40" t="str">
        <f aca="false">IF(AND(D54="Congé spécial",F54="Congé spécial"),0.333333333333333,IF(OR(AND(D54="Congé spécial",F54&lt;&gt;"Congé décès"),(AND(F54="Congé spécial",D54&lt;&gt;"Congé spécial"))),0.166666666666667,""))</f>
        <v/>
      </c>
      <c r="AE54" s="41" t="str">
        <f aca="false">IF(AND(D54="Férié",F54="Férié"),0.333333333333333,IF(OR(AND(D54="Férié",F54&lt;&gt;"Férié"),(AND(F54="Férié",D54&lt;&gt;"Férié"))),0.166666666666667,""))</f>
        <v/>
      </c>
      <c r="AF54" s="49"/>
      <c r="AG54" s="36"/>
    </row>
    <row r="55" customFormat="false" ht="12.75" hidden="true" customHeight="true" outlineLevel="0" collapsed="false">
      <c r="A55" s="22" t="n">
        <f aca="false">VLOOKUP(B55,Annuaire_roster!B:F,5,0)</f>
        <v>952</v>
      </c>
      <c r="B55" s="23" t="s">
        <v>63</v>
      </c>
      <c r="C55" s="24" t="str">
        <f aca="false">IFERROR(IF(COUNTIFS(Pointage_brut!$E:$E,VLOOKUP($B55,Annuaire_roster!$B:$J,9,0),Pointage_brut!$A:$A,TEXT($Q55,"yyyymmdd")*1)=0,"",MOD(_xlfn.MINIFS(Pointage_brut!$F:$F,Pointage_brut!$E:$E,VLOOKUP($B55,Annuaire_roster!$B:$J,9,0),Pointage_brut!$A:$A,TEXT($Q55,"yyyymmdd")*1),1)),"")</f>
        <v/>
      </c>
      <c r="D55" s="25" t="n">
        <f aca="false" t="array" ref="D55:D55">IFERROR(INDEX(Planning2[],MATCH(1,(Planning2[Nom]=B55)*(Planning2[Date]=Q55),0),3),"-")</f>
        <v>0.416666666666667</v>
      </c>
      <c r="E55" s="26" t="str">
        <f aca="false">IFERROR(IF(COUNTIFS(Pointage_brut!$E:$E,VLOOKUP($B55,Annuaire_roster!$B:$J,9,0),Pointage_brut!$A:$A,TEXT($Q55,"yyyymmdd")*1)=0,"",MOD(_xlfn.MAXIFS(Pointage_brut!$G:$G,Pointage_brut!$E:$E,VLOOKUP($B55,Annuaire_roster!$B:$J,9,0),Pointage_brut!$A:$A,TEXT($Q55,"yyyymmdd")*1),1)),"")</f>
        <v/>
      </c>
      <c r="F55" s="27" t="n">
        <f aca="false" t="array" ref="F55:F55">IFERROR(INDEX(Planning2[],MATCH(1,(Planning2[Nom]=B55)*(Planning2[Date]=Q55),0),4),"-")</f>
        <v>0.833333333333333</v>
      </c>
      <c r="G55" s="28"/>
      <c r="H55" s="28"/>
      <c r="I55" s="29" t="str">
        <f aca="false">IF(IF(OR(C55="",D55="Congé",D55="OFF",D55="Congé spécial"),"",IF(D55&gt;F55,D55-C55,IF(C55-D55&lt;0,0,C55-D55)))&lt;0.00068287037037037,"",IF(OR(D55="Congé",D55="OFF",C55="",D55="Congé spécial"),"",IF(D55&gt;F55,D55-C55,IF(C55-D55&lt;0,0,C55-D55))))</f>
        <v/>
      </c>
      <c r="J55" s="28"/>
      <c r="K55" s="30" t="n">
        <f aca="false">IF(SUM(H55:J55)&lt;0.00068287037037037,0,SUM(H55:J55))</f>
        <v>0</v>
      </c>
      <c r="L55" s="28" t="n">
        <f aca="false">IF(OR(F55="Congé",F55="OFF",M55="Abs",F55="Congé sans solde",F55="Férié",F55="Congé spécial",D55="Congé spécial"),0,IF(F55-E55&lt;0,0,IF(F55-E55&lt;=0.00068287037037037,0,F55-E55)))</f>
        <v>0</v>
      </c>
      <c r="M55" s="31" t="str">
        <f aca="false">IF(AND(O55&lt;&gt;0,C55=""),"Abs",0)</f>
        <v>Abs</v>
      </c>
      <c r="N55" s="32" t="str">
        <f aca="false">IFERROR(IF(OR(D55="OFF",D55="Congé",M55="Abs",D55="Congé sans solde",D55="Férié"),"",IF(O55-K55-L55&gt;O55,O55,IF(O55-K55-L55&lt;0,"",O55-K55-L55))),"")</f>
        <v/>
      </c>
      <c r="O55" s="33" t="n">
        <f aca="false">IF(AG55="2H Pause déjeuner",IF(F55-D55-0.0833333333333333&lt;0,F55-D55-0.0833333333333333+1,F55-D55-0.0833333333333333),IF(OR(AND(F55="OFF",D55="OFF"),AND(F55="Congé",D55="Congé"),AND(F55="Congé sans solde",D55="Congé sans solde"),AND(F55="Congé spécial",D55="Congé spécial"),AND(F55="Férié",D55="Férié"),AND(F55="OFF",D55="Congé"),AND(F55="OFF",D55="Congé sans solde"),AND(F55="OFF",D55="Congé spécial"),AND(F55="OFF",D55="Férié"),AND(F55="Congé",D55="OFF"),AND(F55="Congé",D55="Congé sans solde"),AND(F55="Congé",D55="Congé spécial"),AND(F55="Congé",D55="Férié"),AND(F55="Congé sans solde",D55="OFF"),AND(F55="Congé sans solde",D55="Congé"),AND(F55="Congé sans solde",D55="Congé spécial"),AND(F55="Congé sans solde",D55="Férié"),AND(F55="Congé spécial",D55="OFF"),AND(F55="Congé spécial",D55="Congé"),AND(F55="Congé spécial",D55="Congé sans solde"),AND(F55="Congé spécial",D55="Férié"),AND(F55="Férié",D55="OFF"),AND(F55="Férié",D55="Congé"),AND(F55="Férié",D55="Congé sans solde"),AND(F55="Férié",D55="Congé spécial")),0,IF(OR(F55="OFF",F55="Congé",F55="Congé spécial",F55="Congé sans solde",D55="OFF",D55="Congé",D55="Congé spécial",D55="Congé sans solde"),0.208333333333334,IF(AND(AG55="",F55-D55&lt;0),("24:00:00"-D55)+("00:00:00"+F55)-0.0416666666666667,IF(AND(OR(AG55="Allaitement",AG55="Sans déjeuner"),F55-D55&lt;0),("24:00:00"-D55)+("00:00:00"+F55),IF(AND(AG55="",F55-D55&gt;0.166666666666667),F55-D55-0.0416666666666667,IF(AND(OR(AG55="Allaitement",AG55="Sans déjeuner"),F55-D55&gt;0.166666666666667),F55-D55,F55-D55)))))))</f>
        <v>0.375</v>
      </c>
      <c r="P55" s="34" t="str">
        <f aca="false">IFERROR(VLOOKUP($B55,Annuaire_roster!$B:$G,MATCH(P$1,Annuaire_roster!$B$1:$G$1,0),0),"-")</f>
        <v>Google Leads</v>
      </c>
      <c r="Q55" s="35" t="n">
        <v>44718</v>
      </c>
      <c r="R55" s="36" t="n">
        <f aca="false">IF(M55="Abs",O55,0)</f>
        <v>0.375</v>
      </c>
      <c r="S55" s="36" t="n">
        <f aca="false">SUM(R55,L55,I55,J55,W55,H55)</f>
        <v>0.375</v>
      </c>
      <c r="T55" s="1" t="str">
        <f aca="false">"Sem - "&amp;WEEKNUM(Q55,21)</f>
        <v>Sem - 23</v>
      </c>
      <c r="U55" s="1" t="str">
        <f aca="false">PROPER(TEXT(Q55,"mmmm"))</f>
        <v>June</v>
      </c>
      <c r="V55" s="37" t="str">
        <f aca="false">+TEXT(Q55,"aaa")</f>
        <v>Sun</v>
      </c>
      <c r="W55" s="32"/>
      <c r="X55" s="38" t="n">
        <f aca="false">IFERROR(IF(M55="Abs",0,IF((D55-C55+E55-F55)&lt;0.000694444444444444,0,(D55-C55+E55-F55))),0)</f>
        <v>0</v>
      </c>
      <c r="Y55" s="39" t="str">
        <f aca="false">IFERROR(VLOOKUP(B55,Annuaire_roster!B:E,4,0),"-")</f>
        <v>OUAQERROUCH Nour-El Houda</v>
      </c>
      <c r="Z55" s="39" t="str">
        <f aca="false">IFERROR(VLOOKUP(B55,Annuaire_roster!B:F,3,0),"-")</f>
        <v>Google Leads</v>
      </c>
      <c r="AA55" s="39" t="str">
        <f aca="false">IFERROR(VLOOKUP(B55,Annuaire_roster!B:I,6,0),"-")</f>
        <v>Forfaitaire</v>
      </c>
      <c r="AB55" s="40" t="str">
        <f aca="false">IF(AND(D55="Congé",F55="Congé"),0.333333333333333,IF(OR(AND(D55="Congé",F55&lt;&gt;"Congé"),(AND(F55="Congé",D55&lt;&gt;"Congé"))),0.166666666666667,""))</f>
        <v/>
      </c>
      <c r="AC55" s="40" t="str">
        <f aca="false">IF(AND(D55="Congé sans solde",F55="Congé sans solde"),0.333333333333333,IF(OR(AND(D55="Congé sans solde",F55&lt;&gt;"Congé sans solde"),(AND(F55="Congé sans solde",D55&lt;&gt;"Congé sans solde"))),0.166666666666667,""))</f>
        <v/>
      </c>
      <c r="AD55" s="40" t="str">
        <f aca="false">IF(AND(D55="Congé spécial",F55="Congé spécial"),0.333333333333333,IF(OR(AND(D55="Congé spécial",F55&lt;&gt;"Congé décès"),(AND(F55="Congé spécial",D55&lt;&gt;"Congé spécial"))),0.166666666666667,""))</f>
        <v/>
      </c>
      <c r="AE55" s="41" t="str">
        <f aca="false">IF(AND(D55="Férié",F55="Férié"),0.333333333333333,IF(OR(AND(D55="Férié",F55&lt;&gt;"Férié"),(AND(F55="Férié",D55&lt;&gt;"Férié"))),0.166666666666667,""))</f>
        <v/>
      </c>
      <c r="AF55" s="41"/>
      <c r="AG55" s="36"/>
    </row>
    <row r="56" customFormat="false" ht="12.75" hidden="true" customHeight="true" outlineLevel="0" collapsed="false">
      <c r="A56" s="43" t="n">
        <f aca="false">VLOOKUP(B56,Annuaire_roster!B:F,5,0)</f>
        <v>0</v>
      </c>
      <c r="B56" s="23" t="s">
        <v>46</v>
      </c>
      <c r="C56" s="24" t="str">
        <f aca="false">IFERROR(IF(COUNTIFS(Pointage_brut!$E:$E,VLOOKUP($B56,Annuaire_roster!$B:$J,9,0),Pointage_brut!$A:$A,TEXT($Q56,"yyyymmdd")*1)=0,"",MOD(_xlfn.MINIFS(Pointage_brut!$F:$F,Pointage_brut!$E:$E,VLOOKUP($B56,Annuaire_roster!$B:$J,9,0),Pointage_brut!$A:$A,TEXT($Q56,"yyyymmdd")*1),1)),"")</f>
        <v/>
      </c>
      <c r="D56" s="25" t="n">
        <f aca="false" t="array" ref="D56:D56">IFERROR(INDEX(Planning2[],MATCH(1,(Planning2[Nom]=B56)*(Planning2[Date]=Q56),0),3),"-")</f>
        <v>0.416666666666667</v>
      </c>
      <c r="E56" s="26" t="str">
        <f aca="false">IFERROR(IF(COUNTIFS(Pointage_brut!$E:$E,VLOOKUP($B56,Annuaire_roster!$B:$J,9,0),Pointage_brut!$A:$A,TEXT($Q56,"yyyymmdd")*1)=0,"",MOD(_xlfn.MAXIFS(Pointage_brut!$G:$G,Pointage_brut!$E:$E,VLOOKUP($B56,Annuaire_roster!$B:$J,9,0),Pointage_brut!$A:$A,TEXT($Q56,"yyyymmdd")*1),1)),"")</f>
        <v/>
      </c>
      <c r="F56" s="27" t="n">
        <f aca="false" t="array" ref="F56:F56">IFERROR(INDEX(Planning2[],MATCH(1,(Planning2[Nom]=B56)*(Planning2[Date]=Q56),0),4),"-")</f>
        <v>0.833333333333333</v>
      </c>
      <c r="G56" s="28"/>
      <c r="H56" s="28"/>
      <c r="I56" s="29" t="str">
        <f aca="false">IF(IF(OR(C56="",D56="Congé",D56="OFF",D56="Congé spécial"),"",IF(D56&gt;F56,D56-C56,IF(C56-D56&lt;0,0,C56-D56)))&lt;0.00068287037037037,"",IF(OR(D56="Congé",D56="OFF",C56="",D56="Congé spécial"),"",IF(D56&gt;F56,D56-C56,IF(C56-D56&lt;0,0,C56-D56))))</f>
        <v/>
      </c>
      <c r="J56" s="28"/>
      <c r="K56" s="30" t="n">
        <f aca="false">IF(SUM(H56:J56)&lt;0.00068287037037037,0,SUM(H56:J56))</f>
        <v>0</v>
      </c>
      <c r="L56" s="28" t="n">
        <f aca="false">IF(OR(F56="Congé",F56="OFF",M56="Abs",F56="Congé sans solde",F56="Férié",F56="Congé spécial",D56="Congé spécial"),0,IF(F56-E56&lt;0,0,IF(F56-E56&lt;=0.00068287037037037,0,F56-E56)))</f>
        <v>0</v>
      </c>
      <c r="M56" s="31" t="str">
        <f aca="false">IF(AND(O56&lt;&gt;0,C56=""),"Abs",0)</f>
        <v>Abs</v>
      </c>
      <c r="N56" s="44" t="str">
        <f aca="false">IFERROR(IF(OR(D56="OFF",D56="Congé",M56="Abs",D56="Congé sans solde",D56="Férié"),"",IF(O56-K56-L56&gt;O56,O56,IF(O56-K56-L56&lt;0,"",O56-K56-L56))),"")</f>
        <v/>
      </c>
      <c r="O56" s="33" t="n">
        <f aca="false">IF(AG56="2H Pause déjeuner",IF(F56-D56-0.0833333333333333&lt;0,F56-D56-0.0833333333333333+1,F56-D56-0.0833333333333333),IF(OR(AND(F56="OFF",D56="OFF"),AND(F56="Congé",D56="Congé"),AND(F56="Congé sans solde",D56="Congé sans solde"),AND(F56="Congé spécial",D56="Congé spécial"),AND(F56="Férié",D56="Férié"),AND(F56="OFF",D56="Congé"),AND(F56="OFF",D56="Congé sans solde"),AND(F56="OFF",D56="Congé spécial"),AND(F56="OFF",D56="Férié"),AND(F56="Congé",D56="OFF"),AND(F56="Congé",D56="Congé sans solde"),AND(F56="Congé",D56="Congé spécial"),AND(F56="Congé",D56="Férié"),AND(F56="Congé sans solde",D56="OFF"),AND(F56="Congé sans solde",D56="Congé"),AND(F56="Congé sans solde",D56="Congé spécial"),AND(F56="Congé sans solde",D56="Férié"),AND(F56="Congé spécial",D56="OFF"),AND(F56="Congé spécial",D56="Congé"),AND(F56="Congé spécial",D56="Congé sans solde"),AND(F56="Congé spécial",D56="Férié"),AND(F56="Férié",D56="OFF"),AND(F56="Férié",D56="Congé"),AND(F56="Férié",D56="Congé sans solde"),AND(F56="Férié",D56="Congé spécial")),0,IF(OR(F56="OFF",F56="Congé",F56="Congé spécial",F56="Congé sans solde",D56="OFF",D56="Congé",D56="Congé spécial",D56="Congé sans solde"),0.208333333333334,IF(AND(AG56="",F56-D56&lt;0),("24:00:00"-D56)+("00:00:00"+F56)-0.0416666666666667,IF(AND(OR(AG56="Allaitement",AG56="Sans déjeuner"),F56-D56&lt;0),("24:00:00"-D56)+("00:00:00"+F56),IF(AND(AG56="",F56-D56&gt;0.166666666666667),F56-D56-0.0416666666666667,IF(AND(OR(AG56="Allaitement",AG56="Sans déjeuner"),F56-D56&gt;0.166666666666667),F56-D56,F56-D56)))))))</f>
        <v>0.375</v>
      </c>
      <c r="P56" s="34" t="str">
        <f aca="false">IFERROR(VLOOKUP($B56,Annuaire_roster!$B:$G,MATCH(P$1,Annuaire_roster!$B$1:$G$1,0),0),"-")</f>
        <v>Google Leads</v>
      </c>
      <c r="Q56" s="45" t="n">
        <v>44718</v>
      </c>
      <c r="R56" s="40" t="n">
        <f aca="false">IF(M56="Abs",O56,0)</f>
        <v>0.375</v>
      </c>
      <c r="S56" s="40" t="n">
        <f aca="false">SUM(R56,L56,I56,J56,W56,H56)</f>
        <v>0.375</v>
      </c>
      <c r="T56" s="1" t="str">
        <f aca="false">"Sem - "&amp;WEEKNUM(Q56,21)</f>
        <v>Sem - 23</v>
      </c>
      <c r="U56" s="1" t="str">
        <f aca="false">PROPER(TEXT(Q56,"mmmm"))</f>
        <v>June</v>
      </c>
      <c r="V56" s="46" t="str">
        <f aca="false">+TEXT(Q56,"aaa")</f>
        <v>Sun</v>
      </c>
      <c r="W56" s="44"/>
      <c r="X56" s="47" t="n">
        <f aca="false">IFERROR(IF(M56="Abs",0,IF((D56-C56+E56-F56)&lt;0.000694444444444444,0,(D56-C56+E56-F56))),0)</f>
        <v>0</v>
      </c>
      <c r="Y56" s="48" t="n">
        <f aca="false">IFERROR(VLOOKUP(B56,Annuaire_roster!B:E,4,0),"-")</f>
        <v>0</v>
      </c>
      <c r="Z56" s="48" t="str">
        <f aca="false">IFERROR(VLOOKUP(B56,Annuaire_roster!B:F,3,0),"-")</f>
        <v>Google Leads</v>
      </c>
      <c r="AA56" s="48" t="n">
        <f aca="false">IFERROR(VLOOKUP(B56,Annuaire_roster!B:I,6,0),"-")</f>
        <v>0</v>
      </c>
      <c r="AB56" s="40" t="str">
        <f aca="false">IF(AND(D56="Congé",F56="Congé"),0.333333333333333,IF(OR(AND(D56="Congé",F56&lt;&gt;"Congé"),(AND(F56="Congé",D56&lt;&gt;"Congé"))),0.166666666666667,""))</f>
        <v/>
      </c>
      <c r="AC56" s="40" t="str">
        <f aca="false">IF(AND(D56="Congé sans solde",F56="Congé sans solde"),0.333333333333333,IF(OR(AND(D56="Congé sans solde",F56&lt;&gt;"Congé sans solde"),(AND(F56="Congé sans solde",D56&lt;&gt;"Congé sans solde"))),0.166666666666667,""))</f>
        <v/>
      </c>
      <c r="AD56" s="40" t="str">
        <f aca="false">IF(AND(D56="Congé spécial",F56="Congé spécial"),0.333333333333333,IF(OR(AND(D56="Congé spécial",F56&lt;&gt;"Congé décès"),(AND(F56="Congé spécial",D56&lt;&gt;"Congé spécial"))),0.166666666666667,""))</f>
        <v/>
      </c>
      <c r="AE56" s="49" t="str">
        <f aca="false">IF(AND(D56="Férié",F56="Férié"),0.333333333333333,IF(OR(AND(D56="Férié",F56&lt;&gt;"Férié"),(AND(F56="Férié",D56&lt;&gt;"Férié"))),0.166666666666667,""))</f>
        <v/>
      </c>
      <c r="AF56" s="49"/>
      <c r="AG56" s="40"/>
    </row>
    <row r="57" customFormat="false" ht="12.75" hidden="true" customHeight="true" outlineLevel="0" collapsed="false">
      <c r="A57" s="43" t="n">
        <f aca="false">VLOOKUP(B57,Annuaire_roster!B:F,5,0)</f>
        <v>0</v>
      </c>
      <c r="B57" s="23" t="s">
        <v>51</v>
      </c>
      <c r="C57" s="24" t="str">
        <f aca="false">IFERROR(IF(COUNTIFS(Pointage_brut!$E:$E,VLOOKUP($B57,Annuaire_roster!$B:$J,9,0),Pointage_brut!$A:$A,TEXT($Q57,"yyyymmdd")*1)=0,"",MOD(_xlfn.MINIFS(Pointage_brut!$F:$F,Pointage_brut!$E:$E,VLOOKUP($B57,Annuaire_roster!$B:$J,9,0),Pointage_brut!$A:$A,TEXT($Q57,"yyyymmdd")*1),1)),"")</f>
        <v/>
      </c>
      <c r="D57" s="25" t="n">
        <f aca="false" t="array" ref="D57:D57">IFERROR(INDEX(Planning2[],MATCH(1,(Planning2[Nom]=B57)*(Planning2[Date]=Q57),0),3),"-")</f>
        <v>0.416666666666667</v>
      </c>
      <c r="E57" s="26" t="str">
        <f aca="false">IFERROR(IF(COUNTIFS(Pointage_brut!$E:$E,VLOOKUP($B57,Annuaire_roster!$B:$J,9,0),Pointage_brut!$A:$A,TEXT($Q57,"yyyymmdd")*1)=0,"",MOD(_xlfn.MAXIFS(Pointage_brut!$G:$G,Pointage_brut!$E:$E,VLOOKUP($B57,Annuaire_roster!$B:$J,9,0),Pointage_brut!$A:$A,TEXT($Q57,"yyyymmdd")*1),1)),"")</f>
        <v/>
      </c>
      <c r="F57" s="27" t="n">
        <f aca="false" t="array" ref="F57:F57">IFERROR(INDEX(Planning2[],MATCH(1,(Planning2[Nom]=B57)*(Planning2[Date]=Q57),0),4),"-")</f>
        <v>0.833333333333333</v>
      </c>
      <c r="G57" s="28"/>
      <c r="H57" s="28"/>
      <c r="I57" s="29" t="str">
        <f aca="false">IF(IF(OR(C57="",D57="Congé",D57="OFF",D57="Congé spécial"),"",IF(D57&gt;F57,D57-C57,IF(C57-D57&lt;0,0,C57-D57)))&lt;0.00068287037037037,"",IF(OR(D57="Congé",D57="OFF",C57="",D57="Congé spécial"),"",IF(D57&gt;F57,D57-C57,IF(C57-D57&lt;0,0,C57-D57))))</f>
        <v/>
      </c>
      <c r="J57" s="28"/>
      <c r="K57" s="30" t="n">
        <f aca="false">IF(SUM(H57:J57)&lt;0.00068287037037037,0,SUM(H57:J57))</f>
        <v>0</v>
      </c>
      <c r="L57" s="28" t="n">
        <f aca="false">IF(OR(F57="Congé",F57="OFF",M57="Abs",F57="Congé sans solde",F57="Férié",F57="Congé spécial",D57="Congé spécial"),0,IF(F57-E57&lt;0,0,IF(F57-E57&lt;=0.00068287037037037,0,F57-E57)))</f>
        <v>0</v>
      </c>
      <c r="M57" s="31" t="str">
        <f aca="false">IF(AND(O57&lt;&gt;0,C57=""),"Abs",0)</f>
        <v>Abs</v>
      </c>
      <c r="N57" s="44" t="str">
        <f aca="false">IFERROR(IF(OR(D57="OFF",D57="Congé",M57="Abs",D57="Congé sans solde",D57="Férié"),"",IF(O57-K57-L57&gt;O57,O57,IF(O57-K57-L57&lt;0,"",O57-K57-L57))),"")</f>
        <v/>
      </c>
      <c r="O57" s="33" t="n">
        <f aca="false">IF(AG57="2H Pause déjeuner",IF(F57-D57-0.0833333333333333&lt;0,F57-D57-0.0833333333333333+1,F57-D57-0.0833333333333333),IF(OR(AND(F57="OFF",D57="OFF"),AND(F57="Congé",D57="Congé"),AND(F57="Congé sans solde",D57="Congé sans solde"),AND(F57="Congé spécial",D57="Congé spécial"),AND(F57="Férié",D57="Férié"),AND(F57="OFF",D57="Congé"),AND(F57="OFF",D57="Congé sans solde"),AND(F57="OFF",D57="Congé spécial"),AND(F57="OFF",D57="Férié"),AND(F57="Congé",D57="OFF"),AND(F57="Congé",D57="Congé sans solde"),AND(F57="Congé",D57="Congé spécial"),AND(F57="Congé",D57="Férié"),AND(F57="Congé sans solde",D57="OFF"),AND(F57="Congé sans solde",D57="Congé"),AND(F57="Congé sans solde",D57="Congé spécial"),AND(F57="Congé sans solde",D57="Férié"),AND(F57="Congé spécial",D57="OFF"),AND(F57="Congé spécial",D57="Congé"),AND(F57="Congé spécial",D57="Congé sans solde"),AND(F57="Congé spécial",D57="Férié"),AND(F57="Férié",D57="OFF"),AND(F57="Férié",D57="Congé"),AND(F57="Férié",D57="Congé sans solde"),AND(F57="Férié",D57="Congé spécial")),0,IF(OR(F57="OFF",F57="Congé",F57="Congé spécial",F57="Congé sans solde",D57="OFF",D57="Congé",D57="Congé spécial",D57="Congé sans solde"),0.208333333333334,IF(AND(AG57="",F57-D57&lt;0),("24:00:00"-D57)+("00:00:00"+F57)-0.0416666666666667,IF(AND(OR(AG57="Allaitement",AG57="Sans déjeuner"),F57-D57&lt;0),("24:00:00"-D57)+("00:00:00"+F57),IF(AND(AG57="",F57-D57&gt;0.166666666666667),F57-D57-0.0416666666666667,IF(AND(OR(AG57="Allaitement",AG57="Sans déjeuner"),F57-D57&gt;0.166666666666667),F57-D57,F57-D57)))))))</f>
        <v>0.375</v>
      </c>
      <c r="P57" s="34" t="str">
        <f aca="false">IFERROR(VLOOKUP($B57,Annuaire_roster!$B:$G,MATCH(P$1,Annuaire_roster!$B$1:$G$1,0),0),"-")</f>
        <v>Google Leads</v>
      </c>
      <c r="Q57" s="45" t="n">
        <v>44718</v>
      </c>
      <c r="R57" s="40" t="n">
        <f aca="false">IF(M57="Abs",O57,0)</f>
        <v>0.375</v>
      </c>
      <c r="S57" s="40" t="n">
        <f aca="false">SUM(R57,L57,I57,J57,W57,H57)</f>
        <v>0.375</v>
      </c>
      <c r="T57" s="1" t="str">
        <f aca="false">"Sem - "&amp;WEEKNUM(Q57,21)</f>
        <v>Sem - 23</v>
      </c>
      <c r="U57" s="1" t="str">
        <f aca="false">PROPER(TEXT(Q57,"mmmm"))</f>
        <v>June</v>
      </c>
      <c r="V57" s="46" t="str">
        <f aca="false">+TEXT(Q57,"aaa")</f>
        <v>Sun</v>
      </c>
      <c r="W57" s="44"/>
      <c r="X57" s="47" t="n">
        <f aca="false">IFERROR(IF(M57="Abs",0,IF((D57-C57+E57-F57)&lt;0.000694444444444444,0,(D57-C57+E57-F57))),0)</f>
        <v>0</v>
      </c>
      <c r="Y57" s="48" t="n">
        <f aca="false">IFERROR(VLOOKUP(B57,Annuaire_roster!B:E,4,0),"-")</f>
        <v>0</v>
      </c>
      <c r="Z57" s="48" t="str">
        <f aca="false">IFERROR(VLOOKUP(B57,Annuaire_roster!B:F,3,0),"-")</f>
        <v>Google Leads</v>
      </c>
      <c r="AA57" s="48" t="n">
        <f aca="false">IFERROR(VLOOKUP(B57,Annuaire_roster!B:I,6,0),"-")</f>
        <v>0</v>
      </c>
      <c r="AB57" s="40" t="str">
        <f aca="false">IF(AND(D57="Congé",F57="Congé"),0.333333333333333,IF(OR(AND(D57="Congé",F57&lt;&gt;"Congé"),(AND(F57="Congé",D57&lt;&gt;"Congé"))),0.166666666666667,""))</f>
        <v/>
      </c>
      <c r="AC57" s="40" t="str">
        <f aca="false">IF(AND(D57="Congé sans solde",F57="Congé sans solde"),0.333333333333333,IF(OR(AND(D57="Congé sans solde",F57&lt;&gt;"Congé sans solde"),(AND(F57="Congé sans solde",D57&lt;&gt;"Congé sans solde"))),0.166666666666667,""))</f>
        <v/>
      </c>
      <c r="AD57" s="40" t="str">
        <f aca="false">IF(AND(D57="Congé spécial",F57="Congé spécial"),0.333333333333333,IF(OR(AND(D57="Congé spécial",F57&lt;&gt;"Congé décès"),(AND(F57="Congé spécial",D57&lt;&gt;"Congé spécial"))),0.166666666666667,""))</f>
        <v/>
      </c>
      <c r="AE57" s="49" t="str">
        <f aca="false">IF(AND(D57="Férié",F57="Férié"),0.333333333333333,IF(OR(AND(D57="Férié",F57&lt;&gt;"Férié"),(AND(F57="Férié",D57&lt;&gt;"Férié"))),0.166666666666667,""))</f>
        <v/>
      </c>
      <c r="AF57" s="49"/>
      <c r="AG57" s="40"/>
    </row>
    <row r="58" customFormat="false" ht="12.75" hidden="true" customHeight="true" outlineLevel="0" collapsed="false">
      <c r="A58" s="22" t="n">
        <f aca="false">VLOOKUP(B58,Annuaire_roster!B:F,5,0)</f>
        <v>1132</v>
      </c>
      <c r="B58" s="23" t="s">
        <v>52</v>
      </c>
      <c r="C58" s="24" t="str">
        <f aca="false">IFERROR(IF(COUNTIFS(Pointage_brut!$E:$E,VLOOKUP($B58,Annuaire_roster!$B:$J,9,0),Pointage_brut!$A:$A,TEXT($Q58,"yyyymmdd")*1)=0,"",MOD(_xlfn.MINIFS(Pointage_brut!$F:$F,Pointage_brut!$E:$E,VLOOKUP($B58,Annuaire_roster!$B:$J,9,0),Pointage_brut!$A:$A,TEXT($Q58,"yyyymmdd")*1),1)),"")</f>
        <v/>
      </c>
      <c r="D58" s="25" t="n">
        <v>0.291666666666667</v>
      </c>
      <c r="E58" s="26" t="str">
        <f aca="false">IFERROR(IF(COUNTIFS(Pointage_brut!$E:$E,VLOOKUP($B58,Annuaire_roster!$B:$J,9,0),Pointage_brut!$A:$A,TEXT($Q58,"yyyymmdd")*1)=0,"",MOD(_xlfn.MAXIFS(Pointage_brut!$G:$G,Pointage_brut!$E:$E,VLOOKUP($B58,Annuaire_roster!$B:$J,9,0),Pointage_brut!$A:$A,TEXT($Q58,"yyyymmdd")*1),1)),"")</f>
        <v/>
      </c>
      <c r="F58" s="27" t="n">
        <f aca="false" t="array" ref="F58:F58">IFERROR(INDEX(Planning2[],MATCH(1,(Planning2[Nom]=B58)*(Planning2[Date]=Q58),0),4),"-")</f>
        <v>0.708333333333333</v>
      </c>
      <c r="G58" s="28"/>
      <c r="H58" s="28"/>
      <c r="I58" s="29" t="str">
        <f aca="false">IF(IF(OR(C58="",D58="Congé",D58="OFF",D58="Congé spécial"),"",IF(D58&gt;F58,D58-C58,IF(C58-D58&lt;0,0,C58-D58)))&lt;0.00068287037037037,"",IF(OR(D58="Congé",D58="OFF",C58="",D58="Congé spécial"),"",IF(D58&gt;F58,D58-C58,IF(C58-D58&lt;0,0,C58-D58))))</f>
        <v/>
      </c>
      <c r="J58" s="28"/>
      <c r="K58" s="30" t="n">
        <f aca="false">IF(SUM(H58:J58)&lt;0.00068287037037037,0,SUM(H58:J58))</f>
        <v>0</v>
      </c>
      <c r="L58" s="28" t="n">
        <f aca="false">IF(OR(F58="Congé",F58="OFF",M58="Abs",F58="Congé sans solde",F58="Férié",F58="Congé spécial",D58="Congé spécial"),0,IF(F58-E58&lt;0,0,IF(F58-E58&lt;=0.00068287037037037,0,F58-E58)))</f>
        <v>0</v>
      </c>
      <c r="M58" s="31" t="str">
        <f aca="false">IF(AND(O58&lt;&gt;0,C58=""),"Abs",0)</f>
        <v>Abs</v>
      </c>
      <c r="N58" s="32" t="str">
        <f aca="false">IFERROR(IF(OR(D58="OFF",D58="Congé",M58="Abs",D58="Congé sans solde",D58="Férié"),"",IF(O58-K58-L58&gt;O58,O58,IF(O58-K58-L58&lt;0,"",O58-K58-L58))),"")</f>
        <v/>
      </c>
      <c r="O58" s="33" t="n">
        <f aca="false">IF(AG58="2H Pause déjeuner",IF(F58-D58-0.0833333333333333&lt;0,F58-D58-0.0833333333333333+1,F58-D58-0.0833333333333333),IF(OR(AND(F58="OFF",D58="OFF"),AND(F58="Congé",D58="Congé"),AND(F58="Congé sans solde",D58="Congé sans solde"),AND(F58="Congé spécial",D58="Congé spécial"),AND(F58="Férié",D58="Férié"),AND(F58="OFF",D58="Congé"),AND(F58="OFF",D58="Congé sans solde"),AND(F58="OFF",D58="Congé spécial"),AND(F58="OFF",D58="Férié"),AND(F58="Congé",D58="OFF"),AND(F58="Congé",D58="Congé sans solde"),AND(F58="Congé",D58="Congé spécial"),AND(F58="Congé",D58="Férié"),AND(F58="Congé sans solde",D58="OFF"),AND(F58="Congé sans solde",D58="Congé"),AND(F58="Congé sans solde",D58="Congé spécial"),AND(F58="Congé sans solde",D58="Férié"),AND(F58="Congé spécial",D58="OFF"),AND(F58="Congé spécial",D58="Congé"),AND(F58="Congé spécial",D58="Congé sans solde"),AND(F58="Congé spécial",D58="Férié"),AND(F58="Férié",D58="OFF"),AND(F58="Férié",D58="Congé"),AND(F58="Férié",D58="Congé sans solde"),AND(F58="Férié",D58="Congé spécial")),0,IF(OR(F58="OFF",F58="Congé",F58="Congé spécial",F58="Congé sans solde",D58="OFF",D58="Congé",D58="Congé spécial",D58="Congé sans solde"),0.208333333333334,IF(AND(AG58="",F58-D58&lt;0),("24:00:00"-D58)+("00:00:00"+F58)-0.0416666666666667,IF(AND(OR(AG58="Allaitement",AG58="Sans déjeuner"),F58-D58&lt;0),("24:00:00"-D58)+("00:00:00"+F58),IF(AND(AG58="",F58-D58&gt;0.166666666666667),F58-D58-0.0416666666666667,IF(AND(OR(AG58="Allaitement",AG58="Sans déjeuner"),F58-D58&gt;0.166666666666667),F58-D58,F58-D58)))))))</f>
        <v>0.375</v>
      </c>
      <c r="P58" s="34" t="str">
        <f aca="false">IFERROR(VLOOKUP($B58,Annuaire_roster!$B:$G,MATCH(P$1,Annuaire_roster!$B$1:$G$1,0),0),"-")</f>
        <v>Google Leads</v>
      </c>
      <c r="Q58" s="35" t="n">
        <v>44718</v>
      </c>
      <c r="R58" s="36" t="n">
        <f aca="false">IF(M58="Abs",O58,0)</f>
        <v>0.375</v>
      </c>
      <c r="S58" s="36" t="n">
        <f aca="false">SUM(R58,L58,I58,J58,W58,H58)</f>
        <v>0.375</v>
      </c>
      <c r="T58" s="1" t="str">
        <f aca="false">"Sem - "&amp;WEEKNUM(Q58,21)</f>
        <v>Sem - 23</v>
      </c>
      <c r="U58" s="1" t="str">
        <f aca="false">PROPER(TEXT(Q58,"mmmm"))</f>
        <v>June</v>
      </c>
      <c r="V58" s="37" t="str">
        <f aca="false">+TEXT(Q58,"aaa")</f>
        <v>Sun</v>
      </c>
      <c r="W58" s="32"/>
      <c r="X58" s="38" t="n">
        <f aca="false">IFERROR(IF(M58="Abs",0,IF((D58-C58+E58-F58)&lt;0.000694444444444444,0,(D58-C58+E58-F58))),0)</f>
        <v>0</v>
      </c>
      <c r="Y58" s="39" t="str">
        <f aca="false">IFERROR(VLOOKUP(B58,Annuaire_roster!B:E,4,0),"-")</f>
        <v>CHOUIFI Mustapha</v>
      </c>
      <c r="Z58" s="39" t="str">
        <f aca="false">IFERROR(VLOOKUP(B58,Annuaire_roster!B:F,3,0),"-")</f>
        <v>Google Leads</v>
      </c>
      <c r="AA58" s="39" t="str">
        <f aca="false">IFERROR(VLOOKUP(B58,Annuaire_roster!B:I,6,0),"-")</f>
        <v>Forfaitaire</v>
      </c>
      <c r="AB58" s="40" t="str">
        <f aca="false">IF(AND(D58="Congé",F58="Congé"),0.333333333333333,IF(OR(AND(D58="Congé",F58&lt;&gt;"Congé"),(AND(F58="Congé",D58&lt;&gt;"Congé"))),0.166666666666667,""))</f>
        <v/>
      </c>
      <c r="AC58" s="40" t="str">
        <f aca="false">IF(AND(D58="Congé sans solde",F58="Congé sans solde"),0.333333333333333,IF(OR(AND(D58="Congé sans solde",F58&lt;&gt;"Congé sans solde"),(AND(F58="Congé sans solde",D58&lt;&gt;"Congé sans solde"))),0.166666666666667,""))</f>
        <v/>
      </c>
      <c r="AD58" s="40" t="str">
        <f aca="false">IF(AND(D58="Congé spécial",F58="Congé spécial"),0.333333333333333,IF(OR(AND(D58="Congé spécial",F58&lt;&gt;"Congé décès"),(AND(F58="Congé spécial",D58&lt;&gt;"Congé spécial"))),0.166666666666667,""))</f>
        <v/>
      </c>
      <c r="AE58" s="41" t="str">
        <f aca="false">IF(AND(D58="Férié",F58="Férié"),0.333333333333333,IF(OR(AND(D58="Férié",F58&lt;&gt;"Férié"),(AND(F58="Férié",D58&lt;&gt;"Férié"))),0.166666666666667,""))</f>
        <v/>
      </c>
      <c r="AF58" s="41"/>
      <c r="AG58" s="36"/>
    </row>
    <row r="59" customFormat="false" ht="12.75" hidden="true" customHeight="true" outlineLevel="0" collapsed="false">
      <c r="A59" s="43" t="n">
        <f aca="false">VLOOKUP(B59,Annuaire_roster!B:F,5,0)</f>
        <v>1167</v>
      </c>
      <c r="B59" s="23" t="s">
        <v>55</v>
      </c>
      <c r="C59" s="24" t="str">
        <f aca="false">IFERROR(IF(COUNTIFS(Pointage_brut!$E:$E,VLOOKUP($B59,Annuaire_roster!$B:$J,9,0),Pointage_brut!$A:$A,TEXT($Q59,"yyyymmdd")*1)=0,"",MOD(_xlfn.MINIFS(Pointage_brut!$F:$F,Pointage_brut!$E:$E,VLOOKUP($B59,Annuaire_roster!$B:$J,9,0),Pointage_brut!$A:$A,TEXT($Q59,"yyyymmdd")*1),1)),"")</f>
        <v/>
      </c>
      <c r="D59" s="25" t="n">
        <v>0.291666666666667</v>
      </c>
      <c r="E59" s="26" t="str">
        <f aca="false">IFERROR(IF(COUNTIFS(Pointage_brut!$E:$E,VLOOKUP($B59,Annuaire_roster!$B:$J,9,0),Pointage_brut!$A:$A,TEXT($Q59,"yyyymmdd")*1)=0,"",MOD(_xlfn.MAXIFS(Pointage_brut!$G:$G,Pointage_brut!$E:$E,VLOOKUP($B59,Annuaire_roster!$B:$J,9,0),Pointage_brut!$A:$A,TEXT($Q59,"yyyymmdd")*1),1)),"")</f>
        <v/>
      </c>
      <c r="F59" s="27" t="n">
        <f aca="false" t="array" ref="F59:F59">IFERROR(INDEX(Planning2[],MATCH(1,(Planning2[Nom]=B59)*(Planning2[Date]=Q59),0),4),"-")</f>
        <v>0.708333333333333</v>
      </c>
      <c r="G59" s="28"/>
      <c r="H59" s="28"/>
      <c r="I59" s="29" t="str">
        <f aca="false">IF(IF(OR(C59="",D59="Congé",D59="OFF",D59="Congé spécial"),"",IF(D59&gt;F59,D59-C59,IF(C59-D59&lt;0,0,C59-D59)))&lt;0.00068287037037037,"",IF(OR(D59="Congé",D59="OFF",C59="",D59="Congé spécial"),"",IF(D59&gt;F59,D59-C59,IF(C59-D59&lt;0,0,C59-D59))))</f>
        <v/>
      </c>
      <c r="J59" s="28"/>
      <c r="K59" s="30" t="n">
        <f aca="false">IF(SUM(H59:J59)&lt;0.00068287037037037,0,SUM(H59:J59))</f>
        <v>0</v>
      </c>
      <c r="L59" s="28" t="n">
        <f aca="false">IF(OR(F59="Congé",F59="OFF",M59="Abs",F59="Congé sans solde",F59="Férié",F59="Congé spécial",D59="Congé spécial"),0,IF(F59-E59&lt;0,0,IF(F59-E59&lt;=0.00068287037037037,0,F59-E59)))</f>
        <v>0</v>
      </c>
      <c r="M59" s="31" t="str">
        <f aca="false">IF(AND(O59&lt;&gt;0,C59=""),"Abs",0)</f>
        <v>Abs</v>
      </c>
      <c r="N59" s="44" t="str">
        <f aca="false">IFERROR(IF(OR(D59="OFF",D59="Congé",M59="Abs",D59="Congé sans solde",D59="Férié"),"",IF(O59-K59-L59&gt;O59,O59,IF(O59-K59-L59&lt;0,"",O59-K59-L59))),"")</f>
        <v/>
      </c>
      <c r="O59" s="33" t="n">
        <f aca="false">IF(AG59="2H Pause déjeuner",IF(F59-D59-0.0833333333333333&lt;0,F59-D59-0.0833333333333333+1,F59-D59-0.0833333333333333),IF(OR(AND(F59="OFF",D59="OFF"),AND(F59="Congé",D59="Congé"),AND(F59="Congé sans solde",D59="Congé sans solde"),AND(F59="Congé spécial",D59="Congé spécial"),AND(F59="Férié",D59="Férié"),AND(F59="OFF",D59="Congé"),AND(F59="OFF",D59="Congé sans solde"),AND(F59="OFF",D59="Congé spécial"),AND(F59="OFF",D59="Férié"),AND(F59="Congé",D59="OFF"),AND(F59="Congé",D59="Congé sans solde"),AND(F59="Congé",D59="Congé spécial"),AND(F59="Congé",D59="Férié"),AND(F59="Congé sans solde",D59="OFF"),AND(F59="Congé sans solde",D59="Congé"),AND(F59="Congé sans solde",D59="Congé spécial"),AND(F59="Congé sans solde",D59="Férié"),AND(F59="Congé spécial",D59="OFF"),AND(F59="Congé spécial",D59="Congé"),AND(F59="Congé spécial",D59="Congé sans solde"),AND(F59="Congé spécial",D59="Férié"),AND(F59="Férié",D59="OFF"),AND(F59="Férié",D59="Congé"),AND(F59="Férié",D59="Congé sans solde"),AND(F59="Férié",D59="Congé spécial")),0,IF(OR(F59="OFF",F59="Congé",F59="Congé spécial",F59="Congé sans solde",D59="OFF",D59="Congé",D59="Congé spécial",D59="Congé sans solde"),0.208333333333334,IF(AND(AG59="",F59-D59&lt;0),("24:00:00"-D59)+("00:00:00"+F59)-0.0416666666666667,IF(AND(OR(AG59="Allaitement",AG59="Sans déjeuner"),F59-D59&lt;0),("24:00:00"-D59)+("00:00:00"+F59),IF(AND(AG59="",F59-D59&gt;0.166666666666667),F59-D59-0.0416666666666667,IF(AND(OR(AG59="Allaitement",AG59="Sans déjeuner"),F59-D59&gt;0.166666666666667),F59-D59,F59-D59)))))))</f>
        <v>0.375</v>
      </c>
      <c r="P59" s="34" t="str">
        <f aca="false">IFERROR(VLOOKUP($B59,Annuaire_roster!$B:$G,MATCH(P$1,Annuaire_roster!$B$1:$G$1,0),0),"-")</f>
        <v>Google Leads</v>
      </c>
      <c r="Q59" s="45" t="n">
        <v>44718</v>
      </c>
      <c r="R59" s="40" t="n">
        <f aca="false">IF(M59="Abs",O59,0)</f>
        <v>0.375</v>
      </c>
      <c r="S59" s="40" t="n">
        <f aca="false">SUM(R59,L59,I59,J59,W59,H59)</f>
        <v>0.375</v>
      </c>
      <c r="T59" s="1" t="str">
        <f aca="false">"Sem - "&amp;WEEKNUM(Q59,21)</f>
        <v>Sem - 23</v>
      </c>
      <c r="U59" s="1" t="str">
        <f aca="false">PROPER(TEXT(Q59,"mmmm"))</f>
        <v>June</v>
      </c>
      <c r="V59" s="46" t="str">
        <f aca="false">+TEXT(Q59,"aaa")</f>
        <v>Sun</v>
      </c>
      <c r="W59" s="44"/>
      <c r="X59" s="47" t="n">
        <f aca="false">IFERROR(IF(M59="Abs",0,IF((D59-C59+E59-F59)&lt;0.000694444444444444,0,(D59-C59+E59-F59))),0)</f>
        <v>0</v>
      </c>
      <c r="Y59" s="48" t="str">
        <f aca="false">IFERROR(VLOOKUP(B59,Annuaire_roster!B:E,4,0),"-")</f>
        <v>OUAQERROUCH Nour-El Houda</v>
      </c>
      <c r="Z59" s="48" t="str">
        <f aca="false">IFERROR(VLOOKUP(B59,Annuaire_roster!B:F,3,0),"-")</f>
        <v>Google Leads</v>
      </c>
      <c r="AA59" s="48" t="str">
        <f aca="false">IFERROR(VLOOKUP(B59,Annuaire_roster!B:I,6,0),"-")</f>
        <v>Forfaitaire</v>
      </c>
      <c r="AB59" s="40" t="str">
        <f aca="false">IF(AND(D59="Congé",F59="Congé"),0.333333333333333,IF(OR(AND(D59="Congé",F59&lt;&gt;"Congé"),(AND(F59="Congé",D59&lt;&gt;"Congé"))),0.166666666666667,""))</f>
        <v/>
      </c>
      <c r="AC59" s="40" t="str">
        <f aca="false">IF(AND(D59="Congé sans solde",F59="Congé sans solde"),0.333333333333333,IF(OR(AND(D59="Congé sans solde",F59&lt;&gt;"Congé sans solde"),(AND(F59="Congé sans solde",D59&lt;&gt;"Congé sans solde"))),0.166666666666667,""))</f>
        <v/>
      </c>
      <c r="AD59" s="40" t="str">
        <f aca="false">IF(AND(D59="Congé spécial",F59="Congé spécial"),0.333333333333333,IF(OR(AND(D59="Congé spécial",F59&lt;&gt;"Congé décès"),(AND(F59="Congé spécial",D59&lt;&gt;"Congé spécial"))),0.166666666666667,""))</f>
        <v/>
      </c>
      <c r="AE59" s="49" t="str">
        <f aca="false">IF(AND(D59="Férié",F59="Férié"),0.333333333333333,IF(OR(AND(D59="Férié",F59&lt;&gt;"Férié"),(AND(F59="Férié",D59&lt;&gt;"Férié"))),0.166666666666667,""))</f>
        <v/>
      </c>
      <c r="AF59" s="41"/>
      <c r="AG59" s="40"/>
    </row>
    <row r="60" customFormat="false" ht="12.75" hidden="true" customHeight="true" outlineLevel="0" collapsed="false">
      <c r="A60" s="43" t="n">
        <f aca="false">VLOOKUP(B60,Annuaire_roster!B:F,5,0)</f>
        <v>397</v>
      </c>
      <c r="B60" s="23" t="s">
        <v>56</v>
      </c>
      <c r="C60" s="24" t="str">
        <f aca="false">IFERROR(IF(COUNTIFS(Pointage_brut!$E:$E,VLOOKUP($B60,Annuaire_roster!$B:$J,9,0),Pointage_brut!$A:$A,TEXT($Q60,"yyyymmdd")*1)=0,"",MOD(_xlfn.MINIFS(Pointage_brut!$F:$F,Pointage_brut!$E:$E,VLOOKUP($B60,Annuaire_roster!$B:$J,9,0),Pointage_brut!$A:$A,TEXT($Q60,"yyyymmdd")*1),1)),"")</f>
        <v/>
      </c>
      <c r="D60" s="25" t="str">
        <f aca="false" t="array" ref="D60:D60">IFERROR(INDEX(Planning2[],MATCH(1,(Planning2[Nom]=B60)*(Planning2[Date]=Q60),0),3),"-")</f>
        <v>Congé</v>
      </c>
      <c r="E60" s="26" t="str">
        <f aca="false">IFERROR(IF(COUNTIFS(Pointage_brut!$E:$E,VLOOKUP($B60,Annuaire_roster!$B:$J,9,0),Pointage_brut!$A:$A,TEXT($Q60,"yyyymmdd")*1)=0,"",MOD(_xlfn.MAXIFS(Pointage_brut!$G:$G,Pointage_brut!$E:$E,VLOOKUP($B60,Annuaire_roster!$B:$J,9,0),Pointage_brut!$A:$A,TEXT($Q60,"yyyymmdd")*1),1)),"")</f>
        <v/>
      </c>
      <c r="F60" s="27" t="str">
        <f aca="false" t="array" ref="F60:F60">IFERROR(INDEX(Planning2[],MATCH(1,(Planning2[Nom]=B60)*(Planning2[Date]=Q60),0),4),"-")</f>
        <v>Congé</v>
      </c>
      <c r="G60" s="28"/>
      <c r="H60" s="28"/>
      <c r="I60" s="29" t="str">
        <f aca="false">IF(IF(OR(C60="",D60="Congé",D60="OFF",D60="Congé spécial"),"",IF(D60&gt;F60,D60-C60,IF(C60-D60&lt;0,0,C60-D60)))&lt;0.00068287037037037,"",IF(OR(D60="Congé",D60="OFF",C60="",D60="Congé spécial"),"",IF(D60&gt;F60,D60-C60,IF(C60-D60&lt;0,0,C60-D60))))</f>
        <v/>
      </c>
      <c r="J60" s="28"/>
      <c r="K60" s="30" t="n">
        <f aca="false">IF(SUM(H60:J60)&lt;0.00068287037037037,0,SUM(H60:J60))</f>
        <v>0</v>
      </c>
      <c r="L60" s="28" t="n">
        <f aca="false">IF(OR(F60="Congé",F60="OFF",M60="Abs",F60="Congé sans solde",F60="Férié",F60="Congé spécial",D60="Congé spécial"),0,IF(F60-E60&lt;0,0,IF(F60-E60&lt;=0.00068287037037037,0,F60-E60)))</f>
        <v>0</v>
      </c>
      <c r="M60" s="31" t="n">
        <f aca="false">IF(AND(O60&lt;&gt;0,C60=""),"Abs",0)</f>
        <v>0</v>
      </c>
      <c r="N60" s="44" t="str">
        <f aca="false">IFERROR(IF(OR(D60="OFF",D60="Congé",M60="Abs",D60="Congé sans solde",D60="Férié"),"",IF(O60-K60-L60&gt;O60,O60,IF(O60-K60-L60&lt;0,"",O60-K60-L60))),"")</f>
        <v/>
      </c>
      <c r="O60" s="33" t="n">
        <f aca="false">IF(AG60="2H Pause déjeuner",IF(F60-D60-0.0833333333333333&lt;0,F60-D60-0.0833333333333333+1,F60-D60-0.0833333333333333),IF(OR(AND(F60="OFF",D60="OFF"),AND(F60="Congé",D60="Congé"),AND(F60="Congé sans solde",D60="Congé sans solde"),AND(F60="Congé spécial",D60="Congé spécial"),AND(F60="Férié",D60="Férié"),AND(F60="OFF",D60="Congé"),AND(F60="OFF",D60="Congé sans solde"),AND(F60="OFF",D60="Congé spécial"),AND(F60="OFF",D60="Férié"),AND(F60="Congé",D60="OFF"),AND(F60="Congé",D60="Congé sans solde"),AND(F60="Congé",D60="Congé spécial"),AND(F60="Congé",D60="Férié"),AND(F60="Congé sans solde",D60="OFF"),AND(F60="Congé sans solde",D60="Congé"),AND(F60="Congé sans solde",D60="Congé spécial"),AND(F60="Congé sans solde",D60="Férié"),AND(F60="Congé spécial",D60="OFF"),AND(F60="Congé spécial",D60="Congé"),AND(F60="Congé spécial",D60="Congé sans solde"),AND(F60="Congé spécial",D60="Férié"),AND(F60="Férié",D60="OFF"),AND(F60="Férié",D60="Congé"),AND(F60="Férié",D60="Congé sans solde"),AND(F60="Férié",D60="Congé spécial")),0,IF(OR(F60="OFF",F60="Congé",F60="Congé spécial",F60="Congé sans solde",D60="OFF",D60="Congé",D60="Congé spécial",D60="Congé sans solde"),0.208333333333334,IF(AND(AG60="",F60-D60&lt;0),("24:00:00"-D60)+("00:00:00"+F60)-0.0416666666666667,IF(AND(OR(AG60="Allaitement",AG60="Sans déjeuner"),F60-D60&lt;0),("24:00:00"-D60)+("00:00:00"+F60),IF(AND(AG60="",F60-D60&gt;0.166666666666667),F60-D60-0.0416666666666667,IF(AND(OR(AG60="Allaitement",AG60="Sans déjeuner"),F60-D60&gt;0.166666666666667),F60-D60,F60-D60)))))))</f>
        <v>0</v>
      </c>
      <c r="P60" s="34" t="str">
        <f aca="false">IFERROR(VLOOKUP($B60,Annuaire_roster!$B:$G,MATCH(P$1,Annuaire_roster!$B$1:$G$1,0),0),"-")</f>
        <v>Google Leads</v>
      </c>
      <c r="Q60" s="45" t="n">
        <v>44718</v>
      </c>
      <c r="R60" s="40" t="n">
        <f aca="false">IF(M60="Abs",O60,0)</f>
        <v>0</v>
      </c>
      <c r="S60" s="40" t="n">
        <f aca="false">SUM(R60,L60,I60,J60,W60,H60)</f>
        <v>0</v>
      </c>
      <c r="T60" s="1" t="str">
        <f aca="false">"Sem - "&amp;WEEKNUM(Q60,21)</f>
        <v>Sem - 23</v>
      </c>
      <c r="U60" s="1" t="str">
        <f aca="false">PROPER(TEXT(Q60,"mmmm"))</f>
        <v>June</v>
      </c>
      <c r="V60" s="46" t="str">
        <f aca="false">+TEXT(Q60,"aaa")</f>
        <v>Sun</v>
      </c>
      <c r="W60" s="44"/>
      <c r="X60" s="47" t="n">
        <f aca="false">IFERROR(IF(M60="Abs",0,IF((D60-C60+E60-F60)&lt;0.000694444444444444,0,(D60-C60+E60-F60))),0)</f>
        <v>0</v>
      </c>
      <c r="Y60" s="48" t="str">
        <f aca="false">IFERROR(VLOOKUP(B60,Annuaire_roster!B:E,4,0),"-")</f>
        <v>OUAQERROUCH Nour-El Houda</v>
      </c>
      <c r="Z60" s="48" t="str">
        <f aca="false">IFERROR(VLOOKUP(B60,Annuaire_roster!B:F,3,0),"-")</f>
        <v>Google Leads</v>
      </c>
      <c r="AA60" s="48" t="str">
        <f aca="false">IFERROR(VLOOKUP(B60,Annuaire_roster!B:I,6,0),"-")</f>
        <v>Forfaitaire</v>
      </c>
      <c r="AB60" s="40" t="n">
        <f aca="false">IF(AND(D60="Congé",F60="Congé"),0.333333333333333,IF(OR(AND(D60="Congé",F60&lt;&gt;"Congé"),(AND(F60="Congé",D60&lt;&gt;"Congé"))),0.166666666666667,""))</f>
        <v>0.333333333333333</v>
      </c>
      <c r="AC60" s="40" t="str">
        <f aca="false">IF(AND(D60="Congé sans solde",F60="Congé sans solde"),0.333333333333333,IF(OR(AND(D60="Congé sans solde",F60&lt;&gt;"Congé sans solde"),(AND(F60="Congé sans solde",D60&lt;&gt;"Congé sans solde"))),0.166666666666667,""))</f>
        <v/>
      </c>
      <c r="AD60" s="40" t="str">
        <f aca="false">IF(AND(D60="Congé spécial",F60="Congé spécial"),0.333333333333333,IF(OR(AND(D60="Congé spécial",F60&lt;&gt;"Congé décès"),(AND(F60="Congé spécial",D60&lt;&gt;"Congé spécial"))),0.166666666666667,""))</f>
        <v/>
      </c>
      <c r="AE60" s="49" t="str">
        <f aca="false">IF(AND(D60="Férié",F60="Férié"),0.333333333333333,IF(OR(AND(D60="Férié",F60&lt;&gt;"Férié"),(AND(F60="Férié",D60&lt;&gt;"Férié"))),0.166666666666667,""))</f>
        <v/>
      </c>
      <c r="AF60" s="49"/>
      <c r="AG60" s="40"/>
    </row>
    <row r="61" customFormat="false" ht="12.75" hidden="true" customHeight="true" outlineLevel="0" collapsed="false">
      <c r="A61" s="22" t="n">
        <f aca="false">VLOOKUP(B61,Annuaire_roster!B:F,5,0)</f>
        <v>894</v>
      </c>
      <c r="B61" s="23" t="s">
        <v>57</v>
      </c>
      <c r="C61" s="24" t="str">
        <f aca="false">IFERROR(IF(COUNTIFS(Pointage_brut!$E:$E,VLOOKUP($B61,Annuaire_roster!$B:$J,9,0),Pointage_brut!$A:$A,TEXT($Q61,"yyyymmdd")*1)=0,"",MOD(_xlfn.MINIFS(Pointage_brut!$F:$F,Pointage_brut!$E:$E,VLOOKUP($B61,Annuaire_roster!$B:$J,9,0),Pointage_brut!$A:$A,TEXT($Q61,"yyyymmdd")*1),1)),"")</f>
        <v/>
      </c>
      <c r="D61" s="25" t="n">
        <v>0.416666666666667</v>
      </c>
      <c r="E61" s="26" t="str">
        <f aca="false">IFERROR(IF(COUNTIFS(Pointage_brut!$E:$E,VLOOKUP($B61,Annuaire_roster!$B:$J,9,0),Pointage_brut!$A:$A,TEXT($Q61,"yyyymmdd")*1)=0,"",MOD(_xlfn.MAXIFS(Pointage_brut!$G:$G,Pointage_brut!$E:$E,VLOOKUP($B61,Annuaire_roster!$B:$J,9,0),Pointage_brut!$A:$A,TEXT($Q61,"yyyymmdd")*1),1)),"")</f>
        <v/>
      </c>
      <c r="F61" s="27" t="n">
        <v>0.833333333333333</v>
      </c>
      <c r="G61" s="28"/>
      <c r="H61" s="28"/>
      <c r="I61" s="29" t="str">
        <f aca="false">IF(IF(OR(C61="",D61="Congé",D61="OFF",D61="Congé spécial"),"",IF(D61&gt;F61,D61-C61,IF(C61-D61&lt;0,0,C61-D61)))&lt;0.00068287037037037,"",IF(OR(D61="Congé",D61="OFF",C61="",D61="Congé spécial"),"",IF(D61&gt;F61,D61-C61,IF(C61-D61&lt;0,0,C61-D61))))</f>
        <v/>
      </c>
      <c r="J61" s="28"/>
      <c r="K61" s="30" t="n">
        <f aca="false">IF(SUM(H61:J61)&lt;0.00068287037037037,0,SUM(H61:J61))</f>
        <v>0</v>
      </c>
      <c r="L61" s="28" t="n">
        <f aca="false">IF(OR(F61="Congé",F61="OFF",M61="Abs",F61="Congé sans solde",F61="Férié",F61="Congé spécial",D61="Congé spécial"),0,IF(F61-E61&lt;0,0,IF(F61-E61&lt;=0.00068287037037037,0,F61-E61)))</f>
        <v>0</v>
      </c>
      <c r="M61" s="31" t="str">
        <f aca="false">IF(AND(O61&lt;&gt;0,C61=""),"Abs",0)</f>
        <v>Abs</v>
      </c>
      <c r="N61" s="32" t="str">
        <f aca="false">IFERROR(IF(OR(D61="OFF",D61="Congé",M61="Abs",D61="Congé sans solde",D61="Férié"),"",IF(O61-K61-L61&gt;O61,O61,IF(O61-K61-L61&lt;0,"",O61-K61-L61))),"")</f>
        <v/>
      </c>
      <c r="O61" s="33" t="n">
        <f aca="false">IF(AG61="2H Pause déjeuner",IF(F61-D61-0.0833333333333333&lt;0,F61-D61-0.0833333333333333+1,F61-D61-0.0833333333333333),IF(OR(AND(F61="OFF",D61="OFF"),AND(F61="Congé",D61="Congé"),AND(F61="Congé sans solde",D61="Congé sans solde"),AND(F61="Congé spécial",D61="Congé spécial"),AND(F61="Férié",D61="Férié"),AND(F61="OFF",D61="Congé"),AND(F61="OFF",D61="Congé sans solde"),AND(F61="OFF",D61="Congé spécial"),AND(F61="OFF",D61="Férié"),AND(F61="Congé",D61="OFF"),AND(F61="Congé",D61="Congé sans solde"),AND(F61="Congé",D61="Congé spécial"),AND(F61="Congé",D61="Férié"),AND(F61="Congé sans solde",D61="OFF"),AND(F61="Congé sans solde",D61="Congé"),AND(F61="Congé sans solde",D61="Congé spécial"),AND(F61="Congé sans solde",D61="Férié"),AND(F61="Congé spécial",D61="OFF"),AND(F61="Congé spécial",D61="Congé"),AND(F61="Congé spécial",D61="Congé sans solde"),AND(F61="Congé spécial",D61="Férié"),AND(F61="Férié",D61="OFF"),AND(F61="Férié",D61="Congé"),AND(F61="Férié",D61="Congé sans solde"),AND(F61="Férié",D61="Congé spécial")),0,IF(OR(F61="OFF",F61="Congé",F61="Congé spécial",F61="Congé sans solde",D61="OFF",D61="Congé",D61="Congé spécial",D61="Congé sans solde"),0.208333333333334,IF(AND(AG61="",F61-D61&lt;0),("24:00:00"-D61)+("00:00:00"+F61)-0.0416666666666667,IF(AND(OR(AG61="Allaitement",AG61="Sans déjeuner"),F61-D61&lt;0),("24:00:00"-D61)+("00:00:00"+F61),IF(AND(AG61="",F61-D61&gt;0.166666666666667),F61-D61-0.0416666666666667,IF(AND(OR(AG61="Allaitement",AG61="Sans déjeuner"),F61-D61&gt;0.166666666666667),F61-D61,F61-D61)))))))</f>
        <v>0.375</v>
      </c>
      <c r="P61" s="34" t="str">
        <f aca="false">IFERROR(VLOOKUP($B61,Annuaire_roster!$B:$G,MATCH(P$1,Annuaire_roster!$B$1:$G$1,0),0),"-")</f>
        <v>Google Leads</v>
      </c>
      <c r="Q61" s="35" t="n">
        <v>44718</v>
      </c>
      <c r="R61" s="36" t="n">
        <f aca="false">IF(M61="Abs",O61,0)</f>
        <v>0.375</v>
      </c>
      <c r="S61" s="36" t="n">
        <f aca="false">SUM(R61,L61,I61,J61,W61,H61)</f>
        <v>0.375</v>
      </c>
      <c r="T61" s="1" t="str">
        <f aca="false">"Sem - "&amp;WEEKNUM(Q61,21)</f>
        <v>Sem - 23</v>
      </c>
      <c r="U61" s="1" t="str">
        <f aca="false">PROPER(TEXT(Q61,"mmmm"))</f>
        <v>June</v>
      </c>
      <c r="V61" s="37" t="str">
        <f aca="false">+TEXT(Q61,"aaa")</f>
        <v>Sun</v>
      </c>
      <c r="W61" s="32"/>
      <c r="X61" s="38" t="n">
        <f aca="false">IFERROR(IF(M61="Abs",0,IF((D61-C61+E61-F61)&lt;0.000694444444444444,0,(D61-C61+E61-F61))),0)</f>
        <v>0</v>
      </c>
      <c r="Y61" s="39" t="str">
        <f aca="false">IFERROR(VLOOKUP(B61,Annuaire_roster!B:E,4,0),"-")</f>
        <v>OUAQERROUCH Nour-El Houda</v>
      </c>
      <c r="Z61" s="39" t="str">
        <f aca="false">IFERROR(VLOOKUP(B61,Annuaire_roster!B:F,3,0),"-")</f>
        <v>Google Leads</v>
      </c>
      <c r="AA61" s="39" t="str">
        <f aca="false">IFERROR(VLOOKUP(B61,Annuaire_roster!B:I,6,0),"-")</f>
        <v>Forfaitaire</v>
      </c>
      <c r="AB61" s="40" t="str">
        <f aca="false">IF(AND(D61="Congé",F61="Congé"),0.333333333333333,IF(OR(AND(D61="Congé",F61&lt;&gt;"Congé"),(AND(F61="Congé",D61&lt;&gt;"Congé"))),0.166666666666667,""))</f>
        <v/>
      </c>
      <c r="AC61" s="40" t="str">
        <f aca="false">IF(AND(D61="Congé sans solde",F61="Congé sans solde"),0.333333333333333,IF(OR(AND(D61="Congé sans solde",F61&lt;&gt;"Congé sans solde"),(AND(F61="Congé sans solde",D61&lt;&gt;"Congé sans solde"))),0.166666666666667,""))</f>
        <v/>
      </c>
      <c r="AD61" s="40" t="str">
        <f aca="false">IF(AND(D61="Congé spécial",F61="Congé spécial"),0.333333333333333,IF(OR(AND(D61="Congé spécial",F61&lt;&gt;"Congé décès"),(AND(F61="Congé spécial",D61&lt;&gt;"Congé spécial"))),0.166666666666667,""))</f>
        <v/>
      </c>
      <c r="AE61" s="41" t="str">
        <f aca="false">IF(AND(D61="Férié",F61="Férié"),0.333333333333333,IF(OR(AND(D61="Férié",F61&lt;&gt;"Férié"),(AND(F61="Férié",D61&lt;&gt;"Férié"))),0.166666666666667,""))</f>
        <v/>
      </c>
      <c r="AF61" s="49"/>
      <c r="AG61" s="36"/>
    </row>
    <row r="62" customFormat="false" ht="12.75" hidden="true" customHeight="true" outlineLevel="0" collapsed="false">
      <c r="A62" s="43" t="n">
        <f aca="false">VLOOKUP(B62,Annuaire_roster!B:F,5,0)</f>
        <v>0</v>
      </c>
      <c r="B62" s="23" t="s">
        <v>45</v>
      </c>
      <c r="C62" s="24" t="str">
        <f aca="false">IFERROR(IF(COUNTIFS(Pointage_brut!$E:$E,VLOOKUP($B62,Annuaire_roster!$B:$J,9,0),Pointage_brut!$A:$A,TEXT($Q62,"yyyymmdd")*1)=0,"",MOD(_xlfn.MINIFS(Pointage_brut!$F:$F,Pointage_brut!$E:$E,VLOOKUP($B62,Annuaire_roster!$B:$J,9,0),Pointage_brut!$A:$A,TEXT($Q62,"yyyymmdd")*1),1)),"")</f>
        <v/>
      </c>
      <c r="D62" s="25" t="str">
        <f aca="false" t="array" ref="D62:D62">IFERROR(INDEX(Planning2[],MATCH(1,(Planning2[Nom]=B62)*(Planning2[Date]=Q62),0),3),"-")</f>
        <v>OFF</v>
      </c>
      <c r="E62" s="26" t="str">
        <f aca="false">IFERROR(IF(COUNTIFS(Pointage_brut!$E:$E,VLOOKUP($B62,Annuaire_roster!$B:$J,9,0),Pointage_brut!$A:$A,TEXT($Q62,"yyyymmdd")*1)=0,"",MOD(_xlfn.MAXIFS(Pointage_brut!$G:$G,Pointage_brut!$E:$E,VLOOKUP($B62,Annuaire_roster!$B:$J,9,0),Pointage_brut!$A:$A,TEXT($Q62,"yyyymmdd")*1),1)),"")</f>
        <v/>
      </c>
      <c r="F62" s="27" t="str">
        <f aca="false" t="array" ref="F62:F62">IFERROR(INDEX(Planning2[],MATCH(1,(Planning2[Nom]=B62)*(Planning2[Date]=Q62),0),4),"-")</f>
        <v>OFF</v>
      </c>
      <c r="G62" s="28"/>
      <c r="H62" s="28"/>
      <c r="I62" s="29" t="str">
        <f aca="false">IF(IF(OR(C62="",D62="Congé",D62="OFF",D62="Congé spécial"),"",IF(D62&gt;F62,D62-C62,IF(C62-D62&lt;0,0,C62-D62)))&lt;0.00068287037037037,"",IF(OR(D62="Congé",D62="OFF",C62="",D62="Congé spécial"),"",IF(D62&gt;F62,D62-C62,IF(C62-D62&lt;0,0,C62-D62))))</f>
        <v/>
      </c>
      <c r="J62" s="28"/>
      <c r="K62" s="30"/>
      <c r="L62" s="28" t="n">
        <f aca="false">IF(OR(F62="Congé",F62="OFF",M62="Abs",F62="Congé sans solde",F62="Férié",F62="Congé spécial",D62="Congé spécial"),0,IF(F62-E62&lt;0,0,IF(F62-E62&lt;=0.00068287037037037,0,F62-E62)))</f>
        <v>0</v>
      </c>
      <c r="M62" s="31" t="n">
        <f aca="false">IF(AND(O62&lt;&gt;0,C62=""),"Abs",0)</f>
        <v>0</v>
      </c>
      <c r="N62" s="44" t="str">
        <f aca="false">IFERROR(IF(OR(D62="OFF",D62="Congé",M62="Abs",D62="Congé sans solde",D62="Férié"),"",IF(O62-K62-L62&gt;O62,O62,IF(O62-K62-L62&lt;0,"",O62-K62-L62))),"")</f>
        <v/>
      </c>
      <c r="O62" s="33" t="n">
        <f aca="false">IF(AG62="2H Pause déjeuner",IF(F62-D62-0.0833333333333333&lt;0,F62-D62-0.0833333333333333+1,F62-D62-0.0833333333333333),IF(OR(AND(F62="OFF",D62="OFF"),AND(F62="Congé",D62="Congé"),AND(F62="Congé sans solde",D62="Congé sans solde"),AND(F62="Congé spécial",D62="Congé spécial"),AND(F62="Férié",D62="Férié"),AND(F62="OFF",D62="Congé"),AND(F62="OFF",D62="Congé sans solde"),AND(F62="OFF",D62="Congé spécial"),AND(F62="OFF",D62="Férié"),AND(F62="Congé",D62="OFF"),AND(F62="Congé",D62="Congé sans solde"),AND(F62="Congé",D62="Congé spécial"),AND(F62="Congé",D62="Férié"),AND(F62="Congé sans solde",D62="OFF"),AND(F62="Congé sans solde",D62="Congé"),AND(F62="Congé sans solde",D62="Congé spécial"),AND(F62="Congé sans solde",D62="Férié"),AND(F62="Congé spécial",D62="OFF"),AND(F62="Congé spécial",D62="Congé"),AND(F62="Congé spécial",D62="Congé sans solde"),AND(F62="Congé spécial",D62="Férié"),AND(F62="Férié",D62="OFF"),AND(F62="Férié",D62="Congé"),AND(F62="Férié",D62="Congé sans solde"),AND(F62="Férié",D62="Congé spécial")),0,IF(OR(F62="OFF",F62="Congé",F62="Congé spécial",F62="Congé sans solde",D62="OFF",D62="Congé",D62="Congé spécial",D62="Congé sans solde"),0.208333333333334,IF(AND(AG62="",F62-D62&lt;0),("24:00:00"-D62)+("00:00:00"+F62)-0.0416666666666667,IF(AND(OR(AG62="Allaitement",AG62="Sans déjeuner"),F62-D62&lt;0),("24:00:00"-D62)+("00:00:00"+F62),IF(AND(AG62="",F62-D62&gt;0.166666666666667),F62-D62-0.0416666666666667,IF(AND(OR(AG62="Allaitement",AG62="Sans déjeuner"),F62-D62&gt;0.166666666666667),F62-D62,F62-D62)))))))</f>
        <v>0</v>
      </c>
      <c r="P62" s="34" t="str">
        <f aca="false">IFERROR(VLOOKUP($B62,Annuaire_roster!$B:$G,MATCH(P$1,Annuaire_roster!$B$1:$G$1,0),0),"-")</f>
        <v>Google Leads</v>
      </c>
      <c r="Q62" s="45" t="n">
        <v>44718</v>
      </c>
      <c r="R62" s="40" t="n">
        <f aca="false">IF(M62="Abs",O62,0)</f>
        <v>0</v>
      </c>
      <c r="S62" s="40" t="n">
        <f aca="false">SUM(R62,L62,I62,J62,W62,H62)</f>
        <v>0</v>
      </c>
      <c r="T62" s="1" t="str">
        <f aca="false">"Sem - "&amp;WEEKNUM(Q62,21)</f>
        <v>Sem - 23</v>
      </c>
      <c r="U62" s="1" t="str">
        <f aca="false">PROPER(TEXT(Q62,"mmmm"))</f>
        <v>June</v>
      </c>
      <c r="V62" s="46" t="str">
        <f aca="false">+TEXT(Q62,"aaa")</f>
        <v>Sun</v>
      </c>
      <c r="W62" s="44"/>
      <c r="X62" s="47" t="n">
        <f aca="false">IFERROR(IF(M62="Abs",0,IF((D62-C62+E62-F62)&lt;0.000694444444444444,0,(D62-C62+E62-F62))),0)</f>
        <v>0</v>
      </c>
      <c r="Y62" s="48" t="n">
        <f aca="false">IFERROR(VLOOKUP(B62,Annuaire_roster!B:E,4,0),"-")</f>
        <v>0</v>
      </c>
      <c r="Z62" s="48" t="str">
        <f aca="false">IFERROR(VLOOKUP(B62,Annuaire_roster!B:F,3,0),"-")</f>
        <v>Google Leads</v>
      </c>
      <c r="AA62" s="48" t="n">
        <f aca="false">IFERROR(VLOOKUP(B62,Annuaire_roster!B:I,6,0),"-")</f>
        <v>0</v>
      </c>
      <c r="AB62" s="40" t="str">
        <f aca="false">IF(AND(D62="Congé",F62="Congé"),0.333333333333333,IF(OR(AND(D62="Congé",F62&lt;&gt;"Congé"),(AND(F62="Congé",D62&lt;&gt;"Congé"))),0.166666666666667,""))</f>
        <v/>
      </c>
      <c r="AC62" s="40" t="str">
        <f aca="false">IF(AND(D62="Congé sans solde",F62="Congé sans solde"),0.333333333333333,IF(OR(AND(D62="Congé sans solde",F62&lt;&gt;"Congé sans solde"),(AND(F62="Congé sans solde",D62&lt;&gt;"Congé sans solde"))),0.166666666666667,""))</f>
        <v/>
      </c>
      <c r="AD62" s="40" t="str">
        <f aca="false">IF(AND(D62="Congé spécial",F62="Congé spécial"),0.333333333333333,IF(OR(AND(D62="Congé spécial",F62&lt;&gt;"Congé décès"),(AND(F62="Congé spécial",D62&lt;&gt;"Congé spécial"))),0.166666666666667,""))</f>
        <v/>
      </c>
      <c r="AE62" s="49" t="str">
        <f aca="false">IF(AND(D62="Férié",F62="Férié"),0.333333333333333,IF(OR(AND(D62="Férié",F62&lt;&gt;"Férié"),(AND(F62="Férié",D62&lt;&gt;"Férié"))),0.166666666666667,""))</f>
        <v/>
      </c>
      <c r="AF62" s="41"/>
      <c r="AG62" s="40"/>
    </row>
    <row r="63" customFormat="false" ht="12.75" hidden="true" customHeight="true" outlineLevel="0" collapsed="false">
      <c r="A63" s="43" t="n">
        <f aca="false">VLOOKUP(B63,Annuaire_roster!B:F,5,0)</f>
        <v>971</v>
      </c>
      <c r="B63" s="23" t="s">
        <v>58</v>
      </c>
      <c r="C63" s="24" t="str">
        <f aca="false">IFERROR(IF(COUNTIFS(Pointage_brut!$E:$E,VLOOKUP($B63,Annuaire_roster!$B:$J,9,0),Pointage_brut!$A:$A,TEXT($Q63,"yyyymmdd")*1)=0,"",MOD(_xlfn.MINIFS(Pointage_brut!$F:$F,Pointage_brut!$E:$E,VLOOKUP($B63,Annuaire_roster!$B:$J,9,0),Pointage_brut!$A:$A,TEXT($Q63,"yyyymmdd")*1),1)),"")</f>
        <v/>
      </c>
      <c r="D63" s="25" t="str">
        <f aca="false" t="array" ref="D63:D63">IFERROR(INDEX(Planning2[],MATCH(1,(Planning2[Nom]=B63)*(Planning2[Date]=Q63),0),3),"-")</f>
        <v>OFF</v>
      </c>
      <c r="E63" s="26" t="str">
        <f aca="false">IFERROR(IF(COUNTIFS(Pointage_brut!$E:$E,VLOOKUP($B63,Annuaire_roster!$B:$J,9,0),Pointage_brut!$A:$A,TEXT($Q63,"yyyymmdd")*1)=0,"",MOD(_xlfn.MAXIFS(Pointage_brut!$G:$G,Pointage_brut!$E:$E,VLOOKUP($B63,Annuaire_roster!$B:$J,9,0),Pointage_brut!$A:$A,TEXT($Q63,"yyyymmdd")*1),1)),"")</f>
        <v/>
      </c>
      <c r="F63" s="27" t="str">
        <f aca="false" t="array" ref="F63:F63">IFERROR(INDEX(Planning2[],MATCH(1,(Planning2[Nom]=B63)*(Planning2[Date]=Q63),0),4),"-")</f>
        <v>OFF</v>
      </c>
      <c r="G63" s="28"/>
      <c r="H63" s="28"/>
      <c r="I63" s="29" t="str">
        <f aca="false">IF(IF(OR(C63="",D63="Congé",D63="OFF",D63="Congé spécial"),"",IF(D63&gt;F63,D63-C63,IF(C63-D63&lt;0,0,C63-D63)))&lt;0.00068287037037037,"",IF(OR(D63="Congé",D63="OFF",C63="",D63="Congé spécial"),"",IF(D63&gt;F63,D63-C63,IF(C63-D63&lt;0,0,C63-D63))))</f>
        <v/>
      </c>
      <c r="J63" s="28"/>
      <c r="K63" s="30" t="n">
        <f aca="false">IF(SUM(H63:J63)&lt;0.00068287037037037,0,SUM(H63:J63))</f>
        <v>0</v>
      </c>
      <c r="L63" s="28" t="n">
        <f aca="false">IF(OR(F63="Congé",F63="OFF",M63="Abs",F63="Congé sans solde",F63="Férié",F63="Congé spécial",D63="Congé spécial"),0,IF(F63-E63&lt;0,0,IF(F63-E63&lt;=0.00068287037037037,0,F63-E63)))</f>
        <v>0</v>
      </c>
      <c r="M63" s="31" t="n">
        <f aca="false">IF(AND(O63&lt;&gt;0,C63=""),"Abs",0)</f>
        <v>0</v>
      </c>
      <c r="N63" s="44" t="str">
        <f aca="false">IFERROR(IF(OR(D63="OFF",D63="Congé",M63="Abs",D63="Congé sans solde",D63="Férié"),"",IF(O63-K63-L63&gt;O63,O63,IF(O63-K63-L63&lt;0,"",O63-K63-L63))),"")</f>
        <v/>
      </c>
      <c r="O63" s="33" t="n">
        <f aca="false">IF(AG63="2H Pause déjeuner",IF(F63-D63-0.0833333333333333&lt;0,F63-D63-0.0833333333333333+1,F63-D63-0.0833333333333333),IF(OR(AND(F63="OFF",D63="OFF"),AND(F63="Congé",D63="Congé"),AND(F63="Congé sans solde",D63="Congé sans solde"),AND(F63="Congé spécial",D63="Congé spécial"),AND(F63="Férié",D63="Férié"),AND(F63="OFF",D63="Congé"),AND(F63="OFF",D63="Congé sans solde"),AND(F63="OFF",D63="Congé spécial"),AND(F63="OFF",D63="Férié"),AND(F63="Congé",D63="OFF"),AND(F63="Congé",D63="Congé sans solde"),AND(F63="Congé",D63="Congé spécial"),AND(F63="Congé",D63="Férié"),AND(F63="Congé sans solde",D63="OFF"),AND(F63="Congé sans solde",D63="Congé"),AND(F63="Congé sans solde",D63="Congé spécial"),AND(F63="Congé sans solde",D63="Férié"),AND(F63="Congé spécial",D63="OFF"),AND(F63="Congé spécial",D63="Congé"),AND(F63="Congé spécial",D63="Congé sans solde"),AND(F63="Congé spécial",D63="Férié"),AND(F63="Férié",D63="OFF"),AND(F63="Férié",D63="Congé"),AND(F63="Férié",D63="Congé sans solde"),AND(F63="Férié",D63="Congé spécial")),0,IF(OR(F63="OFF",F63="Congé",F63="Congé spécial",F63="Congé sans solde",D63="OFF",D63="Congé",D63="Congé spécial",D63="Congé sans solde"),0.208333333333334,IF(AND(AG63="",F63-D63&lt;0),("24:00:00"-D63)+("00:00:00"+F63)-0.0416666666666667,IF(AND(OR(AG63="Allaitement",AG63="Sans déjeuner"),F63-D63&lt;0),("24:00:00"-D63)+("00:00:00"+F63),IF(AND(AG63="",F63-D63&gt;0.166666666666667),F63-D63-0.0416666666666667,IF(AND(OR(AG63="Allaitement",AG63="Sans déjeuner"),F63-D63&gt;0.166666666666667),F63-D63,F63-D63)))))))</f>
        <v>0</v>
      </c>
      <c r="P63" s="34" t="str">
        <f aca="false">IFERROR(VLOOKUP($B63,Annuaire_roster!$B:$G,MATCH(P$1,Annuaire_roster!$B$1:$G$1,0),0),"-")</f>
        <v>Google Leads</v>
      </c>
      <c r="Q63" s="45" t="n">
        <v>44718</v>
      </c>
      <c r="R63" s="40" t="n">
        <f aca="false">IF(M63="Abs",O63,0)</f>
        <v>0</v>
      </c>
      <c r="S63" s="40" t="n">
        <f aca="false">SUM(R63,L63,I63,J63,W63,H63)</f>
        <v>0</v>
      </c>
      <c r="T63" s="1" t="str">
        <f aca="false">"Sem - "&amp;WEEKNUM(Q63,21)</f>
        <v>Sem - 23</v>
      </c>
      <c r="U63" s="1" t="str">
        <f aca="false">PROPER(TEXT(Q63,"mmmm"))</f>
        <v>June</v>
      </c>
      <c r="V63" s="46" t="str">
        <f aca="false">+TEXT(Q63,"aaa")</f>
        <v>Sun</v>
      </c>
      <c r="W63" s="44"/>
      <c r="X63" s="47" t="n">
        <f aca="false">IFERROR(IF(M63="Abs",0,IF((D63-C63+E63-F63)&lt;0.000694444444444444,0,(D63-C63+E63-F63))),0)</f>
        <v>0</v>
      </c>
      <c r="Y63" s="48" t="str">
        <f aca="false">IFERROR(VLOOKUP(B63,Annuaire_roster!B:E,4,0),"-")</f>
        <v>CHOUIFI Mustapha</v>
      </c>
      <c r="Z63" s="48" t="str">
        <f aca="false">IFERROR(VLOOKUP(B63,Annuaire_roster!B:F,3,0),"-")</f>
        <v>Google Leads</v>
      </c>
      <c r="AA63" s="48" t="str">
        <f aca="false">IFERROR(VLOOKUP(B63,Annuaire_roster!B:I,6,0),"-")</f>
        <v>Forfaitaire</v>
      </c>
      <c r="AB63" s="40" t="str">
        <f aca="false">IF(AND(D63="Congé",F63="Congé"),0.333333333333333,IF(OR(AND(D63="Congé",F63&lt;&gt;"Congé"),(AND(F63="Congé",D63&lt;&gt;"Congé"))),0.166666666666667,""))</f>
        <v/>
      </c>
      <c r="AC63" s="40" t="str">
        <f aca="false">IF(AND(D63="Congé sans solde",F63="Congé sans solde"),0.333333333333333,IF(OR(AND(D63="Congé sans solde",F63&lt;&gt;"Congé sans solde"),(AND(F63="Congé sans solde",D63&lt;&gt;"Congé sans solde"))),0.166666666666667,""))</f>
        <v/>
      </c>
      <c r="AD63" s="40" t="str">
        <f aca="false">IF(AND(D63="Congé spécial",F63="Congé spécial"),0.333333333333333,IF(OR(AND(D63="Congé spécial",F63&lt;&gt;"Congé décès"),(AND(F63="Congé spécial",D63&lt;&gt;"Congé spécial"))),0.166666666666667,""))</f>
        <v/>
      </c>
      <c r="AE63" s="49" t="str">
        <f aca="false">IF(AND(D63="Férié",F63="Férié"),0.333333333333333,IF(OR(AND(D63="Férié",F63&lt;&gt;"Férié"),(AND(F63="Férié",D63&lt;&gt;"Férié"))),0.166666666666667,""))</f>
        <v/>
      </c>
      <c r="AF63" s="49"/>
      <c r="AG63" s="40"/>
    </row>
    <row r="64" customFormat="false" ht="12.75" hidden="true" customHeight="true" outlineLevel="0" collapsed="false">
      <c r="A64" s="22" t="n">
        <f aca="false">VLOOKUP(B64,Annuaire_roster!B:F,5,0)</f>
        <v>1008</v>
      </c>
      <c r="B64" s="23" t="s">
        <v>60</v>
      </c>
      <c r="C64" s="24" t="str">
        <f aca="false">IFERROR(IF(COUNTIFS(Pointage_brut!$E:$E,VLOOKUP($B64,Annuaire_roster!$B:$J,9,0),Pointage_brut!$A:$A,TEXT($Q64,"yyyymmdd")*1)=0,"",MOD(_xlfn.MINIFS(Pointage_brut!$F:$F,Pointage_brut!$E:$E,VLOOKUP($B64,Annuaire_roster!$B:$J,9,0),Pointage_brut!$A:$A,TEXT($Q64,"yyyymmdd")*1),1)),"")</f>
        <v/>
      </c>
      <c r="D64" s="25" t="str">
        <f aca="false" t="array" ref="D64:D64">IFERROR(INDEX(Planning2[],MATCH(1,(Planning2[Nom]=B64)*(Planning2[Date]=Q64),0),3),"-")</f>
        <v>OFF</v>
      </c>
      <c r="E64" s="26" t="str">
        <f aca="false">IFERROR(IF(COUNTIFS(Pointage_brut!$E:$E,VLOOKUP($B64,Annuaire_roster!$B:$J,9,0),Pointage_brut!$A:$A,TEXT($Q64,"yyyymmdd")*1)=0,"",MOD(_xlfn.MAXIFS(Pointage_brut!$G:$G,Pointage_brut!$E:$E,VLOOKUP($B64,Annuaire_roster!$B:$J,9,0),Pointage_brut!$A:$A,TEXT($Q64,"yyyymmdd")*1),1)),"")</f>
        <v/>
      </c>
      <c r="F64" s="27" t="str">
        <f aca="false" t="array" ref="F64:F64">IFERROR(INDEX(Planning2[],MATCH(1,(Planning2[Nom]=B64)*(Planning2[Date]=Q64),0),4),"-")</f>
        <v>OFF</v>
      </c>
      <c r="G64" s="28"/>
      <c r="H64" s="28"/>
      <c r="I64" s="29" t="str">
        <f aca="false">IF(IF(OR(C64="",D64="Congé",D64="OFF",D64="Congé spécial"),"",IF(D64&gt;F64,D64-C64,IF(C64-D64&lt;0,0,C64-D64)))&lt;0.00068287037037037,"",IF(OR(D64="Congé",D64="OFF",C64="",D64="Congé spécial"),"",IF(D64&gt;F64,D64-C64,IF(C64-D64&lt;0,0,C64-D64))))</f>
        <v/>
      </c>
      <c r="J64" s="28"/>
      <c r="K64" s="30" t="n">
        <f aca="false">IF(SUM(H64:J64)&lt;0.00068287037037037,0,SUM(H64:J64))</f>
        <v>0</v>
      </c>
      <c r="L64" s="28" t="n">
        <f aca="false">IF(OR(F64="Congé",F64="OFF",M64="Abs",F64="Congé sans solde",F64="Férié",F64="Congé spécial",D64="Congé spécial"),0,IF(F64-E64&lt;0,0,IF(F64-E64&lt;=0.00068287037037037,0,F64-E64)))</f>
        <v>0</v>
      </c>
      <c r="M64" s="31" t="n">
        <f aca="false">IF(AND(O64&lt;&gt;0,C64=""),"Abs",0)</f>
        <v>0</v>
      </c>
      <c r="N64" s="32" t="str">
        <f aca="false">IFERROR(IF(OR(D64="OFF",D64="Congé",M64="Abs",D64="Congé sans solde",D64="Férié"),"",IF(O64-K64-L64&gt;O64,O64,IF(O64-K64-L64&lt;0,"",O64-K64-L64))),"")</f>
        <v/>
      </c>
      <c r="O64" s="33" t="n">
        <f aca="false">IF(AG64="2H Pause déjeuner",IF(F64-D64-0.0833333333333333&lt;0,F64-D64-0.0833333333333333+1,F64-D64-0.0833333333333333),IF(OR(AND(F64="OFF",D64="OFF"),AND(F64="Congé",D64="Congé"),AND(F64="Congé sans solde",D64="Congé sans solde"),AND(F64="Congé spécial",D64="Congé spécial"),AND(F64="Férié",D64="Férié"),AND(F64="OFF",D64="Congé"),AND(F64="OFF",D64="Congé sans solde"),AND(F64="OFF",D64="Congé spécial"),AND(F64="OFF",D64="Férié"),AND(F64="Congé",D64="OFF"),AND(F64="Congé",D64="Congé sans solde"),AND(F64="Congé",D64="Congé spécial"),AND(F64="Congé",D64="Férié"),AND(F64="Congé sans solde",D64="OFF"),AND(F64="Congé sans solde",D64="Congé"),AND(F64="Congé sans solde",D64="Congé spécial"),AND(F64="Congé sans solde",D64="Férié"),AND(F64="Congé spécial",D64="OFF"),AND(F64="Congé spécial",D64="Congé"),AND(F64="Congé spécial",D64="Congé sans solde"),AND(F64="Congé spécial",D64="Férié"),AND(F64="Férié",D64="OFF"),AND(F64="Férié",D64="Congé"),AND(F64="Férié",D64="Congé sans solde"),AND(F64="Férié",D64="Congé spécial")),0,IF(OR(F64="OFF",F64="Congé",F64="Congé spécial",F64="Congé sans solde",D64="OFF",D64="Congé",D64="Congé spécial",D64="Congé sans solde"),0.208333333333334,IF(AND(AG64="",F64-D64&lt;0),("24:00:00"-D64)+("00:00:00"+F64)-0.0416666666666667,IF(AND(OR(AG64="Allaitement",AG64="Sans déjeuner"),F64-D64&lt;0),("24:00:00"-D64)+("00:00:00"+F64),IF(AND(AG64="",F64-D64&gt;0.166666666666667),F64-D64-0.0416666666666667,IF(AND(OR(AG64="Allaitement",AG64="Sans déjeuner"),F64-D64&gt;0.166666666666667),F64-D64,F64-D64)))))))</f>
        <v>0</v>
      </c>
      <c r="P64" s="34" t="str">
        <f aca="false">IFERROR(VLOOKUP($B64,Annuaire_roster!$B:$G,MATCH(P$1,Annuaire_roster!$B$1:$G$1,0),0),"-")</f>
        <v>Google Leads</v>
      </c>
      <c r="Q64" s="35" t="n">
        <v>44718</v>
      </c>
      <c r="R64" s="36" t="n">
        <f aca="false">IF(M64="Abs",O64,0)</f>
        <v>0</v>
      </c>
      <c r="S64" s="36" t="n">
        <f aca="false">SUM(R64,L64,I64,J64,W64,H64)</f>
        <v>0</v>
      </c>
      <c r="T64" s="1" t="str">
        <f aca="false">"Sem - "&amp;WEEKNUM(Q64,21)</f>
        <v>Sem - 23</v>
      </c>
      <c r="U64" s="1" t="str">
        <f aca="false">PROPER(TEXT(Q64,"mmmm"))</f>
        <v>June</v>
      </c>
      <c r="V64" s="37" t="str">
        <f aca="false">+TEXT(Q64,"aaa")</f>
        <v>Sun</v>
      </c>
      <c r="W64" s="32"/>
      <c r="X64" s="38" t="n">
        <f aca="false">IFERROR(IF(M64="Abs",0,IF((D64-C64+E64-F64)&lt;0.000694444444444444,0,(D64-C64+E64-F64))),0)</f>
        <v>0</v>
      </c>
      <c r="Y64" s="39" t="str">
        <f aca="false">IFERROR(VLOOKUP(B64,Annuaire_roster!B:E,4,0),"-")</f>
        <v>CHOUIFI Mustapha</v>
      </c>
      <c r="Z64" s="39" t="str">
        <f aca="false">IFERROR(VLOOKUP(B64,Annuaire_roster!B:F,3,0),"-")</f>
        <v>Google Leads</v>
      </c>
      <c r="AA64" s="39" t="str">
        <f aca="false">IFERROR(VLOOKUP(B64,Annuaire_roster!B:I,6,0),"-")</f>
        <v>Forfaitaire</v>
      </c>
      <c r="AB64" s="40" t="str">
        <f aca="false">IF(AND(D64="Congé",F64="Congé"),0.333333333333333,IF(OR(AND(D64="Congé",F64&lt;&gt;"Congé"),(AND(F64="Congé",D64&lt;&gt;"Congé"))),0.166666666666667,""))</f>
        <v/>
      </c>
      <c r="AC64" s="40" t="str">
        <f aca="false">IF(AND(D64="Congé sans solde",F64="Congé sans solde"),0.333333333333333,IF(OR(AND(D64="Congé sans solde",F64&lt;&gt;"Congé sans solde"),(AND(F64="Congé sans solde",D64&lt;&gt;"Congé sans solde"))),0.166666666666667,""))</f>
        <v/>
      </c>
      <c r="AD64" s="40" t="str">
        <f aca="false">IF(AND(D64="Congé spécial",F64="Congé spécial"),0.333333333333333,IF(OR(AND(D64="Congé spécial",F64&lt;&gt;"Congé décès"),(AND(F64="Congé spécial",D64&lt;&gt;"Congé spécial"))),0.166666666666667,""))</f>
        <v/>
      </c>
      <c r="AE64" s="41" t="str">
        <f aca="false">IF(AND(D64="Férié",F64="Férié"),0.333333333333333,IF(OR(AND(D64="Férié",F64&lt;&gt;"Férié"),(AND(F64="Férié",D64&lt;&gt;"Férié"))),0.166666666666667,""))</f>
        <v/>
      </c>
      <c r="AF64" s="49"/>
      <c r="AG64" s="36"/>
    </row>
    <row r="65" customFormat="false" ht="12.75" hidden="true" customHeight="true" outlineLevel="0" collapsed="false">
      <c r="A65" s="22" t="n">
        <f aca="false">VLOOKUP(B65,Annuaire_roster!B:F,5,0)</f>
        <v>0</v>
      </c>
      <c r="B65" s="23" t="s">
        <v>62</v>
      </c>
      <c r="C65" s="24" t="str">
        <f aca="false">IFERROR(IF(COUNTIFS(Pointage_brut!$E:$E,VLOOKUP($B65,Annuaire_roster!$B:$J,9,0),Pointage_brut!$A:$A,TEXT($Q65,"yyyymmdd")*1)=0,"",MOD(_xlfn.MINIFS(Pointage_brut!$F:$F,Pointage_brut!$E:$E,VLOOKUP($B65,Annuaire_roster!$B:$J,9,0),Pointage_brut!$A:$A,TEXT($Q65,"yyyymmdd")*1),1)),"")</f>
        <v/>
      </c>
      <c r="D65" s="25" t="str">
        <f aca="false" t="array" ref="D65:D65">IFERROR(INDEX(Planning2[],MATCH(1,(Planning2[Nom]=B65)*(Planning2[Date]=Q65),0),3),"-")</f>
        <v>OFF</v>
      </c>
      <c r="E65" s="26" t="str">
        <f aca="false">IFERROR(IF(COUNTIFS(Pointage_brut!$E:$E,VLOOKUP($B65,Annuaire_roster!$B:$J,9,0),Pointage_brut!$A:$A,TEXT($Q65,"yyyymmdd")*1)=0,"",MOD(_xlfn.MAXIFS(Pointage_brut!$G:$G,Pointage_brut!$E:$E,VLOOKUP($B65,Annuaire_roster!$B:$J,9,0),Pointage_brut!$A:$A,TEXT($Q65,"yyyymmdd")*1),1)),"")</f>
        <v/>
      </c>
      <c r="F65" s="27" t="str">
        <f aca="false" t="array" ref="F65:F65">IFERROR(INDEX(Planning2[],MATCH(1,(Planning2[Nom]=B65)*(Planning2[Date]=Q65),0),4),"-")</f>
        <v>OFF</v>
      </c>
      <c r="G65" s="28"/>
      <c r="H65" s="28"/>
      <c r="I65" s="29" t="str">
        <f aca="false">IF(IF(OR(C65="",D65="Congé",D65="OFF",D65="Congé spécial"),"",IF(D65&gt;F65,D65-C65,IF(C65-D65&lt;0,0,C65-D65)))&lt;0.00068287037037037,"",IF(OR(D65="Congé",D65="OFF",C65="",D65="Congé spécial"),"",IF(D65&gt;F65,D65-C65,IF(C65-D65&lt;0,0,C65-D65))))</f>
        <v/>
      </c>
      <c r="J65" s="28"/>
      <c r="K65" s="30" t="n">
        <f aca="false">IF(SUM(H65:J65)&lt;0.00068287037037037,0,SUM(H65:J65))</f>
        <v>0</v>
      </c>
      <c r="L65" s="28" t="n">
        <f aca="false">IF(OR(F65="Congé",F65="OFF",M65="Abs",F65="Congé sans solde",F65="Férié",F65="Congé spécial",D65="Congé spécial"),0,IF(F65-E65&lt;0,0,IF(F65-E65&lt;=0.00068287037037037,0,F65-E65)))</f>
        <v>0</v>
      </c>
      <c r="M65" s="31" t="n">
        <f aca="false">IF(AND(O65&lt;&gt;0,C65=""),"Abs",0)</f>
        <v>0</v>
      </c>
      <c r="N65" s="32" t="str">
        <f aca="false">IFERROR(IF(OR(D65="OFF",D65="Congé",M65="Abs",D65="Congé sans solde",D65="Férié"),"",IF(O65-K65-L65&gt;O65,O65,IF(O65-K65-L65&lt;0,"",O65-K65-L65))),"")</f>
        <v/>
      </c>
      <c r="O65" s="33" t="n">
        <f aca="false">IF(AG65="2H Pause déjeuner",IF(F65-D65-0.0833333333333333&lt;0,F65-D65-0.0833333333333333+1,F65-D65-0.0833333333333333),IF(OR(AND(F65="OFF",D65="OFF"),AND(F65="Congé",D65="Congé"),AND(F65="Congé sans solde",D65="Congé sans solde"),AND(F65="Congé spécial",D65="Congé spécial"),AND(F65="Férié",D65="Férié"),AND(F65="OFF",D65="Congé"),AND(F65="OFF",D65="Congé sans solde"),AND(F65="OFF",D65="Congé spécial"),AND(F65="OFF",D65="Férié"),AND(F65="Congé",D65="OFF"),AND(F65="Congé",D65="Congé sans solde"),AND(F65="Congé",D65="Congé spécial"),AND(F65="Congé",D65="Férié"),AND(F65="Congé sans solde",D65="OFF"),AND(F65="Congé sans solde",D65="Congé"),AND(F65="Congé sans solde",D65="Congé spécial"),AND(F65="Congé sans solde",D65="Férié"),AND(F65="Congé spécial",D65="OFF"),AND(F65="Congé spécial",D65="Congé"),AND(F65="Congé spécial",D65="Congé sans solde"),AND(F65="Congé spécial",D65="Férié"),AND(F65="Férié",D65="OFF"),AND(F65="Férié",D65="Congé"),AND(F65="Férié",D65="Congé sans solde"),AND(F65="Férié",D65="Congé spécial")),0,IF(OR(F65="OFF",F65="Congé",F65="Congé spécial",F65="Congé sans solde",D65="OFF",D65="Congé",D65="Congé spécial",D65="Congé sans solde"),0.208333333333334,IF(AND(AG65="",F65-D65&lt;0),("24:00:00"-D65)+("00:00:00"+F65)-0.0416666666666667,IF(AND(OR(AG65="Allaitement",AG65="Sans déjeuner"),F65-D65&lt;0),("24:00:00"-D65)+("00:00:00"+F65),IF(AND(AG65="",F65-D65&gt;0.166666666666667),F65-D65-0.0416666666666667,IF(AND(OR(AG65="Allaitement",AG65="Sans déjeuner"),F65-D65&gt;0.166666666666667),F65-D65,F65-D65)))))))</f>
        <v>0</v>
      </c>
      <c r="P65" s="34" t="str">
        <f aca="false">IFERROR(VLOOKUP($B65,Annuaire_roster!$B:$G,MATCH(P$1,Annuaire_roster!$B$1:$G$1,0),0),"-")</f>
        <v>Google Leads</v>
      </c>
      <c r="Q65" s="35" t="n">
        <v>44718</v>
      </c>
      <c r="R65" s="36" t="n">
        <f aca="false">IF(M65="Abs",O65,0)</f>
        <v>0</v>
      </c>
      <c r="S65" s="36" t="n">
        <f aca="false">SUM(R65,L65,I65,J65,W65,H65)</f>
        <v>0</v>
      </c>
      <c r="T65" s="1" t="str">
        <f aca="false">"Sem - "&amp;WEEKNUM(Q65,21)</f>
        <v>Sem - 23</v>
      </c>
      <c r="U65" s="1" t="str">
        <f aca="false">PROPER(TEXT(Q65,"mmmm"))</f>
        <v>June</v>
      </c>
      <c r="V65" s="37" t="str">
        <f aca="false">+TEXT(Q65,"aaa")</f>
        <v>Sun</v>
      </c>
      <c r="W65" s="32"/>
      <c r="X65" s="38" t="n">
        <f aca="false">IFERROR(IF(M65="Abs",0,IF((D65-C65+E65-F65)&lt;0.000694444444444444,0,(D65-C65+E65-F65))),0)</f>
        <v>0</v>
      </c>
      <c r="Y65" s="39" t="n">
        <f aca="false">IFERROR(VLOOKUP(B65,Annuaire_roster!B:E,4,0),"-")</f>
        <v>0</v>
      </c>
      <c r="Z65" s="39" t="str">
        <f aca="false">IFERROR(VLOOKUP(B65,Annuaire_roster!B:F,3,0),"-")</f>
        <v>Google Leads</v>
      </c>
      <c r="AA65" s="39" t="n">
        <f aca="false">IFERROR(VLOOKUP(B65,Annuaire_roster!B:I,6,0),"-")</f>
        <v>0</v>
      </c>
      <c r="AB65" s="40" t="str">
        <f aca="false">IF(AND(D65="Congé",F65="Congé"),0.333333333333333,IF(OR(AND(D65="Congé",F65&lt;&gt;"Congé"),(AND(F65="Congé",D65&lt;&gt;"Congé"))),0.166666666666667,""))</f>
        <v/>
      </c>
      <c r="AC65" s="40" t="str">
        <f aca="false">IF(AND(D65="Congé sans solde",F65="Congé sans solde"),0.333333333333333,IF(OR(AND(D65="Congé sans solde",F65&lt;&gt;"Congé sans solde"),(AND(F65="Congé sans solde",D65&lt;&gt;"Congé sans solde"))),0.166666666666667,""))</f>
        <v/>
      </c>
      <c r="AD65" s="40" t="str">
        <f aca="false">IF(AND(D65="Congé spécial",F65="Congé spécial"),0.333333333333333,IF(OR(AND(D65="Congé spécial",F65&lt;&gt;"Congé décès"),(AND(F65="Congé spécial",D65&lt;&gt;"Congé spécial"))),0.166666666666667,""))</f>
        <v/>
      </c>
      <c r="AE65" s="41" t="str">
        <f aca="false">IF(AND(D65="Férié",F65="Férié"),0.333333333333333,IF(OR(AND(D65="Férié",F65&lt;&gt;"Férié"),(AND(F65="Férié",D65&lt;&gt;"Férié"))),0.166666666666667,""))</f>
        <v/>
      </c>
      <c r="AF65" s="41"/>
      <c r="AG65" s="36"/>
    </row>
    <row r="66" customFormat="false" ht="12.75" hidden="true" customHeight="true" outlineLevel="0" collapsed="false">
      <c r="A66" s="22" t="n">
        <f aca="false">VLOOKUP(B66,Annuaire_roster!B:F,5,0)</f>
        <v>742</v>
      </c>
      <c r="B66" s="23" t="s">
        <v>33</v>
      </c>
      <c r="C66" s="24" t="str">
        <f aca="false">IFERROR(IF(COUNTIFS(Pointage_brut!$E:$E,VLOOKUP($B66,Annuaire_roster!$B:$J,9,0),Pointage_brut!$A:$A,TEXT($Q66,"yyyymmdd")*1)=0,"",MOD(_xlfn.MINIFS(Pointage_brut!$F:$F,Pointage_brut!$E:$E,VLOOKUP($B66,Annuaire_roster!$B:$J,9,0),Pointage_brut!$A:$A,TEXT($Q66,"yyyymmdd")*1),1)),"")</f>
        <v/>
      </c>
      <c r="D66" s="25" t="n">
        <f aca="false" t="array" ref="D66:D66">IFERROR(INDEX(Planning2[],MATCH(1,(Planning2[Nom]=B66)*(Planning2[Date]=Q66),0),3),"-")</f>
        <v>0.291666666666667</v>
      </c>
      <c r="E66" s="26" t="str">
        <f aca="false">IFERROR(IF(COUNTIFS(Pointage_brut!$E:$E,VLOOKUP($B66,Annuaire_roster!$B:$J,9,0),Pointage_brut!$A:$A,TEXT($Q66,"yyyymmdd")*1)=0,"",MOD(_xlfn.MAXIFS(Pointage_brut!$G:$G,Pointage_brut!$E:$E,VLOOKUP($B66,Annuaire_roster!$B:$J,9,0),Pointage_brut!$A:$A,TEXT($Q66,"yyyymmdd")*1),1)),"")</f>
        <v/>
      </c>
      <c r="F66" s="27" t="n">
        <f aca="false" t="array" ref="F66:F66">IFERROR(INDEX(Planning2[],MATCH(1,(Planning2[Nom]=B66)*(Planning2[Date]=Q66),0),4),"-")</f>
        <v>0.708333333333333</v>
      </c>
      <c r="G66" s="28"/>
      <c r="H66" s="28"/>
      <c r="I66" s="29" t="str">
        <f aca="false">IF(IF(OR(C66="",D66="Congé",D66="OFF",D66="Congé spécial"),"",IF(D66&gt;F66,D66-C66,IF(C66-D66&lt;0,0,C66-D66)))&lt;0.00068287037037037,"",IF(OR(D66="Congé",D66="OFF",C66="",D66="Congé spécial"),"",IF(D66&gt;F66,D66-C66,IF(C66-D66&lt;0,0,C66-D66))))</f>
        <v/>
      </c>
      <c r="J66" s="28"/>
      <c r="K66" s="30" t="n">
        <f aca="false">IF(SUM(H66:J66)&lt;0.00068287037037037,0,SUM(H66:J66))</f>
        <v>0</v>
      </c>
      <c r="L66" s="28" t="n">
        <f aca="false">IF(OR(F66="Congé",F66="OFF",M66="Abs",F66="Congé sans solde",F66="Férié",F66="Congé spécial",D66="Congé spécial"),0,IF(F66-E66&lt;0,0,IF(F66-E66&lt;=0.00068287037037037,0,F66-E66)))</f>
        <v>0</v>
      </c>
      <c r="M66" s="31" t="str">
        <f aca="false">IF(AND(O66&lt;&gt;0,C66=""),"Abs",0)</f>
        <v>Abs</v>
      </c>
      <c r="N66" s="32" t="str">
        <f aca="false">IFERROR(IF(OR(D66="OFF",D66="Congé",M66="Abs",D66="Congé sans solde",D66="Férié"),"",IF(O66-K66-L66&gt;O66,O66,IF(O66-K66-L66&lt;0,"",O66-K66-L66))),"")</f>
        <v/>
      </c>
      <c r="O66" s="33" t="n">
        <f aca="false">IF(AG66="2H Pause déjeuner",IF(F66-D66-0.0833333333333333&lt;0,F66-D66-0.0833333333333333+1,F66-D66-0.0833333333333333),IF(OR(AND(F66="OFF",D66="OFF"),AND(F66="Congé",D66="Congé"),AND(F66="Congé sans solde",D66="Congé sans solde"),AND(F66="Congé spécial",D66="Congé spécial"),AND(F66="Férié",D66="Férié"),AND(F66="OFF",D66="Congé"),AND(F66="OFF",D66="Congé sans solde"),AND(F66="OFF",D66="Congé spécial"),AND(F66="OFF",D66="Férié"),AND(F66="Congé",D66="OFF"),AND(F66="Congé",D66="Congé sans solde"),AND(F66="Congé",D66="Congé spécial"),AND(F66="Congé",D66="Férié"),AND(F66="Congé sans solde",D66="OFF"),AND(F66="Congé sans solde",D66="Congé"),AND(F66="Congé sans solde",D66="Congé spécial"),AND(F66="Congé sans solde",D66="Férié"),AND(F66="Congé spécial",D66="OFF"),AND(F66="Congé spécial",D66="Congé"),AND(F66="Congé spécial",D66="Congé sans solde"),AND(F66="Congé spécial",D66="Férié"),AND(F66="Férié",D66="OFF"),AND(F66="Férié",D66="Congé"),AND(F66="Férié",D66="Congé sans solde"),AND(F66="Férié",D66="Congé spécial")),0,IF(OR(F66="OFF",F66="Congé",F66="Congé spécial",F66="Congé sans solde",D66="OFF",D66="Congé",D66="Congé spécial",D66="Congé sans solde"),0.208333333333334,IF(AND(AG66="",F66-D66&lt;0),("24:00:00"-D66)+("00:00:00"+F66)-0.0416666666666667,IF(AND(OR(AG66="Allaitement",AG66="Sans déjeuner"),F66-D66&lt;0),("24:00:00"-D66)+("00:00:00"+F66),IF(AND(AG66="",F66-D66&gt;0.166666666666667),F66-D66-0.0416666666666667,IF(AND(OR(AG66="Allaitement",AG66="Sans déjeuner"),F66-D66&gt;0.166666666666667),F66-D66,F66-D66)))))))</f>
        <v>0.375</v>
      </c>
      <c r="P66" s="34" t="str">
        <f aca="false">IFERROR(VLOOKUP($B66,Annuaire_roster!$B:$G,MATCH(P$1,Annuaire_roster!$B$1:$G$1,0),0),"-")</f>
        <v>Google Leads</v>
      </c>
      <c r="Q66" s="35" t="n">
        <v>44719</v>
      </c>
      <c r="R66" s="36" t="n">
        <f aca="false">IF(M66="Abs",O66,0)</f>
        <v>0.375</v>
      </c>
      <c r="S66" s="36" t="n">
        <f aca="false">SUM(R66,L66,I66,J66,W66,H66)</f>
        <v>0.375</v>
      </c>
      <c r="T66" s="1" t="str">
        <f aca="false">"Sem - "&amp;WEEKNUM(Q66,21)</f>
        <v>Sem - 24</v>
      </c>
      <c r="U66" s="1" t="str">
        <f aca="false">PROPER(TEXT(Q66,"mmmm"))</f>
        <v>June</v>
      </c>
      <c r="V66" s="37" t="str">
        <f aca="false">+TEXT(Q66,"aaa")</f>
        <v>Mon</v>
      </c>
      <c r="W66" s="32"/>
      <c r="X66" s="38" t="n">
        <f aca="false">IFERROR(IF(M66="Abs",0,IF((D66-C66+E66-F66)&lt;0.000694444444444444,0,(D66-C66+E66-F66))),0)</f>
        <v>0</v>
      </c>
      <c r="Y66" s="39" t="str">
        <f aca="false">IFERROR(VLOOKUP(B66,Annuaire_roster!B:E,4,0),"-")</f>
        <v>OUAQERROUCH Nour-El Houda</v>
      </c>
      <c r="Z66" s="39" t="str">
        <f aca="false">IFERROR(VLOOKUP(B66,Annuaire_roster!B:F,3,0),"-")</f>
        <v>Google Leads</v>
      </c>
      <c r="AA66" s="39" t="str">
        <f aca="false">IFERROR(VLOOKUP(B66,Annuaire_roster!B:I,6,0),"-")</f>
        <v>Forfaitaire</v>
      </c>
      <c r="AB66" s="40" t="str">
        <f aca="false">IF(AND(D66="Congé",F66="Congé"),0.333333333333333,IF(OR(AND(D66="Congé",F66&lt;&gt;"Congé"),(AND(F66="Congé",D66&lt;&gt;"Congé"))),0.166666666666667,""))</f>
        <v/>
      </c>
      <c r="AC66" s="40" t="str">
        <f aca="false">IF(AND(D66="Congé sans solde",F66="Congé sans solde"),0.333333333333333,IF(OR(AND(D66="Congé sans solde",F66&lt;&gt;"Congé sans solde"),(AND(F66="Congé sans solde",D66&lt;&gt;"Congé sans solde"))),0.166666666666667,""))</f>
        <v/>
      </c>
      <c r="AD66" s="40" t="str">
        <f aca="false">IF(AND(D66="Congé spécial",F66="Congé spécial"),0.333333333333333,IF(OR(AND(D66="Congé spécial",F66&lt;&gt;"Congé décès"),(AND(F66="Congé spécial",D66&lt;&gt;"Congé spécial"))),0.166666666666667,""))</f>
        <v/>
      </c>
      <c r="AE66" s="41" t="str">
        <f aca="false">IF(AND(D66="Férié",F66="Férié"),0.333333333333333,IF(OR(AND(D66="Férié",F66&lt;&gt;"Férié"),(AND(F66="Férié",D66&lt;&gt;"Férié"))),0.166666666666667,""))</f>
        <v/>
      </c>
      <c r="AF66" s="41"/>
      <c r="AG66" s="36"/>
    </row>
    <row r="67" customFormat="false" ht="12.75" hidden="true" customHeight="true" outlineLevel="0" collapsed="false">
      <c r="A67" s="22" t="n">
        <f aca="false">VLOOKUP(B67,Annuaire_roster!B:F,5,0)</f>
        <v>1007</v>
      </c>
      <c r="B67" s="23" t="s">
        <v>59</v>
      </c>
      <c r="C67" s="24" t="str">
        <f aca="false">IFERROR(IF(COUNTIFS(Pointage_brut!$E:$E,VLOOKUP($B67,Annuaire_roster!$B:$J,9,0),Pointage_brut!$A:$A,TEXT($Q67,"yyyymmdd")*1)=0,"",MOD(_xlfn.MINIFS(Pointage_brut!$F:$F,Pointage_brut!$E:$E,VLOOKUP($B67,Annuaire_roster!$B:$J,9,0),Pointage_brut!$A:$A,TEXT($Q67,"yyyymmdd")*1),1)),"")</f>
        <v/>
      </c>
      <c r="D67" s="25" t="n">
        <f aca="false" t="array" ref="D67:D67">IFERROR(INDEX(Planning2[],MATCH(1,(Planning2[Nom]=B67)*(Planning2[Date]=Q67),0),3),"-")</f>
        <v>0.291666666666667</v>
      </c>
      <c r="E67" s="26" t="str">
        <f aca="false">IFERROR(IF(COUNTIFS(Pointage_brut!$E:$E,VLOOKUP($B67,Annuaire_roster!$B:$J,9,0),Pointage_brut!$A:$A,TEXT($Q67,"yyyymmdd")*1)=0,"",MOD(_xlfn.MAXIFS(Pointage_brut!$G:$G,Pointage_brut!$E:$E,VLOOKUP($B67,Annuaire_roster!$B:$J,9,0),Pointage_brut!$A:$A,TEXT($Q67,"yyyymmdd")*1),1)),"")</f>
        <v/>
      </c>
      <c r="F67" s="27" t="n">
        <f aca="false" t="array" ref="F67:F67">IFERROR(INDEX(Planning2[],MATCH(1,(Planning2[Nom]=B67)*(Planning2[Date]=Q67),0),4),"-")</f>
        <v>0.708333333333333</v>
      </c>
      <c r="G67" s="28"/>
      <c r="H67" s="28"/>
      <c r="I67" s="29" t="str">
        <f aca="false">IF(IF(OR(C67="",D67="Congé",D67="OFF",D67="Congé spécial"),"",IF(D67&gt;F67,D67-C67,IF(C67-D67&lt;0,0,C67-D67)))&lt;0.00068287037037037,"",IF(OR(D67="Congé",D67="OFF",C67="",D67="Congé spécial"),"",IF(D67&gt;F67,D67-C67,IF(C67-D67&lt;0,0,C67-D67))))</f>
        <v/>
      </c>
      <c r="J67" s="28"/>
      <c r="K67" s="30" t="n">
        <f aca="false">IF(SUM(H67:J67)&lt;0.00068287037037037,0,SUM(H67:J67))</f>
        <v>0</v>
      </c>
      <c r="L67" s="28" t="n">
        <f aca="false">IF(OR(F67="Congé",F67="OFF",M67="Abs",F67="Congé sans solde",F67="Férié",F67="Congé spécial",D67="Congé spécial"),0,IF(F67-E67&lt;0,0,IF(F67-E67&lt;=0.00068287037037037,0,F67-E67)))</f>
        <v>0</v>
      </c>
      <c r="M67" s="31" t="str">
        <f aca="false">IF(AND(O67&lt;&gt;0,C67=""),"Abs",0)</f>
        <v>Abs</v>
      </c>
      <c r="N67" s="32" t="str">
        <f aca="false">IFERROR(IF(OR(D67="OFF",D67="Congé",M67="Abs",D67="Congé sans solde",D67="Férié"),"",IF(O67-K67-L67&gt;O67,O67,IF(O67-K67-L67&lt;0,"",O67-K67-L67))),"")</f>
        <v/>
      </c>
      <c r="O67" s="33" t="n">
        <f aca="false">IF(AG67="2H Pause déjeuner",IF(F67-D67-0.0833333333333333&lt;0,F67-D67-0.0833333333333333+1,F67-D67-0.0833333333333333),IF(OR(AND(F67="OFF",D67="OFF"),AND(F67="Congé",D67="Congé"),AND(F67="Congé sans solde",D67="Congé sans solde"),AND(F67="Congé spécial",D67="Congé spécial"),AND(F67="Férié",D67="Férié"),AND(F67="OFF",D67="Congé"),AND(F67="OFF",D67="Congé sans solde"),AND(F67="OFF",D67="Congé spécial"),AND(F67="OFF",D67="Férié"),AND(F67="Congé",D67="OFF"),AND(F67="Congé",D67="Congé sans solde"),AND(F67="Congé",D67="Congé spécial"),AND(F67="Congé",D67="Férié"),AND(F67="Congé sans solde",D67="OFF"),AND(F67="Congé sans solde",D67="Congé"),AND(F67="Congé sans solde",D67="Congé spécial"),AND(F67="Congé sans solde",D67="Férié"),AND(F67="Congé spécial",D67="OFF"),AND(F67="Congé spécial",D67="Congé"),AND(F67="Congé spécial",D67="Congé sans solde"),AND(F67="Congé spécial",D67="Férié"),AND(F67="Férié",D67="OFF"),AND(F67="Férié",D67="Congé"),AND(F67="Férié",D67="Congé sans solde"),AND(F67="Férié",D67="Congé spécial")),0,IF(OR(F67="OFF",F67="Congé",F67="Congé spécial",F67="Congé sans solde",D67="OFF",D67="Congé",D67="Congé spécial",D67="Congé sans solde"),0.208333333333334,IF(AND(AG67="",F67-D67&lt;0),("24:00:00"-D67)+("00:00:00"+F67)-0.0416666666666667,IF(AND(OR(AG67="Allaitement",AG67="Sans déjeuner"),F67-D67&lt;0),("24:00:00"-D67)+("00:00:00"+F67),IF(AND(AG67="",F67-D67&gt;0.166666666666667),F67-D67-0.0416666666666667,IF(AND(OR(AG67="Allaitement",AG67="Sans déjeuner"),F67-D67&gt;0.166666666666667),F67-D67,F67-D67)))))))</f>
        <v>0.375</v>
      </c>
      <c r="P67" s="34" t="str">
        <f aca="false">IFERROR(VLOOKUP($B67,Annuaire_roster!$B:$G,MATCH(P$1,Annuaire_roster!$B$1:$G$1,0),0),"-")</f>
        <v>Google Leads</v>
      </c>
      <c r="Q67" s="35" t="n">
        <v>44719</v>
      </c>
      <c r="R67" s="36" t="n">
        <f aca="false">IF(M67="Abs",O67,0)</f>
        <v>0.375</v>
      </c>
      <c r="S67" s="36" t="n">
        <f aca="false">SUM(R67,L67,I67,J67,W67,H67)</f>
        <v>0.375</v>
      </c>
      <c r="T67" s="1" t="str">
        <f aca="false">"Sem - "&amp;WEEKNUM(Q67,21)</f>
        <v>Sem - 24</v>
      </c>
      <c r="U67" s="1" t="str">
        <f aca="false">PROPER(TEXT(Q67,"mmmm"))</f>
        <v>June</v>
      </c>
      <c r="V67" s="37" t="str">
        <f aca="false">+TEXT(Q67,"aaa")</f>
        <v>Mon</v>
      </c>
      <c r="W67" s="32"/>
      <c r="X67" s="38" t="n">
        <f aca="false">IFERROR(IF(M67="Abs",0,IF((D67-C67+E67-F67)&lt;0.000694444444444444,0,(D67-C67+E67-F67))),0)</f>
        <v>0</v>
      </c>
      <c r="Y67" s="39" t="str">
        <f aca="false">IFERROR(VLOOKUP(B67,Annuaire_roster!B:E,4,0),"-")</f>
        <v>OUAQERROUCH Nour-El Houda</v>
      </c>
      <c r="Z67" s="39" t="str">
        <f aca="false">IFERROR(VLOOKUP(B67,Annuaire_roster!B:F,3,0),"-")</f>
        <v>Google Leads</v>
      </c>
      <c r="AA67" s="39" t="str">
        <f aca="false">IFERROR(VLOOKUP(B67,Annuaire_roster!B:I,6,0),"-")</f>
        <v>Forfaitaire</v>
      </c>
      <c r="AB67" s="40" t="str">
        <f aca="false">IF(AND(D67="Congé",F67="Congé"),0.333333333333333,IF(OR(AND(D67="Congé",F67&lt;&gt;"Congé"),(AND(F67="Congé",D67&lt;&gt;"Congé"))),0.166666666666667,""))</f>
        <v/>
      </c>
      <c r="AC67" s="40" t="str">
        <f aca="false">IF(AND(D67="Congé sans solde",F67="Congé sans solde"),0.333333333333333,IF(OR(AND(D67="Congé sans solde",F67&lt;&gt;"Congé sans solde"),(AND(F67="Congé sans solde",D67&lt;&gt;"Congé sans solde"))),0.166666666666667,""))</f>
        <v/>
      </c>
      <c r="AD67" s="40" t="str">
        <f aca="false">IF(AND(D67="Congé spécial",F67="Congé spécial"),0.333333333333333,IF(OR(AND(D67="Congé spécial",F67&lt;&gt;"Congé décès"),(AND(F67="Congé spécial",D67&lt;&gt;"Congé spécial"))),0.166666666666667,""))</f>
        <v/>
      </c>
      <c r="AE67" s="41" t="str">
        <f aca="false">IF(AND(D67="Férié",F67="Férié"),0.333333333333333,IF(OR(AND(D67="Férié",F67&lt;&gt;"Férié"),(AND(F67="Férié",D67&lt;&gt;"Férié"))),0.166666666666667,""))</f>
        <v/>
      </c>
      <c r="AF67" s="49"/>
      <c r="AG67" s="36"/>
    </row>
    <row r="68" customFormat="false" ht="12.75" hidden="true" customHeight="true" outlineLevel="0" collapsed="false">
      <c r="A68" s="22" t="n">
        <f aca="false">VLOOKUP(B68,Annuaire_roster!B:F,5,0)</f>
        <v>1132</v>
      </c>
      <c r="B68" s="23" t="s">
        <v>52</v>
      </c>
      <c r="C68" s="24" t="str">
        <f aca="false">IFERROR(IF(COUNTIFS(Pointage_brut!$E:$E,VLOOKUP($B68,Annuaire_roster!$B:$J,9,0),Pointage_brut!$A:$A,TEXT($Q68,"yyyymmdd")*1)=0,"",MOD(_xlfn.MINIFS(Pointage_brut!$F:$F,Pointage_brut!$E:$E,VLOOKUP($B68,Annuaire_roster!$B:$J,9,0),Pointage_brut!$A:$A,TEXT($Q68,"yyyymmdd")*1),1)),"")</f>
        <v/>
      </c>
      <c r="D68" s="25" t="n">
        <f aca="false" t="array" ref="D68:D68">IFERROR(INDEX(Planning2[],MATCH(1,(Planning2[Nom]=B68)*(Planning2[Date]=Q68),0),3),"-")</f>
        <v>0.291666666666667</v>
      </c>
      <c r="E68" s="26" t="str">
        <f aca="false">IFERROR(IF(COUNTIFS(Pointage_brut!$E:$E,VLOOKUP($B68,Annuaire_roster!$B:$J,9,0),Pointage_brut!$A:$A,TEXT($Q68,"yyyymmdd")*1)=0,"",MOD(_xlfn.MAXIFS(Pointage_brut!$G:$G,Pointage_brut!$E:$E,VLOOKUP($B68,Annuaire_roster!$B:$J,9,0),Pointage_brut!$A:$A,TEXT($Q68,"yyyymmdd")*1),1)),"")</f>
        <v/>
      </c>
      <c r="F68" s="27" t="n">
        <f aca="false" t="array" ref="F68:F68">IFERROR(INDEX(Planning2[],MATCH(1,(Planning2[Nom]=B68)*(Planning2[Date]=Q68),0),4),"-")</f>
        <v>0.666666666666667</v>
      </c>
      <c r="G68" s="28"/>
      <c r="H68" s="28"/>
      <c r="I68" s="29" t="str">
        <f aca="false">IF(IF(OR(C68="",D68="Congé",D68="OFF",D68="Congé spécial"),"",IF(D68&gt;F68,D68-C68,IF(C68-D68&lt;0,0,C68-D68)))&lt;0.00068287037037037,"",IF(OR(D68="Congé",D68="OFF",C68="",D68="Congé spécial"),"",IF(D68&gt;F68,D68-C68,IF(C68-D68&lt;0,0,C68-D68))))</f>
        <v/>
      </c>
      <c r="J68" s="28"/>
      <c r="K68" s="30" t="n">
        <f aca="false">IF(SUM(H68:J68)&lt;0.00068287037037037,0,SUM(H68:J68))</f>
        <v>0</v>
      </c>
      <c r="L68" s="28" t="n">
        <f aca="false">IF(OR(F68="Congé",F68="OFF",M68="Abs",F68="Congé sans solde",F68="Férié",F68="Congé spécial",D68="Congé spécial"),0,IF(F68-E68&lt;0,0,IF(F68-E68&lt;=0.00068287037037037,0,F68-E68)))</f>
        <v>0</v>
      </c>
      <c r="M68" s="31" t="str">
        <f aca="false">IF(AND(O68&lt;&gt;0,C68=""),"Abs",0)</f>
        <v>Abs</v>
      </c>
      <c r="N68" s="32" t="str">
        <f aca="false">IFERROR(IF(OR(D68="OFF",D68="Congé",M68="Abs",D68="Congé sans solde",D68="Férié"),"",IF(O68-K68-L68&gt;O68,O68,IF(O68-K68-L68&lt;0,"",O68-K68-L68))),"")</f>
        <v/>
      </c>
      <c r="O68" s="33" t="n">
        <f aca="false">IF(AG68="2H Pause déjeuner",IF(F68-D68-0.0833333333333333&lt;0,F68-D68-0.0833333333333333+1,F68-D68-0.0833333333333333),IF(OR(AND(F68="OFF",D68="OFF"),AND(F68="Congé",D68="Congé"),AND(F68="Congé sans solde",D68="Congé sans solde"),AND(F68="Congé spécial",D68="Congé spécial"),AND(F68="Férié",D68="Férié"),AND(F68="OFF",D68="Congé"),AND(F68="OFF",D68="Congé sans solde"),AND(F68="OFF",D68="Congé spécial"),AND(F68="OFF",D68="Férié"),AND(F68="Congé",D68="OFF"),AND(F68="Congé",D68="Congé sans solde"),AND(F68="Congé",D68="Congé spécial"),AND(F68="Congé",D68="Férié"),AND(F68="Congé sans solde",D68="OFF"),AND(F68="Congé sans solde",D68="Congé"),AND(F68="Congé sans solde",D68="Congé spécial"),AND(F68="Congé sans solde",D68="Férié"),AND(F68="Congé spécial",D68="OFF"),AND(F68="Congé spécial",D68="Congé"),AND(F68="Congé spécial",D68="Congé sans solde"),AND(F68="Congé spécial",D68="Férié"),AND(F68="Férié",D68="OFF"),AND(F68="Férié",D68="Congé"),AND(F68="Férié",D68="Congé sans solde"),AND(F68="Férié",D68="Congé spécial")),0,IF(OR(F68="OFF",F68="Congé",F68="Congé spécial",F68="Congé sans solde",D68="OFF",D68="Congé",D68="Congé spécial",D68="Congé sans solde"),0.208333333333334,IF(AND(AG68="",F68-D68&lt;0),("24:00:00"-D68)+("00:00:00"+F68)-0.0416666666666667,IF(AND(OR(AG68="Allaitement",AG68="Sans déjeuner"),F68-D68&lt;0),("24:00:00"-D68)+("00:00:00"+F68),IF(AND(AG68="",F68-D68&gt;0.166666666666667),F68-D68-0.0416666666666667,IF(AND(OR(AG68="Allaitement",AG68="Sans déjeuner"),F68-D68&gt;0.166666666666667),F68-D68,F68-D68)))))))</f>
        <v>0.333333333333333</v>
      </c>
      <c r="P68" s="34" t="str">
        <f aca="false">IFERROR(VLOOKUP($B68,Annuaire_roster!$B:$G,MATCH(P$1,Annuaire_roster!$B$1:$G$1,0),0),"-")</f>
        <v>Google Leads</v>
      </c>
      <c r="Q68" s="35" t="n">
        <v>44719</v>
      </c>
      <c r="R68" s="36" t="n">
        <f aca="false">IF(M68="Abs",O68,0)</f>
        <v>0.333333333333333</v>
      </c>
      <c r="S68" s="36" t="n">
        <f aca="false">SUM(R68,L68,I68,J68,W68,H68)</f>
        <v>0.333333333333333</v>
      </c>
      <c r="T68" s="1" t="str">
        <f aca="false">"Sem - "&amp;WEEKNUM(Q68,21)</f>
        <v>Sem - 24</v>
      </c>
      <c r="U68" s="1" t="str">
        <f aca="false">PROPER(TEXT(Q68,"mmmm"))</f>
        <v>June</v>
      </c>
      <c r="V68" s="37" t="str">
        <f aca="false">+TEXT(Q68,"aaa")</f>
        <v>Mon</v>
      </c>
      <c r="W68" s="32"/>
      <c r="X68" s="38" t="n">
        <f aca="false">IFERROR(IF(M68="Abs",0,IF((D68-C68+E68-F68)&lt;0.000694444444444444,0,(D68-C68+E68-F68))),0)</f>
        <v>0</v>
      </c>
      <c r="Y68" s="39" t="str">
        <f aca="false">IFERROR(VLOOKUP(B68,Annuaire_roster!B:E,4,0),"-")</f>
        <v>CHOUIFI Mustapha</v>
      </c>
      <c r="Z68" s="39" t="str">
        <f aca="false">IFERROR(VLOOKUP(B68,Annuaire_roster!B:F,3,0),"-")</f>
        <v>Google Leads</v>
      </c>
      <c r="AA68" s="39" t="str">
        <f aca="false">IFERROR(VLOOKUP(B68,Annuaire_roster!B:I,6,0),"-")</f>
        <v>Forfaitaire</v>
      </c>
      <c r="AB68" s="40" t="str">
        <f aca="false">IF(AND(D68="Congé",F68="Congé"),0.333333333333333,IF(OR(AND(D68="Congé",F68&lt;&gt;"Congé"),(AND(F68="Congé",D68&lt;&gt;"Congé"))),0.166666666666667,""))</f>
        <v/>
      </c>
      <c r="AC68" s="40" t="str">
        <f aca="false">IF(AND(D68="Congé sans solde",F68="Congé sans solde"),0.333333333333333,IF(OR(AND(D68="Congé sans solde",F68&lt;&gt;"Congé sans solde"),(AND(F68="Congé sans solde",D68&lt;&gt;"Congé sans solde"))),0.166666666666667,""))</f>
        <v/>
      </c>
      <c r="AD68" s="40" t="str">
        <f aca="false">IF(AND(D68="Congé spécial",F68="Congé spécial"),0.333333333333333,IF(OR(AND(D68="Congé spécial",F68&lt;&gt;"Congé décès"),(AND(F68="Congé spécial",D68&lt;&gt;"Congé spécial"))),0.166666666666667,""))</f>
        <v/>
      </c>
      <c r="AE68" s="41" t="str">
        <f aca="false">IF(AND(D68="Férié",F68="Férié"),0.333333333333333,IF(OR(AND(D68="Férié",F68&lt;&gt;"Férié"),(AND(F68="Férié",D68&lt;&gt;"Férié"))),0.166666666666667,""))</f>
        <v/>
      </c>
      <c r="AF68" s="41"/>
      <c r="AG68" s="36"/>
    </row>
    <row r="69" customFormat="false" ht="12.75" hidden="true" customHeight="true" outlineLevel="0" collapsed="false">
      <c r="A69" s="22" t="n">
        <f aca="false">VLOOKUP(B69,Annuaire_roster!B:F,5,0)</f>
        <v>0</v>
      </c>
      <c r="B69" s="23" t="s">
        <v>35</v>
      </c>
      <c r="C69" s="24" t="str">
        <f aca="false">IFERROR(IF(COUNTIFS(Pointage_brut!$E:$E,VLOOKUP($B69,Annuaire_roster!$B:$J,9,0),Pointage_brut!$A:$A,TEXT($Q69,"yyyymmdd")*1)=0,"",MOD(_xlfn.MINIFS(Pointage_brut!$F:$F,Pointage_brut!$E:$E,VLOOKUP($B69,Annuaire_roster!$B:$J,9,0),Pointage_brut!$A:$A,TEXT($Q69,"yyyymmdd")*1),1)),"")</f>
        <v/>
      </c>
      <c r="D69" s="25" t="n">
        <f aca="false" t="array" ref="D69:D69">IFERROR(INDEX(Planning2[],MATCH(1,(Planning2[Nom]=B69)*(Planning2[Date]=Q69),0),3),"-")</f>
        <v>0.291666666666667</v>
      </c>
      <c r="E69" s="26" t="str">
        <f aca="false">IFERROR(IF(COUNTIFS(Pointage_brut!$E:$E,VLOOKUP($B69,Annuaire_roster!$B:$J,9,0),Pointage_brut!$A:$A,TEXT($Q69,"yyyymmdd")*1)=0,"",MOD(_xlfn.MAXIFS(Pointage_brut!$G:$G,Pointage_brut!$E:$E,VLOOKUP($B69,Annuaire_roster!$B:$J,9,0),Pointage_brut!$A:$A,TEXT($Q69,"yyyymmdd")*1),1)),"")</f>
        <v/>
      </c>
      <c r="F69" s="27" t="n">
        <f aca="false" t="array" ref="F69:F69">IFERROR(INDEX(Planning2[],MATCH(1,(Planning2[Nom]=B69)*(Planning2[Date]=Q69),0),4),"-")</f>
        <v>0.708333333333333</v>
      </c>
      <c r="G69" s="28"/>
      <c r="H69" s="28"/>
      <c r="I69" s="29" t="str">
        <f aca="false">IF(IF(OR(C69="",D69="Congé",D69="OFF",D69="Congé spécial"),"",IF(D69&gt;F69,D69-C69,IF(C69-D69&lt;0,0,C69-D69)))&lt;0.00068287037037037,"",IF(OR(D69="Congé",D69="OFF",C69="",D69="Congé spécial"),"",IF(D69&gt;F69,D69-C69,IF(C69-D69&lt;0,0,C69-D69))))</f>
        <v/>
      </c>
      <c r="J69" s="28"/>
      <c r="K69" s="30" t="n">
        <f aca="false">IF(SUM(H69:J69)&lt;0.00068287037037037,0,SUM(H69:J69))</f>
        <v>0</v>
      </c>
      <c r="L69" s="28" t="n">
        <f aca="false">IF(OR(F69="Congé",F69="OFF",M69="Abs",F69="Congé sans solde",F69="Férié",F69="Congé spécial",D69="Congé spécial"),0,IF(F69-E69&lt;0,0,IF(F69-E69&lt;=0.00068287037037037,0,F69-E69)))</f>
        <v>0</v>
      </c>
      <c r="M69" s="31" t="str">
        <f aca="false">IF(AND(O69&lt;&gt;0,C69=""),"Abs",0)</f>
        <v>Abs</v>
      </c>
      <c r="N69" s="32" t="str">
        <f aca="false">IFERROR(IF(OR(D69="OFF",D69="Congé",M69="Abs",D69="Congé sans solde",D69="Férié"),"",IF(O69-K69-L69&gt;O69,O69,IF(O69-K69-L69&lt;0,"",O69-K69-L69))),"")</f>
        <v/>
      </c>
      <c r="O69" s="33" t="n">
        <f aca="false">IF(AG69="2H Pause déjeuner",IF(F69-D69-0.0833333333333333&lt;0,F69-D69-0.0833333333333333+1,F69-D69-0.0833333333333333),IF(OR(AND(F69="OFF",D69="OFF"),AND(F69="Congé",D69="Congé"),AND(F69="Congé sans solde",D69="Congé sans solde"),AND(F69="Congé spécial",D69="Congé spécial"),AND(F69="Férié",D69="Férié"),AND(F69="OFF",D69="Congé"),AND(F69="OFF",D69="Congé sans solde"),AND(F69="OFF",D69="Congé spécial"),AND(F69="OFF",D69="Férié"),AND(F69="Congé",D69="OFF"),AND(F69="Congé",D69="Congé sans solde"),AND(F69="Congé",D69="Congé spécial"),AND(F69="Congé",D69="Férié"),AND(F69="Congé sans solde",D69="OFF"),AND(F69="Congé sans solde",D69="Congé"),AND(F69="Congé sans solde",D69="Congé spécial"),AND(F69="Congé sans solde",D69="Férié"),AND(F69="Congé spécial",D69="OFF"),AND(F69="Congé spécial",D69="Congé"),AND(F69="Congé spécial",D69="Congé sans solde"),AND(F69="Congé spécial",D69="Férié"),AND(F69="Férié",D69="OFF"),AND(F69="Férié",D69="Congé"),AND(F69="Férié",D69="Congé sans solde"),AND(F69="Férié",D69="Congé spécial")),0,IF(OR(F69="OFF",F69="Congé",F69="Congé spécial",F69="Congé sans solde",D69="OFF",D69="Congé",D69="Congé spécial",D69="Congé sans solde"),0.208333333333334,IF(AND(AG69="",F69-D69&lt;0),("24:00:00"-D69)+("00:00:00"+F69)-0.0416666666666667,IF(AND(OR(AG69="Allaitement",AG69="Sans déjeuner"),F69-D69&lt;0),("24:00:00"-D69)+("00:00:00"+F69),IF(AND(AG69="",F69-D69&gt;0.166666666666667),F69-D69-0.0416666666666667,IF(AND(OR(AG69="Allaitement",AG69="Sans déjeuner"),F69-D69&gt;0.166666666666667),F69-D69,F69-D69)))))))</f>
        <v>0.375</v>
      </c>
      <c r="P69" s="34" t="str">
        <f aca="false">IFERROR(VLOOKUP($B69,Annuaire_roster!$B:$G,MATCH(P$1,Annuaire_roster!$B$1:$G$1,0),0),"-")</f>
        <v>Google Leads</v>
      </c>
      <c r="Q69" s="35" t="n">
        <v>44719</v>
      </c>
      <c r="R69" s="36" t="n">
        <f aca="false">IF(M69="Abs",O69,0)</f>
        <v>0.375</v>
      </c>
      <c r="S69" s="36" t="n">
        <f aca="false">SUM(R69,L69,I69,J69,W69,H69)</f>
        <v>0.375</v>
      </c>
      <c r="T69" s="1" t="str">
        <f aca="false">"Sem - "&amp;WEEKNUM(Q69,21)</f>
        <v>Sem - 24</v>
      </c>
      <c r="U69" s="1" t="str">
        <f aca="false">PROPER(TEXT(Q69,"mmmm"))</f>
        <v>June</v>
      </c>
      <c r="V69" s="37" t="str">
        <f aca="false">+TEXT(Q69,"aaa")</f>
        <v>Mon</v>
      </c>
      <c r="W69" s="32"/>
      <c r="X69" s="38" t="n">
        <f aca="false">IFERROR(IF(M69="Abs",0,IF((D69-C69+E69-F69)&lt;0.000694444444444444,0,(D69-C69+E69-F69))),0)</f>
        <v>0</v>
      </c>
      <c r="Y69" s="39" t="n">
        <f aca="false">IFERROR(VLOOKUP(B69,Annuaire_roster!B:E,4,0),"-")</f>
        <v>0</v>
      </c>
      <c r="Z69" s="39" t="str">
        <f aca="false">IFERROR(VLOOKUP(B69,Annuaire_roster!B:F,3,0),"-")</f>
        <v>Google Leads</v>
      </c>
      <c r="AA69" s="39" t="n">
        <f aca="false">IFERROR(VLOOKUP(B69,Annuaire_roster!B:I,6,0),"-")</f>
        <v>0</v>
      </c>
      <c r="AB69" s="40" t="str">
        <f aca="false">IF(AND(D69="Congé",F69="Congé"),0.333333333333333,IF(OR(AND(D69="Congé",F69&lt;&gt;"Congé"),(AND(F69="Congé",D69&lt;&gt;"Congé"))),0.166666666666667,""))</f>
        <v/>
      </c>
      <c r="AC69" s="40" t="str">
        <f aca="false">IF(AND(D69="Congé sans solde",F69="Congé sans solde"),0.333333333333333,IF(OR(AND(D69="Congé sans solde",F69&lt;&gt;"Congé sans solde"),(AND(F69="Congé sans solde",D69&lt;&gt;"Congé sans solde"))),0.166666666666667,""))</f>
        <v/>
      </c>
      <c r="AD69" s="40" t="str">
        <f aca="false">IF(AND(D69="Congé spécial",F69="Congé spécial"),0.333333333333333,IF(OR(AND(D69="Congé spécial",F69&lt;&gt;"Congé décès"),(AND(F69="Congé spécial",D69&lt;&gt;"Congé spécial"))),0.166666666666667,""))</f>
        <v/>
      </c>
      <c r="AE69" s="41" t="str">
        <f aca="false">IF(AND(D69="Férié",F69="Férié"),0.333333333333333,IF(OR(AND(D69="Férié",F69&lt;&gt;"Férié"),(AND(F69="Férié",D69&lt;&gt;"Férié"))),0.166666666666667,""))</f>
        <v/>
      </c>
      <c r="AF69" s="41"/>
      <c r="AG69" s="36"/>
    </row>
    <row r="70" s="42" customFormat="true" ht="12.75" hidden="true" customHeight="true" outlineLevel="0" collapsed="false">
      <c r="A70" s="22" t="n">
        <f aca="false">VLOOKUP(B70,Annuaire_roster!B:F,5,0)</f>
        <v>0</v>
      </c>
      <c r="B70" s="23" t="s">
        <v>46</v>
      </c>
      <c r="C70" s="24" t="str">
        <f aca="false">IFERROR(IF(COUNTIFS(Pointage_brut!$E:$E,VLOOKUP($B70,Annuaire_roster!$B:$J,9,0),Pointage_brut!$A:$A,TEXT($Q70,"yyyymmdd")*1)=0,"",MOD(_xlfn.MINIFS(Pointage_brut!$F:$F,Pointage_brut!$E:$E,VLOOKUP($B70,Annuaire_roster!$B:$J,9,0),Pointage_brut!$A:$A,TEXT($Q70,"yyyymmdd")*1),1)),"")</f>
        <v/>
      </c>
      <c r="D70" s="25" t="n">
        <f aca="false" t="array" ref="D70:D70">IFERROR(INDEX(Planning2[],MATCH(1,(Planning2[Nom]=B70)*(Planning2[Date]=Q70),0),3),"-")</f>
        <v>0.291666666666667</v>
      </c>
      <c r="E70" s="26" t="str">
        <f aca="false">IFERROR(IF(COUNTIFS(Pointage_brut!$E:$E,VLOOKUP($B70,Annuaire_roster!$B:$J,9,0),Pointage_brut!$A:$A,TEXT($Q70,"yyyymmdd")*1)=0,"",MOD(_xlfn.MAXIFS(Pointage_brut!$G:$G,Pointage_brut!$E:$E,VLOOKUP($B70,Annuaire_roster!$B:$J,9,0),Pointage_brut!$A:$A,TEXT($Q70,"yyyymmdd")*1),1)),"")</f>
        <v/>
      </c>
      <c r="F70" s="27" t="n">
        <f aca="false" t="array" ref="F70:F70">IFERROR(INDEX(Planning2[],MATCH(1,(Planning2[Nom]=B70)*(Planning2[Date]=Q70),0),4),"-")</f>
        <v>0.708333333333333</v>
      </c>
      <c r="G70" s="28"/>
      <c r="H70" s="28"/>
      <c r="I70" s="29" t="str">
        <f aca="false">IF(IF(OR(C70="",D70="Congé",D70="OFF",D70="Congé spécial"),"",IF(D70&gt;F70,D70-C70,IF(C70-D70&lt;0,0,C70-D70)))&lt;0.00068287037037037,"",IF(OR(D70="Congé",D70="OFF",C70="",D70="Congé spécial"),"",IF(D70&gt;F70,D70-C70,IF(C70-D70&lt;0,0,C70-D70))))</f>
        <v/>
      </c>
      <c r="J70" s="28"/>
      <c r="K70" s="30" t="n">
        <f aca="false">IF(SUM(H70:J70)&lt;0.00068287037037037,0,SUM(H70:J70))</f>
        <v>0</v>
      </c>
      <c r="L70" s="28" t="n">
        <f aca="false">IF(OR(F70="Congé",F70="OFF",M70="Abs",F70="Congé sans solde",F70="Férié",F70="Congé spécial",D70="Congé spécial"),0,IF(F70-E70&lt;0,0,IF(F70-E70&lt;=0.00068287037037037,0,F70-E70)))</f>
        <v>0</v>
      </c>
      <c r="M70" s="31" t="str">
        <f aca="false">IF(AND(O70&lt;&gt;0,C70=""),"Abs",0)</f>
        <v>Abs</v>
      </c>
      <c r="N70" s="32" t="str">
        <f aca="false">IFERROR(IF(OR(D70="OFF",D70="Congé",M70="Abs",D70="Congé sans solde",D70="Férié"),"",IF(O70-K70-L70&gt;O70,O70,IF(O70-K70-L70&lt;0,"",O70-K70-L70))),"")</f>
        <v/>
      </c>
      <c r="O70" s="33" t="n">
        <f aca="false">IF(AG70="2H Pause déjeuner",IF(F70-D70-0.0833333333333333&lt;0,F70-D70-0.0833333333333333+1,F70-D70-0.0833333333333333),IF(OR(AND(F70="OFF",D70="OFF"),AND(F70="Congé",D70="Congé"),AND(F70="Congé sans solde",D70="Congé sans solde"),AND(F70="Congé spécial",D70="Congé spécial"),AND(F70="Férié",D70="Férié"),AND(F70="OFF",D70="Congé"),AND(F70="OFF",D70="Congé sans solde"),AND(F70="OFF",D70="Congé spécial"),AND(F70="OFF",D70="Férié"),AND(F70="Congé",D70="OFF"),AND(F70="Congé",D70="Congé sans solde"),AND(F70="Congé",D70="Congé spécial"),AND(F70="Congé",D70="Férié"),AND(F70="Congé sans solde",D70="OFF"),AND(F70="Congé sans solde",D70="Congé"),AND(F70="Congé sans solde",D70="Congé spécial"),AND(F70="Congé sans solde",D70="Férié"),AND(F70="Congé spécial",D70="OFF"),AND(F70="Congé spécial",D70="Congé"),AND(F70="Congé spécial",D70="Congé sans solde"),AND(F70="Congé spécial",D70="Férié"),AND(F70="Férié",D70="OFF"),AND(F70="Férié",D70="Congé"),AND(F70="Férié",D70="Congé sans solde"),AND(F70="Férié",D70="Congé spécial")),0,IF(OR(F70="OFF",F70="Congé",F70="Congé spécial",F70="Congé sans solde",D70="OFF",D70="Congé",D70="Congé spécial",D70="Congé sans solde"),0.208333333333334,IF(AND(AG70="",F70-D70&lt;0),("24:00:00"-D70)+("00:00:00"+F70)-0.0416666666666667,IF(AND(OR(AG70="Allaitement",AG70="Sans déjeuner"),F70-D70&lt;0),("24:00:00"-D70)+("00:00:00"+F70),IF(AND(AG70="",F70-D70&gt;0.166666666666667),F70-D70-0.0416666666666667,IF(AND(OR(AG70="Allaitement",AG70="Sans déjeuner"),F70-D70&gt;0.166666666666667),F70-D70,F70-D70)))))))</f>
        <v>0.375</v>
      </c>
      <c r="P70" s="34" t="str">
        <f aca="false">IFERROR(VLOOKUP($B70,Annuaire_roster!$B:$G,MATCH(P$1,Annuaire_roster!$B$1:$G$1,0),0),"-")</f>
        <v>Google Leads</v>
      </c>
      <c r="Q70" s="35" t="n">
        <v>44719</v>
      </c>
      <c r="R70" s="36" t="n">
        <f aca="false">IF(M70="Abs",O70,0)</f>
        <v>0.375</v>
      </c>
      <c r="S70" s="36" t="n">
        <f aca="false">SUM(R70,L70,I70,J70,W70,H70)</f>
        <v>0.375</v>
      </c>
      <c r="T70" s="1" t="str">
        <f aca="false">"Sem - "&amp;WEEKNUM(Q70,21)</f>
        <v>Sem - 24</v>
      </c>
      <c r="U70" s="1" t="str">
        <f aca="false">PROPER(TEXT(Q70,"mmmm"))</f>
        <v>June</v>
      </c>
      <c r="V70" s="37" t="str">
        <f aca="false">+TEXT(Q70,"aaa")</f>
        <v>Mon</v>
      </c>
      <c r="W70" s="32"/>
      <c r="X70" s="38" t="n">
        <f aca="false">IFERROR(IF(M70="Abs",0,IF((D70-C70+E70-F70)&lt;0.000694444444444444,0,(D70-C70+E70-F70))),0)</f>
        <v>0</v>
      </c>
      <c r="Y70" s="39" t="n">
        <f aca="false">IFERROR(VLOOKUP(B70,Annuaire_roster!B:E,4,0),"-")</f>
        <v>0</v>
      </c>
      <c r="Z70" s="39" t="str">
        <f aca="false">IFERROR(VLOOKUP(B70,Annuaire_roster!B:F,3,0),"-")</f>
        <v>Google Leads</v>
      </c>
      <c r="AA70" s="39" t="n">
        <f aca="false">IFERROR(VLOOKUP(B70,Annuaire_roster!B:I,6,0),"-")</f>
        <v>0</v>
      </c>
      <c r="AB70" s="40" t="str">
        <f aca="false">IF(AND(D70="Congé",F70="Congé"),0.333333333333333,IF(OR(AND(D70="Congé",F70&lt;&gt;"Congé"),(AND(F70="Congé",D70&lt;&gt;"Congé"))),0.166666666666667,""))</f>
        <v/>
      </c>
      <c r="AC70" s="40" t="str">
        <f aca="false">IF(AND(D70="Congé sans solde",F70="Congé sans solde"),0.333333333333333,IF(OR(AND(D70="Congé sans solde",F70&lt;&gt;"Congé sans solde"),(AND(F70="Congé sans solde",D70&lt;&gt;"Congé sans solde"))),0.166666666666667,""))</f>
        <v/>
      </c>
      <c r="AD70" s="40" t="str">
        <f aca="false">IF(AND(D70="Congé spécial",F70="Congé spécial"),0.333333333333333,IF(OR(AND(D70="Congé spécial",F70&lt;&gt;"Congé décès"),(AND(F70="Congé spécial",D70&lt;&gt;"Congé spécial"))),0.166666666666667,""))</f>
        <v/>
      </c>
      <c r="AE70" s="41" t="str">
        <f aca="false">IF(AND(D70="Férié",F70="Férié"),0.333333333333333,IF(OR(AND(D70="Férié",F70&lt;&gt;"Férié"),(AND(F70="Férié",D70&lt;&gt;"Férié"))),0.166666666666667,""))</f>
        <v/>
      </c>
      <c r="AF70" s="49"/>
      <c r="AG70" s="36"/>
    </row>
    <row r="71" customFormat="false" ht="12.75" hidden="true" customHeight="true" outlineLevel="0" collapsed="false">
      <c r="A71" s="22" t="n">
        <f aca="false">VLOOKUP(B71,Annuaire_roster!B:F,5,0)</f>
        <v>0</v>
      </c>
      <c r="B71" s="23" t="s">
        <v>36</v>
      </c>
      <c r="C71" s="24" t="str">
        <f aca="false">IFERROR(IF(COUNTIFS(Pointage_brut!$E:$E,VLOOKUP($B71,Annuaire_roster!$B:$J,9,0),Pointage_brut!$A:$A,TEXT($Q71,"yyyymmdd")*1)=0,"",MOD(_xlfn.MINIFS(Pointage_brut!$F:$F,Pointage_brut!$E:$E,VLOOKUP($B71,Annuaire_roster!$B:$J,9,0),Pointage_brut!$A:$A,TEXT($Q71,"yyyymmdd")*1),1)),"")</f>
        <v/>
      </c>
      <c r="D71" s="25" t="n">
        <f aca="false" t="array" ref="D71:D71">IFERROR(INDEX(Planning2[],MATCH(1,(Planning2[Nom]=B71)*(Planning2[Date]=Q71),0),3),"-")</f>
        <v>0.291666666666667</v>
      </c>
      <c r="E71" s="26" t="str">
        <f aca="false">IFERROR(IF(COUNTIFS(Pointage_brut!$E:$E,VLOOKUP($B71,Annuaire_roster!$B:$J,9,0),Pointage_brut!$A:$A,TEXT($Q71,"yyyymmdd")*1)=0,"",MOD(_xlfn.MAXIFS(Pointage_brut!$G:$G,Pointage_brut!$E:$E,VLOOKUP($B71,Annuaire_roster!$B:$J,9,0),Pointage_brut!$A:$A,TEXT($Q71,"yyyymmdd")*1),1)),"")</f>
        <v/>
      </c>
      <c r="F71" s="27" t="n">
        <f aca="false" t="array" ref="F71:F71">IFERROR(INDEX(Planning2[],MATCH(1,(Planning2[Nom]=B71)*(Planning2[Date]=Q71),0),4),"-")</f>
        <v>0.666666666666667</v>
      </c>
      <c r="G71" s="28"/>
      <c r="H71" s="28"/>
      <c r="I71" s="29" t="str">
        <f aca="false">IF(IF(OR(C71="",D71="Congé",D71="OFF",D71="Congé spécial"),"",IF(D71&gt;F71,D71-C71,IF(C71-D71&lt;0,0,C71-D71)))&lt;0.00068287037037037,"",IF(OR(D71="Congé",D71="OFF",C71="",D71="Congé spécial"),"",IF(D71&gt;F71,D71-C71,IF(C71-D71&lt;0,0,C71-D71))))</f>
        <v/>
      </c>
      <c r="J71" s="28"/>
      <c r="K71" s="30" t="n">
        <f aca="false">IF(SUM(H71:J71)&lt;0.00068287037037037,0,SUM(H71:J71))</f>
        <v>0</v>
      </c>
      <c r="L71" s="28" t="n">
        <f aca="false">IF(OR(F71="Congé",F71="OFF",M71="Abs",F71="Congé sans solde",F71="Férié",F71="Congé spécial",D71="Congé spécial"),0,IF(F71-E71&lt;0,0,IF(F71-E71&lt;=0.00068287037037037,0,F71-E71)))</f>
        <v>0</v>
      </c>
      <c r="M71" s="31" t="str">
        <f aca="false">IF(AND(O71&lt;&gt;0,C71=""),"Abs",0)</f>
        <v>Abs</v>
      </c>
      <c r="N71" s="32" t="str">
        <f aca="false">IFERROR(IF(OR(D71="OFF",D71="Congé",M71="Abs",D71="Congé sans solde",D71="Férié"),"",IF(O71-K71-L71&gt;O71,O71,IF(O71-K71-L71&lt;0,"",O71-K71-L71))),"")</f>
        <v/>
      </c>
      <c r="O71" s="33" t="n">
        <f aca="false">IF(AG71="2H Pause déjeuner",IF(F71-D71-0.0833333333333333&lt;0,F71-D71-0.0833333333333333+1,F71-D71-0.0833333333333333),IF(OR(AND(F71="OFF",D71="OFF"),AND(F71="Congé",D71="Congé"),AND(F71="Congé sans solde",D71="Congé sans solde"),AND(F71="Congé spécial",D71="Congé spécial"),AND(F71="Férié",D71="Férié"),AND(F71="OFF",D71="Congé"),AND(F71="OFF",D71="Congé sans solde"),AND(F71="OFF",D71="Congé spécial"),AND(F71="OFF",D71="Férié"),AND(F71="Congé",D71="OFF"),AND(F71="Congé",D71="Congé sans solde"),AND(F71="Congé",D71="Congé spécial"),AND(F71="Congé",D71="Férié"),AND(F71="Congé sans solde",D71="OFF"),AND(F71="Congé sans solde",D71="Congé"),AND(F71="Congé sans solde",D71="Congé spécial"),AND(F71="Congé sans solde",D71="Férié"),AND(F71="Congé spécial",D71="OFF"),AND(F71="Congé spécial",D71="Congé"),AND(F71="Congé spécial",D71="Congé sans solde"),AND(F71="Congé spécial",D71="Férié"),AND(F71="Férié",D71="OFF"),AND(F71="Férié",D71="Congé"),AND(F71="Férié",D71="Congé sans solde"),AND(F71="Férié",D71="Congé spécial")),0,IF(OR(F71="OFF",F71="Congé",F71="Congé spécial",F71="Congé sans solde",D71="OFF",D71="Congé",D71="Congé spécial",D71="Congé sans solde"),0.208333333333334,IF(AND(AG71="",F71-D71&lt;0),("24:00:00"-D71)+("00:00:00"+F71)-0.0416666666666667,IF(AND(OR(AG71="Allaitement",AG71="Sans déjeuner"),F71-D71&lt;0),("24:00:00"-D71)+("00:00:00"+F71),IF(AND(AG71="",F71-D71&gt;0.166666666666667),F71-D71-0.0416666666666667,IF(AND(OR(AG71="Allaitement",AG71="Sans déjeuner"),F71-D71&gt;0.166666666666667),F71-D71,F71-D71)))))))</f>
        <v>0.333333333333333</v>
      </c>
      <c r="P71" s="34" t="str">
        <f aca="false">IFERROR(VLOOKUP($B71,Annuaire_roster!$B:$G,MATCH(P$1,Annuaire_roster!$B$1:$G$1,0),0),"-")</f>
        <v>Google Leads</v>
      </c>
      <c r="Q71" s="35" t="n">
        <v>44719</v>
      </c>
      <c r="R71" s="36" t="n">
        <f aca="false">IF(M71="Abs",O71,0)</f>
        <v>0.333333333333333</v>
      </c>
      <c r="S71" s="36" t="n">
        <f aca="false">SUM(R71,L71,I71,J71,W71,H71)</f>
        <v>0.333333333333333</v>
      </c>
      <c r="T71" s="1" t="str">
        <f aca="false">"Sem - "&amp;WEEKNUM(Q71,21)</f>
        <v>Sem - 24</v>
      </c>
      <c r="U71" s="1" t="str">
        <f aca="false">PROPER(TEXT(Q71,"mmmm"))</f>
        <v>June</v>
      </c>
      <c r="V71" s="37" t="str">
        <f aca="false">+TEXT(Q71,"aaa")</f>
        <v>Mon</v>
      </c>
      <c r="W71" s="32"/>
      <c r="X71" s="38" t="n">
        <f aca="false">IFERROR(IF(M71="Abs",0,IF((D71-C71+E71-F71)&lt;0.000694444444444444,0,(D71-C71+E71-F71))),0)</f>
        <v>0</v>
      </c>
      <c r="Y71" s="39" t="n">
        <f aca="false">IFERROR(VLOOKUP(B71,Annuaire_roster!B:E,4,0),"-")</f>
        <v>0</v>
      </c>
      <c r="Z71" s="39" t="str">
        <f aca="false">IFERROR(VLOOKUP(B71,Annuaire_roster!B:F,3,0),"-")</f>
        <v>Google Leads</v>
      </c>
      <c r="AA71" s="39" t="n">
        <f aca="false">IFERROR(VLOOKUP(B71,Annuaire_roster!B:I,6,0),"-")</f>
        <v>0</v>
      </c>
      <c r="AB71" s="40" t="str">
        <f aca="false">IF(AND(D71="Congé",F71="Congé"),0.333333333333333,IF(OR(AND(D71="Congé",F71&lt;&gt;"Congé"),(AND(F71="Congé",D71&lt;&gt;"Congé"))),0.166666666666667,""))</f>
        <v/>
      </c>
      <c r="AC71" s="40" t="str">
        <f aca="false">IF(AND(D71="Congé sans solde",F71="Congé sans solde"),0.333333333333333,IF(OR(AND(D71="Congé sans solde",F71&lt;&gt;"Congé sans solde"),(AND(F71="Congé sans solde",D71&lt;&gt;"Congé sans solde"))),0.166666666666667,""))</f>
        <v/>
      </c>
      <c r="AD71" s="40" t="str">
        <f aca="false">IF(AND(D71="Congé spécial",F71="Congé spécial"),0.333333333333333,IF(OR(AND(D71="Congé spécial",F71&lt;&gt;"Congé décès"),(AND(F71="Congé spécial",D71&lt;&gt;"Congé spécial"))),0.166666666666667,""))</f>
        <v/>
      </c>
      <c r="AE71" s="41" t="str">
        <f aca="false">IF(AND(D71="Férié",F71="Férié"),0.333333333333333,IF(OR(AND(D71="Férié",F71&lt;&gt;"Férié"),(AND(F71="Férié",D71&lt;&gt;"Férié"))),0.166666666666667,""))</f>
        <v/>
      </c>
      <c r="AF71" s="41"/>
      <c r="AG71" s="36"/>
    </row>
    <row r="72" customFormat="false" ht="12.75" hidden="true" customHeight="true" outlineLevel="0" collapsed="false">
      <c r="A72" s="43" t="n">
        <f aca="false">VLOOKUP(B72,Annuaire_roster!B:F,5,0)</f>
        <v>0</v>
      </c>
      <c r="B72" s="23" t="s">
        <v>42</v>
      </c>
      <c r="C72" s="24" t="str">
        <f aca="false">IFERROR(IF(COUNTIFS(Pointage_brut!$E:$E,VLOOKUP($B72,Annuaire_roster!$B:$J,9,0),Pointage_brut!$A:$A,TEXT($Q72,"yyyymmdd")*1)=0,"",MOD(_xlfn.MINIFS(Pointage_brut!$F:$F,Pointage_brut!$E:$E,VLOOKUP($B72,Annuaire_roster!$B:$J,9,0),Pointage_brut!$A:$A,TEXT($Q72,"yyyymmdd")*1),1)),"")</f>
        <v/>
      </c>
      <c r="D72" s="25" t="n">
        <f aca="false" t="array" ref="D72:D72">IFERROR(INDEX(Planning2[],MATCH(1,(Planning2[Nom]=B72)*(Planning2[Date]=Q72),0),3),"-")</f>
        <v>0.291666666666667</v>
      </c>
      <c r="E72" s="26" t="str">
        <f aca="false">IFERROR(IF(COUNTIFS(Pointage_brut!$E:$E,VLOOKUP($B72,Annuaire_roster!$B:$J,9,0),Pointage_brut!$A:$A,TEXT($Q72,"yyyymmdd")*1)=0,"",MOD(_xlfn.MAXIFS(Pointage_brut!$G:$G,Pointage_brut!$E:$E,VLOOKUP($B72,Annuaire_roster!$B:$J,9,0),Pointage_brut!$A:$A,TEXT($Q72,"yyyymmdd")*1),1)),"")</f>
        <v/>
      </c>
      <c r="F72" s="27" t="n">
        <f aca="false" t="array" ref="F72:F72">IFERROR(INDEX(Planning2[],MATCH(1,(Planning2[Nom]=B72)*(Planning2[Date]=Q72),0),4),"-")</f>
        <v>0.708333333333333</v>
      </c>
      <c r="G72" s="28"/>
      <c r="H72" s="28"/>
      <c r="I72" s="29" t="str">
        <f aca="false">IF(IF(OR(C72="",D72="Congé",D72="OFF",D72="Congé spécial"),"",IF(D72&gt;F72,D72-C72,IF(C72-D72&lt;0,0,C72-D72)))&lt;0.00068287037037037,"",IF(OR(D72="Congé",D72="OFF",C72="",D72="Congé spécial"),"",IF(D72&gt;F72,D72-C72,IF(C72-D72&lt;0,0,C72-D72))))</f>
        <v/>
      </c>
      <c r="J72" s="28"/>
      <c r="K72" s="30" t="n">
        <f aca="false">IF(SUM(H72:J72)&lt;0.00068287037037037,0,SUM(H72:J72))</f>
        <v>0</v>
      </c>
      <c r="L72" s="28" t="n">
        <f aca="false">IF(OR(F72="Congé",F72="OFF",M72="Abs",F72="Congé sans solde",F72="Férié",F72="Congé spécial",D72="Congé spécial"),0,IF(F72-E72&lt;0,0,IF(F72-E72&lt;=0.00068287037037037,0,F72-E72)))</f>
        <v>0</v>
      </c>
      <c r="M72" s="31" t="str">
        <f aca="false">IF(AND(O72&lt;&gt;0,C72=""),"Abs",0)</f>
        <v>Abs</v>
      </c>
      <c r="N72" s="44" t="str">
        <f aca="false">IFERROR(IF(OR(D72="OFF",D72="Congé",M72="Abs",D72="Congé sans solde",D72="Férié"),"",IF(O72-K72-L72&gt;O72,O72,IF(O72-K72-L72&lt;0,"",O72-K72-L72))),"")</f>
        <v/>
      </c>
      <c r="O72" s="33" t="n">
        <f aca="false">IF(AG72="2H Pause déjeuner",IF(F72-D72-0.0833333333333333&lt;0,F72-D72-0.0833333333333333+1,F72-D72-0.0833333333333333),IF(OR(AND(F72="OFF",D72="OFF"),AND(F72="Congé",D72="Congé"),AND(F72="Congé sans solde",D72="Congé sans solde"),AND(F72="Congé spécial",D72="Congé spécial"),AND(F72="Férié",D72="Férié"),AND(F72="OFF",D72="Congé"),AND(F72="OFF",D72="Congé sans solde"),AND(F72="OFF",D72="Congé spécial"),AND(F72="OFF",D72="Férié"),AND(F72="Congé",D72="OFF"),AND(F72="Congé",D72="Congé sans solde"),AND(F72="Congé",D72="Congé spécial"),AND(F72="Congé",D72="Férié"),AND(F72="Congé sans solde",D72="OFF"),AND(F72="Congé sans solde",D72="Congé"),AND(F72="Congé sans solde",D72="Congé spécial"),AND(F72="Congé sans solde",D72="Férié"),AND(F72="Congé spécial",D72="OFF"),AND(F72="Congé spécial",D72="Congé"),AND(F72="Congé spécial",D72="Congé sans solde"),AND(F72="Congé spécial",D72="Férié"),AND(F72="Férié",D72="OFF"),AND(F72="Férié",D72="Congé"),AND(F72="Férié",D72="Congé sans solde"),AND(F72="Férié",D72="Congé spécial")),0,IF(OR(F72="OFF",F72="Congé",F72="Congé spécial",F72="Congé sans solde",D72="OFF",D72="Congé",D72="Congé spécial",D72="Congé sans solde"),0.208333333333334,IF(AND(AG72="",F72-D72&lt;0),("24:00:00"-D72)+("00:00:00"+F72)-0.0416666666666667,IF(AND(OR(AG72="Allaitement",AG72="Sans déjeuner"),F72-D72&lt;0),("24:00:00"-D72)+("00:00:00"+F72),IF(AND(AG72="",F72-D72&gt;0.166666666666667),F72-D72-0.0416666666666667,IF(AND(OR(AG72="Allaitement",AG72="Sans déjeuner"),F72-D72&gt;0.166666666666667),F72-D72,F72-D72)))))))</f>
        <v>0.375</v>
      </c>
      <c r="P72" s="34" t="str">
        <f aca="false">IFERROR(VLOOKUP($B72,Annuaire_roster!$B:$G,MATCH(P$1,Annuaire_roster!$B$1:$G$1,0),0),"-")</f>
        <v>Google Leads</v>
      </c>
      <c r="Q72" s="45" t="n">
        <v>44719</v>
      </c>
      <c r="R72" s="40" t="n">
        <f aca="false">IF(M72="Abs",O72,0)</f>
        <v>0.375</v>
      </c>
      <c r="S72" s="40" t="n">
        <f aca="false">SUM(R72,L72,I72,J72,W72,H72)</f>
        <v>0.375</v>
      </c>
      <c r="T72" s="1" t="str">
        <f aca="false">"Sem - "&amp;WEEKNUM(Q72,21)</f>
        <v>Sem - 24</v>
      </c>
      <c r="U72" s="1" t="str">
        <f aca="false">PROPER(TEXT(Q72,"mmmm"))</f>
        <v>June</v>
      </c>
      <c r="V72" s="46" t="str">
        <f aca="false">+TEXT(Q72,"aaa")</f>
        <v>Mon</v>
      </c>
      <c r="W72" s="44"/>
      <c r="X72" s="47" t="n">
        <f aca="false">IFERROR(IF(M72="Abs",0,IF((D72-C72+E72-F72)&lt;0.000694444444444444,0,(D72-C72+E72-F72))),0)</f>
        <v>0</v>
      </c>
      <c r="Y72" s="48" t="n">
        <f aca="false">IFERROR(VLOOKUP(B72,Annuaire_roster!B:E,4,0),"-")</f>
        <v>0</v>
      </c>
      <c r="Z72" s="48" t="str">
        <f aca="false">IFERROR(VLOOKUP(B72,Annuaire_roster!B:F,3,0),"-")</f>
        <v>Google Leads</v>
      </c>
      <c r="AA72" s="48" t="n">
        <f aca="false">IFERROR(VLOOKUP(B72,Annuaire_roster!B:I,6,0),"-")</f>
        <v>0</v>
      </c>
      <c r="AB72" s="40" t="str">
        <f aca="false">IF(AND(D72="Congé",F72="Congé"),0.333333333333333,IF(OR(AND(D72="Congé",F72&lt;&gt;"Congé"),(AND(F72="Congé",D72&lt;&gt;"Congé"))),0.166666666666667,""))</f>
        <v/>
      </c>
      <c r="AC72" s="40" t="str">
        <f aca="false">IF(AND(D72="Congé sans solde",F72="Congé sans solde"),0.333333333333333,IF(OR(AND(D72="Congé sans solde",F72&lt;&gt;"Congé sans solde"),(AND(F72="Congé sans solde",D72&lt;&gt;"Congé sans solde"))),0.166666666666667,""))</f>
        <v/>
      </c>
      <c r="AD72" s="40" t="str">
        <f aca="false">IF(AND(D72="Congé spécial",F72="Congé spécial"),0.333333333333333,IF(OR(AND(D72="Congé spécial",F72&lt;&gt;"Congé décès"),(AND(F72="Congé spécial",D72&lt;&gt;"Congé spécial"))),0.166666666666667,""))</f>
        <v/>
      </c>
      <c r="AE72" s="49" t="str">
        <f aca="false">IF(AND(D72="Férié",F72="Férié"),0.333333333333333,IF(OR(AND(D72="Férié",F72&lt;&gt;"Férié"),(AND(F72="Férié",D72&lt;&gt;"Férié"))),0.166666666666667,""))</f>
        <v/>
      </c>
      <c r="AF72" s="49"/>
      <c r="AG72" s="40"/>
    </row>
    <row r="73" customFormat="false" ht="12.75" hidden="true" customHeight="true" outlineLevel="0" collapsed="false">
      <c r="A73" s="22" t="n">
        <f aca="false">VLOOKUP(B73,Annuaire_roster!B:F,5,0)</f>
        <v>1274</v>
      </c>
      <c r="B73" s="23" t="s">
        <v>54</v>
      </c>
      <c r="C73" s="24" t="str">
        <f aca="false">IFERROR(IF(COUNTIFS(Pointage_brut!$E:$E,VLOOKUP($B73,Annuaire_roster!$B:$J,9,0),Pointage_brut!$A:$A,TEXT($Q73,"yyyymmdd")*1)=0,"",MOD(_xlfn.MINIFS(Pointage_brut!$F:$F,Pointage_brut!$E:$E,VLOOKUP($B73,Annuaire_roster!$B:$J,9,0),Pointage_brut!$A:$A,TEXT($Q73,"yyyymmdd")*1),1)),"")</f>
        <v/>
      </c>
      <c r="D73" s="25" t="n">
        <f aca="false" t="array" ref="D73:D73">IFERROR(INDEX(Planning2[],MATCH(1,(Planning2[Nom]=B73)*(Planning2[Date]=Q73),0),3),"-")</f>
        <v>0.291666666666667</v>
      </c>
      <c r="E73" s="26" t="str">
        <f aca="false">IFERROR(IF(COUNTIFS(Pointage_brut!$E:$E,VLOOKUP($B73,Annuaire_roster!$B:$J,9,0),Pointage_brut!$A:$A,TEXT($Q73,"yyyymmdd")*1)=0,"",MOD(_xlfn.MAXIFS(Pointage_brut!$G:$G,Pointage_brut!$E:$E,VLOOKUP($B73,Annuaire_roster!$B:$J,9,0),Pointage_brut!$A:$A,TEXT($Q73,"yyyymmdd")*1),1)),"")</f>
        <v/>
      </c>
      <c r="F73" s="27" t="n">
        <f aca="false" t="array" ref="F73:F73">IFERROR(INDEX(Planning2[],MATCH(1,(Planning2[Nom]=B73)*(Planning2[Date]=Q73),0),4),"-")</f>
        <v>0.708333333333333</v>
      </c>
      <c r="G73" s="28"/>
      <c r="H73" s="28"/>
      <c r="I73" s="29" t="str">
        <f aca="false">IF(IF(OR(C73="",D73="Congé",D73="OFF",D73="Congé spécial"),"",IF(D73&gt;F73,D73-C73,IF(C73-D73&lt;0,0,C73-D73)))&lt;0.00068287037037037,"",IF(OR(D73="Congé",D73="OFF",C73="",D73="Congé spécial"),"",IF(D73&gt;F73,D73-C73,IF(C73-D73&lt;0,0,C73-D73))))</f>
        <v/>
      </c>
      <c r="J73" s="28"/>
      <c r="K73" s="30" t="n">
        <f aca="false">IF(SUM(H73:J73)&lt;0.00068287037037037,0,SUM(H73:J73))</f>
        <v>0</v>
      </c>
      <c r="L73" s="28" t="n">
        <f aca="false">IF(OR(F73="Congé",F73="OFF",M73="Abs",F73="Congé sans solde",F73="Férié",F73="Congé spécial",D73="Congé spécial"),0,IF(F73-E73&lt;0,0,IF(F73-E73&lt;=0.00068287037037037,0,F73-E73)))</f>
        <v>0</v>
      </c>
      <c r="M73" s="31" t="str">
        <f aca="false">IF(AND(O73&lt;&gt;0,C73=""),"Abs",0)</f>
        <v>Abs</v>
      </c>
      <c r="N73" s="32" t="str">
        <f aca="false">IFERROR(IF(OR(D73="OFF",D73="Congé",M73="Abs",D73="Congé sans solde",D73="Férié"),"",IF(O73-K73-L73&gt;O73,O73,IF(O73-K73-L73&lt;0,"",O73-K73-L73))),"")</f>
        <v/>
      </c>
      <c r="O73" s="33" t="n">
        <f aca="false">IF(AG73="2H Pause déjeuner",IF(F73-D73-0.0833333333333333&lt;0,F73-D73-0.0833333333333333+1,F73-D73-0.0833333333333333),IF(OR(AND(F73="OFF",D73="OFF"),AND(F73="Congé",D73="Congé"),AND(F73="Congé sans solde",D73="Congé sans solde"),AND(F73="Congé spécial",D73="Congé spécial"),AND(F73="Férié",D73="Férié"),AND(F73="OFF",D73="Congé"),AND(F73="OFF",D73="Congé sans solde"),AND(F73="OFF",D73="Congé spécial"),AND(F73="OFF",D73="Férié"),AND(F73="Congé",D73="OFF"),AND(F73="Congé",D73="Congé sans solde"),AND(F73="Congé",D73="Congé spécial"),AND(F73="Congé",D73="Férié"),AND(F73="Congé sans solde",D73="OFF"),AND(F73="Congé sans solde",D73="Congé"),AND(F73="Congé sans solde",D73="Congé spécial"),AND(F73="Congé sans solde",D73="Férié"),AND(F73="Congé spécial",D73="OFF"),AND(F73="Congé spécial",D73="Congé"),AND(F73="Congé spécial",D73="Congé sans solde"),AND(F73="Congé spécial",D73="Férié"),AND(F73="Férié",D73="OFF"),AND(F73="Férié",D73="Congé"),AND(F73="Férié",D73="Congé sans solde"),AND(F73="Férié",D73="Congé spécial")),0,IF(OR(F73="OFF",F73="Congé",F73="Congé spécial",F73="Congé sans solde",D73="OFF",D73="Congé",D73="Congé spécial",D73="Congé sans solde"),0.208333333333334,IF(AND(AG73="",F73-D73&lt;0),("24:00:00"-D73)+("00:00:00"+F73)-0.0416666666666667,IF(AND(OR(AG73="Allaitement",AG73="Sans déjeuner"),F73-D73&lt;0),("24:00:00"-D73)+("00:00:00"+F73),IF(AND(AG73="",F73-D73&gt;0.166666666666667),F73-D73-0.0416666666666667,IF(AND(OR(AG73="Allaitement",AG73="Sans déjeuner"),F73-D73&gt;0.166666666666667),F73-D73,F73-D73)))))))</f>
        <v>0.375</v>
      </c>
      <c r="P73" s="34" t="str">
        <f aca="false">IFERROR(VLOOKUP($B73,Annuaire_roster!$B:$G,MATCH(P$1,Annuaire_roster!$B$1:$G$1,0),0),"-")</f>
        <v>Google Leads</v>
      </c>
      <c r="Q73" s="35" t="n">
        <v>44719</v>
      </c>
      <c r="R73" s="36" t="n">
        <f aca="false">IF(M73="Abs",O73,0)</f>
        <v>0.375</v>
      </c>
      <c r="S73" s="36" t="n">
        <f aca="false">SUM(R73,L73,I73,J73,W73,H73)</f>
        <v>0.375</v>
      </c>
      <c r="T73" s="1" t="str">
        <f aca="false">"Sem - "&amp;WEEKNUM(Q73,21)</f>
        <v>Sem - 24</v>
      </c>
      <c r="U73" s="1" t="str">
        <f aca="false">PROPER(TEXT(Q73,"mmmm"))</f>
        <v>June</v>
      </c>
      <c r="V73" s="37" t="str">
        <f aca="false">+TEXT(Q73,"aaa")</f>
        <v>Mon</v>
      </c>
      <c r="W73" s="32"/>
      <c r="X73" s="38" t="n">
        <f aca="false">IFERROR(IF(M73="Abs",0,IF((D73-C73+E73-F73)&lt;0.000694444444444444,0,(D73-C73+E73-F73))),0)</f>
        <v>0</v>
      </c>
      <c r="Y73" s="39" t="str">
        <f aca="false">IFERROR(VLOOKUP(B73,Annuaire_roster!B:E,4,0),"-")</f>
        <v>OUAQERROUCH Nour-El Houda</v>
      </c>
      <c r="Z73" s="39" t="str">
        <f aca="false">IFERROR(VLOOKUP(B73,Annuaire_roster!B:F,3,0),"-")</f>
        <v>Google Leads</v>
      </c>
      <c r="AA73" s="39" t="str">
        <f aca="false">IFERROR(VLOOKUP(B73,Annuaire_roster!B:I,6,0),"-")</f>
        <v>Forfaitaire</v>
      </c>
      <c r="AB73" s="40" t="str">
        <f aca="false">IF(AND(D73="Congé",F73="Congé"),0.333333333333333,IF(OR(AND(D73="Congé",F73&lt;&gt;"Congé"),(AND(F73="Congé",D73&lt;&gt;"Congé"))),0.166666666666667,""))</f>
        <v/>
      </c>
      <c r="AC73" s="40" t="str">
        <f aca="false">IF(AND(D73="Congé sans solde",F73="Congé sans solde"),0.333333333333333,IF(OR(AND(D73="Congé sans solde",F73&lt;&gt;"Congé sans solde"),(AND(F73="Congé sans solde",D73&lt;&gt;"Congé sans solde"))),0.166666666666667,""))</f>
        <v/>
      </c>
      <c r="AD73" s="40" t="str">
        <f aca="false">IF(AND(D73="Congé spécial",F73="Congé spécial"),0.333333333333333,IF(OR(AND(D73="Congé spécial",F73&lt;&gt;"Congé décès"),(AND(F73="Congé spécial",D73&lt;&gt;"Congé spécial"))),0.166666666666667,""))</f>
        <v/>
      </c>
      <c r="AE73" s="41" t="str">
        <f aca="false">IF(AND(D73="Férié",F73="Férié"),0.333333333333333,IF(OR(AND(D73="Férié",F73&lt;&gt;"Férié"),(AND(F73="Férié",D73&lt;&gt;"Férié"))),0.166666666666667,""))</f>
        <v/>
      </c>
      <c r="AF73" s="41"/>
      <c r="AG73" s="36"/>
    </row>
    <row r="74" customFormat="false" ht="12.75" hidden="true" customHeight="true" outlineLevel="0" collapsed="false">
      <c r="A74" s="22" t="n">
        <f aca="false">VLOOKUP(B74,Annuaire_roster!B:F,5,0)</f>
        <v>0</v>
      </c>
      <c r="B74" s="23" t="s">
        <v>45</v>
      </c>
      <c r="C74" s="24" t="str">
        <f aca="false">IFERROR(IF(COUNTIFS(Pointage_brut!$E:$E,VLOOKUP($B74,Annuaire_roster!$B:$J,9,0),Pointage_brut!$A:$A,TEXT($Q74,"yyyymmdd")*1)=0,"",MOD(_xlfn.MINIFS(Pointage_brut!$F:$F,Pointage_brut!$E:$E,VLOOKUP($B74,Annuaire_roster!$B:$J,9,0),Pointage_brut!$A:$A,TEXT($Q74,"yyyymmdd")*1),1)),"")</f>
        <v/>
      </c>
      <c r="D74" s="25" t="n">
        <f aca="false" t="array" ref="D74:D74">IFERROR(INDEX(Planning2[],MATCH(1,(Planning2[Nom]=B74)*(Planning2[Date]=Q74),0),3),"-")</f>
        <v>0.291666666666667</v>
      </c>
      <c r="E74" s="26" t="str">
        <f aca="false">IFERROR(IF(COUNTIFS(Pointage_brut!$E:$E,VLOOKUP($B74,Annuaire_roster!$B:$J,9,0),Pointage_brut!$A:$A,TEXT($Q74,"yyyymmdd")*1)=0,"",MOD(_xlfn.MAXIFS(Pointage_brut!$G:$G,Pointage_brut!$E:$E,VLOOKUP($B74,Annuaire_roster!$B:$J,9,0),Pointage_brut!$A:$A,TEXT($Q74,"yyyymmdd")*1),1)),"")</f>
        <v/>
      </c>
      <c r="F74" s="27" t="n">
        <f aca="false" t="array" ref="F74:F74">IFERROR(INDEX(Planning2[],MATCH(1,(Planning2[Nom]=B74)*(Planning2[Date]=Q74),0),4),"-")</f>
        <v>0.708333333333333</v>
      </c>
      <c r="G74" s="28"/>
      <c r="H74" s="28"/>
      <c r="I74" s="29" t="str">
        <f aca="false">IF(IF(OR(C74="",D74="Congé",D74="OFF",D74="Congé spécial"),"",IF(D74&gt;F74,D74-C74,IF(C74-D74&lt;0,0,C74-D74)))&lt;0.00068287037037037,"",IF(OR(D74="Congé",D74="OFF",C74="",D74="Congé spécial"),"",IF(D74&gt;F74,D74-C74,IF(C74-D74&lt;0,0,C74-D74))))</f>
        <v/>
      </c>
      <c r="J74" s="28"/>
      <c r="K74" s="30" t="n">
        <f aca="false">IF(SUM(H74:J74)&lt;0.00068287037037037,0,SUM(H74:J74))</f>
        <v>0</v>
      </c>
      <c r="L74" s="28" t="n">
        <f aca="false">IF(OR(F74="Congé",F74="OFF",M74="Abs",F74="Congé sans solde",F74="Férié",F74="Congé spécial",D74="Congé spécial"),0,IF(F74-E74&lt;0,0,IF(F74-E74&lt;=0.00068287037037037,0,F74-E74)))</f>
        <v>0</v>
      </c>
      <c r="M74" s="31" t="str">
        <f aca="false">IF(AND(O74&lt;&gt;0,C74=""),"Abs",0)</f>
        <v>Abs</v>
      </c>
      <c r="N74" s="32" t="str">
        <f aca="false">IFERROR(IF(OR(D74="OFF",D74="Congé",M74="Abs",D74="Congé sans solde",D74="Férié"),"",IF(O74-K74-L74&gt;O74,O74,IF(O74-K74-L74&lt;0,"",O74-K74-L74))),"")</f>
        <v/>
      </c>
      <c r="O74" s="33" t="n">
        <f aca="false">IF(AG74="2H Pause déjeuner",IF(F74-D74-0.0833333333333333&lt;0,F74-D74-0.0833333333333333+1,F74-D74-0.0833333333333333),IF(OR(AND(F74="OFF",D74="OFF"),AND(F74="Congé",D74="Congé"),AND(F74="Congé sans solde",D74="Congé sans solde"),AND(F74="Congé spécial",D74="Congé spécial"),AND(F74="Férié",D74="Férié"),AND(F74="OFF",D74="Congé"),AND(F74="OFF",D74="Congé sans solde"),AND(F74="OFF",D74="Congé spécial"),AND(F74="OFF",D74="Férié"),AND(F74="Congé",D74="OFF"),AND(F74="Congé",D74="Congé sans solde"),AND(F74="Congé",D74="Congé spécial"),AND(F74="Congé",D74="Férié"),AND(F74="Congé sans solde",D74="OFF"),AND(F74="Congé sans solde",D74="Congé"),AND(F74="Congé sans solde",D74="Congé spécial"),AND(F74="Congé sans solde",D74="Férié"),AND(F74="Congé spécial",D74="OFF"),AND(F74="Congé spécial",D74="Congé"),AND(F74="Congé spécial",D74="Congé sans solde"),AND(F74="Congé spécial",D74="Férié"),AND(F74="Férié",D74="OFF"),AND(F74="Férié",D74="Congé"),AND(F74="Férié",D74="Congé sans solde"),AND(F74="Férié",D74="Congé spécial")),0,IF(OR(F74="OFF",F74="Congé",F74="Congé spécial",F74="Congé sans solde",D74="OFF",D74="Congé",D74="Congé spécial",D74="Congé sans solde"),0.208333333333334,IF(AND(AG74="",F74-D74&lt;0),("24:00:00"-D74)+("00:00:00"+F74)-0.0416666666666667,IF(AND(OR(AG74="Allaitement",AG74="Sans déjeuner"),F74-D74&lt;0),("24:00:00"-D74)+("00:00:00"+F74),IF(AND(AG74="",F74-D74&gt;0.166666666666667),F74-D74-0.0416666666666667,IF(AND(OR(AG74="Allaitement",AG74="Sans déjeuner"),F74-D74&gt;0.166666666666667),F74-D74,F74-D74)))))))</f>
        <v>0.375</v>
      </c>
      <c r="P74" s="34" t="str">
        <f aca="false">IFERROR(VLOOKUP($B74,Annuaire_roster!$B:$G,MATCH(P$1,Annuaire_roster!$B$1:$G$1,0),0),"-")</f>
        <v>Google Leads</v>
      </c>
      <c r="Q74" s="35" t="n">
        <v>44719</v>
      </c>
      <c r="R74" s="36" t="n">
        <f aca="false">IF(M74="Abs",O74,0)</f>
        <v>0.375</v>
      </c>
      <c r="S74" s="36" t="n">
        <f aca="false">SUM(R74,L74,I74,J74,W74,H74)</f>
        <v>0.375</v>
      </c>
      <c r="T74" s="1" t="str">
        <f aca="false">"Sem - "&amp;WEEKNUM(Q74,21)</f>
        <v>Sem - 24</v>
      </c>
      <c r="U74" s="1" t="str">
        <f aca="false">PROPER(TEXT(Q74,"mmmm"))</f>
        <v>June</v>
      </c>
      <c r="V74" s="37" t="str">
        <f aca="false">+TEXT(Q74,"aaa")</f>
        <v>Mon</v>
      </c>
      <c r="W74" s="32"/>
      <c r="X74" s="38" t="n">
        <f aca="false">IFERROR(IF(M74="Abs",0,IF((D74-C74+E74-F74)&lt;0.000694444444444444,0,(D74-C74+E74-F74))),0)</f>
        <v>0</v>
      </c>
      <c r="Y74" s="39" t="n">
        <f aca="false">IFERROR(VLOOKUP(B74,Annuaire_roster!B:E,4,0),"-")</f>
        <v>0</v>
      </c>
      <c r="Z74" s="39" t="str">
        <f aca="false">IFERROR(VLOOKUP(B74,Annuaire_roster!B:F,3,0),"-")</f>
        <v>Google Leads</v>
      </c>
      <c r="AA74" s="39" t="n">
        <f aca="false">IFERROR(VLOOKUP(B74,Annuaire_roster!B:I,6,0),"-")</f>
        <v>0</v>
      </c>
      <c r="AB74" s="40" t="str">
        <f aca="false">IF(AND(D74="Congé",F74="Congé"),0.333333333333333,IF(OR(AND(D74="Congé",F74&lt;&gt;"Congé"),(AND(F74="Congé",D74&lt;&gt;"Congé"))),0.166666666666667,""))</f>
        <v/>
      </c>
      <c r="AC74" s="40" t="str">
        <f aca="false">IF(AND(D74="Congé sans solde",F74="Congé sans solde"),0.333333333333333,IF(OR(AND(D74="Congé sans solde",F74&lt;&gt;"Congé sans solde"),(AND(F74="Congé sans solde",D74&lt;&gt;"Congé sans solde"))),0.166666666666667,""))</f>
        <v/>
      </c>
      <c r="AD74" s="40" t="str">
        <f aca="false">IF(AND(D74="Congé spécial",F74="Congé spécial"),0.333333333333333,IF(OR(AND(D74="Congé spécial",F74&lt;&gt;"Congé décès"),(AND(F74="Congé spécial",D74&lt;&gt;"Congé spécial"))),0.166666666666667,""))</f>
        <v/>
      </c>
      <c r="AE74" s="41" t="str">
        <f aca="false">IF(AND(D74="Férié",F74="Férié"),0.333333333333333,IF(OR(AND(D74="Férié",F74&lt;&gt;"Férié"),(AND(F74="Férié",D74&lt;&gt;"Férié"))),0.166666666666667,""))</f>
        <v/>
      </c>
      <c r="AF74" s="41"/>
      <c r="AG74" s="36"/>
    </row>
    <row r="75" customFormat="false" ht="12.75" hidden="true" customHeight="true" outlineLevel="0" collapsed="false">
      <c r="A75" s="22" t="n">
        <f aca="false">VLOOKUP(B75,Annuaire_roster!B:F,5,0)</f>
        <v>0</v>
      </c>
      <c r="B75" s="23" t="s">
        <v>49</v>
      </c>
      <c r="C75" s="24" t="str">
        <f aca="false">IFERROR(IF(COUNTIFS(Pointage_brut!$E:$E,VLOOKUP($B75,Annuaire_roster!$B:$J,9,0),Pointage_brut!$A:$A,TEXT($Q75,"yyyymmdd")*1)=0,"",MOD(_xlfn.MINIFS(Pointage_brut!$F:$F,Pointage_brut!$E:$E,VLOOKUP($B75,Annuaire_roster!$B:$J,9,0),Pointage_brut!$A:$A,TEXT($Q75,"yyyymmdd")*1),1)),"")</f>
        <v/>
      </c>
      <c r="D75" s="25" t="n">
        <f aca="false" t="array" ref="D75:D75">IFERROR(INDEX(Planning2[],MATCH(1,(Planning2[Nom]=B75)*(Planning2[Date]=Q75),0),3),"-")</f>
        <v>0.291666666666667</v>
      </c>
      <c r="E75" s="26" t="str">
        <f aca="false">IFERROR(IF(COUNTIFS(Pointage_brut!$E:$E,VLOOKUP($B75,Annuaire_roster!$B:$J,9,0),Pointage_brut!$A:$A,TEXT($Q75,"yyyymmdd")*1)=0,"",MOD(_xlfn.MAXIFS(Pointage_brut!$G:$G,Pointage_brut!$E:$E,VLOOKUP($B75,Annuaire_roster!$B:$J,9,0),Pointage_brut!$A:$A,TEXT($Q75,"yyyymmdd")*1),1)),"")</f>
        <v/>
      </c>
      <c r="F75" s="27" t="n">
        <f aca="false" t="array" ref="F75:F75">IFERROR(INDEX(Planning2[],MATCH(1,(Planning2[Nom]=B75)*(Planning2[Date]=Q75),0),4),"-")</f>
        <v>0.708333333333333</v>
      </c>
      <c r="G75" s="28"/>
      <c r="H75" s="28"/>
      <c r="I75" s="29" t="str">
        <f aca="false">IF(IF(OR(C75="",D75="Congé",D75="OFF",D75="Congé spécial"),"",IF(D75&gt;F75,D75-C75,IF(C75-D75&lt;0,0,C75-D75)))&lt;0.00068287037037037,"",IF(OR(D75="Congé",D75="OFF",C75="",D75="Congé spécial"),"",IF(D75&gt;F75,D75-C75,IF(C75-D75&lt;0,0,C75-D75))))</f>
        <v/>
      </c>
      <c r="J75" s="28"/>
      <c r="K75" s="30" t="n">
        <f aca="false">IF(SUM(H75:J75)&lt;0.00068287037037037,0,SUM(H75:J75))</f>
        <v>0</v>
      </c>
      <c r="L75" s="28" t="n">
        <f aca="false">IF(OR(F75="Congé",F75="OFF",M75="Abs",F75="Congé sans solde",F75="Férié",F75="Congé spécial",D75="Congé spécial"),0,IF(F75-E75&lt;0,0,IF(F75-E75&lt;=0.00068287037037037,0,F75-E75)))</f>
        <v>0</v>
      </c>
      <c r="M75" s="31" t="str">
        <f aca="false">IF(AND(O75&lt;&gt;0,C75=""),"Abs",0)</f>
        <v>Abs</v>
      </c>
      <c r="N75" s="32" t="str">
        <f aca="false">IFERROR(IF(OR(D75="OFF",D75="Congé",M75="Abs",D75="Congé sans solde",D75="Férié"),"",IF(O75-K75-L75&gt;O75,O75,IF(O75-K75-L75&lt;0,"",O75-K75-L75))),"")</f>
        <v/>
      </c>
      <c r="O75" s="33" t="n">
        <f aca="false">IF(AG75="2H Pause déjeuner",IF(F75-D75-0.0833333333333333&lt;0,F75-D75-0.0833333333333333+1,F75-D75-0.0833333333333333),IF(OR(AND(F75="OFF",D75="OFF"),AND(F75="Congé",D75="Congé"),AND(F75="Congé sans solde",D75="Congé sans solde"),AND(F75="Congé spécial",D75="Congé spécial"),AND(F75="Férié",D75="Férié"),AND(F75="OFF",D75="Congé"),AND(F75="OFF",D75="Congé sans solde"),AND(F75="OFF",D75="Congé spécial"),AND(F75="OFF",D75="Férié"),AND(F75="Congé",D75="OFF"),AND(F75="Congé",D75="Congé sans solde"),AND(F75="Congé",D75="Congé spécial"),AND(F75="Congé",D75="Férié"),AND(F75="Congé sans solde",D75="OFF"),AND(F75="Congé sans solde",D75="Congé"),AND(F75="Congé sans solde",D75="Congé spécial"),AND(F75="Congé sans solde",D75="Férié"),AND(F75="Congé spécial",D75="OFF"),AND(F75="Congé spécial",D75="Congé"),AND(F75="Congé spécial",D75="Congé sans solde"),AND(F75="Congé spécial",D75="Férié"),AND(F75="Férié",D75="OFF"),AND(F75="Férié",D75="Congé"),AND(F75="Férié",D75="Congé sans solde"),AND(F75="Férié",D75="Congé spécial")),0,IF(OR(F75="OFF",F75="Congé",F75="Congé spécial",F75="Congé sans solde",D75="OFF",D75="Congé",D75="Congé spécial",D75="Congé sans solde"),0.208333333333334,IF(AND(AG75="",F75-D75&lt;0),("24:00:00"-D75)+("00:00:00"+F75)-0.0416666666666667,IF(AND(OR(AG75="Allaitement",AG75="Sans déjeuner"),F75-D75&lt;0),("24:00:00"-D75)+("00:00:00"+F75),IF(AND(AG75="",F75-D75&gt;0.166666666666667),F75-D75-0.0416666666666667,IF(AND(OR(AG75="Allaitement",AG75="Sans déjeuner"),F75-D75&gt;0.166666666666667),F75-D75,F75-D75)))))))</f>
        <v>0.375</v>
      </c>
      <c r="P75" s="34" t="str">
        <f aca="false">IFERROR(VLOOKUP($B75,Annuaire_roster!$B:$G,MATCH(P$1,Annuaire_roster!$B$1:$G$1,0),0),"-")</f>
        <v>Google Leads</v>
      </c>
      <c r="Q75" s="35" t="n">
        <v>44719</v>
      </c>
      <c r="R75" s="36" t="n">
        <f aca="false">IF(M75="Abs",O75,0)</f>
        <v>0.375</v>
      </c>
      <c r="S75" s="36" t="n">
        <f aca="false">SUM(R75,L75,I75,J75,W75,H75)</f>
        <v>0.375</v>
      </c>
      <c r="T75" s="1" t="str">
        <f aca="false">"Sem - "&amp;WEEKNUM(Q75,21)</f>
        <v>Sem - 24</v>
      </c>
      <c r="U75" s="1" t="str">
        <f aca="false">PROPER(TEXT(Q75,"mmmm"))</f>
        <v>June</v>
      </c>
      <c r="V75" s="37" t="str">
        <f aca="false">+TEXT(Q75,"aaa")</f>
        <v>Mon</v>
      </c>
      <c r="W75" s="32"/>
      <c r="X75" s="38" t="n">
        <f aca="false">IFERROR(IF(M75="Abs",0,IF((D75-C75+E75-F75)&lt;0.000694444444444444,0,(D75-C75+E75-F75))),0)</f>
        <v>0</v>
      </c>
      <c r="Y75" s="39" t="n">
        <f aca="false">IFERROR(VLOOKUP(B75,Annuaire_roster!B:E,4,0),"-")</f>
        <v>0</v>
      </c>
      <c r="Z75" s="39" t="str">
        <f aca="false">IFERROR(VLOOKUP(B75,Annuaire_roster!B:F,3,0),"-")</f>
        <v>Google Leads</v>
      </c>
      <c r="AA75" s="39" t="n">
        <f aca="false">IFERROR(VLOOKUP(B75,Annuaire_roster!B:I,6,0),"-")</f>
        <v>0</v>
      </c>
      <c r="AB75" s="40" t="str">
        <f aca="false">IF(AND(D75="Congé",F75="Congé"),0.333333333333333,IF(OR(AND(D75="Congé",F75&lt;&gt;"Congé"),(AND(F75="Congé",D75&lt;&gt;"Congé"))),0.166666666666667,""))</f>
        <v/>
      </c>
      <c r="AC75" s="40" t="str">
        <f aca="false">IF(AND(D75="Congé sans solde",F75="Congé sans solde"),0.333333333333333,IF(OR(AND(D75="Congé sans solde",F75&lt;&gt;"Congé sans solde"),(AND(F75="Congé sans solde",D75&lt;&gt;"Congé sans solde"))),0.166666666666667,""))</f>
        <v/>
      </c>
      <c r="AD75" s="40" t="str">
        <f aca="false">IF(AND(D75="Congé spécial",F75="Congé spécial"),0.333333333333333,IF(OR(AND(D75="Congé spécial",F75&lt;&gt;"Congé décès"),(AND(F75="Congé spécial",D75&lt;&gt;"Congé spécial"))),0.166666666666667,""))</f>
        <v/>
      </c>
      <c r="AE75" s="41" t="str">
        <f aca="false">IF(AND(D75="Férié",F75="Férié"),0.333333333333333,IF(OR(AND(D75="Férié",F75&lt;&gt;"Férié"),(AND(F75="Férié",D75&lt;&gt;"Férié"))),0.166666666666667,""))</f>
        <v/>
      </c>
      <c r="AF75" s="41"/>
      <c r="AG75" s="36"/>
    </row>
    <row r="76" customFormat="false" ht="12.75" hidden="true" customHeight="true" outlineLevel="0" collapsed="false">
      <c r="A76" s="22" t="n">
        <f aca="false">VLOOKUP(B76,Annuaire_roster!B:F,5,0)</f>
        <v>0</v>
      </c>
      <c r="B76" s="23" t="s">
        <v>39</v>
      </c>
      <c r="C76" s="24" t="str">
        <f aca="false">IFERROR(IF(COUNTIFS(Pointage_brut!$E:$E,VLOOKUP($B76,Annuaire_roster!$B:$J,9,0),Pointage_brut!$A:$A,TEXT($Q76,"yyyymmdd")*1)=0,"",MOD(_xlfn.MINIFS(Pointage_brut!$F:$F,Pointage_brut!$E:$E,VLOOKUP($B76,Annuaire_roster!$B:$J,9,0),Pointage_brut!$A:$A,TEXT($Q76,"yyyymmdd")*1),1)),"")</f>
        <v/>
      </c>
      <c r="D76" s="25" t="n">
        <f aca="false" t="array" ref="D76:D76">IFERROR(INDEX(Planning2[],MATCH(1,(Planning2[Nom]=B76)*(Planning2[Date]=Q76),0),3),"-")</f>
        <v>0.291666666666667</v>
      </c>
      <c r="E76" s="26" t="str">
        <f aca="false">IFERROR(IF(COUNTIFS(Pointage_brut!$E:$E,VLOOKUP($B76,Annuaire_roster!$B:$J,9,0),Pointage_brut!$A:$A,TEXT($Q76,"yyyymmdd")*1)=0,"",MOD(_xlfn.MAXIFS(Pointage_brut!$G:$G,Pointage_brut!$E:$E,VLOOKUP($B76,Annuaire_roster!$B:$J,9,0),Pointage_brut!$A:$A,TEXT($Q76,"yyyymmdd")*1),1)),"")</f>
        <v/>
      </c>
      <c r="F76" s="27" t="n">
        <f aca="false" t="array" ref="F76:F76">IFERROR(INDEX(Planning2[],MATCH(1,(Planning2[Nom]=B76)*(Planning2[Date]=Q76),0),4),"-")</f>
        <v>0.708333333333333</v>
      </c>
      <c r="G76" s="28"/>
      <c r="H76" s="28"/>
      <c r="I76" s="29" t="str">
        <f aca="false">IF(IF(OR(C76="",D76="Congé",D76="OFF",D76="Congé spécial"),"",IF(D76&gt;F76,D76-C76,IF(C76-D76&lt;0,0,C76-D76)))&lt;0.00068287037037037,"",IF(OR(D76="Congé",D76="OFF",C76="",D76="Congé spécial"),"",IF(D76&gt;F76,D76-C76,IF(C76-D76&lt;0,0,C76-D76))))</f>
        <v/>
      </c>
      <c r="J76" s="28"/>
      <c r="K76" s="30" t="n">
        <f aca="false">IF(SUM(H76:J76)&lt;0.00068287037037037,0,SUM(H76:J76))</f>
        <v>0</v>
      </c>
      <c r="L76" s="28" t="n">
        <f aca="false">IF(OR(F76="Congé",F76="OFF",M76="Abs",F76="Congé sans solde",F76="Férié",F76="Congé spécial",D76="Congé spécial"),0,IF(F76-E76&lt;0,0,IF(F76-E76&lt;=0.00068287037037037,0,F76-E76)))</f>
        <v>0</v>
      </c>
      <c r="M76" s="31" t="str">
        <f aca="false">IF(AND(O76&lt;&gt;0,C76=""),"Abs",0)</f>
        <v>Abs</v>
      </c>
      <c r="N76" s="32" t="str">
        <f aca="false">IFERROR(IF(OR(D76="OFF",D76="Congé",M76="Abs",D76="Congé sans solde",D76="Férié"),"",IF(O76-K76-L76&gt;O76,O76,IF(O76-K76-L76&lt;0,"",O76-K76-L76))),"")</f>
        <v/>
      </c>
      <c r="O76" s="33" t="n">
        <f aca="false">IF(AG76="2H Pause déjeuner",IF(F76-D76-0.0833333333333333&lt;0,F76-D76-0.0833333333333333+1,F76-D76-0.0833333333333333),IF(OR(AND(F76="OFF",D76="OFF"),AND(F76="Congé",D76="Congé"),AND(F76="Congé sans solde",D76="Congé sans solde"),AND(F76="Congé spécial",D76="Congé spécial"),AND(F76="Férié",D76="Férié"),AND(F76="OFF",D76="Congé"),AND(F76="OFF",D76="Congé sans solde"),AND(F76="OFF",D76="Congé spécial"),AND(F76="OFF",D76="Férié"),AND(F76="Congé",D76="OFF"),AND(F76="Congé",D76="Congé sans solde"),AND(F76="Congé",D76="Congé spécial"),AND(F76="Congé",D76="Férié"),AND(F76="Congé sans solde",D76="OFF"),AND(F76="Congé sans solde",D76="Congé"),AND(F76="Congé sans solde",D76="Congé spécial"),AND(F76="Congé sans solde",D76="Férié"),AND(F76="Congé spécial",D76="OFF"),AND(F76="Congé spécial",D76="Congé"),AND(F76="Congé spécial",D76="Congé sans solde"),AND(F76="Congé spécial",D76="Férié"),AND(F76="Férié",D76="OFF"),AND(F76="Férié",D76="Congé"),AND(F76="Férié",D76="Congé sans solde"),AND(F76="Férié",D76="Congé spécial")),0,IF(OR(F76="OFF",F76="Congé",F76="Congé spécial",F76="Congé sans solde",D76="OFF",D76="Congé",D76="Congé spécial",D76="Congé sans solde"),0.208333333333334,IF(AND(AG76="",F76-D76&lt;0),("24:00:00"-D76)+("00:00:00"+F76)-0.0416666666666667,IF(AND(OR(AG76="Allaitement",AG76="Sans déjeuner"),F76-D76&lt;0),("24:00:00"-D76)+("00:00:00"+F76),IF(AND(AG76="",F76-D76&gt;0.166666666666667),F76-D76-0.0416666666666667,IF(AND(OR(AG76="Allaitement",AG76="Sans déjeuner"),F76-D76&gt;0.166666666666667),F76-D76,F76-D76)))))))</f>
        <v>0.375</v>
      </c>
      <c r="P76" s="34" t="str">
        <f aca="false">IFERROR(VLOOKUP($B76,Annuaire_roster!$B:$G,MATCH(P$1,Annuaire_roster!$B$1:$G$1,0),0),"-")</f>
        <v>Google Leads</v>
      </c>
      <c r="Q76" s="35" t="n">
        <v>44719</v>
      </c>
      <c r="R76" s="36" t="n">
        <f aca="false">IF(M76="Abs",O76,0)</f>
        <v>0.375</v>
      </c>
      <c r="S76" s="36" t="n">
        <f aca="false">SUM(R76,L76,I76,J76,W76,H76)</f>
        <v>0.375</v>
      </c>
      <c r="T76" s="1" t="str">
        <f aca="false">"Sem - "&amp;WEEKNUM(Q76,21)</f>
        <v>Sem - 24</v>
      </c>
      <c r="U76" s="1" t="str">
        <f aca="false">PROPER(TEXT(Q76,"mmmm"))</f>
        <v>June</v>
      </c>
      <c r="V76" s="37" t="str">
        <f aca="false">+TEXT(Q76,"aaa")</f>
        <v>Mon</v>
      </c>
      <c r="W76" s="32"/>
      <c r="X76" s="38" t="n">
        <f aca="false">IFERROR(IF(M76="Abs",0,IF((D76-C76+E76-F76)&lt;0.000694444444444444,0,(D76-C76+E76-F76))),0)</f>
        <v>0</v>
      </c>
      <c r="Y76" s="39" t="n">
        <f aca="false">IFERROR(VLOOKUP(B76,Annuaire_roster!B:E,4,0),"-")</f>
        <v>0</v>
      </c>
      <c r="Z76" s="39" t="str">
        <f aca="false">IFERROR(VLOOKUP(B76,Annuaire_roster!B:F,3,0),"-")</f>
        <v>Google Leads</v>
      </c>
      <c r="AA76" s="39" t="n">
        <f aca="false">IFERROR(VLOOKUP(B76,Annuaire_roster!B:I,6,0),"-")</f>
        <v>0</v>
      </c>
      <c r="AB76" s="40" t="str">
        <f aca="false">IF(AND(D76="Congé",F76="Congé"),0.333333333333333,IF(OR(AND(D76="Congé",F76&lt;&gt;"Congé"),(AND(F76="Congé",D76&lt;&gt;"Congé"))),0.166666666666667,""))</f>
        <v/>
      </c>
      <c r="AC76" s="40" t="str">
        <f aca="false">IF(AND(D76="Congé sans solde",F76="Congé sans solde"),0.333333333333333,IF(OR(AND(D76="Congé sans solde",F76&lt;&gt;"Congé sans solde"),(AND(F76="Congé sans solde",D76&lt;&gt;"Congé sans solde"))),0.166666666666667,""))</f>
        <v/>
      </c>
      <c r="AD76" s="40" t="str">
        <f aca="false">IF(AND(D76="Congé spécial",F76="Congé spécial"),0.333333333333333,IF(OR(AND(D76="Congé spécial",F76&lt;&gt;"Congé décès"),(AND(F76="Congé spécial",D76&lt;&gt;"Congé spécial"))),0.166666666666667,""))</f>
        <v/>
      </c>
      <c r="AE76" s="41" t="str">
        <f aca="false">IF(AND(D76="Férié",F76="Férié"),0.333333333333333,IF(OR(AND(D76="Férié",F76&lt;&gt;"Férié"),(AND(F76="Férié",D76&lt;&gt;"Férié"))),0.166666666666667,""))</f>
        <v/>
      </c>
      <c r="AF76" s="41"/>
      <c r="AG76" s="36"/>
    </row>
    <row r="77" customFormat="false" ht="13.5" hidden="true" customHeight="true" outlineLevel="0" collapsed="false">
      <c r="A77" s="22" t="n">
        <f aca="false">VLOOKUP(B77,Annuaire_roster!B:F,5,0)</f>
        <v>1170</v>
      </c>
      <c r="B77" s="23" t="s">
        <v>64</v>
      </c>
      <c r="C77" s="24" t="str">
        <f aca="false">IFERROR(IF(COUNTIFS(Pointage_brut!$E:$E,VLOOKUP($B77,Annuaire_roster!$B:$J,9,0),Pointage_brut!$A:$A,TEXT($Q77,"yyyymmdd")*1)=0,"",MOD(_xlfn.MINIFS(Pointage_brut!$F:$F,Pointage_brut!$E:$E,VLOOKUP($B77,Annuaire_roster!$B:$J,9,0),Pointage_brut!$A:$A,TEXT($Q77,"yyyymmdd")*1),1)),"")</f>
        <v/>
      </c>
      <c r="D77" s="25" t="n">
        <f aca="false" t="array" ref="D77:D77">IFERROR(INDEX(Planning2[],MATCH(1,(Planning2[Nom]=B77)*(Planning2[Date]=Q77),0),3),"-")</f>
        <v>0.333333333333333</v>
      </c>
      <c r="E77" s="26" t="str">
        <f aca="false">IFERROR(IF(COUNTIFS(Pointage_brut!$E:$E,VLOOKUP($B77,Annuaire_roster!$B:$J,9,0),Pointage_brut!$A:$A,TEXT($Q77,"yyyymmdd")*1)=0,"",MOD(_xlfn.MAXIFS(Pointage_brut!$G:$G,Pointage_brut!$E:$E,VLOOKUP($B77,Annuaire_roster!$B:$J,9,0),Pointage_brut!$A:$A,TEXT($Q77,"yyyymmdd")*1),1)),"")</f>
        <v/>
      </c>
      <c r="F77" s="27" t="n">
        <f aca="false" t="array" ref="F77:F77">IFERROR(INDEX(Planning2[],MATCH(1,(Planning2[Nom]=B77)*(Planning2[Date]=Q77),0),4),"-")</f>
        <v>0.75</v>
      </c>
      <c r="G77" s="28"/>
      <c r="H77" s="28"/>
      <c r="I77" s="29" t="str">
        <f aca="false">IF(IF(OR(C77="",D77="Congé",D77="OFF",D77="Congé spécial"),"",IF(D77&gt;F77,D77-C77,IF(C77-D77&lt;0,0,C77-D77)))&lt;0.00068287037037037,"",IF(OR(D77="Congé",D77="OFF",C77="",D77="Congé spécial"),"",IF(D77&gt;F77,D77-C77,IF(C77-D77&lt;0,0,C77-D77))))</f>
        <v/>
      </c>
      <c r="J77" s="28"/>
      <c r="K77" s="30" t="n">
        <f aca="false">IF(SUM(H77:J77)&lt;0.00068287037037037,0,SUM(H77:J77))</f>
        <v>0</v>
      </c>
      <c r="L77" s="28" t="n">
        <f aca="false">IF(OR(F77="Congé",F77="OFF",M77="Abs",F77="Congé sans solde",F77="Férié",F77="Congé spécial",D77="Congé spécial"),0,IF(F77-E77&lt;0,0,IF(F77-E77&lt;=0.00068287037037037,0,F77-E77)))</f>
        <v>0</v>
      </c>
      <c r="M77" s="31" t="str">
        <f aca="false">IF(AND(O77&lt;&gt;0,C77=""),"Abs",0)</f>
        <v>Abs</v>
      </c>
      <c r="N77" s="32" t="str">
        <f aca="false">IFERROR(IF(OR(D77="OFF",D77="Congé",M77="Abs",D77="Congé sans solde",D77="Férié"),"",IF(O77-K77-L77&gt;O77,O77,IF(O77-K77-L77&lt;0,"",O77-K77-L77))),"")</f>
        <v/>
      </c>
      <c r="O77" s="33" t="n">
        <f aca="false">IF(AG77="2H Pause déjeuner",IF(F77-D77-0.0833333333333333&lt;0,F77-D77-0.0833333333333333+1,F77-D77-0.0833333333333333),IF(OR(AND(F77="OFF",D77="OFF"),AND(F77="Congé",D77="Congé"),AND(F77="Congé sans solde",D77="Congé sans solde"),AND(F77="Congé spécial",D77="Congé spécial"),AND(F77="Férié",D77="Férié"),AND(F77="OFF",D77="Congé"),AND(F77="OFF",D77="Congé sans solde"),AND(F77="OFF",D77="Congé spécial"),AND(F77="OFF",D77="Férié"),AND(F77="Congé",D77="OFF"),AND(F77="Congé",D77="Congé sans solde"),AND(F77="Congé",D77="Congé spécial"),AND(F77="Congé",D77="Férié"),AND(F77="Congé sans solde",D77="OFF"),AND(F77="Congé sans solde",D77="Congé"),AND(F77="Congé sans solde",D77="Congé spécial"),AND(F77="Congé sans solde",D77="Férié"),AND(F77="Congé spécial",D77="OFF"),AND(F77="Congé spécial",D77="Congé"),AND(F77="Congé spécial",D77="Congé sans solde"),AND(F77="Congé spécial",D77="Férié"),AND(F77="Férié",D77="OFF"),AND(F77="Férié",D77="Congé"),AND(F77="Férié",D77="Congé sans solde"),AND(F77="Férié",D77="Congé spécial")),0,IF(OR(F77="OFF",F77="Congé",F77="Congé spécial",F77="Congé sans solde",D77="OFF",D77="Congé",D77="Congé spécial",D77="Congé sans solde"),0.208333333333334,IF(AND(AG77="",F77-D77&lt;0),("24:00:00"-D77)+("00:00:00"+F77)-0.0416666666666667,IF(AND(OR(AG77="Allaitement",AG77="Sans déjeuner"),F77-D77&lt;0),("24:00:00"-D77)+("00:00:00"+F77),IF(AND(AG77="",F77-D77&gt;0.166666666666667),F77-D77-0.0416666666666667,IF(AND(OR(AG77="Allaitement",AG77="Sans déjeuner"),F77-D77&gt;0.166666666666667),F77-D77,F77-D77)))))))</f>
        <v>0.375</v>
      </c>
      <c r="P77" s="34" t="str">
        <f aca="false">IFERROR(VLOOKUP($B77,Annuaire_roster!$B:$G,MATCH(P$1,Annuaire_roster!$B$1:$G$1,0),0),"-")</f>
        <v>Google Leads</v>
      </c>
      <c r="Q77" s="35" t="n">
        <v>44719</v>
      </c>
      <c r="R77" s="36" t="n">
        <f aca="false">IF(M77="Abs",O77,0)</f>
        <v>0.375</v>
      </c>
      <c r="S77" s="36" t="n">
        <f aca="false">SUM(R77,L77,I77,J77,W77,H77)</f>
        <v>0.375</v>
      </c>
      <c r="T77" s="1" t="str">
        <f aca="false">"Sem - "&amp;WEEKNUM(Q77,21)</f>
        <v>Sem - 24</v>
      </c>
      <c r="U77" s="1" t="str">
        <f aca="false">PROPER(TEXT(Q77,"mmmm"))</f>
        <v>June</v>
      </c>
      <c r="V77" s="37" t="str">
        <f aca="false">+TEXT(Q77,"aaa")</f>
        <v>Mon</v>
      </c>
      <c r="W77" s="32"/>
      <c r="X77" s="38" t="n">
        <f aca="false">IFERROR(IF(M77="Abs",0,IF((D77-C77+E77-F77)&lt;0.000694444444444444,0,(D77-C77+E77-F77))),0)</f>
        <v>0</v>
      </c>
      <c r="Y77" s="39" t="str">
        <f aca="false">IFERROR(VLOOKUP(B77,Annuaire_roster!B:E,4,0),"-")</f>
        <v>CHOUIFI Mustapha</v>
      </c>
      <c r="Z77" s="39" t="str">
        <f aca="false">IFERROR(VLOOKUP(B77,Annuaire_roster!B:F,3,0),"-")</f>
        <v>Google Leads</v>
      </c>
      <c r="AA77" s="39" t="str">
        <f aca="false">IFERROR(VLOOKUP(B77,Annuaire_roster!B:I,6,0),"-")</f>
        <v>Forfaitaire</v>
      </c>
      <c r="AB77" s="40" t="str">
        <f aca="false">IF(AND(D77="Congé",F77="Congé"),0.333333333333333,IF(OR(AND(D77="Congé",F77&lt;&gt;"Congé"),(AND(F77="Congé",D77&lt;&gt;"Congé"))),0.166666666666667,""))</f>
        <v/>
      </c>
      <c r="AC77" s="40" t="str">
        <f aca="false">IF(AND(D77="Congé sans solde",F77="Congé sans solde"),0.333333333333333,IF(OR(AND(D77="Congé sans solde",F77&lt;&gt;"Congé sans solde"),(AND(F77="Congé sans solde",D77&lt;&gt;"Congé sans solde"))),0.166666666666667,""))</f>
        <v/>
      </c>
      <c r="AD77" s="40" t="str">
        <f aca="false">IF(AND(D77="Congé spécial",F77="Congé spécial"),0.333333333333333,IF(OR(AND(D77="Congé spécial",F77&lt;&gt;"Congé décès"),(AND(F77="Congé spécial",D77&lt;&gt;"Congé spécial"))),0.166666666666667,""))</f>
        <v/>
      </c>
      <c r="AE77" s="41" t="str">
        <f aca="false">IF(AND(D77="Férié",F77="Férié"),0.333333333333333,IF(OR(AND(D77="Férié",F77&lt;&gt;"Férié"),(AND(F77="Férié",D77&lt;&gt;"Férié"))),0.166666666666667,""))</f>
        <v/>
      </c>
      <c r="AF77" s="41"/>
      <c r="AG77" s="36"/>
    </row>
    <row r="78" s="42" customFormat="true" ht="12.75" hidden="true" customHeight="true" outlineLevel="0" collapsed="false">
      <c r="A78" s="22" t="n">
        <f aca="false">VLOOKUP(B78,Annuaire_roster!B:F,5,0)</f>
        <v>952</v>
      </c>
      <c r="B78" s="23" t="s">
        <v>63</v>
      </c>
      <c r="C78" s="24" t="str">
        <f aca="false">IFERROR(IF(COUNTIFS(Pointage_brut!$E:$E,VLOOKUP($B78,Annuaire_roster!$B:$J,9,0),Pointage_brut!$A:$A,TEXT($Q78,"yyyymmdd")*1)=0,"",MOD(_xlfn.MINIFS(Pointage_brut!$F:$F,Pointage_brut!$E:$E,VLOOKUP($B78,Annuaire_roster!$B:$J,9,0),Pointage_brut!$A:$A,TEXT($Q78,"yyyymmdd")*1),1)),"")</f>
        <v/>
      </c>
      <c r="D78" s="25" t="n">
        <f aca="false" t="array" ref="D78:D78">IFERROR(INDEX(Planning2[],MATCH(1,(Planning2[Nom]=B78)*(Planning2[Date]=Q78),0),3),"-")</f>
        <v>0.416666666666667</v>
      </c>
      <c r="E78" s="26" t="str">
        <f aca="false">IFERROR(IF(COUNTIFS(Pointage_brut!$E:$E,VLOOKUP($B78,Annuaire_roster!$B:$J,9,0),Pointage_brut!$A:$A,TEXT($Q78,"yyyymmdd")*1)=0,"",MOD(_xlfn.MAXIFS(Pointage_brut!$G:$G,Pointage_brut!$E:$E,VLOOKUP($B78,Annuaire_roster!$B:$J,9,0),Pointage_brut!$A:$A,TEXT($Q78,"yyyymmdd")*1),1)),"")</f>
        <v/>
      </c>
      <c r="F78" s="27" t="n">
        <f aca="false" t="array" ref="F78:F78">IFERROR(INDEX(Planning2[],MATCH(1,(Planning2[Nom]=B78)*(Planning2[Date]=Q78),0),4),"-")</f>
        <v>0.833333333333333</v>
      </c>
      <c r="G78" s="28"/>
      <c r="H78" s="28"/>
      <c r="I78" s="29" t="str">
        <f aca="false">IF(IF(OR(C78="",D78="Congé",D78="OFF",D78="Congé spécial"),"",IF(D78&gt;F78,D78-C78,IF(C78-D78&lt;0,0,C78-D78)))&lt;0.00068287037037037,"",IF(OR(D78="Congé",D78="OFF",C78="",D78="Congé spécial"),"",IF(D78&gt;F78,D78-C78,IF(C78-D78&lt;0,0,C78-D78))))</f>
        <v/>
      </c>
      <c r="J78" s="28"/>
      <c r="K78" s="30" t="n">
        <f aca="false">IF(SUM(H78:J78)&lt;0.00068287037037037,0,SUM(H78:J78))</f>
        <v>0</v>
      </c>
      <c r="L78" s="28" t="n">
        <f aca="false">IF(OR(F78="Congé",F78="OFF",M78="Abs",F78="Congé sans solde",F78="Férié",F78="Congé spécial",D78="Congé spécial"),0,IF(F78-E78&lt;0,0,IF(F78-E78&lt;=0.00068287037037037,0,F78-E78)))</f>
        <v>0</v>
      </c>
      <c r="M78" s="31" t="str">
        <f aca="false">IF(AND(O78&lt;&gt;0,C78=""),"Abs",0)</f>
        <v>Abs</v>
      </c>
      <c r="N78" s="32" t="str">
        <f aca="false">IFERROR(IF(OR(D78="OFF",D78="Congé",M78="Abs",D78="Congé sans solde",D78="Férié"),"",IF(O78-K78-L78&gt;O78,O78,IF(O78-K78-L78&lt;0,"",O78-K78-L78))),"")</f>
        <v/>
      </c>
      <c r="O78" s="33" t="n">
        <f aca="false">IF(AG78="2H Pause déjeuner",IF(F78-D78-0.0833333333333333&lt;0,F78-D78-0.0833333333333333+1,F78-D78-0.0833333333333333),IF(OR(AND(F78="OFF",D78="OFF"),AND(F78="Congé",D78="Congé"),AND(F78="Congé sans solde",D78="Congé sans solde"),AND(F78="Congé spécial",D78="Congé spécial"),AND(F78="Férié",D78="Férié"),AND(F78="OFF",D78="Congé"),AND(F78="OFF",D78="Congé sans solde"),AND(F78="OFF",D78="Congé spécial"),AND(F78="OFF",D78="Férié"),AND(F78="Congé",D78="OFF"),AND(F78="Congé",D78="Congé sans solde"),AND(F78="Congé",D78="Congé spécial"),AND(F78="Congé",D78="Férié"),AND(F78="Congé sans solde",D78="OFF"),AND(F78="Congé sans solde",D78="Congé"),AND(F78="Congé sans solde",D78="Congé spécial"),AND(F78="Congé sans solde",D78="Férié"),AND(F78="Congé spécial",D78="OFF"),AND(F78="Congé spécial",D78="Congé"),AND(F78="Congé spécial",D78="Congé sans solde"),AND(F78="Congé spécial",D78="Férié"),AND(F78="Férié",D78="OFF"),AND(F78="Férié",D78="Congé"),AND(F78="Férié",D78="Congé sans solde"),AND(F78="Férié",D78="Congé spécial")),0,IF(OR(F78="OFF",F78="Congé",F78="Congé spécial",F78="Congé sans solde",D78="OFF",D78="Congé",D78="Congé spécial",D78="Congé sans solde"),0.208333333333334,IF(AND(AG78="",F78-D78&lt;0),("24:00:00"-D78)+("00:00:00"+F78)-0.0416666666666667,IF(AND(OR(AG78="Allaitement",AG78="Sans déjeuner"),F78-D78&lt;0),("24:00:00"-D78)+("00:00:00"+F78),IF(AND(AG78="",F78-D78&gt;0.166666666666667),F78-D78-0.0416666666666667,IF(AND(OR(AG78="Allaitement",AG78="Sans déjeuner"),F78-D78&gt;0.166666666666667),F78-D78,F78-D78)))))))</f>
        <v>0.375</v>
      </c>
      <c r="P78" s="34" t="str">
        <f aca="false">IFERROR(VLOOKUP($B78,Annuaire_roster!$B:$G,MATCH(P$1,Annuaire_roster!$B$1:$G$1,0),0),"-")</f>
        <v>Google Leads</v>
      </c>
      <c r="Q78" s="35" t="n">
        <v>44719</v>
      </c>
      <c r="R78" s="36" t="n">
        <f aca="false">IF(M78="Abs",O78,0)</f>
        <v>0.375</v>
      </c>
      <c r="S78" s="36" t="n">
        <f aca="false">SUM(R78,L78,I78,J78,W78,H78)</f>
        <v>0.375</v>
      </c>
      <c r="T78" s="1" t="str">
        <f aca="false">"Sem - "&amp;WEEKNUM(Q78,21)</f>
        <v>Sem - 24</v>
      </c>
      <c r="U78" s="1" t="str">
        <f aca="false">PROPER(TEXT(Q78,"mmmm"))</f>
        <v>June</v>
      </c>
      <c r="V78" s="37" t="str">
        <f aca="false">+TEXT(Q78,"aaa")</f>
        <v>Mon</v>
      </c>
      <c r="W78" s="32"/>
      <c r="X78" s="38" t="n">
        <f aca="false">IFERROR(IF(M78="Abs",0,IF((D78-C78+E78-F78)&lt;0.000694444444444444,0,(D78-C78+E78-F78))),0)</f>
        <v>0</v>
      </c>
      <c r="Y78" s="39" t="str">
        <f aca="false">IFERROR(VLOOKUP(B78,Annuaire_roster!B:E,4,0),"-")</f>
        <v>OUAQERROUCH Nour-El Houda</v>
      </c>
      <c r="Z78" s="39" t="str">
        <f aca="false">IFERROR(VLOOKUP(B78,Annuaire_roster!B:F,3,0),"-")</f>
        <v>Google Leads</v>
      </c>
      <c r="AA78" s="39" t="str">
        <f aca="false">IFERROR(VLOOKUP(B78,Annuaire_roster!B:I,6,0),"-")</f>
        <v>Forfaitaire</v>
      </c>
      <c r="AB78" s="40" t="str">
        <f aca="false">IF(AND(D78="Congé",F78="Congé"),0.333333333333333,IF(OR(AND(D78="Congé",F78&lt;&gt;"Congé"),(AND(F78="Congé",D78&lt;&gt;"Congé"))),0.166666666666667,""))</f>
        <v/>
      </c>
      <c r="AC78" s="40" t="str">
        <f aca="false">IF(AND(D78="Congé sans solde",F78="Congé sans solde"),0.333333333333333,IF(OR(AND(D78="Congé sans solde",F78&lt;&gt;"Congé sans solde"),(AND(F78="Congé sans solde",D78&lt;&gt;"Congé sans solde"))),0.166666666666667,""))</f>
        <v/>
      </c>
      <c r="AD78" s="40" t="str">
        <f aca="false">IF(AND(D78="Congé spécial",F78="Congé spécial"),0.333333333333333,IF(OR(AND(D78="Congé spécial",F78&lt;&gt;"Congé décès"),(AND(F78="Congé spécial",D78&lt;&gt;"Congé spécial"))),0.166666666666667,""))</f>
        <v/>
      </c>
      <c r="AE78" s="41" t="str">
        <f aca="false">IF(AND(D78="Férié",F78="Férié"),0.333333333333333,IF(OR(AND(D78="Férié",F78&lt;&gt;"Férié"),(AND(F78="Férié",D78&lt;&gt;"Férié"))),0.166666666666667,""))</f>
        <v/>
      </c>
      <c r="AF78" s="41"/>
      <c r="AG78" s="36"/>
    </row>
    <row r="79" customFormat="false" ht="12.75" hidden="true" customHeight="true" outlineLevel="0" collapsed="false">
      <c r="A79" s="22" t="n">
        <f aca="false">VLOOKUP(B79,Annuaire_roster!B:F,5,0)</f>
        <v>1131</v>
      </c>
      <c r="B79" s="23" t="s">
        <v>50</v>
      </c>
      <c r="C79" s="24" t="str">
        <f aca="false">IFERROR(IF(COUNTIFS(Pointage_brut!$E:$E,VLOOKUP($B79,Annuaire_roster!$B:$J,9,0),Pointage_brut!$A:$A,TEXT($Q79,"yyyymmdd")*1)=0,"",MOD(_xlfn.MINIFS(Pointage_brut!$F:$F,Pointage_brut!$E:$E,VLOOKUP($B79,Annuaire_roster!$B:$J,9,0),Pointage_brut!$A:$A,TEXT($Q79,"yyyymmdd")*1),1)),"")</f>
        <v/>
      </c>
      <c r="D79" s="25" t="n">
        <f aca="false" t="array" ref="D79:D79">IFERROR(INDEX(Planning2[],MATCH(1,(Planning2[Nom]=B79)*(Planning2[Date]=Q79),0),3),"-")</f>
        <v>0.416666666666667</v>
      </c>
      <c r="E79" s="26" t="str">
        <f aca="false">IFERROR(IF(COUNTIFS(Pointage_brut!$E:$E,VLOOKUP($B79,Annuaire_roster!$B:$J,9,0),Pointage_brut!$A:$A,TEXT($Q79,"yyyymmdd")*1)=0,"",MOD(_xlfn.MAXIFS(Pointage_brut!$G:$G,Pointage_brut!$E:$E,VLOOKUP($B79,Annuaire_roster!$B:$J,9,0),Pointage_brut!$A:$A,TEXT($Q79,"yyyymmdd")*1),1)),"")</f>
        <v/>
      </c>
      <c r="F79" s="27" t="n">
        <f aca="false" t="array" ref="F79:F79">IFERROR(INDEX(Planning2[],MATCH(1,(Planning2[Nom]=B79)*(Planning2[Date]=Q79),0),4),"-")</f>
        <v>0.833333333333333</v>
      </c>
      <c r="G79" s="28"/>
      <c r="H79" s="28"/>
      <c r="I79" s="29" t="str">
        <f aca="false">IF(IF(OR(C79="",D79="Congé",D79="OFF",D79="Congé spécial"),"",IF(D79&gt;F79,D79-C79,IF(C79-D79&lt;0,0,C79-D79)))&lt;0.00068287037037037,"",IF(OR(D79="Congé",D79="OFF",C79="",D79="Congé spécial"),"",IF(D79&gt;F79,D79-C79,IF(C79-D79&lt;0,0,C79-D79))))</f>
        <v/>
      </c>
      <c r="J79" s="28"/>
      <c r="K79" s="30" t="n">
        <f aca="false">IF(SUM(H79:J79)&lt;0.00068287037037037,0,SUM(H79:J79))</f>
        <v>0</v>
      </c>
      <c r="L79" s="28" t="n">
        <f aca="false">IF(OR(F79="Congé",F79="OFF",M79="Abs",F79="Congé sans solde",F79="Férié",F79="Congé spécial",D79="Congé spécial"),0,IF(F79-E79&lt;0,0,IF(F79-E79&lt;=0.00068287037037037,0,F79-E79)))</f>
        <v>0</v>
      </c>
      <c r="M79" s="31" t="str">
        <f aca="false">IF(AND(O79&lt;&gt;0,C79=""),"Abs",0)</f>
        <v>Abs</v>
      </c>
      <c r="N79" s="32" t="str">
        <f aca="false">IFERROR(IF(OR(D79="OFF",D79="Congé",M79="Abs",D79="Congé sans solde",D79="Férié"),"",IF(O79-K79-L79&gt;O79,O79,IF(O79-K79-L79&lt;0,"",O79-K79-L79))),"")</f>
        <v/>
      </c>
      <c r="O79" s="33" t="n">
        <f aca="false">IF(AG79="2H Pause déjeuner",IF(F79-D79-0.0833333333333333&lt;0,F79-D79-0.0833333333333333+1,F79-D79-0.0833333333333333),IF(OR(AND(F79="OFF",D79="OFF"),AND(F79="Congé",D79="Congé"),AND(F79="Congé sans solde",D79="Congé sans solde"),AND(F79="Congé spécial",D79="Congé spécial"),AND(F79="Férié",D79="Férié"),AND(F79="OFF",D79="Congé"),AND(F79="OFF",D79="Congé sans solde"),AND(F79="OFF",D79="Congé spécial"),AND(F79="OFF",D79="Férié"),AND(F79="Congé",D79="OFF"),AND(F79="Congé",D79="Congé sans solde"),AND(F79="Congé",D79="Congé spécial"),AND(F79="Congé",D79="Férié"),AND(F79="Congé sans solde",D79="OFF"),AND(F79="Congé sans solde",D79="Congé"),AND(F79="Congé sans solde",D79="Congé spécial"),AND(F79="Congé sans solde",D79="Férié"),AND(F79="Congé spécial",D79="OFF"),AND(F79="Congé spécial",D79="Congé"),AND(F79="Congé spécial",D79="Congé sans solde"),AND(F79="Congé spécial",D79="Férié"),AND(F79="Férié",D79="OFF"),AND(F79="Férié",D79="Congé"),AND(F79="Férié",D79="Congé sans solde"),AND(F79="Férié",D79="Congé spécial")),0,IF(OR(F79="OFF",F79="Congé",F79="Congé spécial",F79="Congé sans solde",D79="OFF",D79="Congé",D79="Congé spécial",D79="Congé sans solde"),0.208333333333334,IF(AND(AG79="",F79-D79&lt;0),("24:00:00"-D79)+("00:00:00"+F79)-0.0416666666666667,IF(AND(OR(AG79="Allaitement",AG79="Sans déjeuner"),F79-D79&lt;0),("24:00:00"-D79)+("00:00:00"+F79),IF(AND(AG79="",F79-D79&gt;0.166666666666667),F79-D79-0.0416666666666667,IF(AND(OR(AG79="Allaitement",AG79="Sans déjeuner"),F79-D79&gt;0.166666666666667),F79-D79,F79-D79)))))))</f>
        <v>0.375</v>
      </c>
      <c r="P79" s="34" t="str">
        <f aca="false">IFERROR(VLOOKUP($B79,Annuaire_roster!$B:$G,MATCH(P$1,Annuaire_roster!$B$1:$G$1,0),0),"-")</f>
        <v>Google Leads</v>
      </c>
      <c r="Q79" s="35" t="n">
        <v>44719</v>
      </c>
      <c r="R79" s="36" t="n">
        <f aca="false">IF(M79="Abs",O79,0)</f>
        <v>0.375</v>
      </c>
      <c r="S79" s="36" t="n">
        <f aca="false">SUM(R79,L79,I79,J79,W79,H79)</f>
        <v>0.375</v>
      </c>
      <c r="T79" s="1" t="str">
        <f aca="false">"Sem - "&amp;WEEKNUM(Q79,21)</f>
        <v>Sem - 24</v>
      </c>
      <c r="U79" s="1" t="str">
        <f aca="false">PROPER(TEXT(Q79,"mmmm"))</f>
        <v>June</v>
      </c>
      <c r="V79" s="37" t="str">
        <f aca="false">+TEXT(Q79,"aaa")</f>
        <v>Mon</v>
      </c>
      <c r="W79" s="32"/>
      <c r="X79" s="38" t="n">
        <f aca="false">IFERROR(IF(M79="Abs",0,IF((D79-C79+E79-F79)&lt;0.000694444444444444,0,(D79-C79+E79-F79))),0)</f>
        <v>0</v>
      </c>
      <c r="Y79" s="39" t="str">
        <f aca="false">IFERROR(VLOOKUP(B79,Annuaire_roster!B:E,4,0),"-")</f>
        <v>CHOUIFI Mustapha</v>
      </c>
      <c r="Z79" s="39" t="str">
        <f aca="false">IFERROR(VLOOKUP(B79,Annuaire_roster!B:F,3,0),"-")</f>
        <v>Google Leads</v>
      </c>
      <c r="AA79" s="39" t="str">
        <f aca="false">IFERROR(VLOOKUP(B79,Annuaire_roster!B:I,6,0),"-")</f>
        <v>Forfaitaire</v>
      </c>
      <c r="AB79" s="40" t="str">
        <f aca="false">IF(AND(D79="Congé",F79="Congé"),0.333333333333333,IF(OR(AND(D79="Congé",F79&lt;&gt;"Congé"),(AND(F79="Congé",D79&lt;&gt;"Congé"))),0.166666666666667,""))</f>
        <v/>
      </c>
      <c r="AC79" s="40" t="str">
        <f aca="false">IF(AND(D79="Congé sans solde",F79="Congé sans solde"),0.333333333333333,IF(OR(AND(D79="Congé sans solde",F79&lt;&gt;"Congé sans solde"),(AND(F79="Congé sans solde",D79&lt;&gt;"Congé sans solde"))),0.166666666666667,""))</f>
        <v/>
      </c>
      <c r="AD79" s="40" t="str">
        <f aca="false">IF(AND(D79="Congé spécial",F79="Congé spécial"),0.333333333333333,IF(OR(AND(D79="Congé spécial",F79&lt;&gt;"Congé décès"),(AND(F79="Congé spécial",D79&lt;&gt;"Congé spécial"))),0.166666666666667,""))</f>
        <v/>
      </c>
      <c r="AE79" s="41" t="str">
        <f aca="false">IF(AND(D79="Férié",F79="Férié"),0.333333333333333,IF(OR(AND(D79="Férié",F79&lt;&gt;"Férié"),(AND(F79="Férié",D79&lt;&gt;"Férié"))),0.166666666666667,""))</f>
        <v/>
      </c>
      <c r="AF79" s="41"/>
      <c r="AG79" s="36"/>
    </row>
    <row r="80" customFormat="false" ht="12.75" hidden="true" customHeight="true" outlineLevel="0" collapsed="false">
      <c r="A80" s="22" t="n">
        <f aca="false">VLOOKUP(B80,Annuaire_roster!B:F,5,0)</f>
        <v>1145</v>
      </c>
      <c r="B80" s="23" t="s">
        <v>61</v>
      </c>
      <c r="C80" s="24" t="str">
        <f aca="false">IFERROR(IF(COUNTIFS(Pointage_brut!$E:$E,VLOOKUP($B80,Annuaire_roster!$B:$J,9,0),Pointage_brut!$A:$A,TEXT($Q80,"yyyymmdd")*1)=0,"",MOD(_xlfn.MINIFS(Pointage_brut!$F:$F,Pointage_brut!$E:$E,VLOOKUP($B80,Annuaire_roster!$B:$J,9,0),Pointage_brut!$A:$A,TEXT($Q80,"yyyymmdd")*1),1)),"")</f>
        <v/>
      </c>
      <c r="D80" s="25" t="n">
        <f aca="false" t="array" ref="D80:D80">IFERROR(INDEX(Planning2[],MATCH(1,(Planning2[Nom]=B80)*(Planning2[Date]=Q80),0),3),"-")</f>
        <v>0.416666666666667</v>
      </c>
      <c r="E80" s="26" t="str">
        <f aca="false">IFERROR(IF(COUNTIFS(Pointage_brut!$E:$E,VLOOKUP($B80,Annuaire_roster!$B:$J,9,0),Pointage_brut!$A:$A,TEXT($Q80,"yyyymmdd")*1)=0,"",MOD(_xlfn.MAXIFS(Pointage_brut!$G:$G,Pointage_brut!$E:$E,VLOOKUP($B80,Annuaire_roster!$B:$J,9,0),Pointage_brut!$A:$A,TEXT($Q80,"yyyymmdd")*1),1)),"")</f>
        <v/>
      </c>
      <c r="F80" s="27" t="n">
        <f aca="false" t="array" ref="F80:F80">IFERROR(INDEX(Planning2[],MATCH(1,(Planning2[Nom]=B80)*(Planning2[Date]=Q80),0),4),"-")</f>
        <v>0.833333333333333</v>
      </c>
      <c r="G80" s="28"/>
      <c r="H80" s="28"/>
      <c r="I80" s="29" t="str">
        <f aca="false">IF(IF(OR(C80="",D80="Congé",D80="OFF",D80="Congé spécial"),"",IF(D80&gt;F80,D80-C80,IF(C80-D80&lt;0,0,C80-D80)))&lt;0.00068287037037037,"",IF(OR(D80="Congé",D80="OFF",C80="",D80="Congé spécial"),"",IF(D80&gt;F80,D80-C80,IF(C80-D80&lt;0,0,C80-D80))))</f>
        <v/>
      </c>
      <c r="J80" s="28"/>
      <c r="K80" s="30" t="n">
        <f aca="false">IF(SUM(H80:J80)&lt;0.00068287037037037,0,SUM(H80:J80))</f>
        <v>0</v>
      </c>
      <c r="L80" s="28" t="n">
        <f aca="false">IF(OR(F80="Congé",F80="OFF",M80="Abs",F80="Congé sans solde",F80="Férié",F80="Congé spécial",D80="Congé spécial"),0,IF(F80-E80&lt;0,0,IF(F80-E80&lt;=0.00068287037037037,0,F80-E80)))</f>
        <v>0</v>
      </c>
      <c r="M80" s="31" t="str">
        <f aca="false">IF(AND(O80&lt;&gt;0,C80=""),"Abs",0)</f>
        <v>Abs</v>
      </c>
      <c r="N80" s="32" t="str">
        <f aca="false">IFERROR(IF(OR(D80="OFF",D80="Congé",M80="Abs",D80="Congé sans solde",D80="Férié"),"",IF(O80-K80-L80&gt;O80,O80,IF(O80-K80-L80&lt;0,"",O80-K80-L80))),"")</f>
        <v/>
      </c>
      <c r="O80" s="33" t="n">
        <f aca="false">IF(AG80="2H Pause déjeuner",IF(F80-D80-0.0833333333333333&lt;0,F80-D80-0.0833333333333333+1,F80-D80-0.0833333333333333),IF(OR(AND(F80="OFF",D80="OFF"),AND(F80="Congé",D80="Congé"),AND(F80="Congé sans solde",D80="Congé sans solde"),AND(F80="Congé spécial",D80="Congé spécial"),AND(F80="Férié",D80="Férié"),AND(F80="OFF",D80="Congé"),AND(F80="OFF",D80="Congé sans solde"),AND(F80="OFF",D80="Congé spécial"),AND(F80="OFF",D80="Férié"),AND(F80="Congé",D80="OFF"),AND(F80="Congé",D80="Congé sans solde"),AND(F80="Congé",D80="Congé spécial"),AND(F80="Congé",D80="Férié"),AND(F80="Congé sans solde",D80="OFF"),AND(F80="Congé sans solde",D80="Congé"),AND(F80="Congé sans solde",D80="Congé spécial"),AND(F80="Congé sans solde",D80="Férié"),AND(F80="Congé spécial",D80="OFF"),AND(F80="Congé spécial",D80="Congé"),AND(F80="Congé spécial",D80="Congé sans solde"),AND(F80="Congé spécial",D80="Férié"),AND(F80="Férié",D80="OFF"),AND(F80="Férié",D80="Congé"),AND(F80="Férié",D80="Congé sans solde"),AND(F80="Férié",D80="Congé spécial")),0,IF(OR(F80="OFF",F80="Congé",F80="Congé spécial",F80="Congé sans solde",D80="OFF",D80="Congé",D80="Congé spécial",D80="Congé sans solde"),0.208333333333334,IF(AND(AG80="",F80-D80&lt;0),("24:00:00"-D80)+("00:00:00"+F80)-0.0416666666666667,IF(AND(OR(AG80="Allaitement",AG80="Sans déjeuner"),F80-D80&lt;0),("24:00:00"-D80)+("00:00:00"+F80),IF(AND(AG80="",F80-D80&gt;0.166666666666667),F80-D80-0.0416666666666667,IF(AND(OR(AG80="Allaitement",AG80="Sans déjeuner"),F80-D80&gt;0.166666666666667),F80-D80,F80-D80)))))))</f>
        <v>0.375</v>
      </c>
      <c r="P80" s="34" t="str">
        <f aca="false">IFERROR(VLOOKUP($B80,Annuaire_roster!$B:$G,MATCH(P$1,Annuaire_roster!$B$1:$G$1,0),0),"-")</f>
        <v>Google Leads</v>
      </c>
      <c r="Q80" s="35" t="n">
        <v>44719</v>
      </c>
      <c r="R80" s="36" t="n">
        <f aca="false">IF(M80="Abs",O80,0)</f>
        <v>0.375</v>
      </c>
      <c r="S80" s="36" t="n">
        <f aca="false">SUM(R80,L80,I80,J80,W80,H80)</f>
        <v>0.375</v>
      </c>
      <c r="T80" s="1" t="str">
        <f aca="false">"Sem - "&amp;WEEKNUM(Q80,21)</f>
        <v>Sem - 24</v>
      </c>
      <c r="U80" s="1" t="str">
        <f aca="false">PROPER(TEXT(Q80,"mmmm"))</f>
        <v>June</v>
      </c>
      <c r="V80" s="37" t="str">
        <f aca="false">+TEXT(Q80,"aaa")</f>
        <v>Mon</v>
      </c>
      <c r="W80" s="32"/>
      <c r="X80" s="38" t="n">
        <f aca="false">IFERROR(IF(M80="Abs",0,IF((D80-C80+E80-F80)&lt;0.000694444444444444,0,(D80-C80+E80-F80))),0)</f>
        <v>0</v>
      </c>
      <c r="Y80" s="39" t="str">
        <f aca="false">IFERROR(VLOOKUP(B80,Annuaire_roster!B:E,4,0),"-")</f>
        <v>CHOUIFI Mustapha</v>
      </c>
      <c r="Z80" s="39" t="str">
        <f aca="false">IFERROR(VLOOKUP(B80,Annuaire_roster!B:F,3,0),"-")</f>
        <v>Google Leads</v>
      </c>
      <c r="AA80" s="39" t="str">
        <f aca="false">IFERROR(VLOOKUP(B80,Annuaire_roster!B:I,6,0),"-")</f>
        <v>Forfaitaire</v>
      </c>
      <c r="AB80" s="40" t="str">
        <f aca="false">IF(AND(D80="Congé",F80="Congé"),0.333333333333333,IF(OR(AND(D80="Congé",F80&lt;&gt;"Congé"),(AND(F80="Congé",D80&lt;&gt;"Congé"))),0.166666666666667,""))</f>
        <v/>
      </c>
      <c r="AC80" s="40" t="str">
        <f aca="false">IF(AND(D80="Congé sans solde",F80="Congé sans solde"),0.333333333333333,IF(OR(AND(D80="Congé sans solde",F80&lt;&gt;"Congé sans solde"),(AND(F80="Congé sans solde",D80&lt;&gt;"Congé sans solde"))),0.166666666666667,""))</f>
        <v/>
      </c>
      <c r="AD80" s="40" t="str">
        <f aca="false">IF(AND(D80="Congé spécial",F80="Congé spécial"),0.333333333333333,IF(OR(AND(D80="Congé spécial",F80&lt;&gt;"Congé décès"),(AND(F80="Congé spécial",D80&lt;&gt;"Congé spécial"))),0.166666666666667,""))</f>
        <v/>
      </c>
      <c r="AE80" s="41" t="str">
        <f aca="false">IF(AND(D80="Férié",F80="Férié"),0.333333333333333,IF(OR(AND(D80="Férié",F80&lt;&gt;"Férié"),(AND(F80="Férié",D80&lt;&gt;"Férié"))),0.166666666666667,""))</f>
        <v/>
      </c>
      <c r="AF80" s="41"/>
      <c r="AG80" s="36"/>
    </row>
    <row r="81" customFormat="false" ht="12.75" hidden="true" customHeight="true" outlineLevel="0" collapsed="false">
      <c r="A81" s="22" t="n">
        <f aca="false">VLOOKUP(B81,Annuaire_roster!B:F,5,0)</f>
        <v>971</v>
      </c>
      <c r="B81" s="23" t="s">
        <v>58</v>
      </c>
      <c r="C81" s="24" t="str">
        <f aca="false">IFERROR(IF(COUNTIFS(Pointage_brut!$E:$E,VLOOKUP($B81,Annuaire_roster!$B:$J,9,0),Pointage_brut!$A:$A,TEXT($Q81,"yyyymmdd")*1)=0,"",MOD(_xlfn.MINIFS(Pointage_brut!$F:$F,Pointage_brut!$E:$E,VLOOKUP($B81,Annuaire_roster!$B:$J,9,0),Pointage_brut!$A:$A,TEXT($Q81,"yyyymmdd")*1),1)),"")</f>
        <v/>
      </c>
      <c r="D81" s="25" t="n">
        <f aca="false" t="array" ref="D81:D81">IFERROR(INDEX(Planning2[],MATCH(1,(Planning2[Nom]=B81)*(Planning2[Date]=Q81),0),3),"-")</f>
        <v>0.416666666666667</v>
      </c>
      <c r="E81" s="26" t="str">
        <f aca="false">IFERROR(IF(COUNTIFS(Pointage_brut!$E:$E,VLOOKUP($B81,Annuaire_roster!$B:$J,9,0),Pointage_brut!$A:$A,TEXT($Q81,"yyyymmdd")*1)=0,"",MOD(_xlfn.MAXIFS(Pointage_brut!$G:$G,Pointage_brut!$E:$E,VLOOKUP($B81,Annuaire_roster!$B:$J,9,0),Pointage_brut!$A:$A,TEXT($Q81,"yyyymmdd")*1),1)),"")</f>
        <v/>
      </c>
      <c r="F81" s="27" t="n">
        <f aca="false" t="array" ref="F81:F81">IFERROR(INDEX(Planning2[],MATCH(1,(Planning2[Nom]=B81)*(Planning2[Date]=Q81),0),4),"-")</f>
        <v>0.833333333333333</v>
      </c>
      <c r="G81" s="28"/>
      <c r="H81" s="28"/>
      <c r="I81" s="29" t="str">
        <f aca="false">IF(IF(OR(C81="",D81="Congé",D81="OFF",D81="Congé spécial"),"",IF(D81&gt;F81,D81-C81,IF(C81-D81&lt;0,0,C81-D81)))&lt;0.00068287037037037,"",IF(OR(D81="Congé",D81="OFF",C81="",D81="Congé spécial"),"",IF(D81&gt;F81,D81-C81,IF(C81-D81&lt;0,0,C81-D81))))</f>
        <v/>
      </c>
      <c r="J81" s="28"/>
      <c r="K81" s="30" t="n">
        <f aca="false">IF(SUM(H81:J81)&lt;0.00068287037037037,0,SUM(H81:J81))</f>
        <v>0</v>
      </c>
      <c r="L81" s="28" t="n">
        <f aca="false">IF(OR(F81="Congé",F81="OFF",M81="Abs",F81="Congé sans solde",F81="Férié",F81="Congé spécial",D81="Congé spécial"),0,IF(F81-E81&lt;0,0,IF(F81-E81&lt;=0.00068287037037037,0,F81-E81)))</f>
        <v>0</v>
      </c>
      <c r="M81" s="31" t="str">
        <f aca="false">IF(AND(O81&lt;&gt;0,C81=""),"Abs",0)</f>
        <v>Abs</v>
      </c>
      <c r="N81" s="32" t="str">
        <f aca="false">IFERROR(IF(OR(D81="OFF",D81="Congé",M81="Abs",D81="Congé sans solde",D81="Férié"),"",IF(O81-K81-L81&gt;O81,O81,IF(O81-K81-L81&lt;0,"",O81-K81-L81))),"")</f>
        <v/>
      </c>
      <c r="O81" s="33" t="n">
        <f aca="false">IF(AG81="2H Pause déjeuner",IF(F81-D81-0.0833333333333333&lt;0,F81-D81-0.0833333333333333+1,F81-D81-0.0833333333333333),IF(OR(AND(F81="OFF",D81="OFF"),AND(F81="Congé",D81="Congé"),AND(F81="Congé sans solde",D81="Congé sans solde"),AND(F81="Congé spécial",D81="Congé spécial"),AND(F81="Férié",D81="Férié"),AND(F81="OFF",D81="Congé"),AND(F81="OFF",D81="Congé sans solde"),AND(F81="OFF",D81="Congé spécial"),AND(F81="OFF",D81="Férié"),AND(F81="Congé",D81="OFF"),AND(F81="Congé",D81="Congé sans solde"),AND(F81="Congé",D81="Congé spécial"),AND(F81="Congé",D81="Férié"),AND(F81="Congé sans solde",D81="OFF"),AND(F81="Congé sans solde",D81="Congé"),AND(F81="Congé sans solde",D81="Congé spécial"),AND(F81="Congé sans solde",D81="Férié"),AND(F81="Congé spécial",D81="OFF"),AND(F81="Congé spécial",D81="Congé"),AND(F81="Congé spécial",D81="Congé sans solde"),AND(F81="Congé spécial",D81="Férié"),AND(F81="Férié",D81="OFF"),AND(F81="Férié",D81="Congé"),AND(F81="Férié",D81="Congé sans solde"),AND(F81="Férié",D81="Congé spécial")),0,IF(OR(F81="OFF",F81="Congé",F81="Congé spécial",F81="Congé sans solde",D81="OFF",D81="Congé",D81="Congé spécial",D81="Congé sans solde"),0.208333333333334,IF(AND(AG81="",F81-D81&lt;0),("24:00:00"-D81)+("00:00:00"+F81)-0.0416666666666667,IF(AND(OR(AG81="Allaitement",AG81="Sans déjeuner"),F81-D81&lt;0),("24:00:00"-D81)+("00:00:00"+F81),IF(AND(AG81="",F81-D81&gt;0.166666666666667),F81-D81-0.0416666666666667,IF(AND(OR(AG81="Allaitement",AG81="Sans déjeuner"),F81-D81&gt;0.166666666666667),F81-D81,F81-D81)))))))</f>
        <v>0.375</v>
      </c>
      <c r="P81" s="34" t="str">
        <f aca="false">IFERROR(VLOOKUP($B81,Annuaire_roster!$B:$G,MATCH(P$1,Annuaire_roster!$B$1:$G$1,0),0),"-")</f>
        <v>Google Leads</v>
      </c>
      <c r="Q81" s="35" t="n">
        <v>44719</v>
      </c>
      <c r="R81" s="36" t="n">
        <f aca="false">IF(M81="Abs",O81,0)</f>
        <v>0.375</v>
      </c>
      <c r="S81" s="36" t="n">
        <f aca="false">SUM(R81,L81,I81,J81,W81,H81)</f>
        <v>0.375</v>
      </c>
      <c r="T81" s="1" t="str">
        <f aca="false">"Sem - "&amp;WEEKNUM(Q81,21)</f>
        <v>Sem - 24</v>
      </c>
      <c r="U81" s="1" t="str">
        <f aca="false">PROPER(TEXT(Q81,"mmmm"))</f>
        <v>June</v>
      </c>
      <c r="V81" s="37" t="str">
        <f aca="false">+TEXT(Q81,"aaa")</f>
        <v>Mon</v>
      </c>
      <c r="W81" s="32"/>
      <c r="X81" s="38" t="n">
        <f aca="false">IFERROR(IF(M81="Abs",0,IF((D81-C81+E81-F81)&lt;0.000694444444444444,0,(D81-C81+E81-F81))),0)</f>
        <v>0</v>
      </c>
      <c r="Y81" s="39" t="str">
        <f aca="false">IFERROR(VLOOKUP(B81,Annuaire_roster!B:E,4,0),"-")</f>
        <v>CHOUIFI Mustapha</v>
      </c>
      <c r="Z81" s="39" t="str">
        <f aca="false">IFERROR(VLOOKUP(B81,Annuaire_roster!B:F,3,0),"-")</f>
        <v>Google Leads</v>
      </c>
      <c r="AA81" s="39" t="str">
        <f aca="false">IFERROR(VLOOKUP(B81,Annuaire_roster!B:I,6,0),"-")</f>
        <v>Forfaitaire</v>
      </c>
      <c r="AB81" s="40" t="str">
        <f aca="false">IF(AND(D81="Congé",F81="Congé"),0.333333333333333,IF(OR(AND(D81="Congé",F81&lt;&gt;"Congé"),(AND(F81="Congé",D81&lt;&gt;"Congé"))),0.166666666666667,""))</f>
        <v/>
      </c>
      <c r="AC81" s="40" t="str">
        <f aca="false">IF(AND(D81="Congé sans solde",F81="Congé sans solde"),0.333333333333333,IF(OR(AND(D81="Congé sans solde",F81&lt;&gt;"Congé sans solde"),(AND(F81="Congé sans solde",D81&lt;&gt;"Congé sans solde"))),0.166666666666667,""))</f>
        <v/>
      </c>
      <c r="AD81" s="40" t="str">
        <f aca="false">IF(AND(D81="Congé spécial",F81="Congé spécial"),0.333333333333333,IF(OR(AND(D81="Congé spécial",F81&lt;&gt;"Congé décès"),(AND(F81="Congé spécial",D81&lt;&gt;"Congé spécial"))),0.166666666666667,""))</f>
        <v/>
      </c>
      <c r="AE81" s="41" t="str">
        <f aca="false">IF(AND(D81="Férié",F81="Férié"),0.333333333333333,IF(OR(AND(D81="Férié",F81&lt;&gt;"Férié"),(AND(F81="Férié",D81&lt;&gt;"Férié"))),0.166666666666667,""))</f>
        <v/>
      </c>
      <c r="AF81" s="41"/>
      <c r="AG81" s="36"/>
    </row>
    <row r="82" customFormat="false" ht="12.75" hidden="true" customHeight="true" outlineLevel="0" collapsed="false">
      <c r="A82" s="22" t="n">
        <f aca="false">VLOOKUP(B82,Annuaire_roster!B:F,5,0)</f>
        <v>1008</v>
      </c>
      <c r="B82" s="23" t="s">
        <v>60</v>
      </c>
      <c r="C82" s="24" t="str">
        <f aca="false">IFERROR(IF(COUNTIFS(Pointage_brut!$E:$E,VLOOKUP($B82,Annuaire_roster!$B:$J,9,0),Pointage_brut!$A:$A,TEXT($Q82,"yyyymmdd")*1)=0,"",MOD(_xlfn.MINIFS(Pointage_brut!$F:$F,Pointage_brut!$E:$E,VLOOKUP($B82,Annuaire_roster!$B:$J,9,0),Pointage_brut!$A:$A,TEXT($Q82,"yyyymmdd")*1),1)),"")</f>
        <v/>
      </c>
      <c r="D82" s="25" t="n">
        <f aca="false" t="array" ref="D82:D82">IFERROR(INDEX(Planning2[],MATCH(1,(Planning2[Nom]=B82)*(Planning2[Date]=Q82),0),3),"-")</f>
        <v>0.416666666666667</v>
      </c>
      <c r="E82" s="26" t="str">
        <f aca="false">IFERROR(IF(COUNTIFS(Pointage_brut!$E:$E,VLOOKUP($B82,Annuaire_roster!$B:$J,9,0),Pointage_brut!$A:$A,TEXT($Q82,"yyyymmdd")*1)=0,"",MOD(_xlfn.MAXIFS(Pointage_brut!$G:$G,Pointage_brut!$E:$E,VLOOKUP($B82,Annuaire_roster!$B:$J,9,0),Pointage_brut!$A:$A,TEXT($Q82,"yyyymmdd")*1),1)),"")</f>
        <v/>
      </c>
      <c r="F82" s="27" t="n">
        <f aca="false" t="array" ref="F82:F82">IFERROR(INDEX(Planning2[],MATCH(1,(Planning2[Nom]=B82)*(Planning2[Date]=Q82),0),4),"-")</f>
        <v>0.833333333333333</v>
      </c>
      <c r="G82" s="28"/>
      <c r="H82" s="28"/>
      <c r="I82" s="29" t="str">
        <f aca="false">IF(IF(OR(C82="",D82="Congé",D82="OFF",D82="Congé spécial"),"",IF(D82&gt;F82,D82-C82,IF(C82-D82&lt;0,0,C82-D82)))&lt;0.00068287037037037,"",IF(OR(D82="Congé",D82="OFF",C82="",D82="Congé spécial"),"",IF(D82&gt;F82,D82-C82,IF(C82-D82&lt;0,0,C82-D82))))</f>
        <v/>
      </c>
      <c r="J82" s="28"/>
      <c r="K82" s="30" t="n">
        <f aca="false">IF(SUM(H82:J82)&lt;0.00068287037037037,0,SUM(H82:J82))</f>
        <v>0</v>
      </c>
      <c r="L82" s="28" t="n">
        <f aca="false">IF(OR(F82="Congé",F82="OFF",M82="Abs",F82="Congé sans solde",F82="Férié",F82="Congé spécial",D82="Congé spécial"),0,IF(F82-E82&lt;0,0,IF(F82-E82&lt;=0.00068287037037037,0,F82-E82)))</f>
        <v>0</v>
      </c>
      <c r="M82" s="31" t="str">
        <f aca="false">IF(AND(O82&lt;&gt;0,C82=""),"Abs",0)</f>
        <v>Abs</v>
      </c>
      <c r="N82" s="32" t="str">
        <f aca="false">IFERROR(IF(OR(D82="OFF",D82="Congé",M82="Abs",D82="Congé sans solde",D82="Férié"),"",IF(O82-K82-L82&gt;O82,O82,IF(O82-K82-L82&lt;0,"",O82-K82-L82))),"")</f>
        <v/>
      </c>
      <c r="O82" s="33" t="n">
        <f aca="false">IF(AG82="2H Pause déjeuner",IF(F82-D82-0.0833333333333333&lt;0,F82-D82-0.0833333333333333+1,F82-D82-0.0833333333333333),IF(OR(AND(F82="OFF",D82="OFF"),AND(F82="Congé",D82="Congé"),AND(F82="Congé sans solde",D82="Congé sans solde"),AND(F82="Congé spécial",D82="Congé spécial"),AND(F82="Férié",D82="Férié"),AND(F82="OFF",D82="Congé"),AND(F82="OFF",D82="Congé sans solde"),AND(F82="OFF",D82="Congé spécial"),AND(F82="OFF",D82="Férié"),AND(F82="Congé",D82="OFF"),AND(F82="Congé",D82="Congé sans solde"),AND(F82="Congé",D82="Congé spécial"),AND(F82="Congé",D82="Férié"),AND(F82="Congé sans solde",D82="OFF"),AND(F82="Congé sans solde",D82="Congé"),AND(F82="Congé sans solde",D82="Congé spécial"),AND(F82="Congé sans solde",D82="Férié"),AND(F82="Congé spécial",D82="OFF"),AND(F82="Congé spécial",D82="Congé"),AND(F82="Congé spécial",D82="Congé sans solde"),AND(F82="Congé spécial",D82="Férié"),AND(F82="Férié",D82="OFF"),AND(F82="Férié",D82="Congé"),AND(F82="Férié",D82="Congé sans solde"),AND(F82="Férié",D82="Congé spécial")),0,IF(OR(F82="OFF",F82="Congé",F82="Congé spécial",F82="Congé sans solde",D82="OFF",D82="Congé",D82="Congé spécial",D82="Congé sans solde"),0.208333333333334,IF(AND(AG82="",F82-D82&lt;0),("24:00:00"-D82)+("00:00:00"+F82)-0.0416666666666667,IF(AND(OR(AG82="Allaitement",AG82="Sans déjeuner"),F82-D82&lt;0),("24:00:00"-D82)+("00:00:00"+F82),IF(AND(AG82="",F82-D82&gt;0.166666666666667),F82-D82-0.0416666666666667,IF(AND(OR(AG82="Allaitement",AG82="Sans déjeuner"),F82-D82&gt;0.166666666666667),F82-D82,F82-D82)))))))</f>
        <v>0.375</v>
      </c>
      <c r="P82" s="34" t="str">
        <f aca="false">IFERROR(VLOOKUP($B82,Annuaire_roster!$B:$G,MATCH(P$1,Annuaire_roster!$B$1:$G$1,0),0),"-")</f>
        <v>Google Leads</v>
      </c>
      <c r="Q82" s="35" t="n">
        <v>44719</v>
      </c>
      <c r="R82" s="36" t="n">
        <f aca="false">IF(M82="Abs",O82,0)</f>
        <v>0.375</v>
      </c>
      <c r="S82" s="36" t="n">
        <f aca="false">SUM(R82,L82,I82,J82,W82,H82)</f>
        <v>0.375</v>
      </c>
      <c r="T82" s="1" t="str">
        <f aca="false">"Sem - "&amp;WEEKNUM(Q82,21)</f>
        <v>Sem - 24</v>
      </c>
      <c r="U82" s="1" t="str">
        <f aca="false">PROPER(TEXT(Q82,"mmmm"))</f>
        <v>June</v>
      </c>
      <c r="V82" s="37" t="str">
        <f aca="false">+TEXT(Q82,"aaa")</f>
        <v>Mon</v>
      </c>
      <c r="W82" s="32"/>
      <c r="X82" s="38" t="n">
        <f aca="false">IFERROR(IF(M82="Abs",0,IF((D82-C82+E82-F82)&lt;0.000694444444444444,0,(D82-C82+E82-F82))),0)</f>
        <v>0</v>
      </c>
      <c r="Y82" s="39" t="str">
        <f aca="false">IFERROR(VLOOKUP(B82,Annuaire_roster!B:E,4,0),"-")</f>
        <v>CHOUIFI Mustapha</v>
      </c>
      <c r="Z82" s="39" t="str">
        <f aca="false">IFERROR(VLOOKUP(B82,Annuaire_roster!B:F,3,0),"-")</f>
        <v>Google Leads</v>
      </c>
      <c r="AA82" s="39" t="str">
        <f aca="false">IFERROR(VLOOKUP(B82,Annuaire_roster!B:I,6,0),"-")</f>
        <v>Forfaitaire</v>
      </c>
      <c r="AB82" s="40" t="str">
        <f aca="false">IF(AND(D82="Congé",F82="Congé"),0.333333333333333,IF(OR(AND(D82="Congé",F82&lt;&gt;"Congé"),(AND(F82="Congé",D82&lt;&gt;"Congé"))),0.166666666666667,""))</f>
        <v/>
      </c>
      <c r="AC82" s="40" t="str">
        <f aca="false">IF(AND(D82="Congé sans solde",F82="Congé sans solde"),0.333333333333333,IF(OR(AND(D82="Congé sans solde",F82&lt;&gt;"Congé sans solde"),(AND(F82="Congé sans solde",D82&lt;&gt;"Congé sans solde"))),0.166666666666667,""))</f>
        <v/>
      </c>
      <c r="AD82" s="40" t="str">
        <f aca="false">IF(AND(D82="Congé spécial",F82="Congé spécial"),0.333333333333333,IF(OR(AND(D82="Congé spécial",F82&lt;&gt;"Congé décès"),(AND(F82="Congé spécial",D82&lt;&gt;"Congé spécial"))),0.166666666666667,""))</f>
        <v/>
      </c>
      <c r="AE82" s="41" t="str">
        <f aca="false">IF(AND(D82="Férié",F82="Férié"),0.333333333333333,IF(OR(AND(D82="Férié",F82&lt;&gt;"Férié"),(AND(F82="Férié",D82&lt;&gt;"Férié"))),0.166666666666667,""))</f>
        <v/>
      </c>
      <c r="AF82" s="49"/>
      <c r="AG82" s="36"/>
    </row>
    <row r="83" customFormat="false" ht="12.75" hidden="true" customHeight="true" outlineLevel="0" collapsed="false">
      <c r="A83" s="43" t="n">
        <f aca="false">VLOOKUP(B83,Annuaire_roster!B:F,5,0)</f>
        <v>1167</v>
      </c>
      <c r="B83" s="23" t="s">
        <v>55</v>
      </c>
      <c r="C83" s="24" t="str">
        <f aca="false">IFERROR(IF(COUNTIFS(Pointage_brut!$E:$E,VLOOKUP($B83,Annuaire_roster!$B:$J,9,0),Pointage_brut!$A:$A,TEXT($Q83,"yyyymmdd")*1)=0,"",MOD(_xlfn.MINIFS(Pointage_brut!$F:$F,Pointage_brut!$E:$E,VLOOKUP($B83,Annuaire_roster!$B:$J,9,0),Pointage_brut!$A:$A,TEXT($Q83,"yyyymmdd")*1),1)),"")</f>
        <v/>
      </c>
      <c r="D83" s="25" t="n">
        <f aca="false" t="array" ref="D83:D83">IFERROR(INDEX(Planning2[],MATCH(1,(Planning2[Nom]=B83)*(Planning2[Date]=Q83),0),3),"-")</f>
        <v>0.416666666666667</v>
      </c>
      <c r="E83" s="26" t="str">
        <f aca="false">IFERROR(IF(COUNTIFS(Pointage_brut!$E:$E,VLOOKUP($B83,Annuaire_roster!$B:$J,9,0),Pointage_brut!$A:$A,TEXT($Q83,"yyyymmdd")*1)=0,"",MOD(_xlfn.MAXIFS(Pointage_brut!$G:$G,Pointage_brut!$E:$E,VLOOKUP($B83,Annuaire_roster!$B:$J,9,0),Pointage_brut!$A:$A,TEXT($Q83,"yyyymmdd")*1),1)),"")</f>
        <v/>
      </c>
      <c r="F83" s="27" t="n">
        <f aca="false" t="array" ref="F83:F83">IFERROR(INDEX(Planning2[],MATCH(1,(Planning2[Nom]=B83)*(Planning2[Date]=Q83),0),4),"-")</f>
        <v>0.833333333333333</v>
      </c>
      <c r="G83" s="28"/>
      <c r="H83" s="28"/>
      <c r="I83" s="29" t="str">
        <f aca="false">IF(IF(OR(C83="",D83="Congé",D83="OFF",D83="Congé spécial"),"",IF(D83&gt;F83,D83-C83,IF(C83-D83&lt;0,0,C83-D83)))&lt;0.00068287037037037,"",IF(OR(D83="Congé",D83="OFF",C83="",D83="Congé spécial"),"",IF(D83&gt;F83,D83-C83,IF(C83-D83&lt;0,0,C83-D83))))</f>
        <v/>
      </c>
      <c r="J83" s="28"/>
      <c r="K83" s="30" t="n">
        <f aca="false">IF(SUM(H83:J83)&lt;0.00068287037037037,0,SUM(H83:J83))</f>
        <v>0</v>
      </c>
      <c r="L83" s="28" t="n">
        <f aca="false">IF(OR(F83="Congé",F83="OFF",M83="Abs",F83="Congé sans solde",F83="Férié",F83="Congé spécial",D83="Congé spécial"),0,IF(F83-E83&lt;0,0,IF(F83-E83&lt;=0.00068287037037037,0,F83-E83)))</f>
        <v>0</v>
      </c>
      <c r="M83" s="31" t="str">
        <f aca="false">IF(AND(O83&lt;&gt;0,C83=""),"Abs",0)</f>
        <v>Abs</v>
      </c>
      <c r="N83" s="32" t="str">
        <f aca="false">IFERROR(IF(OR(D83="OFF",D83="Congé",M83="Abs",D83="Congé sans solde",D83="Férié"),"",IF(O83-K83-L83&gt;O83,O83,IF(O83-K83-L83&lt;0,"",O83-K83-L83))),"")</f>
        <v/>
      </c>
      <c r="O83" s="33" t="n">
        <f aca="false">IF(AG83="2H Pause déjeuner",IF(F83-D83-0.0833333333333333&lt;0,F83-D83-0.0833333333333333+1,F83-D83-0.0833333333333333),IF(OR(AND(F83="OFF",D83="OFF"),AND(F83="Congé",D83="Congé"),AND(F83="Congé sans solde",D83="Congé sans solde"),AND(F83="Congé spécial",D83="Congé spécial"),AND(F83="Férié",D83="Férié"),AND(F83="OFF",D83="Congé"),AND(F83="OFF",D83="Congé sans solde"),AND(F83="OFF",D83="Congé spécial"),AND(F83="OFF",D83="Férié"),AND(F83="Congé",D83="OFF"),AND(F83="Congé",D83="Congé sans solde"),AND(F83="Congé",D83="Congé spécial"),AND(F83="Congé",D83="Férié"),AND(F83="Congé sans solde",D83="OFF"),AND(F83="Congé sans solde",D83="Congé"),AND(F83="Congé sans solde",D83="Congé spécial"),AND(F83="Congé sans solde",D83="Férié"),AND(F83="Congé spécial",D83="OFF"),AND(F83="Congé spécial",D83="Congé"),AND(F83="Congé spécial",D83="Congé sans solde"),AND(F83="Congé spécial",D83="Férié"),AND(F83="Férié",D83="OFF"),AND(F83="Férié",D83="Congé"),AND(F83="Férié",D83="Congé sans solde"),AND(F83="Férié",D83="Congé spécial")),0,IF(OR(F83="OFF",F83="Congé",F83="Congé spécial",F83="Congé sans solde",D83="OFF",D83="Congé",D83="Congé spécial",D83="Congé sans solde"),0.208333333333334,IF(AND(AG83="",F83-D83&lt;0),("24:00:00"-D83)+("00:00:00"+F83)-0.0416666666666667,IF(AND(OR(AG83="Allaitement",AG83="Sans déjeuner"),F83-D83&lt;0),("24:00:00"-D83)+("00:00:00"+F83),IF(AND(AG83="",F83-D83&gt;0.166666666666667),F83-D83-0.0416666666666667,IF(AND(OR(AG83="Allaitement",AG83="Sans déjeuner"),F83-D83&gt;0.166666666666667),F83-D83,F83-D83)))))))</f>
        <v>0.375</v>
      </c>
      <c r="P83" s="34" t="str">
        <f aca="false">IFERROR(VLOOKUP($B83,Annuaire_roster!$B:$G,MATCH(P$1,Annuaire_roster!$B$1:$G$1,0),0),"-")</f>
        <v>Google Leads</v>
      </c>
      <c r="Q83" s="45" t="n">
        <v>44719</v>
      </c>
      <c r="R83" s="40" t="n">
        <f aca="false">IF(M83="Abs",O83,0)</f>
        <v>0.375</v>
      </c>
      <c r="S83" s="40" t="n">
        <f aca="false">SUM(R83,L83,I83,J83,W83,H83)</f>
        <v>0.375</v>
      </c>
      <c r="T83" s="1" t="str">
        <f aca="false">"Sem - "&amp;WEEKNUM(Q83,21)</f>
        <v>Sem - 24</v>
      </c>
      <c r="U83" s="1" t="str">
        <f aca="false">PROPER(TEXT(Q83,"mmmm"))</f>
        <v>June</v>
      </c>
      <c r="V83" s="46" t="str">
        <f aca="false">+TEXT(Q83,"aaa")</f>
        <v>Mon</v>
      </c>
      <c r="W83" s="44"/>
      <c r="X83" s="47" t="n">
        <f aca="false">IFERROR(IF(M83="Abs",0,IF((D83-C83+E83-F83)&lt;0.000694444444444444,0,(D83-C83+E83-F83))),0)</f>
        <v>0</v>
      </c>
      <c r="Y83" s="48" t="str">
        <f aca="false">IFERROR(VLOOKUP(B83,Annuaire_roster!B:E,4,0),"-")</f>
        <v>OUAQERROUCH Nour-El Houda</v>
      </c>
      <c r="Z83" s="48" t="str">
        <f aca="false">IFERROR(VLOOKUP(B83,Annuaire_roster!B:F,3,0),"-")</f>
        <v>Google Leads</v>
      </c>
      <c r="AA83" s="48" t="str">
        <f aca="false">IFERROR(VLOOKUP(B83,Annuaire_roster!B:I,6,0),"-")</f>
        <v>Forfaitaire</v>
      </c>
      <c r="AB83" s="40" t="str">
        <f aca="false">IF(AND(D83="Congé",F83="Congé"),0.333333333333333,IF(OR(AND(D83="Congé",F83&lt;&gt;"Congé"),(AND(F83="Congé",D83&lt;&gt;"Congé"))),0.166666666666667,""))</f>
        <v/>
      </c>
      <c r="AC83" s="40" t="str">
        <f aca="false">IF(AND(D83="Congé sans solde",F83="Congé sans solde"),0.333333333333333,IF(OR(AND(D83="Congé sans solde",F83&lt;&gt;"Congé sans solde"),(AND(F83="Congé sans solde",D83&lt;&gt;"Congé sans solde"))),0.166666666666667,""))</f>
        <v/>
      </c>
      <c r="AD83" s="40" t="str">
        <f aca="false">IF(AND(D83="Congé spécial",F83="Congé spécial"),0.333333333333333,IF(OR(AND(D83="Congé spécial",F83&lt;&gt;"Congé décès"),(AND(F83="Congé spécial",D83&lt;&gt;"Congé spécial"))),0.166666666666667,""))</f>
        <v/>
      </c>
      <c r="AE83" s="49" t="str">
        <f aca="false">IF(AND(D83="Férié",F83="Férié"),0.333333333333333,IF(OR(AND(D83="Férié",F83&lt;&gt;"Férié"),(AND(F83="Férié",D83&lt;&gt;"Férié"))),0.166666666666667,""))</f>
        <v/>
      </c>
      <c r="AF83" s="41"/>
      <c r="AG83" s="40"/>
    </row>
    <row r="84" customFormat="false" ht="12.75" hidden="true" customHeight="true" outlineLevel="0" collapsed="false">
      <c r="A84" s="22" t="n">
        <f aca="false">VLOOKUP(B84,Annuaire_roster!B:F,5,0)</f>
        <v>0</v>
      </c>
      <c r="B84" s="23" t="s">
        <v>51</v>
      </c>
      <c r="C84" s="24" t="str">
        <f aca="false">IFERROR(IF(COUNTIFS(Pointage_brut!$E:$E,VLOOKUP($B84,Annuaire_roster!$B:$J,9,0),Pointage_brut!$A:$A,TEXT($Q84,"yyyymmdd")*1)=0,"",MOD(_xlfn.MINIFS(Pointage_brut!$F:$F,Pointage_brut!$E:$E,VLOOKUP($B84,Annuaire_roster!$B:$J,9,0),Pointage_brut!$A:$A,TEXT($Q84,"yyyymmdd")*1),1)),"")</f>
        <v/>
      </c>
      <c r="D84" s="25" t="n">
        <f aca="false" t="array" ref="D84:D84">IFERROR(INDEX(Planning2[],MATCH(1,(Planning2[Nom]=B84)*(Planning2[Date]=Q84),0),3),"-")</f>
        <v>0.416666666666667</v>
      </c>
      <c r="E84" s="26" t="str">
        <f aca="false">IFERROR(IF(COUNTIFS(Pointage_brut!$E:$E,VLOOKUP($B84,Annuaire_roster!$B:$J,9,0),Pointage_brut!$A:$A,TEXT($Q84,"yyyymmdd")*1)=0,"",MOD(_xlfn.MAXIFS(Pointage_brut!$G:$G,Pointage_brut!$E:$E,VLOOKUP($B84,Annuaire_roster!$B:$J,9,0),Pointage_brut!$A:$A,TEXT($Q84,"yyyymmdd")*1),1)),"")</f>
        <v/>
      </c>
      <c r="F84" s="27" t="n">
        <f aca="false" t="array" ref="F84:F84">IFERROR(INDEX(Planning2[],MATCH(1,(Planning2[Nom]=B84)*(Planning2[Date]=Q84),0),4),"-")</f>
        <v>0.833333333333333</v>
      </c>
      <c r="G84" s="28"/>
      <c r="H84" s="28"/>
      <c r="I84" s="29" t="str">
        <f aca="false">IF(IF(OR(C84="",D84="Congé",D84="OFF",D84="Congé spécial"),"",IF(D84&gt;F84,D84-C84,IF(C84-D84&lt;0,0,C84-D84)))&lt;0.00068287037037037,"",IF(OR(D84="Congé",D84="OFF",C84="",D84="Congé spécial"),"",IF(D84&gt;F84,D84-C84,IF(C84-D84&lt;0,0,C84-D84))))</f>
        <v/>
      </c>
      <c r="J84" s="28"/>
      <c r="K84" s="30" t="n">
        <f aca="false">IF(SUM(H84:J84)&lt;0.00068287037037037,0,SUM(H84:J84))</f>
        <v>0</v>
      </c>
      <c r="L84" s="28" t="n">
        <f aca="false">IF(OR(F84="Congé",F84="OFF",M84="Abs",F84="Congé sans solde",F84="Férié",F84="Congé spécial",D84="Congé spécial"),0,IF(F84-E84&lt;0,0,IF(F84-E84&lt;=0.00068287037037037,0,F84-E84)))</f>
        <v>0</v>
      </c>
      <c r="M84" s="31" t="str">
        <f aca="false">IF(AND(O84&lt;&gt;0,C84=""),"Abs",0)</f>
        <v>Abs</v>
      </c>
      <c r="N84" s="32" t="str">
        <f aca="false">IFERROR(IF(OR(D84="OFF",D84="Congé",M84="Abs",D84="Congé sans solde",D84="Férié"),"",IF(O84-K84-L84&gt;O84,O84,IF(O84-K84-L84&lt;0,"",O84-K84-L84))),"")</f>
        <v/>
      </c>
      <c r="O84" s="33" t="n">
        <f aca="false">IF(AG84="2H Pause déjeuner",IF(F84-D84-0.0833333333333333&lt;0,F84-D84-0.0833333333333333+1,F84-D84-0.0833333333333333),IF(OR(AND(F84="OFF",D84="OFF"),AND(F84="Congé",D84="Congé"),AND(F84="Congé sans solde",D84="Congé sans solde"),AND(F84="Congé spécial",D84="Congé spécial"),AND(F84="Férié",D84="Férié"),AND(F84="OFF",D84="Congé"),AND(F84="OFF",D84="Congé sans solde"),AND(F84="OFF",D84="Congé spécial"),AND(F84="OFF",D84="Férié"),AND(F84="Congé",D84="OFF"),AND(F84="Congé",D84="Congé sans solde"),AND(F84="Congé",D84="Congé spécial"),AND(F84="Congé",D84="Férié"),AND(F84="Congé sans solde",D84="OFF"),AND(F84="Congé sans solde",D84="Congé"),AND(F84="Congé sans solde",D84="Congé spécial"),AND(F84="Congé sans solde",D84="Férié"),AND(F84="Congé spécial",D84="OFF"),AND(F84="Congé spécial",D84="Congé"),AND(F84="Congé spécial",D84="Congé sans solde"),AND(F84="Congé spécial",D84="Férié"),AND(F84="Férié",D84="OFF"),AND(F84="Férié",D84="Congé"),AND(F84="Férié",D84="Congé sans solde"),AND(F84="Férié",D84="Congé spécial")),0,IF(OR(F84="OFF",F84="Congé",F84="Congé spécial",F84="Congé sans solde",D84="OFF",D84="Congé",D84="Congé spécial",D84="Congé sans solde"),0.208333333333334,IF(AND(AG84="",F84-D84&lt;0),("24:00:00"-D84)+("00:00:00"+F84)-0.0416666666666667,IF(AND(OR(AG84="Allaitement",AG84="Sans déjeuner"),F84-D84&lt;0),("24:00:00"-D84)+("00:00:00"+F84),IF(AND(AG84="",F84-D84&gt;0.166666666666667),F84-D84-0.0416666666666667,IF(AND(OR(AG84="Allaitement",AG84="Sans déjeuner"),F84-D84&gt;0.166666666666667),F84-D84,F84-D84)))))))</f>
        <v>0.375</v>
      </c>
      <c r="P84" s="34" t="str">
        <f aca="false">IFERROR(VLOOKUP($B84,Annuaire_roster!$B:$G,MATCH(P$1,Annuaire_roster!$B$1:$G$1,0),0),"-")</f>
        <v>Google Leads</v>
      </c>
      <c r="Q84" s="35" t="n">
        <v>44719</v>
      </c>
      <c r="R84" s="36" t="n">
        <f aca="false">IF(M84="Abs",O84,0)</f>
        <v>0.375</v>
      </c>
      <c r="S84" s="36" t="n">
        <f aca="false">SUM(R84,L84,I84,J84,W84,H84)</f>
        <v>0.375</v>
      </c>
      <c r="T84" s="1" t="str">
        <f aca="false">"Sem - "&amp;WEEKNUM(Q84,21)</f>
        <v>Sem - 24</v>
      </c>
      <c r="U84" s="1" t="str">
        <f aca="false">PROPER(TEXT(Q84,"mmmm"))</f>
        <v>June</v>
      </c>
      <c r="V84" s="37" t="str">
        <f aca="false">+TEXT(Q84,"aaa")</f>
        <v>Mon</v>
      </c>
      <c r="W84" s="32"/>
      <c r="X84" s="38" t="n">
        <f aca="false">IFERROR(IF(M84="Abs",0,IF((D84-C84+E84-F84)&lt;0.000694444444444444,0,(D84-C84+E84-F84))),0)</f>
        <v>0</v>
      </c>
      <c r="Y84" s="39" t="n">
        <f aca="false">IFERROR(VLOOKUP(B84,Annuaire_roster!B:E,4,0),"-")</f>
        <v>0</v>
      </c>
      <c r="Z84" s="39" t="str">
        <f aca="false">IFERROR(VLOOKUP(B84,Annuaire_roster!B:F,3,0),"-")</f>
        <v>Google Leads</v>
      </c>
      <c r="AA84" s="39" t="n">
        <f aca="false">IFERROR(VLOOKUP(B84,Annuaire_roster!B:I,6,0),"-")</f>
        <v>0</v>
      </c>
      <c r="AB84" s="40" t="str">
        <f aca="false">IF(AND(D84="Congé",F84="Congé"),0.333333333333333,IF(OR(AND(D84="Congé",F84&lt;&gt;"Congé"),(AND(F84="Congé",D84&lt;&gt;"Congé"))),0.166666666666667,""))</f>
        <v/>
      </c>
      <c r="AC84" s="40" t="str">
        <f aca="false">IF(AND(D84="Congé sans solde",F84="Congé sans solde"),0.333333333333333,IF(OR(AND(D84="Congé sans solde",F84&lt;&gt;"Congé sans solde"),(AND(F84="Congé sans solde",D84&lt;&gt;"Congé sans solde"))),0.166666666666667,""))</f>
        <v/>
      </c>
      <c r="AD84" s="40" t="str">
        <f aca="false">IF(AND(D84="Congé spécial",F84="Congé spécial"),0.333333333333333,IF(OR(AND(D84="Congé spécial",F84&lt;&gt;"Congé décès"),(AND(F84="Congé spécial",D84&lt;&gt;"Congé spécial"))),0.166666666666667,""))</f>
        <v/>
      </c>
      <c r="AE84" s="41" t="str">
        <f aca="false">IF(AND(D84="Férié",F84="Férié"),0.333333333333333,IF(OR(AND(D84="Férié",F84&lt;&gt;"Férié"),(AND(F84="Férié",D84&lt;&gt;"Férié"))),0.166666666666667,""))</f>
        <v/>
      </c>
      <c r="AF84" s="41"/>
      <c r="AG84" s="36"/>
    </row>
    <row r="85" customFormat="false" ht="12.75" hidden="true" customHeight="true" outlineLevel="0" collapsed="false">
      <c r="A85" s="22" t="n">
        <f aca="false">VLOOKUP(B85,Annuaire_roster!B:F,5,0)</f>
        <v>0</v>
      </c>
      <c r="B85" s="23" t="s">
        <v>37</v>
      </c>
      <c r="C85" s="24" t="str">
        <f aca="false">IFERROR(IF(COUNTIFS(Pointage_brut!$E:$E,VLOOKUP($B85,Annuaire_roster!$B:$J,9,0),Pointage_brut!$A:$A,TEXT($Q85,"yyyymmdd")*1)=0,"",MOD(_xlfn.MINIFS(Pointage_brut!$F:$F,Pointage_brut!$E:$E,VLOOKUP($B85,Annuaire_roster!$B:$J,9,0),Pointage_brut!$A:$A,TEXT($Q85,"yyyymmdd")*1),1)),"")</f>
        <v/>
      </c>
      <c r="D85" s="25" t="n">
        <f aca="false" t="array" ref="D85:D85">IFERROR(INDEX(Planning2[],MATCH(1,(Planning2[Nom]=B85)*(Planning2[Date]=Q85),0),3),"-")</f>
        <v>0.416666666666667</v>
      </c>
      <c r="E85" s="26" t="str">
        <f aca="false">IFERROR(IF(COUNTIFS(Pointage_brut!$E:$E,VLOOKUP($B85,Annuaire_roster!$B:$J,9,0),Pointage_brut!$A:$A,TEXT($Q85,"yyyymmdd")*1)=0,"",MOD(_xlfn.MAXIFS(Pointage_brut!$G:$G,Pointage_brut!$E:$E,VLOOKUP($B85,Annuaire_roster!$B:$J,9,0),Pointage_brut!$A:$A,TEXT($Q85,"yyyymmdd")*1),1)),"")</f>
        <v/>
      </c>
      <c r="F85" s="27" t="n">
        <f aca="false" t="array" ref="F85:F85">IFERROR(INDEX(Planning2[],MATCH(1,(Planning2[Nom]=B85)*(Planning2[Date]=Q85),0),4),"-")</f>
        <v>0.833333333333333</v>
      </c>
      <c r="G85" s="28"/>
      <c r="H85" s="28"/>
      <c r="I85" s="29" t="str">
        <f aca="false">IF(IF(OR(C85="",D85="Congé",D85="OFF",D85="Congé spécial"),"",IF(D85&gt;F85,D85-C85,IF(C85-D85&lt;0,0,C85-D85)))&lt;0.00068287037037037,"",IF(OR(D85="Congé",D85="OFF",C85="",D85="Congé spécial"),"",IF(D85&gt;F85,D85-C85,IF(C85-D85&lt;0,0,C85-D85))))</f>
        <v/>
      </c>
      <c r="J85" s="28"/>
      <c r="K85" s="30" t="n">
        <f aca="false">IF(SUM(H85:J85)&lt;0.00068287037037037,0,SUM(H85:J85))</f>
        <v>0</v>
      </c>
      <c r="L85" s="28" t="n">
        <f aca="false">IF(OR(F85="Congé",F85="OFF",M85="Abs",F85="Congé sans solde",F85="Férié",F85="Congé spécial",D85="Congé spécial"),0,IF(F85-E85&lt;0,0,IF(F85-E85&lt;=0.00068287037037037,0,F85-E85)))</f>
        <v>0</v>
      </c>
      <c r="M85" s="31" t="str">
        <f aca="false">IF(AND(O85&lt;&gt;0,C85=""),"Abs",0)</f>
        <v>Abs</v>
      </c>
      <c r="N85" s="32" t="str">
        <f aca="false">IFERROR(IF(OR(D85="OFF",D85="Congé",M85="Abs",D85="Congé sans solde",D85="Férié"),"",IF(O85-K85-L85&gt;O85,O85,IF(O85-K85-L85&lt;0,"",O85-K85-L85))),"")</f>
        <v/>
      </c>
      <c r="O85" s="33" t="n">
        <f aca="false">IF(AG85="2H Pause déjeuner",IF(F85-D85-0.0833333333333333&lt;0,F85-D85-0.0833333333333333+1,F85-D85-0.0833333333333333),IF(OR(AND(F85="OFF",D85="OFF"),AND(F85="Congé",D85="Congé"),AND(F85="Congé sans solde",D85="Congé sans solde"),AND(F85="Congé spécial",D85="Congé spécial"),AND(F85="Férié",D85="Férié"),AND(F85="OFF",D85="Congé"),AND(F85="OFF",D85="Congé sans solde"),AND(F85="OFF",D85="Congé spécial"),AND(F85="OFF",D85="Férié"),AND(F85="Congé",D85="OFF"),AND(F85="Congé",D85="Congé sans solde"),AND(F85="Congé",D85="Congé spécial"),AND(F85="Congé",D85="Férié"),AND(F85="Congé sans solde",D85="OFF"),AND(F85="Congé sans solde",D85="Congé"),AND(F85="Congé sans solde",D85="Congé spécial"),AND(F85="Congé sans solde",D85="Férié"),AND(F85="Congé spécial",D85="OFF"),AND(F85="Congé spécial",D85="Congé"),AND(F85="Congé spécial",D85="Congé sans solde"),AND(F85="Congé spécial",D85="Férié"),AND(F85="Férié",D85="OFF"),AND(F85="Férié",D85="Congé"),AND(F85="Férié",D85="Congé sans solde"),AND(F85="Férié",D85="Congé spécial")),0,IF(OR(F85="OFF",F85="Congé",F85="Congé spécial",F85="Congé sans solde",D85="OFF",D85="Congé",D85="Congé spécial",D85="Congé sans solde"),0.208333333333334,IF(AND(AG85="",F85-D85&lt;0),("24:00:00"-D85)+("00:00:00"+F85)-0.0416666666666667,IF(AND(OR(AG85="Allaitement",AG85="Sans déjeuner"),F85-D85&lt;0),("24:00:00"-D85)+("00:00:00"+F85),IF(AND(AG85="",F85-D85&gt;0.166666666666667),F85-D85-0.0416666666666667,IF(AND(OR(AG85="Allaitement",AG85="Sans déjeuner"),F85-D85&gt;0.166666666666667),F85-D85,F85-D85)))))))</f>
        <v>0.375</v>
      </c>
      <c r="P85" s="34" t="str">
        <f aca="false">IFERROR(VLOOKUP($B85,Annuaire_roster!$B:$G,MATCH(P$1,Annuaire_roster!$B$1:$G$1,0),0),"-")</f>
        <v>Google Leads</v>
      </c>
      <c r="Q85" s="35" t="n">
        <v>44719</v>
      </c>
      <c r="R85" s="36" t="n">
        <f aca="false">IF(M85="Abs",O85,0)</f>
        <v>0.375</v>
      </c>
      <c r="S85" s="36" t="n">
        <f aca="false">SUM(R85,L85,I85,J85,W85,H85)</f>
        <v>0.375</v>
      </c>
      <c r="T85" s="1" t="str">
        <f aca="false">"Sem - "&amp;WEEKNUM(Q85,21)</f>
        <v>Sem - 24</v>
      </c>
      <c r="U85" s="1" t="str">
        <f aca="false">PROPER(TEXT(Q85,"mmmm"))</f>
        <v>June</v>
      </c>
      <c r="V85" s="37" t="str">
        <f aca="false">+TEXT(Q85,"aaa")</f>
        <v>Mon</v>
      </c>
      <c r="W85" s="32"/>
      <c r="X85" s="38" t="n">
        <f aca="false">IFERROR(IF(M85="Abs",0,IF((D85-C85+E85-F85)&lt;0.000694444444444444,0,(D85-C85+E85-F85))),0)</f>
        <v>0</v>
      </c>
      <c r="Y85" s="39" t="n">
        <f aca="false">IFERROR(VLOOKUP(B85,Annuaire_roster!B:E,4,0),"-")</f>
        <v>0</v>
      </c>
      <c r="Z85" s="39" t="str">
        <f aca="false">IFERROR(VLOOKUP(B85,Annuaire_roster!B:F,3,0),"-")</f>
        <v>Google Leads</v>
      </c>
      <c r="AA85" s="39" t="n">
        <f aca="false">IFERROR(VLOOKUP(B85,Annuaire_roster!B:I,6,0),"-")</f>
        <v>0</v>
      </c>
      <c r="AB85" s="40" t="str">
        <f aca="false">IF(AND(D85="Congé",F85="Congé"),0.333333333333333,IF(OR(AND(D85="Congé",F85&lt;&gt;"Congé"),(AND(F85="Congé",D85&lt;&gt;"Congé"))),0.166666666666667,""))</f>
        <v/>
      </c>
      <c r="AC85" s="40" t="str">
        <f aca="false">IF(AND(D85="Congé sans solde",F85="Congé sans solde"),0.333333333333333,IF(OR(AND(D85="Congé sans solde",F85&lt;&gt;"Congé sans solde"),(AND(F85="Congé sans solde",D85&lt;&gt;"Congé sans solde"))),0.166666666666667,""))</f>
        <v/>
      </c>
      <c r="AD85" s="40" t="str">
        <f aca="false">IF(AND(D85="Congé spécial",F85="Congé spécial"),0.333333333333333,IF(OR(AND(D85="Congé spécial",F85&lt;&gt;"Congé décès"),(AND(F85="Congé spécial",D85&lt;&gt;"Congé spécial"))),0.166666666666667,""))</f>
        <v/>
      </c>
      <c r="AE85" s="41" t="str">
        <f aca="false">IF(AND(D85="Férié",F85="Férié"),0.333333333333333,IF(OR(AND(D85="Férié",F85&lt;&gt;"Férié"),(AND(F85="Férié",D85&lt;&gt;"Férié"))),0.166666666666667,""))</f>
        <v/>
      </c>
      <c r="AF85" s="41"/>
      <c r="AG85" s="36"/>
    </row>
    <row r="86" customFormat="false" ht="12.75" hidden="true" customHeight="true" outlineLevel="0" collapsed="false">
      <c r="A86" s="22" t="n">
        <f aca="false">VLOOKUP(B86,Annuaire_roster!B:F,5,0)</f>
        <v>0</v>
      </c>
      <c r="B86" s="23" t="s">
        <v>62</v>
      </c>
      <c r="C86" s="24" t="str">
        <f aca="false">IFERROR(IF(COUNTIFS(Pointage_brut!$E:$E,VLOOKUP($B86,Annuaire_roster!$B:$J,9,0),Pointage_brut!$A:$A,TEXT($Q86,"yyyymmdd")*1)=0,"",MOD(_xlfn.MINIFS(Pointage_brut!$F:$F,Pointage_brut!$E:$E,VLOOKUP($B86,Annuaire_roster!$B:$J,9,0),Pointage_brut!$A:$A,TEXT($Q86,"yyyymmdd")*1),1)),"")</f>
        <v/>
      </c>
      <c r="D86" s="25" t="n">
        <f aca="false" t="array" ref="D86:D86">IFERROR(INDEX(Planning2[],MATCH(1,(Planning2[Nom]=B86)*(Planning2[Date]=Q86),0),3),"-")</f>
        <v>0.416666666666667</v>
      </c>
      <c r="E86" s="26" t="str">
        <f aca="false">IFERROR(IF(COUNTIFS(Pointage_brut!$E:$E,VLOOKUP($B86,Annuaire_roster!$B:$J,9,0),Pointage_brut!$A:$A,TEXT($Q86,"yyyymmdd")*1)=0,"",MOD(_xlfn.MAXIFS(Pointage_brut!$G:$G,Pointage_brut!$E:$E,VLOOKUP($B86,Annuaire_roster!$B:$J,9,0),Pointage_brut!$A:$A,TEXT($Q86,"yyyymmdd")*1),1)),"")</f>
        <v/>
      </c>
      <c r="F86" s="27" t="n">
        <f aca="false" t="array" ref="F86:F86">IFERROR(INDEX(Planning2[],MATCH(1,(Planning2[Nom]=B86)*(Planning2[Date]=Q86),0),4),"-")</f>
        <v>0.833333333333333</v>
      </c>
      <c r="G86" s="28"/>
      <c r="H86" s="28"/>
      <c r="I86" s="29" t="str">
        <f aca="false">IF(IF(OR(C86="",D86="Congé",D86="OFF",D86="Congé spécial"),"",IF(D86&gt;F86,D86-C86,IF(C86-D86&lt;0,0,C86-D86)))&lt;0.00068287037037037,"",IF(OR(D86="Congé",D86="OFF",C86="",D86="Congé spécial"),"",IF(D86&gt;F86,D86-C86,IF(C86-D86&lt;0,0,C86-D86))))</f>
        <v/>
      </c>
      <c r="J86" s="28"/>
      <c r="K86" s="30" t="n">
        <f aca="false">IF(SUM(H86:J86)&lt;0.00068287037037037,0,SUM(H86:J86))</f>
        <v>0</v>
      </c>
      <c r="L86" s="28" t="n">
        <f aca="false">IF(OR(F86="Congé",F86="OFF",M86="Abs",F86="Congé sans solde",F86="Férié",F86="Congé spécial",D86="Congé spécial"),0,IF(F86-E86&lt;0,0,IF(F86-E86&lt;=0.00068287037037037,0,F86-E86)))</f>
        <v>0</v>
      </c>
      <c r="M86" s="31" t="str">
        <f aca="false">IF(AND(O86&lt;&gt;0,C86=""),"Abs",0)</f>
        <v>Abs</v>
      </c>
      <c r="N86" s="32" t="str">
        <f aca="false">IFERROR(IF(OR(D86="OFF",D86="Congé",M86="Abs",D86="Congé sans solde",D86="Férié"),"",IF(O86-K86-L86&gt;O86,O86,IF(O86-K86-L86&lt;0,"",O86-K86-L86))),"")</f>
        <v/>
      </c>
      <c r="O86" s="33" t="n">
        <f aca="false">IF(AG86="2H Pause déjeuner",IF(F86-D86-0.0833333333333333&lt;0,F86-D86-0.0833333333333333+1,F86-D86-0.0833333333333333),IF(OR(AND(F86="OFF",D86="OFF"),AND(F86="Congé",D86="Congé"),AND(F86="Congé sans solde",D86="Congé sans solde"),AND(F86="Congé spécial",D86="Congé spécial"),AND(F86="Férié",D86="Férié"),AND(F86="OFF",D86="Congé"),AND(F86="OFF",D86="Congé sans solde"),AND(F86="OFF",D86="Congé spécial"),AND(F86="OFF",D86="Férié"),AND(F86="Congé",D86="OFF"),AND(F86="Congé",D86="Congé sans solde"),AND(F86="Congé",D86="Congé spécial"),AND(F86="Congé",D86="Férié"),AND(F86="Congé sans solde",D86="OFF"),AND(F86="Congé sans solde",D86="Congé"),AND(F86="Congé sans solde",D86="Congé spécial"),AND(F86="Congé sans solde",D86="Férié"),AND(F86="Congé spécial",D86="OFF"),AND(F86="Congé spécial",D86="Congé"),AND(F86="Congé spécial",D86="Congé sans solde"),AND(F86="Congé spécial",D86="Férié"),AND(F86="Férié",D86="OFF"),AND(F86="Férié",D86="Congé"),AND(F86="Férié",D86="Congé sans solde"),AND(F86="Férié",D86="Congé spécial")),0,IF(OR(F86="OFF",F86="Congé",F86="Congé spécial",F86="Congé sans solde",D86="OFF",D86="Congé",D86="Congé spécial",D86="Congé sans solde"),0.208333333333334,IF(AND(AG86="",F86-D86&lt;0),("24:00:00"-D86)+("00:00:00"+F86)-0.0416666666666667,IF(AND(OR(AG86="Allaitement",AG86="Sans déjeuner"),F86-D86&lt;0),("24:00:00"-D86)+("00:00:00"+F86),IF(AND(AG86="",F86-D86&gt;0.166666666666667),F86-D86-0.0416666666666667,IF(AND(OR(AG86="Allaitement",AG86="Sans déjeuner"),F86-D86&gt;0.166666666666667),F86-D86,F86-D86)))))))</f>
        <v>0.375</v>
      </c>
      <c r="P86" s="34" t="str">
        <f aca="false">IFERROR(VLOOKUP($B86,Annuaire_roster!$B:$G,MATCH(P$1,Annuaire_roster!$B$1:$G$1,0),0),"-")</f>
        <v>Google Leads</v>
      </c>
      <c r="Q86" s="35" t="n">
        <v>44719</v>
      </c>
      <c r="R86" s="36" t="n">
        <f aca="false">IF(M86="Abs",O86,0)</f>
        <v>0.375</v>
      </c>
      <c r="S86" s="36" t="n">
        <f aca="false">SUM(R86,L86,I86,J86,W86,H86)</f>
        <v>0.375</v>
      </c>
      <c r="T86" s="1" t="str">
        <f aca="false">"Sem - "&amp;WEEKNUM(Q86,21)</f>
        <v>Sem - 24</v>
      </c>
      <c r="U86" s="1" t="str">
        <f aca="false">PROPER(TEXT(Q86,"mmmm"))</f>
        <v>June</v>
      </c>
      <c r="V86" s="37" t="str">
        <f aca="false">+TEXT(Q86,"aaa")</f>
        <v>Mon</v>
      </c>
      <c r="W86" s="32"/>
      <c r="X86" s="38" t="n">
        <f aca="false">IFERROR(IF(M86="Abs",0,IF((D86-C86+E86-F86)&lt;0.000694444444444444,0,(D86-C86+E86-F86))),0)</f>
        <v>0</v>
      </c>
      <c r="Y86" s="39" t="n">
        <f aca="false">IFERROR(VLOOKUP(B86,Annuaire_roster!B:E,4,0),"-")</f>
        <v>0</v>
      </c>
      <c r="Z86" s="39" t="str">
        <f aca="false">IFERROR(VLOOKUP(B86,Annuaire_roster!B:F,3,0),"-")</f>
        <v>Google Leads</v>
      </c>
      <c r="AA86" s="39" t="n">
        <f aca="false">IFERROR(VLOOKUP(B86,Annuaire_roster!B:I,6,0),"-")</f>
        <v>0</v>
      </c>
      <c r="AB86" s="40" t="str">
        <f aca="false">IF(AND(D86="Congé",F86="Congé"),0.333333333333333,IF(OR(AND(D86="Congé",F86&lt;&gt;"Congé"),(AND(F86="Congé",D86&lt;&gt;"Congé"))),0.166666666666667,""))</f>
        <v/>
      </c>
      <c r="AC86" s="40" t="str">
        <f aca="false">IF(AND(D86="Congé sans solde",F86="Congé sans solde"),0.333333333333333,IF(OR(AND(D86="Congé sans solde",F86&lt;&gt;"Congé sans solde"),(AND(F86="Congé sans solde",D86&lt;&gt;"Congé sans solde"))),0.166666666666667,""))</f>
        <v/>
      </c>
      <c r="AD86" s="40" t="str">
        <f aca="false">IF(AND(D86="Congé spécial",F86="Congé spécial"),0.333333333333333,IF(OR(AND(D86="Congé spécial",F86&lt;&gt;"Congé décès"),(AND(F86="Congé spécial",D86&lt;&gt;"Congé spécial"))),0.166666666666667,""))</f>
        <v/>
      </c>
      <c r="AE86" s="41" t="str">
        <f aca="false">IF(AND(D86="Férié",F86="Férié"),0.333333333333333,IF(OR(AND(D86="Férié",F86&lt;&gt;"Férié"),(AND(F86="Férié",D86&lt;&gt;"Férié"))),0.166666666666667,""))</f>
        <v/>
      </c>
      <c r="AF86" s="41"/>
      <c r="AG86" s="36"/>
    </row>
    <row r="87" customFormat="false" ht="12.75" hidden="true" customHeight="true" outlineLevel="0" collapsed="false">
      <c r="A87" s="22" t="n">
        <f aca="false">VLOOKUP(B87,Annuaire_roster!B:F,5,0)</f>
        <v>949</v>
      </c>
      <c r="B87" s="23" t="s">
        <v>48</v>
      </c>
      <c r="C87" s="24" t="str">
        <f aca="false">IFERROR(IF(COUNTIFS(Pointage_brut!$E:$E,VLOOKUP($B87,Annuaire_roster!$B:$J,9,0),Pointage_brut!$A:$A,TEXT($Q87,"yyyymmdd")*1)=0,"",MOD(_xlfn.MINIFS(Pointage_brut!$F:$F,Pointage_brut!$E:$E,VLOOKUP($B87,Annuaire_roster!$B:$J,9,0),Pointage_brut!$A:$A,TEXT($Q87,"yyyymmdd")*1),1)),"")</f>
        <v/>
      </c>
      <c r="D87" s="25" t="n">
        <f aca="false" t="array" ref="D87:D87">IFERROR(INDEX(Planning2[],MATCH(1,(Planning2[Nom]=B87)*(Planning2[Date]=Q87),0),3),"-")</f>
        <v>0.416666666666667</v>
      </c>
      <c r="E87" s="26" t="str">
        <f aca="false">IFERROR(IF(COUNTIFS(Pointage_brut!$E:$E,VLOOKUP($B87,Annuaire_roster!$B:$J,9,0),Pointage_brut!$A:$A,TEXT($Q87,"yyyymmdd")*1)=0,"",MOD(_xlfn.MAXIFS(Pointage_brut!$G:$G,Pointage_brut!$E:$E,VLOOKUP($B87,Annuaire_roster!$B:$J,9,0),Pointage_brut!$A:$A,TEXT($Q87,"yyyymmdd")*1),1)),"")</f>
        <v/>
      </c>
      <c r="F87" s="27" t="n">
        <f aca="false" t="array" ref="F87:F87">IFERROR(INDEX(Planning2[],MATCH(1,(Planning2[Nom]=B87)*(Planning2[Date]=Q87),0),4),"-")</f>
        <v>0.833333333333333</v>
      </c>
      <c r="G87" s="28"/>
      <c r="H87" s="28"/>
      <c r="I87" s="29" t="str">
        <f aca="false">IF(IF(OR(C87="",D87="Congé",D87="OFF",D87="Congé spécial"),"",IF(D87&gt;F87,D87-C87,IF(C87-D87&lt;0,0,C87-D87)))&lt;0.00068287037037037,"",IF(OR(D87="Congé",D87="OFF",C87="",D87="Congé spécial"),"",IF(D87&gt;F87,D87-C87,IF(C87-D87&lt;0,0,C87-D87))))</f>
        <v/>
      </c>
      <c r="J87" s="28"/>
      <c r="K87" s="30" t="n">
        <f aca="false">IF(SUM(H87:J87)&lt;0.00068287037037037,0,SUM(H87:J87))</f>
        <v>0</v>
      </c>
      <c r="L87" s="28" t="n">
        <f aca="false">IF(OR(F87="Congé",F87="OFF",M87="Abs",F87="Congé sans solde",F87="Férié",F87="Congé spécial",D87="Congé spécial"),0,IF(F87-E87&lt;0,0,IF(F87-E87&lt;=0.00068287037037037,0,F87-E87)))</f>
        <v>0</v>
      </c>
      <c r="M87" s="31" t="str">
        <f aca="false">IF(AND(O87&lt;&gt;0,C87=""),"Abs",0)</f>
        <v>Abs</v>
      </c>
      <c r="N87" s="32" t="str">
        <f aca="false">IFERROR(IF(OR(D87="OFF",D87="Congé",M87="Abs",D87="Congé sans solde",D87="Férié"),"",IF(O87-K87-L87&gt;O87,O87,IF(O87-K87-L87&lt;0,"",O87-K87-L87))),"")</f>
        <v/>
      </c>
      <c r="O87" s="33" t="n">
        <f aca="false">IF(AG87="2H Pause déjeuner",IF(F87-D87-0.0833333333333333&lt;0,F87-D87-0.0833333333333333+1,F87-D87-0.0833333333333333),IF(OR(AND(F87="OFF",D87="OFF"),AND(F87="Congé",D87="Congé"),AND(F87="Congé sans solde",D87="Congé sans solde"),AND(F87="Congé spécial",D87="Congé spécial"),AND(F87="Férié",D87="Férié"),AND(F87="OFF",D87="Congé"),AND(F87="OFF",D87="Congé sans solde"),AND(F87="OFF",D87="Congé spécial"),AND(F87="OFF",D87="Férié"),AND(F87="Congé",D87="OFF"),AND(F87="Congé",D87="Congé sans solde"),AND(F87="Congé",D87="Congé spécial"),AND(F87="Congé",D87="Férié"),AND(F87="Congé sans solde",D87="OFF"),AND(F87="Congé sans solde",D87="Congé"),AND(F87="Congé sans solde",D87="Congé spécial"),AND(F87="Congé sans solde",D87="Férié"),AND(F87="Congé spécial",D87="OFF"),AND(F87="Congé spécial",D87="Congé"),AND(F87="Congé spécial",D87="Congé sans solde"),AND(F87="Congé spécial",D87="Férié"),AND(F87="Férié",D87="OFF"),AND(F87="Férié",D87="Congé"),AND(F87="Férié",D87="Congé sans solde"),AND(F87="Férié",D87="Congé spécial")),0,IF(OR(F87="OFF",F87="Congé",F87="Congé spécial",F87="Congé sans solde",D87="OFF",D87="Congé",D87="Congé spécial",D87="Congé sans solde"),0.208333333333334,IF(AND(AG87="",F87-D87&lt;0),("24:00:00"-D87)+("00:00:00"+F87)-0.0416666666666667,IF(AND(OR(AG87="Allaitement",AG87="Sans déjeuner"),F87-D87&lt;0),("24:00:00"-D87)+("00:00:00"+F87),IF(AND(AG87="",F87-D87&gt;0.166666666666667),F87-D87-0.0416666666666667,IF(AND(OR(AG87="Allaitement",AG87="Sans déjeuner"),F87-D87&gt;0.166666666666667),F87-D87,F87-D87)))))))</f>
        <v>0.375</v>
      </c>
      <c r="P87" s="34" t="str">
        <f aca="false">IFERROR(VLOOKUP($B87,Annuaire_roster!$B:$G,MATCH(P$1,Annuaire_roster!$B$1:$G$1,0),0),"-")</f>
        <v>Google Leads</v>
      </c>
      <c r="Q87" s="35" t="n">
        <v>44719</v>
      </c>
      <c r="R87" s="36" t="n">
        <f aca="false">IF(M87="Abs",O87,0)</f>
        <v>0.375</v>
      </c>
      <c r="S87" s="36" t="n">
        <f aca="false">SUM(R87,L87,I87,J87,W87,H87)</f>
        <v>0.375</v>
      </c>
      <c r="T87" s="1" t="str">
        <f aca="false">"Sem - "&amp;WEEKNUM(Q87,21)</f>
        <v>Sem - 24</v>
      </c>
      <c r="U87" s="1" t="str">
        <f aca="false">PROPER(TEXT(Q87,"mmmm"))</f>
        <v>June</v>
      </c>
      <c r="V87" s="37" t="str">
        <f aca="false">+TEXT(Q87,"aaa")</f>
        <v>Mon</v>
      </c>
      <c r="W87" s="32"/>
      <c r="X87" s="38" t="n">
        <f aca="false">IFERROR(IF(M87="Abs",0,IF((D87-C87+E87-F87)&lt;0.000694444444444444,0,(D87-C87+E87-F87))),0)</f>
        <v>0</v>
      </c>
      <c r="Y87" s="39" t="str">
        <f aca="false">IFERROR(VLOOKUP(B87,Annuaire_roster!B:E,4,0),"-")</f>
        <v>CHOUIFI Mustapha</v>
      </c>
      <c r="Z87" s="39" t="str">
        <f aca="false">IFERROR(VLOOKUP(B87,Annuaire_roster!B:F,3,0),"-")</f>
        <v>Google Leads</v>
      </c>
      <c r="AA87" s="39" t="str">
        <f aca="false">IFERROR(VLOOKUP(B87,Annuaire_roster!B:I,6,0),"-")</f>
        <v>Forfaitaire</v>
      </c>
      <c r="AB87" s="40" t="str">
        <f aca="false">IF(AND(D87="Congé",F87="Congé"),0.333333333333333,IF(OR(AND(D87="Congé",F87&lt;&gt;"Congé"),(AND(F87="Congé",D87&lt;&gt;"Congé"))),0.166666666666667,""))</f>
        <v/>
      </c>
      <c r="AC87" s="40" t="str">
        <f aca="false">IF(AND(D87="Congé sans solde",F87="Congé sans solde"),0.333333333333333,IF(OR(AND(D87="Congé sans solde",F87&lt;&gt;"Congé sans solde"),(AND(F87="Congé sans solde",D87&lt;&gt;"Congé sans solde"))),0.166666666666667,""))</f>
        <v/>
      </c>
      <c r="AD87" s="40" t="str">
        <f aca="false">IF(AND(D87="Congé spécial",F87="Congé spécial"),0.333333333333333,IF(OR(AND(D87="Congé spécial",F87&lt;&gt;"Congé décès"),(AND(F87="Congé spécial",D87&lt;&gt;"Congé spécial"))),0.166666666666667,""))</f>
        <v/>
      </c>
      <c r="AE87" s="41" t="str">
        <f aca="false">IF(AND(D87="Férié",F87="Férié"),0.333333333333333,IF(OR(AND(D87="Férié",F87&lt;&gt;"Férié"),(AND(F87="Férié",D87&lt;&gt;"Férié"))),0.166666666666667,""))</f>
        <v/>
      </c>
      <c r="AF87" s="41"/>
      <c r="AG87" s="36"/>
    </row>
    <row r="88" customFormat="false" ht="12.75" hidden="true" customHeight="true" outlineLevel="0" collapsed="false">
      <c r="A88" s="22" t="n">
        <f aca="false">VLOOKUP(B88,Annuaire_roster!B:F,5,0)</f>
        <v>1165</v>
      </c>
      <c r="B88" s="23" t="s">
        <v>40</v>
      </c>
      <c r="C88" s="24" t="str">
        <f aca="false">IFERROR(IF(COUNTIFS(Pointage_brut!$E:$E,VLOOKUP($B88,Annuaire_roster!$B:$J,9,0),Pointage_brut!$A:$A,TEXT($Q88,"yyyymmdd")*1)=0,"",MOD(_xlfn.MINIFS(Pointage_brut!$F:$F,Pointage_brut!$E:$E,VLOOKUP($B88,Annuaire_roster!$B:$J,9,0),Pointage_brut!$A:$A,TEXT($Q88,"yyyymmdd")*1),1)),"")</f>
        <v/>
      </c>
      <c r="D88" s="25" t="n">
        <f aca="false" t="array" ref="D88:D88">IFERROR(INDEX(Planning2[],MATCH(1,(Planning2[Nom]=B88)*(Planning2[Date]=Q88),0),3),"-")</f>
        <v>0.416666666666667</v>
      </c>
      <c r="E88" s="26" t="str">
        <f aca="false">IFERROR(IF(COUNTIFS(Pointage_brut!$E:$E,VLOOKUP($B88,Annuaire_roster!$B:$J,9,0),Pointage_brut!$A:$A,TEXT($Q88,"yyyymmdd")*1)=0,"",MOD(_xlfn.MAXIFS(Pointage_brut!$G:$G,Pointage_brut!$E:$E,VLOOKUP($B88,Annuaire_roster!$B:$J,9,0),Pointage_brut!$A:$A,TEXT($Q88,"yyyymmdd")*1),1)),"")</f>
        <v/>
      </c>
      <c r="F88" s="27" t="n">
        <f aca="false" t="array" ref="F88:F88">IFERROR(INDEX(Planning2[],MATCH(1,(Planning2[Nom]=B88)*(Planning2[Date]=Q88),0),4),"-")</f>
        <v>0.833333333333333</v>
      </c>
      <c r="G88" s="28"/>
      <c r="H88" s="28"/>
      <c r="I88" s="29" t="str">
        <f aca="false">IF(IF(OR(C88="",D88="Congé",D88="OFF",D88="Congé spécial"),"",IF(D88&gt;F88,D88-C88,IF(C88-D88&lt;0,0,C88-D88)))&lt;0.00068287037037037,"",IF(OR(D88="Congé",D88="OFF",C88="",D88="Congé spécial"),"",IF(D88&gt;F88,D88-C88,IF(C88-D88&lt;0,0,C88-D88))))</f>
        <v/>
      </c>
      <c r="J88" s="28"/>
      <c r="K88" s="30" t="n">
        <f aca="false">IF(SUM(H88:J88)&lt;0.00068287037037037,0,SUM(H88:J88))</f>
        <v>0</v>
      </c>
      <c r="L88" s="28" t="n">
        <f aca="false">IF(OR(F88="Congé",F88="OFF",M88="Abs",F88="Congé sans solde",F88="Férié",F88="Congé spécial",D88="Congé spécial"),0,IF(F88-E88&lt;0,0,IF(F88-E88&lt;=0.00068287037037037,0,F88-E88)))</f>
        <v>0</v>
      </c>
      <c r="M88" s="31" t="str">
        <f aca="false">IF(AND(O88&lt;&gt;0,C88=""),"Abs",0)</f>
        <v>Abs</v>
      </c>
      <c r="N88" s="32" t="str">
        <f aca="false">IFERROR(IF(OR(D88="OFF",D88="Congé",M88="Abs",D88="Congé sans solde",D88="Férié"),"",IF(O88-K88-L88&gt;O88,O88,IF(O88-K88-L88&lt;0,"",O88-K88-L88))),"")</f>
        <v/>
      </c>
      <c r="O88" s="33" t="n">
        <f aca="false">IF(AG88="2H Pause déjeuner",IF(F88-D88-0.0833333333333333&lt;0,F88-D88-0.0833333333333333+1,F88-D88-0.0833333333333333),IF(OR(AND(F88="OFF",D88="OFF"),AND(F88="Congé",D88="Congé"),AND(F88="Congé sans solde",D88="Congé sans solde"),AND(F88="Congé spécial",D88="Congé spécial"),AND(F88="Férié",D88="Férié"),AND(F88="OFF",D88="Congé"),AND(F88="OFF",D88="Congé sans solde"),AND(F88="OFF",D88="Congé spécial"),AND(F88="OFF",D88="Férié"),AND(F88="Congé",D88="OFF"),AND(F88="Congé",D88="Congé sans solde"),AND(F88="Congé",D88="Congé spécial"),AND(F88="Congé",D88="Férié"),AND(F88="Congé sans solde",D88="OFF"),AND(F88="Congé sans solde",D88="Congé"),AND(F88="Congé sans solde",D88="Congé spécial"),AND(F88="Congé sans solde",D88="Férié"),AND(F88="Congé spécial",D88="OFF"),AND(F88="Congé spécial",D88="Congé"),AND(F88="Congé spécial",D88="Congé sans solde"),AND(F88="Congé spécial",D88="Férié"),AND(F88="Férié",D88="OFF"),AND(F88="Férié",D88="Congé"),AND(F88="Férié",D88="Congé sans solde"),AND(F88="Férié",D88="Congé spécial")),0,IF(OR(F88="OFF",F88="Congé",F88="Congé spécial",F88="Congé sans solde",D88="OFF",D88="Congé",D88="Congé spécial",D88="Congé sans solde"),0.208333333333334,IF(AND(AG88="",F88-D88&lt;0),("24:00:00"-D88)+("00:00:00"+F88)-0.0416666666666667,IF(AND(OR(AG88="Allaitement",AG88="Sans déjeuner"),F88-D88&lt;0),("24:00:00"-D88)+("00:00:00"+F88),IF(AND(AG88="",F88-D88&gt;0.166666666666667),F88-D88-0.0416666666666667,IF(AND(OR(AG88="Allaitement",AG88="Sans déjeuner"),F88-D88&gt;0.166666666666667),F88-D88,F88-D88)))))))</f>
        <v>0.375</v>
      </c>
      <c r="P88" s="34" t="str">
        <f aca="false">IFERROR(VLOOKUP($B88,Annuaire_roster!$B:$G,MATCH(P$1,Annuaire_roster!$B$1:$G$1,0),0),"-")</f>
        <v>Google Leads</v>
      </c>
      <c r="Q88" s="35" t="n">
        <v>44719</v>
      </c>
      <c r="R88" s="36" t="n">
        <f aca="false">IF(M88="Abs",O88,0)</f>
        <v>0.375</v>
      </c>
      <c r="S88" s="36" t="n">
        <f aca="false">SUM(R88,L88,I88,J88,W88,H88)</f>
        <v>0.375</v>
      </c>
      <c r="T88" s="1" t="str">
        <f aca="false">"Sem - "&amp;WEEKNUM(Q88,21)</f>
        <v>Sem - 24</v>
      </c>
      <c r="U88" s="1" t="str">
        <f aca="false">PROPER(TEXT(Q88,"mmmm"))</f>
        <v>June</v>
      </c>
      <c r="V88" s="37" t="str">
        <f aca="false">+TEXT(Q88,"aaa")</f>
        <v>Mon</v>
      </c>
      <c r="W88" s="32"/>
      <c r="X88" s="38" t="n">
        <f aca="false">IFERROR(IF(M88="Abs",0,IF((D88-C88+E88-F88)&lt;0.000694444444444444,0,(D88-C88+E88-F88))),0)</f>
        <v>0</v>
      </c>
      <c r="Y88" s="39" t="str">
        <f aca="false">IFERROR(VLOOKUP(B88,Annuaire_roster!B:E,4,0),"-")</f>
        <v>OUAQERROUCH Nour-El Houda</v>
      </c>
      <c r="Z88" s="39" t="str">
        <f aca="false">IFERROR(VLOOKUP(B88,Annuaire_roster!B:F,3,0),"-")</f>
        <v>Google Leads</v>
      </c>
      <c r="AA88" s="39" t="str">
        <f aca="false">IFERROR(VLOOKUP(B88,Annuaire_roster!B:I,6,0),"-")</f>
        <v>Forfaitaire</v>
      </c>
      <c r="AB88" s="40" t="str">
        <f aca="false">IF(AND(D88="Congé",F88="Congé"),0.333333333333333,IF(OR(AND(D88="Congé",F88&lt;&gt;"Congé"),(AND(F88="Congé",D88&lt;&gt;"Congé"))),0.166666666666667,""))</f>
        <v/>
      </c>
      <c r="AC88" s="40" t="str">
        <f aca="false">IF(AND(D88="Congé sans solde",F88="Congé sans solde"),0.333333333333333,IF(OR(AND(D88="Congé sans solde",F88&lt;&gt;"Congé sans solde"),(AND(F88="Congé sans solde",D88&lt;&gt;"Congé sans solde"))),0.166666666666667,""))</f>
        <v/>
      </c>
      <c r="AD88" s="40" t="str">
        <f aca="false">IF(AND(D88="Congé spécial",F88="Congé spécial"),0.333333333333333,IF(OR(AND(D88="Congé spécial",F88&lt;&gt;"Congé décès"),(AND(F88="Congé spécial",D88&lt;&gt;"Congé spécial"))),0.166666666666667,""))</f>
        <v/>
      </c>
      <c r="AE88" s="41" t="str">
        <f aca="false">IF(AND(D88="Férié",F88="Férié"),0.333333333333333,IF(OR(AND(D88="Férié",F88&lt;&gt;"Férié"),(AND(F88="Férié",D88&lt;&gt;"Férié"))),0.166666666666667,""))</f>
        <v/>
      </c>
      <c r="AF88" s="41"/>
      <c r="AG88" s="36"/>
    </row>
    <row r="89" customFormat="false" ht="12.75" hidden="true" customHeight="true" outlineLevel="0" collapsed="false">
      <c r="A89" s="22" t="n">
        <f aca="false">VLOOKUP(B89,Annuaire_roster!B:F,5,0)</f>
        <v>0</v>
      </c>
      <c r="B89" s="23" t="s">
        <v>47</v>
      </c>
      <c r="C89" s="24" t="str">
        <f aca="false">IFERROR(IF(COUNTIFS(Pointage_brut!$E:$E,VLOOKUP($B89,Annuaire_roster!$B:$J,9,0),Pointage_brut!$A:$A,TEXT($Q89,"yyyymmdd")*1)=0,"",MOD(_xlfn.MINIFS(Pointage_brut!$F:$F,Pointage_brut!$E:$E,VLOOKUP($B89,Annuaire_roster!$B:$J,9,0),Pointage_brut!$A:$A,TEXT($Q89,"yyyymmdd")*1),1)),"")</f>
        <v/>
      </c>
      <c r="D89" s="25" t="n">
        <f aca="false" t="array" ref="D89:D89">IFERROR(INDEX(Planning2[],MATCH(1,(Planning2[Nom]=B89)*(Planning2[Date]=Q89),0),3),"-")</f>
        <v>0.416666666666667</v>
      </c>
      <c r="E89" s="26" t="str">
        <f aca="false">IFERROR(IF(COUNTIFS(Pointage_brut!$E:$E,VLOOKUP($B89,Annuaire_roster!$B:$J,9,0),Pointage_brut!$A:$A,TEXT($Q89,"yyyymmdd")*1)=0,"",MOD(_xlfn.MAXIFS(Pointage_brut!$G:$G,Pointage_brut!$E:$E,VLOOKUP($B89,Annuaire_roster!$B:$J,9,0),Pointage_brut!$A:$A,TEXT($Q89,"yyyymmdd")*1),1)),"")</f>
        <v/>
      </c>
      <c r="F89" s="27" t="n">
        <f aca="false" t="array" ref="F89:F89">IFERROR(INDEX(Planning2[],MATCH(1,(Planning2[Nom]=B89)*(Planning2[Date]=Q89),0),4),"-")</f>
        <v>0.833333333333333</v>
      </c>
      <c r="G89" s="28"/>
      <c r="H89" s="28"/>
      <c r="I89" s="29" t="str">
        <f aca="false">IF(IF(OR(C89="",D89="Congé",D89="OFF",D89="Congé spécial"),"",IF(D89&gt;F89,D89-C89,IF(C89-D89&lt;0,0,C89-D89)))&lt;0.00068287037037037,"",IF(OR(D89="Congé",D89="OFF",C89="",D89="Congé spécial"),"",IF(D89&gt;F89,D89-C89,IF(C89-D89&lt;0,0,C89-D89))))</f>
        <v/>
      </c>
      <c r="J89" s="28"/>
      <c r="K89" s="30" t="n">
        <f aca="false">IF(SUM(H89:J89)&lt;0.00068287037037037,0,SUM(H89:J89))</f>
        <v>0</v>
      </c>
      <c r="L89" s="28" t="n">
        <f aca="false">IF(OR(F89="Congé",F89="OFF",M89="Abs",F89="Congé sans solde",F89="Férié",F89="Congé spécial",D89="Congé spécial"),0,IF(F89-E89&lt;0,0,IF(F89-E89&lt;=0.00068287037037037,0,F89-E89)))</f>
        <v>0</v>
      </c>
      <c r="M89" s="31" t="str">
        <f aca="false">IF(AND(O89&lt;&gt;0,C89=""),"Abs",0)</f>
        <v>Abs</v>
      </c>
      <c r="N89" s="32" t="str">
        <f aca="false">IFERROR(IF(OR(D89="OFF",D89="Congé",M89="Abs",D89="Congé sans solde",D89="Férié"),"",IF(O89-K89-L89&gt;O89,O89,IF(O89-K89-L89&lt;0,"",O89-K89-L89))),"")</f>
        <v/>
      </c>
      <c r="O89" s="33" t="n">
        <f aca="false">IF(AG89="2H Pause déjeuner",IF(F89-D89-0.0833333333333333&lt;0,F89-D89-0.0833333333333333+1,F89-D89-0.0833333333333333),IF(OR(AND(F89="OFF",D89="OFF"),AND(F89="Congé",D89="Congé"),AND(F89="Congé sans solde",D89="Congé sans solde"),AND(F89="Congé spécial",D89="Congé spécial"),AND(F89="Férié",D89="Férié"),AND(F89="OFF",D89="Congé"),AND(F89="OFF",D89="Congé sans solde"),AND(F89="OFF",D89="Congé spécial"),AND(F89="OFF",D89="Férié"),AND(F89="Congé",D89="OFF"),AND(F89="Congé",D89="Congé sans solde"),AND(F89="Congé",D89="Congé spécial"),AND(F89="Congé",D89="Férié"),AND(F89="Congé sans solde",D89="OFF"),AND(F89="Congé sans solde",D89="Congé"),AND(F89="Congé sans solde",D89="Congé spécial"),AND(F89="Congé sans solde",D89="Férié"),AND(F89="Congé spécial",D89="OFF"),AND(F89="Congé spécial",D89="Congé"),AND(F89="Congé spécial",D89="Congé sans solde"),AND(F89="Congé spécial",D89="Férié"),AND(F89="Férié",D89="OFF"),AND(F89="Férié",D89="Congé"),AND(F89="Férié",D89="Congé sans solde"),AND(F89="Férié",D89="Congé spécial")),0,IF(OR(F89="OFF",F89="Congé",F89="Congé spécial",F89="Congé sans solde",D89="OFF",D89="Congé",D89="Congé spécial",D89="Congé sans solde"),0.208333333333334,IF(AND(AG89="",F89-D89&lt;0),("24:00:00"-D89)+("00:00:00"+F89)-0.0416666666666667,IF(AND(OR(AG89="Allaitement",AG89="Sans déjeuner"),F89-D89&lt;0),("24:00:00"-D89)+("00:00:00"+F89),IF(AND(AG89="",F89-D89&gt;0.166666666666667),F89-D89-0.0416666666666667,IF(AND(OR(AG89="Allaitement",AG89="Sans déjeuner"),F89-D89&gt;0.166666666666667),F89-D89,F89-D89)))))))</f>
        <v>0.375</v>
      </c>
      <c r="P89" s="34" t="str">
        <f aca="false">IFERROR(VLOOKUP($B89,Annuaire_roster!$B:$G,MATCH(P$1,Annuaire_roster!$B$1:$G$1,0),0),"-")</f>
        <v>Google Leads</v>
      </c>
      <c r="Q89" s="35" t="n">
        <v>44719</v>
      </c>
      <c r="R89" s="36" t="n">
        <f aca="false">IF(M89="Abs",O89,0)</f>
        <v>0.375</v>
      </c>
      <c r="S89" s="36" t="n">
        <f aca="false">SUM(R89,L89,I89,J89,W89,H89)</f>
        <v>0.375</v>
      </c>
      <c r="T89" s="1" t="str">
        <f aca="false">"Sem - "&amp;WEEKNUM(Q89,21)</f>
        <v>Sem - 24</v>
      </c>
      <c r="U89" s="1" t="str">
        <f aca="false">PROPER(TEXT(Q89,"mmmm"))</f>
        <v>June</v>
      </c>
      <c r="V89" s="37" t="str">
        <f aca="false">+TEXT(Q89,"aaa")</f>
        <v>Mon</v>
      </c>
      <c r="W89" s="32"/>
      <c r="X89" s="38" t="n">
        <f aca="false">IFERROR(IF(M89="Abs",0,IF((D89-C89+E89-F89)&lt;0.000694444444444444,0,(D89-C89+E89-F89))),0)</f>
        <v>0</v>
      </c>
      <c r="Y89" s="39" t="n">
        <f aca="false">IFERROR(VLOOKUP(B89,Annuaire_roster!B:E,4,0),"-")</f>
        <v>0</v>
      </c>
      <c r="Z89" s="39" t="str">
        <f aca="false">IFERROR(VLOOKUP(B89,Annuaire_roster!B:F,3,0),"-")</f>
        <v>Google Leads</v>
      </c>
      <c r="AA89" s="39" t="n">
        <f aca="false">IFERROR(VLOOKUP(B89,Annuaire_roster!B:I,6,0),"-")</f>
        <v>0</v>
      </c>
      <c r="AB89" s="40" t="str">
        <f aca="false">IF(AND(D89="Congé",F89="Congé"),0.333333333333333,IF(OR(AND(D89="Congé",F89&lt;&gt;"Congé"),(AND(F89="Congé",D89&lt;&gt;"Congé"))),0.166666666666667,""))</f>
        <v/>
      </c>
      <c r="AC89" s="40" t="str">
        <f aca="false">IF(AND(D89="Congé sans solde",F89="Congé sans solde"),0.333333333333333,IF(OR(AND(D89="Congé sans solde",F89&lt;&gt;"Congé sans solde"),(AND(F89="Congé sans solde",D89&lt;&gt;"Congé sans solde"))),0.166666666666667,""))</f>
        <v/>
      </c>
      <c r="AD89" s="40" t="str">
        <f aca="false">IF(AND(D89="Congé spécial",F89="Congé spécial"),0.333333333333333,IF(OR(AND(D89="Congé spécial",F89&lt;&gt;"Congé décès"),(AND(F89="Congé spécial",D89&lt;&gt;"Congé spécial"))),0.166666666666667,""))</f>
        <v/>
      </c>
      <c r="AE89" s="41" t="str">
        <f aca="false">IF(AND(D89="Férié",F89="Férié"),0.333333333333333,IF(OR(AND(D89="Férié",F89&lt;&gt;"Férié"),(AND(F89="Férié",D89&lt;&gt;"Férié"))),0.166666666666667,""))</f>
        <v/>
      </c>
      <c r="AF89" s="41"/>
      <c r="AG89" s="36"/>
    </row>
    <row r="90" customFormat="false" ht="12.75" hidden="true" customHeight="true" outlineLevel="0" collapsed="false">
      <c r="A90" s="43" t="n">
        <f aca="false">VLOOKUP(B90,Annuaire_roster!B:F,5,0)</f>
        <v>397</v>
      </c>
      <c r="B90" s="23" t="s">
        <v>56</v>
      </c>
      <c r="C90" s="24" t="str">
        <f aca="false">IFERROR(IF(COUNTIFS(Pointage_brut!$E:$E,VLOOKUP($B90,Annuaire_roster!$B:$J,9,0),Pointage_brut!$A:$A,TEXT($Q90,"yyyymmdd")*1)=0,"",MOD(_xlfn.MINIFS(Pointage_brut!$F:$F,Pointage_brut!$E:$E,VLOOKUP($B90,Annuaire_roster!$B:$J,9,0),Pointage_brut!$A:$A,TEXT($Q90,"yyyymmdd")*1),1)),"")</f>
        <v/>
      </c>
      <c r="D90" s="25" t="str">
        <f aca="false" t="array" ref="D90:D90">IFERROR(INDEX(Planning2[],MATCH(1,(Planning2[Nom]=B90)*(Planning2[Date]=Q90),0),3),"-")</f>
        <v>Congé</v>
      </c>
      <c r="E90" s="26" t="str">
        <f aca="false">IFERROR(IF(COUNTIFS(Pointage_brut!$E:$E,VLOOKUP($B90,Annuaire_roster!$B:$J,9,0),Pointage_brut!$A:$A,TEXT($Q90,"yyyymmdd")*1)=0,"",MOD(_xlfn.MAXIFS(Pointage_brut!$G:$G,Pointage_brut!$E:$E,VLOOKUP($B90,Annuaire_roster!$B:$J,9,0),Pointage_brut!$A:$A,TEXT($Q90,"yyyymmdd")*1),1)),"")</f>
        <v/>
      </c>
      <c r="F90" s="27" t="str">
        <f aca="false" t="array" ref="F90:F90">IFERROR(INDEX(Planning2[],MATCH(1,(Planning2[Nom]=B90)*(Planning2[Date]=Q90),0),4),"-")</f>
        <v>Congé</v>
      </c>
      <c r="G90" s="28"/>
      <c r="H90" s="28"/>
      <c r="I90" s="29" t="str">
        <f aca="false">IF(IF(OR(C90="",D90="Congé",D90="OFF",D90="Congé spécial"),"",IF(D90&gt;F90,D90-C90,IF(C90-D90&lt;0,0,C90-D90)))&lt;0.00068287037037037,"",IF(OR(D90="Congé",D90="OFF",C90="",D90="Congé spécial"),"",IF(D90&gt;F90,D90-C90,IF(C90-D90&lt;0,0,C90-D90))))</f>
        <v/>
      </c>
      <c r="J90" s="28"/>
      <c r="K90" s="30" t="n">
        <f aca="false">IF(SUM(H90:J90)&lt;0.00068287037037037,0,SUM(H90:J90))</f>
        <v>0</v>
      </c>
      <c r="L90" s="28" t="n">
        <f aca="false">IF(OR(F90="Congé",F90="OFF",M90="Abs",F90="Congé sans solde",F90="Férié",F90="Congé spécial",D90="Congé spécial"),0,IF(F90-E90&lt;0,0,IF(F90-E90&lt;=0.00068287037037037,0,F90-E90)))</f>
        <v>0</v>
      </c>
      <c r="M90" s="31" t="n">
        <f aca="false">IF(AND(O90&lt;&gt;0,C90=""),"Abs",0)</f>
        <v>0</v>
      </c>
      <c r="N90" s="44" t="str">
        <f aca="false">IFERROR(IF(OR(D90="OFF",D90="Congé",M90="Abs",D90="Congé sans solde",D90="Férié"),"",IF(O90-K90-L90&gt;O90,O90,IF(O90-K90-L90&lt;0,"",O90-K90-L90))),"")</f>
        <v/>
      </c>
      <c r="O90" s="33" t="n">
        <f aca="false">IF(AG90="2H Pause déjeuner",IF(F90-D90-0.0833333333333333&lt;0,F90-D90-0.0833333333333333+1,F90-D90-0.0833333333333333),IF(OR(AND(F90="OFF",D90="OFF"),AND(F90="Congé",D90="Congé"),AND(F90="Congé sans solde",D90="Congé sans solde"),AND(F90="Congé spécial",D90="Congé spécial"),AND(F90="Férié",D90="Férié"),AND(F90="OFF",D90="Congé"),AND(F90="OFF",D90="Congé sans solde"),AND(F90="OFF",D90="Congé spécial"),AND(F90="OFF",D90="Férié"),AND(F90="Congé",D90="OFF"),AND(F90="Congé",D90="Congé sans solde"),AND(F90="Congé",D90="Congé spécial"),AND(F90="Congé",D90="Férié"),AND(F90="Congé sans solde",D90="OFF"),AND(F90="Congé sans solde",D90="Congé"),AND(F90="Congé sans solde",D90="Congé spécial"),AND(F90="Congé sans solde",D90="Férié"),AND(F90="Congé spécial",D90="OFF"),AND(F90="Congé spécial",D90="Congé"),AND(F90="Congé spécial",D90="Congé sans solde"),AND(F90="Congé spécial",D90="Férié"),AND(F90="Férié",D90="OFF"),AND(F90="Férié",D90="Congé"),AND(F90="Férié",D90="Congé sans solde"),AND(F90="Férié",D90="Congé spécial")),0,IF(OR(F90="OFF",F90="Congé",F90="Congé spécial",F90="Congé sans solde",D90="OFF",D90="Congé",D90="Congé spécial",D90="Congé sans solde"),0.208333333333334,IF(AND(AG90="",F90-D90&lt;0),("24:00:00"-D90)+("00:00:00"+F90)-0.0416666666666667,IF(AND(OR(AG90="Allaitement",AG90="Sans déjeuner"),F90-D90&lt;0),("24:00:00"-D90)+("00:00:00"+F90),IF(AND(AG90="",F90-D90&gt;0.166666666666667),F90-D90-0.0416666666666667,IF(AND(OR(AG90="Allaitement",AG90="Sans déjeuner"),F90-D90&gt;0.166666666666667),F90-D90,F90-D90)))))))</f>
        <v>0</v>
      </c>
      <c r="P90" s="34" t="str">
        <f aca="false">IFERROR(VLOOKUP($B90,Annuaire_roster!$B:$G,MATCH(P$1,Annuaire_roster!$B$1:$G$1,0),0),"-")</f>
        <v>Google Leads</v>
      </c>
      <c r="Q90" s="45" t="n">
        <v>44719</v>
      </c>
      <c r="R90" s="40" t="n">
        <f aca="false">IF(M90="Abs",O90,0)</f>
        <v>0</v>
      </c>
      <c r="S90" s="40" t="n">
        <f aca="false">SUM(R90,L90,I90,J90,W90,H90)</f>
        <v>0</v>
      </c>
      <c r="T90" s="1" t="str">
        <f aca="false">"Sem - "&amp;WEEKNUM(Q90,21)</f>
        <v>Sem - 24</v>
      </c>
      <c r="U90" s="1" t="str">
        <f aca="false">PROPER(TEXT(Q90,"mmmm"))</f>
        <v>June</v>
      </c>
      <c r="V90" s="46" t="str">
        <f aca="false">+TEXT(Q90,"aaa")</f>
        <v>Mon</v>
      </c>
      <c r="W90" s="44"/>
      <c r="X90" s="47" t="n">
        <f aca="false">IFERROR(IF(M90="Abs",0,IF((D90-C90+E90-F90)&lt;0.000694444444444444,0,(D90-C90+E90-F90))),0)</f>
        <v>0</v>
      </c>
      <c r="Y90" s="48" t="str">
        <f aca="false">IFERROR(VLOOKUP(B90,Annuaire_roster!B:E,4,0),"-")</f>
        <v>OUAQERROUCH Nour-El Houda</v>
      </c>
      <c r="Z90" s="48" t="str">
        <f aca="false">IFERROR(VLOOKUP(B90,Annuaire_roster!B:F,3,0),"-")</f>
        <v>Google Leads</v>
      </c>
      <c r="AA90" s="48" t="str">
        <f aca="false">IFERROR(VLOOKUP(B90,Annuaire_roster!B:I,6,0),"-")</f>
        <v>Forfaitaire</v>
      </c>
      <c r="AB90" s="40" t="n">
        <f aca="false">IF(AND(D90="Congé",F90="Congé"),0.333333333333333,IF(OR(AND(D90="Congé",F90&lt;&gt;"Congé"),(AND(F90="Congé",D90&lt;&gt;"Congé"))),0.166666666666667,""))</f>
        <v>0.333333333333333</v>
      </c>
      <c r="AC90" s="40" t="str">
        <f aca="false">IF(AND(D90="Congé sans solde",F90="Congé sans solde"),0.333333333333333,IF(OR(AND(D90="Congé sans solde",F90&lt;&gt;"Congé sans solde"),(AND(F90="Congé sans solde",D90&lt;&gt;"Congé sans solde"))),0.166666666666667,""))</f>
        <v/>
      </c>
      <c r="AD90" s="40" t="str">
        <f aca="false">IF(AND(D90="Congé spécial",F90="Congé spécial"),0.333333333333333,IF(OR(AND(D90="Congé spécial",F90&lt;&gt;"Congé décès"),(AND(F90="Congé spécial",D90&lt;&gt;"Congé spécial"))),0.166666666666667,""))</f>
        <v/>
      </c>
      <c r="AE90" s="49" t="str">
        <f aca="false">IF(AND(D90="Férié",F90="Férié"),0.333333333333333,IF(OR(AND(D90="Férié",F90&lt;&gt;"Férié"),(AND(F90="Férié",D90&lt;&gt;"Férié"))),0.166666666666667,""))</f>
        <v/>
      </c>
      <c r="AF90" s="49"/>
      <c r="AG90" s="40"/>
    </row>
    <row r="91" customFormat="false" ht="12.75" hidden="true" customHeight="true" outlineLevel="0" collapsed="false">
      <c r="A91" s="43" t="n">
        <f aca="false">VLOOKUP(B91,Annuaire_roster!B:F,5,0)</f>
        <v>894</v>
      </c>
      <c r="B91" s="23" t="s">
        <v>57</v>
      </c>
      <c r="C91" s="24" t="str">
        <f aca="false">IFERROR(IF(COUNTIFS(Pointage_brut!$E:$E,VLOOKUP($B91,Annuaire_roster!$B:$J,9,0),Pointage_brut!$A:$A,TEXT($Q91,"yyyymmdd")*1)=0,"",MOD(_xlfn.MINIFS(Pointage_brut!$F:$F,Pointage_brut!$E:$E,VLOOKUP($B91,Annuaire_roster!$B:$J,9,0),Pointage_brut!$A:$A,TEXT($Q91,"yyyymmdd")*1),1)),"")</f>
        <v/>
      </c>
      <c r="D91" s="25" t="n">
        <v>0.416666666666667</v>
      </c>
      <c r="E91" s="26" t="str">
        <f aca="false">IFERROR(IF(COUNTIFS(Pointage_brut!$E:$E,VLOOKUP($B91,Annuaire_roster!$B:$J,9,0),Pointage_brut!$A:$A,TEXT($Q91,"yyyymmdd")*1)=0,"",MOD(_xlfn.MAXIFS(Pointage_brut!$G:$G,Pointage_brut!$E:$E,VLOOKUP($B91,Annuaire_roster!$B:$J,9,0),Pointage_brut!$A:$A,TEXT($Q91,"yyyymmdd")*1),1)),"")</f>
        <v/>
      </c>
      <c r="F91" s="27" t="n">
        <v>0.833333333333333</v>
      </c>
      <c r="G91" s="28"/>
      <c r="H91" s="28"/>
      <c r="I91" s="29" t="str">
        <f aca="false">IF(IF(OR(C91="",D91="Congé",D91="OFF",D91="Congé spécial"),"",IF(D91&gt;F91,D91-C91,IF(C91-D91&lt;0,0,C91-D91)))&lt;0.00068287037037037,"",IF(OR(D91="Congé",D91="OFF",C91="",D91="Congé spécial"),"",IF(D91&gt;F91,D91-C91,IF(C91-D91&lt;0,0,C91-D91))))</f>
        <v/>
      </c>
      <c r="J91" s="28"/>
      <c r="K91" s="30" t="n">
        <f aca="false">IF(SUM(H91:J91)&lt;0.00068287037037037,0,SUM(H91:J91))</f>
        <v>0</v>
      </c>
      <c r="L91" s="28" t="n">
        <f aca="false">IF(OR(F91="Congé",F91="OFF",M91="Abs",F91="Congé sans solde",F91="Férié",F91="Congé spécial",D91="Congé spécial"),0,IF(F91-E91&lt;0,0,IF(F91-E91&lt;=0.00068287037037037,0,F91-E91)))</f>
        <v>0</v>
      </c>
      <c r="M91" s="31" t="str">
        <f aca="false">IF(AND(O91&lt;&gt;0,C91=""),"Abs",0)</f>
        <v>Abs</v>
      </c>
      <c r="N91" s="44" t="str">
        <f aca="false">IFERROR(IF(OR(D91="OFF",D91="Congé",M91="Abs",D91="Congé sans solde",D91="Férié"),"",IF(O91-K91-L91&gt;O91,O91,IF(O91-K91-L91&lt;0,"",O91-K91-L91))),"")</f>
        <v/>
      </c>
      <c r="O91" s="33" t="n">
        <f aca="false">IF(AG91="2H Pause déjeuner",IF(F91-D91-0.0833333333333333&lt;0,F91-D91-0.0833333333333333+1,F91-D91-0.0833333333333333),IF(OR(AND(F91="OFF",D91="OFF"),AND(F91="Congé",D91="Congé"),AND(F91="Congé sans solde",D91="Congé sans solde"),AND(F91="Congé spécial",D91="Congé spécial"),AND(F91="Férié",D91="Férié"),AND(F91="OFF",D91="Congé"),AND(F91="OFF",D91="Congé sans solde"),AND(F91="OFF",D91="Congé spécial"),AND(F91="OFF",D91="Férié"),AND(F91="Congé",D91="OFF"),AND(F91="Congé",D91="Congé sans solde"),AND(F91="Congé",D91="Congé spécial"),AND(F91="Congé",D91="Férié"),AND(F91="Congé sans solde",D91="OFF"),AND(F91="Congé sans solde",D91="Congé"),AND(F91="Congé sans solde",D91="Congé spécial"),AND(F91="Congé sans solde",D91="Férié"),AND(F91="Congé spécial",D91="OFF"),AND(F91="Congé spécial",D91="Congé"),AND(F91="Congé spécial",D91="Congé sans solde"),AND(F91="Congé spécial",D91="Férié"),AND(F91="Férié",D91="OFF"),AND(F91="Férié",D91="Congé"),AND(F91="Férié",D91="Congé sans solde"),AND(F91="Férié",D91="Congé spécial")),0,IF(OR(F91="OFF",F91="Congé",F91="Congé spécial",F91="Congé sans solde",D91="OFF",D91="Congé",D91="Congé spécial",D91="Congé sans solde"),0.208333333333334,IF(AND(AG91="",F91-D91&lt;0),("24:00:00"-D91)+("00:00:00"+F91)-0.0416666666666667,IF(AND(OR(AG91="Allaitement",AG91="Sans déjeuner"),F91-D91&lt;0),("24:00:00"-D91)+("00:00:00"+F91),IF(AND(AG91="",F91-D91&gt;0.166666666666667),F91-D91-0.0416666666666667,IF(AND(OR(AG91="Allaitement",AG91="Sans déjeuner"),F91-D91&gt;0.166666666666667),F91-D91,F91-D91)))))))</f>
        <v>0.375</v>
      </c>
      <c r="P91" s="34" t="str">
        <f aca="false">IFERROR(VLOOKUP($B91,Annuaire_roster!$B:$G,MATCH(P$1,Annuaire_roster!$B$1:$G$1,0),0),"-")</f>
        <v>Google Leads</v>
      </c>
      <c r="Q91" s="45" t="n">
        <v>44719</v>
      </c>
      <c r="R91" s="40" t="n">
        <f aca="false">IF(M91="Abs",O91,0)</f>
        <v>0.375</v>
      </c>
      <c r="S91" s="40" t="n">
        <f aca="false">SUM(R91,L91,I91,J91,W91,H91)</f>
        <v>0.375</v>
      </c>
      <c r="T91" s="1" t="str">
        <f aca="false">"Sem - "&amp;WEEKNUM(Q91,21)</f>
        <v>Sem - 24</v>
      </c>
      <c r="U91" s="1" t="str">
        <f aca="false">PROPER(TEXT(Q91,"mmmm"))</f>
        <v>June</v>
      </c>
      <c r="V91" s="46" t="str">
        <f aca="false">+TEXT(Q91,"aaa")</f>
        <v>Mon</v>
      </c>
      <c r="W91" s="44"/>
      <c r="X91" s="47" t="n">
        <f aca="false">IFERROR(IF(M91="Abs",0,IF((D91-C91+E91-F91)&lt;0.000694444444444444,0,(D91-C91+E91-F91))),0)</f>
        <v>0</v>
      </c>
      <c r="Y91" s="48" t="str">
        <f aca="false">IFERROR(VLOOKUP(B91,Annuaire_roster!B:E,4,0),"-")</f>
        <v>OUAQERROUCH Nour-El Houda</v>
      </c>
      <c r="Z91" s="48" t="str">
        <f aca="false">IFERROR(VLOOKUP(B91,Annuaire_roster!B:F,3,0),"-")</f>
        <v>Google Leads</v>
      </c>
      <c r="AA91" s="48" t="str">
        <f aca="false">IFERROR(VLOOKUP(B91,Annuaire_roster!B:I,6,0),"-")</f>
        <v>Forfaitaire</v>
      </c>
      <c r="AB91" s="40" t="str">
        <f aca="false">IF(AND(D91="Congé",F91="Congé"),0.333333333333333,IF(OR(AND(D91="Congé",F91&lt;&gt;"Congé"),(AND(F91="Congé",D91&lt;&gt;"Congé"))),0.166666666666667,""))</f>
        <v/>
      </c>
      <c r="AC91" s="40" t="str">
        <f aca="false">IF(AND(D91="Congé sans solde",F91="Congé sans solde"),0.333333333333333,IF(OR(AND(D91="Congé sans solde",F91&lt;&gt;"Congé sans solde"),(AND(F91="Congé sans solde",D91&lt;&gt;"Congé sans solde"))),0.166666666666667,""))</f>
        <v/>
      </c>
      <c r="AD91" s="40" t="str">
        <f aca="false">IF(AND(D91="Congé spécial",F91="Congé spécial"),0.333333333333333,IF(OR(AND(D91="Congé spécial",F91&lt;&gt;"Congé décès"),(AND(F91="Congé spécial",D91&lt;&gt;"Congé spécial"))),0.166666666666667,""))</f>
        <v/>
      </c>
      <c r="AE91" s="49" t="str">
        <f aca="false">IF(AND(D91="Férié",F91="Férié"),0.333333333333333,IF(OR(AND(D91="Férié",F91&lt;&gt;"Férié"),(AND(F91="Férié",D91&lt;&gt;"Férié"))),0.166666666666667,""))</f>
        <v/>
      </c>
      <c r="AF91" s="49"/>
      <c r="AG91" s="40"/>
    </row>
    <row r="92" customFormat="false" ht="12.75" hidden="true" customHeight="true" outlineLevel="0" collapsed="false">
      <c r="A92" s="22" t="n">
        <f aca="false">VLOOKUP(B92,Annuaire_roster!B:F,5,0)</f>
        <v>364</v>
      </c>
      <c r="B92" s="23" t="s">
        <v>43</v>
      </c>
      <c r="C92" s="24" t="str">
        <f aca="false">IFERROR(IF(COUNTIFS(Pointage_brut!$E:$E,VLOOKUP($B92,Annuaire_roster!$B:$J,9,0),Pointage_brut!$A:$A,TEXT($Q92,"yyyymmdd")*1)=0,"",MOD(_xlfn.MINIFS(Pointage_brut!$F:$F,Pointage_brut!$E:$E,VLOOKUP($B92,Annuaire_roster!$B:$J,9,0),Pointage_brut!$A:$A,TEXT($Q92,"yyyymmdd")*1),1)),"")</f>
        <v/>
      </c>
      <c r="D92" s="25" t="str">
        <f aca="false" t="array" ref="D92:D92">IFERROR(INDEX(Planning2[],MATCH(1,(Planning2[Nom]=B92)*(Planning2[Date]=Q92),0),3),"-")</f>
        <v>OFF</v>
      </c>
      <c r="E92" s="26" t="str">
        <f aca="false">IFERROR(IF(COUNTIFS(Pointage_brut!$E:$E,VLOOKUP($B92,Annuaire_roster!$B:$J,9,0),Pointage_brut!$A:$A,TEXT($Q92,"yyyymmdd")*1)=0,"",MOD(_xlfn.MAXIFS(Pointage_brut!$G:$G,Pointage_brut!$E:$E,VLOOKUP($B92,Annuaire_roster!$B:$J,9,0),Pointage_brut!$A:$A,TEXT($Q92,"yyyymmdd")*1),1)),"")</f>
        <v/>
      </c>
      <c r="F92" s="27" t="str">
        <f aca="false" t="array" ref="F92:F92">IFERROR(INDEX(Planning2[],MATCH(1,(Planning2[Nom]=B92)*(Planning2[Date]=Q92),0),4),"-")</f>
        <v>OFF</v>
      </c>
      <c r="G92" s="28"/>
      <c r="H92" s="28"/>
      <c r="I92" s="29" t="str">
        <f aca="false">IF(IF(OR(C92="",D92="Congé",D92="OFF",D92="Congé spécial"),"",IF(D92&gt;F92,D92-C92,IF(C92-D92&lt;0,0,C92-D92)))&lt;0.00068287037037037,"",IF(OR(D92="Congé",D92="OFF",C92="",D92="Congé spécial"),"",IF(D92&gt;F92,D92-C92,IF(C92-D92&lt;0,0,C92-D92))))</f>
        <v/>
      </c>
      <c r="J92" s="28"/>
      <c r="K92" s="30" t="n">
        <f aca="false">IF(SUM(H92:J92)&lt;0.00068287037037037,0,SUM(H92:J92))</f>
        <v>0</v>
      </c>
      <c r="L92" s="28" t="n">
        <f aca="false">IF(OR(F92="Congé",F92="OFF",M92="Abs",F92="Congé sans solde",F92="Férié",F92="Congé spécial",D92="Congé spécial"),0,IF(F92-E92&lt;0,0,IF(F92-E92&lt;=0.00068287037037037,0,F92-E92)))</f>
        <v>0</v>
      </c>
      <c r="M92" s="31" t="n">
        <f aca="false">IF(AND(O92&lt;&gt;0,C92=""),"Abs",0)</f>
        <v>0</v>
      </c>
      <c r="N92" s="32" t="str">
        <f aca="false">IFERROR(IF(OR(D92="OFF",D92="Congé",M92="Abs",D92="Congé sans solde",D92="Férié"),"",IF(O92-K92-L92&gt;O92,O92,IF(O92-K92-L92&lt;0,"",O92-K92-L92))),"")</f>
        <v/>
      </c>
      <c r="O92" s="33" t="n">
        <f aca="false">IF(AG92="2H Pause déjeuner",IF(F92-D92-0.0833333333333333&lt;0,F92-D92-0.0833333333333333+1,F92-D92-0.0833333333333333),IF(OR(AND(F92="OFF",D92="OFF"),AND(F92="Congé",D92="Congé"),AND(F92="Congé sans solde",D92="Congé sans solde"),AND(F92="Congé spécial",D92="Congé spécial"),AND(F92="Férié",D92="Férié"),AND(F92="OFF",D92="Congé"),AND(F92="OFF",D92="Congé sans solde"),AND(F92="OFF",D92="Congé spécial"),AND(F92="OFF",D92="Férié"),AND(F92="Congé",D92="OFF"),AND(F92="Congé",D92="Congé sans solde"),AND(F92="Congé",D92="Congé spécial"),AND(F92="Congé",D92="Férié"),AND(F92="Congé sans solde",D92="OFF"),AND(F92="Congé sans solde",D92="Congé"),AND(F92="Congé sans solde",D92="Congé spécial"),AND(F92="Congé sans solde",D92="Férié"),AND(F92="Congé spécial",D92="OFF"),AND(F92="Congé spécial",D92="Congé"),AND(F92="Congé spécial",D92="Congé sans solde"),AND(F92="Congé spécial",D92="Férié"),AND(F92="Férié",D92="OFF"),AND(F92="Férié",D92="Congé"),AND(F92="Férié",D92="Congé sans solde"),AND(F92="Férié",D92="Congé spécial")),0,IF(OR(F92="OFF",F92="Congé",F92="Congé spécial",F92="Congé sans solde",D92="OFF",D92="Congé",D92="Congé spécial",D92="Congé sans solde"),0.208333333333334,IF(AND(AG92="",F92-D92&lt;0),("24:00:00"-D92)+("00:00:00"+F92)-0.0416666666666667,IF(AND(OR(AG92="Allaitement",AG92="Sans déjeuner"),F92-D92&lt;0),("24:00:00"-D92)+("00:00:00"+F92),IF(AND(AG92="",F92-D92&gt;0.166666666666667),F92-D92-0.0416666666666667,IF(AND(OR(AG92="Allaitement",AG92="Sans déjeuner"),F92-D92&gt;0.166666666666667),F92-D92,F92-D92)))))))</f>
        <v>0</v>
      </c>
      <c r="P92" s="34" t="str">
        <f aca="false">IFERROR(VLOOKUP($B92,Annuaire_roster!$B:$G,MATCH(P$1,Annuaire_roster!$B$1:$G$1,0),0),"-")</f>
        <v>Google Leads</v>
      </c>
      <c r="Q92" s="35" t="n">
        <v>44719</v>
      </c>
      <c r="R92" s="36" t="n">
        <f aca="false">IF(M92="Abs",O92,0)</f>
        <v>0</v>
      </c>
      <c r="S92" s="36" t="n">
        <f aca="false">SUM(R92,L92,I92,J92,W92,H92)</f>
        <v>0</v>
      </c>
      <c r="T92" s="1" t="str">
        <f aca="false">"Sem - "&amp;WEEKNUM(Q92,21)</f>
        <v>Sem - 24</v>
      </c>
      <c r="U92" s="1" t="str">
        <f aca="false">PROPER(TEXT(Q92,"mmmm"))</f>
        <v>June</v>
      </c>
      <c r="V92" s="37" t="str">
        <f aca="false">+TEXT(Q92,"aaa")</f>
        <v>Mon</v>
      </c>
      <c r="W92" s="32"/>
      <c r="X92" s="38" t="n">
        <f aca="false">IFERROR(IF(M92="Abs",0,IF((D92-C92+E92-F92)&lt;0.000694444444444444,0,(D92-C92+E92-F92))),0)</f>
        <v>0</v>
      </c>
      <c r="Y92" s="39" t="str">
        <f aca="false">IFERROR(VLOOKUP(B92,Annuaire_roster!B:E,4,0),"-")</f>
        <v>OUAQERROUCH Nour-El Houda</v>
      </c>
      <c r="Z92" s="39" t="str">
        <f aca="false">IFERROR(VLOOKUP(B92,Annuaire_roster!B:F,3,0),"-")</f>
        <v>Google Leads</v>
      </c>
      <c r="AA92" s="39" t="str">
        <f aca="false">IFERROR(VLOOKUP(B92,Annuaire_roster!B:I,6,0),"-")</f>
        <v>Forfaitaire</v>
      </c>
      <c r="AB92" s="40" t="str">
        <f aca="false">IF(AND(D92="Congé",F92="Congé"),0.333333333333333,IF(OR(AND(D92="Congé",F92&lt;&gt;"Congé"),(AND(F92="Congé",D92&lt;&gt;"Congé"))),0.166666666666667,""))</f>
        <v/>
      </c>
      <c r="AC92" s="40" t="str">
        <f aca="false">IF(AND(D92="Congé sans solde",F92="Congé sans solde"),0.333333333333333,IF(OR(AND(D92="Congé sans solde",F92&lt;&gt;"Congé sans solde"),(AND(F92="Congé sans solde",D92&lt;&gt;"Congé sans solde"))),0.166666666666667,""))</f>
        <v/>
      </c>
      <c r="AD92" s="40" t="str">
        <f aca="false">IF(AND(D92="Congé spécial",F92="Congé spécial"),0.333333333333333,IF(OR(AND(D92="Congé spécial",F92&lt;&gt;"Congé décès"),(AND(F92="Congé spécial",D92&lt;&gt;"Congé spécial"))),0.166666666666667,""))</f>
        <v/>
      </c>
      <c r="AE92" s="41" t="str">
        <f aca="false">IF(AND(D92="Férié",F92="Férié"),0.333333333333333,IF(OR(AND(D92="Férié",F92&lt;&gt;"Férié"),(AND(F92="Férié",D92&lt;&gt;"Férié"))),0.166666666666667,""))</f>
        <v/>
      </c>
      <c r="AF92" s="41"/>
      <c r="AG92" s="36"/>
    </row>
    <row r="93" customFormat="false" ht="12.75" hidden="true" customHeight="true" outlineLevel="0" collapsed="false">
      <c r="A93" s="22" t="n">
        <f aca="false">VLOOKUP(B93,Annuaire_roster!B:F,5,0)</f>
        <v>1009</v>
      </c>
      <c r="B93" s="23" t="s">
        <v>44</v>
      </c>
      <c r="C93" s="24" t="str">
        <f aca="false">IFERROR(IF(COUNTIFS(Pointage_brut!$E:$E,VLOOKUP($B93,Annuaire_roster!$B:$J,9,0),Pointage_brut!$A:$A,TEXT($Q93,"yyyymmdd")*1)=0,"",MOD(_xlfn.MINIFS(Pointage_brut!$F:$F,Pointage_brut!$E:$E,VLOOKUP($B93,Annuaire_roster!$B:$J,9,0),Pointage_brut!$A:$A,TEXT($Q93,"yyyymmdd")*1),1)),"")</f>
        <v/>
      </c>
      <c r="D93" s="25" t="str">
        <f aca="false" t="array" ref="D93:D93">IFERROR(INDEX(Planning2[],MATCH(1,(Planning2[Nom]=B93)*(Planning2[Date]=Q93),0),3),"-")</f>
        <v>OFF</v>
      </c>
      <c r="E93" s="26" t="str">
        <f aca="false">IFERROR(IF(COUNTIFS(Pointage_brut!$E:$E,VLOOKUP($B93,Annuaire_roster!$B:$J,9,0),Pointage_brut!$A:$A,TEXT($Q93,"yyyymmdd")*1)=0,"",MOD(_xlfn.MAXIFS(Pointage_brut!$G:$G,Pointage_brut!$E:$E,VLOOKUP($B93,Annuaire_roster!$B:$J,9,0),Pointage_brut!$A:$A,TEXT($Q93,"yyyymmdd")*1),1)),"")</f>
        <v/>
      </c>
      <c r="F93" s="27" t="str">
        <f aca="false" t="array" ref="F93:F93">IFERROR(INDEX(Planning2[],MATCH(1,(Planning2[Nom]=B93)*(Planning2[Date]=Q93),0),4),"-")</f>
        <v>OFF</v>
      </c>
      <c r="G93" s="28"/>
      <c r="H93" s="28"/>
      <c r="I93" s="29" t="str">
        <f aca="false">IF(IF(OR(C93="",D93="Congé",D93="OFF",D93="Congé spécial"),"",IF(D93&gt;F93,D93-C93,IF(C93-D93&lt;0,0,C93-D93)))&lt;0.00068287037037037,"",IF(OR(D93="Congé",D93="OFF",C93="",D93="Congé spécial"),"",IF(D93&gt;F93,D93-C93,IF(C93-D93&lt;0,0,C93-D93))))</f>
        <v/>
      </c>
      <c r="J93" s="28"/>
      <c r="K93" s="30" t="n">
        <f aca="false">IF(SUM(H93:J93)&lt;0.00068287037037037,0,SUM(H93:J93))</f>
        <v>0</v>
      </c>
      <c r="L93" s="28" t="n">
        <f aca="false">IF(OR(F93="Congé",F93="OFF",M93="Abs",F93="Congé sans solde",F93="Férié",F93="Congé spécial",D93="Congé spécial"),0,IF(F93-E93&lt;0,0,IF(F93-E93&lt;=0.00068287037037037,0,F93-E93)))</f>
        <v>0</v>
      </c>
      <c r="M93" s="31" t="n">
        <f aca="false">IF(AND(O93&lt;&gt;0,C93=""),"Abs",0)</f>
        <v>0</v>
      </c>
      <c r="N93" s="32" t="str">
        <f aca="false">IFERROR(IF(OR(D93="OFF",D93="Congé",M93="Abs",D93="Congé sans solde",D93="Férié"),"",IF(O93-K93-L93&gt;O93,O93,IF(O93-K93-L93&lt;0,"",O93-K93-L93))),"")</f>
        <v/>
      </c>
      <c r="O93" s="33" t="n">
        <f aca="false">IF(AG93="2H Pause déjeuner",IF(F93-D93-0.0833333333333333&lt;0,F93-D93-0.0833333333333333+1,F93-D93-0.0833333333333333),IF(OR(AND(F93="OFF",D93="OFF"),AND(F93="Congé",D93="Congé"),AND(F93="Congé sans solde",D93="Congé sans solde"),AND(F93="Congé spécial",D93="Congé spécial"),AND(F93="Férié",D93="Férié"),AND(F93="OFF",D93="Congé"),AND(F93="OFF",D93="Congé sans solde"),AND(F93="OFF",D93="Congé spécial"),AND(F93="OFF",D93="Férié"),AND(F93="Congé",D93="OFF"),AND(F93="Congé",D93="Congé sans solde"),AND(F93="Congé",D93="Congé spécial"),AND(F93="Congé",D93="Férié"),AND(F93="Congé sans solde",D93="OFF"),AND(F93="Congé sans solde",D93="Congé"),AND(F93="Congé sans solde",D93="Congé spécial"),AND(F93="Congé sans solde",D93="Férié"),AND(F93="Congé spécial",D93="OFF"),AND(F93="Congé spécial",D93="Congé"),AND(F93="Congé spécial",D93="Congé sans solde"),AND(F93="Congé spécial",D93="Férié"),AND(F93="Férié",D93="OFF"),AND(F93="Férié",D93="Congé"),AND(F93="Férié",D93="Congé sans solde"),AND(F93="Férié",D93="Congé spécial")),0,IF(OR(F93="OFF",F93="Congé",F93="Congé spécial",F93="Congé sans solde",D93="OFF",D93="Congé",D93="Congé spécial",D93="Congé sans solde"),0.208333333333334,IF(AND(AG93="",F93-D93&lt;0),("24:00:00"-D93)+("00:00:00"+F93)-0.0416666666666667,IF(AND(OR(AG93="Allaitement",AG93="Sans déjeuner"),F93-D93&lt;0),("24:00:00"-D93)+("00:00:00"+F93),IF(AND(AG93="",F93-D93&gt;0.166666666666667),F93-D93-0.0416666666666667,IF(AND(OR(AG93="Allaitement",AG93="Sans déjeuner"),F93-D93&gt;0.166666666666667),F93-D93,F93-D93)))))))</f>
        <v>0</v>
      </c>
      <c r="P93" s="34" t="str">
        <f aca="false">IFERROR(VLOOKUP($B93,Annuaire_roster!$B:$G,MATCH(P$1,Annuaire_roster!$B$1:$G$1,0),0),"-")</f>
        <v>Google Leads</v>
      </c>
      <c r="Q93" s="35" t="n">
        <v>44719</v>
      </c>
      <c r="R93" s="36" t="n">
        <f aca="false">IF(M93="Abs",O93,0)</f>
        <v>0</v>
      </c>
      <c r="S93" s="36" t="n">
        <f aca="false">SUM(R93,L93,I93,J93,W93,H93)</f>
        <v>0</v>
      </c>
      <c r="T93" s="1" t="str">
        <f aca="false">"Sem - "&amp;WEEKNUM(Q93,21)</f>
        <v>Sem - 24</v>
      </c>
      <c r="U93" s="1" t="str">
        <f aca="false">PROPER(TEXT(Q93,"mmmm"))</f>
        <v>June</v>
      </c>
      <c r="V93" s="37" t="str">
        <f aca="false">+TEXT(Q93,"aaa")</f>
        <v>Mon</v>
      </c>
      <c r="W93" s="32"/>
      <c r="X93" s="38" t="n">
        <f aca="false">IFERROR(IF(M93="Abs",0,IF((D93-C93+E93-F93)&lt;0.000694444444444444,0,(D93-C93+E93-F93))),0)</f>
        <v>0</v>
      </c>
      <c r="Y93" s="39" t="str">
        <f aca="false">IFERROR(VLOOKUP(B93,Annuaire_roster!B:E,4,0),"-")</f>
        <v>OUAQERROUCH Nour-El Houda</v>
      </c>
      <c r="Z93" s="39" t="str">
        <f aca="false">IFERROR(VLOOKUP(B93,Annuaire_roster!B:F,3,0),"-")</f>
        <v>Google Leads</v>
      </c>
      <c r="AA93" s="39" t="str">
        <f aca="false">IFERROR(VLOOKUP(B93,Annuaire_roster!B:I,6,0),"-")</f>
        <v>Forfaitaire</v>
      </c>
      <c r="AB93" s="40" t="str">
        <f aca="false">IF(AND(D93="Congé",F93="Congé"),0.333333333333333,IF(OR(AND(D93="Congé",F93&lt;&gt;"Congé"),(AND(F93="Congé",D93&lt;&gt;"Congé"))),0.166666666666667,""))</f>
        <v/>
      </c>
      <c r="AC93" s="40" t="str">
        <f aca="false">IF(AND(D93="Congé sans solde",F93="Congé sans solde"),0.333333333333333,IF(OR(AND(D93="Congé sans solde",F93&lt;&gt;"Congé sans solde"),(AND(F93="Congé sans solde",D93&lt;&gt;"Congé sans solde"))),0.166666666666667,""))</f>
        <v/>
      </c>
      <c r="AD93" s="40" t="str">
        <f aca="false">IF(AND(D93="Congé spécial",F93="Congé spécial"),0.333333333333333,IF(OR(AND(D93="Congé spécial",F93&lt;&gt;"Congé décès"),(AND(F93="Congé spécial",D93&lt;&gt;"Congé spécial"))),0.166666666666667,""))</f>
        <v/>
      </c>
      <c r="AE93" s="41" t="str">
        <f aca="false">IF(AND(D93="Férié",F93="Férié"),0.333333333333333,IF(OR(AND(D93="Férié",F93&lt;&gt;"Férié"),(AND(F93="Férié",D93&lt;&gt;"Férié"))),0.166666666666667,""))</f>
        <v/>
      </c>
      <c r="AF93" s="41"/>
      <c r="AG93" s="36"/>
    </row>
    <row r="94" customFormat="false" ht="12.75" hidden="true" customHeight="true" outlineLevel="0" collapsed="false">
      <c r="A94" s="43" t="n">
        <f aca="false">VLOOKUP(B94,Annuaire_roster!B:F,5,0)</f>
        <v>1154</v>
      </c>
      <c r="B94" s="23" t="s">
        <v>53</v>
      </c>
      <c r="C94" s="24" t="str">
        <f aca="false">IFERROR(IF(COUNTIFS(Pointage_brut!$E:$E,VLOOKUP($B94,Annuaire_roster!$B:$J,9,0),Pointage_brut!$A:$A,TEXT($Q94,"yyyymmdd")*1)=0,"",MOD(_xlfn.MINIFS(Pointage_brut!$F:$F,Pointage_brut!$E:$E,VLOOKUP($B94,Annuaire_roster!$B:$J,9,0),Pointage_brut!$A:$A,TEXT($Q94,"yyyymmdd")*1),1)),"")</f>
        <v/>
      </c>
      <c r="D94" s="25" t="str">
        <f aca="false" t="array" ref="D94:D94">IFERROR(INDEX(Planning2[],MATCH(1,(Planning2[Nom]=B94)*(Planning2[Date]=Q94),0),3),"-")</f>
        <v>OFF</v>
      </c>
      <c r="E94" s="26" t="str">
        <f aca="false">IFERROR(IF(COUNTIFS(Pointage_brut!$E:$E,VLOOKUP($B94,Annuaire_roster!$B:$J,9,0),Pointage_brut!$A:$A,TEXT($Q94,"yyyymmdd")*1)=0,"",MOD(_xlfn.MAXIFS(Pointage_brut!$G:$G,Pointage_brut!$E:$E,VLOOKUP($B94,Annuaire_roster!$B:$J,9,0),Pointage_brut!$A:$A,TEXT($Q94,"yyyymmdd")*1),1)),"")</f>
        <v/>
      </c>
      <c r="F94" s="27" t="str">
        <f aca="false" t="array" ref="F94:F94">IFERROR(INDEX(Planning2[],MATCH(1,(Planning2[Nom]=B94)*(Planning2[Date]=Q94),0),4),"-")</f>
        <v>OFF</v>
      </c>
      <c r="G94" s="28"/>
      <c r="H94" s="28"/>
      <c r="I94" s="29" t="str">
        <f aca="false">IF(IF(OR(C94="",D94="Congé",D94="OFF",D94="Congé spécial"),"",IF(D94&gt;F94,D94-C94,IF(C94-D94&lt;0,0,C94-D94)))&lt;0.00068287037037037,"",IF(OR(D94="Congé",D94="OFF",C94="",D94="Congé spécial"),"",IF(D94&gt;F94,D94-C94,IF(C94-D94&lt;0,0,C94-D94))))</f>
        <v/>
      </c>
      <c r="J94" s="28"/>
      <c r="K94" s="30" t="n">
        <f aca="false">IF(SUM(H94:J94)&lt;0.00068287037037037,0,SUM(H94:J94))</f>
        <v>0</v>
      </c>
      <c r="L94" s="28" t="n">
        <f aca="false">IF(OR(F94="Congé",F94="OFF",M94="Abs",F94="Congé sans solde",F94="Férié",F94="Congé spécial",D94="Congé spécial"),0,IF(F94-E94&lt;0,0,IF(F94-E94&lt;=0.00068287037037037,0,F94-E94)))</f>
        <v>0</v>
      </c>
      <c r="M94" s="31" t="n">
        <f aca="false">IF(AND(O94&lt;&gt;0,C94=""),"Abs",0)</f>
        <v>0</v>
      </c>
      <c r="N94" s="44" t="str">
        <f aca="false">IFERROR(IF(OR(D94="OFF",D94="Congé",M94="Abs",D94="Congé sans solde",D94="Férié"),"",IF(O94-K94-L94&gt;O94,O94,IF(O94-K94-L94&lt;0,"",O94-K94-L94))),"")</f>
        <v/>
      </c>
      <c r="O94" s="33" t="n">
        <f aca="false">IF(AG94="2H Pause déjeuner",IF(F94-D94-0.0833333333333333&lt;0,F94-D94-0.0833333333333333+1,F94-D94-0.0833333333333333),IF(OR(AND(F94="OFF",D94="OFF"),AND(F94="Congé",D94="Congé"),AND(F94="Congé sans solde",D94="Congé sans solde"),AND(F94="Congé spécial",D94="Congé spécial"),AND(F94="Férié",D94="Férié"),AND(F94="OFF",D94="Congé"),AND(F94="OFF",D94="Congé sans solde"),AND(F94="OFF",D94="Congé spécial"),AND(F94="OFF",D94="Férié"),AND(F94="Congé",D94="OFF"),AND(F94="Congé",D94="Congé sans solde"),AND(F94="Congé",D94="Congé spécial"),AND(F94="Congé",D94="Férié"),AND(F94="Congé sans solde",D94="OFF"),AND(F94="Congé sans solde",D94="Congé"),AND(F94="Congé sans solde",D94="Congé spécial"),AND(F94="Congé sans solde",D94="Férié"),AND(F94="Congé spécial",D94="OFF"),AND(F94="Congé spécial",D94="Congé"),AND(F94="Congé spécial",D94="Congé sans solde"),AND(F94="Congé spécial",D94="Férié"),AND(F94="Férié",D94="OFF"),AND(F94="Férié",D94="Congé"),AND(F94="Férié",D94="Congé sans solde"),AND(F94="Férié",D94="Congé spécial")),0,IF(OR(F94="OFF",F94="Congé",F94="Congé spécial",F94="Congé sans solde",D94="OFF",D94="Congé",D94="Congé spécial",D94="Congé sans solde"),0.208333333333334,IF(AND(AG94="",F94-D94&lt;0),("24:00:00"-D94)+("00:00:00"+F94)-0.0416666666666667,IF(AND(OR(AG94="Allaitement",AG94="Sans déjeuner"),F94-D94&lt;0),("24:00:00"-D94)+("00:00:00"+F94),IF(AND(AG94="",F94-D94&gt;0.166666666666667),F94-D94-0.0416666666666667,IF(AND(OR(AG94="Allaitement",AG94="Sans déjeuner"),F94-D94&gt;0.166666666666667),F94-D94,F94-D94)))))))</f>
        <v>0</v>
      </c>
      <c r="P94" s="34" t="str">
        <f aca="false">IFERROR(VLOOKUP($B94,Annuaire_roster!$B:$G,MATCH(P$1,Annuaire_roster!$B$1:$G$1,0),0),"-")</f>
        <v>Google Leads</v>
      </c>
      <c r="Q94" s="45" t="n">
        <v>44719</v>
      </c>
      <c r="R94" s="40" t="n">
        <f aca="false">IF(M94="Abs",O94,0)</f>
        <v>0</v>
      </c>
      <c r="S94" s="40" t="n">
        <f aca="false">SUM(R94,L94,I94,J94,W94,H94)</f>
        <v>0</v>
      </c>
      <c r="T94" s="1" t="str">
        <f aca="false">"Sem - "&amp;WEEKNUM(Q94,21)</f>
        <v>Sem - 24</v>
      </c>
      <c r="U94" s="1" t="str">
        <f aca="false">PROPER(TEXT(Q94,"mmmm"))</f>
        <v>June</v>
      </c>
      <c r="V94" s="46" t="str">
        <f aca="false">+TEXT(Q94,"aaa")</f>
        <v>Mon</v>
      </c>
      <c r="W94" s="44"/>
      <c r="X94" s="47" t="n">
        <f aca="false">IFERROR(IF(M94="Abs",0,IF((D94-C94+E94-F94)&lt;0.000694444444444444,0,(D94-C94+E94-F94))),0)</f>
        <v>0</v>
      </c>
      <c r="Y94" s="48" t="str">
        <f aca="false">IFERROR(VLOOKUP(B94,Annuaire_roster!B:E,4,0),"-")</f>
        <v>CHOUIFI Mustapha</v>
      </c>
      <c r="Z94" s="48" t="str">
        <f aca="false">IFERROR(VLOOKUP(B94,Annuaire_roster!B:F,3,0),"-")</f>
        <v>Google Leads</v>
      </c>
      <c r="AA94" s="48" t="str">
        <f aca="false">IFERROR(VLOOKUP(B94,Annuaire_roster!B:I,6,0),"-")</f>
        <v>Forfaitaire</v>
      </c>
      <c r="AB94" s="40" t="str">
        <f aca="false">IF(AND(D94="Congé",F94="Congé"),0.333333333333333,IF(OR(AND(D94="Congé",F94&lt;&gt;"Congé"),(AND(F94="Congé",D94&lt;&gt;"Congé"))),0.166666666666667,""))</f>
        <v/>
      </c>
      <c r="AC94" s="40" t="str">
        <f aca="false">IF(AND(D94="Congé sans solde",F94="Congé sans solde"),0.333333333333333,IF(OR(AND(D94="Congé sans solde",F94&lt;&gt;"Congé sans solde"),(AND(F94="Congé sans solde",D94&lt;&gt;"Congé sans solde"))),0.166666666666667,""))</f>
        <v/>
      </c>
      <c r="AD94" s="40" t="str">
        <f aca="false">IF(AND(D94="Congé spécial",F94="Congé spécial"),0.333333333333333,IF(OR(AND(D94="Congé spécial",F94&lt;&gt;"Congé décès"),(AND(F94="Congé spécial",D94&lt;&gt;"Congé spécial"))),0.166666666666667,""))</f>
        <v/>
      </c>
      <c r="AE94" s="49" t="str">
        <f aca="false">IF(AND(D94="Férié",F94="Férié"),0.333333333333333,IF(OR(AND(D94="Férié",F94&lt;&gt;"Férié"),(AND(F94="Férié",D94&lt;&gt;"Férié"))),0.166666666666667,""))</f>
        <v/>
      </c>
      <c r="AF94" s="41"/>
      <c r="AG94" s="40"/>
    </row>
    <row r="95" customFormat="false" ht="12.75" hidden="true" customHeight="true" outlineLevel="0" collapsed="false">
      <c r="A95" s="22" t="n">
        <f aca="false">VLOOKUP(B95,Annuaire_roster!B:F,5,0)</f>
        <v>0</v>
      </c>
      <c r="B95" s="23" t="s">
        <v>41</v>
      </c>
      <c r="C95" s="24" t="str">
        <f aca="false">IFERROR(IF(COUNTIFS(Pointage_brut!$E:$E,VLOOKUP($B95,Annuaire_roster!$B:$J,9,0),Pointage_brut!$A:$A,TEXT($Q95,"yyyymmdd")*1)=0,"",MOD(_xlfn.MINIFS(Pointage_brut!$F:$F,Pointage_brut!$E:$E,VLOOKUP($B95,Annuaire_roster!$B:$J,9,0),Pointage_brut!$A:$A,TEXT($Q95,"yyyymmdd")*1),1)),"")</f>
        <v/>
      </c>
      <c r="D95" s="25" t="str">
        <f aca="false" t="array" ref="D95:D95">IFERROR(INDEX(Planning2[],MATCH(1,(Planning2[Nom]=B95)*(Planning2[Date]=Q95),0),3),"-")</f>
        <v>OFF</v>
      </c>
      <c r="E95" s="26" t="str">
        <f aca="false">IFERROR(IF(COUNTIFS(Pointage_brut!$E:$E,VLOOKUP($B95,Annuaire_roster!$B:$J,9,0),Pointage_brut!$A:$A,TEXT($Q95,"yyyymmdd")*1)=0,"",MOD(_xlfn.MAXIFS(Pointage_brut!$G:$G,Pointage_brut!$E:$E,VLOOKUP($B95,Annuaire_roster!$B:$J,9,0),Pointage_brut!$A:$A,TEXT($Q95,"yyyymmdd")*1),1)),"")</f>
        <v/>
      </c>
      <c r="F95" s="27" t="str">
        <f aca="false" t="array" ref="F95:F95">IFERROR(INDEX(Planning2[],MATCH(1,(Planning2[Nom]=B95)*(Planning2[Date]=Q95),0),4),"-")</f>
        <v>OFF</v>
      </c>
      <c r="G95" s="28"/>
      <c r="H95" s="28"/>
      <c r="I95" s="29" t="str">
        <f aca="false">IF(IF(OR(C95="",D95="Congé",D95="OFF",D95="Congé spécial"),"",IF(D95&gt;F95,D95-C95,IF(C95-D95&lt;0,0,C95-D95)))&lt;0.00068287037037037,"",IF(OR(D95="Congé",D95="OFF",C95="",D95="Congé spécial"),"",IF(D95&gt;F95,D95-C95,IF(C95-D95&lt;0,0,C95-D95))))</f>
        <v/>
      </c>
      <c r="J95" s="28"/>
      <c r="K95" s="30" t="n">
        <f aca="false">IF(SUM(H95:J95)&lt;0.00068287037037037,0,SUM(H95:J95))</f>
        <v>0</v>
      </c>
      <c r="L95" s="28" t="n">
        <f aca="false">IF(OR(F95="Congé",F95="OFF",M95="Abs",F95="Congé sans solde",F95="Férié",F95="Congé spécial",D95="Congé spécial"),0,IF(F95-E95&lt;0,0,IF(F95-E95&lt;=0.00068287037037037,0,F95-E95)))</f>
        <v>0</v>
      </c>
      <c r="M95" s="31" t="n">
        <f aca="false">IF(AND(O95&lt;&gt;0,C95=""),"Abs",0)</f>
        <v>0</v>
      </c>
      <c r="N95" s="32" t="str">
        <f aca="false">IFERROR(IF(OR(D95="OFF",D95="Congé",M95="Abs",D95="Congé sans solde",D95="Férié"),"",IF(O95-K95-L95&gt;O95,O95,IF(O95-K95-L95&lt;0,"",O95-K95-L95))),"")</f>
        <v/>
      </c>
      <c r="O95" s="33" t="n">
        <f aca="false">IF(AG95="2H Pause déjeuner",IF(F95-D95-0.0833333333333333&lt;0,F95-D95-0.0833333333333333+1,F95-D95-0.0833333333333333),IF(OR(AND(F95="OFF",D95="OFF"),AND(F95="Congé",D95="Congé"),AND(F95="Congé sans solde",D95="Congé sans solde"),AND(F95="Congé spécial",D95="Congé spécial"),AND(F95="Férié",D95="Férié"),AND(F95="OFF",D95="Congé"),AND(F95="OFF",D95="Congé sans solde"),AND(F95="OFF",D95="Congé spécial"),AND(F95="OFF",D95="Férié"),AND(F95="Congé",D95="OFF"),AND(F95="Congé",D95="Congé sans solde"),AND(F95="Congé",D95="Congé spécial"),AND(F95="Congé",D95="Férié"),AND(F95="Congé sans solde",D95="OFF"),AND(F95="Congé sans solde",D95="Congé"),AND(F95="Congé sans solde",D95="Congé spécial"),AND(F95="Congé sans solde",D95="Férié"),AND(F95="Congé spécial",D95="OFF"),AND(F95="Congé spécial",D95="Congé"),AND(F95="Congé spécial",D95="Congé sans solde"),AND(F95="Congé spécial",D95="Férié"),AND(F95="Férié",D95="OFF"),AND(F95="Férié",D95="Congé"),AND(F95="Férié",D95="Congé sans solde"),AND(F95="Férié",D95="Congé spécial")),0,IF(OR(F95="OFF",F95="Congé",F95="Congé spécial",F95="Congé sans solde",D95="OFF",D95="Congé",D95="Congé spécial",D95="Congé sans solde"),0.208333333333334,IF(AND(AG95="",F95-D95&lt;0),("24:00:00"-D95)+("00:00:00"+F95)-0.0416666666666667,IF(AND(OR(AG95="Allaitement",AG95="Sans déjeuner"),F95-D95&lt;0),("24:00:00"-D95)+("00:00:00"+F95),IF(AND(AG95="",F95-D95&gt;0.166666666666667),F95-D95-0.0416666666666667,IF(AND(OR(AG95="Allaitement",AG95="Sans déjeuner"),F95-D95&gt;0.166666666666667),F95-D95,F95-D95)))))))</f>
        <v>0</v>
      </c>
      <c r="P95" s="34" t="str">
        <f aca="false">IFERROR(VLOOKUP($B95,Annuaire_roster!$B:$G,MATCH(P$1,Annuaire_roster!$B$1:$G$1,0),0),"-")</f>
        <v>Google Leads</v>
      </c>
      <c r="Q95" s="35" t="n">
        <v>44719</v>
      </c>
      <c r="R95" s="36" t="n">
        <f aca="false">IF(M95="Abs",O95,0)</f>
        <v>0</v>
      </c>
      <c r="S95" s="36" t="n">
        <f aca="false">SUM(R95,L95,I95,J95,W95,H95)</f>
        <v>0</v>
      </c>
      <c r="T95" s="1" t="str">
        <f aca="false">"Sem - "&amp;WEEKNUM(Q95,21)</f>
        <v>Sem - 24</v>
      </c>
      <c r="U95" s="1" t="str">
        <f aca="false">PROPER(TEXT(Q95,"mmmm"))</f>
        <v>June</v>
      </c>
      <c r="V95" s="37" t="str">
        <f aca="false">+TEXT(Q95,"aaa")</f>
        <v>Mon</v>
      </c>
      <c r="W95" s="32"/>
      <c r="X95" s="38" t="n">
        <f aca="false">IFERROR(IF(M95="Abs",0,IF((D95-C95+E95-F95)&lt;0.000694444444444444,0,(D95-C95+E95-F95))),0)</f>
        <v>0</v>
      </c>
      <c r="Y95" s="39" t="str">
        <f aca="false">IFERROR(VLOOKUP(B95,Annuaire_roster!B:E,4,0),"-")</f>
        <v>CHOUIFI Mustapha</v>
      </c>
      <c r="Z95" s="39" t="str">
        <f aca="false">IFERROR(VLOOKUP(B95,Annuaire_roster!B:F,3,0),"-")</f>
        <v>Google Leads</v>
      </c>
      <c r="AA95" s="39" t="str">
        <f aca="false">IFERROR(VLOOKUP(B95,Annuaire_roster!B:I,6,0),"-")</f>
        <v>Forfaitaire</v>
      </c>
      <c r="AB95" s="40" t="str">
        <f aca="false">IF(AND(D95="Congé",F95="Congé"),0.333333333333333,IF(OR(AND(D95="Congé",F95&lt;&gt;"Congé"),(AND(F95="Congé",D95&lt;&gt;"Congé"))),0.166666666666667,""))</f>
        <v/>
      </c>
      <c r="AC95" s="40" t="str">
        <f aca="false">IF(AND(D95="Congé sans solde",F95="Congé sans solde"),0.333333333333333,IF(OR(AND(D95="Congé sans solde",F95&lt;&gt;"Congé sans solde"),(AND(F95="Congé sans solde",D95&lt;&gt;"Congé sans solde"))),0.166666666666667,""))</f>
        <v/>
      </c>
      <c r="AD95" s="40" t="str">
        <f aca="false">IF(AND(D95="Congé spécial",F95="Congé spécial"),0.333333333333333,IF(OR(AND(D95="Congé spécial",F95&lt;&gt;"Congé décès"),(AND(F95="Congé spécial",D95&lt;&gt;"Congé spécial"))),0.166666666666667,""))</f>
        <v/>
      </c>
      <c r="AE95" s="41" t="str">
        <f aca="false">IF(AND(D95="Férié",F95="Férié"),0.333333333333333,IF(OR(AND(D95="Férié",F95&lt;&gt;"Férié"),(AND(F95="Férié",D95&lt;&gt;"Férié"))),0.166666666666667,""))</f>
        <v/>
      </c>
      <c r="AF95" s="41"/>
      <c r="AG95" s="36"/>
    </row>
    <row r="96" customFormat="false" ht="12.75" hidden="true" customHeight="true" outlineLevel="0" collapsed="false">
      <c r="A96" s="22" t="n">
        <f aca="false">VLOOKUP(B96,Annuaire_roster!B:F,5,0)</f>
        <v>0</v>
      </c>
      <c r="B96" s="23" t="s">
        <v>34</v>
      </c>
      <c r="C96" s="24" t="str">
        <f aca="false">IFERROR(IF(COUNTIFS(Pointage_brut!$E:$E,VLOOKUP($B96,Annuaire_roster!$B:$J,9,0),Pointage_brut!$A:$A,TEXT($Q96,"yyyymmdd")*1)=0,"",MOD(_xlfn.MINIFS(Pointage_brut!$F:$F,Pointage_brut!$E:$E,VLOOKUP($B96,Annuaire_roster!$B:$J,9,0),Pointage_brut!$A:$A,TEXT($Q96,"yyyymmdd")*1),1)),"")</f>
        <v/>
      </c>
      <c r="D96" s="25" t="str">
        <f aca="false" t="array" ref="D96:D96">IFERROR(INDEX(Planning2[],MATCH(1,(Planning2[Nom]=B96)*(Planning2[Date]=Q96),0),3),"-")</f>
        <v>OFF</v>
      </c>
      <c r="E96" s="26" t="str">
        <f aca="false">IFERROR(IF(COUNTIFS(Pointage_brut!$E:$E,VLOOKUP($B96,Annuaire_roster!$B:$J,9,0),Pointage_brut!$A:$A,TEXT($Q96,"yyyymmdd")*1)=0,"",MOD(_xlfn.MAXIFS(Pointage_brut!$G:$G,Pointage_brut!$E:$E,VLOOKUP($B96,Annuaire_roster!$B:$J,9,0),Pointage_brut!$A:$A,TEXT($Q96,"yyyymmdd")*1),1)),"")</f>
        <v/>
      </c>
      <c r="F96" s="27" t="str">
        <f aca="false" t="array" ref="F96:F96">IFERROR(INDEX(Planning2[],MATCH(1,(Planning2[Nom]=B96)*(Planning2[Date]=Q96),0),4),"-")</f>
        <v>OFF</v>
      </c>
      <c r="G96" s="28"/>
      <c r="H96" s="28"/>
      <c r="I96" s="29" t="str">
        <f aca="false">IF(IF(OR(C96="",D96="Congé",D96="OFF",D96="Congé spécial"),"",IF(D96&gt;F96,D96-C96,IF(C96-D96&lt;0,0,C96-D96)))&lt;0.00068287037037037,"",IF(OR(D96="Congé",D96="OFF",C96="",D96="Congé spécial"),"",IF(D96&gt;F96,D96-C96,IF(C96-D96&lt;0,0,C96-D96))))</f>
        <v/>
      </c>
      <c r="J96" s="28"/>
      <c r="K96" s="30" t="n">
        <f aca="false">IF(SUM(H96:J96)&lt;0.00068287037037037,0,SUM(H96:J96))</f>
        <v>0</v>
      </c>
      <c r="L96" s="28" t="n">
        <f aca="false">IF(OR(F96="Congé",F96="OFF",M96="Abs",F96="Congé sans solde",F96="Férié",F96="Congé spécial",D96="Congé spécial"),0,IF(F96-E96&lt;0,0,IF(F96-E96&lt;=0.00068287037037037,0,F96-E96)))</f>
        <v>0</v>
      </c>
      <c r="M96" s="31" t="n">
        <f aca="false">IF(AND(O96&lt;&gt;0,C96=""),"Abs",0)</f>
        <v>0</v>
      </c>
      <c r="N96" s="32" t="str">
        <f aca="false">IFERROR(IF(OR(D96="OFF",D96="Congé",M96="Abs",D96="Congé sans solde",D96="Férié"),"",IF(O96-K96-L96&gt;O96,O96,IF(O96-K96-L96&lt;0,"",O96-K96-L96))),"")</f>
        <v/>
      </c>
      <c r="O96" s="33" t="n">
        <f aca="false">IF(AG96="2H Pause déjeuner",IF(F96-D96-0.0833333333333333&lt;0,F96-D96-0.0833333333333333+1,F96-D96-0.0833333333333333),IF(OR(AND(F96="OFF",D96="OFF"),AND(F96="Congé",D96="Congé"),AND(F96="Congé sans solde",D96="Congé sans solde"),AND(F96="Congé spécial",D96="Congé spécial"),AND(F96="Férié",D96="Férié"),AND(F96="OFF",D96="Congé"),AND(F96="OFF",D96="Congé sans solde"),AND(F96="OFF",D96="Congé spécial"),AND(F96="OFF",D96="Férié"),AND(F96="Congé",D96="OFF"),AND(F96="Congé",D96="Congé sans solde"),AND(F96="Congé",D96="Congé spécial"),AND(F96="Congé",D96="Férié"),AND(F96="Congé sans solde",D96="OFF"),AND(F96="Congé sans solde",D96="Congé"),AND(F96="Congé sans solde",D96="Congé spécial"),AND(F96="Congé sans solde",D96="Férié"),AND(F96="Congé spécial",D96="OFF"),AND(F96="Congé spécial",D96="Congé"),AND(F96="Congé spécial",D96="Congé sans solde"),AND(F96="Congé spécial",D96="Férié"),AND(F96="Férié",D96="OFF"),AND(F96="Férié",D96="Congé"),AND(F96="Férié",D96="Congé sans solde"),AND(F96="Férié",D96="Congé spécial")),0,IF(OR(F96="OFF",F96="Congé",F96="Congé spécial",F96="Congé sans solde",D96="OFF",D96="Congé",D96="Congé spécial",D96="Congé sans solde"),0.208333333333334,IF(AND(AG96="",F96-D96&lt;0),("24:00:00"-D96)+("00:00:00"+F96)-0.0416666666666667,IF(AND(OR(AG96="Allaitement",AG96="Sans déjeuner"),F96-D96&lt;0),("24:00:00"-D96)+("00:00:00"+F96),IF(AND(AG96="",F96-D96&gt;0.166666666666667),F96-D96-0.0416666666666667,IF(AND(OR(AG96="Allaitement",AG96="Sans déjeuner"),F96-D96&gt;0.166666666666667),F96-D96,F96-D96)))))))</f>
        <v>0</v>
      </c>
      <c r="P96" s="34" t="str">
        <f aca="false">IFERROR(VLOOKUP($B96,Annuaire_roster!$B:$G,MATCH(P$1,Annuaire_roster!$B$1:$G$1,0),0),"-")</f>
        <v>Google Leads</v>
      </c>
      <c r="Q96" s="35" t="n">
        <v>44719</v>
      </c>
      <c r="R96" s="36" t="n">
        <f aca="false">IF(M96="Abs",O96,0)</f>
        <v>0</v>
      </c>
      <c r="S96" s="36" t="n">
        <f aca="false">SUM(R96,L96,I96,J96,W96,H96)</f>
        <v>0</v>
      </c>
      <c r="T96" s="1" t="str">
        <f aca="false">"Sem - "&amp;WEEKNUM(Q96,21)</f>
        <v>Sem - 24</v>
      </c>
      <c r="U96" s="1" t="str">
        <f aca="false">PROPER(TEXT(Q96,"mmmm"))</f>
        <v>June</v>
      </c>
      <c r="V96" s="37" t="str">
        <f aca="false">+TEXT(Q96,"aaa")</f>
        <v>Mon</v>
      </c>
      <c r="W96" s="32"/>
      <c r="X96" s="38" t="n">
        <f aca="false">IFERROR(IF(M96="Abs",0,IF((D96-C96+E96-F96)&lt;0.000694444444444444,0,(D96-C96+E96-F96))),0)</f>
        <v>0</v>
      </c>
      <c r="Y96" s="39" t="n">
        <f aca="false">IFERROR(VLOOKUP(B96,Annuaire_roster!B:E,4,0),"-")</f>
        <v>0</v>
      </c>
      <c r="Z96" s="39" t="str">
        <f aca="false">IFERROR(VLOOKUP(B96,Annuaire_roster!B:F,3,0),"-")</f>
        <v>Google Leads</v>
      </c>
      <c r="AA96" s="39" t="n">
        <f aca="false">IFERROR(VLOOKUP(B96,Annuaire_roster!B:I,6,0),"-")</f>
        <v>0</v>
      </c>
      <c r="AB96" s="40" t="str">
        <f aca="false">IF(AND(D96="Congé",F96="Congé"),0.333333333333333,IF(OR(AND(D96="Congé",F96&lt;&gt;"Congé"),(AND(F96="Congé",D96&lt;&gt;"Congé"))),0.166666666666667,""))</f>
        <v/>
      </c>
      <c r="AC96" s="40" t="str">
        <f aca="false">IF(AND(D96="Congé sans solde",F96="Congé sans solde"),0.333333333333333,IF(OR(AND(D96="Congé sans solde",F96&lt;&gt;"Congé sans solde"),(AND(F96="Congé sans solde",D96&lt;&gt;"Congé sans solde"))),0.166666666666667,""))</f>
        <v/>
      </c>
      <c r="AD96" s="40" t="str">
        <f aca="false">IF(AND(D96="Congé spécial",F96="Congé spécial"),0.333333333333333,IF(OR(AND(D96="Congé spécial",F96&lt;&gt;"Congé décès"),(AND(F96="Congé spécial",D96&lt;&gt;"Congé spécial"))),0.166666666666667,""))</f>
        <v/>
      </c>
      <c r="AE96" s="41" t="str">
        <f aca="false">IF(AND(D96="Férié",F96="Férié"),0.333333333333333,IF(OR(AND(D96="Férié",F96&lt;&gt;"Férié"),(AND(F96="Férié",D96&lt;&gt;"Férié"))),0.166666666666667,""))</f>
        <v/>
      </c>
      <c r="AF96" s="41"/>
      <c r="AG96" s="36"/>
    </row>
    <row r="97" customFormat="false" ht="12.75" hidden="true" customHeight="true" outlineLevel="0" collapsed="false">
      <c r="A97" s="22" t="n">
        <f aca="false">VLOOKUP(B97,Annuaire_roster!B:F,5,0)</f>
        <v>669</v>
      </c>
      <c r="B97" s="23" t="s">
        <v>38</v>
      </c>
      <c r="C97" s="24" t="str">
        <f aca="false">IFERROR(IF(COUNTIFS(Pointage_brut!$E:$E,VLOOKUP($B97,Annuaire_roster!$B:$J,9,0),Pointage_brut!$A:$A,TEXT($Q97,"yyyymmdd")*1)=0,"",MOD(_xlfn.MINIFS(Pointage_brut!$F:$F,Pointage_brut!$E:$E,VLOOKUP($B97,Annuaire_roster!$B:$J,9,0),Pointage_brut!$A:$A,TEXT($Q97,"yyyymmdd")*1),1)),"")</f>
        <v/>
      </c>
      <c r="D97" s="25" t="str">
        <f aca="false" t="array" ref="D97:D97">IFERROR(INDEX(Planning2[],MATCH(1,(Planning2[Nom]=B97)*(Planning2[Date]=Q97),0),3),"-")</f>
        <v>OFF</v>
      </c>
      <c r="E97" s="26" t="str">
        <f aca="false">IFERROR(IF(COUNTIFS(Pointage_brut!$E:$E,VLOOKUP($B97,Annuaire_roster!$B:$J,9,0),Pointage_brut!$A:$A,TEXT($Q97,"yyyymmdd")*1)=0,"",MOD(_xlfn.MAXIFS(Pointage_brut!$G:$G,Pointage_brut!$E:$E,VLOOKUP($B97,Annuaire_roster!$B:$J,9,0),Pointage_brut!$A:$A,TEXT($Q97,"yyyymmdd")*1),1)),"")</f>
        <v/>
      </c>
      <c r="F97" s="27" t="str">
        <f aca="false" t="array" ref="F97:F97">IFERROR(INDEX(Planning2[],MATCH(1,(Planning2[Nom]=B97)*(Planning2[Date]=Q97),0),4),"-")</f>
        <v>OFF</v>
      </c>
      <c r="G97" s="28"/>
      <c r="H97" s="28"/>
      <c r="I97" s="29" t="str">
        <f aca="false">IF(IF(OR(C97="",D97="Congé",D97="OFF",D97="Congé spécial"),"",IF(D97&gt;F97,D97-C97,IF(C97-D97&lt;0,0,C97-D97)))&lt;0.00068287037037037,"",IF(OR(D97="Congé",D97="OFF",C97="",D97="Congé spécial"),"",IF(D97&gt;F97,D97-C97,IF(C97-D97&lt;0,0,C97-D97))))</f>
        <v/>
      </c>
      <c r="J97" s="28"/>
      <c r="K97" s="30" t="n">
        <f aca="false">IF(SUM(H97:J97)&lt;0.00068287037037037,0,SUM(H97:J97))</f>
        <v>0</v>
      </c>
      <c r="L97" s="28" t="n">
        <f aca="false">IF(OR(F97="Congé",F97="OFF",M97="Abs",F97="Congé sans solde",F97="Férié",F97="Congé spécial",D97="Congé spécial"),0,IF(F97-E97&lt;0,0,IF(F97-E97&lt;=0.00068287037037037,0,F97-E97)))</f>
        <v>0</v>
      </c>
      <c r="M97" s="31" t="n">
        <f aca="false">IF(AND(O97&lt;&gt;0,C97=""),"Abs",0)</f>
        <v>0</v>
      </c>
      <c r="N97" s="32" t="str">
        <f aca="false">IFERROR(IF(OR(D97="OFF",D97="Congé",M97="Abs",D97="Congé sans solde",D97="Férié"),"",IF(O97-K97-L97&gt;O97,O97,IF(O97-K97-L97&lt;0,"",O97-K97-L97))),"")</f>
        <v/>
      </c>
      <c r="O97" s="33" t="n">
        <f aca="false">IF(AG97="2H Pause déjeuner",IF(F97-D97-0.0833333333333333&lt;0,F97-D97-0.0833333333333333+1,F97-D97-0.0833333333333333),IF(OR(AND(F97="OFF",D97="OFF"),AND(F97="Congé",D97="Congé"),AND(F97="Congé sans solde",D97="Congé sans solde"),AND(F97="Congé spécial",D97="Congé spécial"),AND(F97="Férié",D97="Férié"),AND(F97="OFF",D97="Congé"),AND(F97="OFF",D97="Congé sans solde"),AND(F97="OFF",D97="Congé spécial"),AND(F97="OFF",D97="Férié"),AND(F97="Congé",D97="OFF"),AND(F97="Congé",D97="Congé sans solde"),AND(F97="Congé",D97="Congé spécial"),AND(F97="Congé",D97="Férié"),AND(F97="Congé sans solde",D97="OFF"),AND(F97="Congé sans solde",D97="Congé"),AND(F97="Congé sans solde",D97="Congé spécial"),AND(F97="Congé sans solde",D97="Férié"),AND(F97="Congé spécial",D97="OFF"),AND(F97="Congé spécial",D97="Congé"),AND(F97="Congé spécial",D97="Congé sans solde"),AND(F97="Congé spécial",D97="Férié"),AND(F97="Férié",D97="OFF"),AND(F97="Férié",D97="Congé"),AND(F97="Férié",D97="Congé sans solde"),AND(F97="Férié",D97="Congé spécial")),0,IF(OR(F97="OFF",F97="Congé",F97="Congé spécial",F97="Congé sans solde",D97="OFF",D97="Congé",D97="Congé spécial",D97="Congé sans solde"),0.208333333333334,IF(AND(AG97="",F97-D97&lt;0),("24:00:00"-D97)+("00:00:00"+F97)-0.0416666666666667,IF(AND(OR(AG97="Allaitement",AG97="Sans déjeuner"),F97-D97&lt;0),("24:00:00"-D97)+("00:00:00"+F97),IF(AND(AG97="",F97-D97&gt;0.166666666666667),F97-D97-0.0416666666666667,IF(AND(OR(AG97="Allaitement",AG97="Sans déjeuner"),F97-D97&gt;0.166666666666667),F97-D97,F97-D97)))))))</f>
        <v>0</v>
      </c>
      <c r="P97" s="34" t="str">
        <f aca="false">IFERROR(VLOOKUP($B97,Annuaire_roster!$B:$G,MATCH(P$1,Annuaire_roster!$B$1:$G$1,0),0),"-")</f>
        <v>Google Leads</v>
      </c>
      <c r="Q97" s="35" t="n">
        <v>44719</v>
      </c>
      <c r="R97" s="36" t="n">
        <f aca="false">IF(M97="Abs",O97,0)</f>
        <v>0</v>
      </c>
      <c r="S97" s="36" t="n">
        <f aca="false">SUM(R97,L97,I97,J97,W97,H97)</f>
        <v>0</v>
      </c>
      <c r="T97" s="1" t="str">
        <f aca="false">"Sem - "&amp;WEEKNUM(Q97,21)</f>
        <v>Sem - 24</v>
      </c>
      <c r="U97" s="1" t="str">
        <f aca="false">PROPER(TEXT(Q97,"mmmm"))</f>
        <v>June</v>
      </c>
      <c r="V97" s="37" t="str">
        <f aca="false">+TEXT(Q97,"aaa")</f>
        <v>Mon</v>
      </c>
      <c r="W97" s="32"/>
      <c r="X97" s="38" t="n">
        <f aca="false">IFERROR(IF(M97="Abs",0,IF((D97-C97+E97-F97)&lt;0.000694444444444444,0,(D97-C97+E97-F97))),0)</f>
        <v>0</v>
      </c>
      <c r="Y97" s="39" t="str">
        <f aca="false">IFERROR(VLOOKUP(B97,Annuaire_roster!B:E,4,0),"-")</f>
        <v>CHOUIFI Mustapha</v>
      </c>
      <c r="Z97" s="39" t="str">
        <f aca="false">IFERROR(VLOOKUP(B97,Annuaire_roster!B:F,3,0),"-")</f>
        <v>Google Leads</v>
      </c>
      <c r="AA97" s="39" t="str">
        <f aca="false">IFERROR(VLOOKUP(B97,Annuaire_roster!B:I,6,0),"-")</f>
        <v>Forfaitaire</v>
      </c>
      <c r="AB97" s="40" t="str">
        <f aca="false">IF(AND(D97="Congé",F97="Congé"),0.333333333333333,IF(OR(AND(D97="Congé",F97&lt;&gt;"Congé"),(AND(F97="Congé",D97&lt;&gt;"Congé"))),0.166666666666667,""))</f>
        <v/>
      </c>
      <c r="AC97" s="40" t="str">
        <f aca="false">IF(AND(D97="Congé sans solde",F97="Congé sans solde"),0.333333333333333,IF(OR(AND(D97="Congé sans solde",F97&lt;&gt;"Congé sans solde"),(AND(F97="Congé sans solde",D97&lt;&gt;"Congé sans solde"))),0.166666666666667,""))</f>
        <v/>
      </c>
      <c r="AD97" s="40" t="str">
        <f aca="false">IF(AND(D97="Congé spécial",F97="Congé spécial"),0.333333333333333,IF(OR(AND(D97="Congé spécial",F97&lt;&gt;"Congé décès"),(AND(F97="Congé spécial",D97&lt;&gt;"Congé spécial"))),0.166666666666667,""))</f>
        <v/>
      </c>
      <c r="AE97" s="41" t="str">
        <f aca="false">IF(AND(D97="Férié",F97="Férié"),0.333333333333333,IF(OR(AND(D97="Férié",F97&lt;&gt;"Férié"),(AND(F97="Férié",D97&lt;&gt;"Férié"))),0.166666666666667,""))</f>
        <v/>
      </c>
      <c r="AF97" s="41"/>
      <c r="AG97" s="36"/>
    </row>
    <row r="98" customFormat="false" ht="12.75" hidden="true" customHeight="true" outlineLevel="0" collapsed="false">
      <c r="A98" s="22" t="n">
        <f aca="false">VLOOKUP(B98,Annuaire_roster!B:F,5,0)</f>
        <v>1007</v>
      </c>
      <c r="B98" s="23" t="s">
        <v>59</v>
      </c>
      <c r="C98" s="24" t="str">
        <f aca="false">IFERROR(IF(COUNTIFS(Pointage_brut!$E:$E,VLOOKUP($B98,Annuaire_roster!$B:$J,9,0),Pointage_brut!$A:$A,TEXT($Q98,"yyyymmdd")*1)=0,"",MOD(_xlfn.MINIFS(Pointage_brut!$F:$F,Pointage_brut!$E:$E,VLOOKUP($B98,Annuaire_roster!$B:$J,9,0),Pointage_brut!$A:$A,TEXT($Q98,"yyyymmdd")*1),1)),"")</f>
        <v/>
      </c>
      <c r="D98" s="25" t="n">
        <f aca="false" t="array" ref="D98:D98">IFERROR(INDEX(Planning2[],MATCH(1,(Planning2[Nom]=B98)*(Planning2[Date]=Q98),0),3),"-")</f>
        <v>0.291666666666667</v>
      </c>
      <c r="E98" s="26" t="str">
        <f aca="false">IFERROR(IF(COUNTIFS(Pointage_brut!$E:$E,VLOOKUP($B98,Annuaire_roster!$B:$J,9,0),Pointage_brut!$A:$A,TEXT($Q98,"yyyymmdd")*1)=0,"",MOD(_xlfn.MAXIFS(Pointage_brut!$G:$G,Pointage_brut!$E:$E,VLOOKUP($B98,Annuaire_roster!$B:$J,9,0),Pointage_brut!$A:$A,TEXT($Q98,"yyyymmdd")*1),1)),"")</f>
        <v/>
      </c>
      <c r="F98" s="27" t="n">
        <f aca="false" t="array" ref="F98:F98">IFERROR(INDEX(Planning2[],MATCH(1,(Planning2[Nom]=B98)*(Planning2[Date]=Q98),0),4),"-")</f>
        <v>0.708333333333333</v>
      </c>
      <c r="G98" s="28"/>
      <c r="H98" s="28"/>
      <c r="I98" s="29" t="str">
        <f aca="false">IF(IF(OR(C98="",D98="Congé",D98="OFF",D98="Congé spécial"),"",IF(D98&gt;F98,D98-C98,IF(C98-D98&lt;0,0,C98-D98)))&lt;0.00068287037037037,"",IF(OR(D98="Congé",D98="OFF",C98="",D98="Congé spécial"),"",IF(D98&gt;F98,D98-C98,IF(C98-D98&lt;0,0,C98-D98))))</f>
        <v/>
      </c>
      <c r="J98" s="28"/>
      <c r="K98" s="30" t="n">
        <f aca="false">IF(SUM(H98:J98)&lt;0.00068287037037037,0,SUM(H98:J98))</f>
        <v>0</v>
      </c>
      <c r="L98" s="28" t="n">
        <f aca="false">IF(OR(F98="Congé",F98="OFF",M98="Abs",F98="Congé sans solde",F98="Férié",F98="Congé spécial",D98="Congé spécial"),0,IF(F98-E98&lt;0,0,IF(F98-E98&lt;=0.00068287037037037,0,F98-E98)))</f>
        <v>0</v>
      </c>
      <c r="M98" s="31" t="str">
        <f aca="false">IF(AND(O98&lt;&gt;0,C98=""),"Abs",0)</f>
        <v>Abs</v>
      </c>
      <c r="N98" s="32" t="str">
        <f aca="false">IFERROR(IF(OR(D98="OFF",D98="Congé",M98="Abs",D98="Congé sans solde",D98="Férié"),"",IF(O98-K98-L98&gt;O98,O98,IF(O98-K98-L98&lt;0,"",O98-K98-L98))),"")</f>
        <v/>
      </c>
      <c r="O98" s="33" t="n">
        <f aca="false">IF(AG98="2H Pause déjeuner",IF(F98-D98-0.0833333333333333&lt;0,F98-D98-0.0833333333333333+1,F98-D98-0.0833333333333333),IF(OR(AND(F98="OFF",D98="OFF"),AND(F98="Congé",D98="Congé"),AND(F98="Congé sans solde",D98="Congé sans solde"),AND(F98="Congé spécial",D98="Congé spécial"),AND(F98="Férié",D98="Férié"),AND(F98="OFF",D98="Congé"),AND(F98="OFF",D98="Congé sans solde"),AND(F98="OFF",D98="Congé spécial"),AND(F98="OFF",D98="Férié"),AND(F98="Congé",D98="OFF"),AND(F98="Congé",D98="Congé sans solde"),AND(F98="Congé",D98="Congé spécial"),AND(F98="Congé",D98="Férié"),AND(F98="Congé sans solde",D98="OFF"),AND(F98="Congé sans solde",D98="Congé"),AND(F98="Congé sans solde",D98="Congé spécial"),AND(F98="Congé sans solde",D98="Férié"),AND(F98="Congé spécial",D98="OFF"),AND(F98="Congé spécial",D98="Congé"),AND(F98="Congé spécial",D98="Congé sans solde"),AND(F98="Congé spécial",D98="Férié"),AND(F98="Férié",D98="OFF"),AND(F98="Férié",D98="Congé"),AND(F98="Férié",D98="Congé sans solde"),AND(F98="Férié",D98="Congé spécial")),0,IF(OR(F98="OFF",F98="Congé",F98="Congé spécial",F98="Congé sans solde",D98="OFF",D98="Congé",D98="Congé spécial",D98="Congé sans solde"),0.208333333333334,IF(AND(AG98="",F98-D98&lt;0),("24:00:00"-D98)+("00:00:00"+F98)-0.0416666666666667,IF(AND(OR(AG98="Allaitement",AG98="Sans déjeuner"),F98-D98&lt;0),("24:00:00"-D98)+("00:00:00"+F98),IF(AND(AG98="",F98-D98&gt;0.166666666666667),F98-D98-0.0416666666666667,IF(AND(OR(AG98="Allaitement",AG98="Sans déjeuner"),F98-D98&gt;0.166666666666667),F98-D98,F98-D98)))))))</f>
        <v>0.375</v>
      </c>
      <c r="P98" s="34" t="str">
        <f aca="false">IFERROR(VLOOKUP($B98,Annuaire_roster!$B:$G,MATCH(P$1,Annuaire_roster!$B$1:$G$1,0),0),"-")</f>
        <v>Google Leads</v>
      </c>
      <c r="Q98" s="35" t="n">
        <v>44720</v>
      </c>
      <c r="R98" s="36" t="n">
        <f aca="false">IF(M98="Abs",O98,0)</f>
        <v>0.375</v>
      </c>
      <c r="S98" s="36" t="n">
        <f aca="false">SUM(R98,L98,I98,J98,W98,H98)</f>
        <v>0.375</v>
      </c>
      <c r="T98" s="1" t="str">
        <f aca="false">"Sem - "&amp;WEEKNUM(Q98,21)</f>
        <v>Sem - 24</v>
      </c>
      <c r="U98" s="1" t="str">
        <f aca="false">PROPER(TEXT(Q98,"mmmm"))</f>
        <v>June</v>
      </c>
      <c r="V98" s="37" t="str">
        <f aca="false">+TEXT(Q98,"aaa")</f>
        <v>Tue</v>
      </c>
      <c r="W98" s="32"/>
      <c r="X98" s="38" t="n">
        <f aca="false">IFERROR(IF(M98="Abs",0,IF((D98-C98+E98-F98)&lt;0.000694444444444444,0,(D98-C98+E98-F98))),0)</f>
        <v>0</v>
      </c>
      <c r="Y98" s="39" t="str">
        <f aca="false">IFERROR(VLOOKUP(B98,Annuaire_roster!B:E,4,0),"-")</f>
        <v>OUAQERROUCH Nour-El Houda</v>
      </c>
      <c r="Z98" s="39" t="str">
        <f aca="false">IFERROR(VLOOKUP(B98,Annuaire_roster!B:F,3,0),"-")</f>
        <v>Google Leads</v>
      </c>
      <c r="AA98" s="39" t="str">
        <f aca="false">IFERROR(VLOOKUP(B98,Annuaire_roster!B:I,6,0),"-")</f>
        <v>Forfaitaire</v>
      </c>
      <c r="AB98" s="40" t="str">
        <f aca="false">IF(AND(D98="Congé",F98="Congé"),0.333333333333333,IF(OR(AND(D98="Congé",F98&lt;&gt;"Congé"),(AND(F98="Congé",D98&lt;&gt;"Congé"))),0.166666666666667,""))</f>
        <v/>
      </c>
      <c r="AC98" s="40" t="str">
        <f aca="false">IF(AND(D98="Congé sans solde",F98="Congé sans solde"),0.333333333333333,IF(OR(AND(D98="Congé sans solde",F98&lt;&gt;"Congé sans solde"),(AND(F98="Congé sans solde",D98&lt;&gt;"Congé sans solde"))),0.166666666666667,""))</f>
        <v/>
      </c>
      <c r="AD98" s="40" t="str">
        <f aca="false">IF(AND(D98="Congé spécial",F98="Congé spécial"),0.333333333333333,IF(OR(AND(D98="Congé spécial",F98&lt;&gt;"Congé décès"),(AND(F98="Congé spécial",D98&lt;&gt;"Congé spécial"))),0.166666666666667,""))</f>
        <v/>
      </c>
      <c r="AE98" s="41" t="str">
        <f aca="false">IF(AND(D98="Férié",F98="Férié"),0.333333333333333,IF(OR(AND(D98="Férié",F98&lt;&gt;"Férié"),(AND(F98="Férié",D98&lt;&gt;"Férié"))),0.166666666666667,""))</f>
        <v/>
      </c>
      <c r="AF98" s="41"/>
      <c r="AG98" s="36"/>
    </row>
    <row r="99" customFormat="false" ht="12.75" hidden="true" customHeight="true" outlineLevel="0" collapsed="false">
      <c r="A99" s="22" t="n">
        <f aca="false">VLOOKUP(B99,Annuaire_roster!B:F,5,0)</f>
        <v>1145</v>
      </c>
      <c r="B99" s="23" t="s">
        <v>61</v>
      </c>
      <c r="C99" s="24" t="str">
        <f aca="false">IFERROR(IF(COUNTIFS(Pointage_brut!$E:$E,VLOOKUP($B99,Annuaire_roster!$B:$J,9,0),Pointage_brut!$A:$A,TEXT($Q99,"yyyymmdd")*1)=0,"",MOD(_xlfn.MINIFS(Pointage_brut!$F:$F,Pointage_brut!$E:$E,VLOOKUP($B99,Annuaire_roster!$B:$J,9,0),Pointage_brut!$A:$A,TEXT($Q99,"yyyymmdd")*1),1)),"")</f>
        <v/>
      </c>
      <c r="D99" s="25" t="n">
        <f aca="false" t="array" ref="D99:D99">IFERROR(INDEX(Planning2[],MATCH(1,(Planning2[Nom]=B99)*(Planning2[Date]=Q99),0),3),"-")</f>
        <v>0.291666666666667</v>
      </c>
      <c r="E99" s="26" t="str">
        <f aca="false">IFERROR(IF(COUNTIFS(Pointage_brut!$E:$E,VLOOKUP($B99,Annuaire_roster!$B:$J,9,0),Pointage_brut!$A:$A,TEXT($Q99,"yyyymmdd")*1)=0,"",MOD(_xlfn.MAXIFS(Pointage_brut!$G:$G,Pointage_brut!$E:$E,VLOOKUP($B99,Annuaire_roster!$B:$J,9,0),Pointage_brut!$A:$A,TEXT($Q99,"yyyymmdd")*1),1)),"")</f>
        <v/>
      </c>
      <c r="F99" s="27" t="n">
        <f aca="false" t="array" ref="F99:F99">IFERROR(INDEX(Planning2[],MATCH(1,(Planning2[Nom]=B99)*(Planning2[Date]=Q99),0),4),"-")</f>
        <v>0.708333333333333</v>
      </c>
      <c r="G99" s="28"/>
      <c r="H99" s="28"/>
      <c r="I99" s="29" t="str">
        <f aca="false">IF(IF(OR(C99="",D99="Congé",D99="OFF",D99="Congé spécial"),"",IF(D99&gt;F99,D99-C99,IF(C99-D99&lt;0,0,C99-D99)))&lt;0.00068287037037037,"",IF(OR(D99="Congé",D99="OFF",C99="",D99="Congé spécial"),"",IF(D99&gt;F99,D99-C99,IF(C99-D99&lt;0,0,C99-D99))))</f>
        <v/>
      </c>
      <c r="J99" s="28"/>
      <c r="K99" s="30" t="n">
        <f aca="false">IF(SUM(H99:J99)&lt;0.00068287037037037,0,SUM(H99:J99))</f>
        <v>0</v>
      </c>
      <c r="L99" s="28" t="n">
        <f aca="false">IF(OR(F99="Congé",F99="OFF",M99="Abs",F99="Congé sans solde",F99="Férié",F99="Congé spécial",D99="Congé spécial"),0,IF(F99-E99&lt;0,0,IF(F99-E99&lt;=0.00068287037037037,0,F99-E99)))</f>
        <v>0</v>
      </c>
      <c r="M99" s="31" t="str">
        <f aca="false">IF(AND(O99&lt;&gt;0,C99=""),"Abs",0)</f>
        <v>Abs</v>
      </c>
      <c r="N99" s="32" t="str">
        <f aca="false">IFERROR(IF(OR(D99="OFF",D99="Congé",M99="Abs",D99="Congé sans solde",D99="Férié"),"",IF(O99-K99-L99&gt;O99,O99,IF(O99-K99-L99&lt;0,"",O99-K99-L99))),"")</f>
        <v/>
      </c>
      <c r="O99" s="33" t="n">
        <f aca="false">IF(AG99="2H Pause déjeuner",IF(F99-D99-0.0833333333333333&lt;0,F99-D99-0.0833333333333333+1,F99-D99-0.0833333333333333),IF(OR(AND(F99="OFF",D99="OFF"),AND(F99="Congé",D99="Congé"),AND(F99="Congé sans solde",D99="Congé sans solde"),AND(F99="Congé spécial",D99="Congé spécial"),AND(F99="Férié",D99="Férié"),AND(F99="OFF",D99="Congé"),AND(F99="OFF",D99="Congé sans solde"),AND(F99="OFF",D99="Congé spécial"),AND(F99="OFF",D99="Férié"),AND(F99="Congé",D99="OFF"),AND(F99="Congé",D99="Congé sans solde"),AND(F99="Congé",D99="Congé spécial"),AND(F99="Congé",D99="Férié"),AND(F99="Congé sans solde",D99="OFF"),AND(F99="Congé sans solde",D99="Congé"),AND(F99="Congé sans solde",D99="Congé spécial"),AND(F99="Congé sans solde",D99="Férié"),AND(F99="Congé spécial",D99="OFF"),AND(F99="Congé spécial",D99="Congé"),AND(F99="Congé spécial",D99="Congé sans solde"),AND(F99="Congé spécial",D99="Férié"),AND(F99="Férié",D99="OFF"),AND(F99="Férié",D99="Congé"),AND(F99="Férié",D99="Congé sans solde"),AND(F99="Férié",D99="Congé spécial")),0,IF(OR(F99="OFF",F99="Congé",F99="Congé spécial",F99="Congé sans solde",D99="OFF",D99="Congé",D99="Congé spécial",D99="Congé sans solde"),0.208333333333334,IF(AND(AG99="",F99-D99&lt;0),("24:00:00"-D99)+("00:00:00"+F99)-0.0416666666666667,IF(AND(OR(AG99="Allaitement",AG99="Sans déjeuner"),F99-D99&lt;0),("24:00:00"-D99)+("00:00:00"+F99),IF(AND(AG99="",F99-D99&gt;0.166666666666667),F99-D99-0.0416666666666667,IF(AND(OR(AG99="Allaitement",AG99="Sans déjeuner"),F99-D99&gt;0.166666666666667),F99-D99,F99-D99)))))))</f>
        <v>0.375</v>
      </c>
      <c r="P99" s="34" t="str">
        <f aca="false">IFERROR(VLOOKUP($B99,Annuaire_roster!$B:$G,MATCH(P$1,Annuaire_roster!$B$1:$G$1,0),0),"-")</f>
        <v>Google Leads</v>
      </c>
      <c r="Q99" s="35" t="n">
        <v>44720</v>
      </c>
      <c r="R99" s="36" t="n">
        <f aca="false">IF(M99="Abs",O99,0)</f>
        <v>0.375</v>
      </c>
      <c r="S99" s="36" t="n">
        <f aca="false">SUM(R99,L99,I99,J99,W99,H99)</f>
        <v>0.375</v>
      </c>
      <c r="T99" s="1" t="str">
        <f aca="false">"Sem - "&amp;WEEKNUM(Q99,21)</f>
        <v>Sem - 24</v>
      </c>
      <c r="U99" s="1" t="str">
        <f aca="false">PROPER(TEXT(Q99,"mmmm"))</f>
        <v>June</v>
      </c>
      <c r="V99" s="37" t="str">
        <f aca="false">+TEXT(Q99,"aaa")</f>
        <v>Tue</v>
      </c>
      <c r="W99" s="32"/>
      <c r="X99" s="38" t="n">
        <f aca="false">IFERROR(IF(M99="Abs",0,IF((D99-C99+E99-F99)&lt;0.000694444444444444,0,(D99-C99+E99-F99))),0)</f>
        <v>0</v>
      </c>
      <c r="Y99" s="39" t="str">
        <f aca="false">IFERROR(VLOOKUP(B99,Annuaire_roster!B:E,4,0),"-")</f>
        <v>CHOUIFI Mustapha</v>
      </c>
      <c r="Z99" s="39" t="str">
        <f aca="false">IFERROR(VLOOKUP(B99,Annuaire_roster!B:F,3,0),"-")</f>
        <v>Google Leads</v>
      </c>
      <c r="AA99" s="39" t="str">
        <f aca="false">IFERROR(VLOOKUP(B99,Annuaire_roster!B:I,6,0),"-")</f>
        <v>Forfaitaire</v>
      </c>
      <c r="AB99" s="40" t="str">
        <f aca="false">IF(AND(D99="Congé",F99="Congé"),0.333333333333333,IF(OR(AND(D99="Congé",F99&lt;&gt;"Congé"),(AND(F99="Congé",D99&lt;&gt;"Congé"))),0.166666666666667,""))</f>
        <v/>
      </c>
      <c r="AC99" s="40" t="str">
        <f aca="false">IF(AND(D99="Congé sans solde",F99="Congé sans solde"),0.333333333333333,IF(OR(AND(D99="Congé sans solde",F99&lt;&gt;"Congé sans solde"),(AND(F99="Congé sans solde",D99&lt;&gt;"Congé sans solde"))),0.166666666666667,""))</f>
        <v/>
      </c>
      <c r="AD99" s="40" t="str">
        <f aca="false">IF(AND(D99="Congé spécial",F99="Congé spécial"),0.333333333333333,IF(OR(AND(D99="Congé spécial",F99&lt;&gt;"Congé décès"),(AND(F99="Congé spécial",D99&lt;&gt;"Congé spécial"))),0.166666666666667,""))</f>
        <v/>
      </c>
      <c r="AE99" s="41" t="str">
        <f aca="false">IF(AND(D99="Férié",F99="Férié"),0.333333333333333,IF(OR(AND(D99="Férié",F99&lt;&gt;"Férié"),(AND(F99="Férié",D99&lt;&gt;"Férié"))),0.166666666666667,""))</f>
        <v/>
      </c>
      <c r="AF99" s="41"/>
      <c r="AG99" s="36"/>
    </row>
    <row r="100" customFormat="false" ht="12.75" hidden="true" customHeight="true" outlineLevel="0" collapsed="false">
      <c r="A100" s="22" t="n">
        <f aca="false">VLOOKUP(B100,Annuaire_roster!B:F,5,0)</f>
        <v>0</v>
      </c>
      <c r="B100" s="23" t="s">
        <v>41</v>
      </c>
      <c r="C100" s="24" t="str">
        <f aca="false">IFERROR(IF(COUNTIFS(Pointage_brut!$E:$E,VLOOKUP($B100,Annuaire_roster!$B:$J,9,0),Pointage_brut!$A:$A,TEXT($Q100,"yyyymmdd")*1)=0,"",MOD(_xlfn.MINIFS(Pointage_brut!$F:$F,Pointage_brut!$E:$E,VLOOKUP($B100,Annuaire_roster!$B:$J,9,0),Pointage_brut!$A:$A,TEXT($Q100,"yyyymmdd")*1),1)),"")</f>
        <v/>
      </c>
      <c r="D100" s="25" t="n">
        <f aca="false" t="array" ref="D100:D100">IFERROR(INDEX(Planning2[],MATCH(1,(Planning2[Nom]=B100)*(Planning2[Date]=Q100),0),3),"-")</f>
        <v>0.291666666666667</v>
      </c>
      <c r="E100" s="26" t="str">
        <f aca="false">IFERROR(IF(COUNTIFS(Pointage_brut!$E:$E,VLOOKUP($B100,Annuaire_roster!$B:$J,9,0),Pointage_brut!$A:$A,TEXT($Q100,"yyyymmdd")*1)=0,"",MOD(_xlfn.MAXIFS(Pointage_brut!$G:$G,Pointage_brut!$E:$E,VLOOKUP($B100,Annuaire_roster!$B:$J,9,0),Pointage_brut!$A:$A,TEXT($Q100,"yyyymmdd")*1),1)),"")</f>
        <v/>
      </c>
      <c r="F100" s="27" t="n">
        <f aca="false" t="array" ref="F100:F100">IFERROR(INDEX(Planning2[],MATCH(1,(Planning2[Nom]=B100)*(Planning2[Date]=Q100),0),4),"-")</f>
        <v>0.708333333333333</v>
      </c>
      <c r="G100" s="28"/>
      <c r="H100" s="28"/>
      <c r="I100" s="29" t="str">
        <f aca="false">IF(IF(OR(C100="",D100="Congé",D100="OFF",D100="Congé spécial"),"",IF(D100&gt;F100,D100-C100,IF(C100-D100&lt;0,0,C100-D100)))&lt;0.00068287037037037,"",IF(OR(D100="Congé",D100="OFF",C100="",D100="Congé spécial"),"",IF(D100&gt;F100,D100-C100,IF(C100-D100&lt;0,0,C100-D100))))</f>
        <v/>
      </c>
      <c r="J100" s="28"/>
      <c r="K100" s="30" t="n">
        <f aca="false">IF(SUM(H100:J100)&lt;0.00068287037037037,0,SUM(H100:J100))</f>
        <v>0</v>
      </c>
      <c r="L100" s="28" t="n">
        <f aca="false">IF(OR(F100="Congé",F100="OFF",M100="Abs",F100="Congé sans solde",F100="Férié",F100="Congé spécial",D100="Congé spécial"),0,IF(F100-E100&lt;0,0,IF(F100-E100&lt;=0.00068287037037037,0,F100-E100)))</f>
        <v>0</v>
      </c>
      <c r="M100" s="31" t="str">
        <f aca="false">IF(AND(O100&lt;&gt;0,C100=""),"Abs",0)</f>
        <v>Abs</v>
      </c>
      <c r="N100" s="32" t="str">
        <f aca="false">IFERROR(IF(OR(D100="OFF",D100="Congé",M100="Abs",D100="Congé sans solde",D100="Férié"),"",IF(O100-K100-L100&gt;O100,O100,IF(O100-K100-L100&lt;0,"",O100-K100-L100))),"")</f>
        <v/>
      </c>
      <c r="O100" s="33" t="n">
        <f aca="false">IF(AG100="2H Pause déjeuner",IF(F100-D100-0.0833333333333333&lt;0,F100-D100-0.0833333333333333+1,F100-D100-0.0833333333333333),IF(OR(AND(F100="OFF",D100="OFF"),AND(F100="Congé",D100="Congé"),AND(F100="Congé sans solde",D100="Congé sans solde"),AND(F100="Congé spécial",D100="Congé spécial"),AND(F100="Férié",D100="Férié"),AND(F100="OFF",D100="Congé"),AND(F100="OFF",D100="Congé sans solde"),AND(F100="OFF",D100="Congé spécial"),AND(F100="OFF",D100="Férié"),AND(F100="Congé",D100="OFF"),AND(F100="Congé",D100="Congé sans solde"),AND(F100="Congé",D100="Congé spécial"),AND(F100="Congé",D100="Férié"),AND(F100="Congé sans solde",D100="OFF"),AND(F100="Congé sans solde",D100="Congé"),AND(F100="Congé sans solde",D100="Congé spécial"),AND(F100="Congé sans solde",D100="Férié"),AND(F100="Congé spécial",D100="OFF"),AND(F100="Congé spécial",D100="Congé"),AND(F100="Congé spécial",D100="Congé sans solde"),AND(F100="Congé spécial",D100="Férié"),AND(F100="Férié",D100="OFF"),AND(F100="Férié",D100="Congé"),AND(F100="Férié",D100="Congé sans solde"),AND(F100="Férié",D100="Congé spécial")),0,IF(OR(F100="OFF",F100="Congé",F100="Congé spécial",F100="Congé sans solde",D100="OFF",D100="Congé",D100="Congé spécial",D100="Congé sans solde"),0.208333333333334,IF(AND(AG100="",F100-D100&lt;0),("24:00:00"-D100)+("00:00:00"+F100)-0.0416666666666667,IF(AND(OR(AG100="Allaitement",AG100="Sans déjeuner"),F100-D100&lt;0),("24:00:00"-D100)+("00:00:00"+F100),IF(AND(AG100="",F100-D100&gt;0.166666666666667),F100-D100-0.0416666666666667,IF(AND(OR(AG100="Allaitement",AG100="Sans déjeuner"),F100-D100&gt;0.166666666666667),F100-D100,F100-D100)))))))</f>
        <v>0.375</v>
      </c>
      <c r="P100" s="34" t="str">
        <f aca="false">IFERROR(VLOOKUP($B100,Annuaire_roster!$B:$G,MATCH(P$1,Annuaire_roster!$B$1:$G$1,0),0),"-")</f>
        <v>Google Leads</v>
      </c>
      <c r="Q100" s="35" t="n">
        <v>44720</v>
      </c>
      <c r="R100" s="36" t="n">
        <f aca="false">IF(M100="Abs",O100,0)</f>
        <v>0.375</v>
      </c>
      <c r="S100" s="36" t="n">
        <f aca="false">SUM(R100,L100,I100,J100,W100,H100)</f>
        <v>0.375</v>
      </c>
      <c r="T100" s="1" t="str">
        <f aca="false">"Sem - "&amp;WEEKNUM(Q100,21)</f>
        <v>Sem - 24</v>
      </c>
      <c r="U100" s="1" t="str">
        <f aca="false">PROPER(TEXT(Q100,"mmmm"))</f>
        <v>June</v>
      </c>
      <c r="V100" s="37" t="str">
        <f aca="false">+TEXT(Q100,"aaa")</f>
        <v>Tue</v>
      </c>
      <c r="W100" s="32"/>
      <c r="X100" s="38" t="n">
        <f aca="false">IFERROR(IF(M100="Abs",0,IF((D100-C100+E100-F100)&lt;0.000694444444444444,0,(D100-C100+E100-F100))),0)</f>
        <v>0</v>
      </c>
      <c r="Y100" s="39" t="str">
        <f aca="false">IFERROR(VLOOKUP(B100,Annuaire_roster!B:E,4,0),"-")</f>
        <v>CHOUIFI Mustapha</v>
      </c>
      <c r="Z100" s="39" t="str">
        <f aca="false">IFERROR(VLOOKUP(B100,Annuaire_roster!B:F,3,0),"-")</f>
        <v>Google Leads</v>
      </c>
      <c r="AA100" s="39" t="str">
        <f aca="false">IFERROR(VLOOKUP(B100,Annuaire_roster!B:I,6,0),"-")</f>
        <v>Forfaitaire</v>
      </c>
      <c r="AB100" s="40" t="str">
        <f aca="false">IF(AND(D100="Congé",F100="Congé"),0.333333333333333,IF(OR(AND(D100="Congé",F100&lt;&gt;"Congé"),(AND(F100="Congé",D100&lt;&gt;"Congé"))),0.166666666666667,""))</f>
        <v/>
      </c>
      <c r="AC100" s="40" t="str">
        <f aca="false">IF(AND(D100="Congé sans solde",F100="Congé sans solde"),0.333333333333333,IF(OR(AND(D100="Congé sans solde",F100&lt;&gt;"Congé sans solde"),(AND(F100="Congé sans solde",D100&lt;&gt;"Congé sans solde"))),0.166666666666667,""))</f>
        <v/>
      </c>
      <c r="AD100" s="40" t="str">
        <f aca="false">IF(AND(D100="Congé spécial",F100="Congé spécial"),0.333333333333333,IF(OR(AND(D100="Congé spécial",F100&lt;&gt;"Congé décès"),(AND(F100="Congé spécial",D100&lt;&gt;"Congé spécial"))),0.166666666666667,""))</f>
        <v/>
      </c>
      <c r="AE100" s="41" t="str">
        <f aca="false">IF(AND(D100="Férié",F100="Férié"),0.333333333333333,IF(OR(AND(D100="Férié",F100&lt;&gt;"Férié"),(AND(F100="Férié",D100&lt;&gt;"Férié"))),0.166666666666667,""))</f>
        <v/>
      </c>
      <c r="AF100" s="41"/>
      <c r="AG100" s="36"/>
    </row>
    <row r="101" customFormat="false" ht="12.75" hidden="true" customHeight="true" outlineLevel="0" collapsed="false">
      <c r="A101" s="22" t="n">
        <f aca="false">VLOOKUP(B101,Annuaire_roster!B:F,5,0)</f>
        <v>0</v>
      </c>
      <c r="B101" s="23" t="s">
        <v>34</v>
      </c>
      <c r="C101" s="24" t="str">
        <f aca="false">IFERROR(IF(COUNTIFS(Pointage_brut!$E:$E,VLOOKUP($B101,Annuaire_roster!$B:$J,9,0),Pointage_brut!$A:$A,TEXT($Q101,"yyyymmdd")*1)=0,"",MOD(_xlfn.MINIFS(Pointage_brut!$F:$F,Pointage_brut!$E:$E,VLOOKUP($B101,Annuaire_roster!$B:$J,9,0),Pointage_brut!$A:$A,TEXT($Q101,"yyyymmdd")*1),1)),"")</f>
        <v/>
      </c>
      <c r="D101" s="25" t="n">
        <f aca="false" t="array" ref="D101:D101">IFERROR(INDEX(Planning2[],MATCH(1,(Planning2[Nom]=B101)*(Planning2[Date]=Q101),0),3),"-")</f>
        <v>0.291666666666667</v>
      </c>
      <c r="E101" s="26" t="str">
        <f aca="false">IFERROR(IF(COUNTIFS(Pointage_brut!$E:$E,VLOOKUP($B101,Annuaire_roster!$B:$J,9,0),Pointage_brut!$A:$A,TEXT($Q101,"yyyymmdd")*1)=0,"",MOD(_xlfn.MAXIFS(Pointage_brut!$G:$G,Pointage_brut!$E:$E,VLOOKUP($B101,Annuaire_roster!$B:$J,9,0),Pointage_brut!$A:$A,TEXT($Q101,"yyyymmdd")*1),1)),"")</f>
        <v/>
      </c>
      <c r="F101" s="27" t="n">
        <f aca="false" t="array" ref="F101:F101">IFERROR(INDEX(Planning2[],MATCH(1,(Planning2[Nom]=B101)*(Planning2[Date]=Q101),0),4),"-")</f>
        <v>0.708333333333333</v>
      </c>
      <c r="G101" s="28"/>
      <c r="H101" s="28"/>
      <c r="I101" s="29" t="str">
        <f aca="false">IF(IF(OR(C101="",D101="Congé",D101="OFF",D101="Congé spécial"),"",IF(D101&gt;F101,D101-C101,IF(C101-D101&lt;0,0,C101-D101)))&lt;0.00068287037037037,"",IF(OR(D101="Congé",D101="OFF",C101="",D101="Congé spécial"),"",IF(D101&gt;F101,D101-C101,IF(C101-D101&lt;0,0,C101-D101))))</f>
        <v/>
      </c>
      <c r="J101" s="28"/>
      <c r="K101" s="30" t="n">
        <f aca="false">IF(SUM(H101:J101)&lt;0.00068287037037037,0,SUM(H101:J101))</f>
        <v>0</v>
      </c>
      <c r="L101" s="28" t="n">
        <f aca="false">IF(OR(F101="Congé",F101="OFF",M101="Abs",F101="Congé sans solde",F101="Férié",F101="Congé spécial",D101="Congé spécial"),0,IF(F101-E101&lt;0,0,IF(F101-E101&lt;=0.00068287037037037,0,F101-E101)))</f>
        <v>0</v>
      </c>
      <c r="M101" s="31" t="str">
        <f aca="false">IF(AND(O101&lt;&gt;0,C101=""),"Abs",0)</f>
        <v>Abs</v>
      </c>
      <c r="N101" s="32" t="str">
        <f aca="false">IFERROR(IF(OR(D101="OFF",D101="Congé",M101="Abs",D101="Congé sans solde",D101="Férié"),"",IF(O101-K101-L101&gt;O101,O101,IF(O101-K101-L101&lt;0,"",O101-K101-L101))),"")</f>
        <v/>
      </c>
      <c r="O101" s="33" t="n">
        <f aca="false">IF(AG101="2H Pause déjeuner",IF(F101-D101-0.0833333333333333&lt;0,F101-D101-0.0833333333333333+1,F101-D101-0.0833333333333333),IF(OR(AND(F101="OFF",D101="OFF"),AND(F101="Congé",D101="Congé"),AND(F101="Congé sans solde",D101="Congé sans solde"),AND(F101="Congé spécial",D101="Congé spécial"),AND(F101="Férié",D101="Férié"),AND(F101="OFF",D101="Congé"),AND(F101="OFF",D101="Congé sans solde"),AND(F101="OFF",D101="Congé spécial"),AND(F101="OFF",D101="Férié"),AND(F101="Congé",D101="OFF"),AND(F101="Congé",D101="Congé sans solde"),AND(F101="Congé",D101="Congé spécial"),AND(F101="Congé",D101="Férié"),AND(F101="Congé sans solde",D101="OFF"),AND(F101="Congé sans solde",D101="Congé"),AND(F101="Congé sans solde",D101="Congé spécial"),AND(F101="Congé sans solde",D101="Férié"),AND(F101="Congé spécial",D101="OFF"),AND(F101="Congé spécial",D101="Congé"),AND(F101="Congé spécial",D101="Congé sans solde"),AND(F101="Congé spécial",D101="Férié"),AND(F101="Férié",D101="OFF"),AND(F101="Férié",D101="Congé"),AND(F101="Férié",D101="Congé sans solde"),AND(F101="Férié",D101="Congé spécial")),0,IF(OR(F101="OFF",F101="Congé",F101="Congé spécial",F101="Congé sans solde",D101="OFF",D101="Congé",D101="Congé spécial",D101="Congé sans solde"),0.208333333333334,IF(AND(AG101="",F101-D101&lt;0),("24:00:00"-D101)+("00:00:00"+F101)-0.0416666666666667,IF(AND(OR(AG101="Allaitement",AG101="Sans déjeuner"),F101-D101&lt;0),("24:00:00"-D101)+("00:00:00"+F101),IF(AND(AG101="",F101-D101&gt;0.166666666666667),F101-D101-0.0416666666666667,IF(AND(OR(AG101="Allaitement",AG101="Sans déjeuner"),F101-D101&gt;0.166666666666667),F101-D101,F101-D101)))))))</f>
        <v>0.375</v>
      </c>
      <c r="P101" s="34" t="str">
        <f aca="false">IFERROR(VLOOKUP($B101,Annuaire_roster!$B:$G,MATCH(P$1,Annuaire_roster!$B$1:$G$1,0),0),"-")</f>
        <v>Google Leads</v>
      </c>
      <c r="Q101" s="35" t="n">
        <v>44720</v>
      </c>
      <c r="R101" s="36" t="n">
        <f aca="false">IF(M101="Abs",O101,0)</f>
        <v>0.375</v>
      </c>
      <c r="S101" s="36" t="n">
        <f aca="false">SUM(R101,L101,I101,J101,W101,H101)</f>
        <v>0.375</v>
      </c>
      <c r="T101" s="1" t="str">
        <f aca="false">"Sem - "&amp;WEEKNUM(Q101,21)</f>
        <v>Sem - 24</v>
      </c>
      <c r="U101" s="1" t="str">
        <f aca="false">PROPER(TEXT(Q101,"mmmm"))</f>
        <v>June</v>
      </c>
      <c r="V101" s="37" t="str">
        <f aca="false">+TEXT(Q101,"aaa")</f>
        <v>Tue</v>
      </c>
      <c r="W101" s="32"/>
      <c r="X101" s="38" t="n">
        <f aca="false">IFERROR(IF(M101="Abs",0,IF((D101-C101+E101-F101)&lt;0.000694444444444444,0,(D101-C101+E101-F101))),0)</f>
        <v>0</v>
      </c>
      <c r="Y101" s="39" t="n">
        <f aca="false">IFERROR(VLOOKUP(B101,Annuaire_roster!B:E,4,0),"-")</f>
        <v>0</v>
      </c>
      <c r="Z101" s="39" t="str">
        <f aca="false">IFERROR(VLOOKUP(B101,Annuaire_roster!B:F,3,0),"-")</f>
        <v>Google Leads</v>
      </c>
      <c r="AA101" s="39" t="n">
        <f aca="false">IFERROR(VLOOKUP(B101,Annuaire_roster!B:I,6,0),"-")</f>
        <v>0</v>
      </c>
      <c r="AB101" s="40" t="str">
        <f aca="false">IF(AND(D101="Congé",F101="Congé"),0.333333333333333,IF(OR(AND(D101="Congé",F101&lt;&gt;"Congé"),(AND(F101="Congé",D101&lt;&gt;"Congé"))),0.166666666666667,""))</f>
        <v/>
      </c>
      <c r="AC101" s="40" t="str">
        <f aca="false">IF(AND(D101="Congé sans solde",F101="Congé sans solde"),0.333333333333333,IF(OR(AND(D101="Congé sans solde",F101&lt;&gt;"Congé sans solde"),(AND(F101="Congé sans solde",D101&lt;&gt;"Congé sans solde"))),0.166666666666667,""))</f>
        <v/>
      </c>
      <c r="AD101" s="40" t="str">
        <f aca="false">IF(AND(D101="Congé spécial",F101="Congé spécial"),0.333333333333333,IF(OR(AND(D101="Congé spécial",F101&lt;&gt;"Congé décès"),(AND(F101="Congé spécial",D101&lt;&gt;"Congé spécial"))),0.166666666666667,""))</f>
        <v/>
      </c>
      <c r="AE101" s="41" t="str">
        <f aca="false">IF(AND(D101="Férié",F101="Férié"),0.333333333333333,IF(OR(AND(D101="Férié",F101&lt;&gt;"Férié"),(AND(F101="Férié",D101&lt;&gt;"Férié"))),0.166666666666667,""))</f>
        <v/>
      </c>
      <c r="AF101" s="41"/>
      <c r="AG101" s="40"/>
    </row>
    <row r="102" customFormat="false" ht="12.75" hidden="true" customHeight="true" outlineLevel="0" collapsed="false">
      <c r="A102" s="22" t="n">
        <f aca="false">VLOOKUP(B102,Annuaire_roster!B:F,5,0)</f>
        <v>0</v>
      </c>
      <c r="B102" s="23" t="s">
        <v>35</v>
      </c>
      <c r="C102" s="24" t="str">
        <f aca="false">IFERROR(IF(COUNTIFS(Pointage_brut!$E:$E,VLOOKUP($B102,Annuaire_roster!$B:$J,9,0),Pointage_brut!$A:$A,TEXT($Q102,"yyyymmdd")*1)=0,"",MOD(_xlfn.MINIFS(Pointage_brut!$F:$F,Pointage_brut!$E:$E,VLOOKUP($B102,Annuaire_roster!$B:$J,9,0),Pointage_brut!$A:$A,TEXT($Q102,"yyyymmdd")*1),1)),"")</f>
        <v/>
      </c>
      <c r="D102" s="25" t="n">
        <f aca="false" t="array" ref="D102:D102">IFERROR(INDEX(Planning2[],MATCH(1,(Planning2[Nom]=B102)*(Planning2[Date]=Q102),0),3),"-")</f>
        <v>0.291666666666667</v>
      </c>
      <c r="E102" s="26" t="str">
        <f aca="false">IFERROR(IF(COUNTIFS(Pointage_brut!$E:$E,VLOOKUP($B102,Annuaire_roster!$B:$J,9,0),Pointage_brut!$A:$A,TEXT($Q102,"yyyymmdd")*1)=0,"",MOD(_xlfn.MAXIFS(Pointage_brut!$G:$G,Pointage_brut!$E:$E,VLOOKUP($B102,Annuaire_roster!$B:$J,9,0),Pointage_brut!$A:$A,TEXT($Q102,"yyyymmdd")*1),1)),"")</f>
        <v/>
      </c>
      <c r="F102" s="27" t="n">
        <f aca="false" t="array" ref="F102:F102">IFERROR(INDEX(Planning2[],MATCH(1,(Planning2[Nom]=B102)*(Planning2[Date]=Q102),0),4),"-")</f>
        <v>0.708333333333333</v>
      </c>
      <c r="G102" s="28"/>
      <c r="H102" s="28"/>
      <c r="I102" s="29" t="str">
        <f aca="false">IF(IF(OR(C102="",D102="Congé",D102="OFF",D102="Congé spécial"),"",IF(D102&gt;F102,D102-C102,IF(C102-D102&lt;0,0,C102-D102)))&lt;0.00068287037037037,"",IF(OR(D102="Congé",D102="OFF",C102="",D102="Congé spécial"),"",IF(D102&gt;F102,D102-C102,IF(C102-D102&lt;0,0,C102-D102))))</f>
        <v/>
      </c>
      <c r="J102" s="28"/>
      <c r="K102" s="30" t="n">
        <f aca="false">IF(SUM(H102:J102)&lt;0.00068287037037037,0,SUM(H102:J102))</f>
        <v>0</v>
      </c>
      <c r="L102" s="28" t="n">
        <f aca="false">IF(OR(F102="Congé",F102="OFF",M102="Abs",F102="Congé sans solde",F102="Férié",F102="Congé spécial",D102="Congé spécial"),0,IF(F102-E102&lt;0,0,IF(F102-E102&lt;=0.00068287037037037,0,F102-E102)))</f>
        <v>0</v>
      </c>
      <c r="M102" s="31" t="str">
        <f aca="false">IF(AND(O102&lt;&gt;0,C102=""),"Abs",0)</f>
        <v>Abs</v>
      </c>
      <c r="N102" s="32" t="str">
        <f aca="false">IFERROR(IF(OR(D102="OFF",D102="Congé",M102="Abs",D102="Congé sans solde",D102="Férié"),"",IF(O102-K102-L102&gt;O102,O102,IF(O102-K102-L102&lt;0,"",O102-K102-L102))),"")</f>
        <v/>
      </c>
      <c r="O102" s="33" t="n">
        <f aca="false">IF(AG102="2H Pause déjeuner",IF(F102-D102-0.0833333333333333&lt;0,F102-D102-0.0833333333333333+1,F102-D102-0.0833333333333333),IF(OR(AND(F102="OFF",D102="OFF"),AND(F102="Congé",D102="Congé"),AND(F102="Congé sans solde",D102="Congé sans solde"),AND(F102="Congé spécial",D102="Congé spécial"),AND(F102="Férié",D102="Férié"),AND(F102="OFF",D102="Congé"),AND(F102="OFF",D102="Congé sans solde"),AND(F102="OFF",D102="Congé spécial"),AND(F102="OFF",D102="Férié"),AND(F102="Congé",D102="OFF"),AND(F102="Congé",D102="Congé sans solde"),AND(F102="Congé",D102="Congé spécial"),AND(F102="Congé",D102="Férié"),AND(F102="Congé sans solde",D102="OFF"),AND(F102="Congé sans solde",D102="Congé"),AND(F102="Congé sans solde",D102="Congé spécial"),AND(F102="Congé sans solde",D102="Férié"),AND(F102="Congé spécial",D102="OFF"),AND(F102="Congé spécial",D102="Congé"),AND(F102="Congé spécial",D102="Congé sans solde"),AND(F102="Congé spécial",D102="Férié"),AND(F102="Férié",D102="OFF"),AND(F102="Férié",D102="Congé"),AND(F102="Férié",D102="Congé sans solde"),AND(F102="Férié",D102="Congé spécial")),0,IF(OR(F102="OFF",F102="Congé",F102="Congé spécial",F102="Congé sans solde",D102="OFF",D102="Congé",D102="Congé spécial",D102="Congé sans solde"),0.208333333333334,IF(AND(AG102="",F102-D102&lt;0),("24:00:00"-D102)+("00:00:00"+F102)-0.0416666666666667,IF(AND(OR(AG102="Allaitement",AG102="Sans déjeuner"),F102-D102&lt;0),("24:00:00"-D102)+("00:00:00"+F102),IF(AND(AG102="",F102-D102&gt;0.166666666666667),F102-D102-0.0416666666666667,IF(AND(OR(AG102="Allaitement",AG102="Sans déjeuner"),F102-D102&gt;0.166666666666667),F102-D102,F102-D102)))))))</f>
        <v>0.375</v>
      </c>
      <c r="P102" s="34" t="str">
        <f aca="false">IFERROR(VLOOKUP($B102,Annuaire_roster!$B:$G,MATCH(P$1,Annuaire_roster!$B$1:$G$1,0),0),"-")</f>
        <v>Google Leads</v>
      </c>
      <c r="Q102" s="35" t="n">
        <v>44720</v>
      </c>
      <c r="R102" s="36" t="n">
        <f aca="false">IF(M102="Abs",O102,0)</f>
        <v>0.375</v>
      </c>
      <c r="S102" s="36" t="n">
        <f aca="false">SUM(R102,L102,I102,J102,W102,H102)</f>
        <v>0.375</v>
      </c>
      <c r="T102" s="1" t="str">
        <f aca="false">"Sem - "&amp;WEEKNUM(Q102,21)</f>
        <v>Sem - 24</v>
      </c>
      <c r="U102" s="1" t="str">
        <f aca="false">PROPER(TEXT(Q102,"mmmm"))</f>
        <v>June</v>
      </c>
      <c r="V102" s="37" t="str">
        <f aca="false">+TEXT(Q102,"aaa")</f>
        <v>Tue</v>
      </c>
      <c r="W102" s="32"/>
      <c r="X102" s="38" t="n">
        <f aca="false">IFERROR(IF(M102="Abs",0,IF((D102-C102+E102-F102)&lt;0.000694444444444444,0,(D102-C102+E102-F102))),0)</f>
        <v>0</v>
      </c>
      <c r="Y102" s="39" t="n">
        <f aca="false">IFERROR(VLOOKUP(B102,Annuaire_roster!B:E,4,0),"-")</f>
        <v>0</v>
      </c>
      <c r="Z102" s="39" t="str">
        <f aca="false">IFERROR(VLOOKUP(B102,Annuaire_roster!B:F,3,0),"-")</f>
        <v>Google Leads</v>
      </c>
      <c r="AA102" s="39" t="n">
        <f aca="false">IFERROR(VLOOKUP(B102,Annuaire_roster!B:I,6,0),"-")</f>
        <v>0</v>
      </c>
      <c r="AB102" s="40" t="str">
        <f aca="false">IF(AND(D102="Congé",F102="Congé"),0.333333333333333,IF(OR(AND(D102="Congé",F102&lt;&gt;"Congé"),(AND(F102="Congé",D102&lt;&gt;"Congé"))),0.166666666666667,""))</f>
        <v/>
      </c>
      <c r="AC102" s="40" t="str">
        <f aca="false">IF(AND(D102="Congé sans solde",F102="Congé sans solde"),0.333333333333333,IF(OR(AND(D102="Congé sans solde",F102&lt;&gt;"Congé sans solde"),(AND(F102="Congé sans solde",D102&lt;&gt;"Congé sans solde"))),0.166666666666667,""))</f>
        <v/>
      </c>
      <c r="AD102" s="40" t="str">
        <f aca="false">IF(AND(D102="Congé spécial",F102="Congé spécial"),0.333333333333333,IF(OR(AND(D102="Congé spécial",F102&lt;&gt;"Congé décès"),(AND(F102="Congé spécial",D102&lt;&gt;"Congé spécial"))),0.166666666666667,""))</f>
        <v/>
      </c>
      <c r="AE102" s="41" t="str">
        <f aca="false">IF(AND(D102="Férié",F102="Férié"),0.333333333333333,IF(OR(AND(D102="Férié",F102&lt;&gt;"Férié"),(AND(F102="Férié",D102&lt;&gt;"Férié"))),0.166666666666667,""))</f>
        <v/>
      </c>
      <c r="AF102" s="41"/>
      <c r="AG102" s="36"/>
    </row>
    <row r="103" customFormat="false" ht="12.75" hidden="true" customHeight="true" outlineLevel="0" collapsed="false">
      <c r="A103" s="22" t="n">
        <f aca="false">VLOOKUP(B103,Annuaire_roster!B:F,5,0)</f>
        <v>0</v>
      </c>
      <c r="B103" s="23" t="s">
        <v>46</v>
      </c>
      <c r="C103" s="24" t="str">
        <f aca="false">IFERROR(IF(COUNTIFS(Pointage_brut!$E:$E,VLOOKUP($B103,Annuaire_roster!$B:$J,9,0),Pointage_brut!$A:$A,TEXT($Q103,"yyyymmdd")*1)=0,"",MOD(_xlfn.MINIFS(Pointage_brut!$F:$F,Pointage_brut!$E:$E,VLOOKUP($B103,Annuaire_roster!$B:$J,9,0),Pointage_brut!$A:$A,TEXT($Q103,"yyyymmdd")*1),1)),"")</f>
        <v/>
      </c>
      <c r="D103" s="25" t="n">
        <f aca="false" t="array" ref="D103:D103">IFERROR(INDEX(Planning2[],MATCH(1,(Planning2[Nom]=B103)*(Planning2[Date]=Q103),0),3),"-")</f>
        <v>0.291666666666667</v>
      </c>
      <c r="E103" s="26" t="str">
        <f aca="false">IFERROR(IF(COUNTIFS(Pointage_brut!$E:$E,VLOOKUP($B103,Annuaire_roster!$B:$J,9,0),Pointage_brut!$A:$A,TEXT($Q103,"yyyymmdd")*1)=0,"",MOD(_xlfn.MAXIFS(Pointage_brut!$G:$G,Pointage_brut!$E:$E,VLOOKUP($B103,Annuaire_roster!$B:$J,9,0),Pointage_brut!$A:$A,TEXT($Q103,"yyyymmdd")*1),1)),"")</f>
        <v/>
      </c>
      <c r="F103" s="27" t="n">
        <f aca="false" t="array" ref="F103:F103">IFERROR(INDEX(Planning2[],MATCH(1,(Planning2[Nom]=B103)*(Planning2[Date]=Q103),0),4),"-")</f>
        <v>0.708333333333333</v>
      </c>
      <c r="G103" s="28"/>
      <c r="H103" s="28"/>
      <c r="I103" s="29" t="str">
        <f aca="false">IF(IF(OR(C103="",D103="Congé",D103="OFF",D103="Congé spécial"),"",IF(D103&gt;F103,D103-C103,IF(C103-D103&lt;0,0,C103-D103)))&lt;0.00068287037037037,"",IF(OR(D103="Congé",D103="OFF",C103="",D103="Congé spécial"),"",IF(D103&gt;F103,D103-C103,IF(C103-D103&lt;0,0,C103-D103))))</f>
        <v/>
      </c>
      <c r="J103" s="28"/>
      <c r="K103" s="30" t="n">
        <f aca="false">IF(SUM(H103:J103)&lt;0.00068287037037037,0,SUM(H103:J103))</f>
        <v>0</v>
      </c>
      <c r="L103" s="28" t="n">
        <f aca="false">IF(OR(F103="Congé",F103="OFF",M103="Abs",F103="Congé sans solde",F103="Férié",F103="Congé spécial",D103="Congé spécial"),0,IF(F103-E103&lt;0,0,IF(F103-E103&lt;=0.00068287037037037,0,F103-E103)))</f>
        <v>0</v>
      </c>
      <c r="M103" s="31" t="str">
        <f aca="false">IF(AND(O103&lt;&gt;0,C103=""),"Abs",0)</f>
        <v>Abs</v>
      </c>
      <c r="N103" s="32" t="str">
        <f aca="false">IFERROR(IF(OR(D103="OFF",D103="Congé",M103="Abs",D103="Congé sans solde",D103="Férié"),"",IF(O103-K103-L103&gt;O103,O103,IF(O103-K103-L103&lt;0,"",O103-K103-L103))),"")</f>
        <v/>
      </c>
      <c r="O103" s="33" t="n">
        <f aca="false">IF(AG103="2H Pause déjeuner",IF(F103-D103-0.0833333333333333&lt;0,F103-D103-0.0833333333333333+1,F103-D103-0.0833333333333333),IF(OR(AND(F103="OFF",D103="OFF"),AND(F103="Congé",D103="Congé"),AND(F103="Congé sans solde",D103="Congé sans solde"),AND(F103="Congé spécial",D103="Congé spécial"),AND(F103="Férié",D103="Férié"),AND(F103="OFF",D103="Congé"),AND(F103="OFF",D103="Congé sans solde"),AND(F103="OFF",D103="Congé spécial"),AND(F103="OFF",D103="Férié"),AND(F103="Congé",D103="OFF"),AND(F103="Congé",D103="Congé sans solde"),AND(F103="Congé",D103="Congé spécial"),AND(F103="Congé",D103="Férié"),AND(F103="Congé sans solde",D103="OFF"),AND(F103="Congé sans solde",D103="Congé"),AND(F103="Congé sans solde",D103="Congé spécial"),AND(F103="Congé sans solde",D103="Férié"),AND(F103="Congé spécial",D103="OFF"),AND(F103="Congé spécial",D103="Congé"),AND(F103="Congé spécial",D103="Congé sans solde"),AND(F103="Congé spécial",D103="Férié"),AND(F103="Férié",D103="OFF"),AND(F103="Férié",D103="Congé"),AND(F103="Férié",D103="Congé sans solde"),AND(F103="Férié",D103="Congé spécial")),0,IF(OR(F103="OFF",F103="Congé",F103="Congé spécial",F103="Congé sans solde",D103="OFF",D103="Congé",D103="Congé spécial",D103="Congé sans solde"),0.208333333333334,IF(AND(AG103="",F103-D103&lt;0),("24:00:00"-D103)+("00:00:00"+F103)-0.0416666666666667,IF(AND(OR(AG103="Allaitement",AG103="Sans déjeuner"),F103-D103&lt;0),("24:00:00"-D103)+("00:00:00"+F103),IF(AND(AG103="",F103-D103&gt;0.166666666666667),F103-D103-0.0416666666666667,IF(AND(OR(AG103="Allaitement",AG103="Sans déjeuner"),F103-D103&gt;0.166666666666667),F103-D103,F103-D103)))))))</f>
        <v>0.375</v>
      </c>
      <c r="P103" s="34" t="str">
        <f aca="false">IFERROR(VLOOKUP($B103,Annuaire_roster!$B:$G,MATCH(P$1,Annuaire_roster!$B$1:$G$1,0),0),"-")</f>
        <v>Google Leads</v>
      </c>
      <c r="Q103" s="35" t="n">
        <v>44720</v>
      </c>
      <c r="R103" s="36" t="n">
        <f aca="false">IF(M103="Abs",O103,0)</f>
        <v>0.375</v>
      </c>
      <c r="S103" s="36" t="n">
        <f aca="false">SUM(R103,L103,I103,J103,W103,H103)</f>
        <v>0.375</v>
      </c>
      <c r="T103" s="1" t="str">
        <f aca="false">"Sem - "&amp;WEEKNUM(Q103,21)</f>
        <v>Sem - 24</v>
      </c>
      <c r="U103" s="1" t="str">
        <f aca="false">PROPER(TEXT(Q103,"mmmm"))</f>
        <v>June</v>
      </c>
      <c r="V103" s="37" t="str">
        <f aca="false">+TEXT(Q103,"aaa")</f>
        <v>Tue</v>
      </c>
      <c r="W103" s="32"/>
      <c r="X103" s="38" t="n">
        <f aca="false">IFERROR(IF(M103="Abs",0,IF((D103-C103+E103-F103)&lt;0.000694444444444444,0,(D103-C103+E103-F103))),0)</f>
        <v>0</v>
      </c>
      <c r="Y103" s="39" t="n">
        <f aca="false">IFERROR(VLOOKUP(B103,Annuaire_roster!B:E,4,0),"-")</f>
        <v>0</v>
      </c>
      <c r="Z103" s="39" t="str">
        <f aca="false">IFERROR(VLOOKUP(B103,Annuaire_roster!B:F,3,0),"-")</f>
        <v>Google Leads</v>
      </c>
      <c r="AA103" s="39" t="n">
        <f aca="false">IFERROR(VLOOKUP(B103,Annuaire_roster!B:I,6,0),"-")</f>
        <v>0</v>
      </c>
      <c r="AB103" s="40" t="str">
        <f aca="false">IF(AND(D103="Congé",F103="Congé"),0.333333333333333,IF(OR(AND(D103="Congé",F103&lt;&gt;"Congé"),(AND(F103="Congé",D103&lt;&gt;"Congé"))),0.166666666666667,""))</f>
        <v/>
      </c>
      <c r="AC103" s="40" t="str">
        <f aca="false">IF(AND(D103="Congé sans solde",F103="Congé sans solde"),0.333333333333333,IF(OR(AND(D103="Congé sans solde",F103&lt;&gt;"Congé sans solde"),(AND(F103="Congé sans solde",D103&lt;&gt;"Congé sans solde"))),0.166666666666667,""))</f>
        <v/>
      </c>
      <c r="AD103" s="40" t="str">
        <f aca="false">IF(AND(D103="Congé spécial",F103="Congé spécial"),0.333333333333333,IF(OR(AND(D103="Congé spécial",F103&lt;&gt;"Congé décès"),(AND(F103="Congé spécial",D103&lt;&gt;"Congé spécial"))),0.166666666666667,""))</f>
        <v/>
      </c>
      <c r="AE103" s="41" t="str">
        <f aca="false">IF(AND(D103="Férié",F103="Férié"),0.333333333333333,IF(OR(AND(D103="Férié",F103&lt;&gt;"Férié"),(AND(F103="Férié",D103&lt;&gt;"Férié"))),0.166666666666667,""))</f>
        <v/>
      </c>
      <c r="AF103" s="41"/>
      <c r="AG103" s="36"/>
    </row>
    <row r="104" customFormat="false" ht="12.75" hidden="true" customHeight="true" outlineLevel="0" collapsed="false">
      <c r="A104" s="22" t="n">
        <f aca="false">VLOOKUP(B104,Annuaire_roster!B:F,5,0)</f>
        <v>0</v>
      </c>
      <c r="B104" s="23" t="s">
        <v>36</v>
      </c>
      <c r="C104" s="24" t="str">
        <f aca="false">IFERROR(IF(COUNTIFS(Pointage_brut!$E:$E,VLOOKUP($B104,Annuaire_roster!$B:$J,9,0),Pointage_brut!$A:$A,TEXT($Q104,"yyyymmdd")*1)=0,"",MOD(_xlfn.MINIFS(Pointage_brut!$F:$F,Pointage_brut!$E:$E,VLOOKUP($B104,Annuaire_roster!$B:$J,9,0),Pointage_brut!$A:$A,TEXT($Q104,"yyyymmdd")*1),1)),"")</f>
        <v/>
      </c>
      <c r="D104" s="25" t="n">
        <f aca="false" t="array" ref="D104:D104">IFERROR(INDEX(Planning2[],MATCH(1,(Planning2[Nom]=B104)*(Planning2[Date]=Q104),0),3),"-")</f>
        <v>0.291666666666667</v>
      </c>
      <c r="E104" s="26" t="str">
        <f aca="false">IFERROR(IF(COUNTIFS(Pointage_brut!$E:$E,VLOOKUP($B104,Annuaire_roster!$B:$J,9,0),Pointage_brut!$A:$A,TEXT($Q104,"yyyymmdd")*1)=0,"",MOD(_xlfn.MAXIFS(Pointage_brut!$G:$G,Pointage_brut!$E:$E,VLOOKUP($B104,Annuaire_roster!$B:$J,9,0),Pointage_brut!$A:$A,TEXT($Q104,"yyyymmdd")*1),1)),"")</f>
        <v/>
      </c>
      <c r="F104" s="27" t="n">
        <f aca="false" t="array" ref="F104:F104">IFERROR(INDEX(Planning2[],MATCH(1,(Planning2[Nom]=B104)*(Planning2[Date]=Q104),0),4),"-")</f>
        <v>0.708333333333333</v>
      </c>
      <c r="G104" s="28"/>
      <c r="H104" s="28"/>
      <c r="I104" s="29" t="str">
        <f aca="false">IF(IF(OR(C104="",D104="Congé",D104="OFF",D104="Congé spécial"),"",IF(D104&gt;F104,D104-C104,IF(C104-D104&lt;0,0,C104-D104)))&lt;0.00068287037037037,"",IF(OR(D104="Congé",D104="OFF",C104="",D104="Congé spécial"),"",IF(D104&gt;F104,D104-C104,IF(C104-D104&lt;0,0,C104-D104))))</f>
        <v/>
      </c>
      <c r="J104" s="28"/>
      <c r="K104" s="30" t="n">
        <f aca="false">IF(SUM(H104:J104)&lt;0.00068287037037037,0,SUM(H104:J104))</f>
        <v>0</v>
      </c>
      <c r="L104" s="28" t="n">
        <f aca="false">IF(OR(F104="Congé",F104="OFF",M104="Abs",F104="Congé sans solde",F104="Férié",F104="Congé spécial",D104="Congé spécial"),0,IF(F104-E104&lt;0,0,IF(F104-E104&lt;=0.00068287037037037,0,F104-E104)))</f>
        <v>0</v>
      </c>
      <c r="M104" s="31" t="str">
        <f aca="false">IF(AND(O104&lt;&gt;0,C104=""),"Abs",0)</f>
        <v>Abs</v>
      </c>
      <c r="N104" s="32" t="str">
        <f aca="false">IFERROR(IF(OR(D104="OFF",D104="Congé",M104="Abs",D104="Congé sans solde",D104="Férié"),"",IF(O104-K104-L104&gt;O104,O104,IF(O104-K104-L104&lt;0,"",O104-K104-L104))),"")</f>
        <v/>
      </c>
      <c r="O104" s="33" t="n">
        <f aca="false">IF(AG104="2H Pause déjeuner",IF(F104-D104-0.0833333333333333&lt;0,F104-D104-0.0833333333333333+1,F104-D104-0.0833333333333333),IF(OR(AND(F104="OFF",D104="OFF"),AND(F104="Congé",D104="Congé"),AND(F104="Congé sans solde",D104="Congé sans solde"),AND(F104="Congé spécial",D104="Congé spécial"),AND(F104="Férié",D104="Férié"),AND(F104="OFF",D104="Congé"),AND(F104="OFF",D104="Congé sans solde"),AND(F104="OFF",D104="Congé spécial"),AND(F104="OFF",D104="Férié"),AND(F104="Congé",D104="OFF"),AND(F104="Congé",D104="Congé sans solde"),AND(F104="Congé",D104="Congé spécial"),AND(F104="Congé",D104="Férié"),AND(F104="Congé sans solde",D104="OFF"),AND(F104="Congé sans solde",D104="Congé"),AND(F104="Congé sans solde",D104="Congé spécial"),AND(F104="Congé sans solde",D104="Férié"),AND(F104="Congé spécial",D104="OFF"),AND(F104="Congé spécial",D104="Congé"),AND(F104="Congé spécial",D104="Congé sans solde"),AND(F104="Congé spécial",D104="Férié"),AND(F104="Férié",D104="OFF"),AND(F104="Férié",D104="Congé"),AND(F104="Férié",D104="Congé sans solde"),AND(F104="Férié",D104="Congé spécial")),0,IF(OR(F104="OFF",F104="Congé",F104="Congé spécial",F104="Congé sans solde",D104="OFF",D104="Congé",D104="Congé spécial",D104="Congé sans solde"),0.208333333333334,IF(AND(AG104="",F104-D104&lt;0),("24:00:00"-D104)+("00:00:00"+F104)-0.0416666666666667,IF(AND(OR(AG104="Allaitement",AG104="Sans déjeuner"),F104-D104&lt;0),("24:00:00"-D104)+("00:00:00"+F104),IF(AND(AG104="",F104-D104&gt;0.166666666666667),F104-D104-0.0416666666666667,IF(AND(OR(AG104="Allaitement",AG104="Sans déjeuner"),F104-D104&gt;0.166666666666667),F104-D104,F104-D104)))))))</f>
        <v>0.375</v>
      </c>
      <c r="P104" s="34" t="str">
        <f aca="false">IFERROR(VLOOKUP($B104,Annuaire_roster!$B:$G,MATCH(P$1,Annuaire_roster!$B$1:$G$1,0),0),"-")</f>
        <v>Google Leads</v>
      </c>
      <c r="Q104" s="35" t="n">
        <v>44720</v>
      </c>
      <c r="R104" s="36" t="n">
        <f aca="false">IF(M104="Abs",O104,0)</f>
        <v>0.375</v>
      </c>
      <c r="S104" s="36" t="n">
        <f aca="false">SUM(R104,L104,I104,J104,W104,H104)</f>
        <v>0.375</v>
      </c>
      <c r="T104" s="1" t="str">
        <f aca="false">"Sem - "&amp;WEEKNUM(Q104,21)</f>
        <v>Sem - 24</v>
      </c>
      <c r="U104" s="1" t="str">
        <f aca="false">PROPER(TEXT(Q104,"mmmm"))</f>
        <v>June</v>
      </c>
      <c r="V104" s="37" t="str">
        <f aca="false">+TEXT(Q104,"aaa")</f>
        <v>Tue</v>
      </c>
      <c r="W104" s="32"/>
      <c r="X104" s="38" t="n">
        <f aca="false">IFERROR(IF(M104="Abs",0,IF((D104-C104+E104-F104)&lt;0.000694444444444444,0,(D104-C104+E104-F104))),0)</f>
        <v>0</v>
      </c>
      <c r="Y104" s="39" t="n">
        <f aca="false">IFERROR(VLOOKUP(B104,Annuaire_roster!B:E,4,0),"-")</f>
        <v>0</v>
      </c>
      <c r="Z104" s="39" t="str">
        <f aca="false">IFERROR(VLOOKUP(B104,Annuaire_roster!B:F,3,0),"-")</f>
        <v>Google Leads</v>
      </c>
      <c r="AA104" s="39" t="n">
        <f aca="false">IFERROR(VLOOKUP(B104,Annuaire_roster!B:I,6,0),"-")</f>
        <v>0</v>
      </c>
      <c r="AB104" s="40" t="str">
        <f aca="false">IF(AND(D104="Congé",F104="Congé"),0.333333333333333,IF(OR(AND(D104="Congé",F104&lt;&gt;"Congé"),(AND(F104="Congé",D104&lt;&gt;"Congé"))),0.166666666666667,""))</f>
        <v/>
      </c>
      <c r="AC104" s="40" t="str">
        <f aca="false">IF(AND(D104="Congé sans solde",F104="Congé sans solde"),0.333333333333333,IF(OR(AND(D104="Congé sans solde",F104&lt;&gt;"Congé sans solde"),(AND(F104="Congé sans solde",D104&lt;&gt;"Congé sans solde"))),0.166666666666667,""))</f>
        <v/>
      </c>
      <c r="AD104" s="40" t="str">
        <f aca="false">IF(AND(D104="Congé spécial",F104="Congé spécial"),0.333333333333333,IF(OR(AND(D104="Congé spécial",F104&lt;&gt;"Congé décès"),(AND(F104="Congé spécial",D104&lt;&gt;"Congé spécial"))),0.166666666666667,""))</f>
        <v/>
      </c>
      <c r="AE104" s="41" t="str">
        <f aca="false">IF(AND(D104="Férié",F104="Férié"),0.333333333333333,IF(OR(AND(D104="Férié",F104&lt;&gt;"Férié"),(AND(F104="Férié",D104&lt;&gt;"Férié"))),0.166666666666667,""))</f>
        <v/>
      </c>
      <c r="AF104" s="41"/>
      <c r="AG104" s="36"/>
    </row>
    <row r="105" customFormat="false" ht="12.75" hidden="true" customHeight="true" outlineLevel="0" collapsed="false">
      <c r="A105" s="22" t="n">
        <f aca="false">VLOOKUP(B105,Annuaire_roster!B:F,5,0)</f>
        <v>1008</v>
      </c>
      <c r="B105" s="23" t="s">
        <v>60</v>
      </c>
      <c r="C105" s="24" t="str">
        <f aca="false">IFERROR(IF(COUNTIFS(Pointage_brut!$E:$E,VLOOKUP($B105,Annuaire_roster!$B:$J,9,0),Pointage_brut!$A:$A,TEXT($Q105,"yyyymmdd")*1)=0,"",MOD(_xlfn.MINIFS(Pointage_brut!$F:$F,Pointage_brut!$E:$E,VLOOKUP($B105,Annuaire_roster!$B:$J,9,0),Pointage_brut!$A:$A,TEXT($Q105,"yyyymmdd")*1),1)),"")</f>
        <v/>
      </c>
      <c r="D105" s="25" t="n">
        <f aca="false" t="array" ref="D105:D105">IFERROR(INDEX(Planning2[],MATCH(1,(Planning2[Nom]=B105)*(Planning2[Date]=Q105),0),3),"-")</f>
        <v>0.291666666666667</v>
      </c>
      <c r="E105" s="26" t="str">
        <f aca="false">IFERROR(IF(COUNTIFS(Pointage_brut!$E:$E,VLOOKUP($B105,Annuaire_roster!$B:$J,9,0),Pointage_brut!$A:$A,TEXT($Q105,"yyyymmdd")*1)=0,"",MOD(_xlfn.MAXIFS(Pointage_brut!$G:$G,Pointage_brut!$E:$E,VLOOKUP($B105,Annuaire_roster!$B:$J,9,0),Pointage_brut!$A:$A,TEXT($Q105,"yyyymmdd")*1),1)),"")</f>
        <v/>
      </c>
      <c r="F105" s="27" t="n">
        <f aca="false" t="array" ref="F105:F105">IFERROR(INDEX(Planning2[],MATCH(1,(Planning2[Nom]=B105)*(Planning2[Date]=Q105),0),4),"-")</f>
        <v>0.708333333333333</v>
      </c>
      <c r="G105" s="28"/>
      <c r="H105" s="28"/>
      <c r="I105" s="29" t="str">
        <f aca="false">IF(IF(OR(C105="",D105="Congé",D105="OFF",D105="Congé spécial"),"",IF(D105&gt;F105,D105-C105,IF(C105-D105&lt;0,0,C105-D105)))&lt;0.00068287037037037,"",IF(OR(D105="Congé",D105="OFF",C105="",D105="Congé spécial"),"",IF(D105&gt;F105,D105-C105,IF(C105-D105&lt;0,0,C105-D105))))</f>
        <v/>
      </c>
      <c r="J105" s="28"/>
      <c r="K105" s="30" t="n">
        <f aca="false">IF(SUM(H105:J105)&lt;0.00068287037037037,0,SUM(H105:J105))</f>
        <v>0</v>
      </c>
      <c r="L105" s="28" t="n">
        <f aca="false">IF(OR(F105="Congé",F105="OFF",M105="Abs",F105="Congé sans solde",F105="Férié",F105="Congé spécial",D105="Congé spécial"),0,IF(F105-E105&lt;0,0,IF(F105-E105&lt;=0.00068287037037037,0,F105-E105)))</f>
        <v>0</v>
      </c>
      <c r="M105" s="31" t="str">
        <f aca="false">IF(AND(O105&lt;&gt;0,C105=""),"Abs",0)</f>
        <v>Abs</v>
      </c>
      <c r="N105" s="32" t="str">
        <f aca="false">IFERROR(IF(OR(D105="OFF",D105="Congé",M105="Abs",D105="Congé sans solde",D105="Férié"),"",IF(O105-K105-L105&gt;O105,O105,IF(O105-K105-L105&lt;0,"",O105-K105-L105))),"")</f>
        <v/>
      </c>
      <c r="O105" s="33" t="n">
        <f aca="false">IF(AG105="2H Pause déjeuner",IF(F105-D105-0.0833333333333333&lt;0,F105-D105-0.0833333333333333+1,F105-D105-0.0833333333333333),IF(OR(AND(F105="OFF",D105="OFF"),AND(F105="Congé",D105="Congé"),AND(F105="Congé sans solde",D105="Congé sans solde"),AND(F105="Congé spécial",D105="Congé spécial"),AND(F105="Férié",D105="Férié"),AND(F105="OFF",D105="Congé"),AND(F105="OFF",D105="Congé sans solde"),AND(F105="OFF",D105="Congé spécial"),AND(F105="OFF",D105="Férié"),AND(F105="Congé",D105="OFF"),AND(F105="Congé",D105="Congé sans solde"),AND(F105="Congé",D105="Congé spécial"),AND(F105="Congé",D105="Férié"),AND(F105="Congé sans solde",D105="OFF"),AND(F105="Congé sans solde",D105="Congé"),AND(F105="Congé sans solde",D105="Congé spécial"),AND(F105="Congé sans solde",D105="Férié"),AND(F105="Congé spécial",D105="OFF"),AND(F105="Congé spécial",D105="Congé"),AND(F105="Congé spécial",D105="Congé sans solde"),AND(F105="Congé spécial",D105="Férié"),AND(F105="Férié",D105="OFF"),AND(F105="Férié",D105="Congé"),AND(F105="Férié",D105="Congé sans solde"),AND(F105="Férié",D105="Congé spécial")),0,IF(OR(F105="OFF",F105="Congé",F105="Congé spécial",F105="Congé sans solde",D105="OFF",D105="Congé",D105="Congé spécial",D105="Congé sans solde"),0.208333333333334,IF(AND(AG105="",F105-D105&lt;0),("24:00:00"-D105)+("00:00:00"+F105)-0.0416666666666667,IF(AND(OR(AG105="Allaitement",AG105="Sans déjeuner"),F105-D105&lt;0),("24:00:00"-D105)+("00:00:00"+F105),IF(AND(AG105="",F105-D105&gt;0.166666666666667),F105-D105-0.0416666666666667,IF(AND(OR(AG105="Allaitement",AG105="Sans déjeuner"),F105-D105&gt;0.166666666666667),F105-D105,F105-D105)))))))</f>
        <v>0.375</v>
      </c>
      <c r="P105" s="34" t="str">
        <f aca="false">IFERROR(VLOOKUP($B105,Annuaire_roster!$B:$G,MATCH(P$1,Annuaire_roster!$B$1:$G$1,0),0),"-")</f>
        <v>Google Leads</v>
      </c>
      <c r="Q105" s="35" t="n">
        <v>44720</v>
      </c>
      <c r="R105" s="36" t="n">
        <f aca="false">IF(M105="Abs",O105,0)</f>
        <v>0.375</v>
      </c>
      <c r="S105" s="36" t="n">
        <f aca="false">SUM(R105,L105,I105,J105,W105,H105)</f>
        <v>0.375</v>
      </c>
      <c r="T105" s="1" t="str">
        <f aca="false">"Sem - "&amp;WEEKNUM(Q105,21)</f>
        <v>Sem - 24</v>
      </c>
      <c r="U105" s="1" t="str">
        <f aca="false">PROPER(TEXT(Q105,"mmmm"))</f>
        <v>June</v>
      </c>
      <c r="V105" s="37" t="str">
        <f aca="false">+TEXT(Q105,"aaa")</f>
        <v>Tue</v>
      </c>
      <c r="W105" s="32"/>
      <c r="X105" s="38" t="n">
        <f aca="false">IFERROR(IF(M105="Abs",0,IF((D105-C105+E105-F105)&lt;0.000694444444444444,0,(D105-C105+E105-F105))),0)</f>
        <v>0</v>
      </c>
      <c r="Y105" s="39" t="str">
        <f aca="false">IFERROR(VLOOKUP(B105,Annuaire_roster!B:E,4,0),"-")</f>
        <v>CHOUIFI Mustapha</v>
      </c>
      <c r="Z105" s="39" t="str">
        <f aca="false">IFERROR(VLOOKUP(B105,Annuaire_roster!B:F,3,0),"-")</f>
        <v>Google Leads</v>
      </c>
      <c r="AA105" s="39" t="str">
        <f aca="false">IFERROR(VLOOKUP(B105,Annuaire_roster!B:I,6,0),"-")</f>
        <v>Forfaitaire</v>
      </c>
      <c r="AB105" s="40" t="str">
        <f aca="false">IF(AND(D105="Congé",F105="Congé"),0.333333333333333,IF(OR(AND(D105="Congé",F105&lt;&gt;"Congé"),(AND(F105="Congé",D105&lt;&gt;"Congé"))),0.166666666666667,""))</f>
        <v/>
      </c>
      <c r="AC105" s="40" t="str">
        <f aca="false">IF(AND(D105="Congé sans solde",F105="Congé sans solde"),0.333333333333333,IF(OR(AND(D105="Congé sans solde",F105&lt;&gt;"Congé sans solde"),(AND(F105="Congé sans solde",D105&lt;&gt;"Congé sans solde"))),0.166666666666667,""))</f>
        <v/>
      </c>
      <c r="AD105" s="40" t="str">
        <f aca="false">IF(AND(D105="Congé spécial",F105="Congé spécial"),0.333333333333333,IF(OR(AND(D105="Congé spécial",F105&lt;&gt;"Congé décès"),(AND(F105="Congé spécial",D105&lt;&gt;"Congé spécial"))),0.166666666666667,""))</f>
        <v/>
      </c>
      <c r="AE105" s="41" t="str">
        <f aca="false">IF(AND(D105="Férié",F105="Férié"),0.333333333333333,IF(OR(AND(D105="Férié",F105&lt;&gt;"Férié"),(AND(F105="Férié",D105&lt;&gt;"Férié"))),0.166666666666667,""))</f>
        <v/>
      </c>
      <c r="AF105" s="41"/>
      <c r="AG105" s="36"/>
    </row>
    <row r="106" customFormat="false" ht="12.75" hidden="true" customHeight="true" outlineLevel="0" collapsed="false">
      <c r="A106" s="22" t="n">
        <f aca="false">VLOOKUP(B106,Annuaire_roster!B:F,5,0)</f>
        <v>0</v>
      </c>
      <c r="B106" s="23" t="s">
        <v>49</v>
      </c>
      <c r="C106" s="24" t="str">
        <f aca="false">IFERROR(IF(COUNTIFS(Pointage_brut!$E:$E,VLOOKUP($B106,Annuaire_roster!$B:$J,9,0),Pointage_brut!$A:$A,TEXT($Q106,"yyyymmdd")*1)=0,"",MOD(_xlfn.MINIFS(Pointage_brut!$F:$F,Pointage_brut!$E:$E,VLOOKUP($B106,Annuaire_roster!$B:$J,9,0),Pointage_brut!$A:$A,TEXT($Q106,"yyyymmdd")*1),1)),"")</f>
        <v/>
      </c>
      <c r="D106" s="25" t="n">
        <f aca="false" t="array" ref="D106:D106">IFERROR(INDEX(Planning2[],MATCH(1,(Planning2[Nom]=B106)*(Planning2[Date]=Q106),0),3),"-")</f>
        <v>0.291666666666667</v>
      </c>
      <c r="E106" s="26" t="str">
        <f aca="false">IFERROR(IF(COUNTIFS(Pointage_brut!$E:$E,VLOOKUP($B106,Annuaire_roster!$B:$J,9,0),Pointage_brut!$A:$A,TEXT($Q106,"yyyymmdd")*1)=0,"",MOD(_xlfn.MAXIFS(Pointage_brut!$G:$G,Pointage_brut!$E:$E,VLOOKUP($B106,Annuaire_roster!$B:$J,9,0),Pointage_brut!$A:$A,TEXT($Q106,"yyyymmdd")*1),1)),"")</f>
        <v/>
      </c>
      <c r="F106" s="27" t="n">
        <f aca="false" t="array" ref="F106:F106">IFERROR(INDEX(Planning2[],MATCH(1,(Planning2[Nom]=B106)*(Planning2[Date]=Q106),0),4),"-")</f>
        <v>0.708333333333333</v>
      </c>
      <c r="G106" s="28"/>
      <c r="H106" s="28"/>
      <c r="I106" s="29" t="str">
        <f aca="false">IF(IF(OR(C106="",D106="Congé",D106="OFF",D106="Congé spécial"),"",IF(D106&gt;F106,D106-C106,IF(C106-D106&lt;0,0,C106-D106)))&lt;0.00068287037037037,"",IF(OR(D106="Congé",D106="OFF",C106="",D106="Congé spécial"),"",IF(D106&gt;F106,D106-C106,IF(C106-D106&lt;0,0,C106-D106))))</f>
        <v/>
      </c>
      <c r="J106" s="28"/>
      <c r="K106" s="30" t="n">
        <f aca="false">IF(SUM(H106:J106)&lt;0.00068287037037037,0,SUM(H106:J106))</f>
        <v>0</v>
      </c>
      <c r="L106" s="28" t="n">
        <f aca="false">IF(OR(F106="Congé",F106="OFF",M106="Abs",F106="Congé sans solde",F106="Férié",F106="Congé spécial",D106="Congé spécial"),0,IF(F106-E106&lt;0,0,IF(F106-E106&lt;=0.00068287037037037,0,F106-E106)))</f>
        <v>0</v>
      </c>
      <c r="M106" s="31" t="str">
        <f aca="false">IF(AND(O106&lt;&gt;0,C106=""),"Abs",0)</f>
        <v>Abs</v>
      </c>
      <c r="N106" s="32" t="str">
        <f aca="false">IFERROR(IF(OR(D106="OFF",D106="Congé",M106="Abs",D106="Congé sans solde",D106="Férié"),"",IF(O106-K106-L106&gt;O106,O106,IF(O106-K106-L106&lt;0,"",O106-K106-L106))),"")</f>
        <v/>
      </c>
      <c r="O106" s="33" t="n">
        <f aca="false">IF(AG106="2H Pause déjeuner",IF(F106-D106-0.0833333333333333&lt;0,F106-D106-0.0833333333333333+1,F106-D106-0.0833333333333333),IF(OR(AND(F106="OFF",D106="OFF"),AND(F106="Congé",D106="Congé"),AND(F106="Congé sans solde",D106="Congé sans solde"),AND(F106="Congé spécial",D106="Congé spécial"),AND(F106="Férié",D106="Férié"),AND(F106="OFF",D106="Congé"),AND(F106="OFF",D106="Congé sans solde"),AND(F106="OFF",D106="Congé spécial"),AND(F106="OFF",D106="Férié"),AND(F106="Congé",D106="OFF"),AND(F106="Congé",D106="Congé sans solde"),AND(F106="Congé",D106="Congé spécial"),AND(F106="Congé",D106="Férié"),AND(F106="Congé sans solde",D106="OFF"),AND(F106="Congé sans solde",D106="Congé"),AND(F106="Congé sans solde",D106="Congé spécial"),AND(F106="Congé sans solde",D106="Férié"),AND(F106="Congé spécial",D106="OFF"),AND(F106="Congé spécial",D106="Congé"),AND(F106="Congé spécial",D106="Congé sans solde"),AND(F106="Congé spécial",D106="Férié"),AND(F106="Férié",D106="OFF"),AND(F106="Férié",D106="Congé"),AND(F106="Férié",D106="Congé sans solde"),AND(F106="Férié",D106="Congé spécial")),0,IF(OR(F106="OFF",F106="Congé",F106="Congé spécial",F106="Congé sans solde",D106="OFF",D106="Congé",D106="Congé spécial",D106="Congé sans solde"),0.208333333333334,IF(AND(AG106="",F106-D106&lt;0),("24:00:00"-D106)+("00:00:00"+F106)-0.0416666666666667,IF(AND(OR(AG106="Allaitement",AG106="Sans déjeuner"),F106-D106&lt;0),("24:00:00"-D106)+("00:00:00"+F106),IF(AND(AG106="",F106-D106&gt;0.166666666666667),F106-D106-0.0416666666666667,IF(AND(OR(AG106="Allaitement",AG106="Sans déjeuner"),F106-D106&gt;0.166666666666667),F106-D106,F106-D106)))))))</f>
        <v>0.375</v>
      </c>
      <c r="P106" s="34" t="str">
        <f aca="false">IFERROR(VLOOKUP($B106,Annuaire_roster!$B:$G,MATCH(P$1,Annuaire_roster!$B$1:$G$1,0),0),"-")</f>
        <v>Google Leads</v>
      </c>
      <c r="Q106" s="35" t="n">
        <v>44720</v>
      </c>
      <c r="R106" s="36" t="n">
        <f aca="false">IF(M106="Abs",O106,0)</f>
        <v>0.375</v>
      </c>
      <c r="S106" s="36" t="n">
        <f aca="false">SUM(R106,L106,I106,J106,W106,H106)</f>
        <v>0.375</v>
      </c>
      <c r="T106" s="1" t="str">
        <f aca="false">"Sem - "&amp;WEEKNUM(Q106,21)</f>
        <v>Sem - 24</v>
      </c>
      <c r="U106" s="1" t="str">
        <f aca="false">PROPER(TEXT(Q106,"mmmm"))</f>
        <v>June</v>
      </c>
      <c r="V106" s="37" t="str">
        <f aca="false">+TEXT(Q106,"aaa")</f>
        <v>Tue</v>
      </c>
      <c r="W106" s="32"/>
      <c r="X106" s="38" t="n">
        <f aca="false">IFERROR(IF(M106="Abs",0,IF((D106-C106+E106-F106)&lt;0.000694444444444444,0,(D106-C106+E106-F106))),0)</f>
        <v>0</v>
      </c>
      <c r="Y106" s="39" t="n">
        <f aca="false">IFERROR(VLOOKUP(B106,Annuaire_roster!B:E,4,0),"-")</f>
        <v>0</v>
      </c>
      <c r="Z106" s="39" t="str">
        <f aca="false">IFERROR(VLOOKUP(B106,Annuaire_roster!B:F,3,0),"-")</f>
        <v>Google Leads</v>
      </c>
      <c r="AA106" s="39" t="n">
        <f aca="false">IFERROR(VLOOKUP(B106,Annuaire_roster!B:I,6,0),"-")</f>
        <v>0</v>
      </c>
      <c r="AB106" s="40" t="str">
        <f aca="false">IF(AND(D106="Congé",F106="Congé"),0.333333333333333,IF(OR(AND(D106="Congé",F106&lt;&gt;"Congé"),(AND(F106="Congé",D106&lt;&gt;"Congé"))),0.166666666666667,""))</f>
        <v/>
      </c>
      <c r="AC106" s="40" t="str">
        <f aca="false">IF(AND(D106="Congé sans solde",F106="Congé sans solde"),0.333333333333333,IF(OR(AND(D106="Congé sans solde",F106&lt;&gt;"Congé sans solde"),(AND(F106="Congé sans solde",D106&lt;&gt;"Congé sans solde"))),0.166666666666667,""))</f>
        <v/>
      </c>
      <c r="AD106" s="40" t="str">
        <f aca="false">IF(AND(D106="Congé spécial",F106="Congé spécial"),0.333333333333333,IF(OR(AND(D106="Congé spécial",F106&lt;&gt;"Congé décès"),(AND(F106="Congé spécial",D106&lt;&gt;"Congé spécial"))),0.166666666666667,""))</f>
        <v/>
      </c>
      <c r="AE106" s="41" t="str">
        <f aca="false">IF(AND(D106="Férié",F106="Férié"),0.333333333333333,IF(OR(AND(D106="Férié",F106&lt;&gt;"Férié"),(AND(F106="Férié",D106&lt;&gt;"Férié"))),0.166666666666667,""))</f>
        <v/>
      </c>
      <c r="AF106" s="41"/>
      <c r="AG106" s="40"/>
    </row>
    <row r="107" customFormat="false" ht="12.75" hidden="true" customHeight="true" outlineLevel="0" collapsed="false">
      <c r="A107" s="22" t="n">
        <f aca="false">VLOOKUP(B107,Annuaire_roster!B:F,5,0)</f>
        <v>669</v>
      </c>
      <c r="B107" s="23" t="s">
        <v>38</v>
      </c>
      <c r="C107" s="24" t="str">
        <f aca="false">IFERROR(IF(COUNTIFS(Pointage_brut!$E:$E,VLOOKUP($B107,Annuaire_roster!$B:$J,9,0),Pointage_brut!$A:$A,TEXT($Q107,"yyyymmdd")*1)=0,"",MOD(_xlfn.MINIFS(Pointage_brut!$F:$F,Pointage_brut!$E:$E,VLOOKUP($B107,Annuaire_roster!$B:$J,9,0),Pointage_brut!$A:$A,TEXT($Q107,"yyyymmdd")*1),1)),"")</f>
        <v/>
      </c>
      <c r="D107" s="25" t="n">
        <f aca="false" t="array" ref="D107:D107">IFERROR(INDEX(Planning2[],MATCH(1,(Planning2[Nom]=B107)*(Planning2[Date]=Q107),0),3),"-")</f>
        <v>0.291666666666667</v>
      </c>
      <c r="E107" s="26" t="str">
        <f aca="false">IFERROR(IF(COUNTIFS(Pointage_brut!$E:$E,VLOOKUP($B107,Annuaire_roster!$B:$J,9,0),Pointage_brut!$A:$A,TEXT($Q107,"yyyymmdd")*1)=0,"",MOD(_xlfn.MAXIFS(Pointage_brut!$G:$G,Pointage_brut!$E:$E,VLOOKUP($B107,Annuaire_roster!$B:$J,9,0),Pointage_brut!$A:$A,TEXT($Q107,"yyyymmdd")*1),1)),"")</f>
        <v/>
      </c>
      <c r="F107" s="27" t="n">
        <f aca="false" t="array" ref="F107:F107">IFERROR(INDEX(Planning2[],MATCH(1,(Planning2[Nom]=B107)*(Planning2[Date]=Q107),0),4),"-")</f>
        <v>0.708333333333333</v>
      </c>
      <c r="G107" s="28"/>
      <c r="H107" s="28"/>
      <c r="I107" s="29" t="str">
        <f aca="false">IF(IF(OR(C107="",D107="Congé",D107="OFF",D107="Congé spécial"),"",IF(D107&gt;F107,D107-C107,IF(C107-D107&lt;0,0,C107-D107)))&lt;0.00068287037037037,"",IF(OR(D107="Congé",D107="OFF",C107="",D107="Congé spécial"),"",IF(D107&gt;F107,D107-C107,IF(C107-D107&lt;0,0,C107-D107))))</f>
        <v/>
      </c>
      <c r="J107" s="28"/>
      <c r="K107" s="30" t="n">
        <f aca="false">IF(SUM(H107:J107)&lt;0.00068287037037037,0,SUM(H107:J107))</f>
        <v>0</v>
      </c>
      <c r="L107" s="28" t="n">
        <f aca="false">IF(OR(F107="Congé",F107="OFF",M107="Abs",F107="Congé sans solde",F107="Férié",F107="Congé spécial",D107="Congé spécial"),0,IF(F107-E107&lt;0,0,IF(F107-E107&lt;=0.00068287037037037,0,F107-E107)))</f>
        <v>0</v>
      </c>
      <c r="M107" s="31" t="str">
        <f aca="false">IF(AND(O107&lt;&gt;0,C107=""),"Abs",0)</f>
        <v>Abs</v>
      </c>
      <c r="N107" s="32" t="str">
        <f aca="false">IFERROR(IF(OR(D107="OFF",D107="Congé",M107="Abs",D107="Congé sans solde",D107="Férié"),"",IF(O107-K107-L107&gt;O107,O107,IF(O107-K107-L107&lt;0,"",O107-K107-L107))),"")</f>
        <v/>
      </c>
      <c r="O107" s="33" t="n">
        <f aca="false">IF(AG107="2H Pause déjeuner",IF(F107-D107-0.0833333333333333&lt;0,F107-D107-0.0833333333333333+1,F107-D107-0.0833333333333333),IF(OR(AND(F107="OFF",D107="OFF"),AND(F107="Congé",D107="Congé"),AND(F107="Congé sans solde",D107="Congé sans solde"),AND(F107="Congé spécial",D107="Congé spécial"),AND(F107="Férié",D107="Férié"),AND(F107="OFF",D107="Congé"),AND(F107="OFF",D107="Congé sans solde"),AND(F107="OFF",D107="Congé spécial"),AND(F107="OFF",D107="Férié"),AND(F107="Congé",D107="OFF"),AND(F107="Congé",D107="Congé sans solde"),AND(F107="Congé",D107="Congé spécial"),AND(F107="Congé",D107="Férié"),AND(F107="Congé sans solde",D107="OFF"),AND(F107="Congé sans solde",D107="Congé"),AND(F107="Congé sans solde",D107="Congé spécial"),AND(F107="Congé sans solde",D107="Férié"),AND(F107="Congé spécial",D107="OFF"),AND(F107="Congé spécial",D107="Congé"),AND(F107="Congé spécial",D107="Congé sans solde"),AND(F107="Congé spécial",D107="Férié"),AND(F107="Férié",D107="OFF"),AND(F107="Férié",D107="Congé"),AND(F107="Férié",D107="Congé sans solde"),AND(F107="Férié",D107="Congé spécial")),0,IF(OR(F107="OFF",F107="Congé",F107="Congé spécial",F107="Congé sans solde",D107="OFF",D107="Congé",D107="Congé spécial",D107="Congé sans solde"),0.208333333333334,IF(AND(AG107="",F107-D107&lt;0),("24:00:00"-D107)+("00:00:00"+F107)-0.0416666666666667,IF(AND(OR(AG107="Allaitement",AG107="Sans déjeuner"),F107-D107&lt;0),("24:00:00"-D107)+("00:00:00"+F107),IF(AND(AG107="",F107-D107&gt;0.166666666666667),F107-D107-0.0416666666666667,IF(AND(OR(AG107="Allaitement",AG107="Sans déjeuner"),F107-D107&gt;0.166666666666667),F107-D107,F107-D107)))))))</f>
        <v>0.375</v>
      </c>
      <c r="P107" s="34" t="str">
        <f aca="false">IFERROR(VLOOKUP($B107,Annuaire_roster!$B:$G,MATCH(P$1,Annuaire_roster!$B$1:$G$1,0),0),"-")</f>
        <v>Google Leads</v>
      </c>
      <c r="Q107" s="35" t="n">
        <v>44720</v>
      </c>
      <c r="R107" s="36" t="n">
        <f aca="false">IF(M107="Abs",O107,0)</f>
        <v>0.375</v>
      </c>
      <c r="S107" s="36" t="n">
        <f aca="false">SUM(R107,L107,I107,J107,W107,H107)</f>
        <v>0.375</v>
      </c>
      <c r="T107" s="1" t="str">
        <f aca="false">"Sem - "&amp;WEEKNUM(Q107,21)</f>
        <v>Sem - 24</v>
      </c>
      <c r="U107" s="1" t="str">
        <f aca="false">PROPER(TEXT(Q107,"mmmm"))</f>
        <v>June</v>
      </c>
      <c r="V107" s="37" t="str">
        <f aca="false">+TEXT(Q107,"aaa")</f>
        <v>Tue</v>
      </c>
      <c r="W107" s="32"/>
      <c r="X107" s="38" t="n">
        <f aca="false">IFERROR(IF(M107="Abs",0,IF((D107-C107+E107-F107)&lt;0.000694444444444444,0,(D107-C107+E107-F107))),0)</f>
        <v>0</v>
      </c>
      <c r="Y107" s="39" t="str">
        <f aca="false">IFERROR(VLOOKUP(B107,Annuaire_roster!B:E,4,0),"-")</f>
        <v>CHOUIFI Mustapha</v>
      </c>
      <c r="Z107" s="39" t="str">
        <f aca="false">IFERROR(VLOOKUP(B107,Annuaire_roster!B:F,3,0),"-")</f>
        <v>Google Leads</v>
      </c>
      <c r="AA107" s="39" t="str">
        <f aca="false">IFERROR(VLOOKUP(B107,Annuaire_roster!B:I,6,0),"-")</f>
        <v>Forfaitaire</v>
      </c>
      <c r="AB107" s="40" t="str">
        <f aca="false">IF(AND(D107="Congé",F107="Congé"),0.333333333333333,IF(OR(AND(D107="Congé",F107&lt;&gt;"Congé"),(AND(F107="Congé",D107&lt;&gt;"Congé"))),0.166666666666667,""))</f>
        <v/>
      </c>
      <c r="AC107" s="40" t="str">
        <f aca="false">IF(AND(D107="Congé sans solde",F107="Congé sans solde"),0.333333333333333,IF(OR(AND(D107="Congé sans solde",F107&lt;&gt;"Congé sans solde"),(AND(F107="Congé sans solde",D107&lt;&gt;"Congé sans solde"))),0.166666666666667,""))</f>
        <v/>
      </c>
      <c r="AD107" s="40" t="str">
        <f aca="false">IF(AND(D107="Congé spécial",F107="Congé spécial"),0.333333333333333,IF(OR(AND(D107="Congé spécial",F107&lt;&gt;"Congé décès"),(AND(F107="Congé spécial",D107&lt;&gt;"Congé spécial"))),0.166666666666667,""))</f>
        <v/>
      </c>
      <c r="AE107" s="41" t="str">
        <f aca="false">IF(AND(D107="Férié",F107="Férié"),0.333333333333333,IF(OR(AND(D107="Férié",F107&lt;&gt;"Férié"),(AND(F107="Férié",D107&lt;&gt;"Férié"))),0.166666666666667,""))</f>
        <v/>
      </c>
      <c r="AF107" s="41"/>
      <c r="AG107" s="36"/>
    </row>
    <row r="108" customFormat="false" ht="12.75" hidden="true" customHeight="true" outlineLevel="0" collapsed="false">
      <c r="A108" s="22" t="n">
        <f aca="false">VLOOKUP(B108,Annuaire_roster!B:F,5,0)</f>
        <v>742</v>
      </c>
      <c r="B108" s="23" t="s">
        <v>33</v>
      </c>
      <c r="C108" s="24" t="str">
        <f aca="false">IFERROR(IF(COUNTIFS(Pointage_brut!$E:$E,VLOOKUP($B108,Annuaire_roster!$B:$J,9,0),Pointage_brut!$A:$A,TEXT($Q108,"yyyymmdd")*1)=0,"",MOD(_xlfn.MINIFS(Pointage_brut!$F:$F,Pointage_brut!$E:$E,VLOOKUP($B108,Annuaire_roster!$B:$J,9,0),Pointage_brut!$A:$A,TEXT($Q108,"yyyymmdd")*1),1)),"")</f>
        <v/>
      </c>
      <c r="D108" s="25" t="n">
        <f aca="false" t="array" ref="D108:D108">IFERROR(INDEX(Planning2[],MATCH(1,(Planning2[Nom]=B108)*(Planning2[Date]=Q108),0),3),"-")</f>
        <v>0.291666666666667</v>
      </c>
      <c r="E108" s="26" t="str">
        <f aca="false">IFERROR(IF(COUNTIFS(Pointage_brut!$E:$E,VLOOKUP($B108,Annuaire_roster!$B:$J,9,0),Pointage_brut!$A:$A,TEXT($Q108,"yyyymmdd")*1)=0,"",MOD(_xlfn.MAXIFS(Pointage_brut!$G:$G,Pointage_brut!$E:$E,VLOOKUP($B108,Annuaire_roster!$B:$J,9,0),Pointage_brut!$A:$A,TEXT($Q108,"yyyymmdd")*1),1)),"")</f>
        <v/>
      </c>
      <c r="F108" s="27" t="n">
        <f aca="false" t="array" ref="F108:F108">IFERROR(INDEX(Planning2[],MATCH(1,(Planning2[Nom]=B108)*(Planning2[Date]=Q108),0),4),"-")</f>
        <v>0.708333333333333</v>
      </c>
      <c r="G108" s="28"/>
      <c r="H108" s="28"/>
      <c r="I108" s="29" t="str">
        <f aca="false">IF(IF(OR(C108="",D108="Congé",D108="OFF",D108="Congé spécial"),"",IF(D108&gt;F108,D108-C108,IF(C108-D108&lt;0,0,C108-D108)))&lt;0.00068287037037037,"",IF(OR(D108="Congé",D108="OFF",C108="",D108="Congé spécial"),"",IF(D108&gt;F108,D108-C108,IF(C108-D108&lt;0,0,C108-D108))))</f>
        <v/>
      </c>
      <c r="J108" s="28"/>
      <c r="K108" s="30" t="n">
        <f aca="false">IF(SUM(H108:J108)&lt;0.00068287037037037,0,SUM(H108:J108))</f>
        <v>0</v>
      </c>
      <c r="L108" s="28" t="n">
        <f aca="false">IF(OR(F108="Congé",F108="OFF",M108="Abs",F108="Congé sans solde",F108="Férié",F108="Congé spécial",D108="Congé spécial"),0,IF(F108-E108&lt;0,0,IF(F108-E108&lt;=0.00068287037037037,0,F108-E108)))</f>
        <v>0</v>
      </c>
      <c r="M108" s="31" t="str">
        <f aca="false">IF(AND(O108&lt;&gt;0,C108=""),"Abs",0)</f>
        <v>Abs</v>
      </c>
      <c r="N108" s="32" t="str">
        <f aca="false">IFERROR(IF(OR(D108="OFF",D108="Congé",M108="Abs",D108="Congé sans solde",D108="Férié"),"",IF(O108-K108-L108&gt;O108,O108,IF(O108-K108-L108&lt;0,"",O108-K108-L108))),"")</f>
        <v/>
      </c>
      <c r="O108" s="33" t="n">
        <f aca="false">IF(AG108="2H Pause déjeuner",IF(F108-D108-0.0833333333333333&lt;0,F108-D108-0.0833333333333333+1,F108-D108-0.0833333333333333),IF(OR(AND(F108="OFF",D108="OFF"),AND(F108="Congé",D108="Congé"),AND(F108="Congé sans solde",D108="Congé sans solde"),AND(F108="Congé spécial",D108="Congé spécial"),AND(F108="Férié",D108="Férié"),AND(F108="OFF",D108="Congé"),AND(F108="OFF",D108="Congé sans solde"),AND(F108="OFF",D108="Congé spécial"),AND(F108="OFF",D108="Férié"),AND(F108="Congé",D108="OFF"),AND(F108="Congé",D108="Congé sans solde"),AND(F108="Congé",D108="Congé spécial"),AND(F108="Congé",D108="Férié"),AND(F108="Congé sans solde",D108="OFF"),AND(F108="Congé sans solde",D108="Congé"),AND(F108="Congé sans solde",D108="Congé spécial"),AND(F108="Congé sans solde",D108="Férié"),AND(F108="Congé spécial",D108="OFF"),AND(F108="Congé spécial",D108="Congé"),AND(F108="Congé spécial",D108="Congé sans solde"),AND(F108="Congé spécial",D108="Férié"),AND(F108="Férié",D108="OFF"),AND(F108="Férié",D108="Congé"),AND(F108="Férié",D108="Congé sans solde"),AND(F108="Férié",D108="Congé spécial")),0,IF(OR(F108="OFF",F108="Congé",F108="Congé spécial",F108="Congé sans solde",D108="OFF",D108="Congé",D108="Congé spécial",D108="Congé sans solde"),0.208333333333334,IF(AND(AG108="",F108-D108&lt;0),("24:00:00"-D108)+("00:00:00"+F108)-0.0416666666666667,IF(AND(OR(AG108="Allaitement",AG108="Sans déjeuner"),F108-D108&lt;0),("24:00:00"-D108)+("00:00:00"+F108),IF(AND(AG108="",F108-D108&gt;0.166666666666667),F108-D108-0.0416666666666667,IF(AND(OR(AG108="Allaitement",AG108="Sans déjeuner"),F108-D108&gt;0.166666666666667),F108-D108,F108-D108)))))))</f>
        <v>0.375</v>
      </c>
      <c r="P108" s="34" t="str">
        <f aca="false">IFERROR(VLOOKUP($B108,Annuaire_roster!$B:$G,MATCH(P$1,Annuaire_roster!$B$1:$G$1,0),0),"-")</f>
        <v>Google Leads</v>
      </c>
      <c r="Q108" s="35" t="n">
        <v>44720</v>
      </c>
      <c r="R108" s="36" t="n">
        <f aca="false">IF(M108="Abs",O108,0)</f>
        <v>0.375</v>
      </c>
      <c r="S108" s="36" t="n">
        <f aca="false">SUM(R108,L108,I108,J108,W108,H108)</f>
        <v>0.375</v>
      </c>
      <c r="T108" s="1" t="str">
        <f aca="false">"Sem - "&amp;WEEKNUM(Q108,21)</f>
        <v>Sem - 24</v>
      </c>
      <c r="U108" s="1" t="str">
        <f aca="false">PROPER(TEXT(Q108,"mmmm"))</f>
        <v>June</v>
      </c>
      <c r="V108" s="37" t="str">
        <f aca="false">+TEXT(Q108,"aaa")</f>
        <v>Tue</v>
      </c>
      <c r="W108" s="32"/>
      <c r="X108" s="38" t="n">
        <f aca="false">IFERROR(IF(M108="Abs",0,IF((D108-C108+E108-F108)&lt;0.000694444444444444,0,(D108-C108+E108-F108))),0)</f>
        <v>0</v>
      </c>
      <c r="Y108" s="39" t="str">
        <f aca="false">IFERROR(VLOOKUP(B108,Annuaire_roster!B:E,4,0),"-")</f>
        <v>OUAQERROUCH Nour-El Houda</v>
      </c>
      <c r="Z108" s="39" t="str">
        <f aca="false">IFERROR(VLOOKUP(B108,Annuaire_roster!B:F,3,0),"-")</f>
        <v>Google Leads</v>
      </c>
      <c r="AA108" s="39" t="str">
        <f aca="false">IFERROR(VLOOKUP(B108,Annuaire_roster!B:I,6,0),"-")</f>
        <v>Forfaitaire</v>
      </c>
      <c r="AB108" s="40" t="str">
        <f aca="false">IF(AND(D108="Congé",F108="Congé"),0.333333333333333,IF(OR(AND(D108="Congé",F108&lt;&gt;"Congé"),(AND(F108="Congé",D108&lt;&gt;"Congé"))),0.166666666666667,""))</f>
        <v/>
      </c>
      <c r="AC108" s="40" t="str">
        <f aca="false">IF(AND(D108="Congé sans solde",F108="Congé sans solde"),0.333333333333333,IF(OR(AND(D108="Congé sans solde",F108&lt;&gt;"Congé sans solde"),(AND(F108="Congé sans solde",D108&lt;&gt;"Congé sans solde"))),0.166666666666667,""))</f>
        <v/>
      </c>
      <c r="AD108" s="40" t="str">
        <f aca="false">IF(AND(D108="Congé spécial",F108="Congé spécial"),0.333333333333333,IF(OR(AND(D108="Congé spécial",F108&lt;&gt;"Congé décès"),(AND(F108="Congé spécial",D108&lt;&gt;"Congé spécial"))),0.166666666666667,""))</f>
        <v/>
      </c>
      <c r="AE108" s="41" t="str">
        <f aca="false">IF(AND(D108="Férié",F108="Férié"),0.333333333333333,IF(OR(AND(D108="Férié",F108&lt;&gt;"Férié"),(AND(F108="Férié",D108&lt;&gt;"Férié"))),0.166666666666667,""))</f>
        <v/>
      </c>
      <c r="AF108" s="41"/>
      <c r="AG108" s="36"/>
    </row>
    <row r="109" customFormat="false" ht="12.75" hidden="true" customHeight="true" outlineLevel="0" collapsed="false">
      <c r="A109" s="22" t="n">
        <f aca="false">VLOOKUP(B109,Annuaire_roster!B:F,5,0)</f>
        <v>0</v>
      </c>
      <c r="B109" s="23" t="s">
        <v>45</v>
      </c>
      <c r="C109" s="24" t="str">
        <f aca="false">IFERROR(IF(COUNTIFS(Pointage_brut!$E:$E,VLOOKUP($B109,Annuaire_roster!$B:$J,9,0),Pointage_brut!$A:$A,TEXT($Q109,"yyyymmdd")*1)=0,"",MOD(_xlfn.MINIFS(Pointage_brut!$F:$F,Pointage_brut!$E:$E,VLOOKUP($B109,Annuaire_roster!$B:$J,9,0),Pointage_brut!$A:$A,TEXT($Q109,"yyyymmdd")*1),1)),"")</f>
        <v/>
      </c>
      <c r="D109" s="25" t="n">
        <f aca="false" t="array" ref="D109:D109">IFERROR(INDEX(Planning2[],MATCH(1,(Planning2[Nom]=B109)*(Planning2[Date]=Q109),0),3),"-")</f>
        <v>0.291666666666667</v>
      </c>
      <c r="E109" s="26" t="str">
        <f aca="false">IFERROR(IF(COUNTIFS(Pointage_brut!$E:$E,VLOOKUP($B109,Annuaire_roster!$B:$J,9,0),Pointage_brut!$A:$A,TEXT($Q109,"yyyymmdd")*1)=0,"",MOD(_xlfn.MAXIFS(Pointage_brut!$G:$G,Pointage_brut!$E:$E,VLOOKUP($B109,Annuaire_roster!$B:$J,9,0),Pointage_brut!$A:$A,TEXT($Q109,"yyyymmdd")*1),1)),"")</f>
        <v/>
      </c>
      <c r="F109" s="27" t="n">
        <f aca="false" t="array" ref="F109:F109">IFERROR(INDEX(Planning2[],MATCH(1,(Planning2[Nom]=B109)*(Planning2[Date]=Q109),0),4),"-")</f>
        <v>0.708333333333333</v>
      </c>
      <c r="G109" s="28"/>
      <c r="H109" s="28"/>
      <c r="I109" s="29" t="str">
        <f aca="false">IF(IF(OR(C109="",D109="Congé",D109="OFF",D109="Congé spécial"),"",IF(D109&gt;F109,D109-C109,IF(C109-D109&lt;0,0,C109-D109)))&lt;0.00068287037037037,"",IF(OR(D109="Congé",D109="OFF",C109="",D109="Congé spécial"),"",IF(D109&gt;F109,D109-C109,IF(C109-D109&lt;0,0,C109-D109))))</f>
        <v/>
      </c>
      <c r="J109" s="28"/>
      <c r="K109" s="30" t="n">
        <f aca="false">IF(SUM(H109:J109)&lt;0.00068287037037037,0,SUM(H109:J109))</f>
        <v>0</v>
      </c>
      <c r="L109" s="28" t="n">
        <f aca="false">IF(OR(F109="Congé",F109="OFF",M109="Abs",F109="Congé sans solde",F109="Férié",F109="Congé spécial",D109="Congé spécial"),0,IF(F109-E109&lt;0,0,IF(F109-E109&lt;=0.00068287037037037,0,F109-E109)))</f>
        <v>0</v>
      </c>
      <c r="M109" s="31" t="str">
        <f aca="false">IF(AND(O109&lt;&gt;0,C109=""),"Abs",0)</f>
        <v>Abs</v>
      </c>
      <c r="N109" s="32" t="str">
        <f aca="false">IFERROR(IF(OR(D109="OFF",D109="Congé",M109="Abs",D109="Congé sans solde",D109="Férié"),"",IF(O109-K109-L109&gt;O109,O109,IF(O109-K109-L109&lt;0,"",O109-K109-L109))),"")</f>
        <v/>
      </c>
      <c r="O109" s="33" t="n">
        <f aca="false">IF(AG109="2H Pause déjeuner",IF(F109-D109-0.0833333333333333&lt;0,F109-D109-0.0833333333333333+1,F109-D109-0.0833333333333333),IF(OR(AND(F109="OFF",D109="OFF"),AND(F109="Congé",D109="Congé"),AND(F109="Congé sans solde",D109="Congé sans solde"),AND(F109="Congé spécial",D109="Congé spécial"),AND(F109="Férié",D109="Férié"),AND(F109="OFF",D109="Congé"),AND(F109="OFF",D109="Congé sans solde"),AND(F109="OFF",D109="Congé spécial"),AND(F109="OFF",D109="Férié"),AND(F109="Congé",D109="OFF"),AND(F109="Congé",D109="Congé sans solde"),AND(F109="Congé",D109="Congé spécial"),AND(F109="Congé",D109="Férié"),AND(F109="Congé sans solde",D109="OFF"),AND(F109="Congé sans solde",D109="Congé"),AND(F109="Congé sans solde",D109="Congé spécial"),AND(F109="Congé sans solde",D109="Férié"),AND(F109="Congé spécial",D109="OFF"),AND(F109="Congé spécial",D109="Congé"),AND(F109="Congé spécial",D109="Congé sans solde"),AND(F109="Congé spécial",D109="Férié"),AND(F109="Férié",D109="OFF"),AND(F109="Férié",D109="Congé"),AND(F109="Férié",D109="Congé sans solde"),AND(F109="Férié",D109="Congé spécial")),0,IF(OR(F109="OFF",F109="Congé",F109="Congé spécial",F109="Congé sans solde",D109="OFF",D109="Congé",D109="Congé spécial",D109="Congé sans solde"),0.208333333333334,IF(AND(AG109="",F109-D109&lt;0),("24:00:00"-D109)+("00:00:00"+F109)-0.0416666666666667,IF(AND(OR(AG109="Allaitement",AG109="Sans déjeuner"),F109-D109&lt;0),("24:00:00"-D109)+("00:00:00"+F109),IF(AND(AG109="",F109-D109&gt;0.166666666666667),F109-D109-0.0416666666666667,IF(AND(OR(AG109="Allaitement",AG109="Sans déjeuner"),F109-D109&gt;0.166666666666667),F109-D109,F109-D109)))))))</f>
        <v>0.375</v>
      </c>
      <c r="P109" s="34" t="str">
        <f aca="false">IFERROR(VLOOKUP($B109,Annuaire_roster!$B:$G,MATCH(P$1,Annuaire_roster!$B$1:$G$1,0),0),"-")</f>
        <v>Google Leads</v>
      </c>
      <c r="Q109" s="35" t="n">
        <v>44720</v>
      </c>
      <c r="R109" s="36" t="n">
        <f aca="false">IF(M109="Abs",O109,0)</f>
        <v>0.375</v>
      </c>
      <c r="S109" s="36" t="n">
        <f aca="false">SUM(R109,L109,I109,J109,W109,H109)</f>
        <v>0.375</v>
      </c>
      <c r="T109" s="1" t="str">
        <f aca="false">"Sem - "&amp;WEEKNUM(Q109,21)</f>
        <v>Sem - 24</v>
      </c>
      <c r="U109" s="1" t="str">
        <f aca="false">PROPER(TEXT(Q109,"mmmm"))</f>
        <v>June</v>
      </c>
      <c r="V109" s="37" t="str">
        <f aca="false">+TEXT(Q109,"aaa")</f>
        <v>Tue</v>
      </c>
      <c r="W109" s="32"/>
      <c r="X109" s="38" t="n">
        <f aca="false">IFERROR(IF(M109="Abs",0,IF((D109-C109+E109-F109)&lt;0.000694444444444444,0,(D109-C109+E109-F109))),0)</f>
        <v>0</v>
      </c>
      <c r="Y109" s="39" t="n">
        <f aca="false">IFERROR(VLOOKUP(B109,Annuaire_roster!B:E,4,0),"-")</f>
        <v>0</v>
      </c>
      <c r="Z109" s="39" t="str">
        <f aca="false">IFERROR(VLOOKUP(B109,Annuaire_roster!B:F,3,0),"-")</f>
        <v>Google Leads</v>
      </c>
      <c r="AA109" s="39" t="n">
        <f aca="false">IFERROR(VLOOKUP(B109,Annuaire_roster!B:I,6,0),"-")</f>
        <v>0</v>
      </c>
      <c r="AB109" s="40" t="str">
        <f aca="false">IF(AND(D109="Congé",F109="Congé"),0.333333333333333,IF(OR(AND(D109="Congé",F109&lt;&gt;"Congé"),(AND(F109="Congé",D109&lt;&gt;"Congé"))),0.166666666666667,""))</f>
        <v/>
      </c>
      <c r="AC109" s="40" t="str">
        <f aca="false">IF(AND(D109="Congé sans solde",F109="Congé sans solde"),0.333333333333333,IF(OR(AND(D109="Congé sans solde",F109&lt;&gt;"Congé sans solde"),(AND(F109="Congé sans solde",D109&lt;&gt;"Congé sans solde"))),0.166666666666667,""))</f>
        <v/>
      </c>
      <c r="AD109" s="40" t="str">
        <f aca="false">IF(AND(D109="Congé spécial",F109="Congé spécial"),0.333333333333333,IF(OR(AND(D109="Congé spécial",F109&lt;&gt;"Congé décès"),(AND(F109="Congé spécial",D109&lt;&gt;"Congé spécial"))),0.166666666666667,""))</f>
        <v/>
      </c>
      <c r="AE109" s="41" t="str">
        <f aca="false">IF(AND(D109="Férié",F109="Férié"),0.333333333333333,IF(OR(AND(D109="Férié",F109&lt;&gt;"Férié"),(AND(F109="Férié",D109&lt;&gt;"Férié"))),0.166666666666667,""))</f>
        <v/>
      </c>
      <c r="AF109" s="41"/>
      <c r="AG109" s="36"/>
    </row>
    <row r="110" customFormat="false" ht="12.75" hidden="true" customHeight="true" outlineLevel="0" collapsed="false">
      <c r="A110" s="22" t="n">
        <f aca="false">VLOOKUP(B110,Annuaire_roster!B:F,5,0)</f>
        <v>1170</v>
      </c>
      <c r="B110" s="23" t="s">
        <v>64</v>
      </c>
      <c r="C110" s="24" t="str">
        <f aca="false">IFERROR(IF(COUNTIFS(Pointage_brut!$E:$E,VLOOKUP($B110,Annuaire_roster!$B:$J,9,0),Pointage_brut!$A:$A,TEXT($Q110,"yyyymmdd")*1)=0,"",MOD(_xlfn.MINIFS(Pointage_brut!$F:$F,Pointage_brut!$E:$E,VLOOKUP($B110,Annuaire_roster!$B:$J,9,0),Pointage_brut!$A:$A,TEXT($Q110,"yyyymmdd")*1),1)),"")</f>
        <v/>
      </c>
      <c r="D110" s="25" t="n">
        <f aca="false" t="array" ref="D110:D110">IFERROR(INDEX(Planning2[],MATCH(1,(Planning2[Nom]=B110)*(Planning2[Date]=Q110),0),3),"-")</f>
        <v>0.333333333333333</v>
      </c>
      <c r="E110" s="26" t="str">
        <f aca="false">IFERROR(IF(COUNTIFS(Pointage_brut!$E:$E,VLOOKUP($B110,Annuaire_roster!$B:$J,9,0),Pointage_brut!$A:$A,TEXT($Q110,"yyyymmdd")*1)=0,"",MOD(_xlfn.MAXIFS(Pointage_brut!$G:$G,Pointage_brut!$E:$E,VLOOKUP($B110,Annuaire_roster!$B:$J,9,0),Pointage_brut!$A:$A,TEXT($Q110,"yyyymmdd")*1),1)),"")</f>
        <v/>
      </c>
      <c r="F110" s="27" t="n">
        <f aca="false" t="array" ref="F110:F110">IFERROR(INDEX(Planning2[],MATCH(1,(Planning2[Nom]=B110)*(Planning2[Date]=Q110),0),4),"-")</f>
        <v>0.75</v>
      </c>
      <c r="G110" s="28"/>
      <c r="H110" s="28"/>
      <c r="I110" s="29" t="str">
        <f aca="false">IF(IF(OR(C110="",D110="Congé",D110="OFF",D110="Congé spécial"),"",IF(D110&gt;F110,D110-C110,IF(C110-D110&lt;0,0,C110-D110)))&lt;0.00068287037037037,"",IF(OR(D110="Congé",D110="OFF",C110="",D110="Congé spécial"),"",IF(D110&gt;F110,D110-C110,IF(C110-D110&lt;0,0,C110-D110))))</f>
        <v/>
      </c>
      <c r="J110" s="28"/>
      <c r="K110" s="30" t="n">
        <f aca="false">IF(SUM(H110:J110)&lt;0.00068287037037037,0,SUM(H110:J110))</f>
        <v>0</v>
      </c>
      <c r="L110" s="28" t="n">
        <f aca="false">IF(OR(F110="Congé",F110="OFF",M110="Abs",F110="Congé sans solde",F110="Férié",F110="Congé spécial",D110="Congé spécial"),0,IF(F110-E110&lt;0,0,IF(F110-E110&lt;=0.00068287037037037,0,F110-E110)))</f>
        <v>0</v>
      </c>
      <c r="M110" s="31" t="str">
        <f aca="false">IF(AND(O110&lt;&gt;0,C110=""),"Abs",0)</f>
        <v>Abs</v>
      </c>
      <c r="N110" s="32" t="str">
        <f aca="false">IFERROR(IF(OR(D110="OFF",D110="Congé",M110="Abs",D110="Congé sans solde",D110="Férié"),"",IF(O110-K110-L110&gt;O110,O110,IF(O110-K110-L110&lt;0,"",O110-K110-L110))),"")</f>
        <v/>
      </c>
      <c r="O110" s="33" t="n">
        <f aca="false">IF(AG110="2H Pause déjeuner",IF(F110-D110-0.0833333333333333&lt;0,F110-D110-0.0833333333333333+1,F110-D110-0.0833333333333333),IF(OR(AND(F110="OFF",D110="OFF"),AND(F110="Congé",D110="Congé"),AND(F110="Congé sans solde",D110="Congé sans solde"),AND(F110="Congé spécial",D110="Congé spécial"),AND(F110="Férié",D110="Férié"),AND(F110="OFF",D110="Congé"),AND(F110="OFF",D110="Congé sans solde"),AND(F110="OFF",D110="Congé spécial"),AND(F110="OFF",D110="Férié"),AND(F110="Congé",D110="OFF"),AND(F110="Congé",D110="Congé sans solde"),AND(F110="Congé",D110="Congé spécial"),AND(F110="Congé",D110="Férié"),AND(F110="Congé sans solde",D110="OFF"),AND(F110="Congé sans solde",D110="Congé"),AND(F110="Congé sans solde",D110="Congé spécial"),AND(F110="Congé sans solde",D110="Férié"),AND(F110="Congé spécial",D110="OFF"),AND(F110="Congé spécial",D110="Congé"),AND(F110="Congé spécial",D110="Congé sans solde"),AND(F110="Congé spécial",D110="Férié"),AND(F110="Férié",D110="OFF"),AND(F110="Férié",D110="Congé"),AND(F110="Férié",D110="Congé sans solde"),AND(F110="Férié",D110="Congé spécial")),0,IF(OR(F110="OFF",F110="Congé",F110="Congé spécial",F110="Congé sans solde",D110="OFF",D110="Congé",D110="Congé spécial",D110="Congé sans solde"),0.208333333333334,IF(AND(AG110="",F110-D110&lt;0),("24:00:00"-D110)+("00:00:00"+F110)-0.0416666666666667,IF(AND(OR(AG110="Allaitement",AG110="Sans déjeuner"),F110-D110&lt;0),("24:00:00"-D110)+("00:00:00"+F110),IF(AND(AG110="",F110-D110&gt;0.166666666666667),F110-D110-0.0416666666666667,IF(AND(OR(AG110="Allaitement",AG110="Sans déjeuner"),F110-D110&gt;0.166666666666667),F110-D110,F110-D110)))))))</f>
        <v>0.375</v>
      </c>
      <c r="P110" s="34" t="str">
        <f aca="false">IFERROR(VLOOKUP($B110,Annuaire_roster!$B:$G,MATCH(P$1,Annuaire_roster!$B$1:$G$1,0),0),"-")</f>
        <v>Google Leads</v>
      </c>
      <c r="Q110" s="35" t="n">
        <v>44720</v>
      </c>
      <c r="R110" s="36" t="n">
        <f aca="false">IF(M110="Abs",O110,0)</f>
        <v>0.375</v>
      </c>
      <c r="S110" s="36" t="n">
        <f aca="false">SUM(R110,L110,I110,J110,W110,H110)</f>
        <v>0.375</v>
      </c>
      <c r="T110" s="1" t="str">
        <f aca="false">"Sem - "&amp;WEEKNUM(Q110,21)</f>
        <v>Sem - 24</v>
      </c>
      <c r="U110" s="1" t="str">
        <f aca="false">PROPER(TEXT(Q110,"mmmm"))</f>
        <v>June</v>
      </c>
      <c r="V110" s="37" t="str">
        <f aca="false">+TEXT(Q110,"aaa")</f>
        <v>Tue</v>
      </c>
      <c r="W110" s="32"/>
      <c r="X110" s="38" t="n">
        <f aca="false">IFERROR(IF(M110="Abs",0,IF((D110-C110+E110-F110)&lt;0.000694444444444444,0,(D110-C110+E110-F110))),0)</f>
        <v>0</v>
      </c>
      <c r="Y110" s="39" t="str">
        <f aca="false">IFERROR(VLOOKUP(B110,Annuaire_roster!B:E,4,0),"-")</f>
        <v>CHOUIFI Mustapha</v>
      </c>
      <c r="Z110" s="39" t="str">
        <f aca="false">IFERROR(VLOOKUP(B110,Annuaire_roster!B:F,3,0),"-")</f>
        <v>Google Leads</v>
      </c>
      <c r="AA110" s="39" t="str">
        <f aca="false">IFERROR(VLOOKUP(B110,Annuaire_roster!B:I,6,0),"-")</f>
        <v>Forfaitaire</v>
      </c>
      <c r="AB110" s="40" t="str">
        <f aca="false">IF(AND(D110="Congé",F110="Congé"),0.333333333333333,IF(OR(AND(D110="Congé",F110&lt;&gt;"Congé"),(AND(F110="Congé",D110&lt;&gt;"Congé"))),0.166666666666667,""))</f>
        <v/>
      </c>
      <c r="AC110" s="40" t="str">
        <f aca="false">IF(AND(D110="Congé sans solde",F110="Congé sans solde"),0.333333333333333,IF(OR(AND(D110="Congé sans solde",F110&lt;&gt;"Congé sans solde"),(AND(F110="Congé sans solde",D110&lt;&gt;"Congé sans solde"))),0.166666666666667,""))</f>
        <v/>
      </c>
      <c r="AD110" s="40" t="str">
        <f aca="false">IF(AND(D110="Congé spécial",F110="Congé spécial"),0.333333333333333,IF(OR(AND(D110="Congé spécial",F110&lt;&gt;"Congé décès"),(AND(F110="Congé spécial",D110&lt;&gt;"Congé spécial"))),0.166666666666667,""))</f>
        <v/>
      </c>
      <c r="AE110" s="41" t="str">
        <f aca="false">IF(AND(D110="Férié",F110="Férié"),0.333333333333333,IF(OR(AND(D110="Férié",F110&lt;&gt;"Férié"),(AND(F110="Férié",D110&lt;&gt;"Férié"))),0.166666666666667,""))</f>
        <v/>
      </c>
      <c r="AF110" s="41"/>
      <c r="AG110" s="36"/>
    </row>
    <row r="111" customFormat="false" ht="12.75" hidden="true" customHeight="true" outlineLevel="0" collapsed="false">
      <c r="A111" s="22" t="n">
        <f aca="false">VLOOKUP(B111,Annuaire_roster!B:F,5,0)</f>
        <v>952</v>
      </c>
      <c r="B111" s="23" t="s">
        <v>63</v>
      </c>
      <c r="C111" s="24" t="str">
        <f aca="false">IFERROR(IF(COUNTIFS(Pointage_brut!$E:$E,VLOOKUP($B111,Annuaire_roster!$B:$J,9,0),Pointage_brut!$A:$A,TEXT($Q111,"yyyymmdd")*1)=0,"",MOD(_xlfn.MINIFS(Pointage_brut!$F:$F,Pointage_brut!$E:$E,VLOOKUP($B111,Annuaire_roster!$B:$J,9,0),Pointage_brut!$A:$A,TEXT($Q111,"yyyymmdd")*1),1)),"")</f>
        <v/>
      </c>
      <c r="D111" s="25" t="n">
        <f aca="false" t="array" ref="D111:D111">IFERROR(INDEX(Planning2[],MATCH(1,(Planning2[Nom]=B111)*(Planning2[Date]=Q111),0),3),"-")</f>
        <v>0.416666666666667</v>
      </c>
      <c r="E111" s="26" t="str">
        <f aca="false">IFERROR(IF(COUNTIFS(Pointage_brut!$E:$E,VLOOKUP($B111,Annuaire_roster!$B:$J,9,0),Pointage_brut!$A:$A,TEXT($Q111,"yyyymmdd")*1)=0,"",MOD(_xlfn.MAXIFS(Pointage_brut!$G:$G,Pointage_brut!$E:$E,VLOOKUP($B111,Annuaire_roster!$B:$J,9,0),Pointage_brut!$A:$A,TEXT($Q111,"yyyymmdd")*1),1)),"")</f>
        <v/>
      </c>
      <c r="F111" s="27" t="n">
        <f aca="false" t="array" ref="F111:F111">IFERROR(INDEX(Planning2[],MATCH(1,(Planning2[Nom]=B111)*(Planning2[Date]=Q111),0),4),"-")</f>
        <v>0.833333333333333</v>
      </c>
      <c r="G111" s="28"/>
      <c r="H111" s="28"/>
      <c r="I111" s="29" t="str">
        <f aca="false">IF(IF(OR(C111="",D111="Congé",D111="OFF",D111="Congé spécial"),"",IF(D111&gt;F111,D111-C111,IF(C111-D111&lt;0,0,C111-D111)))&lt;0.00068287037037037,"",IF(OR(D111="Congé",D111="OFF",C111="",D111="Congé spécial"),"",IF(D111&gt;F111,D111-C111,IF(C111-D111&lt;0,0,C111-D111))))</f>
        <v/>
      </c>
      <c r="J111" s="28"/>
      <c r="K111" s="30" t="n">
        <f aca="false">IF(SUM(H111:J111)&lt;0.00068287037037037,0,SUM(H111:J111))</f>
        <v>0</v>
      </c>
      <c r="L111" s="28" t="n">
        <f aca="false">IF(OR(F111="Congé",F111="OFF",M111="Abs",F111="Congé sans solde",F111="Férié",F111="Congé spécial",D111="Congé spécial"),0,IF(F111-E111&lt;0,0,IF(F111-E111&lt;=0.00068287037037037,0,F111-E111)))</f>
        <v>0</v>
      </c>
      <c r="M111" s="31" t="str">
        <f aca="false">IF(AND(O111&lt;&gt;0,C111=""),"Abs",0)</f>
        <v>Abs</v>
      </c>
      <c r="N111" s="32" t="str">
        <f aca="false">IFERROR(IF(OR(D111="OFF",D111="Congé",M111="Abs",D111="Congé sans solde",D111="Férié"),"",IF(O111-K111-L111&gt;O111,O111,IF(O111-K111-L111&lt;0,"",O111-K111-L111))),"")</f>
        <v/>
      </c>
      <c r="O111" s="33" t="n">
        <f aca="false">IF(AG111="2H Pause déjeuner",IF(F111-D111-0.0833333333333333&lt;0,F111-D111-0.0833333333333333+1,F111-D111-0.0833333333333333),IF(OR(AND(F111="OFF",D111="OFF"),AND(F111="Congé",D111="Congé"),AND(F111="Congé sans solde",D111="Congé sans solde"),AND(F111="Congé spécial",D111="Congé spécial"),AND(F111="Férié",D111="Férié"),AND(F111="OFF",D111="Congé"),AND(F111="OFF",D111="Congé sans solde"),AND(F111="OFF",D111="Congé spécial"),AND(F111="OFF",D111="Férié"),AND(F111="Congé",D111="OFF"),AND(F111="Congé",D111="Congé sans solde"),AND(F111="Congé",D111="Congé spécial"),AND(F111="Congé",D111="Férié"),AND(F111="Congé sans solde",D111="OFF"),AND(F111="Congé sans solde",D111="Congé"),AND(F111="Congé sans solde",D111="Congé spécial"),AND(F111="Congé sans solde",D111="Férié"),AND(F111="Congé spécial",D111="OFF"),AND(F111="Congé spécial",D111="Congé"),AND(F111="Congé spécial",D111="Congé sans solde"),AND(F111="Congé spécial",D111="Férié"),AND(F111="Férié",D111="OFF"),AND(F111="Férié",D111="Congé"),AND(F111="Férié",D111="Congé sans solde"),AND(F111="Férié",D111="Congé spécial")),0,IF(OR(F111="OFF",F111="Congé",F111="Congé spécial",F111="Congé sans solde",D111="OFF",D111="Congé",D111="Congé spécial",D111="Congé sans solde"),0.208333333333334,IF(AND(AG111="",F111-D111&lt;0),("24:00:00"-D111)+("00:00:00"+F111)-0.0416666666666667,IF(AND(OR(AG111="Allaitement",AG111="Sans déjeuner"),F111-D111&lt;0),("24:00:00"-D111)+("00:00:00"+F111),IF(AND(AG111="",F111-D111&gt;0.166666666666667),F111-D111-0.0416666666666667,IF(AND(OR(AG111="Allaitement",AG111="Sans déjeuner"),F111-D111&gt;0.166666666666667),F111-D111,F111-D111)))))))</f>
        <v>0.375</v>
      </c>
      <c r="P111" s="34" t="str">
        <f aca="false">IFERROR(VLOOKUP($B111,Annuaire_roster!$B:$G,MATCH(P$1,Annuaire_roster!$B$1:$G$1,0),0),"-")</f>
        <v>Google Leads</v>
      </c>
      <c r="Q111" s="35" t="n">
        <v>44720</v>
      </c>
      <c r="R111" s="36" t="n">
        <f aca="false">IF(M111="Abs",O111,0)</f>
        <v>0.375</v>
      </c>
      <c r="S111" s="36" t="n">
        <f aca="false">SUM(R111,L111,I111,J111,W111,H111)</f>
        <v>0.375</v>
      </c>
      <c r="T111" s="1" t="str">
        <f aca="false">"Sem - "&amp;WEEKNUM(Q111,21)</f>
        <v>Sem - 24</v>
      </c>
      <c r="U111" s="1" t="str">
        <f aca="false">PROPER(TEXT(Q111,"mmmm"))</f>
        <v>June</v>
      </c>
      <c r="V111" s="37" t="str">
        <f aca="false">+TEXT(Q111,"aaa")</f>
        <v>Tue</v>
      </c>
      <c r="W111" s="32"/>
      <c r="X111" s="38" t="n">
        <f aca="false">IFERROR(IF(M111="Abs",0,IF((D111-C111+E111-F111)&lt;0.000694444444444444,0,(D111-C111+E111-F111))),0)</f>
        <v>0</v>
      </c>
      <c r="Y111" s="39" t="str">
        <f aca="false">IFERROR(VLOOKUP(B111,Annuaire_roster!B:E,4,0),"-")</f>
        <v>OUAQERROUCH Nour-El Houda</v>
      </c>
      <c r="Z111" s="39" t="str">
        <f aca="false">IFERROR(VLOOKUP(B111,Annuaire_roster!B:F,3,0),"-")</f>
        <v>Google Leads</v>
      </c>
      <c r="AA111" s="39" t="str">
        <f aca="false">IFERROR(VLOOKUP(B111,Annuaire_roster!B:I,6,0),"-")</f>
        <v>Forfaitaire</v>
      </c>
      <c r="AB111" s="40" t="str">
        <f aca="false">IF(AND(D111="Congé",F111="Congé"),0.333333333333333,IF(OR(AND(D111="Congé",F111&lt;&gt;"Congé"),(AND(F111="Congé",D111&lt;&gt;"Congé"))),0.166666666666667,""))</f>
        <v/>
      </c>
      <c r="AC111" s="40" t="str">
        <f aca="false">IF(AND(D111="Congé sans solde",F111="Congé sans solde"),0.333333333333333,IF(OR(AND(D111="Congé sans solde",F111&lt;&gt;"Congé sans solde"),(AND(F111="Congé sans solde",D111&lt;&gt;"Congé sans solde"))),0.166666666666667,""))</f>
        <v/>
      </c>
      <c r="AD111" s="40" t="str">
        <f aca="false">IF(AND(D111="Congé spécial",F111="Congé spécial"),0.333333333333333,IF(OR(AND(D111="Congé spécial",F111&lt;&gt;"Congé décès"),(AND(F111="Congé spécial",D111&lt;&gt;"Congé spécial"))),0.166666666666667,""))</f>
        <v/>
      </c>
      <c r="AE111" s="41" t="str">
        <f aca="false">IF(AND(D111="Férié",F111="Férié"),0.333333333333333,IF(OR(AND(D111="Férié",F111&lt;&gt;"Férié"),(AND(F111="Férié",D111&lt;&gt;"Férié"))),0.166666666666667,""))</f>
        <v/>
      </c>
      <c r="AF111" s="41"/>
      <c r="AG111" s="36"/>
    </row>
    <row r="112" customFormat="false" ht="12.75" hidden="true" customHeight="true" outlineLevel="0" collapsed="false">
      <c r="A112" s="22" t="n">
        <f aca="false">VLOOKUP(B112,Annuaire_roster!B:F,5,0)</f>
        <v>1131</v>
      </c>
      <c r="B112" s="23" t="s">
        <v>50</v>
      </c>
      <c r="C112" s="24" t="str">
        <f aca="false">IFERROR(IF(COUNTIFS(Pointage_brut!$E:$E,VLOOKUP($B112,Annuaire_roster!$B:$J,9,0),Pointage_brut!$A:$A,TEXT($Q112,"yyyymmdd")*1)=0,"",MOD(_xlfn.MINIFS(Pointage_brut!$F:$F,Pointage_brut!$E:$E,VLOOKUP($B112,Annuaire_roster!$B:$J,9,0),Pointage_brut!$A:$A,TEXT($Q112,"yyyymmdd")*1),1)),"")</f>
        <v/>
      </c>
      <c r="D112" s="25" t="n">
        <f aca="false" t="array" ref="D112:D112">IFERROR(INDEX(Planning2[],MATCH(1,(Planning2[Nom]=B112)*(Planning2[Date]=Q112),0),3),"-")</f>
        <v>0.416666666666667</v>
      </c>
      <c r="E112" s="26" t="str">
        <f aca="false">IFERROR(IF(COUNTIFS(Pointage_brut!$E:$E,VLOOKUP($B112,Annuaire_roster!$B:$J,9,0),Pointage_brut!$A:$A,TEXT($Q112,"yyyymmdd")*1)=0,"",MOD(_xlfn.MAXIFS(Pointage_brut!$G:$G,Pointage_brut!$E:$E,VLOOKUP($B112,Annuaire_roster!$B:$J,9,0),Pointage_brut!$A:$A,TEXT($Q112,"yyyymmdd")*1),1)),"")</f>
        <v/>
      </c>
      <c r="F112" s="27" t="n">
        <f aca="false" t="array" ref="F112:F112">IFERROR(INDEX(Planning2[],MATCH(1,(Planning2[Nom]=B112)*(Planning2[Date]=Q112),0),4),"-")</f>
        <v>0.833333333333333</v>
      </c>
      <c r="G112" s="28"/>
      <c r="H112" s="28"/>
      <c r="I112" s="29" t="str">
        <f aca="false">IF(IF(OR(C112="",D112="Congé",D112="OFF",D112="Congé spécial"),"",IF(D112&gt;F112,D112-C112,IF(C112-D112&lt;0,0,C112-D112)))&lt;0.00068287037037037,"",IF(OR(D112="Congé",D112="OFF",C112="",D112="Congé spécial"),"",IF(D112&gt;F112,D112-C112,IF(C112-D112&lt;0,0,C112-D112))))</f>
        <v/>
      </c>
      <c r="J112" s="28"/>
      <c r="K112" s="30" t="n">
        <f aca="false">IF(SUM(H112:J112)&lt;0.00068287037037037,0,SUM(H112:J112))</f>
        <v>0</v>
      </c>
      <c r="L112" s="28" t="n">
        <f aca="false">IF(OR(F112="Congé",F112="OFF",M112="Abs",F112="Congé sans solde",F112="Férié",F112="Congé spécial",D112="Congé spécial"),0,IF(F112-E112&lt;0,0,IF(F112-E112&lt;=0.00068287037037037,0,F112-E112)))</f>
        <v>0</v>
      </c>
      <c r="M112" s="31" t="str">
        <f aca="false">IF(AND(O112&lt;&gt;0,C112=""),"Abs",0)</f>
        <v>Abs</v>
      </c>
      <c r="N112" s="32" t="str">
        <f aca="false">IFERROR(IF(OR(D112="OFF",D112="Congé",M112="Abs",D112="Congé sans solde",D112="Férié"),"",IF(O112-K112-L112&gt;O112,O112,IF(O112-K112-L112&lt;0,"",O112-K112-L112))),"")</f>
        <v/>
      </c>
      <c r="O112" s="33" t="n">
        <f aca="false">IF(AG112="2H Pause déjeuner",IF(F112-D112-0.0833333333333333&lt;0,F112-D112-0.0833333333333333+1,F112-D112-0.0833333333333333),IF(OR(AND(F112="OFF",D112="OFF"),AND(F112="Congé",D112="Congé"),AND(F112="Congé sans solde",D112="Congé sans solde"),AND(F112="Congé spécial",D112="Congé spécial"),AND(F112="Férié",D112="Férié"),AND(F112="OFF",D112="Congé"),AND(F112="OFF",D112="Congé sans solde"),AND(F112="OFF",D112="Congé spécial"),AND(F112="OFF",D112="Férié"),AND(F112="Congé",D112="OFF"),AND(F112="Congé",D112="Congé sans solde"),AND(F112="Congé",D112="Congé spécial"),AND(F112="Congé",D112="Férié"),AND(F112="Congé sans solde",D112="OFF"),AND(F112="Congé sans solde",D112="Congé"),AND(F112="Congé sans solde",D112="Congé spécial"),AND(F112="Congé sans solde",D112="Férié"),AND(F112="Congé spécial",D112="OFF"),AND(F112="Congé spécial",D112="Congé"),AND(F112="Congé spécial",D112="Congé sans solde"),AND(F112="Congé spécial",D112="Férié"),AND(F112="Férié",D112="OFF"),AND(F112="Férié",D112="Congé"),AND(F112="Férié",D112="Congé sans solde"),AND(F112="Férié",D112="Congé spécial")),0,IF(OR(F112="OFF",F112="Congé",F112="Congé spécial",F112="Congé sans solde",D112="OFF",D112="Congé",D112="Congé spécial",D112="Congé sans solde"),0.208333333333334,IF(AND(AG112="",F112-D112&lt;0),("24:00:00"-D112)+("00:00:00"+F112)-0.0416666666666667,IF(AND(OR(AG112="Allaitement",AG112="Sans déjeuner"),F112-D112&lt;0),("24:00:00"-D112)+("00:00:00"+F112),IF(AND(AG112="",F112-D112&gt;0.166666666666667),F112-D112-0.0416666666666667,IF(AND(OR(AG112="Allaitement",AG112="Sans déjeuner"),F112-D112&gt;0.166666666666667),F112-D112,F112-D112)))))))</f>
        <v>0.375</v>
      </c>
      <c r="P112" s="34" t="str">
        <f aca="false">IFERROR(VLOOKUP($B112,Annuaire_roster!$B:$G,MATCH(P$1,Annuaire_roster!$B$1:$G$1,0),0),"-")</f>
        <v>Google Leads</v>
      </c>
      <c r="Q112" s="35" t="n">
        <v>44720</v>
      </c>
      <c r="R112" s="36" t="n">
        <f aca="false">IF(M112="Abs",O112,0)</f>
        <v>0.375</v>
      </c>
      <c r="S112" s="36" t="n">
        <f aca="false">SUM(R112,L112,I112,J112,W112,H112)</f>
        <v>0.375</v>
      </c>
      <c r="T112" s="1" t="str">
        <f aca="false">"Sem - "&amp;WEEKNUM(Q112,21)</f>
        <v>Sem - 24</v>
      </c>
      <c r="U112" s="1" t="str">
        <f aca="false">PROPER(TEXT(Q112,"mmmm"))</f>
        <v>June</v>
      </c>
      <c r="V112" s="37" t="str">
        <f aca="false">+TEXT(Q112,"aaa")</f>
        <v>Tue</v>
      </c>
      <c r="W112" s="32"/>
      <c r="X112" s="38" t="n">
        <f aca="false">IFERROR(IF(M112="Abs",0,IF((D112-C112+E112-F112)&lt;0.000694444444444444,0,(D112-C112+E112-F112))),0)</f>
        <v>0</v>
      </c>
      <c r="Y112" s="39" t="str">
        <f aca="false">IFERROR(VLOOKUP(B112,Annuaire_roster!B:E,4,0),"-")</f>
        <v>CHOUIFI Mustapha</v>
      </c>
      <c r="Z112" s="39" t="str">
        <f aca="false">IFERROR(VLOOKUP(B112,Annuaire_roster!B:F,3,0),"-")</f>
        <v>Google Leads</v>
      </c>
      <c r="AA112" s="39" t="str">
        <f aca="false">IFERROR(VLOOKUP(B112,Annuaire_roster!B:I,6,0),"-")</f>
        <v>Forfaitaire</v>
      </c>
      <c r="AB112" s="40" t="str">
        <f aca="false">IF(AND(D112="Congé",F112="Congé"),0.333333333333333,IF(OR(AND(D112="Congé",F112&lt;&gt;"Congé"),(AND(F112="Congé",D112&lt;&gt;"Congé"))),0.166666666666667,""))</f>
        <v/>
      </c>
      <c r="AC112" s="40" t="str">
        <f aca="false">IF(AND(D112="Congé sans solde",F112="Congé sans solde"),0.333333333333333,IF(OR(AND(D112="Congé sans solde",F112&lt;&gt;"Congé sans solde"),(AND(F112="Congé sans solde",D112&lt;&gt;"Congé sans solde"))),0.166666666666667,""))</f>
        <v/>
      </c>
      <c r="AD112" s="40" t="str">
        <f aca="false">IF(AND(D112="Congé spécial",F112="Congé spécial"),0.333333333333333,IF(OR(AND(D112="Congé spécial",F112&lt;&gt;"Congé décès"),(AND(F112="Congé spécial",D112&lt;&gt;"Congé spécial"))),0.166666666666667,""))</f>
        <v/>
      </c>
      <c r="AE112" s="41" t="str">
        <f aca="false">IF(AND(D112="Férié",F112="Férié"),0.333333333333333,IF(OR(AND(D112="Férié",F112&lt;&gt;"Férié"),(AND(F112="Férié",D112&lt;&gt;"Férié"))),0.166666666666667,""))</f>
        <v/>
      </c>
      <c r="AF112" s="41"/>
      <c r="AG112" s="36"/>
    </row>
    <row r="113" customFormat="false" ht="12.75" hidden="true" customHeight="true" outlineLevel="0" collapsed="false">
      <c r="A113" s="22" t="n">
        <f aca="false">VLOOKUP(B113,Annuaire_roster!B:F,5,0)</f>
        <v>0</v>
      </c>
      <c r="B113" s="23" t="s">
        <v>47</v>
      </c>
      <c r="C113" s="24" t="str">
        <f aca="false">IFERROR(IF(COUNTIFS(Pointage_brut!$E:$E,VLOOKUP($B113,Annuaire_roster!$B:$J,9,0),Pointage_brut!$A:$A,TEXT($Q113,"yyyymmdd")*1)=0,"",MOD(_xlfn.MINIFS(Pointage_brut!$F:$F,Pointage_brut!$E:$E,VLOOKUP($B113,Annuaire_roster!$B:$J,9,0),Pointage_brut!$A:$A,TEXT($Q113,"yyyymmdd")*1),1)),"")</f>
        <v/>
      </c>
      <c r="D113" s="25" t="n">
        <f aca="false" t="array" ref="D113:D113">IFERROR(INDEX(Planning2[],MATCH(1,(Planning2[Nom]=B113)*(Planning2[Date]=Q113),0),3),"-")</f>
        <v>0.416666666666667</v>
      </c>
      <c r="E113" s="26" t="str">
        <f aca="false">IFERROR(IF(COUNTIFS(Pointage_brut!$E:$E,VLOOKUP($B113,Annuaire_roster!$B:$J,9,0),Pointage_brut!$A:$A,TEXT($Q113,"yyyymmdd")*1)=0,"",MOD(_xlfn.MAXIFS(Pointage_brut!$G:$G,Pointage_brut!$E:$E,VLOOKUP($B113,Annuaire_roster!$B:$J,9,0),Pointage_brut!$A:$A,TEXT($Q113,"yyyymmdd")*1),1)),"")</f>
        <v/>
      </c>
      <c r="F113" s="27" t="n">
        <f aca="false" t="array" ref="F113:F113">IFERROR(INDEX(Planning2[],MATCH(1,(Planning2[Nom]=B113)*(Planning2[Date]=Q113),0),4),"-")</f>
        <v>0.833333333333333</v>
      </c>
      <c r="G113" s="28"/>
      <c r="H113" s="28"/>
      <c r="I113" s="29" t="str">
        <f aca="false">IF(IF(OR(C113="",D113="Congé",D113="OFF",D113="Congé spécial"),"",IF(D113&gt;F113,D113-C113,IF(C113-D113&lt;0,0,C113-D113)))&lt;0.00068287037037037,"",IF(OR(D113="Congé",D113="OFF",C113="",D113="Congé spécial"),"",IF(D113&gt;F113,D113-C113,IF(C113-D113&lt;0,0,C113-D113))))</f>
        <v/>
      </c>
      <c r="J113" s="28"/>
      <c r="K113" s="30" t="n">
        <f aca="false">IF(SUM(H113:J113)&lt;0.00068287037037037,0,SUM(H113:J113))</f>
        <v>0</v>
      </c>
      <c r="L113" s="28" t="n">
        <f aca="false">IF(OR(F113="Congé",F113="OFF",M113="Abs",F113="Congé sans solde",F113="Férié",F113="Congé spécial",D113="Congé spécial"),0,IF(F113-E113&lt;0,0,IF(F113-E113&lt;=0.00068287037037037,0,F113-E113)))</f>
        <v>0</v>
      </c>
      <c r="M113" s="31" t="str">
        <f aca="false">IF(AND(O113&lt;&gt;0,C113=""),"Abs",0)</f>
        <v>Abs</v>
      </c>
      <c r="N113" s="32" t="str">
        <f aca="false">IFERROR(IF(OR(D113="OFF",D113="Congé",M113="Abs",D113="Congé sans solde",D113="Férié"),"",IF(O113-K113-L113&gt;O113,O113,IF(O113-K113-L113&lt;0,"",O113-K113-L113))),"")</f>
        <v/>
      </c>
      <c r="O113" s="33" t="n">
        <f aca="false">IF(AG113="2H Pause déjeuner",IF(F113-D113-0.0833333333333333&lt;0,F113-D113-0.0833333333333333+1,F113-D113-0.0833333333333333),IF(OR(AND(F113="OFF",D113="OFF"),AND(F113="Congé",D113="Congé"),AND(F113="Congé sans solde",D113="Congé sans solde"),AND(F113="Congé spécial",D113="Congé spécial"),AND(F113="Férié",D113="Férié"),AND(F113="OFF",D113="Congé"),AND(F113="OFF",D113="Congé sans solde"),AND(F113="OFF",D113="Congé spécial"),AND(F113="OFF",D113="Férié"),AND(F113="Congé",D113="OFF"),AND(F113="Congé",D113="Congé sans solde"),AND(F113="Congé",D113="Congé spécial"),AND(F113="Congé",D113="Férié"),AND(F113="Congé sans solde",D113="OFF"),AND(F113="Congé sans solde",D113="Congé"),AND(F113="Congé sans solde",D113="Congé spécial"),AND(F113="Congé sans solde",D113="Férié"),AND(F113="Congé spécial",D113="OFF"),AND(F113="Congé spécial",D113="Congé"),AND(F113="Congé spécial",D113="Congé sans solde"),AND(F113="Congé spécial",D113="Férié"),AND(F113="Férié",D113="OFF"),AND(F113="Férié",D113="Congé"),AND(F113="Férié",D113="Congé sans solde"),AND(F113="Férié",D113="Congé spécial")),0,IF(OR(F113="OFF",F113="Congé",F113="Congé spécial",F113="Congé sans solde",D113="OFF",D113="Congé",D113="Congé spécial",D113="Congé sans solde"),0.208333333333334,IF(AND(AG113="",F113-D113&lt;0),("24:00:00"-D113)+("00:00:00"+F113)-0.0416666666666667,IF(AND(OR(AG113="Allaitement",AG113="Sans déjeuner"),F113-D113&lt;0),("24:00:00"-D113)+("00:00:00"+F113),IF(AND(AG113="",F113-D113&gt;0.166666666666667),F113-D113-0.0416666666666667,IF(AND(OR(AG113="Allaitement",AG113="Sans déjeuner"),F113-D113&gt;0.166666666666667),F113-D113,F113-D113)))))))</f>
        <v>0.375</v>
      </c>
      <c r="P113" s="34" t="str">
        <f aca="false">IFERROR(VLOOKUP($B113,Annuaire_roster!$B:$G,MATCH(P$1,Annuaire_roster!$B$1:$G$1,0),0),"-")</f>
        <v>Google Leads</v>
      </c>
      <c r="Q113" s="35" t="n">
        <v>44720</v>
      </c>
      <c r="R113" s="36" t="n">
        <f aca="false">IF(M113="Abs",O113,0)</f>
        <v>0.375</v>
      </c>
      <c r="S113" s="36" t="n">
        <f aca="false">SUM(R113,L113,I113,J113,W113,H113)</f>
        <v>0.375</v>
      </c>
      <c r="T113" s="1" t="str">
        <f aca="false">"Sem - "&amp;WEEKNUM(Q113,21)</f>
        <v>Sem - 24</v>
      </c>
      <c r="U113" s="1" t="str">
        <f aca="false">PROPER(TEXT(Q113,"mmmm"))</f>
        <v>June</v>
      </c>
      <c r="V113" s="37" t="str">
        <f aca="false">+TEXT(Q113,"aaa")</f>
        <v>Tue</v>
      </c>
      <c r="W113" s="32"/>
      <c r="X113" s="38" t="n">
        <f aca="false">IFERROR(IF(M113="Abs",0,IF((D113-C113+E113-F113)&lt;0.000694444444444444,0,(D113-C113+E113-F113))),0)</f>
        <v>0</v>
      </c>
      <c r="Y113" s="39" t="n">
        <f aca="false">IFERROR(VLOOKUP(B113,Annuaire_roster!B:E,4,0),"-")</f>
        <v>0</v>
      </c>
      <c r="Z113" s="39" t="str">
        <f aca="false">IFERROR(VLOOKUP(B113,Annuaire_roster!B:F,3,0),"-")</f>
        <v>Google Leads</v>
      </c>
      <c r="AA113" s="39" t="n">
        <f aca="false">IFERROR(VLOOKUP(B113,Annuaire_roster!B:I,6,0),"-")</f>
        <v>0</v>
      </c>
      <c r="AB113" s="40" t="str">
        <f aca="false">IF(AND(D113="Congé",F113="Congé"),0.333333333333333,IF(OR(AND(D113="Congé",F113&lt;&gt;"Congé"),(AND(F113="Congé",D113&lt;&gt;"Congé"))),0.166666666666667,""))</f>
        <v/>
      </c>
      <c r="AC113" s="40" t="str">
        <f aca="false">IF(AND(D113="Congé sans solde",F113="Congé sans solde"),0.333333333333333,IF(OR(AND(D113="Congé sans solde",F113&lt;&gt;"Congé sans solde"),(AND(F113="Congé sans solde",D113&lt;&gt;"Congé sans solde"))),0.166666666666667,""))</f>
        <v/>
      </c>
      <c r="AD113" s="40" t="str">
        <f aca="false">IF(AND(D113="Congé spécial",F113="Congé spécial"),0.333333333333333,IF(OR(AND(D113="Congé spécial",F113&lt;&gt;"Congé décès"),(AND(F113="Congé spécial",D113&lt;&gt;"Congé spécial"))),0.166666666666667,""))</f>
        <v/>
      </c>
      <c r="AE113" s="41" t="str">
        <f aca="false">IF(AND(D113="Férié",F113="Férié"),0.333333333333333,IF(OR(AND(D113="Férié",F113&lt;&gt;"Férié"),(AND(F113="Férié",D113&lt;&gt;"Férié"))),0.166666666666667,""))</f>
        <v/>
      </c>
      <c r="AF113" s="41"/>
      <c r="AG113" s="36"/>
    </row>
    <row r="114" customFormat="false" ht="12.75" hidden="true" customHeight="true" outlineLevel="0" collapsed="false">
      <c r="A114" s="22" t="n">
        <f aca="false">VLOOKUP(B114,Annuaire_roster!B:F,5,0)</f>
        <v>971</v>
      </c>
      <c r="B114" s="23" t="s">
        <v>58</v>
      </c>
      <c r="C114" s="24" t="str">
        <f aca="false">IFERROR(IF(COUNTIFS(Pointage_brut!$E:$E,VLOOKUP($B114,Annuaire_roster!$B:$J,9,0),Pointage_brut!$A:$A,TEXT($Q114,"yyyymmdd")*1)=0,"",MOD(_xlfn.MINIFS(Pointage_brut!$F:$F,Pointage_brut!$E:$E,VLOOKUP($B114,Annuaire_roster!$B:$J,9,0),Pointage_brut!$A:$A,TEXT($Q114,"yyyymmdd")*1),1)),"")</f>
        <v/>
      </c>
      <c r="D114" s="25" t="n">
        <f aca="false" t="array" ref="D114:D114">IFERROR(INDEX(Planning2[],MATCH(1,(Planning2[Nom]=B114)*(Planning2[Date]=Q114),0),3),"-")</f>
        <v>0.416666666666667</v>
      </c>
      <c r="E114" s="26" t="str">
        <f aca="false">IFERROR(IF(COUNTIFS(Pointage_brut!$E:$E,VLOOKUP($B114,Annuaire_roster!$B:$J,9,0),Pointage_brut!$A:$A,TEXT($Q114,"yyyymmdd")*1)=0,"",MOD(_xlfn.MAXIFS(Pointage_brut!$G:$G,Pointage_brut!$E:$E,VLOOKUP($B114,Annuaire_roster!$B:$J,9,0),Pointage_brut!$A:$A,TEXT($Q114,"yyyymmdd")*1),1)),"")</f>
        <v/>
      </c>
      <c r="F114" s="27" t="n">
        <f aca="false" t="array" ref="F114:F114">IFERROR(INDEX(Planning2[],MATCH(1,(Planning2[Nom]=B114)*(Planning2[Date]=Q114),0),4),"-")</f>
        <v>0.833333333333333</v>
      </c>
      <c r="G114" s="28"/>
      <c r="H114" s="28"/>
      <c r="I114" s="29" t="str">
        <f aca="false">IF(IF(OR(C114="",D114="Congé",D114="OFF",D114="Congé spécial"),"",IF(D114&gt;F114,D114-C114,IF(C114-D114&lt;0,0,C114-D114)))&lt;0.00068287037037037,"",IF(OR(D114="Congé",D114="OFF",C114="",D114="Congé spécial"),"",IF(D114&gt;F114,D114-C114,IF(C114-D114&lt;0,0,C114-D114))))</f>
        <v/>
      </c>
      <c r="J114" s="28"/>
      <c r="K114" s="30" t="n">
        <f aca="false">IF(SUM(H114:J114)&lt;0.00068287037037037,0,SUM(H114:J114))</f>
        <v>0</v>
      </c>
      <c r="L114" s="28" t="n">
        <f aca="false">IF(OR(F114="Congé",F114="OFF",M114="Abs",F114="Congé sans solde",F114="Férié",F114="Congé spécial",D114="Congé spécial"),0,IF(F114-E114&lt;0,0,IF(F114-E114&lt;=0.00068287037037037,0,F114-E114)))</f>
        <v>0</v>
      </c>
      <c r="M114" s="31" t="str">
        <f aca="false">IF(AND(O114&lt;&gt;0,C114=""),"Abs",0)</f>
        <v>Abs</v>
      </c>
      <c r="N114" s="32" t="str">
        <f aca="false">IFERROR(IF(OR(D114="OFF",D114="Congé",M114="Abs",D114="Congé sans solde",D114="Férié"),"",IF(O114-K114-L114&gt;O114,O114,IF(O114-K114-L114&lt;0,"",O114-K114-L114))),"")</f>
        <v/>
      </c>
      <c r="O114" s="33" t="n">
        <f aca="false">IF(AG114="2H Pause déjeuner",IF(F114-D114-0.0833333333333333&lt;0,F114-D114-0.0833333333333333+1,F114-D114-0.0833333333333333),IF(OR(AND(F114="OFF",D114="OFF"),AND(F114="Congé",D114="Congé"),AND(F114="Congé sans solde",D114="Congé sans solde"),AND(F114="Congé spécial",D114="Congé spécial"),AND(F114="Férié",D114="Férié"),AND(F114="OFF",D114="Congé"),AND(F114="OFF",D114="Congé sans solde"),AND(F114="OFF",D114="Congé spécial"),AND(F114="OFF",D114="Férié"),AND(F114="Congé",D114="OFF"),AND(F114="Congé",D114="Congé sans solde"),AND(F114="Congé",D114="Congé spécial"),AND(F114="Congé",D114="Férié"),AND(F114="Congé sans solde",D114="OFF"),AND(F114="Congé sans solde",D114="Congé"),AND(F114="Congé sans solde",D114="Congé spécial"),AND(F114="Congé sans solde",D114="Férié"),AND(F114="Congé spécial",D114="OFF"),AND(F114="Congé spécial",D114="Congé"),AND(F114="Congé spécial",D114="Congé sans solde"),AND(F114="Congé spécial",D114="Férié"),AND(F114="Férié",D114="OFF"),AND(F114="Férié",D114="Congé"),AND(F114="Férié",D114="Congé sans solde"),AND(F114="Férié",D114="Congé spécial")),0,IF(OR(F114="OFF",F114="Congé",F114="Congé spécial",F114="Congé sans solde",D114="OFF",D114="Congé",D114="Congé spécial",D114="Congé sans solde"),0.208333333333334,IF(AND(AG114="",F114-D114&lt;0),("24:00:00"-D114)+("00:00:00"+F114)-0.0416666666666667,IF(AND(OR(AG114="Allaitement",AG114="Sans déjeuner"),F114-D114&lt;0),("24:00:00"-D114)+("00:00:00"+F114),IF(AND(AG114="",F114-D114&gt;0.166666666666667),F114-D114-0.0416666666666667,IF(AND(OR(AG114="Allaitement",AG114="Sans déjeuner"),F114-D114&gt;0.166666666666667),F114-D114,F114-D114)))))))</f>
        <v>0.375</v>
      </c>
      <c r="P114" s="34" t="str">
        <f aca="false">IFERROR(VLOOKUP($B114,Annuaire_roster!$B:$G,MATCH(P$1,Annuaire_roster!$B$1:$G$1,0),0),"-")</f>
        <v>Google Leads</v>
      </c>
      <c r="Q114" s="35" t="n">
        <v>44720</v>
      </c>
      <c r="R114" s="36" t="n">
        <f aca="false">IF(M114="Abs",O114,0)</f>
        <v>0.375</v>
      </c>
      <c r="S114" s="36" t="n">
        <f aca="false">SUM(R114,L114,I114,J114,W114,H114)</f>
        <v>0.375</v>
      </c>
      <c r="T114" s="1" t="str">
        <f aca="false">"Sem - "&amp;WEEKNUM(Q114,21)</f>
        <v>Sem - 24</v>
      </c>
      <c r="U114" s="1" t="str">
        <f aca="false">PROPER(TEXT(Q114,"mmmm"))</f>
        <v>June</v>
      </c>
      <c r="V114" s="37" t="str">
        <f aca="false">+TEXT(Q114,"aaa")</f>
        <v>Tue</v>
      </c>
      <c r="W114" s="32"/>
      <c r="X114" s="38" t="n">
        <f aca="false">IFERROR(IF(M114="Abs",0,IF((D114-C114+E114-F114)&lt;0.000694444444444444,0,(D114-C114+E114-F114))),0)</f>
        <v>0</v>
      </c>
      <c r="Y114" s="39" t="str">
        <f aca="false">IFERROR(VLOOKUP(B114,Annuaire_roster!B:E,4,0),"-")</f>
        <v>CHOUIFI Mustapha</v>
      </c>
      <c r="Z114" s="39" t="str">
        <f aca="false">IFERROR(VLOOKUP(B114,Annuaire_roster!B:F,3,0),"-")</f>
        <v>Google Leads</v>
      </c>
      <c r="AA114" s="39" t="str">
        <f aca="false">IFERROR(VLOOKUP(B114,Annuaire_roster!B:I,6,0),"-")</f>
        <v>Forfaitaire</v>
      </c>
      <c r="AB114" s="40" t="str">
        <f aca="false">IF(AND(D114="Congé",F114="Congé"),0.333333333333333,IF(OR(AND(D114="Congé",F114&lt;&gt;"Congé"),(AND(F114="Congé",D114&lt;&gt;"Congé"))),0.166666666666667,""))</f>
        <v/>
      </c>
      <c r="AC114" s="40" t="str">
        <f aca="false">IF(AND(D114="Congé sans solde",F114="Congé sans solde"),0.333333333333333,IF(OR(AND(D114="Congé sans solde",F114&lt;&gt;"Congé sans solde"),(AND(F114="Congé sans solde",D114&lt;&gt;"Congé sans solde"))),0.166666666666667,""))</f>
        <v/>
      </c>
      <c r="AD114" s="40" t="str">
        <f aca="false">IF(AND(D114="Congé spécial",F114="Congé spécial"),0.333333333333333,IF(OR(AND(D114="Congé spécial",F114&lt;&gt;"Congé décès"),(AND(F114="Congé spécial",D114&lt;&gt;"Congé spécial"))),0.166666666666667,""))</f>
        <v/>
      </c>
      <c r="AE114" s="41" t="str">
        <f aca="false">IF(AND(D114="Férié",F114="Férié"),0.333333333333333,IF(OR(AND(D114="Férié",F114&lt;&gt;"Férié"),(AND(F114="Férié",D114&lt;&gt;"Férié"))),0.166666666666667,""))</f>
        <v/>
      </c>
      <c r="AF114" s="41"/>
      <c r="AG114" s="36"/>
    </row>
    <row r="115" customFormat="false" ht="12.75" hidden="true" customHeight="true" outlineLevel="0" collapsed="false">
      <c r="A115" s="22" t="n">
        <f aca="false">VLOOKUP(B115,Annuaire_roster!B:F,5,0)</f>
        <v>1167</v>
      </c>
      <c r="B115" s="23" t="s">
        <v>55</v>
      </c>
      <c r="C115" s="24" t="str">
        <f aca="false">IFERROR(IF(COUNTIFS(Pointage_brut!$E:$E,VLOOKUP($B115,Annuaire_roster!$B:$J,9,0),Pointage_brut!$A:$A,TEXT($Q115,"yyyymmdd")*1)=0,"",MOD(_xlfn.MINIFS(Pointage_brut!$F:$F,Pointage_brut!$E:$E,VLOOKUP($B115,Annuaire_roster!$B:$J,9,0),Pointage_brut!$A:$A,TEXT($Q115,"yyyymmdd")*1),1)),"")</f>
        <v/>
      </c>
      <c r="D115" s="25" t="n">
        <f aca="false" t="array" ref="D115:D115">IFERROR(INDEX(Planning2[],MATCH(1,(Planning2[Nom]=B115)*(Planning2[Date]=Q115),0),3),"-")</f>
        <v>0.416666666666667</v>
      </c>
      <c r="E115" s="26" t="str">
        <f aca="false">IFERROR(IF(COUNTIFS(Pointage_brut!$E:$E,VLOOKUP($B115,Annuaire_roster!$B:$J,9,0),Pointage_brut!$A:$A,TEXT($Q115,"yyyymmdd")*1)=0,"",MOD(_xlfn.MAXIFS(Pointage_brut!$G:$G,Pointage_brut!$E:$E,VLOOKUP($B115,Annuaire_roster!$B:$J,9,0),Pointage_brut!$A:$A,TEXT($Q115,"yyyymmdd")*1),1)),"")</f>
        <v/>
      </c>
      <c r="F115" s="27" t="n">
        <f aca="false" t="array" ref="F115:F115">IFERROR(INDEX(Planning2[],MATCH(1,(Planning2[Nom]=B115)*(Planning2[Date]=Q115),0),4),"-")</f>
        <v>0.833333333333333</v>
      </c>
      <c r="G115" s="28"/>
      <c r="H115" s="28"/>
      <c r="I115" s="29" t="str">
        <f aca="false">IF(IF(OR(C115="",D115="Congé",D115="OFF",D115="Congé spécial"),"",IF(D115&gt;F115,D115-C115,IF(C115-D115&lt;0,0,C115-D115)))&lt;0.00068287037037037,"",IF(OR(D115="Congé",D115="OFF",C115="",D115="Congé spécial"),"",IF(D115&gt;F115,D115-C115,IF(C115-D115&lt;0,0,C115-D115))))</f>
        <v/>
      </c>
      <c r="J115" s="28"/>
      <c r="K115" s="30" t="n">
        <f aca="false">IF(SUM(H115:J115)&lt;0.00068287037037037,0,SUM(H115:J115))</f>
        <v>0</v>
      </c>
      <c r="L115" s="28" t="n">
        <f aca="false">IF(OR(F115="Congé",F115="OFF",M115="Abs",F115="Congé sans solde",F115="Férié",F115="Congé spécial",D115="Congé spécial"),0,IF(F115-E115&lt;0,0,IF(F115-E115&lt;=0.00068287037037037,0,F115-E115)))</f>
        <v>0</v>
      </c>
      <c r="M115" s="31" t="str">
        <f aca="false">IF(AND(O115&lt;&gt;0,C115=""),"Abs",0)</f>
        <v>Abs</v>
      </c>
      <c r="N115" s="32" t="str">
        <f aca="false">IFERROR(IF(OR(D115="OFF",D115="Congé",M115="Abs",D115="Congé sans solde",D115="Férié"),"",IF(O115-K115-L115&gt;O115,O115,IF(O115-K115-L115&lt;0,"",O115-K115-L115))),"")</f>
        <v/>
      </c>
      <c r="O115" s="33" t="n">
        <f aca="false">IF(AG115="2H Pause déjeuner",IF(F115-D115-0.0833333333333333&lt;0,F115-D115-0.0833333333333333+1,F115-D115-0.0833333333333333),IF(OR(AND(F115="OFF",D115="OFF"),AND(F115="Congé",D115="Congé"),AND(F115="Congé sans solde",D115="Congé sans solde"),AND(F115="Congé spécial",D115="Congé spécial"),AND(F115="Férié",D115="Férié"),AND(F115="OFF",D115="Congé"),AND(F115="OFF",D115="Congé sans solde"),AND(F115="OFF",D115="Congé spécial"),AND(F115="OFF",D115="Férié"),AND(F115="Congé",D115="OFF"),AND(F115="Congé",D115="Congé sans solde"),AND(F115="Congé",D115="Congé spécial"),AND(F115="Congé",D115="Férié"),AND(F115="Congé sans solde",D115="OFF"),AND(F115="Congé sans solde",D115="Congé"),AND(F115="Congé sans solde",D115="Congé spécial"),AND(F115="Congé sans solde",D115="Férié"),AND(F115="Congé spécial",D115="OFF"),AND(F115="Congé spécial",D115="Congé"),AND(F115="Congé spécial",D115="Congé sans solde"),AND(F115="Congé spécial",D115="Férié"),AND(F115="Férié",D115="OFF"),AND(F115="Férié",D115="Congé"),AND(F115="Férié",D115="Congé sans solde"),AND(F115="Férié",D115="Congé spécial")),0,IF(OR(F115="OFF",F115="Congé",F115="Congé spécial",F115="Congé sans solde",D115="OFF",D115="Congé",D115="Congé spécial",D115="Congé sans solde"),0.208333333333334,IF(AND(AG115="",F115-D115&lt;0),("24:00:00"-D115)+("00:00:00"+F115)-0.0416666666666667,IF(AND(OR(AG115="Allaitement",AG115="Sans déjeuner"),F115-D115&lt;0),("24:00:00"-D115)+("00:00:00"+F115),IF(AND(AG115="",F115-D115&gt;0.166666666666667),F115-D115-0.0416666666666667,IF(AND(OR(AG115="Allaitement",AG115="Sans déjeuner"),F115-D115&gt;0.166666666666667),F115-D115,F115-D115)))))))</f>
        <v>0.375</v>
      </c>
      <c r="P115" s="34" t="str">
        <f aca="false">IFERROR(VLOOKUP($B115,Annuaire_roster!$B:$G,MATCH(P$1,Annuaire_roster!$B$1:$G$1,0),0),"-")</f>
        <v>Google Leads</v>
      </c>
      <c r="Q115" s="35" t="n">
        <v>44720</v>
      </c>
      <c r="R115" s="36" t="n">
        <f aca="false">IF(M115="Abs",O115,0)</f>
        <v>0.375</v>
      </c>
      <c r="S115" s="36" t="n">
        <f aca="false">SUM(R115,L115,I115,J115,W115,H115)</f>
        <v>0.375</v>
      </c>
      <c r="T115" s="1" t="str">
        <f aca="false">"Sem - "&amp;WEEKNUM(Q115,21)</f>
        <v>Sem - 24</v>
      </c>
      <c r="U115" s="1" t="str">
        <f aca="false">PROPER(TEXT(Q115,"mmmm"))</f>
        <v>June</v>
      </c>
      <c r="V115" s="37" t="str">
        <f aca="false">+TEXT(Q115,"aaa")</f>
        <v>Tue</v>
      </c>
      <c r="W115" s="32"/>
      <c r="X115" s="38" t="n">
        <f aca="false">IFERROR(IF(M115="Abs",0,IF((D115-C115+E115-F115)&lt;0.000694444444444444,0,(D115-C115+E115-F115))),0)</f>
        <v>0</v>
      </c>
      <c r="Y115" s="39" t="str">
        <f aca="false">IFERROR(VLOOKUP(B115,Annuaire_roster!B:E,4,0),"-")</f>
        <v>OUAQERROUCH Nour-El Houda</v>
      </c>
      <c r="Z115" s="39" t="str">
        <f aca="false">IFERROR(VLOOKUP(B115,Annuaire_roster!B:F,3,0),"-")</f>
        <v>Google Leads</v>
      </c>
      <c r="AA115" s="39" t="str">
        <f aca="false">IFERROR(VLOOKUP(B115,Annuaire_roster!B:I,6,0),"-")</f>
        <v>Forfaitaire</v>
      </c>
      <c r="AB115" s="40" t="str">
        <f aca="false">IF(AND(D115="Congé",F115="Congé"),0.333333333333333,IF(OR(AND(D115="Congé",F115&lt;&gt;"Congé"),(AND(F115="Congé",D115&lt;&gt;"Congé"))),0.166666666666667,""))</f>
        <v/>
      </c>
      <c r="AC115" s="40" t="str">
        <f aca="false">IF(AND(D115="Congé sans solde",F115="Congé sans solde"),0.333333333333333,IF(OR(AND(D115="Congé sans solde",F115&lt;&gt;"Congé sans solde"),(AND(F115="Congé sans solde",D115&lt;&gt;"Congé sans solde"))),0.166666666666667,""))</f>
        <v/>
      </c>
      <c r="AD115" s="40" t="str">
        <f aca="false">IF(AND(D115="Congé spécial",F115="Congé spécial"),0.333333333333333,IF(OR(AND(D115="Congé spécial",F115&lt;&gt;"Congé décès"),(AND(F115="Congé spécial",D115&lt;&gt;"Congé spécial"))),0.166666666666667,""))</f>
        <v/>
      </c>
      <c r="AE115" s="41" t="str">
        <f aca="false">IF(AND(D115="Férié",F115="Férié"),0.333333333333333,IF(OR(AND(D115="Férié",F115&lt;&gt;"Férié"),(AND(F115="Férié",D115&lt;&gt;"Férié"))),0.166666666666667,""))</f>
        <v/>
      </c>
      <c r="AF115" s="41"/>
      <c r="AG115" s="36"/>
    </row>
    <row r="116" customFormat="false" ht="12.75" hidden="true" customHeight="true" outlineLevel="0" collapsed="false">
      <c r="A116" s="22" t="n">
        <f aca="false">VLOOKUP(B116,Annuaire_roster!B:F,5,0)</f>
        <v>0</v>
      </c>
      <c r="B116" s="23" t="s">
        <v>51</v>
      </c>
      <c r="C116" s="24" t="str">
        <f aca="false">IFERROR(IF(COUNTIFS(Pointage_brut!$E:$E,VLOOKUP($B116,Annuaire_roster!$B:$J,9,0),Pointage_brut!$A:$A,TEXT($Q116,"yyyymmdd")*1)=0,"",MOD(_xlfn.MINIFS(Pointage_brut!$F:$F,Pointage_brut!$E:$E,VLOOKUP($B116,Annuaire_roster!$B:$J,9,0),Pointage_brut!$A:$A,TEXT($Q116,"yyyymmdd")*1),1)),"")</f>
        <v/>
      </c>
      <c r="D116" s="25" t="n">
        <f aca="false" t="array" ref="D116:D116">IFERROR(INDEX(Planning2[],MATCH(1,(Planning2[Nom]=B116)*(Planning2[Date]=Q116),0),3),"-")</f>
        <v>0.416666666666667</v>
      </c>
      <c r="E116" s="26" t="str">
        <f aca="false">IFERROR(IF(COUNTIFS(Pointage_brut!$E:$E,VLOOKUP($B116,Annuaire_roster!$B:$J,9,0),Pointage_brut!$A:$A,TEXT($Q116,"yyyymmdd")*1)=0,"",MOD(_xlfn.MAXIFS(Pointage_brut!$G:$G,Pointage_brut!$E:$E,VLOOKUP($B116,Annuaire_roster!$B:$J,9,0),Pointage_brut!$A:$A,TEXT($Q116,"yyyymmdd")*1),1)),"")</f>
        <v/>
      </c>
      <c r="F116" s="27" t="n">
        <f aca="false" t="array" ref="F116:F116">IFERROR(INDEX(Planning2[],MATCH(1,(Planning2[Nom]=B116)*(Planning2[Date]=Q116),0),4),"-")</f>
        <v>0.833333333333333</v>
      </c>
      <c r="G116" s="28"/>
      <c r="H116" s="28"/>
      <c r="I116" s="29" t="str">
        <f aca="false">IF(IF(OR(C116="",D116="Congé",D116="OFF",D116="Congé spécial"),"",IF(D116&gt;F116,D116-C116,IF(C116-D116&lt;0,0,C116-D116)))&lt;0.00068287037037037,"",IF(OR(D116="Congé",D116="OFF",C116="",D116="Congé spécial"),"",IF(D116&gt;F116,D116-C116,IF(C116-D116&lt;0,0,C116-D116))))</f>
        <v/>
      </c>
      <c r="J116" s="28"/>
      <c r="K116" s="30" t="n">
        <f aca="false">IF(SUM(H116:J116)&lt;0.00068287037037037,0,SUM(H116:J116))</f>
        <v>0</v>
      </c>
      <c r="L116" s="28" t="n">
        <f aca="false">IF(OR(F116="Congé",F116="OFF",M116="Abs",F116="Congé sans solde",F116="Férié",F116="Congé spécial",D116="Congé spécial"),0,IF(F116-E116&lt;0,0,IF(F116-E116&lt;=0.00068287037037037,0,F116-E116)))</f>
        <v>0</v>
      </c>
      <c r="M116" s="31" t="str">
        <f aca="false">IF(AND(O116&lt;&gt;0,C116=""),"Abs",0)</f>
        <v>Abs</v>
      </c>
      <c r="N116" s="32" t="str">
        <f aca="false">IFERROR(IF(OR(D116="OFF",D116="Congé",M116="Abs",D116="Congé sans solde",D116="Férié"),"",IF(O116-K116-L116&gt;O116,O116,IF(O116-K116-L116&lt;0,"",O116-K116-L116))),"")</f>
        <v/>
      </c>
      <c r="O116" s="33" t="n">
        <f aca="false">IF(AG116="2H Pause déjeuner",IF(F116-D116-0.0833333333333333&lt;0,F116-D116-0.0833333333333333+1,F116-D116-0.0833333333333333),IF(OR(AND(F116="OFF",D116="OFF"),AND(F116="Congé",D116="Congé"),AND(F116="Congé sans solde",D116="Congé sans solde"),AND(F116="Congé spécial",D116="Congé spécial"),AND(F116="Férié",D116="Férié"),AND(F116="OFF",D116="Congé"),AND(F116="OFF",D116="Congé sans solde"),AND(F116="OFF",D116="Congé spécial"),AND(F116="OFF",D116="Férié"),AND(F116="Congé",D116="OFF"),AND(F116="Congé",D116="Congé sans solde"),AND(F116="Congé",D116="Congé spécial"),AND(F116="Congé",D116="Férié"),AND(F116="Congé sans solde",D116="OFF"),AND(F116="Congé sans solde",D116="Congé"),AND(F116="Congé sans solde",D116="Congé spécial"),AND(F116="Congé sans solde",D116="Férié"),AND(F116="Congé spécial",D116="OFF"),AND(F116="Congé spécial",D116="Congé"),AND(F116="Congé spécial",D116="Congé sans solde"),AND(F116="Congé spécial",D116="Férié"),AND(F116="Férié",D116="OFF"),AND(F116="Férié",D116="Congé"),AND(F116="Férié",D116="Congé sans solde"),AND(F116="Férié",D116="Congé spécial")),0,IF(OR(F116="OFF",F116="Congé",F116="Congé spécial",F116="Congé sans solde",D116="OFF",D116="Congé",D116="Congé spécial",D116="Congé sans solde"),0.208333333333334,IF(AND(AG116="",F116-D116&lt;0),("24:00:00"-D116)+("00:00:00"+F116)-0.0416666666666667,IF(AND(OR(AG116="Allaitement",AG116="Sans déjeuner"),F116-D116&lt;0),("24:00:00"-D116)+("00:00:00"+F116),IF(AND(AG116="",F116-D116&gt;0.166666666666667),F116-D116-0.0416666666666667,IF(AND(OR(AG116="Allaitement",AG116="Sans déjeuner"),F116-D116&gt;0.166666666666667),F116-D116,F116-D116)))))))</f>
        <v>0.375</v>
      </c>
      <c r="P116" s="34" t="str">
        <f aca="false">IFERROR(VLOOKUP($B116,Annuaire_roster!$B:$G,MATCH(P$1,Annuaire_roster!$B$1:$G$1,0),0),"-")</f>
        <v>Google Leads</v>
      </c>
      <c r="Q116" s="35" t="n">
        <v>44720</v>
      </c>
      <c r="R116" s="36" t="n">
        <f aca="false">IF(M116="Abs",O116,0)</f>
        <v>0.375</v>
      </c>
      <c r="S116" s="36" t="n">
        <f aca="false">SUM(R116,L116,I116,J116,W116,H116)</f>
        <v>0.375</v>
      </c>
      <c r="T116" s="1" t="str">
        <f aca="false">"Sem - "&amp;WEEKNUM(Q116,21)</f>
        <v>Sem - 24</v>
      </c>
      <c r="U116" s="1" t="str">
        <f aca="false">PROPER(TEXT(Q116,"mmmm"))</f>
        <v>June</v>
      </c>
      <c r="V116" s="37" t="str">
        <f aca="false">+TEXT(Q116,"aaa")</f>
        <v>Tue</v>
      </c>
      <c r="W116" s="32"/>
      <c r="X116" s="38" t="n">
        <f aca="false">IFERROR(IF(M116="Abs",0,IF((D116-C116+E116-F116)&lt;0.000694444444444444,0,(D116-C116+E116-F116))),0)</f>
        <v>0</v>
      </c>
      <c r="Y116" s="39" t="n">
        <f aca="false">IFERROR(VLOOKUP(B116,Annuaire_roster!B:E,4,0),"-")</f>
        <v>0</v>
      </c>
      <c r="Z116" s="39" t="str">
        <f aca="false">IFERROR(VLOOKUP(B116,Annuaire_roster!B:F,3,0),"-")</f>
        <v>Google Leads</v>
      </c>
      <c r="AA116" s="39" t="n">
        <f aca="false">IFERROR(VLOOKUP(B116,Annuaire_roster!B:I,6,0),"-")</f>
        <v>0</v>
      </c>
      <c r="AB116" s="40" t="str">
        <f aca="false">IF(AND(D116="Congé",F116="Congé"),0.333333333333333,IF(OR(AND(D116="Congé",F116&lt;&gt;"Congé"),(AND(F116="Congé",D116&lt;&gt;"Congé"))),0.166666666666667,""))</f>
        <v/>
      </c>
      <c r="AC116" s="40" t="str">
        <f aca="false">IF(AND(D116="Congé sans solde",F116="Congé sans solde"),0.333333333333333,IF(OR(AND(D116="Congé sans solde",F116&lt;&gt;"Congé sans solde"),(AND(F116="Congé sans solde",D116&lt;&gt;"Congé sans solde"))),0.166666666666667,""))</f>
        <v/>
      </c>
      <c r="AD116" s="40" t="str">
        <f aca="false">IF(AND(D116="Congé spécial",F116="Congé spécial"),0.333333333333333,IF(OR(AND(D116="Congé spécial",F116&lt;&gt;"Congé décès"),(AND(F116="Congé spécial",D116&lt;&gt;"Congé spécial"))),0.166666666666667,""))</f>
        <v/>
      </c>
      <c r="AE116" s="41" t="str">
        <f aca="false">IF(AND(D116="Férié",F116="Férié"),0.333333333333333,IF(OR(AND(D116="Férié",F116&lt;&gt;"Férié"),(AND(F116="Férié",D116&lt;&gt;"Férié"))),0.166666666666667,""))</f>
        <v/>
      </c>
      <c r="AF116" s="41"/>
      <c r="AG116" s="36"/>
    </row>
    <row r="117" customFormat="false" ht="12.75" hidden="true" customHeight="true" outlineLevel="0" collapsed="false">
      <c r="A117" s="22" t="n">
        <f aca="false">VLOOKUP(B117,Annuaire_roster!B:F,5,0)</f>
        <v>0</v>
      </c>
      <c r="B117" s="23" t="s">
        <v>39</v>
      </c>
      <c r="C117" s="24" t="str">
        <f aca="false">IFERROR(IF(COUNTIFS(Pointage_brut!$E:$E,VLOOKUP($B117,Annuaire_roster!$B:$J,9,0),Pointage_brut!$A:$A,TEXT($Q117,"yyyymmdd")*1)=0,"",MOD(_xlfn.MINIFS(Pointage_brut!$F:$F,Pointage_brut!$E:$E,VLOOKUP($B117,Annuaire_roster!$B:$J,9,0),Pointage_brut!$A:$A,TEXT($Q117,"yyyymmdd")*1),1)),"")</f>
        <v/>
      </c>
      <c r="D117" s="25" t="n">
        <f aca="false" t="array" ref="D117:D117">IFERROR(INDEX(Planning2[],MATCH(1,(Planning2[Nom]=B117)*(Planning2[Date]=Q117),0),3),"-")</f>
        <v>0.416666666666667</v>
      </c>
      <c r="E117" s="26" t="str">
        <f aca="false">IFERROR(IF(COUNTIFS(Pointage_brut!$E:$E,VLOOKUP($B117,Annuaire_roster!$B:$J,9,0),Pointage_brut!$A:$A,TEXT($Q117,"yyyymmdd")*1)=0,"",MOD(_xlfn.MAXIFS(Pointage_brut!$G:$G,Pointage_brut!$E:$E,VLOOKUP($B117,Annuaire_roster!$B:$J,9,0),Pointage_brut!$A:$A,TEXT($Q117,"yyyymmdd")*1),1)),"")</f>
        <v/>
      </c>
      <c r="F117" s="27" t="n">
        <f aca="false" t="array" ref="F117:F117">IFERROR(INDEX(Planning2[],MATCH(1,(Planning2[Nom]=B117)*(Planning2[Date]=Q117),0),4),"-")</f>
        <v>0.833333333333333</v>
      </c>
      <c r="G117" s="28"/>
      <c r="H117" s="28"/>
      <c r="I117" s="29" t="str">
        <f aca="false">IF(IF(OR(C117="",D117="Congé",D117="OFF",D117="Congé spécial"),"",IF(D117&gt;F117,D117-C117,IF(C117-D117&lt;0,0,C117-D117)))&lt;0.00068287037037037,"",IF(OR(D117="Congé",D117="OFF",C117="",D117="Congé spécial"),"",IF(D117&gt;F117,D117-C117,IF(C117-D117&lt;0,0,C117-D117))))</f>
        <v/>
      </c>
      <c r="J117" s="28"/>
      <c r="K117" s="30" t="n">
        <f aca="false">IF(SUM(H117:J117)&lt;0.00068287037037037,0,SUM(H117:J117))</f>
        <v>0</v>
      </c>
      <c r="L117" s="28" t="n">
        <f aca="false">IF(OR(F117="Congé",F117="OFF",M117="Abs",F117="Congé sans solde",F117="Férié",F117="Congé spécial",D117="Congé spécial"),0,IF(F117-E117&lt;0,0,IF(F117-E117&lt;=0.00068287037037037,0,F117-E117)))</f>
        <v>0</v>
      </c>
      <c r="M117" s="31" t="str">
        <f aca="false">IF(AND(O117&lt;&gt;0,C117=""),"Abs",0)</f>
        <v>Abs</v>
      </c>
      <c r="N117" s="32" t="str">
        <f aca="false">IFERROR(IF(OR(D117="OFF",D117="Congé",M117="Abs",D117="Congé sans solde",D117="Férié"),"",IF(O117-K117-L117&gt;O117,O117,IF(O117-K117-L117&lt;0,"",O117-K117-L117))),"")</f>
        <v/>
      </c>
      <c r="O117" s="33" t="n">
        <f aca="false">IF(AG117="2H Pause déjeuner",IF(F117-D117-0.0833333333333333&lt;0,F117-D117-0.0833333333333333+1,F117-D117-0.0833333333333333),IF(OR(AND(F117="OFF",D117="OFF"),AND(F117="Congé",D117="Congé"),AND(F117="Congé sans solde",D117="Congé sans solde"),AND(F117="Congé spécial",D117="Congé spécial"),AND(F117="Férié",D117="Férié"),AND(F117="OFF",D117="Congé"),AND(F117="OFF",D117="Congé sans solde"),AND(F117="OFF",D117="Congé spécial"),AND(F117="OFF",D117="Férié"),AND(F117="Congé",D117="OFF"),AND(F117="Congé",D117="Congé sans solde"),AND(F117="Congé",D117="Congé spécial"),AND(F117="Congé",D117="Férié"),AND(F117="Congé sans solde",D117="OFF"),AND(F117="Congé sans solde",D117="Congé"),AND(F117="Congé sans solde",D117="Congé spécial"),AND(F117="Congé sans solde",D117="Férié"),AND(F117="Congé spécial",D117="OFF"),AND(F117="Congé spécial",D117="Congé"),AND(F117="Congé spécial",D117="Congé sans solde"),AND(F117="Congé spécial",D117="Férié"),AND(F117="Férié",D117="OFF"),AND(F117="Férié",D117="Congé"),AND(F117="Férié",D117="Congé sans solde"),AND(F117="Férié",D117="Congé spécial")),0,IF(OR(F117="OFF",F117="Congé",F117="Congé spécial",F117="Congé sans solde",D117="OFF",D117="Congé",D117="Congé spécial",D117="Congé sans solde"),0.208333333333334,IF(AND(AG117="",F117-D117&lt;0),("24:00:00"-D117)+("00:00:00"+F117)-0.0416666666666667,IF(AND(OR(AG117="Allaitement",AG117="Sans déjeuner"),F117-D117&lt;0),("24:00:00"-D117)+("00:00:00"+F117),IF(AND(AG117="",F117-D117&gt;0.166666666666667),F117-D117-0.0416666666666667,IF(AND(OR(AG117="Allaitement",AG117="Sans déjeuner"),F117-D117&gt;0.166666666666667),F117-D117,F117-D117)))))))</f>
        <v>0.375</v>
      </c>
      <c r="P117" s="34" t="str">
        <f aca="false">IFERROR(VLOOKUP($B117,Annuaire_roster!$B:$G,MATCH(P$1,Annuaire_roster!$B$1:$G$1,0),0),"-")</f>
        <v>Google Leads</v>
      </c>
      <c r="Q117" s="35" t="n">
        <v>44720</v>
      </c>
      <c r="R117" s="36" t="n">
        <f aca="false">IF(M117="Abs",O117,0)</f>
        <v>0.375</v>
      </c>
      <c r="S117" s="36" t="n">
        <f aca="false">SUM(R117,L117,I117,J117,W117,H117)</f>
        <v>0.375</v>
      </c>
      <c r="T117" s="1" t="str">
        <f aca="false">"Sem - "&amp;WEEKNUM(Q117,21)</f>
        <v>Sem - 24</v>
      </c>
      <c r="U117" s="1" t="str">
        <f aca="false">PROPER(TEXT(Q117,"mmmm"))</f>
        <v>June</v>
      </c>
      <c r="V117" s="37" t="str">
        <f aca="false">+TEXT(Q117,"aaa")</f>
        <v>Tue</v>
      </c>
      <c r="W117" s="32"/>
      <c r="X117" s="38" t="n">
        <f aca="false">IFERROR(IF(M117="Abs",0,IF((D117-C117+E117-F117)&lt;0.000694444444444444,0,(D117-C117+E117-F117))),0)</f>
        <v>0</v>
      </c>
      <c r="Y117" s="39" t="n">
        <f aca="false">IFERROR(VLOOKUP(B117,Annuaire_roster!B:E,4,0),"-")</f>
        <v>0</v>
      </c>
      <c r="Z117" s="39" t="str">
        <f aca="false">IFERROR(VLOOKUP(B117,Annuaire_roster!B:F,3,0),"-")</f>
        <v>Google Leads</v>
      </c>
      <c r="AA117" s="39" t="n">
        <f aca="false">IFERROR(VLOOKUP(B117,Annuaire_roster!B:I,6,0),"-")</f>
        <v>0</v>
      </c>
      <c r="AB117" s="40" t="str">
        <f aca="false">IF(AND(D117="Congé",F117="Congé"),0.333333333333333,IF(OR(AND(D117="Congé",F117&lt;&gt;"Congé"),(AND(F117="Congé",D117&lt;&gt;"Congé"))),0.166666666666667,""))</f>
        <v/>
      </c>
      <c r="AC117" s="40" t="str">
        <f aca="false">IF(AND(D117="Congé sans solde",F117="Congé sans solde"),0.333333333333333,IF(OR(AND(D117="Congé sans solde",F117&lt;&gt;"Congé sans solde"),(AND(F117="Congé sans solde",D117&lt;&gt;"Congé sans solde"))),0.166666666666667,""))</f>
        <v/>
      </c>
      <c r="AD117" s="40" t="str">
        <f aca="false">IF(AND(D117="Congé spécial",F117="Congé spécial"),0.333333333333333,IF(OR(AND(D117="Congé spécial",F117&lt;&gt;"Congé décès"),(AND(F117="Congé spécial",D117&lt;&gt;"Congé spécial"))),0.166666666666667,""))</f>
        <v/>
      </c>
      <c r="AE117" s="41" t="str">
        <f aca="false">IF(AND(D117="Férié",F117="Férié"),0.333333333333333,IF(OR(AND(D117="Férié",F117&lt;&gt;"Férié"),(AND(F117="Férié",D117&lt;&gt;"Férié"))),0.166666666666667,""))</f>
        <v/>
      </c>
      <c r="AF117" s="41"/>
      <c r="AG117" s="36"/>
    </row>
    <row r="118" customFormat="false" ht="12.75" hidden="true" customHeight="true" outlineLevel="0" collapsed="false">
      <c r="A118" s="22" t="n">
        <f aca="false">VLOOKUP(B118,Annuaire_roster!B:F,5,0)</f>
        <v>0</v>
      </c>
      <c r="B118" s="23" t="s">
        <v>62</v>
      </c>
      <c r="C118" s="24" t="str">
        <f aca="false">IFERROR(IF(COUNTIFS(Pointage_brut!$E:$E,VLOOKUP($B118,Annuaire_roster!$B:$J,9,0),Pointage_brut!$A:$A,TEXT($Q118,"yyyymmdd")*1)=0,"",MOD(_xlfn.MINIFS(Pointage_brut!$F:$F,Pointage_brut!$E:$E,VLOOKUP($B118,Annuaire_roster!$B:$J,9,0),Pointage_brut!$A:$A,TEXT($Q118,"yyyymmdd")*1),1)),"")</f>
        <v/>
      </c>
      <c r="D118" s="25" t="n">
        <f aca="false" t="array" ref="D118:D118">IFERROR(INDEX(Planning2[],MATCH(1,(Planning2[Nom]=B118)*(Planning2[Date]=Q118),0),3),"-")</f>
        <v>0.416666666666667</v>
      </c>
      <c r="E118" s="26" t="str">
        <f aca="false">IFERROR(IF(COUNTIFS(Pointage_brut!$E:$E,VLOOKUP($B118,Annuaire_roster!$B:$J,9,0),Pointage_brut!$A:$A,TEXT($Q118,"yyyymmdd")*1)=0,"",MOD(_xlfn.MAXIFS(Pointage_brut!$G:$G,Pointage_brut!$E:$E,VLOOKUP($B118,Annuaire_roster!$B:$J,9,0),Pointage_brut!$A:$A,TEXT($Q118,"yyyymmdd")*1),1)),"")</f>
        <v/>
      </c>
      <c r="F118" s="27" t="n">
        <f aca="false" t="array" ref="F118:F118">IFERROR(INDEX(Planning2[],MATCH(1,(Planning2[Nom]=B118)*(Planning2[Date]=Q118),0),4),"-")</f>
        <v>0.833333333333333</v>
      </c>
      <c r="G118" s="28"/>
      <c r="H118" s="28"/>
      <c r="I118" s="29" t="str">
        <f aca="false">IF(IF(OR(C118="",D118="Congé",D118="OFF",D118="Congé spécial"),"",IF(D118&gt;F118,D118-C118,IF(C118-D118&lt;0,0,C118-D118)))&lt;0.00068287037037037,"",IF(OR(D118="Congé",D118="OFF",C118="",D118="Congé spécial"),"",IF(D118&gt;F118,D118-C118,IF(C118-D118&lt;0,0,C118-D118))))</f>
        <v/>
      </c>
      <c r="J118" s="28"/>
      <c r="K118" s="30" t="n">
        <f aca="false">IF(SUM(H118:J118)&lt;0.00068287037037037,0,SUM(H118:J118))</f>
        <v>0</v>
      </c>
      <c r="L118" s="28" t="n">
        <f aca="false">IF(OR(F118="Congé",F118="OFF",M118="Abs",F118="Congé sans solde",F118="Férié",F118="Congé spécial",D118="Congé spécial"),0,IF(F118-E118&lt;0,0,IF(F118-E118&lt;=0.00068287037037037,0,F118-E118)))</f>
        <v>0</v>
      </c>
      <c r="M118" s="31" t="str">
        <f aca="false">IF(AND(O118&lt;&gt;0,C118=""),"Abs",0)</f>
        <v>Abs</v>
      </c>
      <c r="N118" s="32" t="str">
        <f aca="false">IFERROR(IF(OR(D118="OFF",D118="Congé",M118="Abs",D118="Congé sans solde",D118="Férié"),"",IF(O118-K118-L118&gt;O118,O118,IF(O118-K118-L118&lt;0,"",O118-K118-L118))),"")</f>
        <v/>
      </c>
      <c r="O118" s="33" t="n">
        <f aca="false">IF(AG118="2H Pause déjeuner",IF(F118-D118-0.0833333333333333&lt;0,F118-D118-0.0833333333333333+1,F118-D118-0.0833333333333333),IF(OR(AND(F118="OFF",D118="OFF"),AND(F118="Congé",D118="Congé"),AND(F118="Congé sans solde",D118="Congé sans solde"),AND(F118="Congé spécial",D118="Congé spécial"),AND(F118="Férié",D118="Férié"),AND(F118="OFF",D118="Congé"),AND(F118="OFF",D118="Congé sans solde"),AND(F118="OFF",D118="Congé spécial"),AND(F118="OFF",D118="Férié"),AND(F118="Congé",D118="OFF"),AND(F118="Congé",D118="Congé sans solde"),AND(F118="Congé",D118="Congé spécial"),AND(F118="Congé",D118="Férié"),AND(F118="Congé sans solde",D118="OFF"),AND(F118="Congé sans solde",D118="Congé"),AND(F118="Congé sans solde",D118="Congé spécial"),AND(F118="Congé sans solde",D118="Férié"),AND(F118="Congé spécial",D118="OFF"),AND(F118="Congé spécial",D118="Congé"),AND(F118="Congé spécial",D118="Congé sans solde"),AND(F118="Congé spécial",D118="Férié"),AND(F118="Férié",D118="OFF"),AND(F118="Férié",D118="Congé"),AND(F118="Férié",D118="Congé sans solde"),AND(F118="Férié",D118="Congé spécial")),0,IF(OR(F118="OFF",F118="Congé",F118="Congé spécial",F118="Congé sans solde",D118="OFF",D118="Congé",D118="Congé spécial",D118="Congé sans solde"),0.208333333333334,IF(AND(AG118="",F118-D118&lt;0),("24:00:00"-D118)+("00:00:00"+F118)-0.0416666666666667,IF(AND(OR(AG118="Allaitement",AG118="Sans déjeuner"),F118-D118&lt;0),("24:00:00"-D118)+("00:00:00"+F118),IF(AND(AG118="",F118-D118&gt;0.166666666666667),F118-D118-0.0416666666666667,IF(AND(OR(AG118="Allaitement",AG118="Sans déjeuner"),F118-D118&gt;0.166666666666667),F118-D118,F118-D118)))))))</f>
        <v>0.375</v>
      </c>
      <c r="P118" s="34" t="str">
        <f aca="false">IFERROR(VLOOKUP($B118,Annuaire_roster!$B:$G,MATCH(P$1,Annuaire_roster!$B$1:$G$1,0),0),"-")</f>
        <v>Google Leads</v>
      </c>
      <c r="Q118" s="35" t="n">
        <v>44720</v>
      </c>
      <c r="R118" s="36" t="n">
        <f aca="false">IF(M118="Abs",O118,0)</f>
        <v>0.375</v>
      </c>
      <c r="S118" s="36" t="n">
        <f aca="false">SUM(R118,L118,I118,J118,W118,H118)</f>
        <v>0.375</v>
      </c>
      <c r="T118" s="1" t="str">
        <f aca="false">"Sem - "&amp;WEEKNUM(Q118,21)</f>
        <v>Sem - 24</v>
      </c>
      <c r="U118" s="1" t="str">
        <f aca="false">PROPER(TEXT(Q118,"mmmm"))</f>
        <v>June</v>
      </c>
      <c r="V118" s="37" t="str">
        <f aca="false">+TEXT(Q118,"aaa")</f>
        <v>Tue</v>
      </c>
      <c r="W118" s="32"/>
      <c r="X118" s="38" t="n">
        <f aca="false">IFERROR(IF(M118="Abs",0,IF((D118-C118+E118-F118)&lt;0.000694444444444444,0,(D118-C118+E118-F118))),0)</f>
        <v>0</v>
      </c>
      <c r="Y118" s="39" t="n">
        <f aca="false">IFERROR(VLOOKUP(B118,Annuaire_roster!B:E,4,0),"-")</f>
        <v>0</v>
      </c>
      <c r="Z118" s="39" t="str">
        <f aca="false">IFERROR(VLOOKUP(B118,Annuaire_roster!B:F,3,0),"-")</f>
        <v>Google Leads</v>
      </c>
      <c r="AA118" s="39" t="n">
        <f aca="false">IFERROR(VLOOKUP(B118,Annuaire_roster!B:I,6,0),"-")</f>
        <v>0</v>
      </c>
      <c r="AB118" s="40" t="str">
        <f aca="false">IF(AND(D118="Congé",F118="Congé"),0.333333333333333,IF(OR(AND(D118="Congé",F118&lt;&gt;"Congé"),(AND(F118="Congé",D118&lt;&gt;"Congé"))),0.166666666666667,""))</f>
        <v/>
      </c>
      <c r="AC118" s="40" t="str">
        <f aca="false">IF(AND(D118="Congé sans solde",F118="Congé sans solde"),0.333333333333333,IF(OR(AND(D118="Congé sans solde",F118&lt;&gt;"Congé sans solde"),(AND(F118="Congé sans solde",D118&lt;&gt;"Congé sans solde"))),0.166666666666667,""))</f>
        <v/>
      </c>
      <c r="AD118" s="40" t="str">
        <f aca="false">IF(AND(D118="Congé spécial",F118="Congé spécial"),0.333333333333333,IF(OR(AND(D118="Congé spécial",F118&lt;&gt;"Congé décès"),(AND(F118="Congé spécial",D118&lt;&gt;"Congé spécial"))),0.166666666666667,""))</f>
        <v/>
      </c>
      <c r="AE118" s="41" t="str">
        <f aca="false">IF(AND(D118="Férié",F118="Férié"),0.333333333333333,IF(OR(AND(D118="Férié",F118&lt;&gt;"Férié"),(AND(F118="Férié",D118&lt;&gt;"Férié"))),0.166666666666667,""))</f>
        <v/>
      </c>
      <c r="AF118" s="41"/>
      <c r="AG118" s="36"/>
    </row>
    <row r="119" customFormat="false" ht="12.75" hidden="true" customHeight="true" outlineLevel="0" collapsed="false">
      <c r="A119" s="22" t="n">
        <f aca="false">VLOOKUP(B119,Annuaire_roster!B:F,5,0)</f>
        <v>1165</v>
      </c>
      <c r="B119" s="23" t="s">
        <v>40</v>
      </c>
      <c r="C119" s="24" t="str">
        <f aca="false">IFERROR(IF(COUNTIFS(Pointage_brut!$E:$E,VLOOKUP($B119,Annuaire_roster!$B:$J,9,0),Pointage_brut!$A:$A,TEXT($Q119,"yyyymmdd")*1)=0,"",MOD(_xlfn.MINIFS(Pointage_brut!$F:$F,Pointage_brut!$E:$E,VLOOKUP($B119,Annuaire_roster!$B:$J,9,0),Pointage_brut!$A:$A,TEXT($Q119,"yyyymmdd")*1),1)),"")</f>
        <v/>
      </c>
      <c r="D119" s="25" t="n">
        <f aca="false" t="array" ref="D119:D119">IFERROR(INDEX(Planning2[],MATCH(1,(Planning2[Nom]=B119)*(Planning2[Date]=Q119),0),3),"-")</f>
        <v>0.416666666666667</v>
      </c>
      <c r="E119" s="26" t="str">
        <f aca="false">IFERROR(IF(COUNTIFS(Pointage_brut!$E:$E,VLOOKUP($B119,Annuaire_roster!$B:$J,9,0),Pointage_brut!$A:$A,TEXT($Q119,"yyyymmdd")*1)=0,"",MOD(_xlfn.MAXIFS(Pointage_brut!$G:$G,Pointage_brut!$E:$E,VLOOKUP($B119,Annuaire_roster!$B:$J,9,0),Pointage_brut!$A:$A,TEXT($Q119,"yyyymmdd")*1),1)),"")</f>
        <v/>
      </c>
      <c r="F119" s="27" t="n">
        <f aca="false" t="array" ref="F119:F119">IFERROR(INDEX(Planning2[],MATCH(1,(Planning2[Nom]=B119)*(Planning2[Date]=Q119),0),4),"-")</f>
        <v>0.833333333333333</v>
      </c>
      <c r="G119" s="28"/>
      <c r="H119" s="28"/>
      <c r="I119" s="29" t="str">
        <f aca="false">IF(IF(OR(C119="",D119="Congé",D119="OFF",D119="Congé spécial"),"",IF(D119&gt;F119,D119-C119,IF(C119-D119&lt;0,0,C119-D119)))&lt;0.00068287037037037,"",IF(OR(D119="Congé",D119="OFF",C119="",D119="Congé spécial"),"",IF(D119&gt;F119,D119-C119,IF(C119-D119&lt;0,0,C119-D119))))</f>
        <v/>
      </c>
      <c r="J119" s="28"/>
      <c r="K119" s="30" t="n">
        <f aca="false">IF(SUM(H119:J119)&lt;0.00068287037037037,0,SUM(H119:J119))</f>
        <v>0</v>
      </c>
      <c r="L119" s="28" t="n">
        <f aca="false">IF(OR(F119="Congé",F119="OFF",M119="Abs",F119="Congé sans solde",F119="Férié",F119="Congé spécial",D119="Congé spécial"),0,IF(F119-E119&lt;0,0,IF(F119-E119&lt;=0.00068287037037037,0,F119-E119)))</f>
        <v>0</v>
      </c>
      <c r="M119" s="31" t="str">
        <f aca="false">IF(AND(O119&lt;&gt;0,C119=""),"Abs",0)</f>
        <v>Abs</v>
      </c>
      <c r="N119" s="32" t="str">
        <f aca="false">IFERROR(IF(OR(D119="OFF",D119="Congé",M119="Abs",D119="Congé sans solde",D119="Férié"),"",IF(O119-K119-L119&gt;O119,O119,IF(O119-K119-L119&lt;0,"",O119-K119-L119))),"")</f>
        <v/>
      </c>
      <c r="O119" s="33" t="n">
        <f aca="false">IF(AG119="2H Pause déjeuner",IF(F119-D119-0.0833333333333333&lt;0,F119-D119-0.0833333333333333+1,F119-D119-0.0833333333333333),IF(OR(AND(F119="OFF",D119="OFF"),AND(F119="Congé",D119="Congé"),AND(F119="Congé sans solde",D119="Congé sans solde"),AND(F119="Congé spécial",D119="Congé spécial"),AND(F119="Férié",D119="Férié"),AND(F119="OFF",D119="Congé"),AND(F119="OFF",D119="Congé sans solde"),AND(F119="OFF",D119="Congé spécial"),AND(F119="OFF",D119="Férié"),AND(F119="Congé",D119="OFF"),AND(F119="Congé",D119="Congé sans solde"),AND(F119="Congé",D119="Congé spécial"),AND(F119="Congé",D119="Férié"),AND(F119="Congé sans solde",D119="OFF"),AND(F119="Congé sans solde",D119="Congé"),AND(F119="Congé sans solde",D119="Congé spécial"),AND(F119="Congé sans solde",D119="Férié"),AND(F119="Congé spécial",D119="OFF"),AND(F119="Congé spécial",D119="Congé"),AND(F119="Congé spécial",D119="Congé sans solde"),AND(F119="Congé spécial",D119="Férié"),AND(F119="Férié",D119="OFF"),AND(F119="Férié",D119="Congé"),AND(F119="Férié",D119="Congé sans solde"),AND(F119="Férié",D119="Congé spécial")),0,IF(OR(F119="OFF",F119="Congé",F119="Congé spécial",F119="Congé sans solde",D119="OFF",D119="Congé",D119="Congé spécial",D119="Congé sans solde"),0.208333333333334,IF(AND(AG119="",F119-D119&lt;0),("24:00:00"-D119)+("00:00:00"+F119)-0.0416666666666667,IF(AND(OR(AG119="Allaitement",AG119="Sans déjeuner"),F119-D119&lt;0),("24:00:00"-D119)+("00:00:00"+F119),IF(AND(AG119="",F119-D119&gt;0.166666666666667),F119-D119-0.0416666666666667,IF(AND(OR(AG119="Allaitement",AG119="Sans déjeuner"),F119-D119&gt;0.166666666666667),F119-D119,F119-D119)))))))</f>
        <v>0.375</v>
      </c>
      <c r="P119" s="34" t="str">
        <f aca="false">IFERROR(VLOOKUP($B119,Annuaire_roster!$B:$G,MATCH(P$1,Annuaire_roster!$B$1:$G$1,0),0),"-")</f>
        <v>Google Leads</v>
      </c>
      <c r="Q119" s="35" t="n">
        <v>44720</v>
      </c>
      <c r="R119" s="36" t="n">
        <f aca="false">IF(M119="Abs",O119,0)</f>
        <v>0.375</v>
      </c>
      <c r="S119" s="36" t="n">
        <f aca="false">SUM(R119,L119,I119,J119,W119,H119)</f>
        <v>0.375</v>
      </c>
      <c r="T119" s="1" t="str">
        <f aca="false">"Sem - "&amp;WEEKNUM(Q119,21)</f>
        <v>Sem - 24</v>
      </c>
      <c r="U119" s="1" t="str">
        <f aca="false">PROPER(TEXT(Q119,"mmmm"))</f>
        <v>June</v>
      </c>
      <c r="V119" s="37" t="str">
        <f aca="false">+TEXT(Q119,"aaa")</f>
        <v>Tue</v>
      </c>
      <c r="W119" s="32"/>
      <c r="X119" s="38" t="n">
        <f aca="false">IFERROR(IF(M119="Abs",0,IF((D119-C119+E119-F119)&lt;0.000694444444444444,0,(D119-C119+E119-F119))),0)</f>
        <v>0</v>
      </c>
      <c r="Y119" s="39" t="str">
        <f aca="false">IFERROR(VLOOKUP(B119,Annuaire_roster!B:E,4,0),"-")</f>
        <v>OUAQERROUCH Nour-El Houda</v>
      </c>
      <c r="Z119" s="39" t="str">
        <f aca="false">IFERROR(VLOOKUP(B119,Annuaire_roster!B:F,3,0),"-")</f>
        <v>Google Leads</v>
      </c>
      <c r="AA119" s="39" t="str">
        <f aca="false">IFERROR(VLOOKUP(B119,Annuaire_roster!B:I,6,0),"-")</f>
        <v>Forfaitaire</v>
      </c>
      <c r="AB119" s="40" t="str">
        <f aca="false">IF(AND(D119="Congé",F119="Congé"),0.333333333333333,IF(OR(AND(D119="Congé",F119&lt;&gt;"Congé"),(AND(F119="Congé",D119&lt;&gt;"Congé"))),0.166666666666667,""))</f>
        <v/>
      </c>
      <c r="AC119" s="40" t="str">
        <f aca="false">IF(AND(D119="Congé sans solde",F119="Congé sans solde"),0.333333333333333,IF(OR(AND(D119="Congé sans solde",F119&lt;&gt;"Congé sans solde"),(AND(F119="Congé sans solde",D119&lt;&gt;"Congé sans solde"))),0.166666666666667,""))</f>
        <v/>
      </c>
      <c r="AD119" s="40" t="str">
        <f aca="false">IF(AND(D119="Congé spécial",F119="Congé spécial"),0.333333333333333,IF(OR(AND(D119="Congé spécial",F119&lt;&gt;"Congé décès"),(AND(F119="Congé spécial",D119&lt;&gt;"Congé spécial"))),0.166666666666667,""))</f>
        <v/>
      </c>
      <c r="AE119" s="41" t="str">
        <f aca="false">IF(AND(D119="Férié",F119="Férié"),0.333333333333333,IF(OR(AND(D119="Férié",F119&lt;&gt;"Férié"),(AND(F119="Férié",D119&lt;&gt;"Férié"))),0.166666666666667,""))</f>
        <v/>
      </c>
      <c r="AF119" s="41"/>
      <c r="AG119" s="36"/>
    </row>
    <row r="120" customFormat="false" ht="12.75" hidden="true" customHeight="true" outlineLevel="0" collapsed="false">
      <c r="A120" s="22" t="n">
        <f aca="false">VLOOKUP(B120,Annuaire_roster!B:F,5,0)</f>
        <v>397</v>
      </c>
      <c r="B120" s="23" t="s">
        <v>56</v>
      </c>
      <c r="C120" s="24" t="str">
        <f aca="false">IFERROR(IF(COUNTIFS(Pointage_brut!$E:$E,VLOOKUP($B120,Annuaire_roster!$B:$J,9,0),Pointage_brut!$A:$A,TEXT($Q120,"yyyymmdd")*1)=0,"",MOD(_xlfn.MINIFS(Pointage_brut!$F:$F,Pointage_brut!$E:$E,VLOOKUP($B120,Annuaire_roster!$B:$J,9,0),Pointage_brut!$A:$A,TEXT($Q120,"yyyymmdd")*1),1)),"")</f>
        <v/>
      </c>
      <c r="D120" s="25" t="str">
        <f aca="false" t="array" ref="D120:D120">IFERROR(INDEX(Planning2[],MATCH(1,(Planning2[Nom]=B120)*(Planning2[Date]=Q120),0),3),"-")</f>
        <v>Congé</v>
      </c>
      <c r="E120" s="26" t="str">
        <f aca="false">IFERROR(IF(COUNTIFS(Pointage_brut!$E:$E,VLOOKUP($B120,Annuaire_roster!$B:$J,9,0),Pointage_brut!$A:$A,TEXT($Q120,"yyyymmdd")*1)=0,"",MOD(_xlfn.MAXIFS(Pointage_brut!$G:$G,Pointage_brut!$E:$E,VLOOKUP($B120,Annuaire_roster!$B:$J,9,0),Pointage_brut!$A:$A,TEXT($Q120,"yyyymmdd")*1),1)),"")</f>
        <v/>
      </c>
      <c r="F120" s="27" t="str">
        <f aca="false" t="array" ref="F120:F120">IFERROR(INDEX(Planning2[],MATCH(1,(Planning2[Nom]=B120)*(Planning2[Date]=Q120),0),4),"-")</f>
        <v>Congé</v>
      </c>
      <c r="G120" s="28"/>
      <c r="H120" s="28"/>
      <c r="I120" s="29" t="str">
        <f aca="false">IF(IF(OR(C120="",D120="Congé",D120="OFF",D120="Congé spécial"),"",IF(D120&gt;F120,D120-C120,IF(C120-D120&lt;0,0,C120-D120)))&lt;0.00068287037037037,"",IF(OR(D120="Congé",D120="OFF",C120="",D120="Congé spécial"),"",IF(D120&gt;F120,D120-C120,IF(C120-D120&lt;0,0,C120-D120))))</f>
        <v/>
      </c>
      <c r="J120" s="28"/>
      <c r="K120" s="30" t="n">
        <f aca="false">IF(SUM(H120:J120)&lt;0.00068287037037037,0,SUM(H120:J120))</f>
        <v>0</v>
      </c>
      <c r="L120" s="28" t="n">
        <f aca="false">IF(OR(F120="Congé",F120="OFF",M120="Abs",F120="Congé sans solde",F120="Férié",F120="Congé spécial",D120="Congé spécial"),0,IF(F120-E120&lt;0,0,IF(F120-E120&lt;=0.00068287037037037,0,F120-E120)))</f>
        <v>0</v>
      </c>
      <c r="M120" s="31" t="n">
        <f aca="false">IF(AND(O120&lt;&gt;0,C120=""),"Abs",0)</f>
        <v>0</v>
      </c>
      <c r="N120" s="32" t="str">
        <f aca="false">IFERROR(IF(OR(D120="OFF",D120="Congé",M120="Abs",D120="Congé sans solde",D120="Férié"),"",IF(O120-K120-L120&gt;O120,O120,IF(O120-K120-L120&lt;0,"",O120-K120-L120))),"")</f>
        <v/>
      </c>
      <c r="O120" s="33" t="n">
        <f aca="false">IF(AG120="2H Pause déjeuner",IF(F120-D120-0.0833333333333333&lt;0,F120-D120-0.0833333333333333+1,F120-D120-0.0833333333333333),IF(OR(AND(F120="OFF",D120="OFF"),AND(F120="Congé",D120="Congé"),AND(F120="Congé sans solde",D120="Congé sans solde"),AND(F120="Congé spécial",D120="Congé spécial"),AND(F120="Férié",D120="Férié"),AND(F120="OFF",D120="Congé"),AND(F120="OFF",D120="Congé sans solde"),AND(F120="OFF",D120="Congé spécial"),AND(F120="OFF",D120="Férié"),AND(F120="Congé",D120="OFF"),AND(F120="Congé",D120="Congé sans solde"),AND(F120="Congé",D120="Congé spécial"),AND(F120="Congé",D120="Férié"),AND(F120="Congé sans solde",D120="OFF"),AND(F120="Congé sans solde",D120="Congé"),AND(F120="Congé sans solde",D120="Congé spécial"),AND(F120="Congé sans solde",D120="Férié"),AND(F120="Congé spécial",D120="OFF"),AND(F120="Congé spécial",D120="Congé"),AND(F120="Congé spécial",D120="Congé sans solde"),AND(F120="Congé spécial",D120="Férié"),AND(F120="Férié",D120="OFF"),AND(F120="Férié",D120="Congé"),AND(F120="Férié",D120="Congé sans solde"),AND(F120="Férié",D120="Congé spécial")),0,IF(OR(F120="OFF",F120="Congé",F120="Congé spécial",F120="Congé sans solde",D120="OFF",D120="Congé",D120="Congé spécial",D120="Congé sans solde"),0.208333333333334,IF(AND(AG120="",F120-D120&lt;0),("24:00:00"-D120)+("00:00:00"+F120)-0.0416666666666667,IF(AND(OR(AG120="Allaitement",AG120="Sans déjeuner"),F120-D120&lt;0),("24:00:00"-D120)+("00:00:00"+F120),IF(AND(AG120="",F120-D120&gt;0.166666666666667),F120-D120-0.0416666666666667,IF(AND(OR(AG120="Allaitement",AG120="Sans déjeuner"),F120-D120&gt;0.166666666666667),F120-D120,F120-D120)))))))</f>
        <v>0</v>
      </c>
      <c r="P120" s="34" t="str">
        <f aca="false">IFERROR(VLOOKUP($B120,Annuaire_roster!$B:$G,MATCH(P$1,Annuaire_roster!$B$1:$G$1,0),0),"-")</f>
        <v>Google Leads</v>
      </c>
      <c r="Q120" s="35" t="n">
        <v>44720</v>
      </c>
      <c r="R120" s="36" t="n">
        <f aca="false">IF(M120="Abs",O120,0)</f>
        <v>0</v>
      </c>
      <c r="S120" s="36" t="n">
        <f aca="false">SUM(R120,L120,I120,J120,W120,H120)</f>
        <v>0</v>
      </c>
      <c r="T120" s="1" t="str">
        <f aca="false">"Sem - "&amp;WEEKNUM(Q120,21)</f>
        <v>Sem - 24</v>
      </c>
      <c r="U120" s="1" t="str">
        <f aca="false">PROPER(TEXT(Q120,"mmmm"))</f>
        <v>June</v>
      </c>
      <c r="V120" s="37" t="str">
        <f aca="false">+TEXT(Q120,"aaa")</f>
        <v>Tue</v>
      </c>
      <c r="W120" s="32"/>
      <c r="X120" s="38" t="n">
        <f aca="false">IFERROR(IF(M120="Abs",0,IF((D120-C120+E120-F120)&lt;0.000694444444444444,0,(D120-C120+E120-F120))),0)</f>
        <v>0</v>
      </c>
      <c r="Y120" s="39" t="str">
        <f aca="false">IFERROR(VLOOKUP(B120,Annuaire_roster!B:E,4,0),"-")</f>
        <v>OUAQERROUCH Nour-El Houda</v>
      </c>
      <c r="Z120" s="39" t="str">
        <f aca="false">IFERROR(VLOOKUP(B120,Annuaire_roster!B:F,3,0),"-")</f>
        <v>Google Leads</v>
      </c>
      <c r="AA120" s="39" t="str">
        <f aca="false">IFERROR(VLOOKUP(B120,Annuaire_roster!B:I,6,0),"-")</f>
        <v>Forfaitaire</v>
      </c>
      <c r="AB120" s="40" t="n">
        <f aca="false">IF(AND(D120="Congé",F120="Congé"),0.333333333333333,IF(OR(AND(D120="Congé",F120&lt;&gt;"Congé"),(AND(F120="Congé",D120&lt;&gt;"Congé"))),0.166666666666667,""))</f>
        <v>0.333333333333333</v>
      </c>
      <c r="AC120" s="40" t="str">
        <f aca="false">IF(AND(D120="Congé sans solde",F120="Congé sans solde"),0.333333333333333,IF(OR(AND(D120="Congé sans solde",F120&lt;&gt;"Congé sans solde"),(AND(F120="Congé sans solde",D120&lt;&gt;"Congé sans solde"))),0.166666666666667,""))</f>
        <v/>
      </c>
      <c r="AD120" s="40" t="str">
        <f aca="false">IF(AND(D120="Congé spécial",F120="Congé spécial"),0.333333333333333,IF(OR(AND(D120="Congé spécial",F120&lt;&gt;"Congé décès"),(AND(F120="Congé spécial",D120&lt;&gt;"Congé spécial"))),0.166666666666667,""))</f>
        <v/>
      </c>
      <c r="AE120" s="41" t="str">
        <f aca="false">IF(AND(D120="Férié",F120="Férié"),0.333333333333333,IF(OR(AND(D120="Férié",F120&lt;&gt;"Férié"),(AND(F120="Férié",D120&lt;&gt;"Férié"))),0.166666666666667,""))</f>
        <v/>
      </c>
      <c r="AF120" s="41"/>
      <c r="AG120" s="36"/>
    </row>
    <row r="121" customFormat="false" ht="12.75" hidden="true" customHeight="true" outlineLevel="0" collapsed="false">
      <c r="A121" s="22" t="n">
        <f aca="false">VLOOKUP(B121,Annuaire_roster!B:F,5,0)</f>
        <v>894</v>
      </c>
      <c r="B121" s="23" t="s">
        <v>57</v>
      </c>
      <c r="C121" s="24" t="str">
        <f aca="false">IFERROR(IF(COUNTIFS(Pointage_brut!$E:$E,VLOOKUP($B121,Annuaire_roster!$B:$J,9,0),Pointage_brut!$A:$A,TEXT($Q121,"yyyymmdd")*1)=0,"",MOD(_xlfn.MINIFS(Pointage_brut!$F:$F,Pointage_brut!$E:$E,VLOOKUP($B121,Annuaire_roster!$B:$J,9,0),Pointage_brut!$A:$A,TEXT($Q121,"yyyymmdd")*1),1)),"")</f>
        <v/>
      </c>
      <c r="D121" s="25" t="str">
        <f aca="false" t="array" ref="D121:D121">IFERROR(INDEX(Planning2[],MATCH(1,(Planning2[Nom]=B121)*(Planning2[Date]=Q121),0),3),"-")</f>
        <v>OFF</v>
      </c>
      <c r="E121" s="26" t="str">
        <f aca="false">IFERROR(IF(COUNTIFS(Pointage_brut!$E:$E,VLOOKUP($B121,Annuaire_roster!$B:$J,9,0),Pointage_brut!$A:$A,TEXT($Q121,"yyyymmdd")*1)=0,"",MOD(_xlfn.MAXIFS(Pointage_brut!$G:$G,Pointage_brut!$E:$E,VLOOKUP($B121,Annuaire_roster!$B:$J,9,0),Pointage_brut!$A:$A,TEXT($Q121,"yyyymmdd")*1),1)),"")</f>
        <v/>
      </c>
      <c r="F121" s="27" t="str">
        <f aca="false" t="array" ref="F121:F121">IFERROR(INDEX(Planning2[],MATCH(1,(Planning2[Nom]=B121)*(Planning2[Date]=Q121),0),4),"-")</f>
        <v>OFF</v>
      </c>
      <c r="G121" s="28"/>
      <c r="H121" s="28"/>
      <c r="I121" s="29" t="str">
        <f aca="false">IF(IF(OR(C121="",D121="Congé",D121="OFF",D121="Congé spécial"),"",IF(D121&gt;F121,D121-C121,IF(C121-D121&lt;0,0,C121-D121)))&lt;0.00068287037037037,"",IF(OR(D121="Congé",D121="OFF",C121="",D121="Congé spécial"),"",IF(D121&gt;F121,D121-C121,IF(C121-D121&lt;0,0,C121-D121))))</f>
        <v/>
      </c>
      <c r="J121" s="28"/>
      <c r="K121" s="30" t="n">
        <f aca="false">IF(SUM(H121:J121)&lt;0.00068287037037037,0,SUM(H121:J121))</f>
        <v>0</v>
      </c>
      <c r="L121" s="28" t="n">
        <f aca="false">IF(OR(F121="Congé",F121="OFF",M121="Abs",F121="Congé sans solde",F121="Férié",F121="Congé spécial",D121="Congé spécial"),0,IF(F121-E121&lt;0,0,IF(F121-E121&lt;=0.00068287037037037,0,F121-E121)))</f>
        <v>0</v>
      </c>
      <c r="M121" s="31" t="n">
        <f aca="false">IF(AND(O121&lt;&gt;0,C121=""),"Abs",0)</f>
        <v>0</v>
      </c>
      <c r="N121" s="32" t="str">
        <f aca="false">IFERROR(IF(OR(D121="OFF",D121="Congé",M121="Abs",D121="Congé sans solde",D121="Férié"),"",IF(O121-K121-L121&gt;O121,O121,IF(O121-K121-L121&lt;0,"",O121-K121-L121))),"")</f>
        <v/>
      </c>
      <c r="O121" s="33" t="n">
        <f aca="false">IF(AG121="2H Pause déjeuner",IF(F121-D121-0.0833333333333333&lt;0,F121-D121-0.0833333333333333+1,F121-D121-0.0833333333333333),IF(OR(AND(F121="OFF",D121="OFF"),AND(F121="Congé",D121="Congé"),AND(F121="Congé sans solde",D121="Congé sans solde"),AND(F121="Congé spécial",D121="Congé spécial"),AND(F121="Férié",D121="Férié"),AND(F121="OFF",D121="Congé"),AND(F121="OFF",D121="Congé sans solde"),AND(F121="OFF",D121="Congé spécial"),AND(F121="OFF",D121="Férié"),AND(F121="Congé",D121="OFF"),AND(F121="Congé",D121="Congé sans solde"),AND(F121="Congé",D121="Congé spécial"),AND(F121="Congé",D121="Férié"),AND(F121="Congé sans solde",D121="OFF"),AND(F121="Congé sans solde",D121="Congé"),AND(F121="Congé sans solde",D121="Congé spécial"),AND(F121="Congé sans solde",D121="Férié"),AND(F121="Congé spécial",D121="OFF"),AND(F121="Congé spécial",D121="Congé"),AND(F121="Congé spécial",D121="Congé sans solde"),AND(F121="Congé spécial",D121="Férié"),AND(F121="Férié",D121="OFF"),AND(F121="Férié",D121="Congé"),AND(F121="Férié",D121="Congé sans solde"),AND(F121="Férié",D121="Congé spécial")),0,IF(OR(F121="OFF",F121="Congé",F121="Congé spécial",F121="Congé sans solde",D121="OFF",D121="Congé",D121="Congé spécial",D121="Congé sans solde"),0.208333333333334,IF(AND(AG121="",F121-D121&lt;0),("24:00:00"-D121)+("00:00:00"+F121)-0.0416666666666667,IF(AND(OR(AG121="Allaitement",AG121="Sans déjeuner"),F121-D121&lt;0),("24:00:00"-D121)+("00:00:00"+F121),IF(AND(AG121="",F121-D121&gt;0.166666666666667),F121-D121-0.0416666666666667,IF(AND(OR(AG121="Allaitement",AG121="Sans déjeuner"),F121-D121&gt;0.166666666666667),F121-D121,F121-D121)))))))</f>
        <v>0</v>
      </c>
      <c r="P121" s="34" t="str">
        <f aca="false">IFERROR(VLOOKUP($B121,Annuaire_roster!$B:$G,MATCH(P$1,Annuaire_roster!$B$1:$G$1,0),0),"-")</f>
        <v>Google Leads</v>
      </c>
      <c r="Q121" s="35" t="n">
        <v>44720</v>
      </c>
      <c r="R121" s="36" t="n">
        <f aca="false">IF(M121="Abs",O121,0)</f>
        <v>0</v>
      </c>
      <c r="S121" s="36" t="n">
        <f aca="false">SUM(R121,L121,I121,J121,W121,H121)</f>
        <v>0</v>
      </c>
      <c r="T121" s="1" t="str">
        <f aca="false">"Sem - "&amp;WEEKNUM(Q121,21)</f>
        <v>Sem - 24</v>
      </c>
      <c r="U121" s="1" t="str">
        <f aca="false">PROPER(TEXT(Q121,"mmmm"))</f>
        <v>June</v>
      </c>
      <c r="V121" s="37" t="str">
        <f aca="false">+TEXT(Q121,"aaa")</f>
        <v>Tue</v>
      </c>
      <c r="W121" s="32"/>
      <c r="X121" s="38" t="n">
        <f aca="false">IFERROR(IF(M121="Abs",0,IF((D121-C121+E121-F121)&lt;0.000694444444444444,0,(D121-C121+E121-F121))),0)</f>
        <v>0</v>
      </c>
      <c r="Y121" s="39" t="str">
        <f aca="false">IFERROR(VLOOKUP(B121,Annuaire_roster!B:E,4,0),"-")</f>
        <v>OUAQERROUCH Nour-El Houda</v>
      </c>
      <c r="Z121" s="39" t="str">
        <f aca="false">IFERROR(VLOOKUP(B121,Annuaire_roster!B:F,3,0),"-")</f>
        <v>Google Leads</v>
      </c>
      <c r="AA121" s="39" t="str">
        <f aca="false">IFERROR(VLOOKUP(B121,Annuaire_roster!B:I,6,0),"-")</f>
        <v>Forfaitaire</v>
      </c>
      <c r="AB121" s="40" t="str">
        <f aca="false">IF(AND(D121="Congé",F121="Congé"),0.333333333333333,IF(OR(AND(D121="Congé",F121&lt;&gt;"Congé"),(AND(F121="Congé",D121&lt;&gt;"Congé"))),0.166666666666667,""))</f>
        <v/>
      </c>
      <c r="AC121" s="40" t="str">
        <f aca="false">IF(AND(D121="Congé sans solde",F121="Congé sans solde"),0.333333333333333,IF(OR(AND(D121="Congé sans solde",F121&lt;&gt;"Congé sans solde"),(AND(F121="Congé sans solde",D121&lt;&gt;"Congé sans solde"))),0.166666666666667,""))</f>
        <v/>
      </c>
      <c r="AD121" s="40" t="str">
        <f aca="false">IF(AND(D121="Congé spécial",F121="Congé spécial"),0.333333333333333,IF(OR(AND(D121="Congé spécial",F121&lt;&gt;"Congé décès"),(AND(F121="Congé spécial",D121&lt;&gt;"Congé spécial"))),0.166666666666667,""))</f>
        <v/>
      </c>
      <c r="AE121" s="41" t="str">
        <f aca="false">IF(AND(D121="Férié",F121="Férié"),0.333333333333333,IF(OR(AND(D121="Férié",F121&lt;&gt;"Férié"),(AND(F121="Férié",D121&lt;&gt;"Férié"))),0.166666666666667,""))</f>
        <v/>
      </c>
      <c r="AF121" s="41"/>
      <c r="AG121" s="36"/>
    </row>
    <row r="122" customFormat="false" ht="12.75" hidden="true" customHeight="true" outlineLevel="0" collapsed="false">
      <c r="A122" s="22" t="n">
        <f aca="false">VLOOKUP(B122,Annuaire_roster!B:F,5,0)</f>
        <v>949</v>
      </c>
      <c r="B122" s="23" t="s">
        <v>48</v>
      </c>
      <c r="C122" s="24" t="str">
        <f aca="false">IFERROR(IF(COUNTIFS(Pointage_brut!$E:$E,VLOOKUP($B122,Annuaire_roster!$B:$J,9,0),Pointage_brut!$A:$A,TEXT($Q122,"yyyymmdd")*1)=0,"",MOD(_xlfn.MINIFS(Pointage_brut!$F:$F,Pointage_brut!$E:$E,VLOOKUP($B122,Annuaire_roster!$B:$J,9,0),Pointage_brut!$A:$A,TEXT($Q122,"yyyymmdd")*1),1)),"")</f>
        <v/>
      </c>
      <c r="D122" s="25" t="str">
        <f aca="false" t="array" ref="D122:D122">IFERROR(INDEX(Planning2[],MATCH(1,(Planning2[Nom]=B122)*(Planning2[Date]=Q122),0),3),"-")</f>
        <v>OFF</v>
      </c>
      <c r="E122" s="26" t="str">
        <f aca="false">IFERROR(IF(COUNTIFS(Pointage_brut!$E:$E,VLOOKUP($B122,Annuaire_roster!$B:$J,9,0),Pointage_brut!$A:$A,TEXT($Q122,"yyyymmdd")*1)=0,"",MOD(_xlfn.MAXIFS(Pointage_brut!$G:$G,Pointage_brut!$E:$E,VLOOKUP($B122,Annuaire_roster!$B:$J,9,0),Pointage_brut!$A:$A,TEXT($Q122,"yyyymmdd")*1),1)),"")</f>
        <v/>
      </c>
      <c r="F122" s="27" t="str">
        <f aca="false" t="array" ref="F122:F122">IFERROR(INDEX(Planning2[],MATCH(1,(Planning2[Nom]=B122)*(Planning2[Date]=Q122),0),4),"-")</f>
        <v>OFF</v>
      </c>
      <c r="G122" s="28"/>
      <c r="H122" s="28"/>
      <c r="I122" s="29" t="str">
        <f aca="false">IF(IF(OR(C122="",D122="Congé",D122="OFF",D122="Congé spécial"),"",IF(D122&gt;F122,D122-C122,IF(C122-D122&lt;0,0,C122-D122)))&lt;0.00068287037037037,"",IF(OR(D122="Congé",D122="OFF",C122="",D122="Congé spécial"),"",IF(D122&gt;F122,D122-C122,IF(C122-D122&lt;0,0,C122-D122))))</f>
        <v/>
      </c>
      <c r="J122" s="28"/>
      <c r="K122" s="30" t="n">
        <f aca="false">IF(SUM(H122:J122)&lt;0.00068287037037037,0,SUM(H122:J122))</f>
        <v>0</v>
      </c>
      <c r="L122" s="28" t="n">
        <f aca="false">IF(OR(F122="Congé",F122="OFF",M122="Abs",F122="Congé sans solde",F122="Férié",F122="Congé spécial",D122="Congé spécial"),0,IF(F122-E122&lt;0,0,IF(F122-E122&lt;=0.00068287037037037,0,F122-E122)))</f>
        <v>0</v>
      </c>
      <c r="M122" s="31" t="n">
        <f aca="false">IF(AND(O122&lt;&gt;0,C122=""),"Abs",0)</f>
        <v>0</v>
      </c>
      <c r="N122" s="32" t="str">
        <f aca="false">IFERROR(IF(OR(D122="OFF",D122="Congé",M122="Abs",D122="Congé sans solde",D122="Férié"),"",IF(O122-K122-L122&gt;O122,O122,IF(O122-K122-L122&lt;0,"",O122-K122-L122))),"")</f>
        <v/>
      </c>
      <c r="O122" s="33" t="n">
        <f aca="false">IF(AG122="2H Pause déjeuner",IF(F122-D122-0.0833333333333333&lt;0,F122-D122-0.0833333333333333+1,F122-D122-0.0833333333333333),IF(OR(AND(F122="OFF",D122="OFF"),AND(F122="Congé",D122="Congé"),AND(F122="Congé sans solde",D122="Congé sans solde"),AND(F122="Congé spécial",D122="Congé spécial"),AND(F122="Férié",D122="Férié"),AND(F122="OFF",D122="Congé"),AND(F122="OFF",D122="Congé sans solde"),AND(F122="OFF",D122="Congé spécial"),AND(F122="OFF",D122="Férié"),AND(F122="Congé",D122="OFF"),AND(F122="Congé",D122="Congé sans solde"),AND(F122="Congé",D122="Congé spécial"),AND(F122="Congé",D122="Férié"),AND(F122="Congé sans solde",D122="OFF"),AND(F122="Congé sans solde",D122="Congé"),AND(F122="Congé sans solde",D122="Congé spécial"),AND(F122="Congé sans solde",D122="Férié"),AND(F122="Congé spécial",D122="OFF"),AND(F122="Congé spécial",D122="Congé"),AND(F122="Congé spécial",D122="Congé sans solde"),AND(F122="Congé spécial",D122="Férié"),AND(F122="Férié",D122="OFF"),AND(F122="Férié",D122="Congé"),AND(F122="Férié",D122="Congé sans solde"),AND(F122="Férié",D122="Congé spécial")),0,IF(OR(F122="OFF",F122="Congé",F122="Congé spécial",F122="Congé sans solde",D122="OFF",D122="Congé",D122="Congé spécial",D122="Congé sans solde"),0.208333333333334,IF(AND(AG122="",F122-D122&lt;0),("24:00:00"-D122)+("00:00:00"+F122)-0.0416666666666667,IF(AND(OR(AG122="Allaitement",AG122="Sans déjeuner"),F122-D122&lt;0),("24:00:00"-D122)+("00:00:00"+F122),IF(AND(AG122="",F122-D122&gt;0.166666666666667),F122-D122-0.0416666666666667,IF(AND(OR(AG122="Allaitement",AG122="Sans déjeuner"),F122-D122&gt;0.166666666666667),F122-D122,F122-D122)))))))</f>
        <v>0</v>
      </c>
      <c r="P122" s="34" t="str">
        <f aca="false">IFERROR(VLOOKUP($B122,Annuaire_roster!$B:$G,MATCH(P$1,Annuaire_roster!$B$1:$G$1,0),0),"-")</f>
        <v>Google Leads</v>
      </c>
      <c r="Q122" s="35" t="n">
        <v>44720</v>
      </c>
      <c r="R122" s="36" t="n">
        <f aca="false">IF(M122="Abs",O122,0)</f>
        <v>0</v>
      </c>
      <c r="S122" s="36" t="n">
        <f aca="false">SUM(R122,L122,I122,J122,W122,H122)</f>
        <v>0</v>
      </c>
      <c r="T122" s="1" t="str">
        <f aca="false">"Sem - "&amp;WEEKNUM(Q122,21)</f>
        <v>Sem - 24</v>
      </c>
      <c r="U122" s="1" t="str">
        <f aca="false">PROPER(TEXT(Q122,"mmmm"))</f>
        <v>June</v>
      </c>
      <c r="V122" s="37" t="str">
        <f aca="false">+TEXT(Q122,"aaa")</f>
        <v>Tue</v>
      </c>
      <c r="W122" s="32"/>
      <c r="X122" s="38" t="n">
        <f aca="false">IFERROR(IF(M122="Abs",0,IF((D122-C122+E122-F122)&lt;0.000694444444444444,0,(D122-C122+E122-F122))),0)</f>
        <v>0</v>
      </c>
      <c r="Y122" s="39" t="str">
        <f aca="false">IFERROR(VLOOKUP(B122,Annuaire_roster!B:E,4,0),"-")</f>
        <v>CHOUIFI Mustapha</v>
      </c>
      <c r="Z122" s="39" t="str">
        <f aca="false">IFERROR(VLOOKUP(B122,Annuaire_roster!B:F,3,0),"-")</f>
        <v>Google Leads</v>
      </c>
      <c r="AA122" s="39" t="str">
        <f aca="false">IFERROR(VLOOKUP(B122,Annuaire_roster!B:I,6,0),"-")</f>
        <v>Forfaitaire</v>
      </c>
      <c r="AB122" s="40" t="str">
        <f aca="false">IF(AND(D122="Congé",F122="Congé"),0.333333333333333,IF(OR(AND(D122="Congé",F122&lt;&gt;"Congé"),(AND(F122="Congé",D122&lt;&gt;"Congé"))),0.166666666666667,""))</f>
        <v/>
      </c>
      <c r="AC122" s="40" t="str">
        <f aca="false">IF(AND(D122="Congé sans solde",F122="Congé sans solde"),0.333333333333333,IF(OR(AND(D122="Congé sans solde",F122&lt;&gt;"Congé sans solde"),(AND(F122="Congé sans solde",D122&lt;&gt;"Congé sans solde"))),0.166666666666667,""))</f>
        <v/>
      </c>
      <c r="AD122" s="40" t="str">
        <f aca="false">IF(AND(D122="Congé spécial",F122="Congé spécial"),0.333333333333333,IF(OR(AND(D122="Congé spécial",F122&lt;&gt;"Congé décès"),(AND(F122="Congé spécial",D122&lt;&gt;"Congé spécial"))),0.166666666666667,""))</f>
        <v/>
      </c>
      <c r="AE122" s="41" t="str">
        <f aca="false">IF(AND(D122="Férié",F122="Férié"),0.333333333333333,IF(OR(AND(D122="Férié",F122&lt;&gt;"Férié"),(AND(F122="Férié",D122&lt;&gt;"Férié"))),0.166666666666667,""))</f>
        <v/>
      </c>
      <c r="AF122" s="41"/>
      <c r="AG122" s="36"/>
    </row>
    <row r="123" customFormat="false" ht="12.75" hidden="true" customHeight="true" outlineLevel="0" collapsed="false">
      <c r="A123" s="22" t="n">
        <f aca="false">VLOOKUP(B123,Annuaire_roster!B:F,5,0)</f>
        <v>0</v>
      </c>
      <c r="B123" s="23" t="s">
        <v>42</v>
      </c>
      <c r="C123" s="24" t="str">
        <f aca="false">IFERROR(IF(COUNTIFS(Pointage_brut!$E:$E,VLOOKUP($B123,Annuaire_roster!$B:$J,9,0),Pointage_brut!$A:$A,TEXT($Q123,"yyyymmdd")*1)=0,"",MOD(_xlfn.MINIFS(Pointage_brut!$F:$F,Pointage_brut!$E:$E,VLOOKUP($B123,Annuaire_roster!$B:$J,9,0),Pointage_brut!$A:$A,TEXT($Q123,"yyyymmdd")*1),1)),"")</f>
        <v/>
      </c>
      <c r="D123" s="25" t="str">
        <f aca="false" t="array" ref="D123:D123">IFERROR(INDEX(Planning2[],MATCH(1,(Planning2[Nom]=B123)*(Planning2[Date]=Q123),0),3),"-")</f>
        <v>OFF</v>
      </c>
      <c r="E123" s="26" t="str">
        <f aca="false">IFERROR(IF(COUNTIFS(Pointage_brut!$E:$E,VLOOKUP($B123,Annuaire_roster!$B:$J,9,0),Pointage_brut!$A:$A,TEXT($Q123,"yyyymmdd")*1)=0,"",MOD(_xlfn.MAXIFS(Pointage_brut!$G:$G,Pointage_brut!$E:$E,VLOOKUP($B123,Annuaire_roster!$B:$J,9,0),Pointage_brut!$A:$A,TEXT($Q123,"yyyymmdd")*1),1)),"")</f>
        <v/>
      </c>
      <c r="F123" s="27" t="str">
        <f aca="false" t="array" ref="F123:F123">IFERROR(INDEX(Planning2[],MATCH(1,(Planning2[Nom]=B123)*(Planning2[Date]=Q123),0),4),"-")</f>
        <v>OFF</v>
      </c>
      <c r="G123" s="28"/>
      <c r="H123" s="28"/>
      <c r="I123" s="29" t="str">
        <f aca="false">IF(IF(OR(C123="",D123="Congé",D123="OFF",D123="Congé spécial"),"",IF(D123&gt;F123,D123-C123,IF(C123-D123&lt;0,0,C123-D123)))&lt;0.00068287037037037,"",IF(OR(D123="Congé",D123="OFF",C123="",D123="Congé spécial"),"",IF(D123&gt;F123,D123-C123,IF(C123-D123&lt;0,0,C123-D123))))</f>
        <v/>
      </c>
      <c r="J123" s="28"/>
      <c r="K123" s="30" t="n">
        <f aca="false">IF(SUM(H123:J123)&lt;0.00068287037037037,0,SUM(H123:J123))</f>
        <v>0</v>
      </c>
      <c r="L123" s="28" t="n">
        <f aca="false">IF(OR(F123="Congé",F123="OFF",M123="Abs",F123="Congé sans solde",F123="Férié",F123="Congé spécial",D123="Congé spécial"),0,IF(F123-E123&lt;0,0,IF(F123-E123&lt;=0.00068287037037037,0,F123-E123)))</f>
        <v>0</v>
      </c>
      <c r="M123" s="31" t="n">
        <f aca="false">IF(AND(O123&lt;&gt;0,C123=""),"Abs",0)</f>
        <v>0</v>
      </c>
      <c r="N123" s="32" t="str">
        <f aca="false">IFERROR(IF(OR(D123="OFF",D123="Congé",M123="Abs",D123="Congé sans solde",D123="Férié"),"",IF(O123-K123-L123&gt;O123,O123,IF(O123-K123-L123&lt;0,"",O123-K123-L123))),"")</f>
        <v/>
      </c>
      <c r="O123" s="33" t="n">
        <f aca="false">IF(AG123="2H Pause déjeuner",IF(F123-D123-0.0833333333333333&lt;0,F123-D123-0.0833333333333333+1,F123-D123-0.0833333333333333),IF(OR(AND(F123="OFF",D123="OFF"),AND(F123="Congé",D123="Congé"),AND(F123="Congé sans solde",D123="Congé sans solde"),AND(F123="Congé spécial",D123="Congé spécial"),AND(F123="Férié",D123="Férié"),AND(F123="OFF",D123="Congé"),AND(F123="OFF",D123="Congé sans solde"),AND(F123="OFF",D123="Congé spécial"),AND(F123="OFF",D123="Férié"),AND(F123="Congé",D123="OFF"),AND(F123="Congé",D123="Congé sans solde"),AND(F123="Congé",D123="Congé spécial"),AND(F123="Congé",D123="Férié"),AND(F123="Congé sans solde",D123="OFF"),AND(F123="Congé sans solde",D123="Congé"),AND(F123="Congé sans solde",D123="Congé spécial"),AND(F123="Congé sans solde",D123="Férié"),AND(F123="Congé spécial",D123="OFF"),AND(F123="Congé spécial",D123="Congé"),AND(F123="Congé spécial",D123="Congé sans solde"),AND(F123="Congé spécial",D123="Férié"),AND(F123="Férié",D123="OFF"),AND(F123="Férié",D123="Congé"),AND(F123="Férié",D123="Congé sans solde"),AND(F123="Férié",D123="Congé spécial")),0,IF(OR(F123="OFF",F123="Congé",F123="Congé spécial",F123="Congé sans solde",D123="OFF",D123="Congé",D123="Congé spécial",D123="Congé sans solde"),0.208333333333334,IF(AND(AG123="",F123-D123&lt;0),("24:00:00"-D123)+("00:00:00"+F123)-0.0416666666666667,IF(AND(OR(AG123="Allaitement",AG123="Sans déjeuner"),F123-D123&lt;0),("24:00:00"-D123)+("00:00:00"+F123),IF(AND(AG123="",F123-D123&gt;0.166666666666667),F123-D123-0.0416666666666667,IF(AND(OR(AG123="Allaitement",AG123="Sans déjeuner"),F123-D123&gt;0.166666666666667),F123-D123,F123-D123)))))))</f>
        <v>0</v>
      </c>
      <c r="P123" s="34" t="str">
        <f aca="false">IFERROR(VLOOKUP($B123,Annuaire_roster!$B:$G,MATCH(P$1,Annuaire_roster!$B$1:$G$1,0),0),"-")</f>
        <v>Google Leads</v>
      </c>
      <c r="Q123" s="35" t="n">
        <v>44720</v>
      </c>
      <c r="R123" s="36" t="n">
        <f aca="false">IF(M123="Abs",O123,0)</f>
        <v>0</v>
      </c>
      <c r="S123" s="36" t="n">
        <f aca="false">SUM(R123,L123,I123,J123,W123,H123)</f>
        <v>0</v>
      </c>
      <c r="T123" s="1" t="str">
        <f aca="false">"Sem - "&amp;WEEKNUM(Q123,21)</f>
        <v>Sem - 24</v>
      </c>
      <c r="U123" s="1" t="str">
        <f aca="false">PROPER(TEXT(Q123,"mmmm"))</f>
        <v>June</v>
      </c>
      <c r="V123" s="37" t="str">
        <f aca="false">+TEXT(Q123,"aaa")</f>
        <v>Tue</v>
      </c>
      <c r="W123" s="32"/>
      <c r="X123" s="38" t="n">
        <f aca="false">IFERROR(IF(M123="Abs",0,IF((D123-C123+E123-F123)&lt;0.000694444444444444,0,(D123-C123+E123-F123))),0)</f>
        <v>0</v>
      </c>
      <c r="Y123" s="39" t="n">
        <f aca="false">IFERROR(VLOOKUP(B123,Annuaire_roster!B:E,4,0),"-")</f>
        <v>0</v>
      </c>
      <c r="Z123" s="39" t="str">
        <f aca="false">IFERROR(VLOOKUP(B123,Annuaire_roster!B:F,3,0),"-")</f>
        <v>Google Leads</v>
      </c>
      <c r="AA123" s="39" t="n">
        <f aca="false">IFERROR(VLOOKUP(B123,Annuaire_roster!B:I,6,0),"-")</f>
        <v>0</v>
      </c>
      <c r="AB123" s="40" t="str">
        <f aca="false">IF(AND(D123="Congé",F123="Congé"),0.333333333333333,IF(OR(AND(D123="Congé",F123&lt;&gt;"Congé"),(AND(F123="Congé",D123&lt;&gt;"Congé"))),0.166666666666667,""))</f>
        <v/>
      </c>
      <c r="AC123" s="40" t="str">
        <f aca="false">IF(AND(D123="Congé sans solde",F123="Congé sans solde"),0.333333333333333,IF(OR(AND(D123="Congé sans solde",F123&lt;&gt;"Congé sans solde"),(AND(F123="Congé sans solde",D123&lt;&gt;"Congé sans solde"))),0.166666666666667,""))</f>
        <v/>
      </c>
      <c r="AD123" s="40" t="str">
        <f aca="false">IF(AND(D123="Congé spécial",F123="Congé spécial"),0.333333333333333,IF(OR(AND(D123="Congé spécial",F123&lt;&gt;"Congé décès"),(AND(F123="Congé spécial",D123&lt;&gt;"Congé spécial"))),0.166666666666667,""))</f>
        <v/>
      </c>
      <c r="AE123" s="41" t="str">
        <f aca="false">IF(AND(D123="Férié",F123="Férié"),0.333333333333333,IF(OR(AND(D123="Férié",F123&lt;&gt;"Férié"),(AND(F123="Férié",D123&lt;&gt;"Férié"))),0.166666666666667,""))</f>
        <v/>
      </c>
      <c r="AF123" s="41"/>
      <c r="AG123" s="36"/>
    </row>
    <row r="124" customFormat="false" ht="12.75" hidden="true" customHeight="true" outlineLevel="0" collapsed="false">
      <c r="A124" s="22" t="n">
        <f aca="false">VLOOKUP(B124,Annuaire_roster!B:F,5,0)</f>
        <v>1274</v>
      </c>
      <c r="B124" s="23" t="s">
        <v>54</v>
      </c>
      <c r="C124" s="24" t="str">
        <f aca="false">IFERROR(IF(COUNTIFS(Pointage_brut!$E:$E,VLOOKUP($B124,Annuaire_roster!$B:$J,9,0),Pointage_brut!$A:$A,TEXT($Q124,"yyyymmdd")*1)=0,"",MOD(_xlfn.MINIFS(Pointage_brut!$F:$F,Pointage_brut!$E:$E,VLOOKUP($B124,Annuaire_roster!$B:$J,9,0),Pointage_brut!$A:$A,TEXT($Q124,"yyyymmdd")*1),1)),"")</f>
        <v/>
      </c>
      <c r="D124" s="25" t="str">
        <f aca="false" t="array" ref="D124:D124">IFERROR(INDEX(Planning2[],MATCH(1,(Planning2[Nom]=B124)*(Planning2[Date]=Q124),0),3),"-")</f>
        <v>OFF</v>
      </c>
      <c r="E124" s="26" t="str">
        <f aca="false">IFERROR(IF(COUNTIFS(Pointage_brut!$E:$E,VLOOKUP($B124,Annuaire_roster!$B:$J,9,0),Pointage_brut!$A:$A,TEXT($Q124,"yyyymmdd")*1)=0,"",MOD(_xlfn.MAXIFS(Pointage_brut!$G:$G,Pointage_brut!$E:$E,VLOOKUP($B124,Annuaire_roster!$B:$J,9,0),Pointage_brut!$A:$A,TEXT($Q124,"yyyymmdd")*1),1)),"")</f>
        <v/>
      </c>
      <c r="F124" s="27" t="str">
        <f aca="false" t="array" ref="F124:F124">IFERROR(INDEX(Planning2[],MATCH(1,(Planning2[Nom]=B124)*(Planning2[Date]=Q124),0),4),"-")</f>
        <v>OFF</v>
      </c>
      <c r="G124" s="28"/>
      <c r="H124" s="28"/>
      <c r="I124" s="29" t="str">
        <f aca="false">IF(IF(OR(C124="",D124="Congé",D124="OFF",D124="Congé spécial"),"",IF(D124&gt;F124,D124-C124,IF(C124-D124&lt;0,0,C124-D124)))&lt;0.00068287037037037,"",IF(OR(D124="Congé",D124="OFF",C124="",D124="Congé spécial"),"",IF(D124&gt;F124,D124-C124,IF(C124-D124&lt;0,0,C124-D124))))</f>
        <v/>
      </c>
      <c r="J124" s="28"/>
      <c r="K124" s="30" t="n">
        <f aca="false">IF(SUM(H124:J124)&lt;0.00068287037037037,0,SUM(H124:J124))</f>
        <v>0</v>
      </c>
      <c r="L124" s="28" t="n">
        <f aca="false">IF(OR(F124="Congé",F124="OFF",M124="Abs",F124="Congé sans solde",F124="Férié",F124="Congé spécial",D124="Congé spécial"),0,IF(F124-E124&lt;0,0,IF(F124-E124&lt;=0.00068287037037037,0,F124-E124)))</f>
        <v>0</v>
      </c>
      <c r="M124" s="31" t="n">
        <f aca="false">IF(AND(O124&lt;&gt;0,C124=""),"Abs",0)</f>
        <v>0</v>
      </c>
      <c r="N124" s="32" t="str">
        <f aca="false">IFERROR(IF(OR(D124="OFF",D124="Congé",M124="Abs",D124="Congé sans solde",D124="Férié"),"",IF(O124-K124-L124&gt;O124,O124,IF(O124-K124-L124&lt;0,"",O124-K124-L124))),"")</f>
        <v/>
      </c>
      <c r="O124" s="33" t="n">
        <f aca="false">IF(AG124="2H Pause déjeuner",IF(F124-D124-0.0833333333333333&lt;0,F124-D124-0.0833333333333333+1,F124-D124-0.0833333333333333),IF(OR(AND(F124="OFF",D124="OFF"),AND(F124="Congé",D124="Congé"),AND(F124="Congé sans solde",D124="Congé sans solde"),AND(F124="Congé spécial",D124="Congé spécial"),AND(F124="Férié",D124="Férié"),AND(F124="OFF",D124="Congé"),AND(F124="OFF",D124="Congé sans solde"),AND(F124="OFF",D124="Congé spécial"),AND(F124="OFF",D124="Férié"),AND(F124="Congé",D124="OFF"),AND(F124="Congé",D124="Congé sans solde"),AND(F124="Congé",D124="Congé spécial"),AND(F124="Congé",D124="Férié"),AND(F124="Congé sans solde",D124="OFF"),AND(F124="Congé sans solde",D124="Congé"),AND(F124="Congé sans solde",D124="Congé spécial"),AND(F124="Congé sans solde",D124="Férié"),AND(F124="Congé spécial",D124="OFF"),AND(F124="Congé spécial",D124="Congé"),AND(F124="Congé spécial",D124="Congé sans solde"),AND(F124="Congé spécial",D124="Férié"),AND(F124="Férié",D124="OFF"),AND(F124="Férié",D124="Congé"),AND(F124="Férié",D124="Congé sans solde"),AND(F124="Férié",D124="Congé spécial")),0,IF(OR(F124="OFF",F124="Congé",F124="Congé spécial",F124="Congé sans solde",D124="OFF",D124="Congé",D124="Congé spécial",D124="Congé sans solde"),0.208333333333334,IF(AND(AG124="",F124-D124&lt;0),("24:00:00"-D124)+("00:00:00"+F124)-0.0416666666666667,IF(AND(OR(AG124="Allaitement",AG124="Sans déjeuner"),F124-D124&lt;0),("24:00:00"-D124)+("00:00:00"+F124),IF(AND(AG124="",F124-D124&gt;0.166666666666667),F124-D124-0.0416666666666667,IF(AND(OR(AG124="Allaitement",AG124="Sans déjeuner"),F124-D124&gt;0.166666666666667),F124-D124,F124-D124)))))))</f>
        <v>0</v>
      </c>
      <c r="P124" s="34" t="str">
        <f aca="false">IFERROR(VLOOKUP($B124,Annuaire_roster!$B:$G,MATCH(P$1,Annuaire_roster!$B$1:$G$1,0),0),"-")</f>
        <v>Google Leads</v>
      </c>
      <c r="Q124" s="35" t="n">
        <v>44720</v>
      </c>
      <c r="R124" s="36" t="n">
        <f aca="false">IF(M124="Abs",O124,0)</f>
        <v>0</v>
      </c>
      <c r="S124" s="36" t="n">
        <f aca="false">SUM(R124,L124,I124,J124,W124,H124)</f>
        <v>0</v>
      </c>
      <c r="T124" s="1" t="str">
        <f aca="false">"Sem - "&amp;WEEKNUM(Q124,21)</f>
        <v>Sem - 24</v>
      </c>
      <c r="U124" s="1" t="str">
        <f aca="false">PROPER(TEXT(Q124,"mmmm"))</f>
        <v>June</v>
      </c>
      <c r="V124" s="37" t="str">
        <f aca="false">+TEXT(Q124,"aaa")</f>
        <v>Tue</v>
      </c>
      <c r="W124" s="32"/>
      <c r="X124" s="38" t="n">
        <f aca="false">IFERROR(IF(M124="Abs",0,IF((D124-C124+E124-F124)&lt;0.000694444444444444,0,(D124-C124+E124-F124))),0)</f>
        <v>0</v>
      </c>
      <c r="Y124" s="39" t="str">
        <f aca="false">IFERROR(VLOOKUP(B124,Annuaire_roster!B:E,4,0),"-")</f>
        <v>OUAQERROUCH Nour-El Houda</v>
      </c>
      <c r="Z124" s="39" t="str">
        <f aca="false">IFERROR(VLOOKUP(B124,Annuaire_roster!B:F,3,0),"-")</f>
        <v>Google Leads</v>
      </c>
      <c r="AA124" s="39" t="str">
        <f aca="false">IFERROR(VLOOKUP(B124,Annuaire_roster!B:I,6,0),"-")</f>
        <v>Forfaitaire</v>
      </c>
      <c r="AB124" s="40" t="str">
        <f aca="false">IF(AND(D124="Congé",F124="Congé"),0.333333333333333,IF(OR(AND(D124="Congé",F124&lt;&gt;"Congé"),(AND(F124="Congé",D124&lt;&gt;"Congé"))),0.166666666666667,""))</f>
        <v/>
      </c>
      <c r="AC124" s="40" t="str">
        <f aca="false">IF(AND(D124="Congé sans solde",F124="Congé sans solde"),0.333333333333333,IF(OR(AND(D124="Congé sans solde",F124&lt;&gt;"Congé sans solde"),(AND(F124="Congé sans solde",D124&lt;&gt;"Congé sans solde"))),0.166666666666667,""))</f>
        <v/>
      </c>
      <c r="AD124" s="40" t="str">
        <f aca="false">IF(AND(D124="Congé spécial",F124="Congé spécial"),0.333333333333333,IF(OR(AND(D124="Congé spécial",F124&lt;&gt;"Congé décès"),(AND(F124="Congé spécial",D124&lt;&gt;"Congé spécial"))),0.166666666666667,""))</f>
        <v/>
      </c>
      <c r="AE124" s="41" t="str">
        <f aca="false">IF(AND(D124="Férié",F124="Férié"),0.333333333333333,IF(OR(AND(D124="Férié",F124&lt;&gt;"Férié"),(AND(F124="Férié",D124&lt;&gt;"Férié"))),0.166666666666667,""))</f>
        <v/>
      </c>
      <c r="AF124" s="41"/>
      <c r="AG124" s="36"/>
    </row>
    <row r="125" customFormat="false" ht="12.75" hidden="true" customHeight="true" outlineLevel="0" collapsed="false">
      <c r="A125" s="22" t="n">
        <f aca="false">VLOOKUP(B125,Annuaire_roster!B:F,5,0)</f>
        <v>0</v>
      </c>
      <c r="B125" s="23" t="s">
        <v>37</v>
      </c>
      <c r="C125" s="24" t="str">
        <f aca="false">IFERROR(IF(COUNTIFS(Pointage_brut!$E:$E,VLOOKUP($B125,Annuaire_roster!$B:$J,9,0),Pointage_brut!$A:$A,TEXT($Q125,"yyyymmdd")*1)=0,"",MOD(_xlfn.MINIFS(Pointage_brut!$F:$F,Pointage_brut!$E:$E,VLOOKUP($B125,Annuaire_roster!$B:$J,9,0),Pointage_brut!$A:$A,TEXT($Q125,"yyyymmdd")*1),1)),"")</f>
        <v/>
      </c>
      <c r="D125" s="25" t="str">
        <f aca="false" t="array" ref="D125:D125">IFERROR(INDEX(Planning2[],MATCH(1,(Planning2[Nom]=B125)*(Planning2[Date]=Q125),0),3),"-")</f>
        <v>OFF</v>
      </c>
      <c r="E125" s="26" t="str">
        <f aca="false">IFERROR(IF(COUNTIFS(Pointage_brut!$E:$E,VLOOKUP($B125,Annuaire_roster!$B:$J,9,0),Pointage_brut!$A:$A,TEXT($Q125,"yyyymmdd")*1)=0,"",MOD(_xlfn.MAXIFS(Pointage_brut!$G:$G,Pointage_brut!$E:$E,VLOOKUP($B125,Annuaire_roster!$B:$J,9,0),Pointage_brut!$A:$A,TEXT($Q125,"yyyymmdd")*1),1)),"")</f>
        <v/>
      </c>
      <c r="F125" s="27" t="str">
        <f aca="false" t="array" ref="F125:F125">IFERROR(INDEX(Planning2[],MATCH(1,(Planning2[Nom]=B125)*(Planning2[Date]=Q125),0),4),"-")</f>
        <v>OFF</v>
      </c>
      <c r="G125" s="28"/>
      <c r="H125" s="28"/>
      <c r="I125" s="29" t="str">
        <f aca="false">IF(IF(OR(C125="",D125="Congé",D125="OFF",D125="Congé spécial"),"",IF(D125&gt;F125,D125-C125,IF(C125-D125&lt;0,0,C125-D125)))&lt;0.00068287037037037,"",IF(OR(D125="Congé",D125="OFF",C125="",D125="Congé spécial"),"",IF(D125&gt;F125,D125-C125,IF(C125-D125&lt;0,0,C125-D125))))</f>
        <v/>
      </c>
      <c r="J125" s="28"/>
      <c r="K125" s="30" t="n">
        <f aca="false">IF(SUM(H125:J125)&lt;0.00068287037037037,0,SUM(H125:J125))</f>
        <v>0</v>
      </c>
      <c r="L125" s="28" t="n">
        <f aca="false">IF(OR(F125="Congé",F125="OFF",M125="Abs",F125="Congé sans solde",F125="Férié",F125="Congé spécial",D125="Congé spécial"),0,IF(F125-E125&lt;0,0,IF(F125-E125&lt;=0.00068287037037037,0,F125-E125)))</f>
        <v>0</v>
      </c>
      <c r="M125" s="31" t="n">
        <f aca="false">IF(AND(O125&lt;&gt;0,C125=""),"Abs",0)</f>
        <v>0</v>
      </c>
      <c r="N125" s="32" t="str">
        <f aca="false">IFERROR(IF(OR(D125="OFF",D125="Congé",M125="Abs",D125="Congé sans solde",D125="Férié"),"",IF(O125-K125-L125&gt;O125,O125,IF(O125-K125-L125&lt;0,"",O125-K125-L125))),"")</f>
        <v/>
      </c>
      <c r="O125" s="33" t="n">
        <f aca="false">IF(AG125="2H Pause déjeuner",IF(F125-D125-0.0833333333333333&lt;0,F125-D125-0.0833333333333333+1,F125-D125-0.0833333333333333),IF(OR(AND(F125="OFF",D125="OFF"),AND(F125="Congé",D125="Congé"),AND(F125="Congé sans solde",D125="Congé sans solde"),AND(F125="Congé spécial",D125="Congé spécial"),AND(F125="Férié",D125="Férié"),AND(F125="OFF",D125="Congé"),AND(F125="OFF",D125="Congé sans solde"),AND(F125="OFF",D125="Congé spécial"),AND(F125="OFF",D125="Férié"),AND(F125="Congé",D125="OFF"),AND(F125="Congé",D125="Congé sans solde"),AND(F125="Congé",D125="Congé spécial"),AND(F125="Congé",D125="Férié"),AND(F125="Congé sans solde",D125="OFF"),AND(F125="Congé sans solde",D125="Congé"),AND(F125="Congé sans solde",D125="Congé spécial"),AND(F125="Congé sans solde",D125="Férié"),AND(F125="Congé spécial",D125="OFF"),AND(F125="Congé spécial",D125="Congé"),AND(F125="Congé spécial",D125="Congé sans solde"),AND(F125="Congé spécial",D125="Férié"),AND(F125="Férié",D125="OFF"),AND(F125="Férié",D125="Congé"),AND(F125="Férié",D125="Congé sans solde"),AND(F125="Férié",D125="Congé spécial")),0,IF(OR(F125="OFF",F125="Congé",F125="Congé spécial",F125="Congé sans solde",D125="OFF",D125="Congé",D125="Congé spécial",D125="Congé sans solde"),0.208333333333334,IF(AND(AG125="",F125-D125&lt;0),("24:00:00"-D125)+("00:00:00"+F125)-0.0416666666666667,IF(AND(OR(AG125="Allaitement",AG125="Sans déjeuner"),F125-D125&lt;0),("24:00:00"-D125)+("00:00:00"+F125),IF(AND(AG125="",F125-D125&gt;0.166666666666667),F125-D125-0.0416666666666667,IF(AND(OR(AG125="Allaitement",AG125="Sans déjeuner"),F125-D125&gt;0.166666666666667),F125-D125,F125-D125)))))))</f>
        <v>0</v>
      </c>
      <c r="P125" s="34" t="str">
        <f aca="false">IFERROR(VLOOKUP($B125,Annuaire_roster!$B:$G,MATCH(P$1,Annuaire_roster!$B$1:$G$1,0),0),"-")</f>
        <v>Google Leads</v>
      </c>
      <c r="Q125" s="35" t="n">
        <v>44720</v>
      </c>
      <c r="R125" s="36" t="n">
        <f aca="false">IF(M125="Abs",O125,0)</f>
        <v>0</v>
      </c>
      <c r="S125" s="36" t="n">
        <f aca="false">SUM(R125,L125,I125,J125,W125,H125)</f>
        <v>0</v>
      </c>
      <c r="T125" s="1" t="str">
        <f aca="false">"Sem - "&amp;WEEKNUM(Q125,21)</f>
        <v>Sem - 24</v>
      </c>
      <c r="U125" s="1" t="str">
        <f aca="false">PROPER(TEXT(Q125,"mmmm"))</f>
        <v>June</v>
      </c>
      <c r="V125" s="37" t="str">
        <f aca="false">+TEXT(Q125,"aaa")</f>
        <v>Tue</v>
      </c>
      <c r="W125" s="32"/>
      <c r="X125" s="38" t="n">
        <f aca="false">IFERROR(IF(M125="Abs",0,IF((D125-C125+E125-F125)&lt;0.000694444444444444,0,(D125-C125+E125-F125))),0)</f>
        <v>0</v>
      </c>
      <c r="Y125" s="39" t="n">
        <f aca="false">IFERROR(VLOOKUP(B125,Annuaire_roster!B:E,4,0),"-")</f>
        <v>0</v>
      </c>
      <c r="Z125" s="39" t="str">
        <f aca="false">IFERROR(VLOOKUP(B125,Annuaire_roster!B:F,3,0),"-")</f>
        <v>Google Leads</v>
      </c>
      <c r="AA125" s="39" t="n">
        <f aca="false">IFERROR(VLOOKUP(B125,Annuaire_roster!B:I,6,0),"-")</f>
        <v>0</v>
      </c>
      <c r="AB125" s="40" t="str">
        <f aca="false">IF(AND(D125="Congé",F125="Congé"),0.333333333333333,IF(OR(AND(D125="Congé",F125&lt;&gt;"Congé"),(AND(F125="Congé",D125&lt;&gt;"Congé"))),0.166666666666667,""))</f>
        <v/>
      </c>
      <c r="AC125" s="40" t="str">
        <f aca="false">IF(AND(D125="Congé sans solde",F125="Congé sans solde"),0.333333333333333,IF(OR(AND(D125="Congé sans solde",F125&lt;&gt;"Congé sans solde"),(AND(F125="Congé sans solde",D125&lt;&gt;"Congé sans solde"))),0.166666666666667,""))</f>
        <v/>
      </c>
      <c r="AD125" s="40" t="str">
        <f aca="false">IF(AND(D125="Congé spécial",F125="Congé spécial"),0.333333333333333,IF(OR(AND(D125="Congé spécial",F125&lt;&gt;"Congé décès"),(AND(F125="Congé spécial",D125&lt;&gt;"Congé spécial"))),0.166666666666667,""))</f>
        <v/>
      </c>
      <c r="AE125" s="41" t="str">
        <f aca="false">IF(AND(D125="Férié",F125="Férié"),0.333333333333333,IF(OR(AND(D125="Férié",F125&lt;&gt;"Férié"),(AND(F125="Férié",D125&lt;&gt;"Férié"))),0.166666666666667,""))</f>
        <v/>
      </c>
      <c r="AF125" s="41"/>
      <c r="AG125" s="36"/>
    </row>
    <row r="126" customFormat="false" ht="12.75" hidden="true" customHeight="true" outlineLevel="0" collapsed="false">
      <c r="A126" s="22" t="n">
        <f aca="false">VLOOKUP(B126,Annuaire_roster!B:F,5,0)</f>
        <v>1132</v>
      </c>
      <c r="B126" s="23" t="s">
        <v>52</v>
      </c>
      <c r="C126" s="24" t="str">
        <f aca="false">IFERROR(IF(COUNTIFS(Pointage_brut!$E:$E,VLOOKUP($B126,Annuaire_roster!$B:$J,9,0),Pointage_brut!$A:$A,TEXT($Q126,"yyyymmdd")*1)=0,"",MOD(_xlfn.MINIFS(Pointage_brut!$F:$F,Pointage_brut!$E:$E,VLOOKUP($B126,Annuaire_roster!$B:$J,9,0),Pointage_brut!$A:$A,TEXT($Q126,"yyyymmdd")*1),1)),"")</f>
        <v/>
      </c>
      <c r="D126" s="25" t="str">
        <f aca="false" t="array" ref="D126:D126">IFERROR(INDEX(Planning2[],MATCH(1,(Planning2[Nom]=B126)*(Planning2[Date]=Q126),0),3),"-")</f>
        <v>OFF</v>
      </c>
      <c r="E126" s="26" t="str">
        <f aca="false">IFERROR(IF(COUNTIFS(Pointage_brut!$E:$E,VLOOKUP($B126,Annuaire_roster!$B:$J,9,0),Pointage_brut!$A:$A,TEXT($Q126,"yyyymmdd")*1)=0,"",MOD(_xlfn.MAXIFS(Pointage_brut!$G:$G,Pointage_brut!$E:$E,VLOOKUP($B126,Annuaire_roster!$B:$J,9,0),Pointage_brut!$A:$A,TEXT($Q126,"yyyymmdd")*1),1)),"")</f>
        <v/>
      </c>
      <c r="F126" s="27" t="str">
        <f aca="false" t="array" ref="F126:F126">IFERROR(INDEX(Planning2[],MATCH(1,(Planning2[Nom]=B126)*(Planning2[Date]=Q126),0),4),"-")</f>
        <v>OFF</v>
      </c>
      <c r="G126" s="28"/>
      <c r="H126" s="28"/>
      <c r="I126" s="29" t="str">
        <f aca="false">IF(IF(OR(C126="",D126="Congé",D126="OFF",D126="Congé spécial"),"",IF(D126&gt;F126,D126-C126,IF(C126-D126&lt;0,0,C126-D126)))&lt;0.00068287037037037,"",IF(OR(D126="Congé",D126="OFF",C126="",D126="Congé spécial"),"",IF(D126&gt;F126,D126-C126,IF(C126-D126&lt;0,0,C126-D126))))</f>
        <v/>
      </c>
      <c r="J126" s="28"/>
      <c r="K126" s="30" t="n">
        <f aca="false">IF(SUM(H126:J126)&lt;0.00068287037037037,0,SUM(H126:J126))</f>
        <v>0</v>
      </c>
      <c r="L126" s="28" t="n">
        <f aca="false">IF(OR(F126="Congé",F126="OFF",M126="Abs",F126="Congé sans solde",F126="Férié",F126="Congé spécial",D126="Congé spécial"),0,IF(F126-E126&lt;0,0,IF(F126-E126&lt;=0.00068287037037037,0,F126-E126)))</f>
        <v>0</v>
      </c>
      <c r="M126" s="31" t="n">
        <f aca="false">IF(AND(O126&lt;&gt;0,C126=""),"Abs",0)</f>
        <v>0</v>
      </c>
      <c r="N126" s="32" t="str">
        <f aca="false">IFERROR(IF(OR(D126="OFF",D126="Congé",M126="Abs",D126="Congé sans solde",D126="Férié"),"",IF(O126-K126-L126&gt;O126,O126,IF(O126-K126-L126&lt;0,"",O126-K126-L126))),"")</f>
        <v/>
      </c>
      <c r="O126" s="33" t="n">
        <f aca="false">IF(AG126="2H Pause déjeuner",IF(F126-D126-0.0833333333333333&lt;0,F126-D126-0.0833333333333333+1,F126-D126-0.0833333333333333),IF(OR(AND(F126="OFF",D126="OFF"),AND(F126="Congé",D126="Congé"),AND(F126="Congé sans solde",D126="Congé sans solde"),AND(F126="Congé spécial",D126="Congé spécial"),AND(F126="Férié",D126="Férié"),AND(F126="OFF",D126="Congé"),AND(F126="OFF",D126="Congé sans solde"),AND(F126="OFF",D126="Congé spécial"),AND(F126="OFF",D126="Férié"),AND(F126="Congé",D126="OFF"),AND(F126="Congé",D126="Congé sans solde"),AND(F126="Congé",D126="Congé spécial"),AND(F126="Congé",D126="Férié"),AND(F126="Congé sans solde",D126="OFF"),AND(F126="Congé sans solde",D126="Congé"),AND(F126="Congé sans solde",D126="Congé spécial"),AND(F126="Congé sans solde",D126="Férié"),AND(F126="Congé spécial",D126="OFF"),AND(F126="Congé spécial",D126="Congé"),AND(F126="Congé spécial",D126="Congé sans solde"),AND(F126="Congé spécial",D126="Férié"),AND(F126="Férié",D126="OFF"),AND(F126="Férié",D126="Congé"),AND(F126="Férié",D126="Congé sans solde"),AND(F126="Férié",D126="Congé spécial")),0,IF(OR(F126="OFF",F126="Congé",F126="Congé spécial",F126="Congé sans solde",D126="OFF",D126="Congé",D126="Congé spécial",D126="Congé sans solde"),0.208333333333334,IF(AND(AG126="",F126-D126&lt;0),("24:00:00"-D126)+("00:00:00"+F126)-0.0416666666666667,IF(AND(OR(AG126="Allaitement",AG126="Sans déjeuner"),F126-D126&lt;0),("24:00:00"-D126)+("00:00:00"+F126),IF(AND(AG126="",F126-D126&gt;0.166666666666667),F126-D126-0.0416666666666667,IF(AND(OR(AG126="Allaitement",AG126="Sans déjeuner"),F126-D126&gt;0.166666666666667),F126-D126,F126-D126)))))))</f>
        <v>0</v>
      </c>
      <c r="P126" s="34" t="str">
        <f aca="false">IFERROR(VLOOKUP($B126,Annuaire_roster!$B:$G,MATCH(P$1,Annuaire_roster!$B$1:$G$1,0),0),"-")</f>
        <v>Google Leads</v>
      </c>
      <c r="Q126" s="35" t="n">
        <v>44720</v>
      </c>
      <c r="R126" s="36" t="n">
        <f aca="false">IF(M126="Abs",O126,0)</f>
        <v>0</v>
      </c>
      <c r="S126" s="36" t="n">
        <f aca="false">SUM(R126,L126,I126,J126,W126,H126)</f>
        <v>0</v>
      </c>
      <c r="T126" s="1" t="str">
        <f aca="false">"Sem - "&amp;WEEKNUM(Q126,21)</f>
        <v>Sem - 24</v>
      </c>
      <c r="U126" s="1" t="str">
        <f aca="false">PROPER(TEXT(Q126,"mmmm"))</f>
        <v>June</v>
      </c>
      <c r="V126" s="37" t="str">
        <f aca="false">+TEXT(Q126,"aaa")</f>
        <v>Tue</v>
      </c>
      <c r="W126" s="32"/>
      <c r="X126" s="38" t="n">
        <f aca="false">IFERROR(IF(M126="Abs",0,IF((D126-C126+E126-F126)&lt;0.000694444444444444,0,(D126-C126+E126-F126))),0)</f>
        <v>0</v>
      </c>
      <c r="Y126" s="39" t="str">
        <f aca="false">IFERROR(VLOOKUP(B126,Annuaire_roster!B:E,4,0),"-")</f>
        <v>CHOUIFI Mustapha</v>
      </c>
      <c r="Z126" s="39" t="str">
        <f aca="false">IFERROR(VLOOKUP(B126,Annuaire_roster!B:F,3,0),"-")</f>
        <v>Google Leads</v>
      </c>
      <c r="AA126" s="39" t="str">
        <f aca="false">IFERROR(VLOOKUP(B126,Annuaire_roster!B:I,6,0),"-")</f>
        <v>Forfaitaire</v>
      </c>
      <c r="AB126" s="40" t="str">
        <f aca="false">IF(AND(D126="Congé",F126="Congé"),0.333333333333333,IF(OR(AND(D126="Congé",F126&lt;&gt;"Congé"),(AND(F126="Congé",D126&lt;&gt;"Congé"))),0.166666666666667,""))</f>
        <v/>
      </c>
      <c r="AC126" s="40" t="str">
        <f aca="false">IF(AND(D126="Congé sans solde",F126="Congé sans solde"),0.333333333333333,IF(OR(AND(D126="Congé sans solde",F126&lt;&gt;"Congé sans solde"),(AND(F126="Congé sans solde",D126&lt;&gt;"Congé sans solde"))),0.166666666666667,""))</f>
        <v/>
      </c>
      <c r="AD126" s="40" t="str">
        <f aca="false">IF(AND(D126="Congé spécial",F126="Congé spécial"),0.333333333333333,IF(OR(AND(D126="Congé spécial",F126&lt;&gt;"Congé décès"),(AND(F126="Congé spécial",D126&lt;&gt;"Congé spécial"))),0.166666666666667,""))</f>
        <v/>
      </c>
      <c r="AE126" s="41" t="str">
        <f aca="false">IF(AND(D126="Férié",F126="Férié"),0.333333333333333,IF(OR(AND(D126="Férié",F126&lt;&gt;"Férié"),(AND(F126="Férié",D126&lt;&gt;"Férié"))),0.166666666666667,""))</f>
        <v/>
      </c>
      <c r="AF126" s="41"/>
      <c r="AG126" s="36"/>
    </row>
    <row r="127" customFormat="false" ht="12.75" hidden="true" customHeight="true" outlineLevel="0" collapsed="false">
      <c r="A127" s="22" t="n">
        <f aca="false">VLOOKUP(B127,Annuaire_roster!B:F,5,0)</f>
        <v>364</v>
      </c>
      <c r="B127" s="23" t="s">
        <v>43</v>
      </c>
      <c r="C127" s="24" t="str">
        <f aca="false">IFERROR(IF(COUNTIFS(Pointage_brut!$E:$E,VLOOKUP($B127,Annuaire_roster!$B:$J,9,0),Pointage_brut!$A:$A,TEXT($Q127,"yyyymmdd")*1)=0,"",MOD(_xlfn.MINIFS(Pointage_brut!$F:$F,Pointage_brut!$E:$E,VLOOKUP($B127,Annuaire_roster!$B:$J,9,0),Pointage_brut!$A:$A,TEXT($Q127,"yyyymmdd")*1),1)),"")</f>
        <v/>
      </c>
      <c r="D127" s="25" t="str">
        <f aca="false" t="array" ref="D127:D127">IFERROR(INDEX(Planning2[],MATCH(1,(Planning2[Nom]=B127)*(Planning2[Date]=Q127),0),3),"-")</f>
        <v>OFF</v>
      </c>
      <c r="E127" s="26" t="str">
        <f aca="false">IFERROR(IF(COUNTIFS(Pointage_brut!$E:$E,VLOOKUP($B127,Annuaire_roster!$B:$J,9,0),Pointage_brut!$A:$A,TEXT($Q127,"yyyymmdd")*1)=0,"",MOD(_xlfn.MAXIFS(Pointage_brut!$G:$G,Pointage_brut!$E:$E,VLOOKUP($B127,Annuaire_roster!$B:$J,9,0),Pointage_brut!$A:$A,TEXT($Q127,"yyyymmdd")*1),1)),"")</f>
        <v/>
      </c>
      <c r="F127" s="27" t="str">
        <f aca="false" t="array" ref="F127:F127">IFERROR(INDEX(Planning2[],MATCH(1,(Planning2[Nom]=B127)*(Planning2[Date]=Q127),0),4),"-")</f>
        <v>OFF</v>
      </c>
      <c r="G127" s="28"/>
      <c r="H127" s="28"/>
      <c r="I127" s="29" t="str">
        <f aca="false">IF(IF(OR(C127="",D127="Congé",D127="OFF",D127="Congé spécial"),"",IF(D127&gt;F127,D127-C127,IF(C127-D127&lt;0,0,C127-D127)))&lt;0.00068287037037037,"",IF(OR(D127="Congé",D127="OFF",C127="",D127="Congé spécial"),"",IF(D127&gt;F127,D127-C127,IF(C127-D127&lt;0,0,C127-D127))))</f>
        <v/>
      </c>
      <c r="J127" s="28"/>
      <c r="K127" s="30" t="n">
        <f aca="false">IF(SUM(H127:J127)&lt;0.00068287037037037,0,SUM(H127:J127))</f>
        <v>0</v>
      </c>
      <c r="L127" s="28" t="n">
        <f aca="false">IF(OR(F127="Congé",F127="OFF",M127="Abs",F127="Congé sans solde",F127="Férié",F127="Congé spécial",D127="Congé spécial"),0,IF(F127-E127&lt;0,0,IF(F127-E127&lt;=0.00068287037037037,0,F127-E127)))</f>
        <v>0</v>
      </c>
      <c r="M127" s="31" t="n">
        <f aca="false">IF(AND(O127&lt;&gt;0,C127=""),"Abs",0)</f>
        <v>0</v>
      </c>
      <c r="N127" s="32" t="str">
        <f aca="false">IFERROR(IF(OR(D127="OFF",D127="Congé",M127="Abs",D127="Congé sans solde",D127="Férié"),"",IF(O127-K127-L127&gt;O127,O127,IF(O127-K127-L127&lt;0,"",O127-K127-L127))),"")</f>
        <v/>
      </c>
      <c r="O127" s="33" t="n">
        <f aca="false">IF(AG127="2H Pause déjeuner",IF(F127-D127-0.0833333333333333&lt;0,F127-D127-0.0833333333333333+1,F127-D127-0.0833333333333333),IF(OR(AND(F127="OFF",D127="OFF"),AND(F127="Congé",D127="Congé"),AND(F127="Congé sans solde",D127="Congé sans solde"),AND(F127="Congé spécial",D127="Congé spécial"),AND(F127="Férié",D127="Férié"),AND(F127="OFF",D127="Congé"),AND(F127="OFF",D127="Congé sans solde"),AND(F127="OFF",D127="Congé spécial"),AND(F127="OFF",D127="Férié"),AND(F127="Congé",D127="OFF"),AND(F127="Congé",D127="Congé sans solde"),AND(F127="Congé",D127="Congé spécial"),AND(F127="Congé",D127="Férié"),AND(F127="Congé sans solde",D127="OFF"),AND(F127="Congé sans solde",D127="Congé"),AND(F127="Congé sans solde",D127="Congé spécial"),AND(F127="Congé sans solde",D127="Férié"),AND(F127="Congé spécial",D127="OFF"),AND(F127="Congé spécial",D127="Congé"),AND(F127="Congé spécial",D127="Congé sans solde"),AND(F127="Congé spécial",D127="Férié"),AND(F127="Férié",D127="OFF"),AND(F127="Férié",D127="Congé"),AND(F127="Férié",D127="Congé sans solde"),AND(F127="Férié",D127="Congé spécial")),0,IF(OR(F127="OFF",F127="Congé",F127="Congé spécial",F127="Congé sans solde",D127="OFF",D127="Congé",D127="Congé spécial",D127="Congé sans solde"),0.208333333333334,IF(AND(AG127="",F127-D127&lt;0),("24:00:00"-D127)+("00:00:00"+F127)-0.0416666666666667,IF(AND(OR(AG127="Allaitement",AG127="Sans déjeuner"),F127-D127&lt;0),("24:00:00"-D127)+("00:00:00"+F127),IF(AND(AG127="",F127-D127&gt;0.166666666666667),F127-D127-0.0416666666666667,IF(AND(OR(AG127="Allaitement",AG127="Sans déjeuner"),F127-D127&gt;0.166666666666667),F127-D127,F127-D127)))))))</f>
        <v>0</v>
      </c>
      <c r="P127" s="34" t="str">
        <f aca="false">IFERROR(VLOOKUP($B127,Annuaire_roster!$B:$G,MATCH(P$1,Annuaire_roster!$B$1:$G$1,0),0),"-")</f>
        <v>Google Leads</v>
      </c>
      <c r="Q127" s="35" t="n">
        <v>44720</v>
      </c>
      <c r="R127" s="36" t="n">
        <f aca="false">IF(M127="Abs",O127,0)</f>
        <v>0</v>
      </c>
      <c r="S127" s="36" t="n">
        <f aca="false">SUM(R127,L127,I127,J127,W127,H127)</f>
        <v>0</v>
      </c>
      <c r="T127" s="1" t="str">
        <f aca="false">"Sem - "&amp;WEEKNUM(Q127,21)</f>
        <v>Sem - 24</v>
      </c>
      <c r="U127" s="1" t="str">
        <f aca="false">PROPER(TEXT(Q127,"mmmm"))</f>
        <v>June</v>
      </c>
      <c r="V127" s="37" t="str">
        <f aca="false">+TEXT(Q127,"aaa")</f>
        <v>Tue</v>
      </c>
      <c r="W127" s="32"/>
      <c r="X127" s="38" t="n">
        <f aca="false">IFERROR(IF(M127="Abs",0,IF((D127-C127+E127-F127)&lt;0.000694444444444444,0,(D127-C127+E127-F127))),0)</f>
        <v>0</v>
      </c>
      <c r="Y127" s="39" t="str">
        <f aca="false">IFERROR(VLOOKUP(B127,Annuaire_roster!B:E,4,0),"-")</f>
        <v>OUAQERROUCH Nour-El Houda</v>
      </c>
      <c r="Z127" s="39" t="str">
        <f aca="false">IFERROR(VLOOKUP(B127,Annuaire_roster!B:F,3,0),"-")</f>
        <v>Google Leads</v>
      </c>
      <c r="AA127" s="39" t="str">
        <f aca="false">IFERROR(VLOOKUP(B127,Annuaire_roster!B:I,6,0),"-")</f>
        <v>Forfaitaire</v>
      </c>
      <c r="AB127" s="40" t="str">
        <f aca="false">IF(AND(D127="Congé",F127="Congé"),0.333333333333333,IF(OR(AND(D127="Congé",F127&lt;&gt;"Congé"),(AND(F127="Congé",D127&lt;&gt;"Congé"))),0.166666666666667,""))</f>
        <v/>
      </c>
      <c r="AC127" s="40" t="str">
        <f aca="false">IF(AND(D127="Congé sans solde",F127="Congé sans solde"),0.333333333333333,IF(OR(AND(D127="Congé sans solde",F127&lt;&gt;"Congé sans solde"),(AND(F127="Congé sans solde",D127&lt;&gt;"Congé sans solde"))),0.166666666666667,""))</f>
        <v/>
      </c>
      <c r="AD127" s="40" t="str">
        <f aca="false">IF(AND(D127="Congé spécial",F127="Congé spécial"),0.333333333333333,IF(OR(AND(D127="Congé spécial",F127&lt;&gt;"Congé décès"),(AND(F127="Congé spécial",D127&lt;&gt;"Congé spécial"))),0.166666666666667,""))</f>
        <v/>
      </c>
      <c r="AE127" s="41" t="str">
        <f aca="false">IF(AND(D127="Férié",F127="Férié"),0.333333333333333,IF(OR(AND(D127="Férié",F127&lt;&gt;"Férié"),(AND(F127="Férié",D127&lt;&gt;"Férié"))),0.166666666666667,""))</f>
        <v/>
      </c>
      <c r="AF127" s="41"/>
      <c r="AG127" s="36"/>
    </row>
    <row r="128" customFormat="false" ht="12.75" hidden="true" customHeight="true" outlineLevel="0" collapsed="false">
      <c r="A128" s="22" t="n">
        <f aca="false">VLOOKUP(B128,Annuaire_roster!B:F,5,0)</f>
        <v>1009</v>
      </c>
      <c r="B128" s="23" t="s">
        <v>44</v>
      </c>
      <c r="C128" s="24" t="str">
        <f aca="false">IFERROR(IF(COUNTIFS(Pointage_brut!$E:$E,VLOOKUP($B128,Annuaire_roster!$B:$J,9,0),Pointage_brut!$A:$A,TEXT($Q128,"yyyymmdd")*1)=0,"",MOD(_xlfn.MINIFS(Pointage_brut!$F:$F,Pointage_brut!$E:$E,VLOOKUP($B128,Annuaire_roster!$B:$J,9,0),Pointage_brut!$A:$A,TEXT($Q128,"yyyymmdd")*1),1)),"")</f>
        <v/>
      </c>
      <c r="D128" s="25" t="str">
        <f aca="false" t="array" ref="D128:D128">IFERROR(INDEX(Planning2[],MATCH(1,(Planning2[Nom]=B128)*(Planning2[Date]=Q128),0),3),"-")</f>
        <v>OFF</v>
      </c>
      <c r="E128" s="26" t="str">
        <f aca="false">IFERROR(IF(COUNTIFS(Pointage_brut!$E:$E,VLOOKUP($B128,Annuaire_roster!$B:$J,9,0),Pointage_brut!$A:$A,TEXT($Q128,"yyyymmdd")*1)=0,"",MOD(_xlfn.MAXIFS(Pointage_brut!$G:$G,Pointage_brut!$E:$E,VLOOKUP($B128,Annuaire_roster!$B:$J,9,0),Pointage_brut!$A:$A,TEXT($Q128,"yyyymmdd")*1),1)),"")</f>
        <v/>
      </c>
      <c r="F128" s="27" t="str">
        <f aca="false" t="array" ref="F128:F128">IFERROR(INDEX(Planning2[],MATCH(1,(Planning2[Nom]=B128)*(Planning2[Date]=Q128),0),4),"-")</f>
        <v>OFF</v>
      </c>
      <c r="G128" s="28"/>
      <c r="H128" s="28"/>
      <c r="I128" s="29" t="str">
        <f aca="false">IF(IF(OR(C128="",D128="Congé",D128="OFF",D128="Congé spécial"),"",IF(D128&gt;F128,D128-C128,IF(C128-D128&lt;0,0,C128-D128)))&lt;0.00068287037037037,"",IF(OR(D128="Congé",D128="OFF",C128="",D128="Congé spécial"),"",IF(D128&gt;F128,D128-C128,IF(C128-D128&lt;0,0,C128-D128))))</f>
        <v/>
      </c>
      <c r="J128" s="28"/>
      <c r="K128" s="30" t="n">
        <f aca="false">IF(SUM(H128:J128)&lt;0.00068287037037037,0,SUM(H128:J128))</f>
        <v>0</v>
      </c>
      <c r="L128" s="28" t="n">
        <f aca="false">IF(OR(F128="Congé",F128="OFF",M128="Abs",F128="Congé sans solde",F128="Férié",F128="Congé spécial",D128="Congé spécial"),0,IF(F128-E128&lt;0,0,IF(F128-E128&lt;=0.00068287037037037,0,F128-E128)))</f>
        <v>0</v>
      </c>
      <c r="M128" s="31" t="n">
        <f aca="false">IF(AND(O128&lt;&gt;0,C128=""),"Abs",0)</f>
        <v>0</v>
      </c>
      <c r="N128" s="32" t="str">
        <f aca="false">IFERROR(IF(OR(D128="OFF",D128="Congé",M128="Abs",D128="Congé sans solde",D128="Férié"),"",IF(O128-K128-L128&gt;O128,O128,IF(O128-K128-L128&lt;0,"",O128-K128-L128))),"")</f>
        <v/>
      </c>
      <c r="O128" s="33" t="n">
        <f aca="false">IF(AG128="2H Pause déjeuner",IF(F128-D128-0.0833333333333333&lt;0,F128-D128-0.0833333333333333+1,F128-D128-0.0833333333333333),IF(OR(AND(F128="OFF",D128="OFF"),AND(F128="Congé",D128="Congé"),AND(F128="Congé sans solde",D128="Congé sans solde"),AND(F128="Congé spécial",D128="Congé spécial"),AND(F128="Férié",D128="Férié"),AND(F128="OFF",D128="Congé"),AND(F128="OFF",D128="Congé sans solde"),AND(F128="OFF",D128="Congé spécial"),AND(F128="OFF",D128="Férié"),AND(F128="Congé",D128="OFF"),AND(F128="Congé",D128="Congé sans solde"),AND(F128="Congé",D128="Congé spécial"),AND(F128="Congé",D128="Férié"),AND(F128="Congé sans solde",D128="OFF"),AND(F128="Congé sans solde",D128="Congé"),AND(F128="Congé sans solde",D128="Congé spécial"),AND(F128="Congé sans solde",D128="Férié"),AND(F128="Congé spécial",D128="OFF"),AND(F128="Congé spécial",D128="Congé"),AND(F128="Congé spécial",D128="Congé sans solde"),AND(F128="Congé spécial",D128="Férié"),AND(F128="Férié",D128="OFF"),AND(F128="Férié",D128="Congé"),AND(F128="Férié",D128="Congé sans solde"),AND(F128="Férié",D128="Congé spécial")),0,IF(OR(F128="OFF",F128="Congé",F128="Congé spécial",F128="Congé sans solde",D128="OFF",D128="Congé",D128="Congé spécial",D128="Congé sans solde"),0.208333333333334,IF(AND(AG128="",F128-D128&lt;0),("24:00:00"-D128)+("00:00:00"+F128)-0.0416666666666667,IF(AND(OR(AG128="Allaitement",AG128="Sans déjeuner"),F128-D128&lt;0),("24:00:00"-D128)+("00:00:00"+F128),IF(AND(AG128="",F128-D128&gt;0.166666666666667),F128-D128-0.0416666666666667,IF(AND(OR(AG128="Allaitement",AG128="Sans déjeuner"),F128-D128&gt;0.166666666666667),F128-D128,F128-D128)))))))</f>
        <v>0</v>
      </c>
      <c r="P128" s="34" t="str">
        <f aca="false">IFERROR(VLOOKUP($B128,Annuaire_roster!$B:$G,MATCH(P$1,Annuaire_roster!$B$1:$G$1,0),0),"-")</f>
        <v>Google Leads</v>
      </c>
      <c r="Q128" s="35" t="n">
        <v>44720</v>
      </c>
      <c r="R128" s="36" t="n">
        <f aca="false">IF(M128="Abs",O128,0)</f>
        <v>0</v>
      </c>
      <c r="S128" s="36" t="n">
        <f aca="false">SUM(R128,L128,I128,J128,W128,H128)</f>
        <v>0</v>
      </c>
      <c r="T128" s="1" t="str">
        <f aca="false">"Sem - "&amp;WEEKNUM(Q128,21)</f>
        <v>Sem - 24</v>
      </c>
      <c r="U128" s="1" t="str">
        <f aca="false">PROPER(TEXT(Q128,"mmmm"))</f>
        <v>June</v>
      </c>
      <c r="V128" s="37" t="str">
        <f aca="false">+TEXT(Q128,"aaa")</f>
        <v>Tue</v>
      </c>
      <c r="W128" s="32"/>
      <c r="X128" s="38" t="n">
        <f aca="false">IFERROR(IF(M128="Abs",0,IF((D128-C128+E128-F128)&lt;0.000694444444444444,0,(D128-C128+E128-F128))),0)</f>
        <v>0</v>
      </c>
      <c r="Y128" s="39" t="str">
        <f aca="false">IFERROR(VLOOKUP(B128,Annuaire_roster!B:E,4,0),"-")</f>
        <v>OUAQERROUCH Nour-El Houda</v>
      </c>
      <c r="Z128" s="39" t="str">
        <f aca="false">IFERROR(VLOOKUP(B128,Annuaire_roster!B:F,3,0),"-")</f>
        <v>Google Leads</v>
      </c>
      <c r="AA128" s="39" t="str">
        <f aca="false">IFERROR(VLOOKUP(B128,Annuaire_roster!B:I,6,0),"-")</f>
        <v>Forfaitaire</v>
      </c>
      <c r="AB128" s="40" t="str">
        <f aca="false">IF(AND(D128="Congé",F128="Congé"),0.333333333333333,IF(OR(AND(D128="Congé",F128&lt;&gt;"Congé"),(AND(F128="Congé",D128&lt;&gt;"Congé"))),0.166666666666667,""))</f>
        <v/>
      </c>
      <c r="AC128" s="40" t="str">
        <f aca="false">IF(AND(D128="Congé sans solde",F128="Congé sans solde"),0.333333333333333,IF(OR(AND(D128="Congé sans solde",F128&lt;&gt;"Congé sans solde"),(AND(F128="Congé sans solde",D128&lt;&gt;"Congé sans solde"))),0.166666666666667,""))</f>
        <v/>
      </c>
      <c r="AD128" s="40" t="str">
        <f aca="false">IF(AND(D128="Congé spécial",F128="Congé spécial"),0.333333333333333,IF(OR(AND(D128="Congé spécial",F128&lt;&gt;"Congé décès"),(AND(F128="Congé spécial",D128&lt;&gt;"Congé spécial"))),0.166666666666667,""))</f>
        <v/>
      </c>
      <c r="AE128" s="41" t="str">
        <f aca="false">IF(AND(D128="Férié",F128="Férié"),0.333333333333333,IF(OR(AND(D128="Férié",F128&lt;&gt;"Férié"),(AND(F128="Férié",D128&lt;&gt;"Férié"))),0.166666666666667,""))</f>
        <v/>
      </c>
      <c r="AF128" s="41"/>
      <c r="AG128" s="36"/>
    </row>
    <row r="129" customFormat="false" ht="12.75" hidden="true" customHeight="true" outlineLevel="0" collapsed="false">
      <c r="A129" s="22" t="n">
        <f aca="false">VLOOKUP(B129,Annuaire_roster!B:F,5,0)</f>
        <v>1154</v>
      </c>
      <c r="B129" s="23" t="s">
        <v>53</v>
      </c>
      <c r="C129" s="24" t="str">
        <f aca="false">IFERROR(IF(COUNTIFS(Pointage_brut!$E:$E,VLOOKUP($B129,Annuaire_roster!$B:$J,9,0),Pointage_brut!$A:$A,TEXT($Q129,"yyyymmdd")*1)=0,"",MOD(_xlfn.MINIFS(Pointage_brut!$F:$F,Pointage_brut!$E:$E,VLOOKUP($B129,Annuaire_roster!$B:$J,9,0),Pointage_brut!$A:$A,TEXT($Q129,"yyyymmdd")*1),1)),"")</f>
        <v/>
      </c>
      <c r="D129" s="25" t="str">
        <f aca="false" t="array" ref="D129:D129">IFERROR(INDEX(Planning2[],MATCH(1,(Planning2[Nom]=B129)*(Planning2[Date]=Q129),0),3),"-")</f>
        <v>OFF</v>
      </c>
      <c r="E129" s="26" t="str">
        <f aca="false">IFERROR(IF(COUNTIFS(Pointage_brut!$E:$E,VLOOKUP($B129,Annuaire_roster!$B:$J,9,0),Pointage_brut!$A:$A,TEXT($Q129,"yyyymmdd")*1)=0,"",MOD(_xlfn.MAXIFS(Pointage_brut!$G:$G,Pointage_brut!$E:$E,VLOOKUP($B129,Annuaire_roster!$B:$J,9,0),Pointage_brut!$A:$A,TEXT($Q129,"yyyymmdd")*1),1)),"")</f>
        <v/>
      </c>
      <c r="F129" s="27" t="str">
        <f aca="false" t="array" ref="F129:F129">IFERROR(INDEX(Planning2[],MATCH(1,(Planning2[Nom]=B129)*(Planning2[Date]=Q129),0),4),"-")</f>
        <v>OFF</v>
      </c>
      <c r="G129" s="28"/>
      <c r="H129" s="28"/>
      <c r="I129" s="29" t="str">
        <f aca="false">IF(IF(OR(C129="",D129="Congé",D129="OFF",D129="Congé spécial"),"",IF(D129&gt;F129,D129-C129,IF(C129-D129&lt;0,0,C129-D129)))&lt;0.00068287037037037,"",IF(OR(D129="Congé",D129="OFF",C129="",D129="Congé spécial"),"",IF(D129&gt;F129,D129-C129,IF(C129-D129&lt;0,0,C129-D129))))</f>
        <v/>
      </c>
      <c r="J129" s="28"/>
      <c r="K129" s="30" t="n">
        <f aca="false">IF(SUM(H129:J129)&lt;0.00068287037037037,0,SUM(H129:J129))</f>
        <v>0</v>
      </c>
      <c r="L129" s="28" t="n">
        <f aca="false">IF(OR(F129="Congé",F129="OFF",M129="Abs",F129="Congé sans solde",F129="Férié",F129="Congé spécial",D129="Congé spécial"),0,IF(F129-E129&lt;0,0,IF(F129-E129&lt;=0.00068287037037037,0,F129-E129)))</f>
        <v>0</v>
      </c>
      <c r="M129" s="31" t="n">
        <f aca="false">IF(AND(O129&lt;&gt;0,C129=""),"Abs",0)</f>
        <v>0</v>
      </c>
      <c r="N129" s="32" t="str">
        <f aca="false">IFERROR(IF(OR(D129="OFF",D129="Congé",M129="Abs",D129="Congé sans solde",D129="Férié"),"",IF(O129-K129-L129&gt;O129,O129,IF(O129-K129-L129&lt;0,"",O129-K129-L129))),"")</f>
        <v/>
      </c>
      <c r="O129" s="33" t="n">
        <f aca="false">IF(AG129="2H Pause déjeuner",IF(F129-D129-0.0833333333333333&lt;0,F129-D129-0.0833333333333333+1,F129-D129-0.0833333333333333),IF(OR(AND(F129="OFF",D129="OFF"),AND(F129="Congé",D129="Congé"),AND(F129="Congé sans solde",D129="Congé sans solde"),AND(F129="Congé spécial",D129="Congé spécial"),AND(F129="Férié",D129="Férié"),AND(F129="OFF",D129="Congé"),AND(F129="OFF",D129="Congé sans solde"),AND(F129="OFF",D129="Congé spécial"),AND(F129="OFF",D129="Férié"),AND(F129="Congé",D129="OFF"),AND(F129="Congé",D129="Congé sans solde"),AND(F129="Congé",D129="Congé spécial"),AND(F129="Congé",D129="Férié"),AND(F129="Congé sans solde",D129="OFF"),AND(F129="Congé sans solde",D129="Congé"),AND(F129="Congé sans solde",D129="Congé spécial"),AND(F129="Congé sans solde",D129="Férié"),AND(F129="Congé spécial",D129="OFF"),AND(F129="Congé spécial",D129="Congé"),AND(F129="Congé spécial",D129="Congé sans solde"),AND(F129="Congé spécial",D129="Férié"),AND(F129="Férié",D129="OFF"),AND(F129="Férié",D129="Congé"),AND(F129="Férié",D129="Congé sans solde"),AND(F129="Férié",D129="Congé spécial")),0,IF(OR(F129="OFF",F129="Congé",F129="Congé spécial",F129="Congé sans solde",D129="OFF",D129="Congé",D129="Congé spécial",D129="Congé sans solde"),0.208333333333334,IF(AND(AG129="",F129-D129&lt;0),("24:00:00"-D129)+("00:00:00"+F129)-0.0416666666666667,IF(AND(OR(AG129="Allaitement",AG129="Sans déjeuner"),F129-D129&lt;0),("24:00:00"-D129)+("00:00:00"+F129),IF(AND(AG129="",F129-D129&gt;0.166666666666667),F129-D129-0.0416666666666667,IF(AND(OR(AG129="Allaitement",AG129="Sans déjeuner"),F129-D129&gt;0.166666666666667),F129-D129,F129-D129)))))))</f>
        <v>0</v>
      </c>
      <c r="P129" s="34" t="str">
        <f aca="false">IFERROR(VLOOKUP($B129,Annuaire_roster!$B:$G,MATCH(P$1,Annuaire_roster!$B$1:$G$1,0),0),"-")</f>
        <v>Google Leads</v>
      </c>
      <c r="Q129" s="35" t="n">
        <v>44720</v>
      </c>
      <c r="R129" s="36" t="n">
        <f aca="false">IF(M129="Abs",O129,0)</f>
        <v>0</v>
      </c>
      <c r="S129" s="36" t="n">
        <f aca="false">SUM(R129,L129,I129,J129,W129,H129)</f>
        <v>0</v>
      </c>
      <c r="T129" s="1" t="str">
        <f aca="false">"Sem - "&amp;WEEKNUM(Q129,21)</f>
        <v>Sem - 24</v>
      </c>
      <c r="U129" s="1" t="str">
        <f aca="false">PROPER(TEXT(Q129,"mmmm"))</f>
        <v>June</v>
      </c>
      <c r="V129" s="37" t="str">
        <f aca="false">+TEXT(Q129,"aaa")</f>
        <v>Tue</v>
      </c>
      <c r="W129" s="32"/>
      <c r="X129" s="38" t="n">
        <f aca="false">IFERROR(IF(M129="Abs",0,IF((D129-C129+E129-F129)&lt;0.000694444444444444,0,(D129-C129+E129-F129))),0)</f>
        <v>0</v>
      </c>
      <c r="Y129" s="39" t="str">
        <f aca="false">IFERROR(VLOOKUP(B129,Annuaire_roster!B:E,4,0),"-")</f>
        <v>CHOUIFI Mustapha</v>
      </c>
      <c r="Z129" s="39" t="str">
        <f aca="false">IFERROR(VLOOKUP(B129,Annuaire_roster!B:F,3,0),"-")</f>
        <v>Google Leads</v>
      </c>
      <c r="AA129" s="39" t="str">
        <f aca="false">IFERROR(VLOOKUP(B129,Annuaire_roster!B:I,6,0),"-")</f>
        <v>Forfaitaire</v>
      </c>
      <c r="AB129" s="40" t="str">
        <f aca="false">IF(AND(D129="Congé",F129="Congé"),0.333333333333333,IF(OR(AND(D129="Congé",F129&lt;&gt;"Congé"),(AND(F129="Congé",D129&lt;&gt;"Congé"))),0.166666666666667,""))</f>
        <v/>
      </c>
      <c r="AC129" s="40" t="str">
        <f aca="false">IF(AND(D129="Congé sans solde",F129="Congé sans solde"),0.333333333333333,IF(OR(AND(D129="Congé sans solde",F129&lt;&gt;"Congé sans solde"),(AND(F129="Congé sans solde",D129&lt;&gt;"Congé sans solde"))),0.166666666666667,""))</f>
        <v/>
      </c>
      <c r="AD129" s="40" t="str">
        <f aca="false">IF(AND(D129="Congé spécial",F129="Congé spécial"),0.333333333333333,IF(OR(AND(D129="Congé spécial",F129&lt;&gt;"Congé décès"),(AND(F129="Congé spécial",D129&lt;&gt;"Congé spécial"))),0.166666666666667,""))</f>
        <v/>
      </c>
      <c r="AE129" s="41" t="str">
        <f aca="false">IF(AND(D129="Férié",F129="Férié"),0.333333333333333,IF(OR(AND(D129="Férié",F129&lt;&gt;"Férié"),(AND(F129="Férié",D129&lt;&gt;"Férié"))),0.166666666666667,""))</f>
        <v/>
      </c>
      <c r="AF129" s="41"/>
      <c r="AG129" s="36"/>
    </row>
    <row r="130" customFormat="false" ht="12.75" hidden="true" customHeight="true" outlineLevel="0" collapsed="false">
      <c r="A130" s="22" t="n">
        <f aca="false">VLOOKUP(B130,Annuaire_roster!B:F,5,0)</f>
        <v>364</v>
      </c>
      <c r="B130" s="23" t="s">
        <v>43</v>
      </c>
      <c r="C130" s="24" t="str">
        <f aca="false">IFERROR(IF(COUNTIFS(Pointage_brut!$E:$E,VLOOKUP($B130,Annuaire_roster!$B:$J,9,0),Pointage_brut!$A:$A,TEXT($Q130,"yyyymmdd")*1)=0,"",MOD(_xlfn.MINIFS(Pointage_brut!$F:$F,Pointage_brut!$E:$E,VLOOKUP($B130,Annuaire_roster!$B:$J,9,0),Pointage_brut!$A:$A,TEXT($Q130,"yyyymmdd")*1),1)),"")</f>
        <v/>
      </c>
      <c r="D130" s="25" t="n">
        <f aca="false" t="array" ref="D130:D130">IFERROR(INDEX(Planning2[],MATCH(1,(Planning2[Nom]=B130)*(Planning2[Date]=Q130),0),3),"-")</f>
        <v>0.291666666666667</v>
      </c>
      <c r="E130" s="26" t="str">
        <f aca="false">IFERROR(IF(COUNTIFS(Pointage_brut!$E:$E,VLOOKUP($B130,Annuaire_roster!$B:$J,9,0),Pointage_brut!$A:$A,TEXT($Q130,"yyyymmdd")*1)=0,"",MOD(_xlfn.MAXIFS(Pointage_brut!$G:$G,Pointage_brut!$E:$E,VLOOKUP($B130,Annuaire_roster!$B:$J,9,0),Pointage_brut!$A:$A,TEXT($Q130,"yyyymmdd")*1),1)),"")</f>
        <v/>
      </c>
      <c r="F130" s="27" t="n">
        <f aca="false" t="array" ref="F130:F130">IFERROR(INDEX(Planning2[],MATCH(1,(Planning2[Nom]=B130)*(Planning2[Date]=Q130),0),4),"-")</f>
        <v>0.708333333333333</v>
      </c>
      <c r="G130" s="28"/>
      <c r="H130" s="28"/>
      <c r="I130" s="29" t="str">
        <f aca="false">IF(IF(OR(C130="",D130="Congé",D130="OFF",D130="Congé spécial"),"",IF(D130&gt;F130,D130-C130,IF(C130-D130&lt;0,0,C130-D130)))&lt;0.00068287037037037,"",IF(OR(D130="Congé",D130="OFF",C130="",D130="Congé spécial"),"",IF(D130&gt;F130,D130-C130,IF(C130-D130&lt;0,0,C130-D130))))</f>
        <v/>
      </c>
      <c r="J130" s="28"/>
      <c r="K130" s="30" t="n">
        <f aca="false">IF(SUM(H130:J130)&lt;0.00068287037037037,0,SUM(H130:J130))</f>
        <v>0</v>
      </c>
      <c r="L130" s="28" t="n">
        <f aca="false">IF(OR(F130="Congé",F130="OFF",M130="Abs",F130="Congé sans solde",F130="Férié",F130="Congé spécial",D130="Congé spécial"),0,IF(F130-E130&lt;0,0,IF(F130-E130&lt;=0.00068287037037037,0,F130-E130)))</f>
        <v>0</v>
      </c>
      <c r="M130" s="31" t="str">
        <f aca="false">IF(AND(O130&lt;&gt;0,C130=""),"Abs",0)</f>
        <v>Abs</v>
      </c>
      <c r="N130" s="32" t="str">
        <f aca="false">IFERROR(IF(OR(D130="OFF",D130="Congé",M130="Abs",D130="Congé sans solde",D130="Férié"),"",IF(O130-K130-L130&gt;O130,O130,IF(O130-K130-L130&lt;0,"",O130-K130-L130))),"")</f>
        <v/>
      </c>
      <c r="O130" s="33" t="n">
        <f aca="false">IF(AG130="2H Pause déjeuner",IF(F130-D130-0.0833333333333333&lt;0,F130-D130-0.0833333333333333+1,F130-D130-0.0833333333333333),IF(OR(AND(F130="OFF",D130="OFF"),AND(F130="Congé",D130="Congé"),AND(F130="Congé sans solde",D130="Congé sans solde"),AND(F130="Congé spécial",D130="Congé spécial"),AND(F130="Férié",D130="Férié"),AND(F130="OFF",D130="Congé"),AND(F130="OFF",D130="Congé sans solde"),AND(F130="OFF",D130="Congé spécial"),AND(F130="OFF",D130="Férié"),AND(F130="Congé",D130="OFF"),AND(F130="Congé",D130="Congé sans solde"),AND(F130="Congé",D130="Congé spécial"),AND(F130="Congé",D130="Férié"),AND(F130="Congé sans solde",D130="OFF"),AND(F130="Congé sans solde",D130="Congé"),AND(F130="Congé sans solde",D130="Congé spécial"),AND(F130="Congé sans solde",D130="Férié"),AND(F130="Congé spécial",D130="OFF"),AND(F130="Congé spécial",D130="Congé"),AND(F130="Congé spécial",D130="Congé sans solde"),AND(F130="Congé spécial",D130="Férié"),AND(F130="Férié",D130="OFF"),AND(F130="Férié",D130="Congé"),AND(F130="Férié",D130="Congé sans solde"),AND(F130="Férié",D130="Congé spécial")),0,IF(OR(F130="OFF",F130="Congé",F130="Congé spécial",F130="Congé sans solde",D130="OFF",D130="Congé",D130="Congé spécial",D130="Congé sans solde"),0.208333333333334,IF(AND(AG130="",F130-D130&lt;0),("24:00:00"-D130)+("00:00:00"+F130)-0.0416666666666667,IF(AND(OR(AG130="Allaitement",AG130="Sans déjeuner"),F130-D130&lt;0),("24:00:00"-D130)+("00:00:00"+F130),IF(AND(AG130="",F130-D130&gt;0.166666666666667),F130-D130-0.0416666666666667,IF(AND(OR(AG130="Allaitement",AG130="Sans déjeuner"),F130-D130&gt;0.166666666666667),F130-D130,F130-D130)))))))</f>
        <v>0.375</v>
      </c>
      <c r="P130" s="34" t="str">
        <f aca="false">IFERROR(VLOOKUP($B130,Annuaire_roster!$B:$G,MATCH(P$1,Annuaire_roster!$B$1:$G$1,0),0),"-")</f>
        <v>Google Leads</v>
      </c>
      <c r="Q130" s="35" t="n">
        <v>44721</v>
      </c>
      <c r="R130" s="36" t="n">
        <f aca="false">IF(M130="Abs",O130,0)</f>
        <v>0.375</v>
      </c>
      <c r="S130" s="36" t="n">
        <f aca="false">SUM(R130,L130,I130,J130,W130,H130)</f>
        <v>0.375</v>
      </c>
      <c r="T130" s="1" t="str">
        <f aca="false">"Sem - "&amp;WEEKNUM(Q130,21)</f>
        <v>Sem - 24</v>
      </c>
      <c r="U130" s="1" t="str">
        <f aca="false">PROPER(TEXT(Q130,"mmmm"))</f>
        <v>June</v>
      </c>
      <c r="V130" s="37" t="str">
        <f aca="false">+TEXT(Q130,"aaa")</f>
        <v>Wed</v>
      </c>
      <c r="W130" s="32"/>
      <c r="X130" s="38" t="n">
        <f aca="false">IFERROR(IF(M130="Abs",0,IF((D130-C130+E130-F130)&lt;0.000694444444444444,0,(D130-C130+E130-F130))),0)</f>
        <v>0</v>
      </c>
      <c r="Y130" s="39" t="str">
        <f aca="false">IFERROR(VLOOKUP(B130,Annuaire_roster!B:E,4,0),"-")</f>
        <v>OUAQERROUCH Nour-El Houda</v>
      </c>
      <c r="Z130" s="39" t="str">
        <f aca="false">IFERROR(VLOOKUP(B130,Annuaire_roster!B:F,3,0),"-")</f>
        <v>Google Leads</v>
      </c>
      <c r="AA130" s="39" t="str">
        <f aca="false">IFERROR(VLOOKUP(B130,Annuaire_roster!B:I,6,0),"-")</f>
        <v>Forfaitaire</v>
      </c>
      <c r="AB130" s="40" t="str">
        <f aca="false">IF(AND(D130="Congé",F130="Congé"),0.333333333333333,IF(OR(AND(D130="Congé",F130&lt;&gt;"Congé"),(AND(F130="Congé",D130&lt;&gt;"Congé"))),0.166666666666667,""))</f>
        <v/>
      </c>
      <c r="AC130" s="40" t="str">
        <f aca="false">IF(AND(D130="Congé sans solde",F130="Congé sans solde"),0.333333333333333,IF(OR(AND(D130="Congé sans solde",F130&lt;&gt;"Congé sans solde"),(AND(F130="Congé sans solde",D130&lt;&gt;"Congé sans solde"))),0.166666666666667,""))</f>
        <v/>
      </c>
      <c r="AD130" s="40" t="str">
        <f aca="false">IF(AND(D130="Congé spécial",F130="Congé spécial"),0.333333333333333,IF(OR(AND(D130="Congé spécial",F130&lt;&gt;"Congé décès"),(AND(F130="Congé spécial",D130&lt;&gt;"Congé spécial"))),0.166666666666667,""))</f>
        <v/>
      </c>
      <c r="AE130" s="41" t="str">
        <f aca="false">IF(AND(D130="Férié",F130="Férié"),0.333333333333333,IF(OR(AND(D130="Férié",F130&lt;&gt;"Férié"),(AND(F130="Férié",D130&lt;&gt;"Férié"))),0.166666666666667,""))</f>
        <v/>
      </c>
      <c r="AF130" s="41"/>
      <c r="AG130" s="36"/>
    </row>
    <row r="131" customFormat="false" ht="12.75" hidden="true" customHeight="true" outlineLevel="0" collapsed="false">
      <c r="A131" s="22" t="n">
        <f aca="false">VLOOKUP(B131,Annuaire_roster!B:F,5,0)</f>
        <v>669</v>
      </c>
      <c r="B131" s="23" t="s">
        <v>38</v>
      </c>
      <c r="C131" s="24" t="str">
        <f aca="false">IFERROR(IF(COUNTIFS(Pointage_brut!$E:$E,VLOOKUP($B131,Annuaire_roster!$B:$J,9,0),Pointage_brut!$A:$A,TEXT($Q131,"yyyymmdd")*1)=0,"",MOD(_xlfn.MINIFS(Pointage_brut!$F:$F,Pointage_brut!$E:$E,VLOOKUP($B131,Annuaire_roster!$B:$J,9,0),Pointage_brut!$A:$A,TEXT($Q131,"yyyymmdd")*1),1)),"")</f>
        <v/>
      </c>
      <c r="D131" s="25" t="n">
        <f aca="false" t="array" ref="D131:D131">IFERROR(INDEX(Planning2[],MATCH(1,(Planning2[Nom]=B131)*(Planning2[Date]=Q131),0),3),"-")</f>
        <v>0.291666666666667</v>
      </c>
      <c r="E131" s="26" t="str">
        <f aca="false">IFERROR(IF(COUNTIFS(Pointage_brut!$E:$E,VLOOKUP($B131,Annuaire_roster!$B:$J,9,0),Pointage_brut!$A:$A,TEXT($Q131,"yyyymmdd")*1)=0,"",MOD(_xlfn.MAXIFS(Pointage_brut!$G:$G,Pointage_brut!$E:$E,VLOOKUP($B131,Annuaire_roster!$B:$J,9,0),Pointage_brut!$A:$A,TEXT($Q131,"yyyymmdd")*1),1)),"")</f>
        <v/>
      </c>
      <c r="F131" s="27" t="n">
        <f aca="false" t="array" ref="F131:F131">IFERROR(INDEX(Planning2[],MATCH(1,(Planning2[Nom]=B131)*(Planning2[Date]=Q131),0),4),"-")</f>
        <v>0.708333333333333</v>
      </c>
      <c r="G131" s="28"/>
      <c r="H131" s="28"/>
      <c r="I131" s="29" t="str">
        <f aca="false">IF(IF(OR(C131="",D131="Congé",D131="OFF",D131="Congé spécial"),"",IF(D131&gt;F131,D131-C131,IF(C131-D131&lt;0,0,C131-D131)))&lt;0.00068287037037037,"",IF(OR(D131="Congé",D131="OFF",C131="",D131="Congé spécial"),"",IF(D131&gt;F131,D131-C131,IF(C131-D131&lt;0,0,C131-D131))))</f>
        <v/>
      </c>
      <c r="J131" s="28"/>
      <c r="K131" s="30" t="n">
        <f aca="false">IF(SUM(H131:J131)&lt;0.00068287037037037,0,SUM(H131:J131))</f>
        <v>0</v>
      </c>
      <c r="L131" s="28" t="n">
        <f aca="false">IF(OR(F131="Congé",F131="OFF",M131="Abs",F131="Congé sans solde",F131="Férié",F131="Congé spécial",D131="Congé spécial"),0,IF(F131-E131&lt;0,0,IF(F131-E131&lt;=0.00068287037037037,0,F131-E131)))</f>
        <v>0</v>
      </c>
      <c r="M131" s="31" t="str">
        <f aca="false">IF(AND(O131&lt;&gt;0,C131=""),"Abs",0)</f>
        <v>Abs</v>
      </c>
      <c r="N131" s="32" t="str">
        <f aca="false">IFERROR(IF(OR(D131="OFF",D131="Congé",M131="Abs",D131="Congé sans solde",D131="Férié"),"",IF(O131-K131-L131&gt;O131,O131,IF(O131-K131-L131&lt;0,"",O131-K131-L131))),"")</f>
        <v/>
      </c>
      <c r="O131" s="33" t="n">
        <f aca="false">IF(AG131="2H Pause déjeuner",IF(F131-D131-0.0833333333333333&lt;0,F131-D131-0.0833333333333333+1,F131-D131-0.0833333333333333),IF(OR(AND(F131="OFF",D131="OFF"),AND(F131="Congé",D131="Congé"),AND(F131="Congé sans solde",D131="Congé sans solde"),AND(F131="Congé spécial",D131="Congé spécial"),AND(F131="Férié",D131="Férié"),AND(F131="OFF",D131="Congé"),AND(F131="OFF",D131="Congé sans solde"),AND(F131="OFF",D131="Congé spécial"),AND(F131="OFF",D131="Férié"),AND(F131="Congé",D131="OFF"),AND(F131="Congé",D131="Congé sans solde"),AND(F131="Congé",D131="Congé spécial"),AND(F131="Congé",D131="Férié"),AND(F131="Congé sans solde",D131="OFF"),AND(F131="Congé sans solde",D131="Congé"),AND(F131="Congé sans solde",D131="Congé spécial"),AND(F131="Congé sans solde",D131="Férié"),AND(F131="Congé spécial",D131="OFF"),AND(F131="Congé spécial",D131="Congé"),AND(F131="Congé spécial",D131="Congé sans solde"),AND(F131="Congé spécial",D131="Férié"),AND(F131="Férié",D131="OFF"),AND(F131="Férié",D131="Congé"),AND(F131="Férié",D131="Congé sans solde"),AND(F131="Férié",D131="Congé spécial")),0,IF(OR(F131="OFF",F131="Congé",F131="Congé spécial",F131="Congé sans solde",D131="OFF",D131="Congé",D131="Congé spécial",D131="Congé sans solde"),0.208333333333334,IF(AND(AG131="",F131-D131&lt;0),("24:00:00"-D131)+("00:00:00"+F131)-0.0416666666666667,IF(AND(OR(AG131="Allaitement",AG131="Sans déjeuner"),F131-D131&lt;0),("24:00:00"-D131)+("00:00:00"+F131),IF(AND(AG131="",F131-D131&gt;0.166666666666667),F131-D131-0.0416666666666667,IF(AND(OR(AG131="Allaitement",AG131="Sans déjeuner"),F131-D131&gt;0.166666666666667),F131-D131,F131-D131)))))))</f>
        <v>0.375</v>
      </c>
      <c r="P131" s="34" t="str">
        <f aca="false">IFERROR(VLOOKUP($B131,Annuaire_roster!$B:$G,MATCH(P$1,Annuaire_roster!$B$1:$G$1,0),0),"-")</f>
        <v>Google Leads</v>
      </c>
      <c r="Q131" s="35" t="n">
        <v>44721</v>
      </c>
      <c r="R131" s="36" t="n">
        <f aca="false">IF(M131="Abs",O131,0)</f>
        <v>0.375</v>
      </c>
      <c r="S131" s="36" t="n">
        <f aca="false">SUM(R131,L131,I131,J131,W131,H131)</f>
        <v>0.375</v>
      </c>
      <c r="T131" s="1" t="str">
        <f aca="false">"Sem - "&amp;WEEKNUM(Q131,21)</f>
        <v>Sem - 24</v>
      </c>
      <c r="U131" s="1" t="str">
        <f aca="false">PROPER(TEXT(Q131,"mmmm"))</f>
        <v>June</v>
      </c>
      <c r="V131" s="37" t="str">
        <f aca="false">+TEXT(Q131,"aaa")</f>
        <v>Wed</v>
      </c>
      <c r="W131" s="32"/>
      <c r="X131" s="38" t="n">
        <f aca="false">IFERROR(IF(M131="Abs",0,IF((D131-C131+E131-F131)&lt;0.000694444444444444,0,(D131-C131+E131-F131))),0)</f>
        <v>0</v>
      </c>
      <c r="Y131" s="39" t="str">
        <f aca="false">IFERROR(VLOOKUP(B131,Annuaire_roster!B:E,4,0),"-")</f>
        <v>CHOUIFI Mustapha</v>
      </c>
      <c r="Z131" s="39" t="str">
        <f aca="false">IFERROR(VLOOKUP(B131,Annuaire_roster!B:F,3,0),"-")</f>
        <v>Google Leads</v>
      </c>
      <c r="AA131" s="39" t="str">
        <f aca="false">IFERROR(VLOOKUP(B131,Annuaire_roster!B:I,6,0),"-")</f>
        <v>Forfaitaire</v>
      </c>
      <c r="AB131" s="40" t="str">
        <f aca="false">IF(AND(D131="Congé",F131="Congé"),0.333333333333333,IF(OR(AND(D131="Congé",F131&lt;&gt;"Congé"),(AND(F131="Congé",D131&lt;&gt;"Congé"))),0.166666666666667,""))</f>
        <v/>
      </c>
      <c r="AC131" s="40" t="str">
        <f aca="false">IF(AND(D131="Congé sans solde",F131="Congé sans solde"),0.333333333333333,IF(OR(AND(D131="Congé sans solde",F131&lt;&gt;"Congé sans solde"),(AND(F131="Congé sans solde",D131&lt;&gt;"Congé sans solde"))),0.166666666666667,""))</f>
        <v/>
      </c>
      <c r="AD131" s="40" t="str">
        <f aca="false">IF(AND(D131="Congé spécial",F131="Congé spécial"),0.333333333333333,IF(OR(AND(D131="Congé spécial",F131&lt;&gt;"Congé décès"),(AND(F131="Congé spécial",D131&lt;&gt;"Congé spécial"))),0.166666666666667,""))</f>
        <v/>
      </c>
      <c r="AE131" s="41" t="str">
        <f aca="false">IF(AND(D131="Férié",F131="Férié"),0.333333333333333,IF(OR(AND(D131="Férié",F131&lt;&gt;"Férié"),(AND(F131="Férié",D131&lt;&gt;"Férié"))),0.166666666666667,""))</f>
        <v/>
      </c>
      <c r="AF131" s="41"/>
      <c r="AG131" s="36"/>
    </row>
    <row r="132" customFormat="false" ht="12.75" hidden="true" customHeight="true" outlineLevel="0" collapsed="false">
      <c r="A132" s="22" t="n">
        <f aca="false">VLOOKUP(B132,Annuaire_roster!B:F,5,0)</f>
        <v>952</v>
      </c>
      <c r="B132" s="23" t="s">
        <v>63</v>
      </c>
      <c r="C132" s="24" t="str">
        <f aca="false">IFERROR(IF(COUNTIFS(Pointage_brut!$E:$E,VLOOKUP($B132,Annuaire_roster!$B:$J,9,0),Pointage_brut!$A:$A,TEXT($Q132,"yyyymmdd")*1)=0,"",MOD(_xlfn.MINIFS(Pointage_brut!$F:$F,Pointage_brut!$E:$E,VLOOKUP($B132,Annuaire_roster!$B:$J,9,0),Pointage_brut!$A:$A,TEXT($Q132,"yyyymmdd")*1),1)),"")</f>
        <v/>
      </c>
      <c r="D132" s="25" t="n">
        <f aca="false" t="array" ref="D132:D132">IFERROR(INDEX(Planning2[],MATCH(1,(Planning2[Nom]=B132)*(Planning2[Date]=Q132),0),3),"-")</f>
        <v>0.458333333333333</v>
      </c>
      <c r="E132" s="26" t="str">
        <f aca="false">IFERROR(IF(COUNTIFS(Pointage_brut!$E:$E,VLOOKUP($B132,Annuaire_roster!$B:$J,9,0),Pointage_brut!$A:$A,TEXT($Q132,"yyyymmdd")*1)=0,"",MOD(_xlfn.MAXIFS(Pointage_brut!$G:$G,Pointage_brut!$E:$E,VLOOKUP($B132,Annuaire_roster!$B:$J,9,0),Pointage_brut!$A:$A,TEXT($Q132,"yyyymmdd")*1),1)),"")</f>
        <v/>
      </c>
      <c r="F132" s="27" t="n">
        <f aca="false" t="array" ref="F132:F132">IFERROR(INDEX(Planning2[],MATCH(1,(Planning2[Nom]=B132)*(Planning2[Date]=Q132),0),4),"-")</f>
        <v>0.833333333333333</v>
      </c>
      <c r="G132" s="28"/>
      <c r="H132" s="28"/>
      <c r="I132" s="29" t="str">
        <f aca="false">IF(IF(OR(C132="",D132="Congé",D132="OFF",D132="Congé spécial"),"",IF(D132&gt;F132,D132-C132,IF(C132-D132&lt;0,0,C132-D132)))&lt;0.00068287037037037,"",IF(OR(D132="Congé",D132="OFF",C132="",D132="Congé spécial"),"",IF(D132&gt;F132,D132-C132,IF(C132-D132&lt;0,0,C132-D132))))</f>
        <v/>
      </c>
      <c r="J132" s="28"/>
      <c r="K132" s="30" t="n">
        <f aca="false">IF(SUM(H132:J132)&lt;0.00068287037037037,0,SUM(H132:J132))</f>
        <v>0</v>
      </c>
      <c r="L132" s="28" t="n">
        <f aca="false">IF(OR(F132="Congé",F132="OFF",M132="Abs",F132="Congé sans solde",F132="Férié",F132="Congé spécial",D132="Congé spécial"),0,IF(F132-E132&lt;0,0,IF(F132-E132&lt;=0.00068287037037037,0,F132-E132)))</f>
        <v>0</v>
      </c>
      <c r="M132" s="31" t="str">
        <f aca="false">IF(AND(O132&lt;&gt;0,C132=""),"Abs",0)</f>
        <v>Abs</v>
      </c>
      <c r="N132" s="32" t="str">
        <f aca="false">IFERROR(IF(OR(D132="OFF",D132="Congé",M132="Abs",D132="Congé sans solde",D132="Férié"),"",IF(O132-K132-L132&gt;O132,O132,IF(O132-K132-L132&lt;0,"",O132-K132-L132))),"")</f>
        <v/>
      </c>
      <c r="O132" s="33" t="n">
        <f aca="false">IF(AG132="2H Pause déjeuner",IF(F132-D132-0.0833333333333333&lt;0,F132-D132-0.0833333333333333+1,F132-D132-0.0833333333333333),IF(OR(AND(F132="OFF",D132="OFF"),AND(F132="Congé",D132="Congé"),AND(F132="Congé sans solde",D132="Congé sans solde"),AND(F132="Congé spécial",D132="Congé spécial"),AND(F132="Férié",D132="Férié"),AND(F132="OFF",D132="Congé"),AND(F132="OFF",D132="Congé sans solde"),AND(F132="OFF",D132="Congé spécial"),AND(F132="OFF",D132="Férié"),AND(F132="Congé",D132="OFF"),AND(F132="Congé",D132="Congé sans solde"),AND(F132="Congé",D132="Congé spécial"),AND(F132="Congé",D132="Férié"),AND(F132="Congé sans solde",D132="OFF"),AND(F132="Congé sans solde",D132="Congé"),AND(F132="Congé sans solde",D132="Congé spécial"),AND(F132="Congé sans solde",D132="Férié"),AND(F132="Congé spécial",D132="OFF"),AND(F132="Congé spécial",D132="Congé"),AND(F132="Congé spécial",D132="Congé sans solde"),AND(F132="Congé spécial",D132="Férié"),AND(F132="Férié",D132="OFF"),AND(F132="Férié",D132="Congé"),AND(F132="Férié",D132="Congé sans solde"),AND(F132="Férié",D132="Congé spécial")),0,IF(OR(F132="OFF",F132="Congé",F132="Congé spécial",F132="Congé sans solde",D132="OFF",D132="Congé",D132="Congé spécial",D132="Congé sans solde"),0.208333333333334,IF(AND(AG132="",F132-D132&lt;0),("24:00:00"-D132)+("00:00:00"+F132)-0.0416666666666667,IF(AND(OR(AG132="Allaitement",AG132="Sans déjeuner"),F132-D132&lt;0),("24:00:00"-D132)+("00:00:00"+F132),IF(AND(AG132="",F132-D132&gt;0.166666666666667),F132-D132-0.0416666666666667,IF(AND(OR(AG132="Allaitement",AG132="Sans déjeuner"),F132-D132&gt;0.166666666666667),F132-D132,F132-D132)))))))</f>
        <v>0.333333333333333</v>
      </c>
      <c r="P132" s="34" t="str">
        <f aca="false">IFERROR(VLOOKUP($B132,Annuaire_roster!$B:$G,MATCH(P$1,Annuaire_roster!$B$1:$G$1,0),0),"-")</f>
        <v>Google Leads</v>
      </c>
      <c r="Q132" s="35" t="n">
        <v>44721</v>
      </c>
      <c r="R132" s="36" t="n">
        <f aca="false">IF(M132="Abs",O132,0)</f>
        <v>0.333333333333333</v>
      </c>
      <c r="S132" s="36" t="n">
        <f aca="false">SUM(R132,L132,I132,J132,W132,H132)</f>
        <v>0.333333333333333</v>
      </c>
      <c r="T132" s="1" t="str">
        <f aca="false">"Sem - "&amp;WEEKNUM(Q132,21)</f>
        <v>Sem - 24</v>
      </c>
      <c r="U132" s="1" t="str">
        <f aca="false">PROPER(TEXT(Q132,"mmmm"))</f>
        <v>June</v>
      </c>
      <c r="V132" s="37" t="str">
        <f aca="false">+TEXT(Q132,"aaa")</f>
        <v>Wed</v>
      </c>
      <c r="W132" s="32"/>
      <c r="X132" s="38" t="n">
        <f aca="false">IFERROR(IF(M132="Abs",0,IF((D132-C132+E132-F132)&lt;0.000694444444444444,0,(D132-C132+E132-F132))),0)</f>
        <v>0</v>
      </c>
      <c r="Y132" s="39" t="str">
        <f aca="false">IFERROR(VLOOKUP(B132,Annuaire_roster!B:E,4,0),"-")</f>
        <v>OUAQERROUCH Nour-El Houda</v>
      </c>
      <c r="Z132" s="39" t="str">
        <f aca="false">IFERROR(VLOOKUP(B132,Annuaire_roster!B:F,3,0),"-")</f>
        <v>Google Leads</v>
      </c>
      <c r="AA132" s="39" t="str">
        <f aca="false">IFERROR(VLOOKUP(B132,Annuaire_roster!B:I,6,0),"-")</f>
        <v>Forfaitaire</v>
      </c>
      <c r="AB132" s="40" t="str">
        <f aca="false">IF(AND(D132="Congé",F132="Congé"),0.333333333333333,IF(OR(AND(D132="Congé",F132&lt;&gt;"Congé"),(AND(F132="Congé",D132&lt;&gt;"Congé"))),0.166666666666667,""))</f>
        <v/>
      </c>
      <c r="AC132" s="40" t="str">
        <f aca="false">IF(AND(D132="Congé sans solde",F132="Congé sans solde"),0.333333333333333,IF(OR(AND(D132="Congé sans solde",F132&lt;&gt;"Congé sans solde"),(AND(F132="Congé sans solde",D132&lt;&gt;"Congé sans solde"))),0.166666666666667,""))</f>
        <v/>
      </c>
      <c r="AD132" s="40" t="str">
        <f aca="false">IF(AND(D132="Congé spécial",F132="Congé spécial"),0.333333333333333,IF(OR(AND(D132="Congé spécial",F132&lt;&gt;"Congé décès"),(AND(F132="Congé spécial",D132&lt;&gt;"Congé spécial"))),0.166666666666667,""))</f>
        <v/>
      </c>
      <c r="AE132" s="41" t="str">
        <f aca="false">IF(AND(D132="Férié",F132="Férié"),0.333333333333333,IF(OR(AND(D132="Férié",F132&lt;&gt;"Férié"),(AND(F132="Férié",D132&lt;&gt;"Férié"))),0.166666666666667,""))</f>
        <v/>
      </c>
      <c r="AF132" s="41"/>
      <c r="AG132" s="36"/>
    </row>
    <row r="133" customFormat="false" ht="12.75" hidden="true" customHeight="true" outlineLevel="0" collapsed="false">
      <c r="A133" s="22" t="n">
        <f aca="false">VLOOKUP(B133,Annuaire_roster!B:F,5,0)</f>
        <v>949</v>
      </c>
      <c r="B133" s="23" t="s">
        <v>48</v>
      </c>
      <c r="C133" s="24" t="str">
        <f aca="false">IFERROR(IF(COUNTIFS(Pointage_brut!$E:$E,VLOOKUP($B133,Annuaire_roster!$B:$J,9,0),Pointage_brut!$A:$A,TEXT($Q133,"yyyymmdd")*1)=0,"",MOD(_xlfn.MINIFS(Pointage_brut!$F:$F,Pointage_brut!$E:$E,VLOOKUP($B133,Annuaire_roster!$B:$J,9,0),Pointage_brut!$A:$A,TEXT($Q133,"yyyymmdd")*1),1)),"")</f>
        <v/>
      </c>
      <c r="D133" s="25" t="n">
        <f aca="false" t="array" ref="D133:D133">IFERROR(INDEX(Planning2[],MATCH(1,(Planning2[Nom]=B133)*(Planning2[Date]=Q133),0),3),"-")</f>
        <v>0.291666666666667</v>
      </c>
      <c r="E133" s="26" t="str">
        <f aca="false">IFERROR(IF(COUNTIFS(Pointage_brut!$E:$E,VLOOKUP($B133,Annuaire_roster!$B:$J,9,0),Pointage_brut!$A:$A,TEXT($Q133,"yyyymmdd")*1)=0,"",MOD(_xlfn.MAXIFS(Pointage_brut!$G:$G,Pointage_brut!$E:$E,VLOOKUP($B133,Annuaire_roster!$B:$J,9,0),Pointage_brut!$A:$A,TEXT($Q133,"yyyymmdd")*1),1)),"")</f>
        <v/>
      </c>
      <c r="F133" s="27" t="n">
        <f aca="false" t="array" ref="F133:F133">IFERROR(INDEX(Planning2[],MATCH(1,(Planning2[Nom]=B133)*(Planning2[Date]=Q133),0),4),"-")</f>
        <v>0.708333333333333</v>
      </c>
      <c r="G133" s="28"/>
      <c r="H133" s="28"/>
      <c r="I133" s="29" t="str">
        <f aca="false">IF(IF(OR(C133="",D133="Congé",D133="OFF",D133="Congé spécial"),"",IF(D133&gt;F133,D133-C133,IF(C133-D133&lt;0,0,C133-D133)))&lt;0.00068287037037037,"",IF(OR(D133="Congé",D133="OFF",C133="",D133="Congé spécial"),"",IF(D133&gt;F133,D133-C133,IF(C133-D133&lt;0,0,C133-D133))))</f>
        <v/>
      </c>
      <c r="J133" s="28"/>
      <c r="K133" s="30" t="n">
        <f aca="false">IF(SUM(H133:J133)&lt;0.00068287037037037,0,SUM(H133:J133))</f>
        <v>0</v>
      </c>
      <c r="L133" s="28" t="n">
        <f aca="false">IF(OR(F133="Congé",F133="OFF",M133="Abs",F133="Congé sans solde",F133="Férié",F133="Congé spécial",D133="Congé spécial"),0,IF(F133-E133&lt;0,0,IF(F133-E133&lt;=0.00068287037037037,0,F133-E133)))</f>
        <v>0</v>
      </c>
      <c r="M133" s="31" t="str">
        <f aca="false">IF(AND(O133&lt;&gt;0,C133=""),"Abs",0)</f>
        <v>Abs</v>
      </c>
      <c r="N133" s="32" t="str">
        <f aca="false">IFERROR(IF(OR(D133="OFF",D133="Congé",M133="Abs",D133="Congé sans solde",D133="Férié"),"",IF(O133-K133-L133&gt;O133,O133,IF(O133-K133-L133&lt;0,"",O133-K133-L133))),"")</f>
        <v/>
      </c>
      <c r="O133" s="33" t="n">
        <f aca="false">IF(AG133="2H Pause déjeuner",IF(F133-D133-0.0833333333333333&lt;0,F133-D133-0.0833333333333333+1,F133-D133-0.0833333333333333),IF(OR(AND(F133="OFF",D133="OFF"),AND(F133="Congé",D133="Congé"),AND(F133="Congé sans solde",D133="Congé sans solde"),AND(F133="Congé spécial",D133="Congé spécial"),AND(F133="Férié",D133="Férié"),AND(F133="OFF",D133="Congé"),AND(F133="OFF",D133="Congé sans solde"),AND(F133="OFF",D133="Congé spécial"),AND(F133="OFF",D133="Férié"),AND(F133="Congé",D133="OFF"),AND(F133="Congé",D133="Congé sans solde"),AND(F133="Congé",D133="Congé spécial"),AND(F133="Congé",D133="Férié"),AND(F133="Congé sans solde",D133="OFF"),AND(F133="Congé sans solde",D133="Congé"),AND(F133="Congé sans solde",D133="Congé spécial"),AND(F133="Congé sans solde",D133="Férié"),AND(F133="Congé spécial",D133="OFF"),AND(F133="Congé spécial",D133="Congé"),AND(F133="Congé spécial",D133="Congé sans solde"),AND(F133="Congé spécial",D133="Férié"),AND(F133="Férié",D133="OFF"),AND(F133="Férié",D133="Congé"),AND(F133="Férié",D133="Congé sans solde"),AND(F133="Férié",D133="Congé spécial")),0,IF(OR(F133="OFF",F133="Congé",F133="Congé spécial",F133="Congé sans solde",D133="OFF",D133="Congé",D133="Congé spécial",D133="Congé sans solde"),0.208333333333334,IF(AND(AG133="",F133-D133&lt;0),("24:00:00"-D133)+("00:00:00"+F133)-0.0416666666666667,IF(AND(OR(AG133="Allaitement",AG133="Sans déjeuner"),F133-D133&lt;0),("24:00:00"-D133)+("00:00:00"+F133),IF(AND(AG133="",F133-D133&gt;0.166666666666667),F133-D133-0.0416666666666667,IF(AND(OR(AG133="Allaitement",AG133="Sans déjeuner"),F133-D133&gt;0.166666666666667),F133-D133,F133-D133)))))))</f>
        <v>0.375</v>
      </c>
      <c r="P133" s="34" t="str">
        <f aca="false">IFERROR(VLOOKUP($B133,Annuaire_roster!$B:$G,MATCH(P$1,Annuaire_roster!$B$1:$G$1,0),0),"-")</f>
        <v>Google Leads</v>
      </c>
      <c r="Q133" s="35" t="n">
        <v>44721</v>
      </c>
      <c r="R133" s="36" t="n">
        <f aca="false">IF(M133="Abs",O133,0)</f>
        <v>0.375</v>
      </c>
      <c r="S133" s="36" t="n">
        <f aca="false">SUM(R133,L133,I133,J133,W133,H133)</f>
        <v>0.375</v>
      </c>
      <c r="T133" s="1" t="str">
        <f aca="false">"Sem - "&amp;WEEKNUM(Q133,21)</f>
        <v>Sem - 24</v>
      </c>
      <c r="U133" s="1" t="str">
        <f aca="false">PROPER(TEXT(Q133,"mmmm"))</f>
        <v>June</v>
      </c>
      <c r="V133" s="37" t="str">
        <f aca="false">+TEXT(Q133,"aaa")</f>
        <v>Wed</v>
      </c>
      <c r="W133" s="32"/>
      <c r="X133" s="38" t="n">
        <f aca="false">IFERROR(IF(M133="Abs",0,IF((D133-C133+E133-F133)&lt;0.000694444444444444,0,(D133-C133+E133-F133))),0)</f>
        <v>0</v>
      </c>
      <c r="Y133" s="39" t="str">
        <f aca="false">IFERROR(VLOOKUP(B133,Annuaire_roster!B:E,4,0),"-")</f>
        <v>CHOUIFI Mustapha</v>
      </c>
      <c r="Z133" s="39" t="str">
        <f aca="false">IFERROR(VLOOKUP(B133,Annuaire_roster!B:F,3,0),"-")</f>
        <v>Google Leads</v>
      </c>
      <c r="AA133" s="39" t="str">
        <f aca="false">IFERROR(VLOOKUP(B133,Annuaire_roster!B:I,6,0),"-")</f>
        <v>Forfaitaire</v>
      </c>
      <c r="AB133" s="40" t="str">
        <f aca="false">IF(AND(D133="Congé",F133="Congé"),0.333333333333333,IF(OR(AND(D133="Congé",F133&lt;&gt;"Congé"),(AND(F133="Congé",D133&lt;&gt;"Congé"))),0.166666666666667,""))</f>
        <v/>
      </c>
      <c r="AC133" s="40" t="str">
        <f aca="false">IF(AND(D133="Congé sans solde",F133="Congé sans solde"),0.333333333333333,IF(OR(AND(D133="Congé sans solde",F133&lt;&gt;"Congé sans solde"),(AND(F133="Congé sans solde",D133&lt;&gt;"Congé sans solde"))),0.166666666666667,""))</f>
        <v/>
      </c>
      <c r="AD133" s="40" t="str">
        <f aca="false">IF(AND(D133="Congé spécial",F133="Congé spécial"),0.333333333333333,IF(OR(AND(D133="Congé spécial",F133&lt;&gt;"Congé décès"),(AND(F133="Congé spécial",D133&lt;&gt;"Congé spécial"))),0.166666666666667,""))</f>
        <v/>
      </c>
      <c r="AE133" s="41" t="str">
        <f aca="false">IF(AND(D133="Férié",F133="Férié"),0.333333333333333,IF(OR(AND(D133="Férié",F133&lt;&gt;"Férié"),(AND(F133="Férié",D133&lt;&gt;"Férié"))),0.166666666666667,""))</f>
        <v/>
      </c>
      <c r="AF133" s="41"/>
      <c r="AG133" s="36"/>
    </row>
    <row r="134" customFormat="false" ht="12.75" hidden="true" customHeight="true" outlineLevel="0" collapsed="false">
      <c r="A134" s="22" t="n">
        <f aca="false">VLOOKUP(B134,Annuaire_roster!B:F,5,0)</f>
        <v>1007</v>
      </c>
      <c r="B134" s="23" t="s">
        <v>59</v>
      </c>
      <c r="C134" s="24" t="str">
        <f aca="false">IFERROR(IF(COUNTIFS(Pointage_brut!$E:$E,VLOOKUP($B134,Annuaire_roster!$B:$J,9,0),Pointage_brut!$A:$A,TEXT($Q134,"yyyymmdd")*1)=0,"",MOD(_xlfn.MINIFS(Pointage_brut!$F:$F,Pointage_brut!$E:$E,VLOOKUP($B134,Annuaire_roster!$B:$J,9,0),Pointage_brut!$A:$A,TEXT($Q134,"yyyymmdd")*1),1)),"")</f>
        <v/>
      </c>
      <c r="D134" s="25" t="n">
        <f aca="false" t="array" ref="D134:D134">IFERROR(INDEX(Planning2[],MATCH(1,(Planning2[Nom]=B134)*(Planning2[Date]=Q134),0),3),"-")</f>
        <v>0.291666666666667</v>
      </c>
      <c r="E134" s="26" t="str">
        <f aca="false">IFERROR(IF(COUNTIFS(Pointage_brut!$E:$E,VLOOKUP($B134,Annuaire_roster!$B:$J,9,0),Pointage_brut!$A:$A,TEXT($Q134,"yyyymmdd")*1)=0,"",MOD(_xlfn.MAXIFS(Pointage_brut!$G:$G,Pointage_brut!$E:$E,VLOOKUP($B134,Annuaire_roster!$B:$J,9,0),Pointage_brut!$A:$A,TEXT($Q134,"yyyymmdd")*1),1)),"")</f>
        <v/>
      </c>
      <c r="F134" s="27" t="n">
        <f aca="false" t="array" ref="F134:F134">IFERROR(INDEX(Planning2[],MATCH(1,(Planning2[Nom]=B134)*(Planning2[Date]=Q134),0),4),"-")</f>
        <v>0.708333333333333</v>
      </c>
      <c r="G134" s="28"/>
      <c r="H134" s="28"/>
      <c r="I134" s="29" t="str">
        <f aca="false">IF(IF(OR(C134="",D134="Congé",D134="OFF",D134="Congé spécial"),"",IF(D134&gt;F134,D134-C134,IF(C134-D134&lt;0,0,C134-D134)))&lt;0.00068287037037037,"",IF(OR(D134="Congé",D134="OFF",C134="",D134="Congé spécial"),"",IF(D134&gt;F134,D134-C134,IF(C134-D134&lt;0,0,C134-D134))))</f>
        <v/>
      </c>
      <c r="J134" s="28"/>
      <c r="K134" s="30" t="n">
        <f aca="false">IF(SUM(H134:J134)&lt;0.00068287037037037,0,SUM(H134:J134))</f>
        <v>0</v>
      </c>
      <c r="L134" s="28" t="n">
        <f aca="false">IF(OR(F134="Congé",F134="OFF",M134="Abs",F134="Congé sans solde",F134="Férié",F134="Congé spécial",D134="Congé spécial"),0,IF(F134-E134&lt;0,0,IF(F134-E134&lt;=0.00068287037037037,0,F134-E134)))</f>
        <v>0</v>
      </c>
      <c r="M134" s="31" t="str">
        <f aca="false">IF(AND(O134&lt;&gt;0,C134=""),"Abs",0)</f>
        <v>Abs</v>
      </c>
      <c r="N134" s="32" t="str">
        <f aca="false">IFERROR(IF(OR(D134="OFF",D134="Congé",M134="Abs",D134="Congé sans solde",D134="Férié"),"",IF(O134-K134-L134&gt;O134,O134,IF(O134-K134-L134&lt;0,"",O134-K134-L134))),"")</f>
        <v/>
      </c>
      <c r="O134" s="33" t="n">
        <f aca="false">IF(AG134="2H Pause déjeuner",IF(F134-D134-0.0833333333333333&lt;0,F134-D134-0.0833333333333333+1,F134-D134-0.0833333333333333),IF(OR(AND(F134="OFF",D134="OFF"),AND(F134="Congé",D134="Congé"),AND(F134="Congé sans solde",D134="Congé sans solde"),AND(F134="Congé spécial",D134="Congé spécial"),AND(F134="Férié",D134="Férié"),AND(F134="OFF",D134="Congé"),AND(F134="OFF",D134="Congé sans solde"),AND(F134="OFF",D134="Congé spécial"),AND(F134="OFF",D134="Férié"),AND(F134="Congé",D134="OFF"),AND(F134="Congé",D134="Congé sans solde"),AND(F134="Congé",D134="Congé spécial"),AND(F134="Congé",D134="Férié"),AND(F134="Congé sans solde",D134="OFF"),AND(F134="Congé sans solde",D134="Congé"),AND(F134="Congé sans solde",D134="Congé spécial"),AND(F134="Congé sans solde",D134="Férié"),AND(F134="Congé spécial",D134="OFF"),AND(F134="Congé spécial",D134="Congé"),AND(F134="Congé spécial",D134="Congé sans solde"),AND(F134="Congé spécial",D134="Férié"),AND(F134="Férié",D134="OFF"),AND(F134="Férié",D134="Congé"),AND(F134="Férié",D134="Congé sans solde"),AND(F134="Férié",D134="Congé spécial")),0,IF(OR(F134="OFF",F134="Congé",F134="Congé spécial",F134="Congé sans solde",D134="OFF",D134="Congé",D134="Congé spécial",D134="Congé sans solde"),0.208333333333334,IF(AND(AG134="",F134-D134&lt;0),("24:00:00"-D134)+("00:00:00"+F134)-0.0416666666666667,IF(AND(OR(AG134="Allaitement",AG134="Sans déjeuner"),F134-D134&lt;0),("24:00:00"-D134)+("00:00:00"+F134),IF(AND(AG134="",F134-D134&gt;0.166666666666667),F134-D134-0.0416666666666667,IF(AND(OR(AG134="Allaitement",AG134="Sans déjeuner"),F134-D134&gt;0.166666666666667),F134-D134,F134-D134)))))))</f>
        <v>0.375</v>
      </c>
      <c r="P134" s="34" t="str">
        <f aca="false">IFERROR(VLOOKUP($B134,Annuaire_roster!$B:$G,MATCH(P$1,Annuaire_roster!$B$1:$G$1,0),0),"-")</f>
        <v>Google Leads</v>
      </c>
      <c r="Q134" s="35" t="n">
        <v>44721</v>
      </c>
      <c r="R134" s="36" t="n">
        <f aca="false">IF(M134="Abs",O134,0)</f>
        <v>0.375</v>
      </c>
      <c r="S134" s="36" t="n">
        <f aca="false">SUM(R134,L134,I134,J134,W134,H134)</f>
        <v>0.375</v>
      </c>
      <c r="T134" s="1" t="str">
        <f aca="false">"Sem - "&amp;WEEKNUM(Q134,21)</f>
        <v>Sem - 24</v>
      </c>
      <c r="U134" s="1" t="str">
        <f aca="false">PROPER(TEXT(Q134,"mmmm"))</f>
        <v>June</v>
      </c>
      <c r="V134" s="37" t="str">
        <f aca="false">+TEXT(Q134,"aaa")</f>
        <v>Wed</v>
      </c>
      <c r="W134" s="32"/>
      <c r="X134" s="38" t="n">
        <f aca="false">IFERROR(IF(M134="Abs",0,IF((D134-C134+E134-F134)&lt;0.000694444444444444,0,(D134-C134+E134-F134))),0)</f>
        <v>0</v>
      </c>
      <c r="Y134" s="39" t="str">
        <f aca="false">IFERROR(VLOOKUP(B134,Annuaire_roster!B:E,4,0),"-")</f>
        <v>OUAQERROUCH Nour-El Houda</v>
      </c>
      <c r="Z134" s="39" t="str">
        <f aca="false">IFERROR(VLOOKUP(B134,Annuaire_roster!B:F,3,0),"-")</f>
        <v>Google Leads</v>
      </c>
      <c r="AA134" s="39" t="str">
        <f aca="false">IFERROR(VLOOKUP(B134,Annuaire_roster!B:I,6,0),"-")</f>
        <v>Forfaitaire</v>
      </c>
      <c r="AB134" s="40" t="str">
        <f aca="false">IF(AND(D134="Congé",F134="Congé"),0.333333333333333,IF(OR(AND(D134="Congé",F134&lt;&gt;"Congé"),(AND(F134="Congé",D134&lt;&gt;"Congé"))),0.166666666666667,""))</f>
        <v/>
      </c>
      <c r="AC134" s="40" t="str">
        <f aca="false">IF(AND(D134="Congé sans solde",F134="Congé sans solde"),0.333333333333333,IF(OR(AND(D134="Congé sans solde",F134&lt;&gt;"Congé sans solde"),(AND(F134="Congé sans solde",D134&lt;&gt;"Congé sans solde"))),0.166666666666667,""))</f>
        <v/>
      </c>
      <c r="AD134" s="40" t="str">
        <f aca="false">IF(AND(D134="Congé spécial",F134="Congé spécial"),0.333333333333333,IF(OR(AND(D134="Congé spécial",F134&lt;&gt;"Congé décès"),(AND(F134="Congé spécial",D134&lt;&gt;"Congé spécial"))),0.166666666666667,""))</f>
        <v/>
      </c>
      <c r="AE134" s="41" t="str">
        <f aca="false">IF(AND(D134="Férié",F134="Férié"),0.333333333333333,IF(OR(AND(D134="Férié",F134&lt;&gt;"Férié"),(AND(F134="Férié",D134&lt;&gt;"Férié"))),0.166666666666667,""))</f>
        <v/>
      </c>
      <c r="AF134" s="41"/>
      <c r="AG134" s="36"/>
    </row>
    <row r="135" customFormat="false" ht="12.75" hidden="true" customHeight="true" outlineLevel="0" collapsed="false">
      <c r="A135" s="22" t="n">
        <f aca="false">VLOOKUP(B135,Annuaire_roster!B:F,5,0)</f>
        <v>1131</v>
      </c>
      <c r="B135" s="23" t="s">
        <v>50</v>
      </c>
      <c r="C135" s="24" t="str">
        <f aca="false">IFERROR(IF(COUNTIFS(Pointage_brut!$E:$E,VLOOKUP($B135,Annuaire_roster!$B:$J,9,0),Pointage_brut!$A:$A,TEXT($Q135,"yyyymmdd")*1)=0,"",MOD(_xlfn.MINIFS(Pointage_brut!$F:$F,Pointage_brut!$E:$E,VLOOKUP($B135,Annuaire_roster!$B:$J,9,0),Pointage_brut!$A:$A,TEXT($Q135,"yyyymmdd")*1),1)),"")</f>
        <v/>
      </c>
      <c r="D135" s="25" t="n">
        <f aca="false" t="array" ref="D135:D135">IFERROR(INDEX(Planning2[],MATCH(1,(Planning2[Nom]=B135)*(Planning2[Date]=Q135),0),3),"-")</f>
        <v>0.458333333333333</v>
      </c>
      <c r="E135" s="26" t="str">
        <f aca="false">IFERROR(IF(COUNTIFS(Pointage_brut!$E:$E,VLOOKUP($B135,Annuaire_roster!$B:$J,9,0),Pointage_brut!$A:$A,TEXT($Q135,"yyyymmdd")*1)=0,"",MOD(_xlfn.MAXIFS(Pointage_brut!$G:$G,Pointage_brut!$E:$E,VLOOKUP($B135,Annuaire_roster!$B:$J,9,0),Pointage_brut!$A:$A,TEXT($Q135,"yyyymmdd")*1),1)),"")</f>
        <v/>
      </c>
      <c r="F135" s="27" t="n">
        <f aca="false" t="array" ref="F135:F135">IFERROR(INDEX(Planning2[],MATCH(1,(Planning2[Nom]=B135)*(Planning2[Date]=Q135),0),4),"-")</f>
        <v>0.833333333333333</v>
      </c>
      <c r="G135" s="28"/>
      <c r="H135" s="28"/>
      <c r="I135" s="29" t="str">
        <f aca="false">IF(IF(OR(C135="",D135="Congé",D135="OFF",D135="Congé spécial"),"",IF(D135&gt;F135,D135-C135,IF(C135-D135&lt;0,0,C135-D135)))&lt;0.00068287037037037,"",IF(OR(D135="Congé",D135="OFF",C135="",D135="Congé spécial"),"",IF(D135&gt;F135,D135-C135,IF(C135-D135&lt;0,0,C135-D135))))</f>
        <v/>
      </c>
      <c r="J135" s="28"/>
      <c r="K135" s="30" t="n">
        <f aca="false">IF(SUM(H135:J135)&lt;0.00068287037037037,0,SUM(H135:J135))</f>
        <v>0</v>
      </c>
      <c r="L135" s="28" t="n">
        <f aca="false">IF(OR(F135="Congé",F135="OFF",M135="Abs",F135="Congé sans solde",F135="Férié",F135="Congé spécial",D135="Congé spécial"),0,IF(F135-E135&lt;0,0,IF(F135-E135&lt;=0.00068287037037037,0,F135-E135)))</f>
        <v>0</v>
      </c>
      <c r="M135" s="31" t="str">
        <f aca="false">IF(AND(O135&lt;&gt;0,C135=""),"Abs",0)</f>
        <v>Abs</v>
      </c>
      <c r="N135" s="32" t="str">
        <f aca="false">IFERROR(IF(OR(D135="OFF",D135="Congé",M135="Abs",D135="Congé sans solde",D135="Férié"),"",IF(O135-K135-L135&gt;O135,O135,IF(O135-K135-L135&lt;0,"",O135-K135-L135))),"")</f>
        <v/>
      </c>
      <c r="O135" s="33" t="n">
        <f aca="false">IF(AG135="2H Pause déjeuner",IF(F135-D135-0.0833333333333333&lt;0,F135-D135-0.0833333333333333+1,F135-D135-0.0833333333333333),IF(OR(AND(F135="OFF",D135="OFF"),AND(F135="Congé",D135="Congé"),AND(F135="Congé sans solde",D135="Congé sans solde"),AND(F135="Congé spécial",D135="Congé spécial"),AND(F135="Férié",D135="Férié"),AND(F135="OFF",D135="Congé"),AND(F135="OFF",D135="Congé sans solde"),AND(F135="OFF",D135="Congé spécial"),AND(F135="OFF",D135="Férié"),AND(F135="Congé",D135="OFF"),AND(F135="Congé",D135="Congé sans solde"),AND(F135="Congé",D135="Congé spécial"),AND(F135="Congé",D135="Férié"),AND(F135="Congé sans solde",D135="OFF"),AND(F135="Congé sans solde",D135="Congé"),AND(F135="Congé sans solde",D135="Congé spécial"),AND(F135="Congé sans solde",D135="Férié"),AND(F135="Congé spécial",D135="OFF"),AND(F135="Congé spécial",D135="Congé"),AND(F135="Congé spécial",D135="Congé sans solde"),AND(F135="Congé spécial",D135="Férié"),AND(F135="Férié",D135="OFF"),AND(F135="Férié",D135="Congé"),AND(F135="Férié",D135="Congé sans solde"),AND(F135="Férié",D135="Congé spécial")),0,IF(OR(F135="OFF",F135="Congé",F135="Congé spécial",F135="Congé sans solde",D135="OFF",D135="Congé",D135="Congé spécial",D135="Congé sans solde"),0.208333333333334,IF(AND(AG135="",F135-D135&lt;0),("24:00:00"-D135)+("00:00:00"+F135)-0.0416666666666667,IF(AND(OR(AG135="Allaitement",AG135="Sans déjeuner"),F135-D135&lt;0),("24:00:00"-D135)+("00:00:00"+F135),IF(AND(AG135="",F135-D135&gt;0.166666666666667),F135-D135-0.0416666666666667,IF(AND(OR(AG135="Allaitement",AG135="Sans déjeuner"),F135-D135&gt;0.166666666666667),F135-D135,F135-D135)))))))</f>
        <v>0.333333333333333</v>
      </c>
      <c r="P135" s="34" t="str">
        <f aca="false">IFERROR(VLOOKUP($B135,Annuaire_roster!$B:$G,MATCH(P$1,Annuaire_roster!$B$1:$G$1,0),0),"-")</f>
        <v>Google Leads</v>
      </c>
      <c r="Q135" s="35" t="n">
        <v>44721</v>
      </c>
      <c r="R135" s="36" t="n">
        <f aca="false">IF(M135="Abs",O135,0)</f>
        <v>0.333333333333333</v>
      </c>
      <c r="S135" s="36" t="n">
        <f aca="false">SUM(R135,L135,I135,J135,W135,H135)</f>
        <v>0.333333333333333</v>
      </c>
      <c r="T135" s="1" t="str">
        <f aca="false">"Sem - "&amp;WEEKNUM(Q135,21)</f>
        <v>Sem - 24</v>
      </c>
      <c r="U135" s="1" t="str">
        <f aca="false">PROPER(TEXT(Q135,"mmmm"))</f>
        <v>June</v>
      </c>
      <c r="V135" s="37" t="str">
        <f aca="false">+TEXT(Q135,"aaa")</f>
        <v>Wed</v>
      </c>
      <c r="W135" s="32"/>
      <c r="X135" s="38" t="n">
        <f aca="false">IFERROR(IF(M135="Abs",0,IF((D135-C135+E135-F135)&lt;0.000694444444444444,0,(D135-C135+E135-F135))),0)</f>
        <v>0</v>
      </c>
      <c r="Y135" s="39" t="str">
        <f aca="false">IFERROR(VLOOKUP(B135,Annuaire_roster!B:E,4,0),"-")</f>
        <v>CHOUIFI Mustapha</v>
      </c>
      <c r="Z135" s="39" t="str">
        <f aca="false">IFERROR(VLOOKUP(B135,Annuaire_roster!B:F,3,0),"-")</f>
        <v>Google Leads</v>
      </c>
      <c r="AA135" s="39" t="str">
        <f aca="false">IFERROR(VLOOKUP(B135,Annuaire_roster!B:I,6,0),"-")</f>
        <v>Forfaitaire</v>
      </c>
      <c r="AB135" s="40" t="str">
        <f aca="false">IF(AND(D135="Congé",F135="Congé"),0.333333333333333,IF(OR(AND(D135="Congé",F135&lt;&gt;"Congé"),(AND(F135="Congé",D135&lt;&gt;"Congé"))),0.166666666666667,""))</f>
        <v/>
      </c>
      <c r="AC135" s="40" t="str">
        <f aca="false">IF(AND(D135="Congé sans solde",F135="Congé sans solde"),0.333333333333333,IF(OR(AND(D135="Congé sans solde",F135&lt;&gt;"Congé sans solde"),(AND(F135="Congé sans solde",D135&lt;&gt;"Congé sans solde"))),0.166666666666667,""))</f>
        <v/>
      </c>
      <c r="AD135" s="40" t="str">
        <f aca="false">IF(AND(D135="Congé spécial",F135="Congé spécial"),0.333333333333333,IF(OR(AND(D135="Congé spécial",F135&lt;&gt;"Congé décès"),(AND(F135="Congé spécial",D135&lt;&gt;"Congé spécial"))),0.166666666666667,""))</f>
        <v/>
      </c>
      <c r="AE135" s="41" t="str">
        <f aca="false">IF(AND(D135="Férié",F135="Férié"),0.333333333333333,IF(OR(AND(D135="Férié",F135&lt;&gt;"Férié"),(AND(F135="Férié",D135&lt;&gt;"Férié"))),0.166666666666667,""))</f>
        <v/>
      </c>
      <c r="AF135" s="41"/>
      <c r="AG135" s="36"/>
    </row>
    <row r="136" customFormat="false" ht="12.75" hidden="true" customHeight="true" outlineLevel="0" collapsed="false">
      <c r="A136" s="22" t="n">
        <f aca="false">VLOOKUP(B136,Annuaire_roster!B:F,5,0)</f>
        <v>1145</v>
      </c>
      <c r="B136" s="23" t="s">
        <v>61</v>
      </c>
      <c r="C136" s="24" t="str">
        <f aca="false">IFERROR(IF(COUNTIFS(Pointage_brut!$E:$E,VLOOKUP($B136,Annuaire_roster!$B:$J,9,0),Pointage_brut!$A:$A,TEXT($Q136,"yyyymmdd")*1)=0,"",MOD(_xlfn.MINIFS(Pointage_brut!$F:$F,Pointage_brut!$E:$E,VLOOKUP($B136,Annuaire_roster!$B:$J,9,0),Pointage_brut!$A:$A,TEXT($Q136,"yyyymmdd")*1),1)),"")</f>
        <v/>
      </c>
      <c r="D136" s="25" t="str">
        <f aca="false" t="array" ref="D136:D136">IFERROR(INDEX(Planning2[],MATCH(1,(Planning2[Nom]=B136)*(Planning2[Date]=Q136),0),3),"-")</f>
        <v>OFF</v>
      </c>
      <c r="E136" s="26" t="str">
        <f aca="false">IFERROR(IF(COUNTIFS(Pointage_brut!$E:$E,VLOOKUP($B136,Annuaire_roster!$B:$J,9,0),Pointage_brut!$A:$A,TEXT($Q136,"yyyymmdd")*1)=0,"",MOD(_xlfn.MAXIFS(Pointage_brut!$G:$G,Pointage_brut!$E:$E,VLOOKUP($B136,Annuaire_roster!$B:$J,9,0),Pointage_brut!$A:$A,TEXT($Q136,"yyyymmdd")*1),1)),"")</f>
        <v/>
      </c>
      <c r="F136" s="27" t="str">
        <f aca="false" t="array" ref="F136:F136">IFERROR(INDEX(Planning2[],MATCH(1,(Planning2[Nom]=B136)*(Planning2[Date]=Q136),0),4),"-")</f>
        <v>OFF</v>
      </c>
      <c r="G136" s="28"/>
      <c r="H136" s="28"/>
      <c r="I136" s="29" t="str">
        <f aca="false">IF(IF(OR(C136="",D136="Congé",D136="OFF",D136="Congé spécial"),"",IF(D136&gt;F136,D136-C136,IF(C136-D136&lt;0,0,C136-D136)))&lt;0.00068287037037037,"",IF(OR(D136="Congé",D136="OFF",C136="",D136="Congé spécial"),"",IF(D136&gt;F136,D136-C136,IF(C136-D136&lt;0,0,C136-D136))))</f>
        <v/>
      </c>
      <c r="J136" s="28"/>
      <c r="K136" s="30" t="n">
        <f aca="false">IF(SUM(H136:J136)&lt;0.00068287037037037,0,SUM(H136:J136))</f>
        <v>0</v>
      </c>
      <c r="L136" s="28" t="n">
        <f aca="false">IF(OR(F136="Congé",F136="OFF",M136="Abs",F136="Congé sans solde",F136="Férié",F136="Congé spécial",D136="Congé spécial"),0,IF(F136-E136&lt;0,0,IF(F136-E136&lt;=0.00068287037037037,0,F136-E136)))</f>
        <v>0</v>
      </c>
      <c r="M136" s="31" t="n">
        <f aca="false">IF(AND(O136&lt;&gt;0,C136=""),"Abs",0)</f>
        <v>0</v>
      </c>
      <c r="N136" s="32" t="str">
        <f aca="false">IFERROR(IF(OR(D136="OFF",D136="Congé",M136="Abs",D136="Congé sans solde",D136="Férié"),"",IF(O136-K136-L136&gt;O136,O136,IF(O136-K136-L136&lt;0,"",O136-K136-L136))),"")</f>
        <v/>
      </c>
      <c r="O136" s="33" t="n">
        <f aca="false">IF(AG136="2H Pause déjeuner",IF(F136-D136-0.0833333333333333&lt;0,F136-D136-0.0833333333333333+1,F136-D136-0.0833333333333333),IF(OR(AND(F136="OFF",D136="OFF"),AND(F136="Congé",D136="Congé"),AND(F136="Congé sans solde",D136="Congé sans solde"),AND(F136="Congé spécial",D136="Congé spécial"),AND(F136="Férié",D136="Férié"),AND(F136="OFF",D136="Congé"),AND(F136="OFF",D136="Congé sans solde"),AND(F136="OFF",D136="Congé spécial"),AND(F136="OFF",D136="Férié"),AND(F136="Congé",D136="OFF"),AND(F136="Congé",D136="Congé sans solde"),AND(F136="Congé",D136="Congé spécial"),AND(F136="Congé",D136="Férié"),AND(F136="Congé sans solde",D136="OFF"),AND(F136="Congé sans solde",D136="Congé"),AND(F136="Congé sans solde",D136="Congé spécial"),AND(F136="Congé sans solde",D136="Férié"),AND(F136="Congé spécial",D136="OFF"),AND(F136="Congé spécial",D136="Congé"),AND(F136="Congé spécial",D136="Congé sans solde"),AND(F136="Congé spécial",D136="Férié"),AND(F136="Férié",D136="OFF"),AND(F136="Férié",D136="Congé"),AND(F136="Férié",D136="Congé sans solde"),AND(F136="Férié",D136="Congé spécial")),0,IF(OR(F136="OFF",F136="Congé",F136="Congé spécial",F136="Congé sans solde",D136="OFF",D136="Congé",D136="Congé spécial",D136="Congé sans solde"),0.208333333333334,IF(AND(AG136="",F136-D136&lt;0),("24:00:00"-D136)+("00:00:00"+F136)-0.0416666666666667,IF(AND(OR(AG136="Allaitement",AG136="Sans déjeuner"),F136-D136&lt;0),("24:00:00"-D136)+("00:00:00"+F136),IF(AND(AG136="",F136-D136&gt;0.166666666666667),F136-D136-0.0416666666666667,IF(AND(OR(AG136="Allaitement",AG136="Sans déjeuner"),F136-D136&gt;0.166666666666667),F136-D136,F136-D136)))))))</f>
        <v>0</v>
      </c>
      <c r="P136" s="34" t="str">
        <f aca="false">IFERROR(VLOOKUP($B136,Annuaire_roster!$B:$G,MATCH(P$1,Annuaire_roster!$B$1:$G$1,0),0),"-")</f>
        <v>Google Leads</v>
      </c>
      <c r="Q136" s="35" t="n">
        <v>44721</v>
      </c>
      <c r="R136" s="36" t="n">
        <f aca="false">IF(M136="Abs",O136,0)</f>
        <v>0</v>
      </c>
      <c r="S136" s="36" t="n">
        <f aca="false">SUM(R136,L136,I136,J136,W136,H136)</f>
        <v>0</v>
      </c>
      <c r="T136" s="1" t="str">
        <f aca="false">"Sem - "&amp;WEEKNUM(Q136,21)</f>
        <v>Sem - 24</v>
      </c>
      <c r="U136" s="1" t="str">
        <f aca="false">PROPER(TEXT(Q136,"mmmm"))</f>
        <v>June</v>
      </c>
      <c r="V136" s="37" t="str">
        <f aca="false">+TEXT(Q136,"aaa")</f>
        <v>Wed</v>
      </c>
      <c r="W136" s="32"/>
      <c r="X136" s="38" t="n">
        <f aca="false">IFERROR(IF(M136="Abs",0,IF((D136-C136+E136-F136)&lt;0.000694444444444444,0,(D136-C136+E136-F136))),0)</f>
        <v>0</v>
      </c>
      <c r="Y136" s="39" t="str">
        <f aca="false">IFERROR(VLOOKUP(B136,Annuaire_roster!B:E,4,0),"-")</f>
        <v>CHOUIFI Mustapha</v>
      </c>
      <c r="Z136" s="39" t="str">
        <f aca="false">IFERROR(VLOOKUP(B136,Annuaire_roster!B:F,3,0),"-")</f>
        <v>Google Leads</v>
      </c>
      <c r="AA136" s="39" t="str">
        <f aca="false">IFERROR(VLOOKUP(B136,Annuaire_roster!B:I,6,0),"-")</f>
        <v>Forfaitaire</v>
      </c>
      <c r="AB136" s="40" t="str">
        <f aca="false">IF(AND(D136="Congé",F136="Congé"),0.333333333333333,IF(OR(AND(D136="Congé",F136&lt;&gt;"Congé"),(AND(F136="Congé",D136&lt;&gt;"Congé"))),0.166666666666667,""))</f>
        <v/>
      </c>
      <c r="AC136" s="40" t="str">
        <f aca="false">IF(AND(D136="Congé sans solde",F136="Congé sans solde"),0.333333333333333,IF(OR(AND(D136="Congé sans solde",F136&lt;&gt;"Congé sans solde"),(AND(F136="Congé sans solde",D136&lt;&gt;"Congé sans solde"))),0.166666666666667,""))</f>
        <v/>
      </c>
      <c r="AD136" s="40" t="str">
        <f aca="false">IF(AND(D136="Congé spécial",F136="Congé spécial"),0.333333333333333,IF(OR(AND(D136="Congé spécial",F136&lt;&gt;"Congé décès"),(AND(F136="Congé spécial",D136&lt;&gt;"Congé spécial"))),0.166666666666667,""))</f>
        <v/>
      </c>
      <c r="AE136" s="41" t="str">
        <f aca="false">IF(AND(D136="Férié",F136="Férié"),0.333333333333333,IF(OR(AND(D136="Férié",F136&lt;&gt;"Férié"),(AND(F136="Férié",D136&lt;&gt;"Férié"))),0.166666666666667,""))</f>
        <v/>
      </c>
      <c r="AF136" s="41"/>
      <c r="AG136" s="36"/>
    </row>
    <row r="137" customFormat="false" ht="12.75" hidden="true" customHeight="true" outlineLevel="0" collapsed="false">
      <c r="A137" s="22" t="n">
        <f aca="false">VLOOKUP(B137,Annuaire_roster!B:F,5,0)</f>
        <v>1170</v>
      </c>
      <c r="B137" s="23" t="s">
        <v>64</v>
      </c>
      <c r="C137" s="24" t="str">
        <f aca="false">IFERROR(IF(COUNTIFS(Pointage_brut!$E:$E,VLOOKUP($B137,Annuaire_roster!$B:$J,9,0),Pointage_brut!$A:$A,TEXT($Q137,"yyyymmdd")*1)=0,"",MOD(_xlfn.MINIFS(Pointage_brut!$F:$F,Pointage_brut!$E:$E,VLOOKUP($B137,Annuaire_roster!$B:$J,9,0),Pointage_brut!$A:$A,TEXT($Q137,"yyyymmdd")*1),1)),"")</f>
        <v/>
      </c>
      <c r="D137" s="25" t="n">
        <f aca="false" t="array" ref="D137:D137">IFERROR(INDEX(Planning2[],MATCH(1,(Planning2[Nom]=B137)*(Planning2[Date]=Q137),0),3),"-")</f>
        <v>0.333333333333333</v>
      </c>
      <c r="E137" s="26" t="str">
        <f aca="false">IFERROR(IF(COUNTIFS(Pointage_brut!$E:$E,VLOOKUP($B137,Annuaire_roster!$B:$J,9,0),Pointage_brut!$A:$A,TEXT($Q137,"yyyymmdd")*1)=0,"",MOD(_xlfn.MAXIFS(Pointage_brut!$G:$G,Pointage_brut!$E:$E,VLOOKUP($B137,Annuaire_roster!$B:$J,9,0),Pointage_brut!$A:$A,TEXT($Q137,"yyyymmdd")*1),1)),"")</f>
        <v/>
      </c>
      <c r="F137" s="27" t="n">
        <f aca="false" t="array" ref="F137:F137">IFERROR(INDEX(Planning2[],MATCH(1,(Planning2[Nom]=B137)*(Planning2[Date]=Q137),0),4),"-")</f>
        <v>0.708333333333333</v>
      </c>
      <c r="G137" s="28"/>
      <c r="H137" s="28"/>
      <c r="I137" s="29" t="str">
        <f aca="false">IF(IF(OR(C137="",D137="Congé",D137="OFF",D137="Congé spécial"),"",IF(D137&gt;F137,D137-C137,IF(C137-D137&lt;0,0,C137-D137)))&lt;0.00068287037037037,"",IF(OR(D137="Congé",D137="OFF",C137="",D137="Congé spécial"),"",IF(D137&gt;F137,D137-C137,IF(C137-D137&lt;0,0,C137-D137))))</f>
        <v/>
      </c>
      <c r="J137" s="28"/>
      <c r="K137" s="30" t="n">
        <f aca="false">IF(SUM(H137:J137)&lt;0.00068287037037037,0,SUM(H137:J137))</f>
        <v>0</v>
      </c>
      <c r="L137" s="28" t="n">
        <f aca="false">IF(OR(F137="Congé",F137="OFF",M137="Abs",F137="Congé sans solde",F137="Férié",F137="Congé spécial",D137="Congé spécial"),0,IF(F137-E137&lt;0,0,IF(F137-E137&lt;=0.00068287037037037,0,F137-E137)))</f>
        <v>0</v>
      </c>
      <c r="M137" s="31" t="str">
        <f aca="false">IF(AND(O137&lt;&gt;0,C137=""),"Abs",0)</f>
        <v>Abs</v>
      </c>
      <c r="N137" s="32" t="str">
        <f aca="false">IFERROR(IF(OR(D137="OFF",D137="Congé",M137="Abs",D137="Congé sans solde",D137="Férié"),"",IF(O137-K137-L137&gt;O137,O137,IF(O137-K137-L137&lt;0,"",O137-K137-L137))),"")</f>
        <v/>
      </c>
      <c r="O137" s="33" t="n">
        <f aca="false">IF(AG137="2H Pause déjeuner",IF(F137-D137-0.0833333333333333&lt;0,F137-D137-0.0833333333333333+1,F137-D137-0.0833333333333333),IF(OR(AND(F137="OFF",D137="OFF"),AND(F137="Congé",D137="Congé"),AND(F137="Congé sans solde",D137="Congé sans solde"),AND(F137="Congé spécial",D137="Congé spécial"),AND(F137="Férié",D137="Férié"),AND(F137="OFF",D137="Congé"),AND(F137="OFF",D137="Congé sans solde"),AND(F137="OFF",D137="Congé spécial"),AND(F137="OFF",D137="Férié"),AND(F137="Congé",D137="OFF"),AND(F137="Congé",D137="Congé sans solde"),AND(F137="Congé",D137="Congé spécial"),AND(F137="Congé",D137="Férié"),AND(F137="Congé sans solde",D137="OFF"),AND(F137="Congé sans solde",D137="Congé"),AND(F137="Congé sans solde",D137="Congé spécial"),AND(F137="Congé sans solde",D137="Férié"),AND(F137="Congé spécial",D137="OFF"),AND(F137="Congé spécial",D137="Congé"),AND(F137="Congé spécial",D137="Congé sans solde"),AND(F137="Congé spécial",D137="Férié"),AND(F137="Férié",D137="OFF"),AND(F137="Férié",D137="Congé"),AND(F137="Férié",D137="Congé sans solde"),AND(F137="Férié",D137="Congé spécial")),0,IF(OR(F137="OFF",F137="Congé",F137="Congé spécial",F137="Congé sans solde",D137="OFF",D137="Congé",D137="Congé spécial",D137="Congé sans solde"),0.208333333333334,IF(AND(AG137="",F137-D137&lt;0),("24:00:00"-D137)+("00:00:00"+F137)-0.0416666666666667,IF(AND(OR(AG137="Allaitement",AG137="Sans déjeuner"),F137-D137&lt;0),("24:00:00"-D137)+("00:00:00"+F137),IF(AND(AG137="",F137-D137&gt;0.166666666666667),F137-D137-0.0416666666666667,IF(AND(OR(AG137="Allaitement",AG137="Sans déjeuner"),F137-D137&gt;0.166666666666667),F137-D137,F137-D137)))))))</f>
        <v>0.333333333333333</v>
      </c>
      <c r="P137" s="34" t="str">
        <f aca="false">IFERROR(VLOOKUP($B137,Annuaire_roster!$B:$G,MATCH(P$1,Annuaire_roster!$B$1:$G$1,0),0),"-")</f>
        <v>Google Leads</v>
      </c>
      <c r="Q137" s="35" t="n">
        <v>44721</v>
      </c>
      <c r="R137" s="36" t="n">
        <f aca="false">IF(M137="Abs",O137,0)</f>
        <v>0.333333333333333</v>
      </c>
      <c r="S137" s="36" t="n">
        <f aca="false">SUM(R137,L137,I137,J137,W137,H137)</f>
        <v>0.333333333333333</v>
      </c>
      <c r="T137" s="1" t="str">
        <f aca="false">"Sem - "&amp;WEEKNUM(Q137,21)</f>
        <v>Sem - 24</v>
      </c>
      <c r="U137" s="1" t="str">
        <f aca="false">PROPER(TEXT(Q137,"mmmm"))</f>
        <v>June</v>
      </c>
      <c r="V137" s="37" t="str">
        <f aca="false">+TEXT(Q137,"aaa")</f>
        <v>Wed</v>
      </c>
      <c r="W137" s="32"/>
      <c r="X137" s="38" t="n">
        <f aca="false">IFERROR(IF(M137="Abs",0,IF((D137-C137+E137-F137)&lt;0.000694444444444444,0,(D137-C137+E137-F137))),0)</f>
        <v>0</v>
      </c>
      <c r="Y137" s="39" t="str">
        <f aca="false">IFERROR(VLOOKUP(B137,Annuaire_roster!B:E,4,0),"-")</f>
        <v>CHOUIFI Mustapha</v>
      </c>
      <c r="Z137" s="39" t="str">
        <f aca="false">IFERROR(VLOOKUP(B137,Annuaire_roster!B:F,3,0),"-")</f>
        <v>Google Leads</v>
      </c>
      <c r="AA137" s="39" t="str">
        <f aca="false">IFERROR(VLOOKUP(B137,Annuaire_roster!B:I,6,0),"-")</f>
        <v>Forfaitaire</v>
      </c>
      <c r="AB137" s="40" t="str">
        <f aca="false">IF(AND(D137="Congé",F137="Congé"),0.333333333333333,IF(OR(AND(D137="Congé",F137&lt;&gt;"Congé"),(AND(F137="Congé",D137&lt;&gt;"Congé"))),0.166666666666667,""))</f>
        <v/>
      </c>
      <c r="AC137" s="40" t="str">
        <f aca="false">IF(AND(D137="Congé sans solde",F137="Congé sans solde"),0.333333333333333,IF(OR(AND(D137="Congé sans solde",F137&lt;&gt;"Congé sans solde"),(AND(F137="Congé sans solde",D137&lt;&gt;"Congé sans solde"))),0.166666666666667,""))</f>
        <v/>
      </c>
      <c r="AD137" s="40" t="str">
        <f aca="false">IF(AND(D137="Congé spécial",F137="Congé spécial"),0.333333333333333,IF(OR(AND(D137="Congé spécial",F137&lt;&gt;"Congé décès"),(AND(F137="Congé spécial",D137&lt;&gt;"Congé spécial"))),0.166666666666667,""))</f>
        <v/>
      </c>
      <c r="AE137" s="41" t="str">
        <f aca="false">IF(AND(D137="Férié",F137="Férié"),0.333333333333333,IF(OR(AND(D137="Férié",F137&lt;&gt;"Férié"),(AND(F137="Férié",D137&lt;&gt;"Férié"))),0.166666666666667,""))</f>
        <v/>
      </c>
      <c r="AF137" s="41"/>
      <c r="AG137" s="36"/>
    </row>
    <row r="138" customFormat="false" ht="12.75" hidden="true" customHeight="true" outlineLevel="0" collapsed="false">
      <c r="A138" s="22" t="n">
        <f aca="false">VLOOKUP(B138,Annuaire_roster!B:F,5,0)</f>
        <v>1154</v>
      </c>
      <c r="B138" s="23" t="s">
        <v>53</v>
      </c>
      <c r="C138" s="24" t="str">
        <f aca="false">IFERROR(IF(COUNTIFS(Pointage_brut!$E:$E,VLOOKUP($B138,Annuaire_roster!$B:$J,9,0),Pointage_brut!$A:$A,TEXT($Q138,"yyyymmdd")*1)=0,"",MOD(_xlfn.MINIFS(Pointage_brut!$F:$F,Pointage_brut!$E:$E,VLOOKUP($B138,Annuaire_roster!$B:$J,9,0),Pointage_brut!$A:$A,TEXT($Q138,"yyyymmdd")*1),1)),"")</f>
        <v/>
      </c>
      <c r="D138" s="25" t="n">
        <f aca="false" t="array" ref="D138:D138">IFERROR(INDEX(Planning2[],MATCH(1,(Planning2[Nom]=B138)*(Planning2[Date]=Q138),0),3),"-")</f>
        <v>0.291666666666667</v>
      </c>
      <c r="E138" s="26" t="str">
        <f aca="false">IFERROR(IF(COUNTIFS(Pointage_brut!$E:$E,VLOOKUP($B138,Annuaire_roster!$B:$J,9,0),Pointage_brut!$A:$A,TEXT($Q138,"yyyymmdd")*1)=0,"",MOD(_xlfn.MAXIFS(Pointage_brut!$G:$G,Pointage_brut!$E:$E,VLOOKUP($B138,Annuaire_roster!$B:$J,9,0),Pointage_brut!$A:$A,TEXT($Q138,"yyyymmdd")*1),1)),"")</f>
        <v/>
      </c>
      <c r="F138" s="27" t="n">
        <f aca="false" t="array" ref="F138:F138">IFERROR(INDEX(Planning2[],MATCH(1,(Planning2[Nom]=B138)*(Planning2[Date]=Q138),0),4),"-")</f>
        <v>0.708333333333333</v>
      </c>
      <c r="G138" s="28"/>
      <c r="H138" s="28"/>
      <c r="I138" s="29" t="str">
        <f aca="false">IF(IF(OR(C138="",D138="Congé",D138="OFF",D138="Congé spécial"),"",IF(D138&gt;F138,D138-C138,IF(C138-D138&lt;0,0,C138-D138)))&lt;0.00068287037037037,"",IF(OR(D138="Congé",D138="OFF",C138="",D138="Congé spécial"),"",IF(D138&gt;F138,D138-C138,IF(C138-D138&lt;0,0,C138-D138))))</f>
        <v/>
      </c>
      <c r="J138" s="28"/>
      <c r="K138" s="30" t="n">
        <f aca="false">IF(SUM(H138:J138)&lt;0.00068287037037037,0,SUM(H138:J138))</f>
        <v>0</v>
      </c>
      <c r="L138" s="28" t="n">
        <f aca="false">IF(OR(F138="Congé",F138="OFF",M138="Abs",F138="Congé sans solde",F138="Férié",F138="Congé spécial",D138="Congé spécial"),0,IF(F138-E138&lt;0,0,IF(F138-E138&lt;=0.00068287037037037,0,F138-E138)))</f>
        <v>0</v>
      </c>
      <c r="M138" s="31" t="str">
        <f aca="false">IF(AND(O138&lt;&gt;0,C138=""),"Abs",0)</f>
        <v>Abs</v>
      </c>
      <c r="N138" s="32" t="str">
        <f aca="false">IFERROR(IF(OR(D138="OFF",D138="Congé",M138="Abs",D138="Congé sans solde",D138="Férié"),"",IF(O138-K138-L138&gt;O138,O138,IF(O138-K138-L138&lt;0,"",O138-K138-L138))),"")</f>
        <v/>
      </c>
      <c r="O138" s="33" t="n">
        <f aca="false">IF(AG138="2H Pause déjeuner",IF(F138-D138-0.0833333333333333&lt;0,F138-D138-0.0833333333333333+1,F138-D138-0.0833333333333333),IF(OR(AND(F138="OFF",D138="OFF"),AND(F138="Congé",D138="Congé"),AND(F138="Congé sans solde",D138="Congé sans solde"),AND(F138="Congé spécial",D138="Congé spécial"),AND(F138="Férié",D138="Férié"),AND(F138="OFF",D138="Congé"),AND(F138="OFF",D138="Congé sans solde"),AND(F138="OFF",D138="Congé spécial"),AND(F138="OFF",D138="Férié"),AND(F138="Congé",D138="OFF"),AND(F138="Congé",D138="Congé sans solde"),AND(F138="Congé",D138="Congé spécial"),AND(F138="Congé",D138="Férié"),AND(F138="Congé sans solde",D138="OFF"),AND(F138="Congé sans solde",D138="Congé"),AND(F138="Congé sans solde",D138="Congé spécial"),AND(F138="Congé sans solde",D138="Férié"),AND(F138="Congé spécial",D138="OFF"),AND(F138="Congé spécial",D138="Congé"),AND(F138="Congé spécial",D138="Congé sans solde"),AND(F138="Congé spécial",D138="Férié"),AND(F138="Férié",D138="OFF"),AND(F138="Férié",D138="Congé"),AND(F138="Férié",D138="Congé sans solde"),AND(F138="Férié",D138="Congé spécial")),0,IF(OR(F138="OFF",F138="Congé",F138="Congé spécial",F138="Congé sans solde",D138="OFF",D138="Congé",D138="Congé spécial",D138="Congé sans solde"),0.208333333333334,IF(AND(AG138="",F138-D138&lt;0),("24:00:00"-D138)+("00:00:00"+F138)-0.0416666666666667,IF(AND(OR(AG138="Allaitement",AG138="Sans déjeuner"),F138-D138&lt;0),("24:00:00"-D138)+("00:00:00"+F138),IF(AND(AG138="",F138-D138&gt;0.166666666666667),F138-D138-0.0416666666666667,IF(AND(OR(AG138="Allaitement",AG138="Sans déjeuner"),F138-D138&gt;0.166666666666667),F138-D138,F138-D138)))))))</f>
        <v>0.375</v>
      </c>
      <c r="P138" s="34" t="str">
        <f aca="false">IFERROR(VLOOKUP($B138,Annuaire_roster!$B:$G,MATCH(P$1,Annuaire_roster!$B$1:$G$1,0),0),"-")</f>
        <v>Google Leads</v>
      </c>
      <c r="Q138" s="35" t="n">
        <v>44721</v>
      </c>
      <c r="R138" s="36" t="n">
        <f aca="false">IF(M138="Abs",O138,0)</f>
        <v>0.375</v>
      </c>
      <c r="S138" s="36" t="n">
        <f aca="false">SUM(R138,L138,I138,J138,W138,H138)</f>
        <v>0.375</v>
      </c>
      <c r="T138" s="1" t="str">
        <f aca="false">"Sem - "&amp;WEEKNUM(Q138,21)</f>
        <v>Sem - 24</v>
      </c>
      <c r="U138" s="1" t="str">
        <f aca="false">PROPER(TEXT(Q138,"mmmm"))</f>
        <v>June</v>
      </c>
      <c r="V138" s="37" t="str">
        <f aca="false">+TEXT(Q138,"aaa")</f>
        <v>Wed</v>
      </c>
      <c r="W138" s="32"/>
      <c r="X138" s="38" t="n">
        <f aca="false">IFERROR(IF(M138="Abs",0,IF((D138-C138+E138-F138)&lt;0.000694444444444444,0,(D138-C138+E138-F138))),0)</f>
        <v>0</v>
      </c>
      <c r="Y138" s="39" t="str">
        <f aca="false">IFERROR(VLOOKUP(B138,Annuaire_roster!B:E,4,0),"-")</f>
        <v>CHOUIFI Mustapha</v>
      </c>
      <c r="Z138" s="39" t="str">
        <f aca="false">IFERROR(VLOOKUP(B138,Annuaire_roster!B:F,3,0),"-")</f>
        <v>Google Leads</v>
      </c>
      <c r="AA138" s="39" t="str">
        <f aca="false">IFERROR(VLOOKUP(B138,Annuaire_roster!B:I,6,0),"-")</f>
        <v>Forfaitaire</v>
      </c>
      <c r="AB138" s="40" t="str">
        <f aca="false">IF(AND(D138="Congé",F138="Congé"),0.333333333333333,IF(OR(AND(D138="Congé",F138&lt;&gt;"Congé"),(AND(F138="Congé",D138&lt;&gt;"Congé"))),0.166666666666667,""))</f>
        <v/>
      </c>
      <c r="AC138" s="40" t="str">
        <f aca="false">IF(AND(D138="Congé sans solde",F138="Congé sans solde"),0.333333333333333,IF(OR(AND(D138="Congé sans solde",F138&lt;&gt;"Congé sans solde"),(AND(F138="Congé sans solde",D138&lt;&gt;"Congé sans solde"))),0.166666666666667,""))</f>
        <v/>
      </c>
      <c r="AD138" s="40" t="str">
        <f aca="false">IF(AND(D138="Congé spécial",F138="Congé spécial"),0.333333333333333,IF(OR(AND(D138="Congé spécial",F138&lt;&gt;"Congé décès"),(AND(F138="Congé spécial",D138&lt;&gt;"Congé spécial"))),0.166666666666667,""))</f>
        <v/>
      </c>
      <c r="AE138" s="41" t="str">
        <f aca="false">IF(AND(D138="Férié",F138="Férié"),0.333333333333333,IF(OR(AND(D138="Férié",F138&lt;&gt;"Férié"),(AND(F138="Férié",D138&lt;&gt;"Férié"))),0.166666666666667,""))</f>
        <v/>
      </c>
      <c r="AF138" s="41"/>
      <c r="AG138" s="36"/>
    </row>
    <row r="139" customFormat="false" ht="12.75" hidden="true" customHeight="true" outlineLevel="0" collapsed="false">
      <c r="A139" s="22" t="n">
        <f aca="false">VLOOKUP(B139,Annuaire_roster!B:F,5,0)</f>
        <v>0</v>
      </c>
      <c r="B139" s="23" t="s">
        <v>41</v>
      </c>
      <c r="C139" s="24" t="str">
        <f aca="false">IFERROR(IF(COUNTIFS(Pointage_brut!$E:$E,VLOOKUP($B139,Annuaire_roster!$B:$J,9,0),Pointage_brut!$A:$A,TEXT($Q139,"yyyymmdd")*1)=0,"",MOD(_xlfn.MINIFS(Pointage_brut!$F:$F,Pointage_brut!$E:$E,VLOOKUP($B139,Annuaire_roster!$B:$J,9,0),Pointage_brut!$A:$A,TEXT($Q139,"yyyymmdd")*1),1)),"")</f>
        <v/>
      </c>
      <c r="D139" s="25" t="n">
        <f aca="false" t="array" ref="D139:D139">IFERROR(INDEX(Planning2[],MATCH(1,(Planning2[Nom]=B139)*(Planning2[Date]=Q139),0),3),"-")</f>
        <v>0.291666666666667</v>
      </c>
      <c r="E139" s="26" t="str">
        <f aca="false">IFERROR(IF(COUNTIFS(Pointage_brut!$E:$E,VLOOKUP($B139,Annuaire_roster!$B:$J,9,0),Pointage_brut!$A:$A,TEXT($Q139,"yyyymmdd")*1)=0,"",MOD(_xlfn.MAXIFS(Pointage_brut!$G:$G,Pointage_brut!$E:$E,VLOOKUP($B139,Annuaire_roster!$B:$J,9,0),Pointage_brut!$A:$A,TEXT($Q139,"yyyymmdd")*1),1)),"")</f>
        <v/>
      </c>
      <c r="F139" s="27" t="n">
        <f aca="false" t="array" ref="F139:F139">IFERROR(INDEX(Planning2[],MATCH(1,(Planning2[Nom]=B139)*(Planning2[Date]=Q139),0),4),"-")</f>
        <v>0.708333333333333</v>
      </c>
      <c r="G139" s="28"/>
      <c r="H139" s="28"/>
      <c r="I139" s="29" t="str">
        <f aca="false">IF(IF(OR(C139="",D139="Congé",D139="OFF",D139="Congé spécial"),"",IF(D139&gt;F139,D139-C139,IF(C139-D139&lt;0,0,C139-D139)))&lt;0.00068287037037037,"",IF(OR(D139="Congé",D139="OFF",C139="",D139="Congé spécial"),"",IF(D139&gt;F139,D139-C139,IF(C139-D139&lt;0,0,C139-D139))))</f>
        <v/>
      </c>
      <c r="J139" s="28"/>
      <c r="K139" s="30" t="n">
        <f aca="false">IF(SUM(H139:J139)&lt;0.00068287037037037,0,SUM(H139:J139))</f>
        <v>0</v>
      </c>
      <c r="L139" s="28" t="n">
        <f aca="false">IF(OR(F139="Congé",F139="OFF",M139="Abs",F139="Congé sans solde",F139="Férié",F139="Congé spécial",D139="Congé spécial"),0,IF(F139-E139&lt;0,0,IF(F139-E139&lt;=0.00068287037037037,0,F139-E139)))</f>
        <v>0</v>
      </c>
      <c r="M139" s="31" t="str">
        <f aca="false">IF(AND(O139&lt;&gt;0,C139=""),"Abs",0)</f>
        <v>Abs</v>
      </c>
      <c r="N139" s="32" t="str">
        <f aca="false">IFERROR(IF(OR(D139="OFF",D139="Congé",M139="Abs",D139="Congé sans solde",D139="Férié"),"",IF(O139-K139-L139&gt;O139,O139,IF(O139-K139-L139&lt;0,"",O139-K139-L139))),"")</f>
        <v/>
      </c>
      <c r="O139" s="33" t="n">
        <f aca="false">IF(AG139="2H Pause déjeuner",IF(F139-D139-0.0833333333333333&lt;0,F139-D139-0.0833333333333333+1,F139-D139-0.0833333333333333),IF(OR(AND(F139="OFF",D139="OFF"),AND(F139="Congé",D139="Congé"),AND(F139="Congé sans solde",D139="Congé sans solde"),AND(F139="Congé spécial",D139="Congé spécial"),AND(F139="Férié",D139="Férié"),AND(F139="OFF",D139="Congé"),AND(F139="OFF",D139="Congé sans solde"),AND(F139="OFF",D139="Congé spécial"),AND(F139="OFF",D139="Férié"),AND(F139="Congé",D139="OFF"),AND(F139="Congé",D139="Congé sans solde"),AND(F139="Congé",D139="Congé spécial"),AND(F139="Congé",D139="Férié"),AND(F139="Congé sans solde",D139="OFF"),AND(F139="Congé sans solde",D139="Congé"),AND(F139="Congé sans solde",D139="Congé spécial"),AND(F139="Congé sans solde",D139="Férié"),AND(F139="Congé spécial",D139="OFF"),AND(F139="Congé spécial",D139="Congé"),AND(F139="Congé spécial",D139="Congé sans solde"),AND(F139="Congé spécial",D139="Férié"),AND(F139="Férié",D139="OFF"),AND(F139="Férié",D139="Congé"),AND(F139="Férié",D139="Congé sans solde"),AND(F139="Férié",D139="Congé spécial")),0,IF(OR(F139="OFF",F139="Congé",F139="Congé spécial",F139="Congé sans solde",D139="OFF",D139="Congé",D139="Congé spécial",D139="Congé sans solde"),0.208333333333334,IF(AND(AG139="",F139-D139&lt;0),("24:00:00"-D139)+("00:00:00"+F139)-0.0416666666666667,IF(AND(OR(AG139="Allaitement",AG139="Sans déjeuner"),F139-D139&lt;0),("24:00:00"-D139)+("00:00:00"+F139),IF(AND(AG139="",F139-D139&gt;0.166666666666667),F139-D139-0.0416666666666667,IF(AND(OR(AG139="Allaitement",AG139="Sans déjeuner"),F139-D139&gt;0.166666666666667),F139-D139,F139-D139)))))))</f>
        <v>0.375</v>
      </c>
      <c r="P139" s="34" t="str">
        <f aca="false">IFERROR(VLOOKUP($B139,Annuaire_roster!$B:$G,MATCH(P$1,Annuaire_roster!$B$1:$G$1,0),0),"-")</f>
        <v>Google Leads</v>
      </c>
      <c r="Q139" s="35" t="n">
        <v>44721</v>
      </c>
      <c r="R139" s="36" t="n">
        <f aca="false">IF(M139="Abs",O139,0)</f>
        <v>0.375</v>
      </c>
      <c r="S139" s="36" t="n">
        <f aca="false">SUM(R139,L139,I139,J139,W139,H139)</f>
        <v>0.375</v>
      </c>
      <c r="T139" s="1" t="str">
        <f aca="false">"Sem - "&amp;WEEKNUM(Q139,21)</f>
        <v>Sem - 24</v>
      </c>
      <c r="U139" s="1" t="str">
        <f aca="false">PROPER(TEXT(Q139,"mmmm"))</f>
        <v>June</v>
      </c>
      <c r="V139" s="37" t="str">
        <f aca="false">+TEXT(Q139,"aaa")</f>
        <v>Wed</v>
      </c>
      <c r="W139" s="32"/>
      <c r="X139" s="38" t="n">
        <f aca="false">IFERROR(IF(M139="Abs",0,IF((D139-C139+E139-F139)&lt;0.000694444444444444,0,(D139-C139+E139-F139))),0)</f>
        <v>0</v>
      </c>
      <c r="Y139" s="39" t="str">
        <f aca="false">IFERROR(VLOOKUP(B139,Annuaire_roster!B:E,4,0),"-")</f>
        <v>CHOUIFI Mustapha</v>
      </c>
      <c r="Z139" s="39" t="str">
        <f aca="false">IFERROR(VLOOKUP(B139,Annuaire_roster!B:F,3,0),"-")</f>
        <v>Google Leads</v>
      </c>
      <c r="AA139" s="39" t="str">
        <f aca="false">IFERROR(VLOOKUP(B139,Annuaire_roster!B:I,6,0),"-")</f>
        <v>Forfaitaire</v>
      </c>
      <c r="AB139" s="40" t="str">
        <f aca="false">IF(AND(D139="Congé",F139="Congé"),0.333333333333333,IF(OR(AND(D139="Congé",F139&lt;&gt;"Congé"),(AND(F139="Congé",D139&lt;&gt;"Congé"))),0.166666666666667,""))</f>
        <v/>
      </c>
      <c r="AC139" s="40" t="str">
        <f aca="false">IF(AND(D139="Congé sans solde",F139="Congé sans solde"),0.333333333333333,IF(OR(AND(D139="Congé sans solde",F139&lt;&gt;"Congé sans solde"),(AND(F139="Congé sans solde",D139&lt;&gt;"Congé sans solde"))),0.166666666666667,""))</f>
        <v/>
      </c>
      <c r="AD139" s="40" t="str">
        <f aca="false">IF(AND(D139="Congé spécial",F139="Congé spécial"),0.333333333333333,IF(OR(AND(D139="Congé spécial",F139&lt;&gt;"Congé décès"),(AND(F139="Congé spécial",D139&lt;&gt;"Congé spécial"))),0.166666666666667,""))</f>
        <v/>
      </c>
      <c r="AE139" s="41" t="str">
        <f aca="false">IF(AND(D139="Férié",F139="Férié"),0.333333333333333,IF(OR(AND(D139="Férié",F139&lt;&gt;"Férié"),(AND(F139="Férié",D139&lt;&gt;"Férié"))),0.166666666666667,""))</f>
        <v/>
      </c>
      <c r="AF139" s="41"/>
      <c r="AG139" s="36"/>
    </row>
    <row r="140" customFormat="false" ht="12.75" hidden="true" customHeight="true" outlineLevel="0" collapsed="false">
      <c r="A140" s="22" t="n">
        <f aca="false">VLOOKUP(B140,Annuaire_roster!B:F,5,0)</f>
        <v>0</v>
      </c>
      <c r="B140" s="23" t="s">
        <v>34</v>
      </c>
      <c r="C140" s="24" t="str">
        <f aca="false">IFERROR(IF(COUNTIFS(Pointage_brut!$E:$E,VLOOKUP($B140,Annuaire_roster!$B:$J,9,0),Pointage_brut!$A:$A,TEXT($Q140,"yyyymmdd")*1)=0,"",MOD(_xlfn.MINIFS(Pointage_brut!$F:$F,Pointage_brut!$E:$E,VLOOKUP($B140,Annuaire_roster!$B:$J,9,0),Pointage_brut!$A:$A,TEXT($Q140,"yyyymmdd")*1),1)),"")</f>
        <v/>
      </c>
      <c r="D140" s="25" t="n">
        <f aca="false" t="array" ref="D140:D140">IFERROR(INDEX(Planning2[],MATCH(1,(Planning2[Nom]=B140)*(Planning2[Date]=Q140),0),3),"-")</f>
        <v>0.291666666666667</v>
      </c>
      <c r="E140" s="26" t="str">
        <f aca="false">IFERROR(IF(COUNTIFS(Pointage_brut!$E:$E,VLOOKUP($B140,Annuaire_roster!$B:$J,9,0),Pointage_brut!$A:$A,TEXT($Q140,"yyyymmdd")*1)=0,"",MOD(_xlfn.MAXIFS(Pointage_brut!$G:$G,Pointage_brut!$E:$E,VLOOKUP($B140,Annuaire_roster!$B:$J,9,0),Pointage_brut!$A:$A,TEXT($Q140,"yyyymmdd")*1),1)),"")</f>
        <v/>
      </c>
      <c r="F140" s="27" t="n">
        <f aca="false" t="array" ref="F140:F140">IFERROR(INDEX(Planning2[],MATCH(1,(Planning2[Nom]=B140)*(Planning2[Date]=Q140),0),4),"-")</f>
        <v>0.708333333333333</v>
      </c>
      <c r="G140" s="28"/>
      <c r="H140" s="28"/>
      <c r="I140" s="29" t="str">
        <f aca="false">IF(IF(OR(C140="",D140="Congé",D140="OFF",D140="Congé spécial"),"",IF(D140&gt;F140,D140-C140,IF(C140-D140&lt;0,0,C140-D140)))&lt;0.00068287037037037,"",IF(OR(D140="Congé",D140="OFF",C140="",D140="Congé spécial"),"",IF(D140&gt;F140,D140-C140,IF(C140-D140&lt;0,0,C140-D140))))</f>
        <v/>
      </c>
      <c r="J140" s="28"/>
      <c r="K140" s="30" t="n">
        <f aca="false">IF(SUM(H140:J140)&lt;0.00068287037037037,0,SUM(H140:J140))</f>
        <v>0</v>
      </c>
      <c r="L140" s="28" t="n">
        <f aca="false">IF(OR(F140="Congé",F140="OFF",M140="Abs",F140="Congé sans solde",F140="Férié",F140="Congé spécial",D140="Congé spécial"),0,IF(F140-E140&lt;0,0,IF(F140-E140&lt;=0.00068287037037037,0,F140-E140)))</f>
        <v>0</v>
      </c>
      <c r="M140" s="31" t="str">
        <f aca="false">IF(AND(O140&lt;&gt;0,C140=""),"Abs",0)</f>
        <v>Abs</v>
      </c>
      <c r="N140" s="32" t="str">
        <f aca="false">IFERROR(IF(OR(D140="OFF",D140="Congé",M140="Abs",D140="Congé sans solde",D140="Férié"),"",IF(O140-K140-L140&gt;O140,O140,IF(O140-K140-L140&lt;0,"",O140-K140-L140))),"")</f>
        <v/>
      </c>
      <c r="O140" s="33" t="n">
        <f aca="false">IF(AG140="2H Pause déjeuner",IF(F140-D140-0.0833333333333333&lt;0,F140-D140-0.0833333333333333+1,F140-D140-0.0833333333333333),IF(OR(AND(F140="OFF",D140="OFF"),AND(F140="Congé",D140="Congé"),AND(F140="Congé sans solde",D140="Congé sans solde"),AND(F140="Congé spécial",D140="Congé spécial"),AND(F140="Férié",D140="Férié"),AND(F140="OFF",D140="Congé"),AND(F140="OFF",D140="Congé sans solde"),AND(F140="OFF",D140="Congé spécial"),AND(F140="OFF",D140="Férié"),AND(F140="Congé",D140="OFF"),AND(F140="Congé",D140="Congé sans solde"),AND(F140="Congé",D140="Congé spécial"),AND(F140="Congé",D140="Férié"),AND(F140="Congé sans solde",D140="OFF"),AND(F140="Congé sans solde",D140="Congé"),AND(F140="Congé sans solde",D140="Congé spécial"),AND(F140="Congé sans solde",D140="Férié"),AND(F140="Congé spécial",D140="OFF"),AND(F140="Congé spécial",D140="Congé"),AND(F140="Congé spécial",D140="Congé sans solde"),AND(F140="Congé spécial",D140="Férié"),AND(F140="Férié",D140="OFF"),AND(F140="Férié",D140="Congé"),AND(F140="Férié",D140="Congé sans solde"),AND(F140="Férié",D140="Congé spécial")),0,IF(OR(F140="OFF",F140="Congé",F140="Congé spécial",F140="Congé sans solde",D140="OFF",D140="Congé",D140="Congé spécial",D140="Congé sans solde"),0.208333333333334,IF(AND(AG140="",F140-D140&lt;0),("24:00:00"-D140)+("00:00:00"+F140)-0.0416666666666667,IF(AND(OR(AG140="Allaitement",AG140="Sans déjeuner"),F140-D140&lt;0),("24:00:00"-D140)+("00:00:00"+F140),IF(AND(AG140="",F140-D140&gt;0.166666666666667),F140-D140-0.0416666666666667,IF(AND(OR(AG140="Allaitement",AG140="Sans déjeuner"),F140-D140&gt;0.166666666666667),F140-D140,F140-D140)))))))</f>
        <v>0.375</v>
      </c>
      <c r="P140" s="34" t="str">
        <f aca="false">IFERROR(VLOOKUP($B140,Annuaire_roster!$B:$G,MATCH(P$1,Annuaire_roster!$B$1:$G$1,0),0),"-")</f>
        <v>Google Leads</v>
      </c>
      <c r="Q140" s="35" t="n">
        <v>44721</v>
      </c>
      <c r="R140" s="36" t="n">
        <f aca="false">IF(M140="Abs",O140,0)</f>
        <v>0.375</v>
      </c>
      <c r="S140" s="36" t="n">
        <f aca="false">SUM(R140,L140,I140,J140,W140,H140)</f>
        <v>0.375</v>
      </c>
      <c r="T140" s="1" t="str">
        <f aca="false">"Sem - "&amp;WEEKNUM(Q140,21)</f>
        <v>Sem - 24</v>
      </c>
      <c r="U140" s="1" t="str">
        <f aca="false">PROPER(TEXT(Q140,"mmmm"))</f>
        <v>June</v>
      </c>
      <c r="V140" s="37" t="str">
        <f aca="false">+TEXT(Q140,"aaa")</f>
        <v>Wed</v>
      </c>
      <c r="W140" s="32"/>
      <c r="X140" s="38" t="n">
        <f aca="false">IFERROR(IF(M140="Abs",0,IF((D140-C140+E140-F140)&lt;0.000694444444444444,0,(D140-C140+E140-F140))),0)</f>
        <v>0</v>
      </c>
      <c r="Y140" s="39" t="n">
        <f aca="false">IFERROR(VLOOKUP(B140,Annuaire_roster!B:E,4,0),"-")</f>
        <v>0</v>
      </c>
      <c r="Z140" s="39" t="str">
        <f aca="false">IFERROR(VLOOKUP(B140,Annuaire_roster!B:F,3,0),"-")</f>
        <v>Google Leads</v>
      </c>
      <c r="AA140" s="39" t="n">
        <f aca="false">IFERROR(VLOOKUP(B140,Annuaire_roster!B:I,6,0),"-")</f>
        <v>0</v>
      </c>
      <c r="AB140" s="40" t="str">
        <f aca="false">IF(AND(D140="Congé",F140="Congé"),0.333333333333333,IF(OR(AND(D140="Congé",F140&lt;&gt;"Congé"),(AND(F140="Congé",D140&lt;&gt;"Congé"))),0.166666666666667,""))</f>
        <v/>
      </c>
      <c r="AC140" s="40" t="str">
        <f aca="false">IF(AND(D140="Congé sans solde",F140="Congé sans solde"),0.333333333333333,IF(OR(AND(D140="Congé sans solde",F140&lt;&gt;"Congé sans solde"),(AND(F140="Congé sans solde",D140&lt;&gt;"Congé sans solde"))),0.166666666666667,""))</f>
        <v/>
      </c>
      <c r="AD140" s="40" t="str">
        <f aca="false">IF(AND(D140="Congé spécial",F140="Congé spécial"),0.333333333333333,IF(OR(AND(D140="Congé spécial",F140&lt;&gt;"Congé décès"),(AND(F140="Congé spécial",D140&lt;&gt;"Congé spécial"))),0.166666666666667,""))</f>
        <v/>
      </c>
      <c r="AE140" s="41" t="str">
        <f aca="false">IF(AND(D140="Férié",F140="Férié"),0.333333333333333,IF(OR(AND(D140="Férié",F140&lt;&gt;"Férié"),(AND(F140="Férié",D140&lt;&gt;"Férié"))),0.166666666666667,""))</f>
        <v/>
      </c>
      <c r="AF140" s="41"/>
      <c r="AG140" s="36"/>
    </row>
    <row r="141" customFormat="false" ht="12.75" hidden="true" customHeight="true" outlineLevel="0" collapsed="false">
      <c r="A141" s="22" t="n">
        <f aca="false">VLOOKUP(B141,Annuaire_roster!B:F,5,0)</f>
        <v>0</v>
      </c>
      <c r="B141" s="23" t="s">
        <v>46</v>
      </c>
      <c r="C141" s="24" t="str">
        <f aca="false">IFERROR(IF(COUNTIFS(Pointage_brut!$E:$E,VLOOKUP($B141,Annuaire_roster!$B:$J,9,0),Pointage_brut!$A:$A,TEXT($Q141,"yyyymmdd")*1)=0,"",MOD(_xlfn.MINIFS(Pointage_brut!$F:$F,Pointage_brut!$E:$E,VLOOKUP($B141,Annuaire_roster!$B:$J,9,0),Pointage_brut!$A:$A,TEXT($Q141,"yyyymmdd")*1),1)),"")</f>
        <v/>
      </c>
      <c r="D141" s="25" t="n">
        <f aca="false" t="array" ref="D141:D141">IFERROR(INDEX(Planning2[],MATCH(1,(Planning2[Nom]=B141)*(Planning2[Date]=Q141),0),3),"-")</f>
        <v>0.291666666666667</v>
      </c>
      <c r="E141" s="26" t="str">
        <f aca="false">IFERROR(IF(COUNTIFS(Pointage_brut!$E:$E,VLOOKUP($B141,Annuaire_roster!$B:$J,9,0),Pointage_brut!$A:$A,TEXT($Q141,"yyyymmdd")*1)=0,"",MOD(_xlfn.MAXIFS(Pointage_brut!$G:$G,Pointage_brut!$E:$E,VLOOKUP($B141,Annuaire_roster!$B:$J,9,0),Pointage_brut!$A:$A,TEXT($Q141,"yyyymmdd")*1),1)),"")</f>
        <v/>
      </c>
      <c r="F141" s="27" t="n">
        <f aca="false" t="array" ref="F141:F141">IFERROR(INDEX(Planning2[],MATCH(1,(Planning2[Nom]=B141)*(Planning2[Date]=Q141),0),4),"-")</f>
        <v>0.666666666666667</v>
      </c>
      <c r="G141" s="28"/>
      <c r="H141" s="28"/>
      <c r="I141" s="29" t="str">
        <f aca="false">IF(IF(OR(C141="",D141="Congé",D141="OFF",D141="Congé spécial"),"",IF(D141&gt;F141,D141-C141,IF(C141-D141&lt;0,0,C141-D141)))&lt;0.00068287037037037,"",IF(OR(D141="Congé",D141="OFF",C141="",D141="Congé spécial"),"",IF(D141&gt;F141,D141-C141,IF(C141-D141&lt;0,0,C141-D141))))</f>
        <v/>
      </c>
      <c r="J141" s="28"/>
      <c r="K141" s="30" t="n">
        <f aca="false">IF(SUM(H141:J141)&lt;0.00068287037037037,0,SUM(H141:J141))</f>
        <v>0</v>
      </c>
      <c r="L141" s="28" t="n">
        <f aca="false">IF(OR(F141="Congé",F141="OFF",M141="Abs",F141="Congé sans solde",F141="Férié",F141="Congé spécial",D141="Congé spécial"),0,IF(F141-E141&lt;0,0,IF(F141-E141&lt;=0.00068287037037037,0,F141-E141)))</f>
        <v>0</v>
      </c>
      <c r="M141" s="31" t="str">
        <f aca="false">IF(AND(O141&lt;&gt;0,C141=""),"Abs",0)</f>
        <v>Abs</v>
      </c>
      <c r="N141" s="32" t="str">
        <f aca="false">IFERROR(IF(OR(D141="OFF",D141="Congé",M141="Abs",D141="Congé sans solde",D141="Férié"),"",IF(O141-K141-L141&gt;O141,O141,IF(O141-K141-L141&lt;0,"",O141-K141-L141))),"")</f>
        <v/>
      </c>
      <c r="O141" s="33" t="n">
        <f aca="false">IF(AG141="2H Pause déjeuner",IF(F141-D141-0.0833333333333333&lt;0,F141-D141-0.0833333333333333+1,F141-D141-0.0833333333333333),IF(OR(AND(F141="OFF",D141="OFF"),AND(F141="Congé",D141="Congé"),AND(F141="Congé sans solde",D141="Congé sans solde"),AND(F141="Congé spécial",D141="Congé spécial"),AND(F141="Férié",D141="Férié"),AND(F141="OFF",D141="Congé"),AND(F141="OFF",D141="Congé sans solde"),AND(F141="OFF",D141="Congé spécial"),AND(F141="OFF",D141="Férié"),AND(F141="Congé",D141="OFF"),AND(F141="Congé",D141="Congé sans solde"),AND(F141="Congé",D141="Congé spécial"),AND(F141="Congé",D141="Férié"),AND(F141="Congé sans solde",D141="OFF"),AND(F141="Congé sans solde",D141="Congé"),AND(F141="Congé sans solde",D141="Congé spécial"),AND(F141="Congé sans solde",D141="Férié"),AND(F141="Congé spécial",D141="OFF"),AND(F141="Congé spécial",D141="Congé"),AND(F141="Congé spécial",D141="Congé sans solde"),AND(F141="Congé spécial",D141="Férié"),AND(F141="Férié",D141="OFF"),AND(F141="Férié",D141="Congé"),AND(F141="Férié",D141="Congé sans solde"),AND(F141="Férié",D141="Congé spécial")),0,IF(OR(F141="OFF",F141="Congé",F141="Congé spécial",F141="Congé sans solde",D141="OFF",D141="Congé",D141="Congé spécial",D141="Congé sans solde"),0.208333333333334,IF(AND(AG141="",F141-D141&lt;0),("24:00:00"-D141)+("00:00:00"+F141)-0.0416666666666667,IF(AND(OR(AG141="Allaitement",AG141="Sans déjeuner"),F141-D141&lt;0),("24:00:00"-D141)+("00:00:00"+F141),IF(AND(AG141="",F141-D141&gt;0.166666666666667),F141-D141-0.0416666666666667,IF(AND(OR(AG141="Allaitement",AG141="Sans déjeuner"),F141-D141&gt;0.166666666666667),F141-D141,F141-D141)))))))</f>
        <v>0.333333333333333</v>
      </c>
      <c r="P141" s="34" t="str">
        <f aca="false">IFERROR(VLOOKUP($B141,Annuaire_roster!$B:$G,MATCH(P$1,Annuaire_roster!$B$1:$G$1,0),0),"-")</f>
        <v>Google Leads</v>
      </c>
      <c r="Q141" s="35" t="n">
        <v>44721</v>
      </c>
      <c r="R141" s="36" t="n">
        <f aca="false">IF(M141="Abs",O141,0)</f>
        <v>0.333333333333333</v>
      </c>
      <c r="S141" s="36" t="n">
        <f aca="false">SUM(R141,L141,I141,J141,W141,H141)</f>
        <v>0.333333333333333</v>
      </c>
      <c r="T141" s="1" t="str">
        <f aca="false">"Sem - "&amp;WEEKNUM(Q141,21)</f>
        <v>Sem - 24</v>
      </c>
      <c r="U141" s="1" t="str">
        <f aca="false">PROPER(TEXT(Q141,"mmmm"))</f>
        <v>June</v>
      </c>
      <c r="V141" s="37" t="str">
        <f aca="false">+TEXT(Q141,"aaa")</f>
        <v>Wed</v>
      </c>
      <c r="W141" s="32"/>
      <c r="X141" s="38" t="n">
        <f aca="false">IFERROR(IF(M141="Abs",0,IF((D141-C141+E141-F141)&lt;0.000694444444444444,0,(D141-C141+E141-F141))),0)</f>
        <v>0</v>
      </c>
      <c r="Y141" s="39" t="n">
        <f aca="false">IFERROR(VLOOKUP(B141,Annuaire_roster!B:E,4,0),"-")</f>
        <v>0</v>
      </c>
      <c r="Z141" s="39" t="str">
        <f aca="false">IFERROR(VLOOKUP(B141,Annuaire_roster!B:F,3,0),"-")</f>
        <v>Google Leads</v>
      </c>
      <c r="AA141" s="39" t="n">
        <f aca="false">IFERROR(VLOOKUP(B141,Annuaire_roster!B:I,6,0),"-")</f>
        <v>0</v>
      </c>
      <c r="AB141" s="40" t="str">
        <f aca="false">IF(AND(D141="Congé",F141="Congé"),0.333333333333333,IF(OR(AND(D141="Congé",F141&lt;&gt;"Congé"),(AND(F141="Congé",D141&lt;&gt;"Congé"))),0.166666666666667,""))</f>
        <v/>
      </c>
      <c r="AC141" s="40" t="str">
        <f aca="false">IF(AND(D141="Congé sans solde",F141="Congé sans solde"),0.333333333333333,IF(OR(AND(D141="Congé sans solde",F141&lt;&gt;"Congé sans solde"),(AND(F141="Congé sans solde",D141&lt;&gt;"Congé sans solde"))),0.166666666666667,""))</f>
        <v/>
      </c>
      <c r="AD141" s="40" t="str">
        <f aca="false">IF(AND(D141="Congé spécial",F141="Congé spécial"),0.333333333333333,IF(OR(AND(D141="Congé spécial",F141&lt;&gt;"Congé décès"),(AND(F141="Congé spécial",D141&lt;&gt;"Congé spécial"))),0.166666666666667,""))</f>
        <v/>
      </c>
      <c r="AE141" s="41" t="str">
        <f aca="false">IF(AND(D141="Férié",F141="Férié"),0.333333333333333,IF(OR(AND(D141="Férié",F141&lt;&gt;"Férié"),(AND(F141="Férié",D141&lt;&gt;"Férié"))),0.166666666666667,""))</f>
        <v/>
      </c>
      <c r="AF141" s="41"/>
      <c r="AG141" s="36"/>
    </row>
    <row r="142" customFormat="false" ht="12.75" hidden="true" customHeight="true" outlineLevel="0" collapsed="false">
      <c r="A142" s="22" t="n">
        <f aca="false">VLOOKUP(B142,Annuaire_roster!B:F,5,0)</f>
        <v>0</v>
      </c>
      <c r="B142" s="23" t="s">
        <v>42</v>
      </c>
      <c r="C142" s="24" t="str">
        <f aca="false">IFERROR(IF(COUNTIFS(Pointage_brut!$E:$E,VLOOKUP($B142,Annuaire_roster!$B:$J,9,0),Pointage_brut!$A:$A,TEXT($Q142,"yyyymmdd")*1)=0,"",MOD(_xlfn.MINIFS(Pointage_brut!$F:$F,Pointage_brut!$E:$E,VLOOKUP($B142,Annuaire_roster!$B:$J,9,0),Pointage_brut!$A:$A,TEXT($Q142,"yyyymmdd")*1),1)),"")</f>
        <v/>
      </c>
      <c r="D142" s="25" t="str">
        <f aca="false" t="array" ref="D142:D142">IFERROR(INDEX(Planning2[],MATCH(1,(Planning2[Nom]=B142)*(Planning2[Date]=Q142),0),3),"-")</f>
        <v>OFF</v>
      </c>
      <c r="E142" s="26" t="str">
        <f aca="false">IFERROR(IF(COUNTIFS(Pointage_brut!$E:$E,VLOOKUP($B142,Annuaire_roster!$B:$J,9,0),Pointage_brut!$A:$A,TEXT($Q142,"yyyymmdd")*1)=0,"",MOD(_xlfn.MAXIFS(Pointage_brut!$G:$G,Pointage_brut!$E:$E,VLOOKUP($B142,Annuaire_roster!$B:$J,9,0),Pointage_brut!$A:$A,TEXT($Q142,"yyyymmdd")*1),1)),"")</f>
        <v/>
      </c>
      <c r="F142" s="27" t="str">
        <f aca="false" t="array" ref="F142:F142">IFERROR(INDEX(Planning2[],MATCH(1,(Planning2[Nom]=B142)*(Planning2[Date]=Q142),0),4),"-")</f>
        <v>OFF</v>
      </c>
      <c r="G142" s="28"/>
      <c r="H142" s="28"/>
      <c r="I142" s="29" t="str">
        <f aca="false">IF(IF(OR(C142="",D142="Congé",D142="OFF",D142="Congé spécial"),"",IF(D142&gt;F142,D142-C142,IF(C142-D142&lt;0,0,C142-D142)))&lt;0.00068287037037037,"",IF(OR(D142="Congé",D142="OFF",C142="",D142="Congé spécial"),"",IF(D142&gt;F142,D142-C142,IF(C142-D142&lt;0,0,C142-D142))))</f>
        <v/>
      </c>
      <c r="J142" s="28"/>
      <c r="K142" s="30" t="n">
        <f aca="false">IF(SUM(H142:J142)&lt;0.00068287037037037,0,SUM(H142:J142))</f>
        <v>0</v>
      </c>
      <c r="L142" s="28" t="n">
        <f aca="false">IF(OR(F142="Congé",F142="OFF",M142="Abs",F142="Congé sans solde",F142="Férié",F142="Congé spécial",D142="Congé spécial"),0,IF(F142-E142&lt;0,0,IF(F142-E142&lt;=0.00068287037037037,0,F142-E142)))</f>
        <v>0</v>
      </c>
      <c r="M142" s="31" t="n">
        <f aca="false">IF(AND(O142&lt;&gt;0,C142=""),"Abs",0)</f>
        <v>0</v>
      </c>
      <c r="N142" s="32" t="str">
        <f aca="false">IFERROR(IF(OR(D142="OFF",D142="Congé",M142="Abs",D142="Congé sans solde",D142="Férié"),"",IF(O142-K142-L142&gt;O142,O142,IF(O142-K142-L142&lt;0,"",O142-K142-L142))),"")</f>
        <v/>
      </c>
      <c r="O142" s="33" t="n">
        <f aca="false">IF(AG142="2H Pause déjeuner",IF(F142-D142-0.0833333333333333&lt;0,F142-D142-0.0833333333333333+1,F142-D142-0.0833333333333333),IF(OR(AND(F142="OFF",D142="OFF"),AND(F142="Congé",D142="Congé"),AND(F142="Congé sans solde",D142="Congé sans solde"),AND(F142="Congé spécial",D142="Congé spécial"),AND(F142="Férié",D142="Férié"),AND(F142="OFF",D142="Congé"),AND(F142="OFF",D142="Congé sans solde"),AND(F142="OFF",D142="Congé spécial"),AND(F142="OFF",D142="Férié"),AND(F142="Congé",D142="OFF"),AND(F142="Congé",D142="Congé sans solde"),AND(F142="Congé",D142="Congé spécial"),AND(F142="Congé",D142="Férié"),AND(F142="Congé sans solde",D142="OFF"),AND(F142="Congé sans solde",D142="Congé"),AND(F142="Congé sans solde",D142="Congé spécial"),AND(F142="Congé sans solde",D142="Férié"),AND(F142="Congé spécial",D142="OFF"),AND(F142="Congé spécial",D142="Congé"),AND(F142="Congé spécial",D142="Congé sans solde"),AND(F142="Congé spécial",D142="Férié"),AND(F142="Férié",D142="OFF"),AND(F142="Férié",D142="Congé"),AND(F142="Férié",D142="Congé sans solde"),AND(F142="Férié",D142="Congé spécial")),0,IF(OR(F142="OFF",F142="Congé",F142="Congé spécial",F142="Congé sans solde",D142="OFF",D142="Congé",D142="Congé spécial",D142="Congé sans solde"),0.208333333333334,IF(AND(AG142="",F142-D142&lt;0),("24:00:00"-D142)+("00:00:00"+F142)-0.0416666666666667,IF(AND(OR(AG142="Allaitement",AG142="Sans déjeuner"),F142-D142&lt;0),("24:00:00"-D142)+("00:00:00"+F142),IF(AND(AG142="",F142-D142&gt;0.166666666666667),F142-D142-0.0416666666666667,IF(AND(OR(AG142="Allaitement",AG142="Sans déjeuner"),F142-D142&gt;0.166666666666667),F142-D142,F142-D142)))))))</f>
        <v>0</v>
      </c>
      <c r="P142" s="34" t="str">
        <f aca="false">IFERROR(VLOOKUP($B142,Annuaire_roster!$B:$G,MATCH(P$1,Annuaire_roster!$B$1:$G$1,0),0),"-")</f>
        <v>Google Leads</v>
      </c>
      <c r="Q142" s="35" t="n">
        <v>44721</v>
      </c>
      <c r="R142" s="36" t="n">
        <f aca="false">IF(M142="Abs",O142,0)</f>
        <v>0</v>
      </c>
      <c r="S142" s="36" t="n">
        <f aca="false">SUM(R142,L142,I142,J142,W142,H142)</f>
        <v>0</v>
      </c>
      <c r="T142" s="1" t="str">
        <f aca="false">"Sem - "&amp;WEEKNUM(Q142,21)</f>
        <v>Sem - 24</v>
      </c>
      <c r="U142" s="1" t="str">
        <f aca="false">PROPER(TEXT(Q142,"mmmm"))</f>
        <v>June</v>
      </c>
      <c r="V142" s="37" t="str">
        <f aca="false">+TEXT(Q142,"aaa")</f>
        <v>Wed</v>
      </c>
      <c r="W142" s="32"/>
      <c r="X142" s="38" t="n">
        <f aca="false">IFERROR(IF(M142="Abs",0,IF((D142-C142+E142-F142)&lt;0.000694444444444444,0,(D142-C142+E142-F142))),0)</f>
        <v>0</v>
      </c>
      <c r="Y142" s="39" t="n">
        <f aca="false">IFERROR(VLOOKUP(B142,Annuaire_roster!B:E,4,0),"-")</f>
        <v>0</v>
      </c>
      <c r="Z142" s="39" t="str">
        <f aca="false">IFERROR(VLOOKUP(B142,Annuaire_roster!B:F,3,0),"-")</f>
        <v>Google Leads</v>
      </c>
      <c r="AA142" s="39" t="n">
        <f aca="false">IFERROR(VLOOKUP(B142,Annuaire_roster!B:I,6,0),"-")</f>
        <v>0</v>
      </c>
      <c r="AB142" s="40" t="str">
        <f aca="false">IF(AND(D142="Congé",F142="Congé"),0.333333333333333,IF(OR(AND(D142="Congé",F142&lt;&gt;"Congé"),(AND(F142="Congé",D142&lt;&gt;"Congé"))),0.166666666666667,""))</f>
        <v/>
      </c>
      <c r="AC142" s="40" t="str">
        <f aca="false">IF(AND(D142="Congé sans solde",F142="Congé sans solde"),0.333333333333333,IF(OR(AND(D142="Congé sans solde",F142&lt;&gt;"Congé sans solde"),(AND(F142="Congé sans solde",D142&lt;&gt;"Congé sans solde"))),0.166666666666667,""))</f>
        <v/>
      </c>
      <c r="AD142" s="40" t="str">
        <f aca="false">IF(AND(D142="Congé spécial",F142="Congé spécial"),0.333333333333333,IF(OR(AND(D142="Congé spécial",F142&lt;&gt;"Congé décès"),(AND(F142="Congé spécial",D142&lt;&gt;"Congé spécial"))),0.166666666666667,""))</f>
        <v/>
      </c>
      <c r="AE142" s="41" t="str">
        <f aca="false">IF(AND(D142="Férié",F142="Férié"),0.333333333333333,IF(OR(AND(D142="Férié",F142&lt;&gt;"Férié"),(AND(F142="Férié",D142&lt;&gt;"Férié"))),0.166666666666667,""))</f>
        <v/>
      </c>
      <c r="AF142" s="41"/>
      <c r="AG142" s="36"/>
    </row>
    <row r="143" customFormat="false" ht="12.75" hidden="true" customHeight="true" outlineLevel="0" collapsed="false">
      <c r="A143" s="22" t="n">
        <f aca="false">VLOOKUP(B143,Annuaire_roster!B:F,5,0)</f>
        <v>0</v>
      </c>
      <c r="B143" s="23" t="s">
        <v>47</v>
      </c>
      <c r="C143" s="24" t="str">
        <f aca="false">IFERROR(IF(COUNTIFS(Pointage_brut!$E:$E,VLOOKUP($B143,Annuaire_roster!$B:$J,9,0),Pointage_brut!$A:$A,TEXT($Q143,"yyyymmdd")*1)=0,"",MOD(_xlfn.MINIFS(Pointage_brut!$F:$F,Pointage_brut!$E:$E,VLOOKUP($B143,Annuaire_roster!$B:$J,9,0),Pointage_brut!$A:$A,TEXT($Q143,"yyyymmdd")*1),1)),"")</f>
        <v/>
      </c>
      <c r="D143" s="25" t="n">
        <f aca="false" t="array" ref="D143:D143">IFERROR(INDEX(Planning2[],MATCH(1,(Planning2[Nom]=B143)*(Planning2[Date]=Q143),0),3),"-")</f>
        <v>0.458333333333333</v>
      </c>
      <c r="E143" s="26" t="str">
        <f aca="false">IFERROR(IF(COUNTIFS(Pointage_brut!$E:$E,VLOOKUP($B143,Annuaire_roster!$B:$J,9,0),Pointage_brut!$A:$A,TEXT($Q143,"yyyymmdd")*1)=0,"",MOD(_xlfn.MAXIFS(Pointage_brut!$G:$G,Pointage_brut!$E:$E,VLOOKUP($B143,Annuaire_roster!$B:$J,9,0),Pointage_brut!$A:$A,TEXT($Q143,"yyyymmdd")*1),1)),"")</f>
        <v/>
      </c>
      <c r="F143" s="27" t="n">
        <f aca="false" t="array" ref="F143:F143">IFERROR(INDEX(Planning2[],MATCH(1,(Planning2[Nom]=B143)*(Planning2[Date]=Q143),0),4),"-")</f>
        <v>0.833333333333333</v>
      </c>
      <c r="G143" s="28"/>
      <c r="H143" s="28"/>
      <c r="I143" s="29" t="str">
        <f aca="false">IF(IF(OR(C143="",D143="Congé",D143="OFF",D143="Congé spécial"),"",IF(D143&gt;F143,D143-C143,IF(C143-D143&lt;0,0,C143-D143)))&lt;0.00068287037037037,"",IF(OR(D143="Congé",D143="OFF",C143="",D143="Congé spécial"),"",IF(D143&gt;F143,D143-C143,IF(C143-D143&lt;0,0,C143-D143))))</f>
        <v/>
      </c>
      <c r="J143" s="28"/>
      <c r="K143" s="30" t="n">
        <f aca="false">IF(SUM(H143:J143)&lt;0.00068287037037037,0,SUM(H143:J143))</f>
        <v>0</v>
      </c>
      <c r="L143" s="28" t="n">
        <f aca="false">IF(OR(F143="Congé",F143="OFF",M143="Abs",F143="Congé sans solde",F143="Férié",F143="Congé spécial",D143="Congé spécial"),0,IF(F143-E143&lt;0,0,IF(F143-E143&lt;=0.00068287037037037,0,F143-E143)))</f>
        <v>0</v>
      </c>
      <c r="M143" s="31" t="str">
        <f aca="false">IF(AND(O143&lt;&gt;0,C143=""),"Abs",0)</f>
        <v>Abs</v>
      </c>
      <c r="N143" s="32" t="str">
        <f aca="false">IFERROR(IF(OR(D143="OFF",D143="Congé",M143="Abs",D143="Congé sans solde",D143="Férié"),"",IF(O143-K143-L143&gt;O143,O143,IF(O143-K143-L143&lt;0,"",O143-K143-L143))),"")</f>
        <v/>
      </c>
      <c r="O143" s="33" t="n">
        <f aca="false">IF(AG143="2H Pause déjeuner",IF(F143-D143-0.0833333333333333&lt;0,F143-D143-0.0833333333333333+1,F143-D143-0.0833333333333333),IF(OR(AND(F143="OFF",D143="OFF"),AND(F143="Congé",D143="Congé"),AND(F143="Congé sans solde",D143="Congé sans solde"),AND(F143="Congé spécial",D143="Congé spécial"),AND(F143="Férié",D143="Férié"),AND(F143="OFF",D143="Congé"),AND(F143="OFF",D143="Congé sans solde"),AND(F143="OFF",D143="Congé spécial"),AND(F143="OFF",D143="Férié"),AND(F143="Congé",D143="OFF"),AND(F143="Congé",D143="Congé sans solde"),AND(F143="Congé",D143="Congé spécial"),AND(F143="Congé",D143="Férié"),AND(F143="Congé sans solde",D143="OFF"),AND(F143="Congé sans solde",D143="Congé"),AND(F143="Congé sans solde",D143="Congé spécial"),AND(F143="Congé sans solde",D143="Férié"),AND(F143="Congé spécial",D143="OFF"),AND(F143="Congé spécial",D143="Congé"),AND(F143="Congé spécial",D143="Congé sans solde"),AND(F143="Congé spécial",D143="Férié"),AND(F143="Férié",D143="OFF"),AND(F143="Férié",D143="Congé"),AND(F143="Férié",D143="Congé sans solde"),AND(F143="Férié",D143="Congé spécial")),0,IF(OR(F143="OFF",F143="Congé",F143="Congé spécial",F143="Congé sans solde",D143="OFF",D143="Congé",D143="Congé spécial",D143="Congé sans solde"),0.208333333333334,IF(AND(AG143="",F143-D143&lt;0),("24:00:00"-D143)+("00:00:00"+F143)-0.0416666666666667,IF(AND(OR(AG143="Allaitement",AG143="Sans déjeuner"),F143-D143&lt;0),("24:00:00"-D143)+("00:00:00"+F143),IF(AND(AG143="",F143-D143&gt;0.166666666666667),F143-D143-0.0416666666666667,IF(AND(OR(AG143="Allaitement",AG143="Sans déjeuner"),F143-D143&gt;0.166666666666667),F143-D143,F143-D143)))))))</f>
        <v>0.333333333333333</v>
      </c>
      <c r="P143" s="34" t="str">
        <f aca="false">IFERROR(VLOOKUP($B143,Annuaire_roster!$B:$G,MATCH(P$1,Annuaire_roster!$B$1:$G$1,0),0),"-")</f>
        <v>Google Leads</v>
      </c>
      <c r="Q143" s="35" t="n">
        <v>44721</v>
      </c>
      <c r="R143" s="36" t="n">
        <f aca="false">IF(M143="Abs",O143,0)</f>
        <v>0.333333333333333</v>
      </c>
      <c r="S143" s="36" t="n">
        <f aca="false">SUM(R143,L143,I143,J143,W143,H143)</f>
        <v>0.333333333333333</v>
      </c>
      <c r="T143" s="1" t="str">
        <f aca="false">"Sem - "&amp;WEEKNUM(Q143,21)</f>
        <v>Sem - 24</v>
      </c>
      <c r="U143" s="1" t="str">
        <f aca="false">PROPER(TEXT(Q143,"mmmm"))</f>
        <v>June</v>
      </c>
      <c r="V143" s="37" t="str">
        <f aca="false">+TEXT(Q143,"aaa")</f>
        <v>Wed</v>
      </c>
      <c r="W143" s="32"/>
      <c r="X143" s="38" t="n">
        <f aca="false">IFERROR(IF(M143="Abs",0,IF((D143-C143+E143-F143)&lt;0.000694444444444444,0,(D143-C143+E143-F143))),0)</f>
        <v>0</v>
      </c>
      <c r="Y143" s="39" t="n">
        <f aca="false">IFERROR(VLOOKUP(B143,Annuaire_roster!B:E,4,0),"-")</f>
        <v>0</v>
      </c>
      <c r="Z143" s="39" t="str">
        <f aca="false">IFERROR(VLOOKUP(B143,Annuaire_roster!B:F,3,0),"-")</f>
        <v>Google Leads</v>
      </c>
      <c r="AA143" s="39" t="n">
        <f aca="false">IFERROR(VLOOKUP(B143,Annuaire_roster!B:I,6,0),"-")</f>
        <v>0</v>
      </c>
      <c r="AB143" s="40" t="str">
        <f aca="false">IF(AND(D143="Congé",F143="Congé"),0.333333333333333,IF(OR(AND(D143="Congé",F143&lt;&gt;"Congé"),(AND(F143="Congé",D143&lt;&gt;"Congé"))),0.166666666666667,""))</f>
        <v/>
      </c>
      <c r="AC143" s="40" t="str">
        <f aca="false">IF(AND(D143="Congé sans solde",F143="Congé sans solde"),0.333333333333333,IF(OR(AND(D143="Congé sans solde",F143&lt;&gt;"Congé sans solde"),(AND(F143="Congé sans solde",D143&lt;&gt;"Congé sans solde"))),0.166666666666667,""))</f>
        <v/>
      </c>
      <c r="AD143" s="40" t="str">
        <f aca="false">IF(AND(D143="Congé spécial",F143="Congé spécial"),0.333333333333333,IF(OR(AND(D143="Congé spécial",F143&lt;&gt;"Congé décès"),(AND(F143="Congé spécial",D143&lt;&gt;"Congé spécial"))),0.166666666666667,""))</f>
        <v/>
      </c>
      <c r="AE143" s="41" t="str">
        <f aca="false">IF(AND(D143="Férié",F143="Férié"),0.333333333333333,IF(OR(AND(D143="Férié",F143&lt;&gt;"Férié"),(AND(F143="Férié",D143&lt;&gt;"Férié"))),0.166666666666667,""))</f>
        <v/>
      </c>
      <c r="AF143" s="41"/>
      <c r="AG143" s="36"/>
    </row>
    <row r="144" customFormat="false" ht="12.75" hidden="true" customHeight="true" outlineLevel="0" collapsed="false">
      <c r="A144" s="22" t="n">
        <f aca="false">VLOOKUP(B144,Annuaire_roster!B:F,5,0)</f>
        <v>894</v>
      </c>
      <c r="B144" s="23" t="s">
        <v>57</v>
      </c>
      <c r="C144" s="24" t="str">
        <f aca="false">IFERROR(IF(COUNTIFS(Pointage_brut!$E:$E,VLOOKUP($B144,Annuaire_roster!$B:$J,9,0),Pointage_brut!$A:$A,TEXT($Q144,"yyyymmdd")*1)=0,"",MOD(_xlfn.MINIFS(Pointage_brut!$F:$F,Pointage_brut!$E:$E,VLOOKUP($B144,Annuaire_roster!$B:$J,9,0),Pointage_brut!$A:$A,TEXT($Q144,"yyyymmdd")*1),1)),"")</f>
        <v/>
      </c>
      <c r="D144" s="25" t="n">
        <f aca="false" t="array" ref="D144:D144">IFERROR(INDEX(Planning2[],MATCH(1,(Planning2[Nom]=B144)*(Planning2[Date]=Q144),0),3),"-")</f>
        <v>0.416666666666667</v>
      </c>
      <c r="E144" s="26" t="str">
        <f aca="false">IFERROR(IF(COUNTIFS(Pointage_brut!$E:$E,VLOOKUP($B144,Annuaire_roster!$B:$J,9,0),Pointage_brut!$A:$A,TEXT($Q144,"yyyymmdd")*1)=0,"",MOD(_xlfn.MAXIFS(Pointage_brut!$G:$G,Pointage_brut!$E:$E,VLOOKUP($B144,Annuaire_roster!$B:$J,9,0),Pointage_brut!$A:$A,TEXT($Q144,"yyyymmdd")*1),1)),"")</f>
        <v/>
      </c>
      <c r="F144" s="27" t="n">
        <f aca="false" t="array" ref="F144:F144">IFERROR(INDEX(Planning2[],MATCH(1,(Planning2[Nom]=B144)*(Planning2[Date]=Q144),0),4),"-")</f>
        <v>0.833333333333333</v>
      </c>
      <c r="G144" s="28"/>
      <c r="H144" s="28"/>
      <c r="I144" s="29" t="str">
        <f aca="false">IF(IF(OR(C144="",D144="Congé",D144="OFF",D144="Congé spécial"),"",IF(D144&gt;F144,D144-C144,IF(C144-D144&lt;0,0,C144-D144)))&lt;0.00068287037037037,"",IF(OR(D144="Congé",D144="OFF",C144="",D144="Congé spécial"),"",IF(D144&gt;F144,D144-C144,IF(C144-D144&lt;0,0,C144-D144))))</f>
        <v/>
      </c>
      <c r="J144" s="28"/>
      <c r="K144" s="30" t="n">
        <f aca="false">IF(SUM(H144:J144)&lt;0.00068287037037037,0,SUM(H144:J144))</f>
        <v>0</v>
      </c>
      <c r="L144" s="28" t="n">
        <f aca="false">IF(OR(F144="Congé",F144="OFF",M144="Abs",F144="Congé sans solde",F144="Férié",F144="Congé spécial",D144="Congé spécial"),0,IF(F144-E144&lt;0,0,IF(F144-E144&lt;=0.00068287037037037,0,F144-E144)))</f>
        <v>0</v>
      </c>
      <c r="M144" s="31" t="str">
        <f aca="false">IF(AND(O144&lt;&gt;0,C144=""),"Abs",0)</f>
        <v>Abs</v>
      </c>
      <c r="N144" s="32" t="str">
        <f aca="false">IFERROR(IF(OR(D144="OFF",D144="Congé",M144="Abs",D144="Congé sans solde",D144="Férié"),"",IF(O144-K144-L144&gt;O144,O144,IF(O144-K144-L144&lt;0,"",O144-K144-L144))),"")</f>
        <v/>
      </c>
      <c r="O144" s="33" t="n">
        <f aca="false">IF(AG144="2H Pause déjeuner",IF(F144-D144-0.0833333333333333&lt;0,F144-D144-0.0833333333333333+1,F144-D144-0.0833333333333333),IF(OR(AND(F144="OFF",D144="OFF"),AND(F144="Congé",D144="Congé"),AND(F144="Congé sans solde",D144="Congé sans solde"),AND(F144="Congé spécial",D144="Congé spécial"),AND(F144="Férié",D144="Férié"),AND(F144="OFF",D144="Congé"),AND(F144="OFF",D144="Congé sans solde"),AND(F144="OFF",D144="Congé spécial"),AND(F144="OFF",D144="Férié"),AND(F144="Congé",D144="OFF"),AND(F144="Congé",D144="Congé sans solde"),AND(F144="Congé",D144="Congé spécial"),AND(F144="Congé",D144="Férié"),AND(F144="Congé sans solde",D144="OFF"),AND(F144="Congé sans solde",D144="Congé"),AND(F144="Congé sans solde",D144="Congé spécial"),AND(F144="Congé sans solde",D144="Férié"),AND(F144="Congé spécial",D144="OFF"),AND(F144="Congé spécial",D144="Congé"),AND(F144="Congé spécial",D144="Congé sans solde"),AND(F144="Congé spécial",D144="Férié"),AND(F144="Férié",D144="OFF"),AND(F144="Férié",D144="Congé"),AND(F144="Férié",D144="Congé sans solde"),AND(F144="Férié",D144="Congé spécial")),0,IF(OR(F144="OFF",F144="Congé",F144="Congé spécial",F144="Congé sans solde",D144="OFF",D144="Congé",D144="Congé spécial",D144="Congé sans solde"),0.208333333333334,IF(AND(AG144="",F144-D144&lt;0),("24:00:00"-D144)+("00:00:00"+F144)-0.0416666666666667,IF(AND(OR(AG144="Allaitement",AG144="Sans déjeuner"),F144-D144&lt;0),("24:00:00"-D144)+("00:00:00"+F144),IF(AND(AG144="",F144-D144&gt;0.166666666666667),F144-D144-0.0416666666666667,IF(AND(OR(AG144="Allaitement",AG144="Sans déjeuner"),F144-D144&gt;0.166666666666667),F144-D144,F144-D144)))))))</f>
        <v>0.375</v>
      </c>
      <c r="P144" s="34" t="str">
        <f aca="false">IFERROR(VLOOKUP($B144,Annuaire_roster!$B:$G,MATCH(P$1,Annuaire_roster!$B$1:$G$1,0),0),"-")</f>
        <v>Google Leads</v>
      </c>
      <c r="Q144" s="35" t="n">
        <v>44721</v>
      </c>
      <c r="R144" s="36" t="n">
        <f aca="false">IF(M144="Abs",O144,0)</f>
        <v>0.375</v>
      </c>
      <c r="S144" s="36" t="n">
        <f aca="false">SUM(R144,L144,I144,J144,W144,H144)</f>
        <v>0.375</v>
      </c>
      <c r="T144" s="1" t="str">
        <f aca="false">"Sem - "&amp;WEEKNUM(Q144,21)</f>
        <v>Sem - 24</v>
      </c>
      <c r="U144" s="1" t="str">
        <f aca="false">PROPER(TEXT(Q144,"mmmm"))</f>
        <v>June</v>
      </c>
      <c r="V144" s="37" t="str">
        <f aca="false">+TEXT(Q144,"aaa")</f>
        <v>Wed</v>
      </c>
      <c r="W144" s="32"/>
      <c r="X144" s="38" t="n">
        <f aca="false">IFERROR(IF(M144="Abs",0,IF((D144-C144+E144-F144)&lt;0.000694444444444444,0,(D144-C144+E144-F144))),0)</f>
        <v>0</v>
      </c>
      <c r="Y144" s="39" t="str">
        <f aca="false">IFERROR(VLOOKUP(B144,Annuaire_roster!B:E,4,0),"-")</f>
        <v>OUAQERROUCH Nour-El Houda</v>
      </c>
      <c r="Z144" s="39" t="str">
        <f aca="false">IFERROR(VLOOKUP(B144,Annuaire_roster!B:F,3,0),"-")</f>
        <v>Google Leads</v>
      </c>
      <c r="AA144" s="39" t="str">
        <f aca="false">IFERROR(VLOOKUP(B144,Annuaire_roster!B:I,6,0),"-")</f>
        <v>Forfaitaire</v>
      </c>
      <c r="AB144" s="40" t="str">
        <f aca="false">IF(AND(D144="Congé",F144="Congé"),0.333333333333333,IF(OR(AND(D144="Congé",F144&lt;&gt;"Congé"),(AND(F144="Congé",D144&lt;&gt;"Congé"))),0.166666666666667,""))</f>
        <v/>
      </c>
      <c r="AC144" s="40" t="str">
        <f aca="false">IF(AND(D144="Congé sans solde",F144="Congé sans solde"),0.333333333333333,IF(OR(AND(D144="Congé sans solde",F144&lt;&gt;"Congé sans solde"),(AND(F144="Congé sans solde",D144&lt;&gt;"Congé sans solde"))),0.166666666666667,""))</f>
        <v/>
      </c>
      <c r="AD144" s="40" t="str">
        <f aca="false">IF(AND(D144="Congé spécial",F144="Congé spécial"),0.333333333333333,IF(OR(AND(D144="Congé spécial",F144&lt;&gt;"Congé décès"),(AND(F144="Congé spécial",D144&lt;&gt;"Congé spécial"))),0.166666666666667,""))</f>
        <v/>
      </c>
      <c r="AE144" s="41" t="str">
        <f aca="false">IF(AND(D144="Férié",F144="Férié"),0.333333333333333,IF(OR(AND(D144="Férié",F144&lt;&gt;"Férié"),(AND(F144="Férié",D144&lt;&gt;"Férié"))),0.166666666666667,""))</f>
        <v/>
      </c>
      <c r="AF144" s="41"/>
      <c r="AG144" s="36"/>
    </row>
    <row r="145" customFormat="false" ht="12.75" hidden="true" customHeight="true" outlineLevel="0" collapsed="false">
      <c r="A145" s="22" t="n">
        <f aca="false">VLOOKUP(B145,Annuaire_roster!B:F,5,0)</f>
        <v>971</v>
      </c>
      <c r="B145" s="23" t="s">
        <v>58</v>
      </c>
      <c r="C145" s="24" t="str">
        <f aca="false">IFERROR(IF(COUNTIFS(Pointage_brut!$E:$E,VLOOKUP($B145,Annuaire_roster!$B:$J,9,0),Pointage_brut!$A:$A,TEXT($Q145,"yyyymmdd")*1)=0,"",MOD(_xlfn.MINIFS(Pointage_brut!$F:$F,Pointage_brut!$E:$E,VLOOKUP($B145,Annuaire_roster!$B:$J,9,0),Pointage_brut!$A:$A,TEXT($Q145,"yyyymmdd")*1),1)),"")</f>
        <v/>
      </c>
      <c r="D145" s="25" t="n">
        <f aca="false" t="array" ref="D145:D145">IFERROR(INDEX(Planning2[],MATCH(1,(Planning2[Nom]=B145)*(Planning2[Date]=Q145),0),3),"-")</f>
        <v>0.458333333333333</v>
      </c>
      <c r="E145" s="26" t="str">
        <f aca="false">IFERROR(IF(COUNTIFS(Pointage_brut!$E:$E,VLOOKUP($B145,Annuaire_roster!$B:$J,9,0),Pointage_brut!$A:$A,TEXT($Q145,"yyyymmdd")*1)=0,"",MOD(_xlfn.MAXIFS(Pointage_brut!$G:$G,Pointage_brut!$E:$E,VLOOKUP($B145,Annuaire_roster!$B:$J,9,0),Pointage_brut!$A:$A,TEXT($Q145,"yyyymmdd")*1),1)),"")</f>
        <v/>
      </c>
      <c r="F145" s="27" t="n">
        <f aca="false" t="array" ref="F145:F145">IFERROR(INDEX(Planning2[],MATCH(1,(Planning2[Nom]=B145)*(Planning2[Date]=Q145),0),4),"-")</f>
        <v>0.833333333333333</v>
      </c>
      <c r="G145" s="28"/>
      <c r="H145" s="28"/>
      <c r="I145" s="29" t="str">
        <f aca="false">IF(IF(OR(C145="",D145="Congé",D145="OFF",D145="Congé spécial"),"",IF(D145&gt;F145,D145-C145,IF(C145-D145&lt;0,0,C145-D145)))&lt;0.00068287037037037,"",IF(OR(D145="Congé",D145="OFF",C145="",D145="Congé spécial"),"",IF(D145&gt;F145,D145-C145,IF(C145-D145&lt;0,0,C145-D145))))</f>
        <v/>
      </c>
      <c r="J145" s="28"/>
      <c r="K145" s="30" t="n">
        <f aca="false">IF(SUM(H145:J145)&lt;0.00068287037037037,0,SUM(H145:J145))</f>
        <v>0</v>
      </c>
      <c r="L145" s="28" t="n">
        <f aca="false">IF(OR(F145="Congé",F145="OFF",M145="Abs",F145="Congé sans solde",F145="Férié",F145="Congé spécial",D145="Congé spécial"),0,IF(F145-E145&lt;0,0,IF(F145-E145&lt;=0.00068287037037037,0,F145-E145)))</f>
        <v>0</v>
      </c>
      <c r="M145" s="31" t="str">
        <f aca="false">IF(AND(O145&lt;&gt;0,C145=""),"Abs",0)</f>
        <v>Abs</v>
      </c>
      <c r="N145" s="32" t="str">
        <f aca="false">IFERROR(IF(OR(D145="OFF",D145="Congé",M145="Abs",D145="Congé sans solde",D145="Férié"),"",IF(O145-K145-L145&gt;O145,O145,IF(O145-K145-L145&lt;0,"",O145-K145-L145))),"")</f>
        <v/>
      </c>
      <c r="O145" s="33" t="n">
        <f aca="false">IF(AG145="2H Pause déjeuner",IF(F145-D145-0.0833333333333333&lt;0,F145-D145-0.0833333333333333+1,F145-D145-0.0833333333333333),IF(OR(AND(F145="OFF",D145="OFF"),AND(F145="Congé",D145="Congé"),AND(F145="Congé sans solde",D145="Congé sans solde"),AND(F145="Congé spécial",D145="Congé spécial"),AND(F145="Férié",D145="Férié"),AND(F145="OFF",D145="Congé"),AND(F145="OFF",D145="Congé sans solde"),AND(F145="OFF",D145="Congé spécial"),AND(F145="OFF",D145="Férié"),AND(F145="Congé",D145="OFF"),AND(F145="Congé",D145="Congé sans solde"),AND(F145="Congé",D145="Congé spécial"),AND(F145="Congé",D145="Férié"),AND(F145="Congé sans solde",D145="OFF"),AND(F145="Congé sans solde",D145="Congé"),AND(F145="Congé sans solde",D145="Congé spécial"),AND(F145="Congé sans solde",D145="Férié"),AND(F145="Congé spécial",D145="OFF"),AND(F145="Congé spécial",D145="Congé"),AND(F145="Congé spécial",D145="Congé sans solde"),AND(F145="Congé spécial",D145="Férié"),AND(F145="Férié",D145="OFF"),AND(F145="Férié",D145="Congé"),AND(F145="Férié",D145="Congé sans solde"),AND(F145="Férié",D145="Congé spécial")),0,IF(OR(F145="OFF",F145="Congé",F145="Congé spécial",F145="Congé sans solde",D145="OFF",D145="Congé",D145="Congé spécial",D145="Congé sans solde"),0.208333333333334,IF(AND(AG145="",F145-D145&lt;0),("24:00:00"-D145)+("00:00:00"+F145)-0.0416666666666667,IF(AND(OR(AG145="Allaitement",AG145="Sans déjeuner"),F145-D145&lt;0),("24:00:00"-D145)+("00:00:00"+F145),IF(AND(AG145="",F145-D145&gt;0.166666666666667),F145-D145-0.0416666666666667,IF(AND(OR(AG145="Allaitement",AG145="Sans déjeuner"),F145-D145&gt;0.166666666666667),F145-D145,F145-D145)))))))</f>
        <v>0.333333333333333</v>
      </c>
      <c r="P145" s="34" t="str">
        <f aca="false">IFERROR(VLOOKUP($B145,Annuaire_roster!$B:$G,MATCH(P$1,Annuaire_roster!$B$1:$G$1,0),0),"-")</f>
        <v>Google Leads</v>
      </c>
      <c r="Q145" s="35" t="n">
        <v>44721</v>
      </c>
      <c r="R145" s="36" t="n">
        <f aca="false">IF(M145="Abs",O145,0)</f>
        <v>0.333333333333333</v>
      </c>
      <c r="S145" s="36" t="n">
        <f aca="false">SUM(R145,L145,I145,J145,W145,H145)</f>
        <v>0.333333333333333</v>
      </c>
      <c r="T145" s="1" t="str">
        <f aca="false">"Sem - "&amp;WEEKNUM(Q145,21)</f>
        <v>Sem - 24</v>
      </c>
      <c r="U145" s="1" t="str">
        <f aca="false">PROPER(TEXT(Q145,"mmmm"))</f>
        <v>June</v>
      </c>
      <c r="V145" s="37" t="str">
        <f aca="false">+TEXT(Q145,"aaa")</f>
        <v>Wed</v>
      </c>
      <c r="W145" s="32"/>
      <c r="X145" s="38" t="n">
        <f aca="false">IFERROR(IF(M145="Abs",0,IF((D145-C145+E145-F145)&lt;0.000694444444444444,0,(D145-C145+E145-F145))),0)</f>
        <v>0</v>
      </c>
      <c r="Y145" s="39" t="str">
        <f aca="false">IFERROR(VLOOKUP(B145,Annuaire_roster!B:E,4,0),"-")</f>
        <v>CHOUIFI Mustapha</v>
      </c>
      <c r="Z145" s="39" t="str">
        <f aca="false">IFERROR(VLOOKUP(B145,Annuaire_roster!B:F,3,0),"-")</f>
        <v>Google Leads</v>
      </c>
      <c r="AA145" s="39" t="str">
        <f aca="false">IFERROR(VLOOKUP(B145,Annuaire_roster!B:I,6,0),"-")</f>
        <v>Forfaitaire</v>
      </c>
      <c r="AB145" s="40" t="str">
        <f aca="false">IF(AND(D145="Congé",F145="Congé"),0.333333333333333,IF(OR(AND(D145="Congé",F145&lt;&gt;"Congé"),(AND(F145="Congé",D145&lt;&gt;"Congé"))),0.166666666666667,""))</f>
        <v/>
      </c>
      <c r="AC145" s="40" t="str">
        <f aca="false">IF(AND(D145="Congé sans solde",F145="Congé sans solde"),0.333333333333333,IF(OR(AND(D145="Congé sans solde",F145&lt;&gt;"Congé sans solde"),(AND(F145="Congé sans solde",D145&lt;&gt;"Congé sans solde"))),0.166666666666667,""))</f>
        <v/>
      </c>
      <c r="AD145" s="40" t="str">
        <f aca="false">IF(AND(D145="Congé spécial",F145="Congé spécial"),0.333333333333333,IF(OR(AND(D145="Congé spécial",F145&lt;&gt;"Congé décès"),(AND(F145="Congé spécial",D145&lt;&gt;"Congé spécial"))),0.166666666666667,""))</f>
        <v/>
      </c>
      <c r="AE145" s="41" t="str">
        <f aca="false">IF(AND(D145="Férié",F145="Férié"),0.333333333333333,IF(OR(AND(D145="Férié",F145&lt;&gt;"Férié"),(AND(F145="Férié",D145&lt;&gt;"Férié"))),0.166666666666667,""))</f>
        <v/>
      </c>
      <c r="AF145" s="41"/>
      <c r="AG145" s="36"/>
    </row>
    <row r="146" customFormat="false" ht="12.75" hidden="true" customHeight="true" outlineLevel="0" collapsed="false">
      <c r="A146" s="22" t="n">
        <f aca="false">VLOOKUP(B146,Annuaire_roster!B:F,5,0)</f>
        <v>1008</v>
      </c>
      <c r="B146" s="23" t="s">
        <v>60</v>
      </c>
      <c r="C146" s="24" t="str">
        <f aca="false">IFERROR(IF(COUNTIFS(Pointage_brut!$E:$E,VLOOKUP($B146,Annuaire_roster!$B:$J,9,0),Pointage_brut!$A:$A,TEXT($Q146,"yyyymmdd")*1)=0,"",MOD(_xlfn.MINIFS(Pointage_brut!$F:$F,Pointage_brut!$E:$E,VLOOKUP($B146,Annuaire_roster!$B:$J,9,0),Pointage_brut!$A:$A,TEXT($Q146,"yyyymmdd")*1),1)),"")</f>
        <v/>
      </c>
      <c r="D146" s="25" t="n">
        <f aca="false" t="array" ref="D146:D146">IFERROR(INDEX(Planning2[],MATCH(1,(Planning2[Nom]=B146)*(Planning2[Date]=Q146),0),3),"-")</f>
        <v>0.291666666666667</v>
      </c>
      <c r="E146" s="26" t="str">
        <f aca="false">IFERROR(IF(COUNTIFS(Pointage_brut!$E:$E,VLOOKUP($B146,Annuaire_roster!$B:$J,9,0),Pointage_brut!$A:$A,TEXT($Q146,"yyyymmdd")*1)=0,"",MOD(_xlfn.MAXIFS(Pointage_brut!$G:$G,Pointage_brut!$E:$E,VLOOKUP($B146,Annuaire_roster!$B:$J,9,0),Pointage_brut!$A:$A,TEXT($Q146,"yyyymmdd")*1),1)),"")</f>
        <v/>
      </c>
      <c r="F146" s="27" t="n">
        <f aca="false" t="array" ref="F146:F146">IFERROR(INDEX(Planning2[],MATCH(1,(Planning2[Nom]=B146)*(Planning2[Date]=Q146),0),4),"-")</f>
        <v>0.708333333333333</v>
      </c>
      <c r="G146" s="28"/>
      <c r="H146" s="28"/>
      <c r="I146" s="29" t="str">
        <f aca="false">IF(IF(OR(C146="",D146="Congé",D146="OFF",D146="Congé spécial"),"",IF(D146&gt;F146,D146-C146,IF(C146-D146&lt;0,0,C146-D146)))&lt;0.00068287037037037,"",IF(OR(D146="Congé",D146="OFF",C146="",D146="Congé spécial"),"",IF(D146&gt;F146,D146-C146,IF(C146-D146&lt;0,0,C146-D146))))</f>
        <v/>
      </c>
      <c r="J146" s="28"/>
      <c r="K146" s="30" t="n">
        <f aca="false">IF(SUM(H146:J146)&lt;0.00068287037037037,0,SUM(H146:J146))</f>
        <v>0</v>
      </c>
      <c r="L146" s="28" t="n">
        <f aca="false">IF(OR(F146="Congé",F146="OFF",M146="Abs",F146="Congé sans solde",F146="Férié",F146="Congé spécial",D146="Congé spécial"),0,IF(F146-E146&lt;0,0,IF(F146-E146&lt;=0.00068287037037037,0,F146-E146)))</f>
        <v>0</v>
      </c>
      <c r="M146" s="31" t="str">
        <f aca="false">IF(AND(O146&lt;&gt;0,C146=""),"Abs",0)</f>
        <v>Abs</v>
      </c>
      <c r="N146" s="32" t="str">
        <f aca="false">IFERROR(IF(OR(D146="OFF",D146="Congé",M146="Abs",D146="Congé sans solde",D146="Férié"),"",IF(O146-K146-L146&gt;O146,O146,IF(O146-K146-L146&lt;0,"",O146-K146-L146))),"")</f>
        <v/>
      </c>
      <c r="O146" s="33" t="n">
        <f aca="false">IF(AG146="2H Pause déjeuner",IF(F146-D146-0.0833333333333333&lt;0,F146-D146-0.0833333333333333+1,F146-D146-0.0833333333333333),IF(OR(AND(F146="OFF",D146="OFF"),AND(F146="Congé",D146="Congé"),AND(F146="Congé sans solde",D146="Congé sans solde"),AND(F146="Congé spécial",D146="Congé spécial"),AND(F146="Férié",D146="Férié"),AND(F146="OFF",D146="Congé"),AND(F146="OFF",D146="Congé sans solde"),AND(F146="OFF",D146="Congé spécial"),AND(F146="OFF",D146="Férié"),AND(F146="Congé",D146="OFF"),AND(F146="Congé",D146="Congé sans solde"),AND(F146="Congé",D146="Congé spécial"),AND(F146="Congé",D146="Férié"),AND(F146="Congé sans solde",D146="OFF"),AND(F146="Congé sans solde",D146="Congé"),AND(F146="Congé sans solde",D146="Congé spécial"),AND(F146="Congé sans solde",D146="Férié"),AND(F146="Congé spécial",D146="OFF"),AND(F146="Congé spécial",D146="Congé"),AND(F146="Congé spécial",D146="Congé sans solde"),AND(F146="Congé spécial",D146="Férié"),AND(F146="Férié",D146="OFF"),AND(F146="Férié",D146="Congé"),AND(F146="Férié",D146="Congé sans solde"),AND(F146="Férié",D146="Congé spécial")),0,IF(OR(F146="OFF",F146="Congé",F146="Congé spécial",F146="Congé sans solde",D146="OFF",D146="Congé",D146="Congé spécial",D146="Congé sans solde"),0.208333333333334,IF(AND(AG146="",F146-D146&lt;0),("24:00:00"-D146)+("00:00:00"+F146)-0.0416666666666667,IF(AND(OR(AG146="Allaitement",AG146="Sans déjeuner"),F146-D146&lt;0),("24:00:00"-D146)+("00:00:00"+F146),IF(AND(AG146="",F146-D146&gt;0.166666666666667),F146-D146-0.0416666666666667,IF(AND(OR(AG146="Allaitement",AG146="Sans déjeuner"),F146-D146&gt;0.166666666666667),F146-D146,F146-D146)))))))</f>
        <v>0.375</v>
      </c>
      <c r="P146" s="34" t="str">
        <f aca="false">IFERROR(VLOOKUP($B146,Annuaire_roster!$B:$G,MATCH(P$1,Annuaire_roster!$B$1:$G$1,0),0),"-")</f>
        <v>Google Leads</v>
      </c>
      <c r="Q146" s="35" t="n">
        <v>44721</v>
      </c>
      <c r="R146" s="36" t="n">
        <f aca="false">IF(M146="Abs",O146,0)</f>
        <v>0.375</v>
      </c>
      <c r="S146" s="36" t="n">
        <f aca="false">SUM(R146,L146,I146,J146,W146,H146)</f>
        <v>0.375</v>
      </c>
      <c r="T146" s="1" t="str">
        <f aca="false">"Sem - "&amp;WEEKNUM(Q146,21)</f>
        <v>Sem - 24</v>
      </c>
      <c r="U146" s="1" t="str">
        <f aca="false">PROPER(TEXT(Q146,"mmmm"))</f>
        <v>June</v>
      </c>
      <c r="V146" s="37" t="str">
        <f aca="false">+TEXT(Q146,"aaa")</f>
        <v>Wed</v>
      </c>
      <c r="W146" s="32"/>
      <c r="X146" s="38" t="n">
        <f aca="false">IFERROR(IF(M146="Abs",0,IF((D146-C146+E146-F146)&lt;0.000694444444444444,0,(D146-C146+E146-F146))),0)</f>
        <v>0</v>
      </c>
      <c r="Y146" s="39" t="str">
        <f aca="false">IFERROR(VLOOKUP(B146,Annuaire_roster!B:E,4,0),"-")</f>
        <v>CHOUIFI Mustapha</v>
      </c>
      <c r="Z146" s="39" t="str">
        <f aca="false">IFERROR(VLOOKUP(B146,Annuaire_roster!B:F,3,0),"-")</f>
        <v>Google Leads</v>
      </c>
      <c r="AA146" s="39" t="str">
        <f aca="false">IFERROR(VLOOKUP(B146,Annuaire_roster!B:I,6,0),"-")</f>
        <v>Forfaitaire</v>
      </c>
      <c r="AB146" s="40" t="str">
        <f aca="false">IF(AND(D146="Congé",F146="Congé"),0.333333333333333,IF(OR(AND(D146="Congé",F146&lt;&gt;"Congé"),(AND(F146="Congé",D146&lt;&gt;"Congé"))),0.166666666666667,""))</f>
        <v/>
      </c>
      <c r="AC146" s="40" t="str">
        <f aca="false">IF(AND(D146="Congé sans solde",F146="Congé sans solde"),0.333333333333333,IF(OR(AND(D146="Congé sans solde",F146&lt;&gt;"Congé sans solde"),(AND(F146="Congé sans solde",D146&lt;&gt;"Congé sans solde"))),0.166666666666667,""))</f>
        <v/>
      </c>
      <c r="AD146" s="40" t="str">
        <f aca="false">IF(AND(D146="Congé spécial",F146="Congé spécial"),0.333333333333333,IF(OR(AND(D146="Congé spécial",F146&lt;&gt;"Congé décès"),(AND(F146="Congé spécial",D146&lt;&gt;"Congé spécial"))),0.166666666666667,""))</f>
        <v/>
      </c>
      <c r="AE146" s="41" t="str">
        <f aca="false">IF(AND(D146="Férié",F146="Férié"),0.333333333333333,IF(OR(AND(D146="Férié",F146&lt;&gt;"Férié"),(AND(F146="Férié",D146&lt;&gt;"Férié"))),0.166666666666667,""))</f>
        <v/>
      </c>
      <c r="AF146" s="41"/>
      <c r="AG146" s="36"/>
    </row>
    <row r="147" customFormat="false" ht="12.75" hidden="true" customHeight="true" outlineLevel="0" collapsed="false">
      <c r="A147" s="22" t="n">
        <f aca="false">VLOOKUP(B147,Annuaire_roster!B:F,5,0)</f>
        <v>1167</v>
      </c>
      <c r="B147" s="23" t="s">
        <v>55</v>
      </c>
      <c r="C147" s="24" t="str">
        <f aca="false">IFERROR(IF(COUNTIFS(Pointage_brut!$E:$E,VLOOKUP($B147,Annuaire_roster!$B:$J,9,0),Pointage_brut!$A:$A,TEXT($Q147,"yyyymmdd")*1)=0,"",MOD(_xlfn.MINIFS(Pointage_brut!$F:$F,Pointage_brut!$E:$E,VLOOKUP($B147,Annuaire_roster!$B:$J,9,0),Pointage_brut!$A:$A,TEXT($Q147,"yyyymmdd")*1),1)),"")</f>
        <v/>
      </c>
      <c r="D147" s="25" t="str">
        <f aca="false" t="array" ref="D147:D147">IFERROR(INDEX(Planning2[],MATCH(1,(Planning2[Nom]=B147)*(Planning2[Date]=Q147),0),3),"-")</f>
        <v>OFF</v>
      </c>
      <c r="E147" s="26" t="str">
        <f aca="false">IFERROR(IF(COUNTIFS(Pointage_brut!$E:$E,VLOOKUP($B147,Annuaire_roster!$B:$J,9,0),Pointage_brut!$A:$A,TEXT($Q147,"yyyymmdd")*1)=0,"",MOD(_xlfn.MAXIFS(Pointage_brut!$G:$G,Pointage_brut!$E:$E,VLOOKUP($B147,Annuaire_roster!$B:$J,9,0),Pointage_brut!$A:$A,TEXT($Q147,"yyyymmdd")*1),1)),"")</f>
        <v/>
      </c>
      <c r="F147" s="27" t="str">
        <f aca="false" t="array" ref="F147:F147">IFERROR(INDEX(Planning2[],MATCH(1,(Planning2[Nom]=B147)*(Planning2[Date]=Q147),0),4),"-")</f>
        <v>OFF</v>
      </c>
      <c r="G147" s="28"/>
      <c r="H147" s="28"/>
      <c r="I147" s="29" t="str">
        <f aca="false">IF(IF(OR(C147="",D147="Congé",D147="OFF",D147="Congé spécial"),"",IF(D147&gt;F147,D147-C147,IF(C147-D147&lt;0,0,C147-D147)))&lt;0.00068287037037037,"",IF(OR(D147="Congé",D147="OFF",C147="",D147="Congé spécial"),"",IF(D147&gt;F147,D147-C147,IF(C147-D147&lt;0,0,C147-D147))))</f>
        <v/>
      </c>
      <c r="J147" s="28"/>
      <c r="K147" s="30" t="n">
        <f aca="false">IF(SUM(H147:J147)&lt;0.00068287037037037,0,SUM(H147:J147))</f>
        <v>0</v>
      </c>
      <c r="L147" s="28" t="n">
        <f aca="false">IF(OR(F147="Congé",F147="OFF",M147="Abs",F147="Congé sans solde",F147="Férié",F147="Congé spécial",D147="Congé spécial"),0,IF(F147-E147&lt;0,0,IF(F147-E147&lt;=0.00068287037037037,0,F147-E147)))</f>
        <v>0</v>
      </c>
      <c r="M147" s="31" t="n">
        <f aca="false">IF(AND(O147&lt;&gt;0,C147=""),"Abs",0)</f>
        <v>0</v>
      </c>
      <c r="N147" s="32" t="str">
        <f aca="false">IFERROR(IF(OR(D147="OFF",D147="Congé",M147="Abs",D147="Congé sans solde",D147="Férié"),"",IF(O147-K147-L147&gt;O147,O147,IF(O147-K147-L147&lt;0,"",O147-K147-L147))),"")</f>
        <v/>
      </c>
      <c r="O147" s="33" t="n">
        <f aca="false">IF(AG147="2H Pause déjeuner",IF(F147-D147-0.0833333333333333&lt;0,F147-D147-0.0833333333333333+1,F147-D147-0.0833333333333333),IF(OR(AND(F147="OFF",D147="OFF"),AND(F147="Congé",D147="Congé"),AND(F147="Congé sans solde",D147="Congé sans solde"),AND(F147="Congé spécial",D147="Congé spécial"),AND(F147="Férié",D147="Férié"),AND(F147="OFF",D147="Congé"),AND(F147="OFF",D147="Congé sans solde"),AND(F147="OFF",D147="Congé spécial"),AND(F147="OFF",D147="Férié"),AND(F147="Congé",D147="OFF"),AND(F147="Congé",D147="Congé sans solde"),AND(F147="Congé",D147="Congé spécial"),AND(F147="Congé",D147="Férié"),AND(F147="Congé sans solde",D147="OFF"),AND(F147="Congé sans solde",D147="Congé"),AND(F147="Congé sans solde",D147="Congé spécial"),AND(F147="Congé sans solde",D147="Férié"),AND(F147="Congé spécial",D147="OFF"),AND(F147="Congé spécial",D147="Congé"),AND(F147="Congé spécial",D147="Congé sans solde"),AND(F147="Congé spécial",D147="Férié"),AND(F147="Férié",D147="OFF"),AND(F147="Férié",D147="Congé"),AND(F147="Férié",D147="Congé sans solde"),AND(F147="Férié",D147="Congé spécial")),0,IF(OR(F147="OFF",F147="Congé",F147="Congé spécial",F147="Congé sans solde",D147="OFF",D147="Congé",D147="Congé spécial",D147="Congé sans solde"),0.208333333333334,IF(AND(AG147="",F147-D147&lt;0),("24:00:00"-D147)+("00:00:00"+F147)-0.0416666666666667,IF(AND(OR(AG147="Allaitement",AG147="Sans déjeuner"),F147-D147&lt;0),("24:00:00"-D147)+("00:00:00"+F147),IF(AND(AG147="",F147-D147&gt;0.166666666666667),F147-D147-0.0416666666666667,IF(AND(OR(AG147="Allaitement",AG147="Sans déjeuner"),F147-D147&gt;0.166666666666667),F147-D147,F147-D147)))))))</f>
        <v>0</v>
      </c>
      <c r="P147" s="34" t="str">
        <f aca="false">IFERROR(VLOOKUP($B147,Annuaire_roster!$B:$G,MATCH(P$1,Annuaire_roster!$B$1:$G$1,0),0),"-")</f>
        <v>Google Leads</v>
      </c>
      <c r="Q147" s="35" t="n">
        <v>44721</v>
      </c>
      <c r="R147" s="36" t="n">
        <f aca="false">IF(M147="Abs",O147,0)</f>
        <v>0</v>
      </c>
      <c r="S147" s="36" t="n">
        <f aca="false">SUM(R147,L147,I147,J147,W147,H147)</f>
        <v>0</v>
      </c>
      <c r="T147" s="1" t="str">
        <f aca="false">"Sem - "&amp;WEEKNUM(Q147,21)</f>
        <v>Sem - 24</v>
      </c>
      <c r="U147" s="1" t="str">
        <f aca="false">PROPER(TEXT(Q147,"mmmm"))</f>
        <v>June</v>
      </c>
      <c r="V147" s="37" t="str">
        <f aca="false">+TEXT(Q147,"aaa")</f>
        <v>Wed</v>
      </c>
      <c r="W147" s="32"/>
      <c r="X147" s="38" t="n">
        <f aca="false">IFERROR(IF(M147="Abs",0,IF((D147-C147+E147-F147)&lt;0.000694444444444444,0,(D147-C147+E147-F147))),0)</f>
        <v>0</v>
      </c>
      <c r="Y147" s="39" t="str">
        <f aca="false">IFERROR(VLOOKUP(B147,Annuaire_roster!B:E,4,0),"-")</f>
        <v>OUAQERROUCH Nour-El Houda</v>
      </c>
      <c r="Z147" s="39" t="str">
        <f aca="false">IFERROR(VLOOKUP(B147,Annuaire_roster!B:F,3,0),"-")</f>
        <v>Google Leads</v>
      </c>
      <c r="AA147" s="39" t="str">
        <f aca="false">IFERROR(VLOOKUP(B147,Annuaire_roster!B:I,6,0),"-")</f>
        <v>Forfaitaire</v>
      </c>
      <c r="AB147" s="40" t="str">
        <f aca="false">IF(AND(D147="Congé",F147="Congé"),0.333333333333333,IF(OR(AND(D147="Congé",F147&lt;&gt;"Congé"),(AND(F147="Congé",D147&lt;&gt;"Congé"))),0.166666666666667,""))</f>
        <v/>
      </c>
      <c r="AC147" s="40" t="str">
        <f aca="false">IF(AND(D147="Congé sans solde",F147="Congé sans solde"),0.333333333333333,IF(OR(AND(D147="Congé sans solde",F147&lt;&gt;"Congé sans solde"),(AND(F147="Congé sans solde",D147&lt;&gt;"Congé sans solde"))),0.166666666666667,""))</f>
        <v/>
      </c>
      <c r="AD147" s="40" t="str">
        <f aca="false">IF(AND(D147="Congé spécial",F147="Congé spécial"),0.333333333333333,IF(OR(AND(D147="Congé spécial",F147&lt;&gt;"Congé décès"),(AND(F147="Congé spécial",D147&lt;&gt;"Congé spécial"))),0.166666666666667,""))</f>
        <v/>
      </c>
      <c r="AE147" s="41" t="str">
        <f aca="false">IF(AND(D147="Férié",F147="Férié"),0.333333333333333,IF(OR(AND(D147="Férié",F147&lt;&gt;"Férié"),(AND(F147="Férié",D147&lt;&gt;"Férié"))),0.166666666666667,""))</f>
        <v/>
      </c>
      <c r="AF147" s="41"/>
      <c r="AG147" s="36"/>
    </row>
    <row r="148" customFormat="false" ht="12.75" hidden="true" customHeight="true" outlineLevel="0" collapsed="false">
      <c r="A148" s="22" t="n">
        <f aca="false">VLOOKUP(B148,Annuaire_roster!B:F,5,0)</f>
        <v>1274</v>
      </c>
      <c r="B148" s="23" t="s">
        <v>54</v>
      </c>
      <c r="C148" s="24" t="str">
        <f aca="false">IFERROR(IF(COUNTIFS(Pointage_brut!$E:$E,VLOOKUP($B148,Annuaire_roster!$B:$J,9,0),Pointage_brut!$A:$A,TEXT($Q148,"yyyymmdd")*1)=0,"",MOD(_xlfn.MINIFS(Pointage_brut!$F:$F,Pointage_brut!$E:$E,VLOOKUP($B148,Annuaire_roster!$B:$J,9,0),Pointage_brut!$A:$A,TEXT($Q148,"yyyymmdd")*1),1)),"")</f>
        <v/>
      </c>
      <c r="D148" s="25" t="n">
        <f aca="false" t="array" ref="D148:D148">IFERROR(INDEX(Planning2[],MATCH(1,(Planning2[Nom]=B148)*(Planning2[Date]=Q148),0),3),"-")</f>
        <v>0.291666666666667</v>
      </c>
      <c r="E148" s="26" t="str">
        <f aca="false">IFERROR(IF(COUNTIFS(Pointage_brut!$E:$E,VLOOKUP($B148,Annuaire_roster!$B:$J,9,0),Pointage_brut!$A:$A,TEXT($Q148,"yyyymmdd")*1)=0,"",MOD(_xlfn.MAXIFS(Pointage_brut!$G:$G,Pointage_brut!$E:$E,VLOOKUP($B148,Annuaire_roster!$B:$J,9,0),Pointage_brut!$A:$A,TEXT($Q148,"yyyymmdd")*1),1)),"")</f>
        <v/>
      </c>
      <c r="F148" s="27" t="n">
        <f aca="false" t="array" ref="F148:F148">IFERROR(INDEX(Planning2[],MATCH(1,(Planning2[Nom]=B148)*(Planning2[Date]=Q148),0),4),"-")</f>
        <v>0.708333333333333</v>
      </c>
      <c r="G148" s="28"/>
      <c r="H148" s="28"/>
      <c r="I148" s="29" t="str">
        <f aca="false">IF(IF(OR(C148="",D148="Congé",D148="OFF",D148="Congé spécial"),"",IF(D148&gt;F148,D148-C148,IF(C148-D148&lt;0,0,C148-D148)))&lt;0.00068287037037037,"",IF(OR(D148="Congé",D148="OFF",C148="",D148="Congé spécial"),"",IF(D148&gt;F148,D148-C148,IF(C148-D148&lt;0,0,C148-D148))))</f>
        <v/>
      </c>
      <c r="J148" s="28"/>
      <c r="K148" s="30" t="n">
        <f aca="false">IF(SUM(H148:J148)&lt;0.00068287037037037,0,SUM(H148:J148))</f>
        <v>0</v>
      </c>
      <c r="L148" s="28" t="n">
        <f aca="false">IF(OR(F148="Congé",F148="OFF",M148="Abs",F148="Congé sans solde",F148="Férié",F148="Congé spécial",D148="Congé spécial"),0,IF(F148-E148&lt;0,0,IF(F148-E148&lt;=0.00068287037037037,0,F148-E148)))</f>
        <v>0</v>
      </c>
      <c r="M148" s="31" t="str">
        <f aca="false">IF(AND(O148&lt;&gt;0,C148=""),"Abs",0)</f>
        <v>Abs</v>
      </c>
      <c r="N148" s="32" t="str">
        <f aca="false">IFERROR(IF(OR(D148="OFF",D148="Congé",M148="Abs",D148="Congé sans solde",D148="Férié"),"",IF(O148-K148-L148&gt;O148,O148,IF(O148-K148-L148&lt;0,"",O148-K148-L148))),"")</f>
        <v/>
      </c>
      <c r="O148" s="33" t="n">
        <f aca="false">IF(AG148="2H Pause déjeuner",IF(F148-D148-0.0833333333333333&lt;0,F148-D148-0.0833333333333333+1,F148-D148-0.0833333333333333),IF(OR(AND(F148="OFF",D148="OFF"),AND(F148="Congé",D148="Congé"),AND(F148="Congé sans solde",D148="Congé sans solde"),AND(F148="Congé spécial",D148="Congé spécial"),AND(F148="Férié",D148="Férié"),AND(F148="OFF",D148="Congé"),AND(F148="OFF",D148="Congé sans solde"),AND(F148="OFF",D148="Congé spécial"),AND(F148="OFF",D148="Férié"),AND(F148="Congé",D148="OFF"),AND(F148="Congé",D148="Congé sans solde"),AND(F148="Congé",D148="Congé spécial"),AND(F148="Congé",D148="Férié"),AND(F148="Congé sans solde",D148="OFF"),AND(F148="Congé sans solde",D148="Congé"),AND(F148="Congé sans solde",D148="Congé spécial"),AND(F148="Congé sans solde",D148="Férié"),AND(F148="Congé spécial",D148="OFF"),AND(F148="Congé spécial",D148="Congé"),AND(F148="Congé spécial",D148="Congé sans solde"),AND(F148="Congé spécial",D148="Férié"),AND(F148="Férié",D148="OFF"),AND(F148="Férié",D148="Congé"),AND(F148="Férié",D148="Congé sans solde"),AND(F148="Férié",D148="Congé spécial")),0,IF(OR(F148="OFF",F148="Congé",F148="Congé spécial",F148="Congé sans solde",D148="OFF",D148="Congé",D148="Congé spécial",D148="Congé sans solde"),0.208333333333334,IF(AND(AG148="",F148-D148&lt;0),("24:00:00"-D148)+("00:00:00"+F148)-0.0416666666666667,IF(AND(OR(AG148="Allaitement",AG148="Sans déjeuner"),F148-D148&lt;0),("24:00:00"-D148)+("00:00:00"+F148),IF(AND(AG148="",F148-D148&gt;0.166666666666667),F148-D148-0.0416666666666667,IF(AND(OR(AG148="Allaitement",AG148="Sans déjeuner"),F148-D148&gt;0.166666666666667),F148-D148,F148-D148)))))))</f>
        <v>0.375</v>
      </c>
      <c r="P148" s="34" t="str">
        <f aca="false">IFERROR(VLOOKUP($B148,Annuaire_roster!$B:$G,MATCH(P$1,Annuaire_roster!$B$1:$G$1,0),0),"-")</f>
        <v>Google Leads</v>
      </c>
      <c r="Q148" s="35" t="n">
        <v>44721</v>
      </c>
      <c r="R148" s="36" t="n">
        <f aca="false">IF(M148="Abs",O148,0)</f>
        <v>0.375</v>
      </c>
      <c r="S148" s="36" t="n">
        <f aca="false">SUM(R148,L148,I148,J148,W148,H148)</f>
        <v>0.375</v>
      </c>
      <c r="T148" s="1" t="str">
        <f aca="false">"Sem - "&amp;WEEKNUM(Q148,21)</f>
        <v>Sem - 24</v>
      </c>
      <c r="U148" s="1" t="str">
        <f aca="false">PROPER(TEXT(Q148,"mmmm"))</f>
        <v>June</v>
      </c>
      <c r="V148" s="37" t="str">
        <f aca="false">+TEXT(Q148,"aaa")</f>
        <v>Wed</v>
      </c>
      <c r="W148" s="32"/>
      <c r="X148" s="38" t="n">
        <f aca="false">IFERROR(IF(M148="Abs",0,IF((D148-C148+E148-F148)&lt;0.000694444444444444,0,(D148-C148+E148-F148))),0)</f>
        <v>0</v>
      </c>
      <c r="Y148" s="39" t="str">
        <f aca="false">IFERROR(VLOOKUP(B148,Annuaire_roster!B:E,4,0),"-")</f>
        <v>OUAQERROUCH Nour-El Houda</v>
      </c>
      <c r="Z148" s="39" t="str">
        <f aca="false">IFERROR(VLOOKUP(B148,Annuaire_roster!B:F,3,0),"-")</f>
        <v>Google Leads</v>
      </c>
      <c r="AA148" s="39" t="str">
        <f aca="false">IFERROR(VLOOKUP(B148,Annuaire_roster!B:I,6,0),"-")</f>
        <v>Forfaitaire</v>
      </c>
      <c r="AB148" s="40" t="str">
        <f aca="false">IF(AND(D148="Congé",F148="Congé"),0.333333333333333,IF(OR(AND(D148="Congé",F148&lt;&gt;"Congé"),(AND(F148="Congé",D148&lt;&gt;"Congé"))),0.166666666666667,""))</f>
        <v/>
      </c>
      <c r="AC148" s="40" t="str">
        <f aca="false">IF(AND(D148="Congé sans solde",F148="Congé sans solde"),0.333333333333333,IF(OR(AND(D148="Congé sans solde",F148&lt;&gt;"Congé sans solde"),(AND(F148="Congé sans solde",D148&lt;&gt;"Congé sans solde"))),0.166666666666667,""))</f>
        <v/>
      </c>
      <c r="AD148" s="40" t="str">
        <f aca="false">IF(AND(D148="Congé spécial",F148="Congé spécial"),0.333333333333333,IF(OR(AND(D148="Congé spécial",F148&lt;&gt;"Congé décès"),(AND(F148="Congé spécial",D148&lt;&gt;"Congé spécial"))),0.166666666666667,""))</f>
        <v/>
      </c>
      <c r="AE148" s="41" t="str">
        <f aca="false">IF(AND(D148="Férié",F148="Férié"),0.333333333333333,IF(OR(AND(D148="Férié",F148&lt;&gt;"Férié"),(AND(F148="Férié",D148&lt;&gt;"Férié"))),0.166666666666667,""))</f>
        <v/>
      </c>
      <c r="AF148" s="41"/>
      <c r="AG148" s="36"/>
    </row>
    <row r="149" customFormat="false" ht="12.75" hidden="true" customHeight="true" outlineLevel="0" collapsed="false">
      <c r="A149" s="22" t="n">
        <f aca="false">VLOOKUP(B149,Annuaire_roster!B:F,5,0)</f>
        <v>1165</v>
      </c>
      <c r="B149" s="23" t="s">
        <v>40</v>
      </c>
      <c r="C149" s="24" t="str">
        <f aca="false">IFERROR(IF(COUNTIFS(Pointage_brut!$E:$E,VLOOKUP($B149,Annuaire_roster!$B:$J,9,0),Pointage_brut!$A:$A,TEXT($Q149,"yyyymmdd")*1)=0,"",MOD(_xlfn.MINIFS(Pointage_brut!$F:$F,Pointage_brut!$E:$E,VLOOKUP($B149,Annuaire_roster!$B:$J,9,0),Pointage_brut!$A:$A,TEXT($Q149,"yyyymmdd")*1),1)),"")</f>
        <v/>
      </c>
      <c r="D149" s="25" t="n">
        <f aca="false" t="array" ref="D149:D149">IFERROR(INDEX(Planning2[],MATCH(1,(Planning2[Nom]=B149)*(Planning2[Date]=Q149),0),3),"-")</f>
        <v>0.458333333333333</v>
      </c>
      <c r="E149" s="26" t="str">
        <f aca="false">IFERROR(IF(COUNTIFS(Pointage_brut!$E:$E,VLOOKUP($B149,Annuaire_roster!$B:$J,9,0),Pointage_brut!$A:$A,TEXT($Q149,"yyyymmdd")*1)=0,"",MOD(_xlfn.MAXIFS(Pointage_brut!$G:$G,Pointage_brut!$E:$E,VLOOKUP($B149,Annuaire_roster!$B:$J,9,0),Pointage_brut!$A:$A,TEXT($Q149,"yyyymmdd")*1),1)),"")</f>
        <v/>
      </c>
      <c r="F149" s="27" t="n">
        <f aca="false" t="array" ref="F149:F149">IFERROR(INDEX(Planning2[],MATCH(1,(Planning2[Nom]=B149)*(Planning2[Date]=Q149),0),4),"-")</f>
        <v>0.833333333333333</v>
      </c>
      <c r="G149" s="28"/>
      <c r="H149" s="28"/>
      <c r="I149" s="29" t="str">
        <f aca="false">IF(IF(OR(C149="",D149="Congé",D149="OFF",D149="Congé spécial"),"",IF(D149&gt;F149,D149-C149,IF(C149-D149&lt;0,0,C149-D149)))&lt;0.00068287037037037,"",IF(OR(D149="Congé",D149="OFF",C149="",D149="Congé spécial"),"",IF(D149&gt;F149,D149-C149,IF(C149-D149&lt;0,0,C149-D149))))</f>
        <v/>
      </c>
      <c r="J149" s="28"/>
      <c r="K149" s="30" t="n">
        <f aca="false">IF(SUM(H149:J149)&lt;0.00068287037037037,0,SUM(H149:J149))</f>
        <v>0</v>
      </c>
      <c r="L149" s="28" t="n">
        <f aca="false">IF(OR(F149="Congé",F149="OFF",M149="Abs",F149="Congé sans solde",F149="Férié",F149="Congé spécial",D149="Congé spécial"),0,IF(F149-E149&lt;0,0,IF(F149-E149&lt;=0.00068287037037037,0,F149-E149)))</f>
        <v>0</v>
      </c>
      <c r="M149" s="31" t="str">
        <f aca="false">IF(AND(O149&lt;&gt;0,C149=""),"Abs",0)</f>
        <v>Abs</v>
      </c>
      <c r="N149" s="32" t="str">
        <f aca="false">IFERROR(IF(OR(D149="OFF",D149="Congé",M149="Abs",D149="Congé sans solde",D149="Férié"),"",IF(O149-K149-L149&gt;O149,O149,IF(O149-K149-L149&lt;0,"",O149-K149-L149))),"")</f>
        <v/>
      </c>
      <c r="O149" s="33" t="n">
        <f aca="false">IF(AG149="2H Pause déjeuner",IF(F149-D149-0.0833333333333333&lt;0,F149-D149-0.0833333333333333+1,F149-D149-0.0833333333333333),IF(OR(AND(F149="OFF",D149="OFF"),AND(F149="Congé",D149="Congé"),AND(F149="Congé sans solde",D149="Congé sans solde"),AND(F149="Congé spécial",D149="Congé spécial"),AND(F149="Férié",D149="Férié"),AND(F149="OFF",D149="Congé"),AND(F149="OFF",D149="Congé sans solde"),AND(F149="OFF",D149="Congé spécial"),AND(F149="OFF",D149="Férié"),AND(F149="Congé",D149="OFF"),AND(F149="Congé",D149="Congé sans solde"),AND(F149="Congé",D149="Congé spécial"),AND(F149="Congé",D149="Férié"),AND(F149="Congé sans solde",D149="OFF"),AND(F149="Congé sans solde",D149="Congé"),AND(F149="Congé sans solde",D149="Congé spécial"),AND(F149="Congé sans solde",D149="Férié"),AND(F149="Congé spécial",D149="OFF"),AND(F149="Congé spécial",D149="Congé"),AND(F149="Congé spécial",D149="Congé sans solde"),AND(F149="Congé spécial",D149="Férié"),AND(F149="Férié",D149="OFF"),AND(F149="Férié",D149="Congé"),AND(F149="Férié",D149="Congé sans solde"),AND(F149="Férié",D149="Congé spécial")),0,IF(OR(F149="OFF",F149="Congé",F149="Congé spécial",F149="Congé sans solde",D149="OFF",D149="Congé",D149="Congé spécial",D149="Congé sans solde"),0.208333333333334,IF(AND(AG149="",F149-D149&lt;0),("24:00:00"-D149)+("00:00:00"+F149)-0.0416666666666667,IF(AND(OR(AG149="Allaitement",AG149="Sans déjeuner"),F149-D149&lt;0),("24:00:00"-D149)+("00:00:00"+F149),IF(AND(AG149="",F149-D149&gt;0.166666666666667),F149-D149-0.0416666666666667,IF(AND(OR(AG149="Allaitement",AG149="Sans déjeuner"),F149-D149&gt;0.166666666666667),F149-D149,F149-D149)))))))</f>
        <v>0.333333333333333</v>
      </c>
      <c r="P149" s="34" t="str">
        <f aca="false">IFERROR(VLOOKUP($B149,Annuaire_roster!$B:$G,MATCH(P$1,Annuaire_roster!$B$1:$G$1,0),0),"-")</f>
        <v>Google Leads</v>
      </c>
      <c r="Q149" s="35" t="n">
        <v>44721</v>
      </c>
      <c r="R149" s="36" t="n">
        <f aca="false">IF(M149="Abs",O149,0)</f>
        <v>0.333333333333333</v>
      </c>
      <c r="S149" s="36" t="n">
        <f aca="false">SUM(R149,L149,I149,J149,W149,H149)</f>
        <v>0.333333333333333</v>
      </c>
      <c r="T149" s="1" t="str">
        <f aca="false">"Sem - "&amp;WEEKNUM(Q149,21)</f>
        <v>Sem - 24</v>
      </c>
      <c r="U149" s="1" t="str">
        <f aca="false">PROPER(TEXT(Q149,"mmmm"))</f>
        <v>June</v>
      </c>
      <c r="V149" s="37" t="str">
        <f aca="false">+TEXT(Q149,"aaa")</f>
        <v>Wed</v>
      </c>
      <c r="W149" s="32"/>
      <c r="X149" s="38" t="n">
        <f aca="false">IFERROR(IF(M149="Abs",0,IF((D149-C149+E149-F149)&lt;0.000694444444444444,0,(D149-C149+E149-F149))),0)</f>
        <v>0</v>
      </c>
      <c r="Y149" s="39" t="str">
        <f aca="false">IFERROR(VLOOKUP(B149,Annuaire_roster!B:E,4,0),"-")</f>
        <v>OUAQERROUCH Nour-El Houda</v>
      </c>
      <c r="Z149" s="39" t="str">
        <f aca="false">IFERROR(VLOOKUP(B149,Annuaire_roster!B:F,3,0),"-")</f>
        <v>Google Leads</v>
      </c>
      <c r="AA149" s="39" t="str">
        <f aca="false">IFERROR(VLOOKUP(B149,Annuaire_roster!B:I,6,0),"-")</f>
        <v>Forfaitaire</v>
      </c>
      <c r="AB149" s="40" t="str">
        <f aca="false">IF(AND(D149="Congé",F149="Congé"),0.333333333333333,IF(OR(AND(D149="Congé",F149&lt;&gt;"Congé"),(AND(F149="Congé",D149&lt;&gt;"Congé"))),0.166666666666667,""))</f>
        <v/>
      </c>
      <c r="AC149" s="40" t="str">
        <f aca="false">IF(AND(D149="Congé sans solde",F149="Congé sans solde"),0.333333333333333,IF(OR(AND(D149="Congé sans solde",F149&lt;&gt;"Congé sans solde"),(AND(F149="Congé sans solde",D149&lt;&gt;"Congé sans solde"))),0.166666666666667,""))</f>
        <v/>
      </c>
      <c r="AD149" s="40" t="str">
        <f aca="false">IF(AND(D149="Congé spécial",F149="Congé spécial"),0.333333333333333,IF(OR(AND(D149="Congé spécial",F149&lt;&gt;"Congé décès"),(AND(F149="Congé spécial",D149&lt;&gt;"Congé spécial"))),0.166666666666667,""))</f>
        <v/>
      </c>
      <c r="AE149" s="41" t="str">
        <f aca="false">IF(AND(D149="Férié",F149="Férié"),0.333333333333333,IF(OR(AND(D149="Férié",F149&lt;&gt;"Férié"),(AND(F149="Férié",D149&lt;&gt;"Férié"))),0.166666666666667,""))</f>
        <v/>
      </c>
      <c r="AF149" s="41"/>
      <c r="AG149" s="36"/>
    </row>
    <row r="150" customFormat="false" ht="12.75" hidden="true" customHeight="true" outlineLevel="0" collapsed="false">
      <c r="A150" s="22" t="n">
        <f aca="false">VLOOKUP(B150,Annuaire_roster!B:F,5,0)</f>
        <v>0</v>
      </c>
      <c r="B150" s="23" t="s">
        <v>45</v>
      </c>
      <c r="C150" s="24" t="str">
        <f aca="false">IFERROR(IF(COUNTIFS(Pointage_brut!$E:$E,VLOOKUP($B150,Annuaire_roster!$B:$J,9,0),Pointage_brut!$A:$A,TEXT($Q150,"yyyymmdd")*1)=0,"",MOD(_xlfn.MINIFS(Pointage_brut!$F:$F,Pointage_brut!$E:$E,VLOOKUP($B150,Annuaire_roster!$B:$J,9,0),Pointage_brut!$A:$A,TEXT($Q150,"yyyymmdd")*1),1)),"")</f>
        <v/>
      </c>
      <c r="D150" s="25" t="n">
        <f aca="false" t="array" ref="D150:D150">IFERROR(INDEX(Planning2[],MATCH(1,(Planning2[Nom]=B150)*(Planning2[Date]=Q150),0),3),"-")</f>
        <v>0.458333333333333</v>
      </c>
      <c r="E150" s="26" t="str">
        <f aca="false">IFERROR(IF(COUNTIFS(Pointage_brut!$E:$E,VLOOKUP($B150,Annuaire_roster!$B:$J,9,0),Pointage_brut!$A:$A,TEXT($Q150,"yyyymmdd")*1)=0,"",MOD(_xlfn.MAXIFS(Pointage_brut!$G:$G,Pointage_brut!$E:$E,VLOOKUP($B150,Annuaire_roster!$B:$J,9,0),Pointage_brut!$A:$A,TEXT($Q150,"yyyymmdd")*1),1)),"")</f>
        <v/>
      </c>
      <c r="F150" s="27" t="n">
        <f aca="false" t="array" ref="F150:F150">IFERROR(INDEX(Planning2[],MATCH(1,(Planning2[Nom]=B150)*(Planning2[Date]=Q150),0),4),"-")</f>
        <v>0.833333333333333</v>
      </c>
      <c r="G150" s="28"/>
      <c r="H150" s="28"/>
      <c r="I150" s="29" t="str">
        <f aca="false">IF(IF(OR(C150="",D150="Congé",D150="OFF",D150="Congé spécial"),"",IF(D150&gt;F150,D150-C150,IF(C150-D150&lt;0,0,C150-D150)))&lt;0.00068287037037037,"",IF(OR(D150="Congé",D150="OFF",C150="",D150="Congé spécial"),"",IF(D150&gt;F150,D150-C150,IF(C150-D150&lt;0,0,C150-D150))))</f>
        <v/>
      </c>
      <c r="J150" s="28"/>
      <c r="K150" s="30" t="n">
        <f aca="false">IF(SUM(H150:J150)&lt;0.00068287037037037,0,SUM(H150:J150))</f>
        <v>0</v>
      </c>
      <c r="L150" s="28" t="n">
        <f aca="false">IF(OR(F150="Congé",F150="OFF",M150="Abs",F150="Congé sans solde",F150="Férié",F150="Congé spécial",D150="Congé spécial"),0,IF(F150-E150&lt;0,0,IF(F150-E150&lt;=0.00068287037037037,0,F150-E150)))</f>
        <v>0</v>
      </c>
      <c r="M150" s="31" t="str">
        <f aca="false">IF(AND(O150&lt;&gt;0,C150=""),"Abs",0)</f>
        <v>Abs</v>
      </c>
      <c r="N150" s="32" t="str">
        <f aca="false">IFERROR(IF(OR(D150="OFF",D150="Congé",M150="Abs",D150="Congé sans solde",D150="Férié"),"",IF(O150-K150-L150&gt;O150,O150,IF(O150-K150-L150&lt;0,"",O150-K150-L150))),"")</f>
        <v/>
      </c>
      <c r="O150" s="33" t="n">
        <f aca="false">IF(AG150="2H Pause déjeuner",IF(F150-D150-0.0833333333333333&lt;0,F150-D150-0.0833333333333333+1,F150-D150-0.0833333333333333),IF(OR(AND(F150="OFF",D150="OFF"),AND(F150="Congé",D150="Congé"),AND(F150="Congé sans solde",D150="Congé sans solde"),AND(F150="Congé spécial",D150="Congé spécial"),AND(F150="Férié",D150="Férié"),AND(F150="OFF",D150="Congé"),AND(F150="OFF",D150="Congé sans solde"),AND(F150="OFF",D150="Congé spécial"),AND(F150="OFF",D150="Férié"),AND(F150="Congé",D150="OFF"),AND(F150="Congé",D150="Congé sans solde"),AND(F150="Congé",D150="Congé spécial"),AND(F150="Congé",D150="Férié"),AND(F150="Congé sans solde",D150="OFF"),AND(F150="Congé sans solde",D150="Congé"),AND(F150="Congé sans solde",D150="Congé spécial"),AND(F150="Congé sans solde",D150="Férié"),AND(F150="Congé spécial",D150="OFF"),AND(F150="Congé spécial",D150="Congé"),AND(F150="Congé spécial",D150="Congé sans solde"),AND(F150="Congé spécial",D150="Férié"),AND(F150="Férié",D150="OFF"),AND(F150="Férié",D150="Congé"),AND(F150="Férié",D150="Congé sans solde"),AND(F150="Férié",D150="Congé spécial")),0,IF(OR(F150="OFF",F150="Congé",F150="Congé spécial",F150="Congé sans solde",D150="OFF",D150="Congé",D150="Congé spécial",D150="Congé sans solde"),0.208333333333334,IF(AND(AG150="",F150-D150&lt;0),("24:00:00"-D150)+("00:00:00"+F150)-0.0416666666666667,IF(AND(OR(AG150="Allaitement",AG150="Sans déjeuner"),F150-D150&lt;0),("24:00:00"-D150)+("00:00:00"+F150),IF(AND(AG150="",F150-D150&gt;0.166666666666667),F150-D150-0.0416666666666667,IF(AND(OR(AG150="Allaitement",AG150="Sans déjeuner"),F150-D150&gt;0.166666666666667),F150-D150,F150-D150)))))))</f>
        <v>0.333333333333333</v>
      </c>
      <c r="P150" s="34" t="str">
        <f aca="false">IFERROR(VLOOKUP($B150,Annuaire_roster!$B:$G,MATCH(P$1,Annuaire_roster!$B$1:$G$1,0),0),"-")</f>
        <v>Google Leads</v>
      </c>
      <c r="Q150" s="35" t="n">
        <v>44721</v>
      </c>
      <c r="R150" s="36" t="n">
        <f aca="false">IF(M150="Abs",O150,0)</f>
        <v>0.333333333333333</v>
      </c>
      <c r="S150" s="36" t="n">
        <f aca="false">SUM(R150,L150,I150,J150,W150,H150)</f>
        <v>0.333333333333333</v>
      </c>
      <c r="T150" s="1" t="str">
        <f aca="false">"Sem - "&amp;WEEKNUM(Q150,21)</f>
        <v>Sem - 24</v>
      </c>
      <c r="U150" s="1" t="str">
        <f aca="false">PROPER(TEXT(Q150,"mmmm"))</f>
        <v>June</v>
      </c>
      <c r="V150" s="37" t="str">
        <f aca="false">+TEXT(Q150,"aaa")</f>
        <v>Wed</v>
      </c>
      <c r="W150" s="32"/>
      <c r="X150" s="38" t="n">
        <f aca="false">IFERROR(IF(M150="Abs",0,IF((D150-C150+E150-F150)&lt;0.000694444444444444,0,(D150-C150+E150-F150))),0)</f>
        <v>0</v>
      </c>
      <c r="Y150" s="39" t="n">
        <f aca="false">IFERROR(VLOOKUP(B150,Annuaire_roster!B:E,4,0),"-")</f>
        <v>0</v>
      </c>
      <c r="Z150" s="39" t="str">
        <f aca="false">IFERROR(VLOOKUP(B150,Annuaire_roster!B:F,3,0),"-")</f>
        <v>Google Leads</v>
      </c>
      <c r="AA150" s="39" t="n">
        <f aca="false">IFERROR(VLOOKUP(B150,Annuaire_roster!B:I,6,0),"-")</f>
        <v>0</v>
      </c>
      <c r="AB150" s="40" t="str">
        <f aca="false">IF(AND(D150="Congé",F150="Congé"),0.333333333333333,IF(OR(AND(D150="Congé",F150&lt;&gt;"Congé"),(AND(F150="Congé",D150&lt;&gt;"Congé"))),0.166666666666667,""))</f>
        <v/>
      </c>
      <c r="AC150" s="40" t="str">
        <f aca="false">IF(AND(D150="Congé sans solde",F150="Congé sans solde"),0.333333333333333,IF(OR(AND(D150="Congé sans solde",F150&lt;&gt;"Congé sans solde"),(AND(F150="Congé sans solde",D150&lt;&gt;"Congé sans solde"))),0.166666666666667,""))</f>
        <v/>
      </c>
      <c r="AD150" s="40" t="str">
        <f aca="false">IF(AND(D150="Congé spécial",F150="Congé spécial"),0.333333333333333,IF(OR(AND(D150="Congé spécial",F150&lt;&gt;"Congé décès"),(AND(F150="Congé spécial",D150&lt;&gt;"Congé spécial"))),0.166666666666667,""))</f>
        <v/>
      </c>
      <c r="AE150" s="41" t="str">
        <f aca="false">IF(AND(D150="Férié",F150="Férié"),0.333333333333333,IF(OR(AND(D150="Férié",F150&lt;&gt;"Férié"),(AND(F150="Férié",D150&lt;&gt;"Férié"))),0.166666666666667,""))</f>
        <v/>
      </c>
      <c r="AF150" s="41"/>
      <c r="AG150" s="36"/>
    </row>
    <row r="151" customFormat="false" ht="12.75" hidden="true" customHeight="true" outlineLevel="0" collapsed="false">
      <c r="A151" s="22" t="n">
        <f aca="false">VLOOKUP(B151,Annuaire_roster!B:F,5,0)</f>
        <v>0</v>
      </c>
      <c r="B151" s="23" t="s">
        <v>49</v>
      </c>
      <c r="C151" s="24" t="str">
        <f aca="false">IFERROR(IF(COUNTIFS(Pointage_brut!$E:$E,VLOOKUP($B151,Annuaire_roster!$B:$J,9,0),Pointage_brut!$A:$A,TEXT($Q151,"yyyymmdd")*1)=0,"",MOD(_xlfn.MINIFS(Pointage_brut!$F:$F,Pointage_brut!$E:$E,VLOOKUP($B151,Annuaire_roster!$B:$J,9,0),Pointage_brut!$A:$A,TEXT($Q151,"yyyymmdd")*1),1)),"")</f>
        <v/>
      </c>
      <c r="D151" s="25" t="n">
        <f aca="false" t="array" ref="D151:D151">IFERROR(INDEX(Planning2[],MATCH(1,(Planning2[Nom]=B151)*(Planning2[Date]=Q151),0),3),"-")</f>
        <v>0.458333333333333</v>
      </c>
      <c r="E151" s="26" t="str">
        <f aca="false">IFERROR(IF(COUNTIFS(Pointage_brut!$E:$E,VLOOKUP($B151,Annuaire_roster!$B:$J,9,0),Pointage_brut!$A:$A,TEXT($Q151,"yyyymmdd")*1)=0,"",MOD(_xlfn.MAXIFS(Pointage_brut!$G:$G,Pointage_brut!$E:$E,VLOOKUP($B151,Annuaire_roster!$B:$J,9,0),Pointage_brut!$A:$A,TEXT($Q151,"yyyymmdd")*1),1)),"")</f>
        <v/>
      </c>
      <c r="F151" s="27" t="n">
        <f aca="false" t="array" ref="F151:F151">IFERROR(INDEX(Planning2[],MATCH(1,(Planning2[Nom]=B151)*(Planning2[Date]=Q151),0),4),"-")</f>
        <v>0.833333333333333</v>
      </c>
      <c r="G151" s="28"/>
      <c r="H151" s="28"/>
      <c r="I151" s="29" t="str">
        <f aca="false">IF(IF(OR(C151="",D151="Congé",D151="OFF",D151="Congé spécial"),"",IF(D151&gt;F151,D151-C151,IF(C151-D151&lt;0,0,C151-D151)))&lt;0.00068287037037037,"",IF(OR(D151="Congé",D151="OFF",C151="",D151="Congé spécial"),"",IF(D151&gt;F151,D151-C151,IF(C151-D151&lt;0,0,C151-D151))))</f>
        <v/>
      </c>
      <c r="J151" s="28"/>
      <c r="K151" s="30" t="n">
        <f aca="false">IF(SUM(H151:J151)&lt;0.00068287037037037,0,SUM(H151:J151))</f>
        <v>0</v>
      </c>
      <c r="L151" s="28" t="n">
        <f aca="false">IF(OR(F151="Congé",F151="OFF",M151="Abs",F151="Congé sans solde",F151="Férié",F151="Congé spécial",D151="Congé spécial"),0,IF(F151-E151&lt;0,0,IF(F151-E151&lt;=0.00068287037037037,0,F151-E151)))</f>
        <v>0</v>
      </c>
      <c r="M151" s="31" t="str">
        <f aca="false">IF(AND(O151&lt;&gt;0,C151=""),"Abs",0)</f>
        <v>Abs</v>
      </c>
      <c r="N151" s="32" t="str">
        <f aca="false">IFERROR(IF(OR(D151="OFF",D151="Congé",M151="Abs",D151="Congé sans solde",D151="Férié"),"",IF(O151-K151-L151&gt;O151,O151,IF(O151-K151-L151&lt;0,"",O151-K151-L151))),"")</f>
        <v/>
      </c>
      <c r="O151" s="33" t="n">
        <f aca="false">IF(AG151="2H Pause déjeuner",IF(F151-D151-0.0833333333333333&lt;0,F151-D151-0.0833333333333333+1,F151-D151-0.0833333333333333),IF(OR(AND(F151="OFF",D151="OFF"),AND(F151="Congé",D151="Congé"),AND(F151="Congé sans solde",D151="Congé sans solde"),AND(F151="Congé spécial",D151="Congé spécial"),AND(F151="Férié",D151="Férié"),AND(F151="OFF",D151="Congé"),AND(F151="OFF",D151="Congé sans solde"),AND(F151="OFF",D151="Congé spécial"),AND(F151="OFF",D151="Férié"),AND(F151="Congé",D151="OFF"),AND(F151="Congé",D151="Congé sans solde"),AND(F151="Congé",D151="Congé spécial"),AND(F151="Congé",D151="Férié"),AND(F151="Congé sans solde",D151="OFF"),AND(F151="Congé sans solde",D151="Congé"),AND(F151="Congé sans solde",D151="Congé spécial"),AND(F151="Congé sans solde",D151="Férié"),AND(F151="Congé spécial",D151="OFF"),AND(F151="Congé spécial",D151="Congé"),AND(F151="Congé spécial",D151="Congé sans solde"),AND(F151="Congé spécial",D151="Férié"),AND(F151="Férié",D151="OFF"),AND(F151="Férié",D151="Congé"),AND(F151="Férié",D151="Congé sans solde"),AND(F151="Férié",D151="Congé spécial")),0,IF(OR(F151="OFF",F151="Congé",F151="Congé spécial",F151="Congé sans solde",D151="OFF",D151="Congé",D151="Congé spécial",D151="Congé sans solde"),0.208333333333334,IF(AND(AG151="",F151-D151&lt;0),("24:00:00"-D151)+("00:00:00"+F151)-0.0416666666666667,IF(AND(OR(AG151="Allaitement",AG151="Sans déjeuner"),F151-D151&lt;0),("24:00:00"-D151)+("00:00:00"+F151),IF(AND(AG151="",F151-D151&gt;0.166666666666667),F151-D151-0.0416666666666667,IF(AND(OR(AG151="Allaitement",AG151="Sans déjeuner"),F151-D151&gt;0.166666666666667),F151-D151,F151-D151)))))))</f>
        <v>0.333333333333333</v>
      </c>
      <c r="P151" s="34" t="str">
        <f aca="false">IFERROR(VLOOKUP($B151,Annuaire_roster!$B:$G,MATCH(P$1,Annuaire_roster!$B$1:$G$1,0),0),"-")</f>
        <v>Google Leads</v>
      </c>
      <c r="Q151" s="35" t="n">
        <v>44721</v>
      </c>
      <c r="R151" s="36" t="n">
        <f aca="false">IF(M151="Abs",O151,0)</f>
        <v>0.333333333333333</v>
      </c>
      <c r="S151" s="36" t="n">
        <f aca="false">SUM(R151,L151,I151,J151,W151,H151)</f>
        <v>0.333333333333333</v>
      </c>
      <c r="T151" s="1" t="str">
        <f aca="false">"Sem - "&amp;WEEKNUM(Q151,21)</f>
        <v>Sem - 24</v>
      </c>
      <c r="U151" s="1" t="str">
        <f aca="false">PROPER(TEXT(Q151,"mmmm"))</f>
        <v>June</v>
      </c>
      <c r="V151" s="37" t="str">
        <f aca="false">+TEXT(Q151,"aaa")</f>
        <v>Wed</v>
      </c>
      <c r="W151" s="32"/>
      <c r="X151" s="38" t="n">
        <f aca="false">IFERROR(IF(M151="Abs",0,IF((D151-C151+E151-F151)&lt;0.000694444444444444,0,(D151-C151+E151-F151))),0)</f>
        <v>0</v>
      </c>
      <c r="Y151" s="39" t="n">
        <f aca="false">IFERROR(VLOOKUP(B151,Annuaire_roster!B:E,4,0),"-")</f>
        <v>0</v>
      </c>
      <c r="Z151" s="39" t="str">
        <f aca="false">IFERROR(VLOOKUP(B151,Annuaire_roster!B:F,3,0),"-")</f>
        <v>Google Leads</v>
      </c>
      <c r="AA151" s="39" t="n">
        <f aca="false">IFERROR(VLOOKUP(B151,Annuaire_roster!B:I,6,0),"-")</f>
        <v>0</v>
      </c>
      <c r="AB151" s="40" t="str">
        <f aca="false">IF(AND(D151="Congé",F151="Congé"),0.333333333333333,IF(OR(AND(D151="Congé",F151&lt;&gt;"Congé"),(AND(F151="Congé",D151&lt;&gt;"Congé"))),0.166666666666667,""))</f>
        <v/>
      </c>
      <c r="AC151" s="40" t="str">
        <f aca="false">IF(AND(D151="Congé sans solde",F151="Congé sans solde"),0.333333333333333,IF(OR(AND(D151="Congé sans solde",F151&lt;&gt;"Congé sans solde"),(AND(F151="Congé sans solde",D151&lt;&gt;"Congé sans solde"))),0.166666666666667,""))</f>
        <v/>
      </c>
      <c r="AD151" s="40" t="str">
        <f aca="false">IF(AND(D151="Congé spécial",F151="Congé spécial"),0.333333333333333,IF(OR(AND(D151="Congé spécial",F151&lt;&gt;"Congé décès"),(AND(F151="Congé spécial",D151&lt;&gt;"Congé spécial"))),0.166666666666667,""))</f>
        <v/>
      </c>
      <c r="AE151" s="41" t="str">
        <f aca="false">IF(AND(D151="Férié",F151="Férié"),0.333333333333333,IF(OR(AND(D151="Férié",F151&lt;&gt;"Férié"),(AND(F151="Férié",D151&lt;&gt;"Férié"))),0.166666666666667,""))</f>
        <v/>
      </c>
      <c r="AF151" s="41"/>
      <c r="AG151" s="36"/>
    </row>
    <row r="152" customFormat="false" ht="12.75" hidden="true" customHeight="true" outlineLevel="0" collapsed="false">
      <c r="A152" s="22" t="n">
        <f aca="false">VLOOKUP(B152,Annuaire_roster!B:F,5,0)</f>
        <v>0</v>
      </c>
      <c r="B152" s="23" t="s">
        <v>51</v>
      </c>
      <c r="C152" s="24" t="str">
        <f aca="false">IFERROR(IF(COUNTIFS(Pointage_brut!$E:$E,VLOOKUP($B152,Annuaire_roster!$B:$J,9,0),Pointage_brut!$A:$A,TEXT($Q152,"yyyymmdd")*1)=0,"",MOD(_xlfn.MINIFS(Pointage_brut!$F:$F,Pointage_brut!$E:$E,VLOOKUP($B152,Annuaire_roster!$B:$J,9,0),Pointage_brut!$A:$A,TEXT($Q152,"yyyymmdd")*1),1)),"")</f>
        <v/>
      </c>
      <c r="D152" s="25" t="str">
        <f aca="false" t="array" ref="D152:D152">IFERROR(INDEX(Planning2[],MATCH(1,(Planning2[Nom]=B152)*(Planning2[Date]=Q152),0),3),"-")</f>
        <v>OFF</v>
      </c>
      <c r="E152" s="26" t="str">
        <f aca="false">IFERROR(IF(COUNTIFS(Pointage_brut!$E:$E,VLOOKUP($B152,Annuaire_roster!$B:$J,9,0),Pointage_brut!$A:$A,TEXT($Q152,"yyyymmdd")*1)=0,"",MOD(_xlfn.MAXIFS(Pointage_brut!$G:$G,Pointage_brut!$E:$E,VLOOKUP($B152,Annuaire_roster!$B:$J,9,0),Pointage_brut!$A:$A,TEXT($Q152,"yyyymmdd")*1),1)),"")</f>
        <v/>
      </c>
      <c r="F152" s="27" t="str">
        <f aca="false" t="array" ref="F152:F152">IFERROR(INDEX(Planning2[],MATCH(1,(Planning2[Nom]=B152)*(Planning2[Date]=Q152),0),4),"-")</f>
        <v>OFF</v>
      </c>
      <c r="G152" s="28"/>
      <c r="H152" s="28"/>
      <c r="I152" s="29" t="str">
        <f aca="false">IF(IF(OR(C152="",D152="Congé",D152="OFF",D152="Congé spécial"),"",IF(D152&gt;F152,D152-C152,IF(C152-D152&lt;0,0,C152-D152)))&lt;0.00068287037037037,"",IF(OR(D152="Congé",D152="OFF",C152="",D152="Congé spécial"),"",IF(D152&gt;F152,D152-C152,IF(C152-D152&lt;0,0,C152-D152))))</f>
        <v/>
      </c>
      <c r="J152" s="28"/>
      <c r="K152" s="30" t="n">
        <f aca="false">IF(SUM(H152:J152)&lt;0.00068287037037037,0,SUM(H152:J152))</f>
        <v>0</v>
      </c>
      <c r="L152" s="28" t="n">
        <f aca="false">IF(OR(F152="Congé",F152="OFF",M152="Abs",F152="Congé sans solde",F152="Férié",F152="Congé spécial",D152="Congé spécial"),0,IF(F152-E152&lt;0,0,IF(F152-E152&lt;=0.00068287037037037,0,F152-E152)))</f>
        <v>0</v>
      </c>
      <c r="M152" s="31" t="n">
        <f aca="false">IF(AND(O152&lt;&gt;0,C152=""),"Abs",0)</f>
        <v>0</v>
      </c>
      <c r="N152" s="32" t="str">
        <f aca="false">IFERROR(IF(OR(D152="OFF",D152="Congé",M152="Abs",D152="Congé sans solde",D152="Férié"),"",IF(O152-K152-L152&gt;O152,O152,IF(O152-K152-L152&lt;0,"",O152-K152-L152))),"")</f>
        <v/>
      </c>
      <c r="O152" s="33" t="n">
        <f aca="false">IF(AG152="2H Pause déjeuner",IF(F152-D152-0.0833333333333333&lt;0,F152-D152-0.0833333333333333+1,F152-D152-0.0833333333333333),IF(OR(AND(F152="OFF",D152="OFF"),AND(F152="Congé",D152="Congé"),AND(F152="Congé sans solde",D152="Congé sans solde"),AND(F152="Congé spécial",D152="Congé spécial"),AND(F152="Férié",D152="Férié"),AND(F152="OFF",D152="Congé"),AND(F152="OFF",D152="Congé sans solde"),AND(F152="OFF",D152="Congé spécial"),AND(F152="OFF",D152="Férié"),AND(F152="Congé",D152="OFF"),AND(F152="Congé",D152="Congé sans solde"),AND(F152="Congé",D152="Congé spécial"),AND(F152="Congé",D152="Férié"),AND(F152="Congé sans solde",D152="OFF"),AND(F152="Congé sans solde",D152="Congé"),AND(F152="Congé sans solde",D152="Congé spécial"),AND(F152="Congé sans solde",D152="Férié"),AND(F152="Congé spécial",D152="OFF"),AND(F152="Congé spécial",D152="Congé"),AND(F152="Congé spécial",D152="Congé sans solde"),AND(F152="Congé spécial",D152="Férié"),AND(F152="Férié",D152="OFF"),AND(F152="Férié",D152="Congé"),AND(F152="Férié",D152="Congé sans solde"),AND(F152="Férié",D152="Congé spécial")),0,IF(OR(F152="OFF",F152="Congé",F152="Congé spécial",F152="Congé sans solde",D152="OFF",D152="Congé",D152="Congé spécial",D152="Congé sans solde"),0.208333333333334,IF(AND(AG152="",F152-D152&lt;0),("24:00:00"-D152)+("00:00:00"+F152)-0.0416666666666667,IF(AND(OR(AG152="Allaitement",AG152="Sans déjeuner"),F152-D152&lt;0),("24:00:00"-D152)+("00:00:00"+F152),IF(AND(AG152="",F152-D152&gt;0.166666666666667),F152-D152-0.0416666666666667,IF(AND(OR(AG152="Allaitement",AG152="Sans déjeuner"),F152-D152&gt;0.166666666666667),F152-D152,F152-D152)))))))</f>
        <v>0</v>
      </c>
      <c r="P152" s="34" t="str">
        <f aca="false">IFERROR(VLOOKUP($B152,Annuaire_roster!$B:$G,MATCH(P$1,Annuaire_roster!$B$1:$G$1,0),0),"-")</f>
        <v>Google Leads</v>
      </c>
      <c r="Q152" s="35" t="n">
        <v>44721</v>
      </c>
      <c r="R152" s="36" t="n">
        <f aca="false">IF(M152="Abs",O152,0)</f>
        <v>0</v>
      </c>
      <c r="S152" s="36" t="n">
        <f aca="false">SUM(R152,L152,I152,J152,W152,H152)</f>
        <v>0</v>
      </c>
      <c r="T152" s="1" t="str">
        <f aca="false">"Sem - "&amp;WEEKNUM(Q152,21)</f>
        <v>Sem - 24</v>
      </c>
      <c r="U152" s="1" t="str">
        <f aca="false">PROPER(TEXT(Q152,"mmmm"))</f>
        <v>June</v>
      </c>
      <c r="V152" s="37" t="str">
        <f aca="false">+TEXT(Q152,"aaa")</f>
        <v>Wed</v>
      </c>
      <c r="W152" s="32"/>
      <c r="X152" s="38" t="n">
        <f aca="false">IFERROR(IF(M152="Abs",0,IF((D152-C152+E152-F152)&lt;0.000694444444444444,0,(D152-C152+E152-F152))),0)</f>
        <v>0</v>
      </c>
      <c r="Y152" s="39" t="n">
        <f aca="false">IFERROR(VLOOKUP(B152,Annuaire_roster!B:E,4,0),"-")</f>
        <v>0</v>
      </c>
      <c r="Z152" s="39" t="str">
        <f aca="false">IFERROR(VLOOKUP(B152,Annuaire_roster!B:F,3,0),"-")</f>
        <v>Google Leads</v>
      </c>
      <c r="AA152" s="39" t="n">
        <f aca="false">IFERROR(VLOOKUP(B152,Annuaire_roster!B:I,6,0),"-")</f>
        <v>0</v>
      </c>
      <c r="AB152" s="40" t="str">
        <f aca="false">IF(AND(D152="Congé",F152="Congé"),0.333333333333333,IF(OR(AND(D152="Congé",F152&lt;&gt;"Congé"),(AND(F152="Congé",D152&lt;&gt;"Congé"))),0.166666666666667,""))</f>
        <v/>
      </c>
      <c r="AC152" s="40" t="str">
        <f aca="false">IF(AND(D152="Congé sans solde",F152="Congé sans solde"),0.333333333333333,IF(OR(AND(D152="Congé sans solde",F152&lt;&gt;"Congé sans solde"),(AND(F152="Congé sans solde",D152&lt;&gt;"Congé sans solde"))),0.166666666666667,""))</f>
        <v/>
      </c>
      <c r="AD152" s="40" t="str">
        <f aca="false">IF(AND(D152="Congé spécial",F152="Congé spécial"),0.333333333333333,IF(OR(AND(D152="Congé spécial",F152&lt;&gt;"Congé décès"),(AND(F152="Congé spécial",D152&lt;&gt;"Congé spécial"))),0.166666666666667,""))</f>
        <v/>
      </c>
      <c r="AE152" s="41" t="str">
        <f aca="false">IF(AND(D152="Férié",F152="Férié"),0.333333333333333,IF(OR(AND(D152="Férié",F152&lt;&gt;"Férié"),(AND(F152="Férié",D152&lt;&gt;"Férié"))),0.166666666666667,""))</f>
        <v/>
      </c>
      <c r="AF152" s="41"/>
      <c r="AG152" s="36"/>
    </row>
    <row r="153" customFormat="false" ht="12.75" hidden="true" customHeight="true" outlineLevel="0" collapsed="false">
      <c r="A153" s="22" t="n">
        <f aca="false">VLOOKUP(B153,Annuaire_roster!B:F,5,0)</f>
        <v>0</v>
      </c>
      <c r="B153" s="23" t="s">
        <v>39</v>
      </c>
      <c r="C153" s="24" t="str">
        <f aca="false">IFERROR(IF(COUNTIFS(Pointage_brut!$E:$E,VLOOKUP($B153,Annuaire_roster!$B:$J,9,0),Pointage_brut!$A:$A,TEXT($Q153,"yyyymmdd")*1)=0,"",MOD(_xlfn.MINIFS(Pointage_brut!$F:$F,Pointage_brut!$E:$E,VLOOKUP($B153,Annuaire_roster!$B:$J,9,0),Pointage_brut!$A:$A,TEXT($Q153,"yyyymmdd")*1),1)),"")</f>
        <v/>
      </c>
      <c r="D153" s="25" t="n">
        <f aca="false" t="array" ref="D153:D153">IFERROR(INDEX(Planning2[],MATCH(1,(Planning2[Nom]=B153)*(Planning2[Date]=Q153),0),3),"-")</f>
        <v>0.458333333333333</v>
      </c>
      <c r="E153" s="26" t="str">
        <f aca="false">IFERROR(IF(COUNTIFS(Pointage_brut!$E:$E,VLOOKUP($B153,Annuaire_roster!$B:$J,9,0),Pointage_brut!$A:$A,TEXT($Q153,"yyyymmdd")*1)=0,"",MOD(_xlfn.MAXIFS(Pointage_brut!$G:$G,Pointage_brut!$E:$E,VLOOKUP($B153,Annuaire_roster!$B:$J,9,0),Pointage_brut!$A:$A,TEXT($Q153,"yyyymmdd")*1),1)),"")</f>
        <v/>
      </c>
      <c r="F153" s="27" t="n">
        <f aca="false" t="array" ref="F153:F153">IFERROR(INDEX(Planning2[],MATCH(1,(Planning2[Nom]=B153)*(Planning2[Date]=Q153),0),4),"-")</f>
        <v>0.833333333333333</v>
      </c>
      <c r="G153" s="28"/>
      <c r="H153" s="28"/>
      <c r="I153" s="29" t="str">
        <f aca="false">IF(IF(OR(C153="",D153="Congé",D153="OFF",D153="Congé spécial"),"",IF(D153&gt;F153,D153-C153,IF(C153-D153&lt;0,0,C153-D153)))&lt;0.00068287037037037,"",IF(OR(D153="Congé",D153="OFF",C153="",D153="Congé spécial"),"",IF(D153&gt;F153,D153-C153,IF(C153-D153&lt;0,0,C153-D153))))</f>
        <v/>
      </c>
      <c r="J153" s="28"/>
      <c r="K153" s="30" t="n">
        <f aca="false">IF(SUM(H153:J153)&lt;0.00068287037037037,0,SUM(H153:J153))</f>
        <v>0</v>
      </c>
      <c r="L153" s="28" t="n">
        <f aca="false">IF(OR(F153="Congé",F153="OFF",M153="Abs",F153="Congé sans solde",F153="Férié",F153="Congé spécial",D153="Congé spécial"),0,IF(F153-E153&lt;0,0,IF(F153-E153&lt;=0.00068287037037037,0,F153-E153)))</f>
        <v>0</v>
      </c>
      <c r="M153" s="31" t="str">
        <f aca="false">IF(AND(O153&lt;&gt;0,C153=""),"Abs",0)</f>
        <v>Abs</v>
      </c>
      <c r="N153" s="32" t="str">
        <f aca="false">IFERROR(IF(OR(D153="OFF",D153="Congé",M153="Abs",D153="Congé sans solde",D153="Férié"),"",IF(O153-K153-L153&gt;O153,O153,IF(O153-K153-L153&lt;0,"",O153-K153-L153))),"")</f>
        <v/>
      </c>
      <c r="O153" s="33" t="n">
        <f aca="false">IF(AG153="2H Pause déjeuner",IF(F153-D153-0.0833333333333333&lt;0,F153-D153-0.0833333333333333+1,F153-D153-0.0833333333333333),IF(OR(AND(F153="OFF",D153="OFF"),AND(F153="Congé",D153="Congé"),AND(F153="Congé sans solde",D153="Congé sans solde"),AND(F153="Congé spécial",D153="Congé spécial"),AND(F153="Férié",D153="Férié"),AND(F153="OFF",D153="Congé"),AND(F153="OFF",D153="Congé sans solde"),AND(F153="OFF",D153="Congé spécial"),AND(F153="OFF",D153="Férié"),AND(F153="Congé",D153="OFF"),AND(F153="Congé",D153="Congé sans solde"),AND(F153="Congé",D153="Congé spécial"),AND(F153="Congé",D153="Férié"),AND(F153="Congé sans solde",D153="OFF"),AND(F153="Congé sans solde",D153="Congé"),AND(F153="Congé sans solde",D153="Congé spécial"),AND(F153="Congé sans solde",D153="Férié"),AND(F153="Congé spécial",D153="OFF"),AND(F153="Congé spécial",D153="Congé"),AND(F153="Congé spécial",D153="Congé sans solde"),AND(F153="Congé spécial",D153="Férié"),AND(F153="Férié",D153="OFF"),AND(F153="Férié",D153="Congé"),AND(F153="Férié",D153="Congé sans solde"),AND(F153="Férié",D153="Congé spécial")),0,IF(OR(F153="OFF",F153="Congé",F153="Congé spécial",F153="Congé sans solde",D153="OFF",D153="Congé",D153="Congé spécial",D153="Congé sans solde"),0.208333333333334,IF(AND(AG153="",F153-D153&lt;0),("24:00:00"-D153)+("00:00:00"+F153)-0.0416666666666667,IF(AND(OR(AG153="Allaitement",AG153="Sans déjeuner"),F153-D153&lt;0),("24:00:00"-D153)+("00:00:00"+F153),IF(AND(AG153="",F153-D153&gt;0.166666666666667),F153-D153-0.0416666666666667,IF(AND(OR(AG153="Allaitement",AG153="Sans déjeuner"),F153-D153&gt;0.166666666666667),F153-D153,F153-D153)))))))</f>
        <v>0.333333333333333</v>
      </c>
      <c r="P153" s="34" t="str">
        <f aca="false">IFERROR(VLOOKUP($B153,Annuaire_roster!$B:$G,MATCH(P$1,Annuaire_roster!$B$1:$G$1,0),0),"-")</f>
        <v>Google Leads</v>
      </c>
      <c r="Q153" s="35" t="n">
        <v>44721</v>
      </c>
      <c r="R153" s="36" t="n">
        <f aca="false">IF(M153="Abs",O153,0)</f>
        <v>0.333333333333333</v>
      </c>
      <c r="S153" s="36" t="n">
        <f aca="false">SUM(R153,L153,I153,J153,W153,H153)</f>
        <v>0.333333333333333</v>
      </c>
      <c r="T153" s="1" t="str">
        <f aca="false">"Sem - "&amp;WEEKNUM(Q153,21)</f>
        <v>Sem - 24</v>
      </c>
      <c r="U153" s="1" t="str">
        <f aca="false">PROPER(TEXT(Q153,"mmmm"))</f>
        <v>June</v>
      </c>
      <c r="V153" s="37" t="str">
        <f aca="false">+TEXT(Q153,"aaa")</f>
        <v>Wed</v>
      </c>
      <c r="W153" s="32"/>
      <c r="X153" s="38" t="n">
        <f aca="false">IFERROR(IF(M153="Abs",0,IF((D153-C153+E153-F153)&lt;0.000694444444444444,0,(D153-C153+E153-F153))),0)</f>
        <v>0</v>
      </c>
      <c r="Y153" s="39" t="n">
        <f aca="false">IFERROR(VLOOKUP(B153,Annuaire_roster!B:E,4,0),"-")</f>
        <v>0</v>
      </c>
      <c r="Z153" s="39" t="str">
        <f aca="false">IFERROR(VLOOKUP(B153,Annuaire_roster!B:F,3,0),"-")</f>
        <v>Google Leads</v>
      </c>
      <c r="AA153" s="39" t="n">
        <f aca="false">IFERROR(VLOOKUP(B153,Annuaire_roster!B:I,6,0),"-")</f>
        <v>0</v>
      </c>
      <c r="AB153" s="40" t="str">
        <f aca="false">IF(AND(D153="Congé",F153="Congé"),0.333333333333333,IF(OR(AND(D153="Congé",F153&lt;&gt;"Congé"),(AND(F153="Congé",D153&lt;&gt;"Congé"))),0.166666666666667,""))</f>
        <v/>
      </c>
      <c r="AC153" s="40" t="str">
        <f aca="false">IF(AND(D153="Congé sans solde",F153="Congé sans solde"),0.333333333333333,IF(OR(AND(D153="Congé sans solde",F153&lt;&gt;"Congé sans solde"),(AND(F153="Congé sans solde",D153&lt;&gt;"Congé sans solde"))),0.166666666666667,""))</f>
        <v/>
      </c>
      <c r="AD153" s="40" t="str">
        <f aca="false">IF(AND(D153="Congé spécial",F153="Congé spécial"),0.333333333333333,IF(OR(AND(D153="Congé spécial",F153&lt;&gt;"Congé décès"),(AND(F153="Congé spécial",D153&lt;&gt;"Congé spécial"))),0.166666666666667,""))</f>
        <v/>
      </c>
      <c r="AE153" s="41" t="str">
        <f aca="false">IF(AND(D153="Férié",F153="Férié"),0.333333333333333,IF(OR(AND(D153="Férié",F153&lt;&gt;"Férié"),(AND(F153="Férié",D153&lt;&gt;"Férié"))),0.166666666666667,""))</f>
        <v/>
      </c>
      <c r="AF153" s="41"/>
      <c r="AG153" s="36"/>
    </row>
    <row r="154" customFormat="false" ht="12.75" hidden="true" customHeight="true" outlineLevel="0" collapsed="false">
      <c r="A154" s="22" t="n">
        <f aca="false">VLOOKUP(B154,Annuaire_roster!B:F,5,0)</f>
        <v>0</v>
      </c>
      <c r="B154" s="23" t="s">
        <v>62</v>
      </c>
      <c r="C154" s="24" t="str">
        <f aca="false">IFERROR(IF(COUNTIFS(Pointage_brut!$E:$E,VLOOKUP($B154,Annuaire_roster!$B:$J,9,0),Pointage_brut!$A:$A,TEXT($Q154,"yyyymmdd")*1)=0,"",MOD(_xlfn.MINIFS(Pointage_brut!$F:$F,Pointage_brut!$E:$E,VLOOKUP($B154,Annuaire_roster!$B:$J,9,0),Pointage_brut!$A:$A,TEXT($Q154,"yyyymmdd")*1),1)),"")</f>
        <v/>
      </c>
      <c r="D154" s="25" t="n">
        <f aca="false" t="array" ref="D154:D154">IFERROR(INDEX(Planning2[],MATCH(1,(Planning2[Nom]=B154)*(Planning2[Date]=Q154),0),3),"-")</f>
        <v>0.458333333333333</v>
      </c>
      <c r="E154" s="26" t="str">
        <f aca="false">IFERROR(IF(COUNTIFS(Pointage_brut!$E:$E,VLOOKUP($B154,Annuaire_roster!$B:$J,9,0),Pointage_brut!$A:$A,TEXT($Q154,"yyyymmdd")*1)=0,"",MOD(_xlfn.MAXIFS(Pointage_brut!$G:$G,Pointage_brut!$E:$E,VLOOKUP($B154,Annuaire_roster!$B:$J,9,0),Pointage_brut!$A:$A,TEXT($Q154,"yyyymmdd")*1),1)),"")</f>
        <v/>
      </c>
      <c r="F154" s="27" t="n">
        <f aca="false" t="array" ref="F154:F154">IFERROR(INDEX(Planning2[],MATCH(1,(Planning2[Nom]=B154)*(Planning2[Date]=Q154),0),4),"-")</f>
        <v>0.833333333333333</v>
      </c>
      <c r="G154" s="28"/>
      <c r="H154" s="28"/>
      <c r="I154" s="29" t="str">
        <f aca="false">IF(IF(OR(C154="",D154="Congé",D154="OFF",D154="Congé spécial"),"",IF(D154&gt;F154,D154-C154,IF(C154-D154&lt;0,0,C154-D154)))&lt;0.00068287037037037,"",IF(OR(D154="Congé",D154="OFF",C154="",D154="Congé spécial"),"",IF(D154&gt;F154,D154-C154,IF(C154-D154&lt;0,0,C154-D154))))</f>
        <v/>
      </c>
      <c r="J154" s="28"/>
      <c r="K154" s="30" t="n">
        <f aca="false">IF(SUM(H154:J154)&lt;0.00068287037037037,0,SUM(H154:J154))</f>
        <v>0</v>
      </c>
      <c r="L154" s="28" t="n">
        <f aca="false">IF(OR(F154="Congé",F154="OFF",M154="Abs",F154="Congé sans solde",F154="Férié",F154="Congé spécial",D154="Congé spécial"),0,IF(F154-E154&lt;0,0,IF(F154-E154&lt;=0.00068287037037037,0,F154-E154)))</f>
        <v>0</v>
      </c>
      <c r="M154" s="31" t="str">
        <f aca="false">IF(AND(O154&lt;&gt;0,C154=""),"Abs",0)</f>
        <v>Abs</v>
      </c>
      <c r="N154" s="32" t="str">
        <f aca="false">IFERROR(IF(OR(D154="OFF",D154="Congé",M154="Abs",D154="Congé sans solde",D154="Férié"),"",IF(O154-K154-L154&gt;O154,O154,IF(O154-K154-L154&lt;0,"",O154-K154-L154))),"")</f>
        <v/>
      </c>
      <c r="O154" s="33" t="n">
        <f aca="false">IF(AG154="2H Pause déjeuner",IF(F154-D154-0.0833333333333333&lt;0,F154-D154-0.0833333333333333+1,F154-D154-0.0833333333333333),IF(OR(AND(F154="OFF",D154="OFF"),AND(F154="Congé",D154="Congé"),AND(F154="Congé sans solde",D154="Congé sans solde"),AND(F154="Congé spécial",D154="Congé spécial"),AND(F154="Férié",D154="Férié"),AND(F154="OFF",D154="Congé"),AND(F154="OFF",D154="Congé sans solde"),AND(F154="OFF",D154="Congé spécial"),AND(F154="OFF",D154="Férié"),AND(F154="Congé",D154="OFF"),AND(F154="Congé",D154="Congé sans solde"),AND(F154="Congé",D154="Congé spécial"),AND(F154="Congé",D154="Férié"),AND(F154="Congé sans solde",D154="OFF"),AND(F154="Congé sans solde",D154="Congé"),AND(F154="Congé sans solde",D154="Congé spécial"),AND(F154="Congé sans solde",D154="Férié"),AND(F154="Congé spécial",D154="OFF"),AND(F154="Congé spécial",D154="Congé"),AND(F154="Congé spécial",D154="Congé sans solde"),AND(F154="Congé spécial",D154="Férié"),AND(F154="Férié",D154="OFF"),AND(F154="Férié",D154="Congé"),AND(F154="Férié",D154="Congé sans solde"),AND(F154="Férié",D154="Congé spécial")),0,IF(OR(F154="OFF",F154="Congé",F154="Congé spécial",F154="Congé sans solde",D154="OFF",D154="Congé",D154="Congé spécial",D154="Congé sans solde"),0.208333333333334,IF(AND(AG154="",F154-D154&lt;0),("24:00:00"-D154)+("00:00:00"+F154)-0.0416666666666667,IF(AND(OR(AG154="Allaitement",AG154="Sans déjeuner"),F154-D154&lt;0),("24:00:00"-D154)+("00:00:00"+F154),IF(AND(AG154="",F154-D154&gt;0.166666666666667),F154-D154-0.0416666666666667,IF(AND(OR(AG154="Allaitement",AG154="Sans déjeuner"),F154-D154&gt;0.166666666666667),F154-D154,F154-D154)))))))</f>
        <v>0.333333333333333</v>
      </c>
      <c r="P154" s="34" t="str">
        <f aca="false">IFERROR(VLOOKUP($B154,Annuaire_roster!$B:$G,MATCH(P$1,Annuaire_roster!$B$1:$G$1,0),0),"-")</f>
        <v>Google Leads</v>
      </c>
      <c r="Q154" s="35" t="n">
        <v>44721</v>
      </c>
      <c r="R154" s="36" t="n">
        <f aca="false">IF(M154="Abs",O154,0)</f>
        <v>0.333333333333333</v>
      </c>
      <c r="S154" s="36" t="n">
        <f aca="false">SUM(R154,L154,I154,J154,W154,H154)</f>
        <v>0.333333333333333</v>
      </c>
      <c r="T154" s="1" t="str">
        <f aca="false">"Sem - "&amp;WEEKNUM(Q154,21)</f>
        <v>Sem - 24</v>
      </c>
      <c r="U154" s="1" t="str">
        <f aca="false">PROPER(TEXT(Q154,"mmmm"))</f>
        <v>June</v>
      </c>
      <c r="V154" s="37" t="str">
        <f aca="false">+TEXT(Q154,"aaa")</f>
        <v>Wed</v>
      </c>
      <c r="W154" s="32"/>
      <c r="X154" s="38" t="n">
        <f aca="false">IFERROR(IF(M154="Abs",0,IF((D154-C154+E154-F154)&lt;0.000694444444444444,0,(D154-C154+E154-F154))),0)</f>
        <v>0</v>
      </c>
      <c r="Y154" s="39" t="n">
        <f aca="false">IFERROR(VLOOKUP(B154,Annuaire_roster!B:E,4,0),"-")</f>
        <v>0</v>
      </c>
      <c r="Z154" s="39" t="str">
        <f aca="false">IFERROR(VLOOKUP(B154,Annuaire_roster!B:F,3,0),"-")</f>
        <v>Google Leads</v>
      </c>
      <c r="AA154" s="39" t="n">
        <f aca="false">IFERROR(VLOOKUP(B154,Annuaire_roster!B:I,6,0),"-")</f>
        <v>0</v>
      </c>
      <c r="AB154" s="40" t="str">
        <f aca="false">IF(AND(D154="Congé",F154="Congé"),0.333333333333333,IF(OR(AND(D154="Congé",F154&lt;&gt;"Congé"),(AND(F154="Congé",D154&lt;&gt;"Congé"))),0.166666666666667,""))</f>
        <v/>
      </c>
      <c r="AC154" s="40" t="str">
        <f aca="false">IF(AND(D154="Congé sans solde",F154="Congé sans solde"),0.333333333333333,IF(OR(AND(D154="Congé sans solde",F154&lt;&gt;"Congé sans solde"),(AND(F154="Congé sans solde",D154&lt;&gt;"Congé sans solde"))),0.166666666666667,""))</f>
        <v/>
      </c>
      <c r="AD154" s="40" t="str">
        <f aca="false">IF(AND(D154="Congé spécial",F154="Congé spécial"),0.333333333333333,IF(OR(AND(D154="Congé spécial",F154&lt;&gt;"Congé décès"),(AND(F154="Congé spécial",D154&lt;&gt;"Congé spécial"))),0.166666666666667,""))</f>
        <v/>
      </c>
      <c r="AE154" s="41" t="str">
        <f aca="false">IF(AND(D154="Férié",F154="Férié"),0.333333333333333,IF(OR(AND(D154="Férié",F154&lt;&gt;"Férié"),(AND(F154="Férié",D154&lt;&gt;"Férié"))),0.166666666666667,""))</f>
        <v/>
      </c>
      <c r="AF154" s="41"/>
      <c r="AG154" s="36"/>
    </row>
    <row r="155" customFormat="false" ht="12.75" hidden="true" customHeight="true" outlineLevel="0" collapsed="false">
      <c r="A155" s="22" t="n">
        <f aca="false">VLOOKUP(B155,Annuaire_roster!B:F,5,0)</f>
        <v>397</v>
      </c>
      <c r="B155" s="23" t="s">
        <v>56</v>
      </c>
      <c r="C155" s="24" t="str">
        <f aca="false">IFERROR(IF(COUNTIFS(Pointage_brut!$E:$E,VLOOKUP($B155,Annuaire_roster!$B:$J,9,0),Pointage_brut!$A:$A,TEXT($Q155,"yyyymmdd")*1)=0,"",MOD(_xlfn.MINIFS(Pointage_brut!$F:$F,Pointage_brut!$E:$E,VLOOKUP($B155,Annuaire_roster!$B:$J,9,0),Pointage_brut!$A:$A,TEXT($Q155,"yyyymmdd")*1),1)),"")</f>
        <v/>
      </c>
      <c r="D155" s="25" t="str">
        <f aca="false" t="array" ref="D155:D155">IFERROR(INDEX(Planning2[],MATCH(1,(Planning2[Nom]=B155)*(Planning2[Date]=Q155),0),3),"-")</f>
        <v>Congé</v>
      </c>
      <c r="E155" s="26" t="str">
        <f aca="false">IFERROR(IF(COUNTIFS(Pointage_brut!$E:$E,VLOOKUP($B155,Annuaire_roster!$B:$J,9,0),Pointage_brut!$A:$A,TEXT($Q155,"yyyymmdd")*1)=0,"",MOD(_xlfn.MAXIFS(Pointage_brut!$G:$G,Pointage_brut!$E:$E,VLOOKUP($B155,Annuaire_roster!$B:$J,9,0),Pointage_brut!$A:$A,TEXT($Q155,"yyyymmdd")*1),1)),"")</f>
        <v/>
      </c>
      <c r="F155" s="27" t="str">
        <f aca="false" t="array" ref="F155:F155">IFERROR(INDEX(Planning2[],MATCH(1,(Planning2[Nom]=B155)*(Planning2[Date]=Q155),0),4),"-")</f>
        <v>Congé</v>
      </c>
      <c r="G155" s="28"/>
      <c r="H155" s="28"/>
      <c r="I155" s="29" t="str">
        <f aca="false">IF(IF(OR(C155="",D155="Congé",D155="OFF",D155="Congé spécial"),"",IF(D155&gt;F155,D155-C155,IF(C155-D155&lt;0,0,C155-D155)))&lt;0.00068287037037037,"",IF(OR(D155="Congé",D155="OFF",C155="",D155="Congé spécial"),"",IF(D155&gt;F155,D155-C155,IF(C155-D155&lt;0,0,C155-D155))))</f>
        <v/>
      </c>
      <c r="J155" s="28"/>
      <c r="K155" s="30" t="n">
        <f aca="false">IF(SUM(H155:J155)&lt;0.00068287037037037,0,SUM(H155:J155))</f>
        <v>0</v>
      </c>
      <c r="L155" s="28" t="n">
        <f aca="false">IF(OR(F155="Congé",F155="OFF",M155="Abs",F155="Congé sans solde",F155="Férié",F155="Congé spécial",D155="Congé spécial"),0,IF(F155-E155&lt;0,0,IF(F155-E155&lt;=0.00068287037037037,0,F155-E155)))</f>
        <v>0</v>
      </c>
      <c r="M155" s="31" t="n">
        <f aca="false">IF(AND(O155&lt;&gt;0,C155=""),"Abs",0)</f>
        <v>0</v>
      </c>
      <c r="N155" s="32" t="str">
        <f aca="false">IFERROR(IF(OR(D155="OFF",D155="Congé",M155="Abs",D155="Congé sans solde",D155="Férié"),"",IF(O155-K155-L155&gt;O155,O155,IF(O155-K155-L155&lt;0,"",O155-K155-L155))),"")</f>
        <v/>
      </c>
      <c r="O155" s="33" t="n">
        <f aca="false">IF(AG155="2H Pause déjeuner",IF(F155-D155-0.0833333333333333&lt;0,F155-D155-0.0833333333333333+1,F155-D155-0.0833333333333333),IF(OR(AND(F155="OFF",D155="OFF"),AND(F155="Congé",D155="Congé"),AND(F155="Congé sans solde",D155="Congé sans solde"),AND(F155="Congé spécial",D155="Congé spécial"),AND(F155="Férié",D155="Férié"),AND(F155="OFF",D155="Congé"),AND(F155="OFF",D155="Congé sans solde"),AND(F155="OFF",D155="Congé spécial"),AND(F155="OFF",D155="Férié"),AND(F155="Congé",D155="OFF"),AND(F155="Congé",D155="Congé sans solde"),AND(F155="Congé",D155="Congé spécial"),AND(F155="Congé",D155="Férié"),AND(F155="Congé sans solde",D155="OFF"),AND(F155="Congé sans solde",D155="Congé"),AND(F155="Congé sans solde",D155="Congé spécial"),AND(F155="Congé sans solde",D155="Férié"),AND(F155="Congé spécial",D155="OFF"),AND(F155="Congé spécial",D155="Congé"),AND(F155="Congé spécial",D155="Congé sans solde"),AND(F155="Congé spécial",D155="Férié"),AND(F155="Férié",D155="OFF"),AND(F155="Férié",D155="Congé"),AND(F155="Férié",D155="Congé sans solde"),AND(F155="Férié",D155="Congé spécial")),0,IF(OR(F155="OFF",F155="Congé",F155="Congé spécial",F155="Congé sans solde",D155="OFF",D155="Congé",D155="Congé spécial",D155="Congé sans solde"),0.208333333333334,IF(AND(AG155="",F155-D155&lt;0),("24:00:00"-D155)+("00:00:00"+F155)-0.0416666666666667,IF(AND(OR(AG155="Allaitement",AG155="Sans déjeuner"),F155-D155&lt;0),("24:00:00"-D155)+("00:00:00"+F155),IF(AND(AG155="",F155-D155&gt;0.166666666666667),F155-D155-0.0416666666666667,IF(AND(OR(AG155="Allaitement",AG155="Sans déjeuner"),F155-D155&gt;0.166666666666667),F155-D155,F155-D155)))))))</f>
        <v>0</v>
      </c>
      <c r="P155" s="34" t="str">
        <f aca="false">IFERROR(VLOOKUP($B155,Annuaire_roster!$B:$G,MATCH(P$1,Annuaire_roster!$B$1:$G$1,0),0),"-")</f>
        <v>Google Leads</v>
      </c>
      <c r="Q155" s="35" t="n">
        <v>44721</v>
      </c>
      <c r="R155" s="36" t="n">
        <f aca="false">IF(M155="Abs",O155,0)</f>
        <v>0</v>
      </c>
      <c r="S155" s="36" t="n">
        <f aca="false">SUM(R155,L155,I155,J155,W155,H155)</f>
        <v>0</v>
      </c>
      <c r="T155" s="1" t="str">
        <f aca="false">"Sem - "&amp;WEEKNUM(Q155,21)</f>
        <v>Sem - 24</v>
      </c>
      <c r="U155" s="1" t="str">
        <f aca="false">PROPER(TEXT(Q155,"mmmm"))</f>
        <v>June</v>
      </c>
      <c r="V155" s="37" t="str">
        <f aca="false">+TEXT(Q155,"aaa")</f>
        <v>Wed</v>
      </c>
      <c r="W155" s="32"/>
      <c r="X155" s="38" t="n">
        <f aca="false">IFERROR(IF(M155="Abs",0,IF((D155-C155+E155-F155)&lt;0.000694444444444444,0,(D155-C155+E155-F155))),0)</f>
        <v>0</v>
      </c>
      <c r="Y155" s="39" t="str">
        <f aca="false">IFERROR(VLOOKUP(B155,Annuaire_roster!B:E,4,0),"-")</f>
        <v>OUAQERROUCH Nour-El Houda</v>
      </c>
      <c r="Z155" s="39" t="str">
        <f aca="false">IFERROR(VLOOKUP(B155,Annuaire_roster!B:F,3,0),"-")</f>
        <v>Google Leads</v>
      </c>
      <c r="AA155" s="39" t="str">
        <f aca="false">IFERROR(VLOOKUP(B155,Annuaire_roster!B:I,6,0),"-")</f>
        <v>Forfaitaire</v>
      </c>
      <c r="AB155" s="40" t="n">
        <f aca="false">IF(AND(D155="Congé",F155="Congé"),0.333333333333333,IF(OR(AND(D155="Congé",F155&lt;&gt;"Congé"),(AND(F155="Congé",D155&lt;&gt;"Congé"))),0.166666666666667,""))</f>
        <v>0.333333333333333</v>
      </c>
      <c r="AC155" s="40" t="str">
        <f aca="false">IF(AND(D155="Congé sans solde",F155="Congé sans solde"),0.333333333333333,IF(OR(AND(D155="Congé sans solde",F155&lt;&gt;"Congé sans solde"),(AND(F155="Congé sans solde",D155&lt;&gt;"Congé sans solde"))),0.166666666666667,""))</f>
        <v/>
      </c>
      <c r="AD155" s="40" t="str">
        <f aca="false">IF(AND(D155="Congé spécial",F155="Congé spécial"),0.333333333333333,IF(OR(AND(D155="Congé spécial",F155&lt;&gt;"Congé décès"),(AND(F155="Congé spécial",D155&lt;&gt;"Congé spécial"))),0.166666666666667,""))</f>
        <v/>
      </c>
      <c r="AE155" s="41" t="str">
        <f aca="false">IF(AND(D155="Férié",F155="Férié"),0.333333333333333,IF(OR(AND(D155="Férié",F155&lt;&gt;"Férié"),(AND(F155="Férié",D155&lt;&gt;"Férié"))),0.166666666666667,""))</f>
        <v/>
      </c>
      <c r="AF155" s="41"/>
      <c r="AG155" s="36"/>
    </row>
    <row r="156" customFormat="false" ht="12.75" hidden="true" customHeight="true" outlineLevel="0" collapsed="false">
      <c r="A156" s="22" t="n">
        <f aca="false">VLOOKUP(B156,Annuaire_roster!B:F,5,0)</f>
        <v>1132</v>
      </c>
      <c r="B156" s="23" t="s">
        <v>52</v>
      </c>
      <c r="C156" s="24" t="str">
        <f aca="false">IFERROR(IF(COUNTIFS(Pointage_brut!$E:$E,VLOOKUP($B156,Annuaire_roster!$B:$J,9,0),Pointage_brut!$A:$A,TEXT($Q156,"yyyymmdd")*1)=0,"",MOD(_xlfn.MINIFS(Pointage_brut!$F:$F,Pointage_brut!$E:$E,VLOOKUP($B156,Annuaire_roster!$B:$J,9,0),Pointage_brut!$A:$A,TEXT($Q156,"yyyymmdd")*1),1)),"")</f>
        <v/>
      </c>
      <c r="D156" s="25" t="str">
        <f aca="false" t="array" ref="D156:D156">IFERROR(INDEX(Planning2[],MATCH(1,(Planning2[Nom]=B156)*(Planning2[Date]=Q156),0),3),"-")</f>
        <v>OFF</v>
      </c>
      <c r="E156" s="26" t="str">
        <f aca="false">IFERROR(IF(COUNTIFS(Pointage_brut!$E:$E,VLOOKUP($B156,Annuaire_roster!$B:$J,9,0),Pointage_brut!$A:$A,TEXT($Q156,"yyyymmdd")*1)=0,"",MOD(_xlfn.MAXIFS(Pointage_brut!$G:$G,Pointage_brut!$E:$E,VLOOKUP($B156,Annuaire_roster!$B:$J,9,0),Pointage_brut!$A:$A,TEXT($Q156,"yyyymmdd")*1),1)),"")</f>
        <v/>
      </c>
      <c r="F156" s="27" t="str">
        <f aca="false" t="array" ref="F156:F156">IFERROR(INDEX(Planning2[],MATCH(1,(Planning2[Nom]=B156)*(Planning2[Date]=Q156),0),4),"-")</f>
        <v>OFF</v>
      </c>
      <c r="G156" s="28"/>
      <c r="H156" s="28"/>
      <c r="I156" s="29" t="str">
        <f aca="false">IF(IF(OR(C156="",D156="Congé",D156="OFF",D156="Congé spécial"),"",IF(D156&gt;F156,D156-C156,IF(C156-D156&lt;0,0,C156-D156)))&lt;0.00068287037037037,"",IF(OR(D156="Congé",D156="OFF",C156="",D156="Congé spécial"),"",IF(D156&gt;F156,D156-C156,IF(C156-D156&lt;0,0,C156-D156))))</f>
        <v/>
      </c>
      <c r="J156" s="28"/>
      <c r="K156" s="30" t="n">
        <f aca="false">IF(SUM(H156:J156)&lt;0.00068287037037037,0,SUM(H156:J156))</f>
        <v>0</v>
      </c>
      <c r="L156" s="28" t="n">
        <f aca="false">IF(OR(F156="Congé",F156="OFF",M156="Abs",F156="Congé sans solde",F156="Férié",F156="Congé spécial",D156="Congé spécial"),0,IF(F156-E156&lt;0,0,IF(F156-E156&lt;=0.00068287037037037,0,F156-E156)))</f>
        <v>0</v>
      </c>
      <c r="M156" s="31" t="n">
        <f aca="false">IF(AND(O156&lt;&gt;0,C156=""),"Abs",0)</f>
        <v>0</v>
      </c>
      <c r="N156" s="32" t="str">
        <f aca="false">IFERROR(IF(OR(D156="OFF",D156="Congé",M156="Abs",D156="Congé sans solde",D156="Férié"),"",IF(O156-K156-L156&gt;O156,O156,IF(O156-K156-L156&lt;0,"",O156-K156-L156))),"")</f>
        <v/>
      </c>
      <c r="O156" s="33" t="n">
        <f aca="false">IF(AG156="2H Pause déjeuner",IF(F156-D156-0.0833333333333333&lt;0,F156-D156-0.0833333333333333+1,F156-D156-0.0833333333333333),IF(OR(AND(F156="OFF",D156="OFF"),AND(F156="Congé",D156="Congé"),AND(F156="Congé sans solde",D156="Congé sans solde"),AND(F156="Congé spécial",D156="Congé spécial"),AND(F156="Férié",D156="Férié"),AND(F156="OFF",D156="Congé"),AND(F156="OFF",D156="Congé sans solde"),AND(F156="OFF",D156="Congé spécial"),AND(F156="OFF",D156="Férié"),AND(F156="Congé",D156="OFF"),AND(F156="Congé",D156="Congé sans solde"),AND(F156="Congé",D156="Congé spécial"),AND(F156="Congé",D156="Férié"),AND(F156="Congé sans solde",D156="OFF"),AND(F156="Congé sans solde",D156="Congé"),AND(F156="Congé sans solde",D156="Congé spécial"),AND(F156="Congé sans solde",D156="Férié"),AND(F156="Congé spécial",D156="OFF"),AND(F156="Congé spécial",D156="Congé"),AND(F156="Congé spécial",D156="Congé sans solde"),AND(F156="Congé spécial",D156="Férié"),AND(F156="Férié",D156="OFF"),AND(F156="Férié",D156="Congé"),AND(F156="Férié",D156="Congé sans solde"),AND(F156="Férié",D156="Congé spécial")),0,IF(OR(F156="OFF",F156="Congé",F156="Congé spécial",F156="Congé sans solde",D156="OFF",D156="Congé",D156="Congé spécial",D156="Congé sans solde"),0.208333333333334,IF(AND(AG156="",F156-D156&lt;0),("24:00:00"-D156)+("00:00:00"+F156)-0.0416666666666667,IF(AND(OR(AG156="Allaitement",AG156="Sans déjeuner"),F156-D156&lt;0),("24:00:00"-D156)+("00:00:00"+F156),IF(AND(AG156="",F156-D156&gt;0.166666666666667),F156-D156-0.0416666666666667,IF(AND(OR(AG156="Allaitement",AG156="Sans déjeuner"),F156-D156&gt;0.166666666666667),F156-D156,F156-D156)))))))</f>
        <v>0</v>
      </c>
      <c r="P156" s="34" t="str">
        <f aca="false">IFERROR(VLOOKUP($B156,Annuaire_roster!$B:$G,MATCH(P$1,Annuaire_roster!$B$1:$G$1,0),0),"-")</f>
        <v>Google Leads</v>
      </c>
      <c r="Q156" s="35" t="n">
        <v>44721</v>
      </c>
      <c r="R156" s="36" t="n">
        <f aca="false">IF(M156="Abs",O156,0)</f>
        <v>0</v>
      </c>
      <c r="S156" s="36" t="n">
        <f aca="false">SUM(R156,L156,I156,J156,W156,H156)</f>
        <v>0</v>
      </c>
      <c r="T156" s="1" t="str">
        <f aca="false">"Sem - "&amp;WEEKNUM(Q156,21)</f>
        <v>Sem - 24</v>
      </c>
      <c r="U156" s="1" t="str">
        <f aca="false">PROPER(TEXT(Q156,"mmmm"))</f>
        <v>June</v>
      </c>
      <c r="V156" s="37" t="str">
        <f aca="false">+TEXT(Q156,"aaa")</f>
        <v>Wed</v>
      </c>
      <c r="W156" s="32"/>
      <c r="X156" s="38" t="n">
        <f aca="false">IFERROR(IF(M156="Abs",0,IF((D156-C156+E156-F156)&lt;0.000694444444444444,0,(D156-C156+E156-F156))),0)</f>
        <v>0</v>
      </c>
      <c r="Y156" s="39" t="str">
        <f aca="false">IFERROR(VLOOKUP(B156,Annuaire_roster!B:E,4,0),"-")</f>
        <v>CHOUIFI Mustapha</v>
      </c>
      <c r="Z156" s="39" t="str">
        <f aca="false">IFERROR(VLOOKUP(B156,Annuaire_roster!B:F,3,0),"-")</f>
        <v>Google Leads</v>
      </c>
      <c r="AA156" s="39" t="str">
        <f aca="false">IFERROR(VLOOKUP(B156,Annuaire_roster!B:I,6,0),"-")</f>
        <v>Forfaitaire</v>
      </c>
      <c r="AB156" s="40" t="str">
        <f aca="false">IF(AND(D156="Congé",F156="Congé"),0.333333333333333,IF(OR(AND(D156="Congé",F156&lt;&gt;"Congé"),(AND(F156="Congé",D156&lt;&gt;"Congé"))),0.166666666666667,""))</f>
        <v/>
      </c>
      <c r="AC156" s="40" t="str">
        <f aca="false">IF(AND(D156="Congé sans solde",F156="Congé sans solde"),0.333333333333333,IF(OR(AND(D156="Congé sans solde",F156&lt;&gt;"Congé sans solde"),(AND(F156="Congé sans solde",D156&lt;&gt;"Congé sans solde"))),0.166666666666667,""))</f>
        <v/>
      </c>
      <c r="AD156" s="40" t="str">
        <f aca="false">IF(AND(D156="Congé spécial",F156="Congé spécial"),0.333333333333333,IF(OR(AND(D156="Congé spécial",F156&lt;&gt;"Congé décès"),(AND(F156="Congé spécial",D156&lt;&gt;"Congé spécial"))),0.166666666666667,""))</f>
        <v/>
      </c>
      <c r="AE156" s="41" t="str">
        <f aca="false">IF(AND(D156="Férié",F156="Férié"),0.333333333333333,IF(OR(AND(D156="Férié",F156&lt;&gt;"Férié"),(AND(F156="Férié",D156&lt;&gt;"Férié"))),0.166666666666667,""))</f>
        <v/>
      </c>
      <c r="AF156" s="41"/>
      <c r="AG156" s="36"/>
    </row>
    <row r="157" customFormat="false" ht="12.75" hidden="true" customHeight="true" outlineLevel="0" collapsed="false">
      <c r="A157" s="22" t="n">
        <f aca="false">VLOOKUP(B157,Annuaire_roster!B:F,5,0)</f>
        <v>742</v>
      </c>
      <c r="B157" s="23" t="s">
        <v>33</v>
      </c>
      <c r="C157" s="24" t="str">
        <f aca="false">IFERROR(IF(COUNTIFS(Pointage_brut!$E:$E,VLOOKUP($B157,Annuaire_roster!$B:$J,9,0),Pointage_brut!$A:$A,TEXT($Q157,"yyyymmdd")*1)=0,"",MOD(_xlfn.MINIFS(Pointage_brut!$F:$F,Pointage_brut!$E:$E,VLOOKUP($B157,Annuaire_roster!$B:$J,9,0),Pointage_brut!$A:$A,TEXT($Q157,"yyyymmdd")*1),1)),"")</f>
        <v/>
      </c>
      <c r="D157" s="25" t="n">
        <f aca="false" t="array" ref="D157:D157">IFERROR(INDEX(Planning2[],MATCH(1,(Planning2[Nom]=B157)*(Planning2[Date]=Q157),0),3),"-")</f>
        <v>0.291666666666667</v>
      </c>
      <c r="E157" s="26" t="str">
        <f aca="false">IFERROR(IF(COUNTIFS(Pointage_brut!$E:$E,VLOOKUP($B157,Annuaire_roster!$B:$J,9,0),Pointage_brut!$A:$A,TEXT($Q157,"yyyymmdd")*1)=0,"",MOD(_xlfn.MAXIFS(Pointage_brut!$G:$G,Pointage_brut!$E:$E,VLOOKUP($B157,Annuaire_roster!$B:$J,9,0),Pointage_brut!$A:$A,TEXT($Q157,"yyyymmdd")*1),1)),"")</f>
        <v/>
      </c>
      <c r="F157" s="27" t="n">
        <f aca="false" t="array" ref="F157:F157">IFERROR(INDEX(Planning2[],MATCH(1,(Planning2[Nom]=B157)*(Planning2[Date]=Q157),0),4),"-")</f>
        <v>0.708333333333333</v>
      </c>
      <c r="G157" s="28"/>
      <c r="H157" s="28"/>
      <c r="I157" s="29" t="str">
        <f aca="false">IF(IF(OR(C157="",D157="Congé",D157="OFF",D157="Congé spécial"),"",IF(D157&gt;F157,D157-C157,IF(C157-D157&lt;0,0,C157-D157)))&lt;0.00068287037037037,"",IF(OR(D157="Congé",D157="OFF",C157="",D157="Congé spécial"),"",IF(D157&gt;F157,D157-C157,IF(C157-D157&lt;0,0,C157-D157))))</f>
        <v/>
      </c>
      <c r="J157" s="28"/>
      <c r="K157" s="30" t="n">
        <f aca="false">IF(SUM(H157:J157)&lt;0.00068287037037037,0,SUM(H157:J157))</f>
        <v>0</v>
      </c>
      <c r="L157" s="28" t="n">
        <f aca="false">IF(OR(F157="Congé",F157="OFF",M157="Abs",F157="Congé sans solde",F157="Férié",F157="Congé spécial",D157="Congé spécial"),0,IF(F157-E157&lt;0,0,IF(F157-E157&lt;=0.00068287037037037,0,F157-E157)))</f>
        <v>0</v>
      </c>
      <c r="M157" s="31" t="str">
        <f aca="false">IF(AND(O157&lt;&gt;0,C157=""),"Abs",0)</f>
        <v>Abs</v>
      </c>
      <c r="N157" s="32" t="str">
        <f aca="false">IFERROR(IF(OR(D157="OFF",D157="Congé",M157="Abs",D157="Congé sans solde",D157="Férié"),"",IF(O157-K157-L157&gt;O157,O157,IF(O157-K157-L157&lt;0,"",O157-K157-L157))),"")</f>
        <v/>
      </c>
      <c r="O157" s="33" t="n">
        <f aca="false">IF(AG157="2H Pause déjeuner",IF(F157-D157-0.0833333333333333&lt;0,F157-D157-0.0833333333333333+1,F157-D157-0.0833333333333333),IF(OR(AND(F157="OFF",D157="OFF"),AND(F157="Congé",D157="Congé"),AND(F157="Congé sans solde",D157="Congé sans solde"),AND(F157="Congé spécial",D157="Congé spécial"),AND(F157="Férié",D157="Férié"),AND(F157="OFF",D157="Congé"),AND(F157="OFF",D157="Congé sans solde"),AND(F157="OFF",D157="Congé spécial"),AND(F157="OFF",D157="Férié"),AND(F157="Congé",D157="OFF"),AND(F157="Congé",D157="Congé sans solde"),AND(F157="Congé",D157="Congé spécial"),AND(F157="Congé",D157="Férié"),AND(F157="Congé sans solde",D157="OFF"),AND(F157="Congé sans solde",D157="Congé"),AND(F157="Congé sans solde",D157="Congé spécial"),AND(F157="Congé sans solde",D157="Férié"),AND(F157="Congé spécial",D157="OFF"),AND(F157="Congé spécial",D157="Congé"),AND(F157="Congé spécial",D157="Congé sans solde"),AND(F157="Congé spécial",D157="Férié"),AND(F157="Férié",D157="OFF"),AND(F157="Férié",D157="Congé"),AND(F157="Férié",D157="Congé sans solde"),AND(F157="Férié",D157="Congé spécial")),0,IF(OR(F157="OFF",F157="Congé",F157="Congé spécial",F157="Congé sans solde",D157="OFF",D157="Congé",D157="Congé spécial",D157="Congé sans solde"),0.208333333333334,IF(AND(AG157="",F157-D157&lt;0),("24:00:00"-D157)+("00:00:00"+F157)-0.0416666666666667,IF(AND(OR(AG157="Allaitement",AG157="Sans déjeuner"),F157-D157&lt;0),("24:00:00"-D157)+("00:00:00"+F157),IF(AND(AG157="",F157-D157&gt;0.166666666666667),F157-D157-0.0416666666666667,IF(AND(OR(AG157="Allaitement",AG157="Sans déjeuner"),F157-D157&gt;0.166666666666667),F157-D157,F157-D157)))))))</f>
        <v>0.375</v>
      </c>
      <c r="P157" s="34" t="str">
        <f aca="false">IFERROR(VLOOKUP($B157,Annuaire_roster!$B:$G,MATCH(P$1,Annuaire_roster!$B$1:$G$1,0),0),"-")</f>
        <v>Google Leads</v>
      </c>
      <c r="Q157" s="35" t="n">
        <v>44721</v>
      </c>
      <c r="R157" s="36" t="n">
        <f aca="false">IF(M157="Abs",O157,0)</f>
        <v>0.375</v>
      </c>
      <c r="S157" s="36" t="n">
        <f aca="false">SUM(R157,L157,I157,J157,W157,H157)</f>
        <v>0.375</v>
      </c>
      <c r="T157" s="1" t="str">
        <f aca="false">"Sem - "&amp;WEEKNUM(Q157,21)</f>
        <v>Sem - 24</v>
      </c>
      <c r="U157" s="1" t="str">
        <f aca="false">PROPER(TEXT(Q157,"mmmm"))</f>
        <v>June</v>
      </c>
      <c r="V157" s="37" t="str">
        <f aca="false">+TEXT(Q157,"aaa")</f>
        <v>Wed</v>
      </c>
      <c r="W157" s="32"/>
      <c r="X157" s="38" t="n">
        <f aca="false">IFERROR(IF(M157="Abs",0,IF((D157-C157+E157-F157)&lt;0.000694444444444444,0,(D157-C157+E157-F157))),0)</f>
        <v>0</v>
      </c>
      <c r="Y157" s="39" t="str">
        <f aca="false">IFERROR(VLOOKUP(B157,Annuaire_roster!B:E,4,0),"-")</f>
        <v>OUAQERROUCH Nour-El Houda</v>
      </c>
      <c r="Z157" s="39" t="str">
        <f aca="false">IFERROR(VLOOKUP(B157,Annuaire_roster!B:F,3,0),"-")</f>
        <v>Google Leads</v>
      </c>
      <c r="AA157" s="39" t="str">
        <f aca="false">IFERROR(VLOOKUP(B157,Annuaire_roster!B:I,6,0),"-")</f>
        <v>Forfaitaire</v>
      </c>
      <c r="AB157" s="40" t="str">
        <f aca="false">IF(AND(D157="Congé",F157="Congé"),0.333333333333333,IF(OR(AND(D157="Congé",F157&lt;&gt;"Congé"),(AND(F157="Congé",D157&lt;&gt;"Congé"))),0.166666666666667,""))</f>
        <v/>
      </c>
      <c r="AC157" s="40" t="str">
        <f aca="false">IF(AND(D157="Congé sans solde",F157="Congé sans solde"),0.333333333333333,IF(OR(AND(D157="Congé sans solde",F157&lt;&gt;"Congé sans solde"),(AND(F157="Congé sans solde",D157&lt;&gt;"Congé sans solde"))),0.166666666666667,""))</f>
        <v/>
      </c>
      <c r="AD157" s="40" t="str">
        <f aca="false">IF(AND(D157="Congé spécial",F157="Congé spécial"),0.333333333333333,IF(OR(AND(D157="Congé spécial",F157&lt;&gt;"Congé décès"),(AND(F157="Congé spécial",D157&lt;&gt;"Congé spécial"))),0.166666666666667,""))</f>
        <v/>
      </c>
      <c r="AE157" s="41" t="str">
        <f aca="false">IF(AND(D157="Férié",F157="Férié"),0.333333333333333,IF(OR(AND(D157="Férié",F157&lt;&gt;"Férié"),(AND(F157="Férié",D157&lt;&gt;"Férié"))),0.166666666666667,""))</f>
        <v/>
      </c>
      <c r="AF157" s="41"/>
      <c r="AG157" s="36"/>
    </row>
    <row r="158" customFormat="false" ht="12.75" hidden="true" customHeight="true" outlineLevel="0" collapsed="false">
      <c r="A158" s="22" t="n">
        <f aca="false">VLOOKUP(B158,Annuaire_roster!B:F,5,0)</f>
        <v>1009</v>
      </c>
      <c r="B158" s="23" t="s">
        <v>44</v>
      </c>
      <c r="C158" s="24" t="str">
        <f aca="false">IFERROR(IF(COUNTIFS(Pointage_brut!$E:$E,VLOOKUP($B158,Annuaire_roster!$B:$J,9,0),Pointage_brut!$A:$A,TEXT($Q158,"yyyymmdd")*1)=0,"",MOD(_xlfn.MINIFS(Pointage_brut!$F:$F,Pointage_brut!$E:$E,VLOOKUP($B158,Annuaire_roster!$B:$J,9,0),Pointage_brut!$A:$A,TEXT($Q158,"yyyymmdd")*1),1)),"")</f>
        <v/>
      </c>
      <c r="D158" s="25" t="n">
        <f aca="false" t="array" ref="D158:D158">IFERROR(INDEX(Planning2[],MATCH(1,(Planning2[Nom]=B158)*(Planning2[Date]=Q158),0),3),"-")</f>
        <v>0.291666666666667</v>
      </c>
      <c r="E158" s="26" t="str">
        <f aca="false">IFERROR(IF(COUNTIFS(Pointage_brut!$E:$E,VLOOKUP($B158,Annuaire_roster!$B:$J,9,0),Pointage_brut!$A:$A,TEXT($Q158,"yyyymmdd")*1)=0,"",MOD(_xlfn.MAXIFS(Pointage_brut!$G:$G,Pointage_brut!$E:$E,VLOOKUP($B158,Annuaire_roster!$B:$J,9,0),Pointage_brut!$A:$A,TEXT($Q158,"yyyymmdd")*1),1)),"")</f>
        <v/>
      </c>
      <c r="F158" s="27" t="n">
        <f aca="false" t="array" ref="F158:F158">IFERROR(INDEX(Planning2[],MATCH(1,(Planning2[Nom]=B158)*(Planning2[Date]=Q158),0),4),"-")</f>
        <v>0.708333333333333</v>
      </c>
      <c r="G158" s="28"/>
      <c r="H158" s="28"/>
      <c r="I158" s="29" t="str">
        <f aca="false">IF(IF(OR(C158="",D158="Congé",D158="OFF",D158="Congé spécial"),"",IF(D158&gt;F158,D158-C158,IF(C158-D158&lt;0,0,C158-D158)))&lt;0.00068287037037037,"",IF(OR(D158="Congé",D158="OFF",C158="",D158="Congé spécial"),"",IF(D158&gt;F158,D158-C158,IF(C158-D158&lt;0,0,C158-D158))))</f>
        <v/>
      </c>
      <c r="J158" s="28"/>
      <c r="K158" s="30" t="n">
        <f aca="false">IF(SUM(H158:J158)&lt;0.00068287037037037,0,SUM(H158:J158))</f>
        <v>0</v>
      </c>
      <c r="L158" s="28" t="n">
        <f aca="false">IF(OR(F158="Congé",F158="OFF",M158="Abs",F158="Congé sans solde",F158="Férié",F158="Congé spécial",D158="Congé spécial"),0,IF(F158-E158&lt;0,0,IF(F158-E158&lt;=0.00068287037037037,0,F158-E158)))</f>
        <v>0</v>
      </c>
      <c r="M158" s="31" t="str">
        <f aca="false">IF(AND(O158&lt;&gt;0,C158=""),"Abs",0)</f>
        <v>Abs</v>
      </c>
      <c r="N158" s="32" t="str">
        <f aca="false">IFERROR(IF(OR(D158="OFF",D158="Congé",M158="Abs",D158="Congé sans solde",D158="Férié"),"",IF(O158-K158-L158&gt;O158,O158,IF(O158-K158-L158&lt;0,"",O158-K158-L158))),"")</f>
        <v/>
      </c>
      <c r="O158" s="33" t="n">
        <f aca="false">IF(AG158="2H Pause déjeuner",IF(F158-D158-0.0833333333333333&lt;0,F158-D158-0.0833333333333333+1,F158-D158-0.0833333333333333),IF(OR(AND(F158="OFF",D158="OFF"),AND(F158="Congé",D158="Congé"),AND(F158="Congé sans solde",D158="Congé sans solde"),AND(F158="Congé spécial",D158="Congé spécial"),AND(F158="Férié",D158="Férié"),AND(F158="OFF",D158="Congé"),AND(F158="OFF",D158="Congé sans solde"),AND(F158="OFF",D158="Congé spécial"),AND(F158="OFF",D158="Férié"),AND(F158="Congé",D158="OFF"),AND(F158="Congé",D158="Congé sans solde"),AND(F158="Congé",D158="Congé spécial"),AND(F158="Congé",D158="Férié"),AND(F158="Congé sans solde",D158="OFF"),AND(F158="Congé sans solde",D158="Congé"),AND(F158="Congé sans solde",D158="Congé spécial"),AND(F158="Congé sans solde",D158="Férié"),AND(F158="Congé spécial",D158="OFF"),AND(F158="Congé spécial",D158="Congé"),AND(F158="Congé spécial",D158="Congé sans solde"),AND(F158="Congé spécial",D158="Férié"),AND(F158="Férié",D158="OFF"),AND(F158="Férié",D158="Congé"),AND(F158="Férié",D158="Congé sans solde"),AND(F158="Férié",D158="Congé spécial")),0,IF(OR(F158="OFF",F158="Congé",F158="Congé spécial",F158="Congé sans solde",D158="OFF",D158="Congé",D158="Congé spécial",D158="Congé sans solde"),0.208333333333334,IF(AND(AG158="",F158-D158&lt;0),("24:00:00"-D158)+("00:00:00"+F158)-0.0416666666666667,IF(AND(OR(AG158="Allaitement",AG158="Sans déjeuner"),F158-D158&lt;0),("24:00:00"-D158)+("00:00:00"+F158),IF(AND(AG158="",F158-D158&gt;0.166666666666667),F158-D158-0.0416666666666667,IF(AND(OR(AG158="Allaitement",AG158="Sans déjeuner"),F158-D158&gt;0.166666666666667),F158-D158,F158-D158)))))))</f>
        <v>0.375</v>
      </c>
      <c r="P158" s="34" t="str">
        <f aca="false">IFERROR(VLOOKUP($B158,Annuaire_roster!$B:$G,MATCH(P$1,Annuaire_roster!$B$1:$G$1,0),0),"-")</f>
        <v>Google Leads</v>
      </c>
      <c r="Q158" s="35" t="n">
        <v>44721</v>
      </c>
      <c r="R158" s="36" t="n">
        <f aca="false">IF(M158="Abs",O158,0)</f>
        <v>0.375</v>
      </c>
      <c r="S158" s="36" t="n">
        <f aca="false">SUM(R158,L158,I158,J158,W158,H158)</f>
        <v>0.375</v>
      </c>
      <c r="T158" s="1" t="str">
        <f aca="false">"Sem - "&amp;WEEKNUM(Q158,21)</f>
        <v>Sem - 24</v>
      </c>
      <c r="U158" s="1" t="str">
        <f aca="false">PROPER(TEXT(Q158,"mmmm"))</f>
        <v>June</v>
      </c>
      <c r="V158" s="37" t="str">
        <f aca="false">+TEXT(Q158,"aaa")</f>
        <v>Wed</v>
      </c>
      <c r="W158" s="32"/>
      <c r="X158" s="38" t="n">
        <f aca="false">IFERROR(IF(M158="Abs",0,IF((D158-C158+E158-F158)&lt;0.000694444444444444,0,(D158-C158+E158-F158))),0)</f>
        <v>0</v>
      </c>
      <c r="Y158" s="39" t="str">
        <f aca="false">IFERROR(VLOOKUP(B158,Annuaire_roster!B:E,4,0),"-")</f>
        <v>OUAQERROUCH Nour-El Houda</v>
      </c>
      <c r="Z158" s="39" t="str">
        <f aca="false">IFERROR(VLOOKUP(B158,Annuaire_roster!B:F,3,0),"-")</f>
        <v>Google Leads</v>
      </c>
      <c r="AA158" s="39" t="str">
        <f aca="false">IFERROR(VLOOKUP(B158,Annuaire_roster!B:I,6,0),"-")</f>
        <v>Forfaitaire</v>
      </c>
      <c r="AB158" s="40" t="str">
        <f aca="false">IF(AND(D158="Congé",F158="Congé"),0.333333333333333,IF(OR(AND(D158="Congé",F158&lt;&gt;"Congé"),(AND(F158="Congé",D158&lt;&gt;"Congé"))),0.166666666666667,""))</f>
        <v/>
      </c>
      <c r="AC158" s="40" t="str">
        <f aca="false">IF(AND(D158="Congé sans solde",F158="Congé sans solde"),0.333333333333333,IF(OR(AND(D158="Congé sans solde",F158&lt;&gt;"Congé sans solde"),(AND(F158="Congé sans solde",D158&lt;&gt;"Congé sans solde"))),0.166666666666667,""))</f>
        <v/>
      </c>
      <c r="AD158" s="40" t="str">
        <f aca="false">IF(AND(D158="Congé spécial",F158="Congé spécial"),0.333333333333333,IF(OR(AND(D158="Congé spécial",F158&lt;&gt;"Congé décès"),(AND(F158="Congé spécial",D158&lt;&gt;"Congé spécial"))),0.166666666666667,""))</f>
        <v/>
      </c>
      <c r="AE158" s="41" t="str">
        <f aca="false">IF(AND(D158="Férié",F158="Férié"),0.333333333333333,IF(OR(AND(D158="Férié",F158&lt;&gt;"Férié"),(AND(F158="Férié",D158&lt;&gt;"Férié"))),0.166666666666667,""))</f>
        <v/>
      </c>
      <c r="AF158" s="41"/>
      <c r="AG158" s="36"/>
    </row>
    <row r="159" customFormat="false" ht="12.75" hidden="true" customHeight="true" outlineLevel="0" collapsed="false">
      <c r="A159" s="22" t="n">
        <f aca="false">VLOOKUP(B159,Annuaire_roster!B:F,5,0)</f>
        <v>0</v>
      </c>
      <c r="B159" s="23" t="s">
        <v>35</v>
      </c>
      <c r="C159" s="24" t="str">
        <f aca="false">IFERROR(IF(COUNTIFS(Pointage_brut!$E:$E,VLOOKUP($B159,Annuaire_roster!$B:$J,9,0),Pointage_brut!$A:$A,TEXT($Q159,"yyyymmdd")*1)=0,"",MOD(_xlfn.MINIFS(Pointage_brut!$F:$F,Pointage_brut!$E:$E,VLOOKUP($B159,Annuaire_roster!$B:$J,9,0),Pointage_brut!$A:$A,TEXT($Q159,"yyyymmdd")*1),1)),"")</f>
        <v/>
      </c>
      <c r="D159" s="25" t="n">
        <f aca="false" t="array" ref="D159:D159">IFERROR(INDEX(Planning2[],MATCH(1,(Planning2[Nom]=B159)*(Planning2[Date]=Q159),0),3),"-")</f>
        <v>0.291666666666667</v>
      </c>
      <c r="E159" s="26" t="str">
        <f aca="false">IFERROR(IF(COUNTIFS(Pointage_brut!$E:$E,VLOOKUP($B159,Annuaire_roster!$B:$J,9,0),Pointage_brut!$A:$A,TEXT($Q159,"yyyymmdd")*1)=0,"",MOD(_xlfn.MAXIFS(Pointage_brut!$G:$G,Pointage_brut!$E:$E,VLOOKUP($B159,Annuaire_roster!$B:$J,9,0),Pointage_brut!$A:$A,TEXT($Q159,"yyyymmdd")*1),1)),"")</f>
        <v/>
      </c>
      <c r="F159" s="27" t="n">
        <f aca="false" t="array" ref="F159:F159">IFERROR(INDEX(Planning2[],MATCH(1,(Planning2[Nom]=B159)*(Planning2[Date]=Q159),0),4),"-")</f>
        <v>0.708333333333333</v>
      </c>
      <c r="G159" s="28"/>
      <c r="H159" s="28"/>
      <c r="I159" s="29" t="str">
        <f aca="false">IF(IF(OR(C159="",D159="Congé",D159="OFF",D159="Congé spécial"),"",IF(D159&gt;F159,D159-C159,IF(C159-D159&lt;0,0,C159-D159)))&lt;0.00068287037037037,"",IF(OR(D159="Congé",D159="OFF",C159="",D159="Congé spécial"),"",IF(D159&gt;F159,D159-C159,IF(C159-D159&lt;0,0,C159-D159))))</f>
        <v/>
      </c>
      <c r="J159" s="28"/>
      <c r="K159" s="30" t="n">
        <f aca="false">IF(SUM(H159:J159)&lt;0.00068287037037037,0,SUM(H159:J159))</f>
        <v>0</v>
      </c>
      <c r="L159" s="28" t="n">
        <f aca="false">IF(OR(F159="Congé",F159="OFF",M159="Abs",F159="Congé sans solde",F159="Férié",F159="Congé spécial",D159="Congé spécial"),0,IF(F159-E159&lt;0,0,IF(F159-E159&lt;=0.00068287037037037,0,F159-E159)))</f>
        <v>0</v>
      </c>
      <c r="M159" s="31" t="str">
        <f aca="false">IF(AND(O159&lt;&gt;0,C159=""),"Abs",0)</f>
        <v>Abs</v>
      </c>
      <c r="N159" s="32" t="str">
        <f aca="false">IFERROR(IF(OR(D159="OFF",D159="Congé",M159="Abs",D159="Congé sans solde",D159="Férié"),"",IF(O159-K159-L159&gt;O159,O159,IF(O159-K159-L159&lt;0,"",O159-K159-L159))),"")</f>
        <v/>
      </c>
      <c r="O159" s="33" t="n">
        <f aca="false">IF(AG159="2H Pause déjeuner",IF(F159-D159-0.0833333333333333&lt;0,F159-D159-0.0833333333333333+1,F159-D159-0.0833333333333333),IF(OR(AND(F159="OFF",D159="OFF"),AND(F159="Congé",D159="Congé"),AND(F159="Congé sans solde",D159="Congé sans solde"),AND(F159="Congé spécial",D159="Congé spécial"),AND(F159="Férié",D159="Férié"),AND(F159="OFF",D159="Congé"),AND(F159="OFF",D159="Congé sans solde"),AND(F159="OFF",D159="Congé spécial"),AND(F159="OFF",D159="Férié"),AND(F159="Congé",D159="OFF"),AND(F159="Congé",D159="Congé sans solde"),AND(F159="Congé",D159="Congé spécial"),AND(F159="Congé",D159="Férié"),AND(F159="Congé sans solde",D159="OFF"),AND(F159="Congé sans solde",D159="Congé"),AND(F159="Congé sans solde",D159="Congé spécial"),AND(F159="Congé sans solde",D159="Férié"),AND(F159="Congé spécial",D159="OFF"),AND(F159="Congé spécial",D159="Congé"),AND(F159="Congé spécial",D159="Congé sans solde"),AND(F159="Congé spécial",D159="Férié"),AND(F159="Férié",D159="OFF"),AND(F159="Férié",D159="Congé"),AND(F159="Férié",D159="Congé sans solde"),AND(F159="Férié",D159="Congé spécial")),0,IF(OR(F159="OFF",F159="Congé",F159="Congé spécial",F159="Congé sans solde",D159="OFF",D159="Congé",D159="Congé spécial",D159="Congé sans solde"),0.208333333333334,IF(AND(AG159="",F159-D159&lt;0),("24:00:00"-D159)+("00:00:00"+F159)-0.0416666666666667,IF(AND(OR(AG159="Allaitement",AG159="Sans déjeuner"),F159-D159&lt;0),("24:00:00"-D159)+("00:00:00"+F159),IF(AND(AG159="",F159-D159&gt;0.166666666666667),F159-D159-0.0416666666666667,IF(AND(OR(AG159="Allaitement",AG159="Sans déjeuner"),F159-D159&gt;0.166666666666667),F159-D159,F159-D159)))))))</f>
        <v>0.375</v>
      </c>
      <c r="P159" s="34" t="str">
        <f aca="false">IFERROR(VLOOKUP($B159,Annuaire_roster!$B:$G,MATCH(P$1,Annuaire_roster!$B$1:$G$1,0),0),"-")</f>
        <v>Google Leads</v>
      </c>
      <c r="Q159" s="35" t="n">
        <v>44721</v>
      </c>
      <c r="R159" s="36" t="n">
        <f aca="false">IF(M159="Abs",O159,0)</f>
        <v>0.375</v>
      </c>
      <c r="S159" s="36" t="n">
        <f aca="false">SUM(R159,L159,I159,J159,W159,H159)</f>
        <v>0.375</v>
      </c>
      <c r="T159" s="1" t="str">
        <f aca="false">"Sem - "&amp;WEEKNUM(Q159,21)</f>
        <v>Sem - 24</v>
      </c>
      <c r="U159" s="1" t="str">
        <f aca="false">PROPER(TEXT(Q159,"mmmm"))</f>
        <v>June</v>
      </c>
      <c r="V159" s="37" t="str">
        <f aca="false">+TEXT(Q159,"aaa")</f>
        <v>Wed</v>
      </c>
      <c r="W159" s="32"/>
      <c r="X159" s="38" t="n">
        <f aca="false">IFERROR(IF(M159="Abs",0,IF((D159-C159+E159-F159)&lt;0.000694444444444444,0,(D159-C159+E159-F159))),0)</f>
        <v>0</v>
      </c>
      <c r="Y159" s="39" t="n">
        <f aca="false">IFERROR(VLOOKUP(B159,Annuaire_roster!B:E,4,0),"-")</f>
        <v>0</v>
      </c>
      <c r="Z159" s="39" t="str">
        <f aca="false">IFERROR(VLOOKUP(B159,Annuaire_roster!B:F,3,0),"-")</f>
        <v>Google Leads</v>
      </c>
      <c r="AA159" s="39" t="n">
        <f aca="false">IFERROR(VLOOKUP(B159,Annuaire_roster!B:I,6,0),"-")</f>
        <v>0</v>
      </c>
      <c r="AB159" s="40" t="str">
        <f aca="false">IF(AND(D159="Congé",F159="Congé"),0.333333333333333,IF(OR(AND(D159="Congé",F159&lt;&gt;"Congé"),(AND(F159="Congé",D159&lt;&gt;"Congé"))),0.166666666666667,""))</f>
        <v/>
      </c>
      <c r="AC159" s="40" t="str">
        <f aca="false">IF(AND(D159="Congé sans solde",F159="Congé sans solde"),0.333333333333333,IF(OR(AND(D159="Congé sans solde",F159&lt;&gt;"Congé sans solde"),(AND(F159="Congé sans solde",D159&lt;&gt;"Congé sans solde"))),0.166666666666667,""))</f>
        <v/>
      </c>
      <c r="AD159" s="40" t="str">
        <f aca="false">IF(AND(D159="Congé spécial",F159="Congé spécial"),0.333333333333333,IF(OR(AND(D159="Congé spécial",F159&lt;&gt;"Congé décès"),(AND(F159="Congé spécial",D159&lt;&gt;"Congé spécial"))),0.166666666666667,""))</f>
        <v/>
      </c>
      <c r="AE159" s="41" t="str">
        <f aca="false">IF(AND(D159="Férié",F159="Férié"),0.333333333333333,IF(OR(AND(D159="Férié",F159&lt;&gt;"Férié"),(AND(F159="Férié",D159&lt;&gt;"Férié"))),0.166666666666667,""))</f>
        <v/>
      </c>
      <c r="AF159" s="41"/>
      <c r="AG159" s="36"/>
    </row>
    <row r="160" customFormat="false" ht="12.75" hidden="true" customHeight="true" outlineLevel="0" collapsed="false">
      <c r="A160" s="22" t="n">
        <f aca="false">VLOOKUP(B160,Annuaire_roster!B:F,5,0)</f>
        <v>0</v>
      </c>
      <c r="B160" s="23" t="s">
        <v>36</v>
      </c>
      <c r="C160" s="24" t="str">
        <f aca="false">IFERROR(IF(COUNTIFS(Pointage_brut!$E:$E,VLOOKUP($B160,Annuaire_roster!$B:$J,9,0),Pointage_brut!$A:$A,TEXT($Q160,"yyyymmdd")*1)=0,"",MOD(_xlfn.MINIFS(Pointage_brut!$F:$F,Pointage_brut!$E:$E,VLOOKUP($B160,Annuaire_roster!$B:$J,9,0),Pointage_brut!$A:$A,TEXT($Q160,"yyyymmdd")*1),1)),"")</f>
        <v/>
      </c>
      <c r="D160" s="25" t="n">
        <f aca="false" t="array" ref="D160:D160">IFERROR(INDEX(Planning2[],MATCH(1,(Planning2[Nom]=B160)*(Planning2[Date]=Q160),0),3),"-")</f>
        <v>0.291666666666667</v>
      </c>
      <c r="E160" s="26" t="str">
        <f aca="false">IFERROR(IF(COUNTIFS(Pointage_brut!$E:$E,VLOOKUP($B160,Annuaire_roster!$B:$J,9,0),Pointage_brut!$A:$A,TEXT($Q160,"yyyymmdd")*1)=0,"",MOD(_xlfn.MAXIFS(Pointage_brut!$G:$G,Pointage_brut!$E:$E,VLOOKUP($B160,Annuaire_roster!$B:$J,9,0),Pointage_brut!$A:$A,TEXT($Q160,"yyyymmdd")*1),1)),"")</f>
        <v/>
      </c>
      <c r="F160" s="27" t="n">
        <f aca="false" t="array" ref="F160:F160">IFERROR(INDEX(Planning2[],MATCH(1,(Planning2[Nom]=B160)*(Planning2[Date]=Q160),0),4),"-")</f>
        <v>0.708333333333333</v>
      </c>
      <c r="G160" s="28"/>
      <c r="H160" s="28"/>
      <c r="I160" s="29" t="str">
        <f aca="false">IF(IF(OR(C160="",D160="Congé",D160="OFF",D160="Congé spécial"),"",IF(D160&gt;F160,D160-C160,IF(C160-D160&lt;0,0,C160-D160)))&lt;0.00068287037037037,"",IF(OR(D160="Congé",D160="OFF",C160="",D160="Congé spécial"),"",IF(D160&gt;F160,D160-C160,IF(C160-D160&lt;0,0,C160-D160))))</f>
        <v/>
      </c>
      <c r="J160" s="28"/>
      <c r="K160" s="30" t="n">
        <f aca="false">IF(SUM(H160:J160)&lt;0.00068287037037037,0,SUM(H160:J160))</f>
        <v>0</v>
      </c>
      <c r="L160" s="28" t="n">
        <f aca="false">IF(OR(F160="Congé",F160="OFF",M160="Abs",F160="Congé sans solde",F160="Férié",F160="Congé spécial",D160="Congé spécial"),0,IF(F160-E160&lt;0,0,IF(F160-E160&lt;=0.00068287037037037,0,F160-E160)))</f>
        <v>0</v>
      </c>
      <c r="M160" s="31" t="str">
        <f aca="false">IF(AND(O160&lt;&gt;0,C160=""),"Abs",0)</f>
        <v>Abs</v>
      </c>
      <c r="N160" s="32" t="str">
        <f aca="false">IFERROR(IF(OR(D160="OFF",D160="Congé",M160="Abs",D160="Congé sans solde",D160="Férié"),"",IF(O160-K160-L160&gt;O160,O160,IF(O160-K160-L160&lt;0,"",O160-K160-L160))),"")</f>
        <v/>
      </c>
      <c r="O160" s="33" t="n">
        <f aca="false">IF(AG160="2H Pause déjeuner",IF(F160-D160-0.0833333333333333&lt;0,F160-D160-0.0833333333333333+1,F160-D160-0.0833333333333333),IF(OR(AND(F160="OFF",D160="OFF"),AND(F160="Congé",D160="Congé"),AND(F160="Congé sans solde",D160="Congé sans solde"),AND(F160="Congé spécial",D160="Congé spécial"),AND(F160="Férié",D160="Férié"),AND(F160="OFF",D160="Congé"),AND(F160="OFF",D160="Congé sans solde"),AND(F160="OFF",D160="Congé spécial"),AND(F160="OFF",D160="Férié"),AND(F160="Congé",D160="OFF"),AND(F160="Congé",D160="Congé sans solde"),AND(F160="Congé",D160="Congé spécial"),AND(F160="Congé",D160="Férié"),AND(F160="Congé sans solde",D160="OFF"),AND(F160="Congé sans solde",D160="Congé"),AND(F160="Congé sans solde",D160="Congé spécial"),AND(F160="Congé sans solde",D160="Férié"),AND(F160="Congé spécial",D160="OFF"),AND(F160="Congé spécial",D160="Congé"),AND(F160="Congé spécial",D160="Congé sans solde"),AND(F160="Congé spécial",D160="Férié"),AND(F160="Férié",D160="OFF"),AND(F160="Férié",D160="Congé"),AND(F160="Férié",D160="Congé sans solde"),AND(F160="Férié",D160="Congé spécial")),0,IF(OR(F160="OFF",F160="Congé",F160="Congé spécial",F160="Congé sans solde",D160="OFF",D160="Congé",D160="Congé spécial",D160="Congé sans solde"),0.208333333333334,IF(AND(AG160="",F160-D160&lt;0),("24:00:00"-D160)+("00:00:00"+F160)-0.0416666666666667,IF(AND(OR(AG160="Allaitement",AG160="Sans déjeuner"),F160-D160&lt;0),("24:00:00"-D160)+("00:00:00"+F160),IF(AND(AG160="",F160-D160&gt;0.166666666666667),F160-D160-0.0416666666666667,IF(AND(OR(AG160="Allaitement",AG160="Sans déjeuner"),F160-D160&gt;0.166666666666667),F160-D160,F160-D160)))))))</f>
        <v>0.375</v>
      </c>
      <c r="P160" s="34" t="str">
        <f aca="false">IFERROR(VLOOKUP($B160,Annuaire_roster!$B:$G,MATCH(P$1,Annuaire_roster!$B$1:$G$1,0),0),"-")</f>
        <v>Google Leads</v>
      </c>
      <c r="Q160" s="35" t="n">
        <v>44721</v>
      </c>
      <c r="R160" s="36" t="n">
        <f aca="false">IF(M160="Abs",O160,0)</f>
        <v>0.375</v>
      </c>
      <c r="S160" s="36" t="n">
        <f aca="false">SUM(R160,L160,I160,J160,W160,H160)</f>
        <v>0.375</v>
      </c>
      <c r="T160" s="1" t="str">
        <f aca="false">"Sem - "&amp;WEEKNUM(Q160,21)</f>
        <v>Sem - 24</v>
      </c>
      <c r="U160" s="1" t="str">
        <f aca="false">PROPER(TEXT(Q160,"mmmm"))</f>
        <v>June</v>
      </c>
      <c r="V160" s="37" t="str">
        <f aca="false">+TEXT(Q160,"aaa")</f>
        <v>Wed</v>
      </c>
      <c r="W160" s="32"/>
      <c r="X160" s="38" t="n">
        <f aca="false">IFERROR(IF(M160="Abs",0,IF((D160-C160+E160-F160)&lt;0.000694444444444444,0,(D160-C160+E160-F160))),0)</f>
        <v>0</v>
      </c>
      <c r="Y160" s="39" t="n">
        <f aca="false">IFERROR(VLOOKUP(B160,Annuaire_roster!B:E,4,0),"-")</f>
        <v>0</v>
      </c>
      <c r="Z160" s="39" t="str">
        <f aca="false">IFERROR(VLOOKUP(B160,Annuaire_roster!B:F,3,0),"-")</f>
        <v>Google Leads</v>
      </c>
      <c r="AA160" s="39" t="n">
        <f aca="false">IFERROR(VLOOKUP(B160,Annuaire_roster!B:I,6,0),"-")</f>
        <v>0</v>
      </c>
      <c r="AB160" s="40" t="str">
        <f aca="false">IF(AND(D160="Congé",F160="Congé"),0.333333333333333,IF(OR(AND(D160="Congé",F160&lt;&gt;"Congé"),(AND(F160="Congé",D160&lt;&gt;"Congé"))),0.166666666666667,""))</f>
        <v/>
      </c>
      <c r="AC160" s="40" t="str">
        <f aca="false">IF(AND(D160="Congé sans solde",F160="Congé sans solde"),0.333333333333333,IF(OR(AND(D160="Congé sans solde",F160&lt;&gt;"Congé sans solde"),(AND(F160="Congé sans solde",D160&lt;&gt;"Congé sans solde"))),0.166666666666667,""))</f>
        <v/>
      </c>
      <c r="AD160" s="40" t="str">
        <f aca="false">IF(AND(D160="Congé spécial",F160="Congé spécial"),0.333333333333333,IF(OR(AND(D160="Congé spécial",F160&lt;&gt;"Congé décès"),(AND(F160="Congé spécial",D160&lt;&gt;"Congé spécial"))),0.166666666666667,""))</f>
        <v/>
      </c>
      <c r="AE160" s="41" t="str">
        <f aca="false">IF(AND(D160="Férié",F160="Férié"),0.333333333333333,IF(OR(AND(D160="Férié",F160&lt;&gt;"Férié"),(AND(F160="Férié",D160&lt;&gt;"Férié"))),0.166666666666667,""))</f>
        <v/>
      </c>
      <c r="AF160" s="41"/>
      <c r="AG160" s="36"/>
    </row>
    <row r="161" customFormat="false" ht="12.75" hidden="true" customHeight="true" outlineLevel="0" collapsed="false">
      <c r="A161" s="22" t="n">
        <f aca="false">VLOOKUP(B161,Annuaire_roster!B:F,5,0)</f>
        <v>0</v>
      </c>
      <c r="B161" s="23" t="s">
        <v>37</v>
      </c>
      <c r="C161" s="24" t="str">
        <f aca="false">IFERROR(IF(COUNTIFS(Pointage_brut!$E:$E,VLOOKUP($B161,Annuaire_roster!$B:$J,9,0),Pointage_brut!$A:$A,TEXT($Q161,"yyyymmdd")*1)=0,"",MOD(_xlfn.MINIFS(Pointage_brut!$F:$F,Pointage_brut!$E:$E,VLOOKUP($B161,Annuaire_roster!$B:$J,9,0),Pointage_brut!$A:$A,TEXT($Q161,"yyyymmdd")*1),1)),"")</f>
        <v/>
      </c>
      <c r="D161" s="25" t="str">
        <f aca="false" t="array" ref="D161:D161">IFERROR(INDEX(Planning2[],MATCH(1,(Planning2[Nom]=B161)*(Planning2[Date]=Q161),0),3),"-")</f>
        <v>OFF</v>
      </c>
      <c r="E161" s="26" t="str">
        <f aca="false">IFERROR(IF(COUNTIFS(Pointage_brut!$E:$E,VLOOKUP($B161,Annuaire_roster!$B:$J,9,0),Pointage_brut!$A:$A,TEXT($Q161,"yyyymmdd")*1)=0,"",MOD(_xlfn.MAXIFS(Pointage_brut!$G:$G,Pointage_brut!$E:$E,VLOOKUP($B161,Annuaire_roster!$B:$J,9,0),Pointage_brut!$A:$A,TEXT($Q161,"yyyymmdd")*1),1)),"")</f>
        <v/>
      </c>
      <c r="F161" s="27" t="str">
        <f aca="false" t="array" ref="F161:F161">IFERROR(INDEX(Planning2[],MATCH(1,(Planning2[Nom]=B161)*(Planning2[Date]=Q161),0),4),"-")</f>
        <v>OFF</v>
      </c>
      <c r="G161" s="28"/>
      <c r="H161" s="28"/>
      <c r="I161" s="29" t="str">
        <f aca="false">IF(IF(OR(C161="",D161="Congé",D161="OFF",D161="Congé spécial"),"",IF(D161&gt;F161,D161-C161,IF(C161-D161&lt;0,0,C161-D161)))&lt;0.00068287037037037,"",IF(OR(D161="Congé",D161="OFF",C161="",D161="Congé spécial"),"",IF(D161&gt;F161,D161-C161,IF(C161-D161&lt;0,0,C161-D161))))</f>
        <v/>
      </c>
      <c r="J161" s="28"/>
      <c r="K161" s="30" t="n">
        <f aca="false">IF(SUM(H161:J161)&lt;0.00068287037037037,0,SUM(H161:J161))</f>
        <v>0</v>
      </c>
      <c r="L161" s="28" t="n">
        <f aca="false">IF(OR(F161="Congé",F161="OFF",M161="Abs",F161="Congé sans solde",F161="Férié",F161="Congé spécial",D161="Congé spécial"),0,IF(F161-E161&lt;0,0,IF(F161-E161&lt;=0.00068287037037037,0,F161-E161)))</f>
        <v>0</v>
      </c>
      <c r="M161" s="31" t="n">
        <f aca="false">IF(AND(O161&lt;&gt;0,C161=""),"Abs",0)</f>
        <v>0</v>
      </c>
      <c r="N161" s="32" t="str">
        <f aca="false">IFERROR(IF(OR(D161="OFF",D161="Congé",M161="Abs",D161="Congé sans solde",D161="Férié"),"",IF(O161-K161-L161&gt;O161,O161,IF(O161-K161-L161&lt;0,"",O161-K161-L161))),"")</f>
        <v/>
      </c>
      <c r="O161" s="33" t="n">
        <f aca="false">IF(AG161="2H Pause déjeuner",IF(F161-D161-0.0833333333333333&lt;0,F161-D161-0.0833333333333333+1,F161-D161-0.0833333333333333),IF(OR(AND(F161="OFF",D161="OFF"),AND(F161="Congé",D161="Congé"),AND(F161="Congé sans solde",D161="Congé sans solde"),AND(F161="Congé spécial",D161="Congé spécial"),AND(F161="Férié",D161="Férié"),AND(F161="OFF",D161="Congé"),AND(F161="OFF",D161="Congé sans solde"),AND(F161="OFF",D161="Congé spécial"),AND(F161="OFF",D161="Férié"),AND(F161="Congé",D161="OFF"),AND(F161="Congé",D161="Congé sans solde"),AND(F161="Congé",D161="Congé spécial"),AND(F161="Congé",D161="Férié"),AND(F161="Congé sans solde",D161="OFF"),AND(F161="Congé sans solde",D161="Congé"),AND(F161="Congé sans solde",D161="Congé spécial"),AND(F161="Congé sans solde",D161="Férié"),AND(F161="Congé spécial",D161="OFF"),AND(F161="Congé spécial",D161="Congé"),AND(F161="Congé spécial",D161="Congé sans solde"),AND(F161="Congé spécial",D161="Férié"),AND(F161="Férié",D161="OFF"),AND(F161="Férié",D161="Congé"),AND(F161="Férié",D161="Congé sans solde"),AND(F161="Férié",D161="Congé spécial")),0,IF(OR(F161="OFF",F161="Congé",F161="Congé spécial",F161="Congé sans solde",D161="OFF",D161="Congé",D161="Congé spécial",D161="Congé sans solde"),0.208333333333334,IF(AND(AG161="",F161-D161&lt;0),("24:00:00"-D161)+("00:00:00"+F161)-0.0416666666666667,IF(AND(OR(AG161="Allaitement",AG161="Sans déjeuner"),F161-D161&lt;0),("24:00:00"-D161)+("00:00:00"+F161),IF(AND(AG161="",F161-D161&gt;0.166666666666667),F161-D161-0.0416666666666667,IF(AND(OR(AG161="Allaitement",AG161="Sans déjeuner"),F161-D161&gt;0.166666666666667),F161-D161,F161-D161)))))))</f>
        <v>0</v>
      </c>
      <c r="P161" s="34" t="str">
        <f aca="false">IFERROR(VLOOKUP($B161,Annuaire_roster!$B:$G,MATCH(P$1,Annuaire_roster!$B$1:$G$1,0),0),"-")</f>
        <v>Google Leads</v>
      </c>
      <c r="Q161" s="35" t="n">
        <v>44721</v>
      </c>
      <c r="R161" s="36" t="n">
        <f aca="false">IF(M161="Abs",O161,0)</f>
        <v>0</v>
      </c>
      <c r="S161" s="36" t="n">
        <f aca="false">SUM(R161,L161,I161,J161,W161,H161)</f>
        <v>0</v>
      </c>
      <c r="T161" s="1" t="str">
        <f aca="false">"Sem - "&amp;WEEKNUM(Q161,21)</f>
        <v>Sem - 24</v>
      </c>
      <c r="U161" s="1" t="str">
        <f aca="false">PROPER(TEXT(Q161,"mmmm"))</f>
        <v>June</v>
      </c>
      <c r="V161" s="37" t="str">
        <f aca="false">+TEXT(Q161,"aaa")</f>
        <v>Wed</v>
      </c>
      <c r="W161" s="32"/>
      <c r="X161" s="38" t="n">
        <f aca="false">IFERROR(IF(M161="Abs",0,IF((D161-C161+E161-F161)&lt;0.000694444444444444,0,(D161-C161+E161-F161))),0)</f>
        <v>0</v>
      </c>
      <c r="Y161" s="39" t="n">
        <f aca="false">IFERROR(VLOOKUP(B161,Annuaire_roster!B:E,4,0),"-")</f>
        <v>0</v>
      </c>
      <c r="Z161" s="39" t="str">
        <f aca="false">IFERROR(VLOOKUP(B161,Annuaire_roster!B:F,3,0),"-")</f>
        <v>Google Leads</v>
      </c>
      <c r="AA161" s="39" t="n">
        <f aca="false">IFERROR(VLOOKUP(B161,Annuaire_roster!B:I,6,0),"-")</f>
        <v>0</v>
      </c>
      <c r="AB161" s="40" t="str">
        <f aca="false">IF(AND(D161="Congé",F161="Congé"),0.333333333333333,IF(OR(AND(D161="Congé",F161&lt;&gt;"Congé"),(AND(F161="Congé",D161&lt;&gt;"Congé"))),0.166666666666667,""))</f>
        <v/>
      </c>
      <c r="AC161" s="40" t="str">
        <f aca="false">IF(AND(D161="Congé sans solde",F161="Congé sans solde"),0.333333333333333,IF(OR(AND(D161="Congé sans solde",F161&lt;&gt;"Congé sans solde"),(AND(F161="Congé sans solde",D161&lt;&gt;"Congé sans solde"))),0.166666666666667,""))</f>
        <v/>
      </c>
      <c r="AD161" s="40" t="str">
        <f aca="false">IF(AND(D161="Congé spécial",F161="Congé spécial"),0.333333333333333,IF(OR(AND(D161="Congé spécial",F161&lt;&gt;"Congé décès"),(AND(F161="Congé spécial",D161&lt;&gt;"Congé spécial"))),0.166666666666667,""))</f>
        <v/>
      </c>
      <c r="AE161" s="41" t="str">
        <f aca="false">IF(AND(D161="Férié",F161="Férié"),0.333333333333333,IF(OR(AND(D161="Férié",F161&lt;&gt;"Férié"),(AND(F161="Férié",D161&lt;&gt;"Férié"))),0.166666666666667,""))</f>
        <v/>
      </c>
      <c r="AF161" s="41"/>
      <c r="AG161" s="36"/>
    </row>
    <row r="162" customFormat="false" ht="12.75" hidden="false" customHeight="true" outlineLevel="0" collapsed="false">
      <c r="A162" s="22" t="n">
        <f aca="false">VLOOKUP(B162,Annuaire_roster!B:F,5,0)</f>
        <v>364</v>
      </c>
      <c r="B162" s="23" t="s">
        <v>43</v>
      </c>
      <c r="C162" s="24" t="str">
        <f aca="false">IFERROR(IF(COUNTIFS(Pointage_brut!$E:$E,VLOOKUP($B162,Annuaire_roster!$B:$J,9,0),Pointage_brut!$A:$A,TEXT($Q162,"yyyymmdd")*1)=0,"",MOD(_xlfn.MINIFS(Pointage_brut!$F:$F,Pointage_brut!$E:$E,VLOOKUP($B162,Annuaire_roster!$B:$J,9,0),Pointage_brut!$A:$A,TEXT($Q162,"yyyymmdd")*1),1)),"")</f>
        <v/>
      </c>
      <c r="D162" s="25" t="n">
        <f aca="false" t="array" ref="D162:D162">IFERROR(INDEX(Planning2[],MATCH(1,(Planning2[Nom]=B162)*(Planning2[Date]=Q162),0),3),"-")</f>
        <v>0.291666666666667</v>
      </c>
      <c r="E162" s="26" t="str">
        <f aca="false">IFERROR(IF(COUNTIFS(Pointage_brut!$E:$E,VLOOKUP($B162,Annuaire_roster!$B:$J,9,0),Pointage_brut!$A:$A,TEXT($Q162,"yyyymmdd")*1)=0,"",MOD(_xlfn.MAXIFS(Pointage_brut!$G:$G,Pointage_brut!$E:$E,VLOOKUP($B162,Annuaire_roster!$B:$J,9,0),Pointage_brut!$A:$A,TEXT($Q162,"yyyymmdd")*1),1)),"")</f>
        <v/>
      </c>
      <c r="F162" s="27" t="n">
        <f aca="false" t="array" ref="F162:F162">IFERROR(INDEX(Planning2[],MATCH(1,(Planning2[Nom]=B162)*(Planning2[Date]=Q162),0),4),"-")</f>
        <v>0.666666666666667</v>
      </c>
      <c r="G162" s="28"/>
      <c r="H162" s="28"/>
      <c r="I162" s="29" t="str">
        <f aca="false">IF(IF(OR(C162="",D162="Congé",D162="OFF",D162="Congé spécial"),"",IF(D162&gt;F162,D162-C162,IF(C162-D162&lt;0,0,C162-D162)))&lt;0.00068287037037037,"",IF(OR(D162="Congé",D162="OFF",C162="",D162="Congé spécial"),"",IF(D162&gt;F162,D162-C162,IF(C162-D162&lt;0,0,C162-D162))))</f>
        <v/>
      </c>
      <c r="J162" s="28"/>
      <c r="K162" s="30" t="n">
        <f aca="false">IF(SUM(H162:J162)&lt;0.00068287037037037,0,SUM(H162:J162))</f>
        <v>0</v>
      </c>
      <c r="L162" s="28" t="n">
        <f aca="false">IF(OR(F162="Congé",F162="OFF",M162="Abs",F162="Congé sans solde",F162="Férié",F162="Congé spécial",D162="Congé spécial"),0,IF(F162-E162&lt;0,0,IF(F162-E162&lt;=0.00068287037037037,0,F162-E162)))</f>
        <v>0</v>
      </c>
      <c r="M162" s="31" t="str">
        <f aca="false">IF(AND(O162&lt;&gt;0,C162=""),"Abs",0)</f>
        <v>Abs</v>
      </c>
      <c r="N162" s="32" t="str">
        <f aca="false">IFERROR(IF(OR(D162="OFF",D162="Congé",M162="Abs",D162="Congé sans solde",D162="Férié"),"",IF(O162-K162-L162&gt;O162,O162,IF(O162-K162-L162&lt;0,"",O162-K162-L162))),"")</f>
        <v/>
      </c>
      <c r="O162" s="33" t="n">
        <f aca="false">IF(AG162="2H Pause déjeuner",IF(F162-D162-0.0833333333333333&lt;0,F162-D162-0.0833333333333333+1,F162-D162-0.0833333333333333),IF(OR(AND(F162="OFF",D162="OFF"),AND(F162="Congé",D162="Congé"),AND(F162="Congé sans solde",D162="Congé sans solde"),AND(F162="Congé spécial",D162="Congé spécial"),AND(F162="Férié",D162="Férié"),AND(F162="OFF",D162="Congé"),AND(F162="OFF",D162="Congé sans solde"),AND(F162="OFF",D162="Congé spécial"),AND(F162="OFF",D162="Férié"),AND(F162="Congé",D162="OFF"),AND(F162="Congé",D162="Congé sans solde"),AND(F162="Congé",D162="Congé spécial"),AND(F162="Congé",D162="Férié"),AND(F162="Congé sans solde",D162="OFF"),AND(F162="Congé sans solde",D162="Congé"),AND(F162="Congé sans solde",D162="Congé spécial"),AND(F162="Congé sans solde",D162="Férié"),AND(F162="Congé spécial",D162="OFF"),AND(F162="Congé spécial",D162="Congé"),AND(F162="Congé spécial",D162="Congé sans solde"),AND(F162="Congé spécial",D162="Férié"),AND(F162="Férié",D162="OFF"),AND(F162="Férié",D162="Congé"),AND(F162="Férié",D162="Congé sans solde"),AND(F162="Férié",D162="Congé spécial")),0,IF(OR(F162="OFF",F162="Congé",F162="Congé spécial",F162="Congé sans solde",D162="OFF",D162="Congé",D162="Congé spécial",D162="Congé sans solde"),0.208333333333334,IF(AND(AG162="",F162-D162&lt;0),("24:00:00"-D162)+("00:00:00"+F162)-0.0416666666666667,IF(AND(OR(AG162="Allaitement",AG162="Sans déjeuner"),F162-D162&lt;0),("24:00:00"-D162)+("00:00:00"+F162),IF(AND(AG162="",F162-D162&gt;0.166666666666667),F162-D162-0.0416666666666667,IF(AND(OR(AG162="Allaitement",AG162="Sans déjeuner"),F162-D162&gt;0.166666666666667),F162-D162,F162-D162)))))))</f>
        <v>0.333333333333333</v>
      </c>
      <c r="P162" s="34" t="str">
        <f aca="false">IFERROR(VLOOKUP($B162,Annuaire_roster!$B:$G,MATCH(P$1,Annuaire_roster!$B$1:$G$1,0),0),"-")</f>
        <v>Google Leads</v>
      </c>
      <c r="Q162" s="35" t="n">
        <v>44722</v>
      </c>
      <c r="R162" s="36" t="n">
        <f aca="false">IF(M162="Abs",O162,0)</f>
        <v>0.333333333333333</v>
      </c>
      <c r="S162" s="36" t="n">
        <f aca="false">SUM(R162,L162,I162,J162,W162,H162)</f>
        <v>0.333333333333333</v>
      </c>
      <c r="T162" s="1" t="str">
        <f aca="false">"Sem - "&amp;WEEKNUM(Q162,21)</f>
        <v>Sem - 24</v>
      </c>
      <c r="U162" s="1" t="str">
        <f aca="false">PROPER(TEXT(Q162,"mmmm"))</f>
        <v>June</v>
      </c>
      <c r="V162" s="37" t="str">
        <f aca="false">+TEXT(Q162,"aaa")</f>
        <v>Thu</v>
      </c>
      <c r="W162" s="32"/>
      <c r="X162" s="38" t="n">
        <f aca="false">IFERROR(IF(M162="Abs",0,IF((D162-C162+E162-F162)&lt;0.000694444444444444,0,(D162-C162+E162-F162))),0)</f>
        <v>0</v>
      </c>
      <c r="Y162" s="39" t="str">
        <f aca="false">IFERROR(VLOOKUP(B162,Annuaire_roster!B:E,4,0),"-")</f>
        <v>OUAQERROUCH Nour-El Houda</v>
      </c>
      <c r="Z162" s="39" t="str">
        <f aca="false">IFERROR(VLOOKUP(B162,Annuaire_roster!B:F,3,0),"-")</f>
        <v>Google Leads</v>
      </c>
      <c r="AA162" s="39" t="str">
        <f aca="false">IFERROR(VLOOKUP(B162,Annuaire_roster!B:I,6,0),"-")</f>
        <v>Forfaitaire</v>
      </c>
      <c r="AB162" s="40" t="str">
        <f aca="false">IF(AND(D162="Congé",F162="Congé"),0.333333333333333,IF(OR(AND(D162="Congé",F162&lt;&gt;"Congé"),(AND(F162="Congé",D162&lt;&gt;"Congé"))),0.166666666666667,""))</f>
        <v/>
      </c>
      <c r="AC162" s="40" t="str">
        <f aca="false">IF(AND(D162="Congé sans solde",F162="Congé sans solde"),0.333333333333333,IF(OR(AND(D162="Congé sans solde",F162&lt;&gt;"Congé sans solde"),(AND(F162="Congé sans solde",D162&lt;&gt;"Congé sans solde"))),0.166666666666667,""))</f>
        <v/>
      </c>
      <c r="AD162" s="40" t="str">
        <f aca="false">IF(AND(D162="Congé spécial",F162="Congé spécial"),0.333333333333333,IF(OR(AND(D162="Congé spécial",F162&lt;&gt;"Congé décès"),(AND(F162="Congé spécial",D162&lt;&gt;"Congé spécial"))),0.166666666666667,""))</f>
        <v/>
      </c>
      <c r="AE162" s="41" t="str">
        <f aca="false">IF(AND(D162="Férié",F162="Férié"),0.333333333333333,IF(OR(AND(D162="Férié",F162&lt;&gt;"Férié"),(AND(F162="Férié",D162&lt;&gt;"Férié"))),0.166666666666667,""))</f>
        <v/>
      </c>
      <c r="AF162" s="41"/>
      <c r="AG162" s="36"/>
    </row>
    <row r="163" customFormat="false" ht="12.75" hidden="false" customHeight="true" outlineLevel="0" collapsed="false">
      <c r="A163" s="22" t="n">
        <f aca="false">VLOOKUP(B163,Annuaire_roster!B:F,5,0)</f>
        <v>669</v>
      </c>
      <c r="B163" s="23" t="s">
        <v>38</v>
      </c>
      <c r="C163" s="24" t="str">
        <f aca="false">IFERROR(IF(COUNTIFS(Pointage_brut!$E:$E,VLOOKUP($B163,Annuaire_roster!$B:$J,9,0),Pointage_brut!$A:$A,TEXT($Q163,"yyyymmdd")*1)=0,"",MOD(_xlfn.MINIFS(Pointage_brut!$F:$F,Pointage_brut!$E:$E,VLOOKUP($B163,Annuaire_roster!$B:$J,9,0),Pointage_brut!$A:$A,TEXT($Q163,"yyyymmdd")*1),1)),"")</f>
        <v/>
      </c>
      <c r="D163" s="25" t="n">
        <f aca="false" t="array" ref="D163:D163">IFERROR(INDEX(Planning2[],MATCH(1,(Planning2[Nom]=B163)*(Planning2[Date]=Q163),0),3),"-")</f>
        <v>0.291666666666667</v>
      </c>
      <c r="E163" s="26" t="str">
        <f aca="false">IFERROR(IF(COUNTIFS(Pointage_brut!$E:$E,VLOOKUP($B163,Annuaire_roster!$B:$J,9,0),Pointage_brut!$A:$A,TEXT($Q163,"yyyymmdd")*1)=0,"",MOD(_xlfn.MAXIFS(Pointage_brut!$G:$G,Pointage_brut!$E:$E,VLOOKUP($B163,Annuaire_roster!$B:$J,9,0),Pointage_brut!$A:$A,TEXT($Q163,"yyyymmdd")*1),1)),"")</f>
        <v/>
      </c>
      <c r="F163" s="27" t="n">
        <f aca="false" t="array" ref="F163:F163">IFERROR(INDEX(Planning2[],MATCH(1,(Planning2[Nom]=B163)*(Planning2[Date]=Q163),0),4),"-")</f>
        <v>0.666666666666667</v>
      </c>
      <c r="G163" s="28"/>
      <c r="H163" s="28"/>
      <c r="I163" s="29" t="str">
        <f aca="false">IF(IF(OR(C163="",D163="Congé",D163="OFF",D163="Congé spécial"),"",IF(D163&gt;F163,D163-C163,IF(C163-D163&lt;0,0,C163-D163)))&lt;0.00068287037037037,"",IF(OR(D163="Congé",D163="OFF",C163="",D163="Congé spécial"),"",IF(D163&gt;F163,D163-C163,IF(C163-D163&lt;0,0,C163-D163))))</f>
        <v/>
      </c>
      <c r="J163" s="28"/>
      <c r="K163" s="30" t="n">
        <f aca="false">IF(SUM(H163:J163)&lt;0.00068287037037037,0,SUM(H163:J163))</f>
        <v>0</v>
      </c>
      <c r="L163" s="28" t="n">
        <f aca="false">IF(OR(F163="Congé",F163="OFF",M163="Abs",F163="Congé sans solde",F163="Férié",F163="Congé spécial",D163="Congé spécial"),0,IF(F163-E163&lt;0,0,IF(F163-E163&lt;=0.00068287037037037,0,F163-E163)))</f>
        <v>0</v>
      </c>
      <c r="M163" s="31" t="str">
        <f aca="false">IF(AND(O163&lt;&gt;0,C163=""),"Abs",0)</f>
        <v>Abs</v>
      </c>
      <c r="N163" s="32" t="str">
        <f aca="false">IFERROR(IF(OR(D163="OFF",D163="Congé",M163="Abs",D163="Congé sans solde",D163="Férié"),"",IF(O163-K163-L163&gt;O163,O163,IF(O163-K163-L163&lt;0,"",O163-K163-L163))),"")</f>
        <v/>
      </c>
      <c r="O163" s="33" t="n">
        <f aca="false">IF(AG163="2H Pause déjeuner",IF(F163-D163-0.0833333333333333&lt;0,F163-D163-0.0833333333333333+1,F163-D163-0.0833333333333333),IF(OR(AND(F163="OFF",D163="OFF"),AND(F163="Congé",D163="Congé"),AND(F163="Congé sans solde",D163="Congé sans solde"),AND(F163="Congé spécial",D163="Congé spécial"),AND(F163="Férié",D163="Férié"),AND(F163="OFF",D163="Congé"),AND(F163="OFF",D163="Congé sans solde"),AND(F163="OFF",D163="Congé spécial"),AND(F163="OFF",D163="Férié"),AND(F163="Congé",D163="OFF"),AND(F163="Congé",D163="Congé sans solde"),AND(F163="Congé",D163="Congé spécial"),AND(F163="Congé",D163="Férié"),AND(F163="Congé sans solde",D163="OFF"),AND(F163="Congé sans solde",D163="Congé"),AND(F163="Congé sans solde",D163="Congé spécial"),AND(F163="Congé sans solde",D163="Férié"),AND(F163="Congé spécial",D163="OFF"),AND(F163="Congé spécial",D163="Congé"),AND(F163="Congé spécial",D163="Congé sans solde"),AND(F163="Congé spécial",D163="Férié"),AND(F163="Férié",D163="OFF"),AND(F163="Férié",D163="Congé"),AND(F163="Férié",D163="Congé sans solde"),AND(F163="Férié",D163="Congé spécial")),0,IF(OR(F163="OFF",F163="Congé",F163="Congé spécial",F163="Congé sans solde",D163="OFF",D163="Congé",D163="Congé spécial",D163="Congé sans solde"),0.208333333333334,IF(AND(AG163="",F163-D163&lt;0),("24:00:00"-D163)+("00:00:00"+F163)-0.0416666666666667,IF(AND(OR(AG163="Allaitement",AG163="Sans déjeuner"),F163-D163&lt;0),("24:00:00"-D163)+("00:00:00"+F163),IF(AND(AG163="",F163-D163&gt;0.166666666666667),F163-D163-0.0416666666666667,IF(AND(OR(AG163="Allaitement",AG163="Sans déjeuner"),F163-D163&gt;0.166666666666667),F163-D163,F163-D163)))))))</f>
        <v>0.333333333333333</v>
      </c>
      <c r="P163" s="34" t="str">
        <f aca="false">IFERROR(VLOOKUP($B163,Annuaire_roster!$B:$G,MATCH(P$1,Annuaire_roster!$B$1:$G$1,0),0),"-")</f>
        <v>Google Leads</v>
      </c>
      <c r="Q163" s="35" t="n">
        <v>44722</v>
      </c>
      <c r="R163" s="36" t="n">
        <f aca="false">IF(M163="Abs",O163,0)</f>
        <v>0.333333333333333</v>
      </c>
      <c r="S163" s="36" t="n">
        <f aca="false">SUM(R163,L163,I163,J163,W163,H163)</f>
        <v>0.333333333333333</v>
      </c>
      <c r="T163" s="1" t="str">
        <f aca="false">"Sem - "&amp;WEEKNUM(Q163,21)</f>
        <v>Sem - 24</v>
      </c>
      <c r="U163" s="1" t="str">
        <f aca="false">PROPER(TEXT(Q163,"mmmm"))</f>
        <v>June</v>
      </c>
      <c r="V163" s="37" t="str">
        <f aca="false">+TEXT(Q163,"aaa")</f>
        <v>Thu</v>
      </c>
      <c r="W163" s="32"/>
      <c r="X163" s="38" t="n">
        <f aca="false">IFERROR(IF(M163="Abs",0,IF((D163-C163+E163-F163)&lt;0.000694444444444444,0,(D163-C163+E163-F163))),0)</f>
        <v>0</v>
      </c>
      <c r="Y163" s="39" t="str">
        <f aca="false">IFERROR(VLOOKUP(B163,Annuaire_roster!B:E,4,0),"-")</f>
        <v>CHOUIFI Mustapha</v>
      </c>
      <c r="Z163" s="39" t="str">
        <f aca="false">IFERROR(VLOOKUP(B163,Annuaire_roster!B:F,3,0),"-")</f>
        <v>Google Leads</v>
      </c>
      <c r="AA163" s="39" t="str">
        <f aca="false">IFERROR(VLOOKUP(B163,Annuaire_roster!B:I,6,0),"-")</f>
        <v>Forfaitaire</v>
      </c>
      <c r="AB163" s="40" t="str">
        <f aca="false">IF(AND(D163="Congé",F163="Congé"),0.333333333333333,IF(OR(AND(D163="Congé",F163&lt;&gt;"Congé"),(AND(F163="Congé",D163&lt;&gt;"Congé"))),0.166666666666667,""))</f>
        <v/>
      </c>
      <c r="AC163" s="40" t="str">
        <f aca="false">IF(AND(D163="Congé sans solde",F163="Congé sans solde"),0.333333333333333,IF(OR(AND(D163="Congé sans solde",F163&lt;&gt;"Congé sans solde"),(AND(F163="Congé sans solde",D163&lt;&gt;"Congé sans solde"))),0.166666666666667,""))</f>
        <v/>
      </c>
      <c r="AD163" s="40" t="str">
        <f aca="false">IF(AND(D163="Congé spécial",F163="Congé spécial"),0.333333333333333,IF(OR(AND(D163="Congé spécial",F163&lt;&gt;"Congé décès"),(AND(F163="Congé spécial",D163&lt;&gt;"Congé spécial"))),0.166666666666667,""))</f>
        <v/>
      </c>
      <c r="AE163" s="41" t="str">
        <f aca="false">IF(AND(D163="Férié",F163="Férié"),0.333333333333333,IF(OR(AND(D163="Férié",F163&lt;&gt;"Férié"),(AND(F163="Férié",D163&lt;&gt;"Férié"))),0.166666666666667,""))</f>
        <v/>
      </c>
      <c r="AF163" s="41"/>
      <c r="AG163" s="36"/>
    </row>
    <row r="164" customFormat="false" ht="12.75" hidden="false" customHeight="true" outlineLevel="0" collapsed="false">
      <c r="A164" s="22" t="n">
        <f aca="false">VLOOKUP(B164,Annuaire_roster!B:F,5,0)</f>
        <v>949</v>
      </c>
      <c r="B164" s="23" t="s">
        <v>48</v>
      </c>
      <c r="C164" s="24" t="str">
        <f aca="false">IFERROR(IF(COUNTIFS(Pointage_brut!$E:$E,VLOOKUP($B164,Annuaire_roster!$B:$J,9,0),Pointage_brut!$A:$A,TEXT($Q164,"yyyymmdd")*1)=0,"",MOD(_xlfn.MINIFS(Pointage_brut!$F:$F,Pointage_brut!$E:$E,VLOOKUP($B164,Annuaire_roster!$B:$J,9,0),Pointage_brut!$A:$A,TEXT($Q164,"yyyymmdd")*1),1)),"")</f>
        <v/>
      </c>
      <c r="D164" s="25" t="n">
        <f aca="false" t="array" ref="D164:D164">IFERROR(INDEX(Planning2[],MATCH(1,(Planning2[Nom]=B164)*(Planning2[Date]=Q164),0),3),"-")</f>
        <v>0.291666666666667</v>
      </c>
      <c r="E164" s="26" t="str">
        <f aca="false">IFERROR(IF(COUNTIFS(Pointage_brut!$E:$E,VLOOKUP($B164,Annuaire_roster!$B:$J,9,0),Pointage_brut!$A:$A,TEXT($Q164,"yyyymmdd")*1)=0,"",MOD(_xlfn.MAXIFS(Pointage_brut!$G:$G,Pointage_brut!$E:$E,VLOOKUP($B164,Annuaire_roster!$B:$J,9,0),Pointage_brut!$A:$A,TEXT($Q164,"yyyymmdd")*1),1)),"")</f>
        <v/>
      </c>
      <c r="F164" s="27" t="n">
        <f aca="false" t="array" ref="F164:F164">IFERROR(INDEX(Planning2[],MATCH(1,(Planning2[Nom]=B164)*(Planning2[Date]=Q164),0),4),"-")</f>
        <v>0.666666666666667</v>
      </c>
      <c r="G164" s="28"/>
      <c r="H164" s="28"/>
      <c r="I164" s="29" t="str">
        <f aca="false">IF(IF(OR(C164="",D164="Congé",D164="OFF",D164="Congé spécial"),"",IF(D164&gt;F164,D164-C164,IF(C164-D164&lt;0,0,C164-D164)))&lt;0.00068287037037037,"",IF(OR(D164="Congé",D164="OFF",C164="",D164="Congé spécial"),"",IF(D164&gt;F164,D164-C164,IF(C164-D164&lt;0,0,C164-D164))))</f>
        <v/>
      </c>
      <c r="J164" s="28"/>
      <c r="K164" s="30" t="n">
        <f aca="false">IF(SUM(H164:J164)&lt;0.00068287037037037,0,SUM(H164:J164))</f>
        <v>0</v>
      </c>
      <c r="L164" s="28" t="n">
        <f aca="false">IF(OR(F164="Congé",F164="OFF",M164="Abs",F164="Congé sans solde",F164="Férié",F164="Congé spécial",D164="Congé spécial"),0,IF(F164-E164&lt;0,0,IF(F164-E164&lt;=0.00068287037037037,0,F164-E164)))</f>
        <v>0</v>
      </c>
      <c r="M164" s="31" t="str">
        <f aca="false">IF(AND(O164&lt;&gt;0,C164=""),"Abs",0)</f>
        <v>Abs</v>
      </c>
      <c r="N164" s="32" t="str">
        <f aca="false">IFERROR(IF(OR(D164="OFF",D164="Congé",M164="Abs",D164="Congé sans solde",D164="Férié"),"",IF(O164-K164-L164&gt;O164,O164,IF(O164-K164-L164&lt;0,"",O164-K164-L164))),"")</f>
        <v/>
      </c>
      <c r="O164" s="33" t="n">
        <f aca="false">IF(AG164="2H Pause déjeuner",IF(F164-D164-0.0833333333333333&lt;0,F164-D164-0.0833333333333333+1,F164-D164-0.0833333333333333),IF(OR(AND(F164="OFF",D164="OFF"),AND(F164="Congé",D164="Congé"),AND(F164="Congé sans solde",D164="Congé sans solde"),AND(F164="Congé spécial",D164="Congé spécial"),AND(F164="Férié",D164="Férié"),AND(F164="OFF",D164="Congé"),AND(F164="OFF",D164="Congé sans solde"),AND(F164="OFF",D164="Congé spécial"),AND(F164="OFF",D164="Férié"),AND(F164="Congé",D164="OFF"),AND(F164="Congé",D164="Congé sans solde"),AND(F164="Congé",D164="Congé spécial"),AND(F164="Congé",D164="Férié"),AND(F164="Congé sans solde",D164="OFF"),AND(F164="Congé sans solde",D164="Congé"),AND(F164="Congé sans solde",D164="Congé spécial"),AND(F164="Congé sans solde",D164="Férié"),AND(F164="Congé spécial",D164="OFF"),AND(F164="Congé spécial",D164="Congé"),AND(F164="Congé spécial",D164="Congé sans solde"),AND(F164="Congé spécial",D164="Férié"),AND(F164="Férié",D164="OFF"),AND(F164="Férié",D164="Congé"),AND(F164="Férié",D164="Congé sans solde"),AND(F164="Férié",D164="Congé spécial")),0,IF(OR(F164="OFF",F164="Congé",F164="Congé spécial",F164="Congé sans solde",D164="OFF",D164="Congé",D164="Congé spécial",D164="Congé sans solde"),0.208333333333334,IF(AND(AG164="",F164-D164&lt;0),("24:00:00"-D164)+("00:00:00"+F164)-0.0416666666666667,IF(AND(OR(AG164="Allaitement",AG164="Sans déjeuner"),F164-D164&lt;0),("24:00:00"-D164)+("00:00:00"+F164),IF(AND(AG164="",F164-D164&gt;0.166666666666667),F164-D164-0.0416666666666667,IF(AND(OR(AG164="Allaitement",AG164="Sans déjeuner"),F164-D164&gt;0.166666666666667),F164-D164,F164-D164)))))))</f>
        <v>0.333333333333333</v>
      </c>
      <c r="P164" s="34" t="str">
        <f aca="false">IFERROR(VLOOKUP($B164,Annuaire_roster!$B:$G,MATCH(P$1,Annuaire_roster!$B$1:$G$1,0),0),"-")</f>
        <v>Google Leads</v>
      </c>
      <c r="Q164" s="35" t="n">
        <v>44722</v>
      </c>
      <c r="R164" s="36" t="n">
        <f aca="false">IF(M164="Abs",O164,0)</f>
        <v>0.333333333333333</v>
      </c>
      <c r="S164" s="36" t="n">
        <f aca="false">SUM(R164,L164,I164,J164,W164,H164)</f>
        <v>0.333333333333333</v>
      </c>
      <c r="T164" s="1" t="str">
        <f aca="false">"Sem - "&amp;WEEKNUM(Q164,21)</f>
        <v>Sem - 24</v>
      </c>
      <c r="U164" s="1" t="str">
        <f aca="false">PROPER(TEXT(Q164,"mmmm"))</f>
        <v>June</v>
      </c>
      <c r="V164" s="37" t="str">
        <f aca="false">+TEXT(Q164,"aaa")</f>
        <v>Thu</v>
      </c>
      <c r="W164" s="32"/>
      <c r="X164" s="38" t="n">
        <f aca="false">IFERROR(IF(M164="Abs",0,IF((D164-C164+E164-F164)&lt;0.000694444444444444,0,(D164-C164+E164-F164))),0)</f>
        <v>0</v>
      </c>
      <c r="Y164" s="39" t="str">
        <f aca="false">IFERROR(VLOOKUP(B164,Annuaire_roster!B:E,4,0),"-")</f>
        <v>CHOUIFI Mustapha</v>
      </c>
      <c r="Z164" s="39" t="str">
        <f aca="false">IFERROR(VLOOKUP(B164,Annuaire_roster!B:F,3,0),"-")</f>
        <v>Google Leads</v>
      </c>
      <c r="AA164" s="39" t="str">
        <f aca="false">IFERROR(VLOOKUP(B164,Annuaire_roster!B:I,6,0),"-")</f>
        <v>Forfaitaire</v>
      </c>
      <c r="AB164" s="40" t="str">
        <f aca="false">IF(AND(D164="Congé",F164="Congé"),0.333333333333333,IF(OR(AND(D164="Congé",F164&lt;&gt;"Congé"),(AND(F164="Congé",D164&lt;&gt;"Congé"))),0.166666666666667,""))</f>
        <v/>
      </c>
      <c r="AC164" s="40" t="str">
        <f aca="false">IF(AND(D164="Congé sans solde",F164="Congé sans solde"),0.333333333333333,IF(OR(AND(D164="Congé sans solde",F164&lt;&gt;"Congé sans solde"),(AND(F164="Congé sans solde",D164&lt;&gt;"Congé sans solde"))),0.166666666666667,""))</f>
        <v/>
      </c>
      <c r="AD164" s="40" t="str">
        <f aca="false">IF(AND(D164="Congé spécial",F164="Congé spécial"),0.333333333333333,IF(OR(AND(D164="Congé spécial",F164&lt;&gt;"Congé décès"),(AND(F164="Congé spécial",D164&lt;&gt;"Congé spécial"))),0.166666666666667,""))</f>
        <v/>
      </c>
      <c r="AE164" s="41" t="str">
        <f aca="false">IF(AND(D164="Férié",F164="Férié"),0.333333333333333,IF(OR(AND(D164="Férié",F164&lt;&gt;"Férié"),(AND(F164="Férié",D164&lt;&gt;"Férié"))),0.166666666666667,""))</f>
        <v/>
      </c>
      <c r="AF164" s="41"/>
      <c r="AG164" s="36"/>
    </row>
    <row r="165" customFormat="false" ht="12.75" hidden="false" customHeight="true" outlineLevel="0" collapsed="false">
      <c r="A165" s="22" t="n">
        <f aca="false">VLOOKUP(B165,Annuaire_roster!B:F,5,0)</f>
        <v>1009</v>
      </c>
      <c r="B165" s="23" t="s">
        <v>44</v>
      </c>
      <c r="C165" s="24" t="str">
        <f aca="false">IFERROR(IF(COUNTIFS(Pointage_brut!$E:$E,VLOOKUP($B165,Annuaire_roster!$B:$J,9,0),Pointage_brut!$A:$A,TEXT($Q165,"yyyymmdd")*1)=0,"",MOD(_xlfn.MINIFS(Pointage_brut!$F:$F,Pointage_brut!$E:$E,VLOOKUP($B165,Annuaire_roster!$B:$J,9,0),Pointage_brut!$A:$A,TEXT($Q165,"yyyymmdd")*1),1)),"")</f>
        <v/>
      </c>
      <c r="D165" s="25" t="n">
        <f aca="false" t="array" ref="D165:D165">IFERROR(INDEX(Planning2[],MATCH(1,(Planning2[Nom]=B165)*(Planning2[Date]=Q165),0),3),"-")</f>
        <v>0.291666666666667</v>
      </c>
      <c r="E165" s="26" t="str">
        <f aca="false">IFERROR(IF(COUNTIFS(Pointage_brut!$E:$E,VLOOKUP($B165,Annuaire_roster!$B:$J,9,0),Pointage_brut!$A:$A,TEXT($Q165,"yyyymmdd")*1)=0,"",MOD(_xlfn.MAXIFS(Pointage_brut!$G:$G,Pointage_brut!$E:$E,VLOOKUP($B165,Annuaire_roster!$B:$J,9,0),Pointage_brut!$A:$A,TEXT($Q165,"yyyymmdd")*1),1)),"")</f>
        <v/>
      </c>
      <c r="F165" s="27" t="n">
        <f aca="false" t="array" ref="F165:F165">IFERROR(INDEX(Planning2[],MATCH(1,(Planning2[Nom]=B165)*(Planning2[Date]=Q165),0),4),"-")</f>
        <v>0.666666666666667</v>
      </c>
      <c r="G165" s="28"/>
      <c r="H165" s="28"/>
      <c r="I165" s="29" t="str">
        <f aca="false">IF(IF(OR(C165="",D165="Congé",D165="OFF",D165="Congé spécial"),"",IF(D165&gt;F165,D165-C165,IF(C165-D165&lt;0,0,C165-D165)))&lt;0.00068287037037037,"",IF(OR(D165="Congé",D165="OFF",C165="",D165="Congé spécial"),"",IF(D165&gt;F165,D165-C165,IF(C165-D165&lt;0,0,C165-D165))))</f>
        <v/>
      </c>
      <c r="J165" s="28"/>
      <c r="K165" s="30" t="n">
        <f aca="false">IF(SUM(H165:J165)&lt;0.00068287037037037,0,SUM(H165:J165))</f>
        <v>0</v>
      </c>
      <c r="L165" s="28" t="n">
        <f aca="false">IF(OR(F165="Congé",F165="OFF",M165="Abs",F165="Congé sans solde",F165="Férié",F165="Congé spécial",D165="Congé spécial"),0,IF(F165-E165&lt;0,0,IF(F165-E165&lt;=0.00068287037037037,0,F165-E165)))</f>
        <v>0</v>
      </c>
      <c r="M165" s="31" t="str">
        <f aca="false">IF(AND(O165&lt;&gt;0,C165=""),"Abs",0)</f>
        <v>Abs</v>
      </c>
      <c r="N165" s="32" t="str">
        <f aca="false">IFERROR(IF(OR(D165="OFF",D165="Congé",M165="Abs",D165="Congé sans solde",D165="Férié"),"",IF(O165-K165-L165&gt;O165,O165,IF(O165-K165-L165&lt;0,"",O165-K165-L165))),"")</f>
        <v/>
      </c>
      <c r="O165" s="33" t="n">
        <f aca="false">IF(AG165="2H Pause déjeuner",IF(F165-D165-0.0833333333333333&lt;0,F165-D165-0.0833333333333333+1,F165-D165-0.0833333333333333),IF(OR(AND(F165="OFF",D165="OFF"),AND(F165="Congé",D165="Congé"),AND(F165="Congé sans solde",D165="Congé sans solde"),AND(F165="Congé spécial",D165="Congé spécial"),AND(F165="Férié",D165="Férié"),AND(F165="OFF",D165="Congé"),AND(F165="OFF",D165="Congé sans solde"),AND(F165="OFF",D165="Congé spécial"),AND(F165="OFF",D165="Férié"),AND(F165="Congé",D165="OFF"),AND(F165="Congé",D165="Congé sans solde"),AND(F165="Congé",D165="Congé spécial"),AND(F165="Congé",D165="Férié"),AND(F165="Congé sans solde",D165="OFF"),AND(F165="Congé sans solde",D165="Congé"),AND(F165="Congé sans solde",D165="Congé spécial"),AND(F165="Congé sans solde",D165="Férié"),AND(F165="Congé spécial",D165="OFF"),AND(F165="Congé spécial",D165="Congé"),AND(F165="Congé spécial",D165="Congé sans solde"),AND(F165="Congé spécial",D165="Férié"),AND(F165="Férié",D165="OFF"),AND(F165="Férié",D165="Congé"),AND(F165="Férié",D165="Congé sans solde"),AND(F165="Férié",D165="Congé spécial")),0,IF(OR(F165="OFF",F165="Congé",F165="Congé spécial",F165="Congé sans solde",D165="OFF",D165="Congé",D165="Congé spécial",D165="Congé sans solde"),0.208333333333334,IF(AND(AG165="",F165-D165&lt;0),("24:00:00"-D165)+("00:00:00"+F165)-0.0416666666666667,IF(AND(OR(AG165="Allaitement",AG165="Sans déjeuner"),F165-D165&lt;0),("24:00:00"-D165)+("00:00:00"+F165),IF(AND(AG165="",F165-D165&gt;0.166666666666667),F165-D165-0.0416666666666667,IF(AND(OR(AG165="Allaitement",AG165="Sans déjeuner"),F165-D165&gt;0.166666666666667),F165-D165,F165-D165)))))))</f>
        <v>0.333333333333333</v>
      </c>
      <c r="P165" s="34" t="str">
        <f aca="false">IFERROR(VLOOKUP($B165,Annuaire_roster!$B:$G,MATCH(P$1,Annuaire_roster!$B$1:$G$1,0),0),"-")</f>
        <v>Google Leads</v>
      </c>
      <c r="Q165" s="35" t="n">
        <v>44722</v>
      </c>
      <c r="R165" s="36" t="n">
        <f aca="false">IF(M165="Abs",O165,0)</f>
        <v>0.333333333333333</v>
      </c>
      <c r="S165" s="36" t="n">
        <f aca="false">SUM(R165,L165,I165,J165,W165,H165)</f>
        <v>0.333333333333333</v>
      </c>
      <c r="T165" s="1" t="str">
        <f aca="false">"Sem - "&amp;WEEKNUM(Q165,21)</f>
        <v>Sem - 24</v>
      </c>
      <c r="U165" s="1" t="str">
        <f aca="false">PROPER(TEXT(Q165,"mmmm"))</f>
        <v>June</v>
      </c>
      <c r="V165" s="37" t="str">
        <f aca="false">+TEXT(Q165,"aaa")</f>
        <v>Thu</v>
      </c>
      <c r="W165" s="32"/>
      <c r="X165" s="38" t="n">
        <f aca="false">IFERROR(IF(M165="Abs",0,IF((D165-C165+E165-F165)&lt;0.000694444444444444,0,(D165-C165+E165-F165))),0)</f>
        <v>0</v>
      </c>
      <c r="Y165" s="39" t="str">
        <f aca="false">IFERROR(VLOOKUP(B165,Annuaire_roster!B:E,4,0),"-")</f>
        <v>OUAQERROUCH Nour-El Houda</v>
      </c>
      <c r="Z165" s="39" t="str">
        <f aca="false">IFERROR(VLOOKUP(B165,Annuaire_roster!B:F,3,0),"-")</f>
        <v>Google Leads</v>
      </c>
      <c r="AA165" s="39" t="str">
        <f aca="false">IFERROR(VLOOKUP(B165,Annuaire_roster!B:I,6,0),"-")</f>
        <v>Forfaitaire</v>
      </c>
      <c r="AB165" s="40" t="str">
        <f aca="false">IF(AND(D165="Congé",F165="Congé"),0.333333333333333,IF(OR(AND(D165="Congé",F165&lt;&gt;"Congé"),(AND(F165="Congé",D165&lt;&gt;"Congé"))),0.166666666666667,""))</f>
        <v/>
      </c>
      <c r="AC165" s="40" t="str">
        <f aca="false">IF(AND(D165="Congé sans solde",F165="Congé sans solde"),0.333333333333333,IF(OR(AND(D165="Congé sans solde",F165&lt;&gt;"Congé sans solde"),(AND(F165="Congé sans solde",D165&lt;&gt;"Congé sans solde"))),0.166666666666667,""))</f>
        <v/>
      </c>
      <c r="AD165" s="40" t="str">
        <f aca="false">IF(AND(D165="Congé spécial",F165="Congé spécial"),0.333333333333333,IF(OR(AND(D165="Congé spécial",F165&lt;&gt;"Congé décès"),(AND(F165="Congé spécial",D165&lt;&gt;"Congé spécial"))),0.166666666666667,""))</f>
        <v/>
      </c>
      <c r="AE165" s="41" t="str">
        <f aca="false">IF(AND(D165="Férié",F165="Férié"),0.333333333333333,IF(OR(AND(D165="Férié",F165&lt;&gt;"Férié"),(AND(F165="Férié",D165&lt;&gt;"Férié"))),0.166666666666667,""))</f>
        <v/>
      </c>
      <c r="AF165" s="41"/>
      <c r="AG165" s="36"/>
    </row>
    <row r="166" customFormat="false" ht="12.75" hidden="false" customHeight="true" outlineLevel="0" collapsed="false">
      <c r="A166" s="22" t="n">
        <f aca="false">VLOOKUP(B166,Annuaire_roster!B:F,5,0)</f>
        <v>0</v>
      </c>
      <c r="B166" s="23" t="s">
        <v>42</v>
      </c>
      <c r="C166" s="24" t="str">
        <f aca="false">IFERROR(IF(COUNTIFS(Pointage_brut!$E:$E,VLOOKUP($B166,Annuaire_roster!$B:$J,9,0),Pointage_brut!$A:$A,TEXT($Q166,"yyyymmdd")*1)=0,"",MOD(_xlfn.MINIFS(Pointage_brut!$F:$F,Pointage_brut!$E:$E,VLOOKUP($B166,Annuaire_roster!$B:$J,9,0),Pointage_brut!$A:$A,TEXT($Q166,"yyyymmdd")*1),1)),"")</f>
        <v/>
      </c>
      <c r="D166" s="25" t="n">
        <f aca="false" t="array" ref="D166:D166">IFERROR(INDEX(Planning2[],MATCH(1,(Planning2[Nom]=B166)*(Planning2[Date]=Q166),0),3),"-")</f>
        <v>0.291666666666667</v>
      </c>
      <c r="E166" s="26" t="str">
        <f aca="false">IFERROR(IF(COUNTIFS(Pointage_brut!$E:$E,VLOOKUP($B166,Annuaire_roster!$B:$J,9,0),Pointage_brut!$A:$A,TEXT($Q166,"yyyymmdd")*1)=0,"",MOD(_xlfn.MAXIFS(Pointage_brut!$G:$G,Pointage_brut!$E:$E,VLOOKUP($B166,Annuaire_roster!$B:$J,9,0),Pointage_brut!$A:$A,TEXT($Q166,"yyyymmdd")*1),1)),"")</f>
        <v/>
      </c>
      <c r="F166" s="27" t="n">
        <f aca="false" t="array" ref="F166:F166">IFERROR(INDEX(Planning2[],MATCH(1,(Planning2[Nom]=B166)*(Planning2[Date]=Q166),0),4),"-")</f>
        <v>0.666666666666667</v>
      </c>
      <c r="G166" s="28"/>
      <c r="H166" s="28"/>
      <c r="I166" s="29" t="str">
        <f aca="false">IF(IF(OR(C166="",D166="Congé",D166="OFF",D166="Congé spécial"),"",IF(D166&gt;F166,D166-C166,IF(C166-D166&lt;0,0,C166-D166)))&lt;0.00068287037037037,"",IF(OR(D166="Congé",D166="OFF",C166="",D166="Congé spécial"),"",IF(D166&gt;F166,D166-C166,IF(C166-D166&lt;0,0,C166-D166))))</f>
        <v/>
      </c>
      <c r="J166" s="28"/>
      <c r="K166" s="30" t="n">
        <f aca="false">IF(SUM(H166:J166)&lt;0.00068287037037037,0,SUM(H166:J166))</f>
        <v>0</v>
      </c>
      <c r="L166" s="28" t="n">
        <f aca="false">IF(OR(F166="Congé",F166="OFF",M166="Abs",F166="Congé sans solde",F166="Férié",F166="Congé spécial",D166="Congé spécial"),0,IF(F166-E166&lt;0,0,IF(F166-E166&lt;=0.00068287037037037,0,F166-E166)))</f>
        <v>0</v>
      </c>
      <c r="M166" s="31" t="str">
        <f aca="false">IF(AND(O166&lt;&gt;0,C166=""),"Abs",0)</f>
        <v>Abs</v>
      </c>
      <c r="N166" s="32" t="str">
        <f aca="false">IFERROR(IF(OR(D166="OFF",D166="Congé",M166="Abs",D166="Congé sans solde",D166="Férié"),"",IF(O166-K166-L166&gt;O166,O166,IF(O166-K166-L166&lt;0,"",O166-K166-L166))),"")</f>
        <v/>
      </c>
      <c r="O166" s="33" t="n">
        <f aca="false">IF(AG166="2H Pause déjeuner",IF(F166-D166-0.0833333333333333&lt;0,F166-D166-0.0833333333333333+1,F166-D166-0.0833333333333333),IF(OR(AND(F166="OFF",D166="OFF"),AND(F166="Congé",D166="Congé"),AND(F166="Congé sans solde",D166="Congé sans solde"),AND(F166="Congé spécial",D166="Congé spécial"),AND(F166="Férié",D166="Férié"),AND(F166="OFF",D166="Congé"),AND(F166="OFF",D166="Congé sans solde"),AND(F166="OFF",D166="Congé spécial"),AND(F166="OFF",D166="Férié"),AND(F166="Congé",D166="OFF"),AND(F166="Congé",D166="Congé sans solde"),AND(F166="Congé",D166="Congé spécial"),AND(F166="Congé",D166="Férié"),AND(F166="Congé sans solde",D166="OFF"),AND(F166="Congé sans solde",D166="Congé"),AND(F166="Congé sans solde",D166="Congé spécial"),AND(F166="Congé sans solde",D166="Férié"),AND(F166="Congé spécial",D166="OFF"),AND(F166="Congé spécial",D166="Congé"),AND(F166="Congé spécial",D166="Congé sans solde"),AND(F166="Congé spécial",D166="Férié"),AND(F166="Férié",D166="OFF"),AND(F166="Férié",D166="Congé"),AND(F166="Férié",D166="Congé sans solde"),AND(F166="Férié",D166="Congé spécial")),0,IF(OR(F166="OFF",F166="Congé",F166="Congé spécial",F166="Congé sans solde",D166="OFF",D166="Congé",D166="Congé spécial",D166="Congé sans solde"),0.208333333333334,IF(AND(AG166="",F166-D166&lt;0),("24:00:00"-D166)+("00:00:00"+F166)-0.0416666666666667,IF(AND(OR(AG166="Allaitement",AG166="Sans déjeuner"),F166-D166&lt;0),("24:00:00"-D166)+("00:00:00"+F166),IF(AND(AG166="",F166-D166&gt;0.166666666666667),F166-D166-0.0416666666666667,IF(AND(OR(AG166="Allaitement",AG166="Sans déjeuner"),F166-D166&gt;0.166666666666667),F166-D166,F166-D166)))))))</f>
        <v>0.333333333333333</v>
      </c>
      <c r="P166" s="34" t="str">
        <f aca="false">IFERROR(VLOOKUP($B166,Annuaire_roster!$B:$G,MATCH(P$1,Annuaire_roster!$B$1:$G$1,0),0),"-")</f>
        <v>Google Leads</v>
      </c>
      <c r="Q166" s="35" t="n">
        <v>44722</v>
      </c>
      <c r="R166" s="36" t="n">
        <f aca="false">IF(M166="Abs",O166,0)</f>
        <v>0.333333333333333</v>
      </c>
      <c r="S166" s="36" t="n">
        <f aca="false">SUM(R166,L166,I166,J166,W166,H166)</f>
        <v>0.333333333333333</v>
      </c>
      <c r="T166" s="1" t="str">
        <f aca="false">"Sem - "&amp;WEEKNUM(Q166,21)</f>
        <v>Sem - 24</v>
      </c>
      <c r="U166" s="1" t="str">
        <f aca="false">PROPER(TEXT(Q166,"mmmm"))</f>
        <v>June</v>
      </c>
      <c r="V166" s="37" t="str">
        <f aca="false">+TEXT(Q166,"aaa")</f>
        <v>Thu</v>
      </c>
      <c r="W166" s="32"/>
      <c r="X166" s="38" t="n">
        <f aca="false">IFERROR(IF(M166="Abs",0,IF((D166-C166+E166-F166)&lt;0.000694444444444444,0,(D166-C166+E166-F166))),0)</f>
        <v>0</v>
      </c>
      <c r="Y166" s="39" t="n">
        <f aca="false">IFERROR(VLOOKUP(B166,Annuaire_roster!B:E,4,0),"-")</f>
        <v>0</v>
      </c>
      <c r="Z166" s="39" t="str">
        <f aca="false">IFERROR(VLOOKUP(B166,Annuaire_roster!B:F,3,0),"-")</f>
        <v>Google Leads</v>
      </c>
      <c r="AA166" s="39" t="n">
        <f aca="false">IFERROR(VLOOKUP(B166,Annuaire_roster!B:I,6,0),"-")</f>
        <v>0</v>
      </c>
      <c r="AB166" s="40" t="str">
        <f aca="false">IF(AND(D166="Congé",F166="Congé"),0.333333333333333,IF(OR(AND(D166="Congé",F166&lt;&gt;"Congé"),(AND(F166="Congé",D166&lt;&gt;"Congé"))),0.166666666666667,""))</f>
        <v/>
      </c>
      <c r="AC166" s="40" t="str">
        <f aca="false">IF(AND(D166="Congé sans solde",F166="Congé sans solde"),0.333333333333333,IF(OR(AND(D166="Congé sans solde",F166&lt;&gt;"Congé sans solde"),(AND(F166="Congé sans solde",D166&lt;&gt;"Congé sans solde"))),0.166666666666667,""))</f>
        <v/>
      </c>
      <c r="AD166" s="40" t="str">
        <f aca="false">IF(AND(D166="Congé spécial",F166="Congé spécial"),0.333333333333333,IF(OR(AND(D166="Congé spécial",F166&lt;&gt;"Congé décès"),(AND(F166="Congé spécial",D166&lt;&gt;"Congé spécial"))),0.166666666666667,""))</f>
        <v/>
      </c>
      <c r="AE166" s="41" t="str">
        <f aca="false">IF(AND(D166="Férié",F166="Férié"),0.333333333333333,IF(OR(AND(D166="Férié",F166&lt;&gt;"Férié"),(AND(F166="Férié",D166&lt;&gt;"Férié"))),0.166666666666667,""))</f>
        <v/>
      </c>
      <c r="AF166" s="41"/>
      <c r="AG166" s="36"/>
    </row>
    <row r="167" customFormat="false" ht="12.75" hidden="false" customHeight="true" outlineLevel="0" collapsed="false">
      <c r="A167" s="22" t="n">
        <f aca="false">VLOOKUP(B167,Annuaire_roster!B:F,5,0)</f>
        <v>0</v>
      </c>
      <c r="B167" s="23" t="s">
        <v>41</v>
      </c>
      <c r="C167" s="24" t="str">
        <f aca="false">IFERROR(IF(COUNTIFS(Pointage_brut!$E:$E,VLOOKUP($B167,Annuaire_roster!$B:$J,9,0),Pointage_brut!$A:$A,TEXT($Q167,"yyyymmdd")*1)=0,"",MOD(_xlfn.MINIFS(Pointage_brut!$F:$F,Pointage_brut!$E:$E,VLOOKUP($B167,Annuaire_roster!$B:$J,9,0),Pointage_brut!$A:$A,TEXT($Q167,"yyyymmdd")*1),1)),"")</f>
        <v/>
      </c>
      <c r="D167" s="25" t="n">
        <f aca="false" t="array" ref="D167:D167">IFERROR(INDEX(Planning2[],MATCH(1,(Planning2[Nom]=B167)*(Planning2[Date]=Q167),0),3),"-")</f>
        <v>0.291666666666667</v>
      </c>
      <c r="E167" s="26" t="str">
        <f aca="false">IFERROR(IF(COUNTIFS(Pointage_brut!$E:$E,VLOOKUP($B167,Annuaire_roster!$B:$J,9,0),Pointage_brut!$A:$A,TEXT($Q167,"yyyymmdd")*1)=0,"",MOD(_xlfn.MAXIFS(Pointage_brut!$G:$G,Pointage_brut!$E:$E,VLOOKUP($B167,Annuaire_roster!$B:$J,9,0),Pointage_brut!$A:$A,TEXT($Q167,"yyyymmdd")*1),1)),"")</f>
        <v/>
      </c>
      <c r="F167" s="27" t="n">
        <f aca="false" t="array" ref="F167:F167">IFERROR(INDEX(Planning2[],MATCH(1,(Planning2[Nom]=B167)*(Planning2[Date]=Q167),0),4),"-")</f>
        <v>0.666666666666667</v>
      </c>
      <c r="G167" s="28"/>
      <c r="H167" s="28"/>
      <c r="I167" s="29" t="str">
        <f aca="false">IF(IF(OR(C167="",D167="Congé",D167="OFF",D167="Congé spécial"),"",IF(D167&gt;F167,D167-C167,IF(C167-D167&lt;0,0,C167-D167)))&lt;0.00068287037037037,"",IF(OR(D167="Congé",D167="OFF",C167="",D167="Congé spécial"),"",IF(D167&gt;F167,D167-C167,IF(C167-D167&lt;0,0,C167-D167))))</f>
        <v/>
      </c>
      <c r="J167" s="28"/>
      <c r="K167" s="30" t="n">
        <f aca="false">IF(SUM(H167:J167)&lt;0.00068287037037037,0,SUM(H167:J167))</f>
        <v>0</v>
      </c>
      <c r="L167" s="28" t="n">
        <f aca="false">IF(OR(F167="Congé",F167="OFF",M167="Abs",F167="Congé sans solde",F167="Férié",F167="Congé spécial",D167="Congé spécial"),0,IF(F167-E167&lt;0,0,IF(F167-E167&lt;=0.00068287037037037,0,F167-E167)))</f>
        <v>0</v>
      </c>
      <c r="M167" s="31" t="str">
        <f aca="false">IF(AND(O167&lt;&gt;0,C167=""),"Abs",0)</f>
        <v>Abs</v>
      </c>
      <c r="N167" s="32" t="str">
        <f aca="false">IFERROR(IF(OR(D167="OFF",D167="Congé",M167="Abs",D167="Congé sans solde",D167="Férié"),"",IF(O167-K167-L167&gt;O167,O167,IF(O167-K167-L167&lt;0,"",O167-K167-L167))),"")</f>
        <v/>
      </c>
      <c r="O167" s="33" t="n">
        <f aca="false">IF(AG167="2H Pause déjeuner",IF(F167-D167-0.0833333333333333&lt;0,F167-D167-0.0833333333333333+1,F167-D167-0.0833333333333333),IF(OR(AND(F167="OFF",D167="OFF"),AND(F167="Congé",D167="Congé"),AND(F167="Congé sans solde",D167="Congé sans solde"),AND(F167="Congé spécial",D167="Congé spécial"),AND(F167="Férié",D167="Férié"),AND(F167="OFF",D167="Congé"),AND(F167="OFF",D167="Congé sans solde"),AND(F167="OFF",D167="Congé spécial"),AND(F167="OFF",D167="Férié"),AND(F167="Congé",D167="OFF"),AND(F167="Congé",D167="Congé sans solde"),AND(F167="Congé",D167="Congé spécial"),AND(F167="Congé",D167="Férié"),AND(F167="Congé sans solde",D167="OFF"),AND(F167="Congé sans solde",D167="Congé"),AND(F167="Congé sans solde",D167="Congé spécial"),AND(F167="Congé sans solde",D167="Férié"),AND(F167="Congé spécial",D167="OFF"),AND(F167="Congé spécial",D167="Congé"),AND(F167="Congé spécial",D167="Congé sans solde"),AND(F167="Congé spécial",D167="Férié"),AND(F167="Férié",D167="OFF"),AND(F167="Férié",D167="Congé"),AND(F167="Férié",D167="Congé sans solde"),AND(F167="Férié",D167="Congé spécial")),0,IF(OR(F167="OFF",F167="Congé",F167="Congé spécial",F167="Congé sans solde",D167="OFF",D167="Congé",D167="Congé spécial",D167="Congé sans solde"),0.208333333333334,IF(AND(AG167="",F167-D167&lt;0),("24:00:00"-D167)+("00:00:00"+F167)-0.0416666666666667,IF(AND(OR(AG167="Allaitement",AG167="Sans déjeuner"),F167-D167&lt;0),("24:00:00"-D167)+("00:00:00"+F167),IF(AND(AG167="",F167-D167&gt;0.166666666666667),F167-D167-0.0416666666666667,IF(AND(OR(AG167="Allaitement",AG167="Sans déjeuner"),F167-D167&gt;0.166666666666667),F167-D167,F167-D167)))))))</f>
        <v>0.333333333333333</v>
      </c>
      <c r="P167" s="34" t="str">
        <f aca="false">IFERROR(VLOOKUP($B167,Annuaire_roster!$B:$G,MATCH(P$1,Annuaire_roster!$B$1:$G$1,0),0),"-")</f>
        <v>Google Leads</v>
      </c>
      <c r="Q167" s="35" t="n">
        <v>44722</v>
      </c>
      <c r="R167" s="36" t="n">
        <f aca="false">IF(M167="Abs",O167,0)</f>
        <v>0.333333333333333</v>
      </c>
      <c r="S167" s="36" t="n">
        <f aca="false">SUM(R167,L167,I167,J167,W167,H167)</f>
        <v>0.333333333333333</v>
      </c>
      <c r="T167" s="1" t="str">
        <f aca="false">"Sem - "&amp;WEEKNUM(Q167,21)</f>
        <v>Sem - 24</v>
      </c>
      <c r="U167" s="1" t="str">
        <f aca="false">PROPER(TEXT(Q167,"mmmm"))</f>
        <v>June</v>
      </c>
      <c r="V167" s="37" t="str">
        <f aca="false">+TEXT(Q167,"aaa")</f>
        <v>Thu</v>
      </c>
      <c r="W167" s="32"/>
      <c r="X167" s="38" t="n">
        <f aca="false">IFERROR(IF(M167="Abs",0,IF((D167-C167+E167-F167)&lt;0.000694444444444444,0,(D167-C167+E167-F167))),0)</f>
        <v>0</v>
      </c>
      <c r="Y167" s="39" t="str">
        <f aca="false">IFERROR(VLOOKUP(B167,Annuaire_roster!B:E,4,0),"-")</f>
        <v>CHOUIFI Mustapha</v>
      </c>
      <c r="Z167" s="39" t="str">
        <f aca="false">IFERROR(VLOOKUP(B167,Annuaire_roster!B:F,3,0),"-")</f>
        <v>Google Leads</v>
      </c>
      <c r="AA167" s="39" t="str">
        <f aca="false">IFERROR(VLOOKUP(B167,Annuaire_roster!B:I,6,0),"-")</f>
        <v>Forfaitaire</v>
      </c>
      <c r="AB167" s="40" t="str">
        <f aca="false">IF(AND(D167="Congé",F167="Congé"),0.333333333333333,IF(OR(AND(D167="Congé",F167&lt;&gt;"Congé"),(AND(F167="Congé",D167&lt;&gt;"Congé"))),0.166666666666667,""))</f>
        <v/>
      </c>
      <c r="AC167" s="40" t="str">
        <f aca="false">IF(AND(D167="Congé sans solde",F167="Congé sans solde"),0.333333333333333,IF(OR(AND(D167="Congé sans solde",F167&lt;&gt;"Congé sans solde"),(AND(F167="Congé sans solde",D167&lt;&gt;"Congé sans solde"))),0.166666666666667,""))</f>
        <v/>
      </c>
      <c r="AD167" s="40" t="str">
        <f aca="false">IF(AND(D167="Congé spécial",F167="Congé spécial"),0.333333333333333,IF(OR(AND(D167="Congé spécial",F167&lt;&gt;"Congé décès"),(AND(F167="Congé spécial",D167&lt;&gt;"Congé spécial"))),0.166666666666667,""))</f>
        <v/>
      </c>
      <c r="AE167" s="41" t="str">
        <f aca="false">IF(AND(D167="Férié",F167="Férié"),0.333333333333333,IF(OR(AND(D167="Férié",F167&lt;&gt;"Férié"),(AND(F167="Férié",D167&lt;&gt;"Férié"))),0.166666666666667,""))</f>
        <v/>
      </c>
      <c r="AF167" s="41"/>
      <c r="AG167" s="36"/>
    </row>
    <row r="168" customFormat="false" ht="12.75" hidden="false" customHeight="true" outlineLevel="0" collapsed="false">
      <c r="A168" s="22" t="n">
        <f aca="false">VLOOKUP(B168,Annuaire_roster!B:F,5,0)</f>
        <v>1007</v>
      </c>
      <c r="B168" s="23" t="s">
        <v>59</v>
      </c>
      <c r="C168" s="24" t="str">
        <f aca="false">IFERROR(IF(COUNTIFS(Pointage_brut!$E:$E,VLOOKUP($B168,Annuaire_roster!$B:$J,9,0),Pointage_brut!$A:$A,TEXT($Q168,"yyyymmdd")*1)=0,"",MOD(_xlfn.MINIFS(Pointage_brut!$F:$F,Pointage_brut!$E:$E,VLOOKUP($B168,Annuaire_roster!$B:$J,9,0),Pointage_brut!$A:$A,TEXT($Q168,"yyyymmdd")*1),1)),"")</f>
        <v/>
      </c>
      <c r="D168" s="25" t="n">
        <f aca="false" t="array" ref="D168:D168">IFERROR(INDEX(Planning2[],MATCH(1,(Planning2[Nom]=B168)*(Planning2[Date]=Q168),0),3),"-")</f>
        <v>0.291666666666667</v>
      </c>
      <c r="E168" s="26" t="str">
        <f aca="false">IFERROR(IF(COUNTIFS(Pointage_brut!$E:$E,VLOOKUP($B168,Annuaire_roster!$B:$J,9,0),Pointage_brut!$A:$A,TEXT($Q168,"yyyymmdd")*1)=0,"",MOD(_xlfn.MAXIFS(Pointage_brut!$G:$G,Pointage_brut!$E:$E,VLOOKUP($B168,Annuaire_roster!$B:$J,9,0),Pointage_brut!$A:$A,TEXT($Q168,"yyyymmdd")*1),1)),"")</f>
        <v/>
      </c>
      <c r="F168" s="27" t="n">
        <f aca="false" t="array" ref="F168:F168">IFERROR(INDEX(Planning2[],MATCH(1,(Planning2[Nom]=B168)*(Planning2[Date]=Q168),0),4),"-")</f>
        <v>0.666666666666667</v>
      </c>
      <c r="G168" s="28"/>
      <c r="H168" s="28"/>
      <c r="I168" s="29" t="str">
        <f aca="false">IF(IF(OR(C168="",D168="Congé",D168="OFF",D168="Congé spécial"),"",IF(D168&gt;F168,D168-C168,IF(C168-D168&lt;0,0,C168-D168)))&lt;0.00068287037037037,"",IF(OR(D168="Congé",D168="OFF",C168="",D168="Congé spécial"),"",IF(D168&gt;F168,D168-C168,IF(C168-D168&lt;0,0,C168-D168))))</f>
        <v/>
      </c>
      <c r="J168" s="28"/>
      <c r="K168" s="30" t="n">
        <f aca="false">IF(SUM(H168:J168)&lt;0.00068287037037037,0,SUM(H168:J168))</f>
        <v>0</v>
      </c>
      <c r="L168" s="28" t="n">
        <f aca="false">IF(OR(F168="Congé",F168="OFF",M168="Abs",F168="Congé sans solde",F168="Férié",F168="Congé spécial",D168="Congé spécial"),0,IF(F168-E168&lt;0,0,IF(F168-E168&lt;=0.00068287037037037,0,F168-E168)))</f>
        <v>0</v>
      </c>
      <c r="M168" s="31" t="str">
        <f aca="false">IF(AND(O168&lt;&gt;0,C168=""),"Abs",0)</f>
        <v>Abs</v>
      </c>
      <c r="N168" s="32" t="str">
        <f aca="false">IFERROR(IF(OR(D168="OFF",D168="Congé",M168="Abs",D168="Congé sans solde",D168="Férié"),"",IF(O168-K168-L168&gt;O168,O168,IF(O168-K168-L168&lt;0,"",O168-K168-L168))),"")</f>
        <v/>
      </c>
      <c r="O168" s="33" t="n">
        <f aca="false">IF(AG168="2H Pause déjeuner",IF(F168-D168-0.0833333333333333&lt;0,F168-D168-0.0833333333333333+1,F168-D168-0.0833333333333333),IF(OR(AND(F168="OFF",D168="OFF"),AND(F168="Congé",D168="Congé"),AND(F168="Congé sans solde",D168="Congé sans solde"),AND(F168="Congé spécial",D168="Congé spécial"),AND(F168="Férié",D168="Férié"),AND(F168="OFF",D168="Congé"),AND(F168="OFF",D168="Congé sans solde"),AND(F168="OFF",D168="Congé spécial"),AND(F168="OFF",D168="Férié"),AND(F168="Congé",D168="OFF"),AND(F168="Congé",D168="Congé sans solde"),AND(F168="Congé",D168="Congé spécial"),AND(F168="Congé",D168="Férié"),AND(F168="Congé sans solde",D168="OFF"),AND(F168="Congé sans solde",D168="Congé"),AND(F168="Congé sans solde",D168="Congé spécial"),AND(F168="Congé sans solde",D168="Férié"),AND(F168="Congé spécial",D168="OFF"),AND(F168="Congé spécial",D168="Congé"),AND(F168="Congé spécial",D168="Congé sans solde"),AND(F168="Congé spécial",D168="Férié"),AND(F168="Férié",D168="OFF"),AND(F168="Férié",D168="Congé"),AND(F168="Férié",D168="Congé sans solde"),AND(F168="Férié",D168="Congé spécial")),0,IF(OR(F168="OFF",F168="Congé",F168="Congé spécial",F168="Congé sans solde",D168="OFF",D168="Congé",D168="Congé spécial",D168="Congé sans solde"),0.208333333333334,IF(AND(AG168="",F168-D168&lt;0),("24:00:00"-D168)+("00:00:00"+F168)-0.0416666666666667,IF(AND(OR(AG168="Allaitement",AG168="Sans déjeuner"),F168-D168&lt;0),("24:00:00"-D168)+("00:00:00"+F168),IF(AND(AG168="",F168-D168&gt;0.166666666666667),F168-D168-0.0416666666666667,IF(AND(OR(AG168="Allaitement",AG168="Sans déjeuner"),F168-D168&gt;0.166666666666667),F168-D168,F168-D168)))))))</f>
        <v>0.333333333333333</v>
      </c>
      <c r="P168" s="34" t="str">
        <f aca="false">IFERROR(VLOOKUP($B168,Annuaire_roster!$B:$G,MATCH(P$1,Annuaire_roster!$B$1:$G$1,0),0),"-")</f>
        <v>Google Leads</v>
      </c>
      <c r="Q168" s="35" t="n">
        <v>44722</v>
      </c>
      <c r="R168" s="36" t="n">
        <f aca="false">IF(M168="Abs",O168,0)</f>
        <v>0.333333333333333</v>
      </c>
      <c r="S168" s="36" t="n">
        <f aca="false">SUM(R168,L168,I168,J168,W168,H168)</f>
        <v>0.333333333333333</v>
      </c>
      <c r="T168" s="1" t="str">
        <f aca="false">"Sem - "&amp;WEEKNUM(Q168,21)</f>
        <v>Sem - 24</v>
      </c>
      <c r="U168" s="1" t="str">
        <f aca="false">PROPER(TEXT(Q168,"mmmm"))</f>
        <v>June</v>
      </c>
      <c r="V168" s="37" t="str">
        <f aca="false">+TEXT(Q168,"aaa")</f>
        <v>Thu</v>
      </c>
      <c r="W168" s="32"/>
      <c r="X168" s="38" t="n">
        <f aca="false">IFERROR(IF(M168="Abs",0,IF((D168-C168+E168-F168)&lt;0.000694444444444444,0,(D168-C168+E168-F168))),0)</f>
        <v>0</v>
      </c>
      <c r="Y168" s="39" t="str">
        <f aca="false">IFERROR(VLOOKUP(B168,Annuaire_roster!B:E,4,0),"-")</f>
        <v>OUAQERROUCH Nour-El Houda</v>
      </c>
      <c r="Z168" s="39" t="str">
        <f aca="false">IFERROR(VLOOKUP(B168,Annuaire_roster!B:F,3,0),"-")</f>
        <v>Google Leads</v>
      </c>
      <c r="AA168" s="39" t="str">
        <f aca="false">IFERROR(VLOOKUP(B168,Annuaire_roster!B:I,6,0),"-")</f>
        <v>Forfaitaire</v>
      </c>
      <c r="AB168" s="40" t="str">
        <f aca="false">IF(AND(D168="Congé",F168="Congé"),0.333333333333333,IF(OR(AND(D168="Congé",F168&lt;&gt;"Congé"),(AND(F168="Congé",D168&lt;&gt;"Congé"))),0.166666666666667,""))</f>
        <v/>
      </c>
      <c r="AC168" s="40" t="str">
        <f aca="false">IF(AND(D168="Congé sans solde",F168="Congé sans solde"),0.333333333333333,IF(OR(AND(D168="Congé sans solde",F168&lt;&gt;"Congé sans solde"),(AND(F168="Congé sans solde",D168&lt;&gt;"Congé sans solde"))),0.166666666666667,""))</f>
        <v/>
      </c>
      <c r="AD168" s="40" t="str">
        <f aca="false">IF(AND(D168="Congé spécial",F168="Congé spécial"),0.333333333333333,IF(OR(AND(D168="Congé spécial",F168&lt;&gt;"Congé décès"),(AND(F168="Congé spécial",D168&lt;&gt;"Congé spécial"))),0.166666666666667,""))</f>
        <v/>
      </c>
      <c r="AE168" s="41" t="str">
        <f aca="false">IF(AND(D168="Férié",F168="Férié"),0.333333333333333,IF(OR(AND(D168="Férié",F168&lt;&gt;"Férié"),(AND(F168="Férié",D168&lt;&gt;"Férié"))),0.166666666666667,""))</f>
        <v/>
      </c>
      <c r="AF168" s="41"/>
      <c r="AG168" s="36"/>
    </row>
    <row r="169" customFormat="false" ht="12.75" hidden="false" customHeight="true" outlineLevel="0" collapsed="false">
      <c r="A169" s="22" t="n">
        <f aca="false">VLOOKUP(B169,Annuaire_roster!B:F,5,0)</f>
        <v>1008</v>
      </c>
      <c r="B169" s="23" t="s">
        <v>60</v>
      </c>
      <c r="C169" s="24" t="str">
        <f aca="false">IFERROR(IF(COUNTIFS(Pointage_brut!$E:$E,VLOOKUP($B169,Annuaire_roster!$B:$J,9,0),Pointage_brut!$A:$A,TEXT($Q169,"yyyymmdd")*1)=0,"",MOD(_xlfn.MINIFS(Pointage_brut!$F:$F,Pointage_brut!$E:$E,VLOOKUP($B169,Annuaire_roster!$B:$J,9,0),Pointage_brut!$A:$A,TEXT($Q169,"yyyymmdd")*1),1)),"")</f>
        <v/>
      </c>
      <c r="D169" s="25" t="n">
        <f aca="false" t="array" ref="D169:D169">IFERROR(INDEX(Planning2[],MATCH(1,(Planning2[Nom]=B169)*(Planning2[Date]=Q169),0),3),"-")</f>
        <v>0.291666666666667</v>
      </c>
      <c r="E169" s="26" t="str">
        <f aca="false">IFERROR(IF(COUNTIFS(Pointage_brut!$E:$E,VLOOKUP($B169,Annuaire_roster!$B:$J,9,0),Pointage_brut!$A:$A,TEXT($Q169,"yyyymmdd")*1)=0,"",MOD(_xlfn.MAXIFS(Pointage_brut!$G:$G,Pointage_brut!$E:$E,VLOOKUP($B169,Annuaire_roster!$B:$J,9,0),Pointage_brut!$A:$A,TEXT($Q169,"yyyymmdd")*1),1)),"")</f>
        <v/>
      </c>
      <c r="F169" s="27" t="n">
        <f aca="false" t="array" ref="F169:F169">IFERROR(INDEX(Planning2[],MATCH(1,(Planning2[Nom]=B169)*(Planning2[Date]=Q169),0),4),"-")</f>
        <v>0.666666666666667</v>
      </c>
      <c r="G169" s="28"/>
      <c r="H169" s="28"/>
      <c r="I169" s="29" t="str">
        <f aca="false">IF(IF(OR(C169="",D169="Congé",D169="OFF",D169="Congé spécial"),"",IF(D169&gt;F169,D169-C169,IF(C169-D169&lt;0,0,C169-D169)))&lt;0.00068287037037037,"",IF(OR(D169="Congé",D169="OFF",C169="",D169="Congé spécial"),"",IF(D169&gt;F169,D169-C169,IF(C169-D169&lt;0,0,C169-D169))))</f>
        <v/>
      </c>
      <c r="J169" s="28"/>
      <c r="K169" s="30" t="n">
        <f aca="false">IF(SUM(H169:J169)&lt;0.00068287037037037,0,SUM(H169:J169))</f>
        <v>0</v>
      </c>
      <c r="L169" s="28" t="n">
        <f aca="false">IF(OR(F169="Congé",F169="OFF",M169="Abs",F169="Congé sans solde",F169="Férié",F169="Congé spécial",D169="Congé spécial"),0,IF(F169-E169&lt;0,0,IF(F169-E169&lt;=0.00068287037037037,0,F169-E169)))</f>
        <v>0</v>
      </c>
      <c r="M169" s="31" t="str">
        <f aca="false">IF(AND(O169&lt;&gt;0,C169=""),"Abs",0)</f>
        <v>Abs</v>
      </c>
      <c r="N169" s="32" t="str">
        <f aca="false">IFERROR(IF(OR(D169="OFF",D169="Congé",M169="Abs",D169="Congé sans solde",D169="Férié"),"",IF(O169-K169-L169&gt;O169,O169,IF(O169-K169-L169&lt;0,"",O169-K169-L169))),"")</f>
        <v/>
      </c>
      <c r="O169" s="33" t="n">
        <f aca="false">IF(AG169="2H Pause déjeuner",IF(F169-D169-0.0833333333333333&lt;0,F169-D169-0.0833333333333333+1,F169-D169-0.0833333333333333),IF(OR(AND(F169="OFF",D169="OFF"),AND(F169="Congé",D169="Congé"),AND(F169="Congé sans solde",D169="Congé sans solde"),AND(F169="Congé spécial",D169="Congé spécial"),AND(F169="Férié",D169="Férié"),AND(F169="OFF",D169="Congé"),AND(F169="OFF",D169="Congé sans solde"),AND(F169="OFF",D169="Congé spécial"),AND(F169="OFF",D169="Férié"),AND(F169="Congé",D169="OFF"),AND(F169="Congé",D169="Congé sans solde"),AND(F169="Congé",D169="Congé spécial"),AND(F169="Congé",D169="Férié"),AND(F169="Congé sans solde",D169="OFF"),AND(F169="Congé sans solde",D169="Congé"),AND(F169="Congé sans solde",D169="Congé spécial"),AND(F169="Congé sans solde",D169="Férié"),AND(F169="Congé spécial",D169="OFF"),AND(F169="Congé spécial",D169="Congé"),AND(F169="Congé spécial",D169="Congé sans solde"),AND(F169="Congé spécial",D169="Férié"),AND(F169="Férié",D169="OFF"),AND(F169="Férié",D169="Congé"),AND(F169="Férié",D169="Congé sans solde"),AND(F169="Férié",D169="Congé spécial")),0,IF(OR(F169="OFF",F169="Congé",F169="Congé spécial",F169="Congé sans solde",D169="OFF",D169="Congé",D169="Congé spécial",D169="Congé sans solde"),0.208333333333334,IF(AND(AG169="",F169-D169&lt;0),("24:00:00"-D169)+("00:00:00"+F169)-0.0416666666666667,IF(AND(OR(AG169="Allaitement",AG169="Sans déjeuner"),F169-D169&lt;0),("24:00:00"-D169)+("00:00:00"+F169),IF(AND(AG169="",F169-D169&gt;0.166666666666667),F169-D169-0.0416666666666667,IF(AND(OR(AG169="Allaitement",AG169="Sans déjeuner"),F169-D169&gt;0.166666666666667),F169-D169,F169-D169)))))))</f>
        <v>0.333333333333333</v>
      </c>
      <c r="P169" s="34" t="str">
        <f aca="false">IFERROR(VLOOKUP($B169,Annuaire_roster!$B:$G,MATCH(P$1,Annuaire_roster!$B$1:$G$1,0),0),"-")</f>
        <v>Google Leads</v>
      </c>
      <c r="Q169" s="35" t="n">
        <v>44722</v>
      </c>
      <c r="R169" s="36" t="n">
        <f aca="false">IF(M169="Abs",O169,0)</f>
        <v>0.333333333333333</v>
      </c>
      <c r="S169" s="36" t="n">
        <f aca="false">SUM(R169,L169,I169,J169,W169,H169)</f>
        <v>0.333333333333333</v>
      </c>
      <c r="T169" s="1" t="str">
        <f aca="false">"Sem - "&amp;WEEKNUM(Q169,21)</f>
        <v>Sem - 24</v>
      </c>
      <c r="U169" s="1" t="str">
        <f aca="false">PROPER(TEXT(Q169,"mmmm"))</f>
        <v>June</v>
      </c>
      <c r="V169" s="37" t="str">
        <f aca="false">+TEXT(Q169,"aaa")</f>
        <v>Thu</v>
      </c>
      <c r="W169" s="32"/>
      <c r="X169" s="38" t="n">
        <f aca="false">IFERROR(IF(M169="Abs",0,IF((D169-C169+E169-F169)&lt;0.000694444444444444,0,(D169-C169+E169-F169))),0)</f>
        <v>0</v>
      </c>
      <c r="Y169" s="39" t="str">
        <f aca="false">IFERROR(VLOOKUP(B169,Annuaire_roster!B:E,4,0),"-")</f>
        <v>CHOUIFI Mustapha</v>
      </c>
      <c r="Z169" s="39" t="str">
        <f aca="false">IFERROR(VLOOKUP(B169,Annuaire_roster!B:F,3,0),"-")</f>
        <v>Google Leads</v>
      </c>
      <c r="AA169" s="39" t="str">
        <f aca="false">IFERROR(VLOOKUP(B169,Annuaire_roster!B:I,6,0),"-")</f>
        <v>Forfaitaire</v>
      </c>
      <c r="AB169" s="40" t="str">
        <f aca="false">IF(AND(D169="Congé",F169="Congé"),0.333333333333333,IF(OR(AND(D169="Congé",F169&lt;&gt;"Congé"),(AND(F169="Congé",D169&lt;&gt;"Congé"))),0.166666666666667,""))</f>
        <v/>
      </c>
      <c r="AC169" s="40" t="str">
        <f aca="false">IF(AND(D169="Congé sans solde",F169="Congé sans solde"),0.333333333333333,IF(OR(AND(D169="Congé sans solde",F169&lt;&gt;"Congé sans solde"),(AND(F169="Congé sans solde",D169&lt;&gt;"Congé sans solde"))),0.166666666666667,""))</f>
        <v/>
      </c>
      <c r="AD169" s="40" t="str">
        <f aca="false">IF(AND(D169="Congé spécial",F169="Congé spécial"),0.333333333333333,IF(OR(AND(D169="Congé spécial",F169&lt;&gt;"Congé décès"),(AND(F169="Congé spécial",D169&lt;&gt;"Congé spécial"))),0.166666666666667,""))</f>
        <v/>
      </c>
      <c r="AE169" s="41" t="str">
        <f aca="false">IF(AND(D169="Férié",F169="Férié"),0.333333333333333,IF(OR(AND(D169="Férié",F169&lt;&gt;"Férié"),(AND(F169="Férié",D169&lt;&gt;"Férié"))),0.166666666666667,""))</f>
        <v/>
      </c>
      <c r="AF169" s="41"/>
      <c r="AG169" s="36"/>
    </row>
    <row r="170" customFormat="false" ht="12.75" hidden="false" customHeight="true" outlineLevel="0" collapsed="false">
      <c r="A170" s="22" t="n">
        <f aca="false">VLOOKUP(B170,Annuaire_roster!B:F,5,0)</f>
        <v>1274</v>
      </c>
      <c r="B170" s="23" t="s">
        <v>54</v>
      </c>
      <c r="C170" s="24" t="str">
        <f aca="false">IFERROR(IF(COUNTIFS(Pointage_brut!$E:$E,VLOOKUP($B170,Annuaire_roster!$B:$J,9,0),Pointage_brut!$A:$A,TEXT($Q170,"yyyymmdd")*1)=0,"",MOD(_xlfn.MINIFS(Pointage_brut!$F:$F,Pointage_brut!$E:$E,VLOOKUP($B170,Annuaire_roster!$B:$J,9,0),Pointage_brut!$A:$A,TEXT($Q170,"yyyymmdd")*1),1)),"")</f>
        <v/>
      </c>
      <c r="D170" s="25" t="n">
        <f aca="false" t="array" ref="D170:D170">IFERROR(INDEX(Planning2[],MATCH(1,(Planning2[Nom]=B170)*(Planning2[Date]=Q170),0),3),"-")</f>
        <v>0.291666666666667</v>
      </c>
      <c r="E170" s="26" t="str">
        <f aca="false">IFERROR(IF(COUNTIFS(Pointage_brut!$E:$E,VLOOKUP($B170,Annuaire_roster!$B:$J,9,0),Pointage_brut!$A:$A,TEXT($Q170,"yyyymmdd")*1)=0,"",MOD(_xlfn.MAXIFS(Pointage_brut!$G:$G,Pointage_brut!$E:$E,VLOOKUP($B170,Annuaire_roster!$B:$J,9,0),Pointage_brut!$A:$A,TEXT($Q170,"yyyymmdd")*1),1)),"")</f>
        <v/>
      </c>
      <c r="F170" s="27" t="n">
        <f aca="false" t="array" ref="F170:F170">IFERROR(INDEX(Planning2[],MATCH(1,(Planning2[Nom]=B170)*(Planning2[Date]=Q170),0),4),"-")</f>
        <v>0.666666666666667</v>
      </c>
      <c r="G170" s="28"/>
      <c r="H170" s="28"/>
      <c r="I170" s="29" t="str">
        <f aca="false">IF(IF(OR(C170="",D170="Congé",D170="OFF",D170="Congé spécial"),"",IF(D170&gt;F170,D170-C170,IF(C170-D170&lt;0,0,C170-D170)))&lt;0.00068287037037037,"",IF(OR(D170="Congé",D170="OFF",C170="",D170="Congé spécial"),"",IF(D170&gt;F170,D170-C170,IF(C170-D170&lt;0,0,C170-D170))))</f>
        <v/>
      </c>
      <c r="J170" s="28"/>
      <c r="K170" s="30" t="n">
        <f aca="false">IF(SUM(H170:J170)&lt;0.00068287037037037,0,SUM(H170:J170))</f>
        <v>0</v>
      </c>
      <c r="L170" s="28" t="n">
        <f aca="false">IF(OR(F170="Congé",F170="OFF",M170="Abs",F170="Congé sans solde",F170="Férié",F170="Congé spécial",D170="Congé spécial"),0,IF(F170-E170&lt;0,0,IF(F170-E170&lt;=0.00068287037037037,0,F170-E170)))</f>
        <v>0</v>
      </c>
      <c r="M170" s="31" t="str">
        <f aca="false">IF(AND(O170&lt;&gt;0,C170=""),"Abs",0)</f>
        <v>Abs</v>
      </c>
      <c r="N170" s="32" t="str">
        <f aca="false">IFERROR(IF(OR(D170="OFF",D170="Congé",M170="Abs",D170="Congé sans solde",D170="Férié"),"",IF(O170-K170-L170&gt;O170,O170,IF(O170-K170-L170&lt;0,"",O170-K170-L170))),"")</f>
        <v/>
      </c>
      <c r="O170" s="33" t="n">
        <f aca="false">IF(AG170="2H Pause déjeuner",IF(F170-D170-0.0833333333333333&lt;0,F170-D170-0.0833333333333333+1,F170-D170-0.0833333333333333),IF(OR(AND(F170="OFF",D170="OFF"),AND(F170="Congé",D170="Congé"),AND(F170="Congé sans solde",D170="Congé sans solde"),AND(F170="Congé spécial",D170="Congé spécial"),AND(F170="Férié",D170="Férié"),AND(F170="OFF",D170="Congé"),AND(F170="OFF",D170="Congé sans solde"),AND(F170="OFF",D170="Congé spécial"),AND(F170="OFF",D170="Férié"),AND(F170="Congé",D170="OFF"),AND(F170="Congé",D170="Congé sans solde"),AND(F170="Congé",D170="Congé spécial"),AND(F170="Congé",D170="Férié"),AND(F170="Congé sans solde",D170="OFF"),AND(F170="Congé sans solde",D170="Congé"),AND(F170="Congé sans solde",D170="Congé spécial"),AND(F170="Congé sans solde",D170="Férié"),AND(F170="Congé spécial",D170="OFF"),AND(F170="Congé spécial",D170="Congé"),AND(F170="Congé spécial",D170="Congé sans solde"),AND(F170="Congé spécial",D170="Férié"),AND(F170="Férié",D170="OFF"),AND(F170="Férié",D170="Congé"),AND(F170="Férié",D170="Congé sans solde"),AND(F170="Férié",D170="Congé spécial")),0,IF(OR(F170="OFF",F170="Congé",F170="Congé spécial",F170="Congé sans solde",D170="OFF",D170="Congé",D170="Congé spécial",D170="Congé sans solde"),0.208333333333334,IF(AND(AG170="",F170-D170&lt;0),("24:00:00"-D170)+("00:00:00"+F170)-0.0416666666666667,IF(AND(OR(AG170="Allaitement",AG170="Sans déjeuner"),F170-D170&lt;0),("24:00:00"-D170)+("00:00:00"+F170),IF(AND(AG170="",F170-D170&gt;0.166666666666667),F170-D170-0.0416666666666667,IF(AND(OR(AG170="Allaitement",AG170="Sans déjeuner"),F170-D170&gt;0.166666666666667),F170-D170,F170-D170)))))))</f>
        <v>0.333333333333333</v>
      </c>
      <c r="P170" s="34" t="str">
        <f aca="false">IFERROR(VLOOKUP($B170,Annuaire_roster!$B:$G,MATCH(P$1,Annuaire_roster!$B$1:$G$1,0),0),"-")</f>
        <v>Google Leads</v>
      </c>
      <c r="Q170" s="35" t="n">
        <v>44722</v>
      </c>
      <c r="R170" s="36" t="n">
        <f aca="false">IF(M170="Abs",O170,0)</f>
        <v>0.333333333333333</v>
      </c>
      <c r="S170" s="36" t="n">
        <f aca="false">SUM(R170,L170,I170,J170,W170,H170)</f>
        <v>0.333333333333333</v>
      </c>
      <c r="T170" s="1" t="str">
        <f aca="false">"Sem - "&amp;WEEKNUM(Q170,21)</f>
        <v>Sem - 24</v>
      </c>
      <c r="U170" s="1" t="str">
        <f aca="false">PROPER(TEXT(Q170,"mmmm"))</f>
        <v>June</v>
      </c>
      <c r="V170" s="37" t="str">
        <f aca="false">+TEXT(Q170,"aaa")</f>
        <v>Thu</v>
      </c>
      <c r="W170" s="32"/>
      <c r="X170" s="38" t="n">
        <f aca="false">IFERROR(IF(M170="Abs",0,IF((D170-C170+E170-F170)&lt;0.000694444444444444,0,(D170-C170+E170-F170))),0)</f>
        <v>0</v>
      </c>
      <c r="Y170" s="39" t="str">
        <f aca="false">IFERROR(VLOOKUP(B170,Annuaire_roster!B:E,4,0),"-")</f>
        <v>OUAQERROUCH Nour-El Houda</v>
      </c>
      <c r="Z170" s="39" t="str">
        <f aca="false">IFERROR(VLOOKUP(B170,Annuaire_roster!B:F,3,0),"-")</f>
        <v>Google Leads</v>
      </c>
      <c r="AA170" s="39" t="str">
        <f aca="false">IFERROR(VLOOKUP(B170,Annuaire_roster!B:I,6,0),"-")</f>
        <v>Forfaitaire</v>
      </c>
      <c r="AB170" s="40" t="str">
        <f aca="false">IF(AND(D170="Congé",F170="Congé"),0.333333333333333,IF(OR(AND(D170="Congé",F170&lt;&gt;"Congé"),(AND(F170="Congé",D170&lt;&gt;"Congé"))),0.166666666666667,""))</f>
        <v/>
      </c>
      <c r="AC170" s="40" t="str">
        <f aca="false">IF(AND(D170="Congé sans solde",F170="Congé sans solde"),0.333333333333333,IF(OR(AND(D170="Congé sans solde",F170&lt;&gt;"Congé sans solde"),(AND(F170="Congé sans solde",D170&lt;&gt;"Congé sans solde"))),0.166666666666667,""))</f>
        <v/>
      </c>
      <c r="AD170" s="40" t="str">
        <f aca="false">IF(AND(D170="Congé spécial",F170="Congé spécial"),0.333333333333333,IF(OR(AND(D170="Congé spécial",F170&lt;&gt;"Congé décès"),(AND(F170="Congé spécial",D170&lt;&gt;"Congé spécial"))),0.166666666666667,""))</f>
        <v/>
      </c>
      <c r="AE170" s="41" t="str">
        <f aca="false">IF(AND(D170="Férié",F170="Férié"),0.333333333333333,IF(OR(AND(D170="Férié",F170&lt;&gt;"Férié"),(AND(F170="Férié",D170&lt;&gt;"Férié"))),0.166666666666667,""))</f>
        <v/>
      </c>
      <c r="AF170" s="41"/>
      <c r="AG170" s="36"/>
    </row>
    <row r="171" customFormat="false" ht="12.75" hidden="false" customHeight="true" outlineLevel="0" collapsed="false">
      <c r="A171" s="22" t="n">
        <f aca="false">VLOOKUP(B171,Annuaire_roster!B:F,5,0)</f>
        <v>0</v>
      </c>
      <c r="B171" s="23" t="s">
        <v>34</v>
      </c>
      <c r="C171" s="24" t="str">
        <f aca="false">IFERROR(IF(COUNTIFS(Pointage_brut!$E:$E,VLOOKUP($B171,Annuaire_roster!$B:$J,9,0),Pointage_brut!$A:$A,TEXT($Q171,"yyyymmdd")*1)=0,"",MOD(_xlfn.MINIFS(Pointage_brut!$F:$F,Pointage_brut!$E:$E,VLOOKUP($B171,Annuaire_roster!$B:$J,9,0),Pointage_brut!$A:$A,TEXT($Q171,"yyyymmdd")*1),1)),"")</f>
        <v/>
      </c>
      <c r="D171" s="25" t="n">
        <f aca="false" t="array" ref="D171:D171">IFERROR(INDEX(Planning2[],MATCH(1,(Planning2[Nom]=B171)*(Planning2[Date]=Q171),0),3),"-")</f>
        <v>0.291666666666667</v>
      </c>
      <c r="E171" s="26" t="str">
        <f aca="false">IFERROR(IF(COUNTIFS(Pointage_brut!$E:$E,VLOOKUP($B171,Annuaire_roster!$B:$J,9,0),Pointage_brut!$A:$A,TEXT($Q171,"yyyymmdd")*1)=0,"",MOD(_xlfn.MAXIFS(Pointage_brut!$G:$G,Pointage_brut!$E:$E,VLOOKUP($B171,Annuaire_roster!$B:$J,9,0),Pointage_brut!$A:$A,TEXT($Q171,"yyyymmdd")*1),1)),"")</f>
        <v/>
      </c>
      <c r="F171" s="27" t="n">
        <f aca="false" t="array" ref="F171:F171">IFERROR(INDEX(Planning2[],MATCH(1,(Planning2[Nom]=B171)*(Planning2[Date]=Q171),0),4),"-")</f>
        <v>0.666666666666667</v>
      </c>
      <c r="G171" s="28"/>
      <c r="H171" s="28"/>
      <c r="I171" s="29" t="str">
        <f aca="false">IF(IF(OR(C171="",D171="Congé",D171="OFF",D171="Congé spécial"),"",IF(D171&gt;F171,D171-C171,IF(C171-D171&lt;0,0,C171-D171)))&lt;0.00068287037037037,"",IF(OR(D171="Congé",D171="OFF",C171="",D171="Congé spécial"),"",IF(D171&gt;F171,D171-C171,IF(C171-D171&lt;0,0,C171-D171))))</f>
        <v/>
      </c>
      <c r="J171" s="28"/>
      <c r="K171" s="30" t="n">
        <f aca="false">IF(SUM(H171:J171)&lt;0.00068287037037037,0,SUM(H171:J171))</f>
        <v>0</v>
      </c>
      <c r="L171" s="28" t="n">
        <f aca="false">IF(OR(F171="Congé",F171="OFF",M171="Abs",F171="Congé sans solde",F171="Férié",F171="Congé spécial",D171="Congé spécial"),0,IF(F171-E171&lt;0,0,IF(F171-E171&lt;=0.00068287037037037,0,F171-E171)))</f>
        <v>0</v>
      </c>
      <c r="M171" s="31" t="str">
        <f aca="false">IF(AND(O171&lt;&gt;0,C171=""),"Abs",0)</f>
        <v>Abs</v>
      </c>
      <c r="N171" s="32" t="str">
        <f aca="false">IFERROR(IF(OR(D171="OFF",D171="Congé",M171="Abs",D171="Congé sans solde",D171="Férié"),"",IF(O171-K171-L171&gt;O171,O171,IF(O171-K171-L171&lt;0,"",O171-K171-L171))),"")</f>
        <v/>
      </c>
      <c r="O171" s="33" t="n">
        <f aca="false">IF(AG171="2H Pause déjeuner",IF(F171-D171-0.0833333333333333&lt;0,F171-D171-0.0833333333333333+1,F171-D171-0.0833333333333333),IF(OR(AND(F171="OFF",D171="OFF"),AND(F171="Congé",D171="Congé"),AND(F171="Congé sans solde",D171="Congé sans solde"),AND(F171="Congé spécial",D171="Congé spécial"),AND(F171="Férié",D171="Férié"),AND(F171="OFF",D171="Congé"),AND(F171="OFF",D171="Congé sans solde"),AND(F171="OFF",D171="Congé spécial"),AND(F171="OFF",D171="Férié"),AND(F171="Congé",D171="OFF"),AND(F171="Congé",D171="Congé sans solde"),AND(F171="Congé",D171="Congé spécial"),AND(F171="Congé",D171="Férié"),AND(F171="Congé sans solde",D171="OFF"),AND(F171="Congé sans solde",D171="Congé"),AND(F171="Congé sans solde",D171="Congé spécial"),AND(F171="Congé sans solde",D171="Férié"),AND(F171="Congé spécial",D171="OFF"),AND(F171="Congé spécial",D171="Congé"),AND(F171="Congé spécial",D171="Congé sans solde"),AND(F171="Congé spécial",D171="Férié"),AND(F171="Férié",D171="OFF"),AND(F171="Férié",D171="Congé"),AND(F171="Férié",D171="Congé sans solde"),AND(F171="Férié",D171="Congé spécial")),0,IF(OR(F171="OFF",F171="Congé",F171="Congé spécial",F171="Congé sans solde",D171="OFF",D171="Congé",D171="Congé spécial",D171="Congé sans solde"),0.208333333333334,IF(AND(AG171="",F171-D171&lt;0),("24:00:00"-D171)+("00:00:00"+F171)-0.0416666666666667,IF(AND(OR(AG171="Allaitement",AG171="Sans déjeuner"),F171-D171&lt;0),("24:00:00"-D171)+("00:00:00"+F171),IF(AND(AG171="",F171-D171&gt;0.166666666666667),F171-D171-0.0416666666666667,IF(AND(OR(AG171="Allaitement",AG171="Sans déjeuner"),F171-D171&gt;0.166666666666667),F171-D171,F171-D171)))))))</f>
        <v>0.333333333333333</v>
      </c>
      <c r="P171" s="34" t="str">
        <f aca="false">IFERROR(VLOOKUP($B171,Annuaire_roster!$B:$G,MATCH(P$1,Annuaire_roster!$B$1:$G$1,0),0),"-")</f>
        <v>Google Leads</v>
      </c>
      <c r="Q171" s="35" t="n">
        <v>44722</v>
      </c>
      <c r="R171" s="36" t="n">
        <f aca="false">IF(M171="Abs",O171,0)</f>
        <v>0.333333333333333</v>
      </c>
      <c r="S171" s="36" t="n">
        <f aca="false">SUM(R171,L171,I171,J171,W171,H171)</f>
        <v>0.333333333333333</v>
      </c>
      <c r="T171" s="1" t="str">
        <f aca="false">"Sem - "&amp;WEEKNUM(Q171,21)</f>
        <v>Sem - 24</v>
      </c>
      <c r="U171" s="1" t="str">
        <f aca="false">PROPER(TEXT(Q171,"mmmm"))</f>
        <v>June</v>
      </c>
      <c r="V171" s="37" t="str">
        <f aca="false">+TEXT(Q171,"aaa")</f>
        <v>Thu</v>
      </c>
      <c r="W171" s="32"/>
      <c r="X171" s="38" t="n">
        <f aca="false">IFERROR(IF(M171="Abs",0,IF((D171-C171+E171-F171)&lt;0.000694444444444444,0,(D171-C171+E171-F171))),0)</f>
        <v>0</v>
      </c>
      <c r="Y171" s="39" t="n">
        <f aca="false">IFERROR(VLOOKUP(B171,Annuaire_roster!B:E,4,0),"-")</f>
        <v>0</v>
      </c>
      <c r="Z171" s="39" t="str">
        <f aca="false">IFERROR(VLOOKUP(B171,Annuaire_roster!B:F,3,0),"-")</f>
        <v>Google Leads</v>
      </c>
      <c r="AA171" s="39" t="n">
        <f aca="false">IFERROR(VLOOKUP(B171,Annuaire_roster!B:I,6,0),"-")</f>
        <v>0</v>
      </c>
      <c r="AB171" s="40" t="str">
        <f aca="false">IF(AND(D171="Congé",F171="Congé"),0.333333333333333,IF(OR(AND(D171="Congé",F171&lt;&gt;"Congé"),(AND(F171="Congé",D171&lt;&gt;"Congé"))),0.166666666666667,""))</f>
        <v/>
      </c>
      <c r="AC171" s="40" t="str">
        <f aca="false">IF(AND(D171="Congé sans solde",F171="Congé sans solde"),0.333333333333333,IF(OR(AND(D171="Congé sans solde",F171&lt;&gt;"Congé sans solde"),(AND(F171="Congé sans solde",D171&lt;&gt;"Congé sans solde"))),0.166666666666667,""))</f>
        <v/>
      </c>
      <c r="AD171" s="40" t="str">
        <f aca="false">IF(AND(D171="Congé spécial",F171="Congé spécial"),0.333333333333333,IF(OR(AND(D171="Congé spécial",F171&lt;&gt;"Congé décès"),(AND(F171="Congé spécial",D171&lt;&gt;"Congé spécial"))),0.166666666666667,""))</f>
        <v/>
      </c>
      <c r="AE171" s="41" t="str">
        <f aca="false">IF(AND(D171="Férié",F171="Férié"),0.333333333333333,IF(OR(AND(D171="Férié",F171&lt;&gt;"Férié"),(AND(F171="Férié",D171&lt;&gt;"Férié"))),0.166666666666667,""))</f>
        <v/>
      </c>
      <c r="AF171" s="41"/>
      <c r="AG171" s="36"/>
    </row>
    <row r="172" customFormat="false" ht="12.75" hidden="false" customHeight="true" outlineLevel="0" collapsed="false">
      <c r="A172" s="22" t="n">
        <f aca="false">VLOOKUP(B172,Annuaire_roster!B:F,5,0)</f>
        <v>1170</v>
      </c>
      <c r="B172" s="23" t="s">
        <v>64</v>
      </c>
      <c r="C172" s="24" t="str">
        <f aca="false">IFERROR(IF(COUNTIFS(Pointage_brut!$E:$E,VLOOKUP($B172,Annuaire_roster!$B:$J,9,0),Pointage_brut!$A:$A,TEXT($Q172,"yyyymmdd")*1)=0,"",MOD(_xlfn.MINIFS(Pointage_brut!$F:$F,Pointage_brut!$E:$E,VLOOKUP($B172,Annuaire_roster!$B:$J,9,0),Pointage_brut!$A:$A,TEXT($Q172,"yyyymmdd")*1),1)),"")</f>
        <v/>
      </c>
      <c r="D172" s="25" t="n">
        <f aca="false" t="array" ref="D172:D172">IFERROR(INDEX(Planning2[],MATCH(1,(Planning2[Nom]=B172)*(Planning2[Date]=Q172),0),3),"-")</f>
        <v>0.333333333333333</v>
      </c>
      <c r="E172" s="26" t="str">
        <f aca="false">IFERROR(IF(COUNTIFS(Pointage_brut!$E:$E,VLOOKUP($B172,Annuaire_roster!$B:$J,9,0),Pointage_brut!$A:$A,TEXT($Q172,"yyyymmdd")*1)=0,"",MOD(_xlfn.MAXIFS(Pointage_brut!$G:$G,Pointage_brut!$E:$E,VLOOKUP($B172,Annuaire_roster!$B:$J,9,0),Pointage_brut!$A:$A,TEXT($Q172,"yyyymmdd")*1),1)),"")</f>
        <v/>
      </c>
      <c r="F172" s="27" t="n">
        <f aca="false" t="array" ref="F172:F172">IFERROR(INDEX(Planning2[],MATCH(1,(Planning2[Nom]=B172)*(Planning2[Date]=Q172),0),4),"-")</f>
        <v>0.75</v>
      </c>
      <c r="G172" s="28"/>
      <c r="H172" s="28"/>
      <c r="I172" s="29" t="str">
        <f aca="false">IF(IF(OR(C172="",D172="Congé",D172="OFF",D172="Congé spécial"),"",IF(D172&gt;F172,D172-C172,IF(C172-D172&lt;0,0,C172-D172)))&lt;0.00068287037037037,"",IF(OR(D172="Congé",D172="OFF",C172="",D172="Congé spécial"),"",IF(D172&gt;F172,D172-C172,IF(C172-D172&lt;0,0,C172-D172))))</f>
        <v/>
      </c>
      <c r="J172" s="28"/>
      <c r="K172" s="30" t="n">
        <f aca="false">IF(SUM(H172:J172)&lt;0.00068287037037037,0,SUM(H172:J172))</f>
        <v>0</v>
      </c>
      <c r="L172" s="28" t="n">
        <f aca="false">IF(OR(F172="Congé",F172="OFF",M172="Abs",F172="Congé sans solde",F172="Férié",F172="Congé spécial",D172="Congé spécial"),0,IF(F172-E172&lt;0,0,IF(F172-E172&lt;=0.00068287037037037,0,F172-E172)))</f>
        <v>0</v>
      </c>
      <c r="M172" s="31" t="str">
        <f aca="false">IF(AND(O172&lt;&gt;0,C172=""),"Abs",0)</f>
        <v>Abs</v>
      </c>
      <c r="N172" s="32" t="str">
        <f aca="false">IFERROR(IF(OR(D172="OFF",D172="Congé",M172="Abs",D172="Congé sans solde",D172="Férié"),"",IF(O172-K172-L172&gt;O172,O172,IF(O172-K172-L172&lt;0,"",O172-K172-L172))),"")</f>
        <v/>
      </c>
      <c r="O172" s="33" t="n">
        <f aca="false">IF(AG172="2H Pause déjeuner",IF(F172-D172-0.0833333333333333&lt;0,F172-D172-0.0833333333333333+1,F172-D172-0.0833333333333333),IF(OR(AND(F172="OFF",D172="OFF"),AND(F172="Congé",D172="Congé"),AND(F172="Congé sans solde",D172="Congé sans solde"),AND(F172="Congé spécial",D172="Congé spécial"),AND(F172="Férié",D172="Férié"),AND(F172="OFF",D172="Congé"),AND(F172="OFF",D172="Congé sans solde"),AND(F172="OFF",D172="Congé spécial"),AND(F172="OFF",D172="Férié"),AND(F172="Congé",D172="OFF"),AND(F172="Congé",D172="Congé sans solde"),AND(F172="Congé",D172="Congé spécial"),AND(F172="Congé",D172="Férié"),AND(F172="Congé sans solde",D172="OFF"),AND(F172="Congé sans solde",D172="Congé"),AND(F172="Congé sans solde",D172="Congé spécial"),AND(F172="Congé sans solde",D172="Férié"),AND(F172="Congé spécial",D172="OFF"),AND(F172="Congé spécial",D172="Congé"),AND(F172="Congé spécial",D172="Congé sans solde"),AND(F172="Congé spécial",D172="Férié"),AND(F172="Férié",D172="OFF"),AND(F172="Férié",D172="Congé"),AND(F172="Férié",D172="Congé sans solde"),AND(F172="Férié",D172="Congé spécial")),0,IF(OR(F172="OFF",F172="Congé",F172="Congé spécial",F172="Congé sans solde",D172="OFF",D172="Congé",D172="Congé spécial",D172="Congé sans solde"),0.208333333333334,IF(AND(AG172="",F172-D172&lt;0),("24:00:00"-D172)+("00:00:00"+F172)-0.0416666666666667,IF(AND(OR(AG172="Allaitement",AG172="Sans déjeuner"),F172-D172&lt;0),("24:00:00"-D172)+("00:00:00"+F172),IF(AND(AG172="",F172-D172&gt;0.166666666666667),F172-D172-0.0416666666666667,IF(AND(OR(AG172="Allaitement",AG172="Sans déjeuner"),F172-D172&gt;0.166666666666667),F172-D172,F172-D172)))))))</f>
        <v>0.375</v>
      </c>
      <c r="P172" s="34" t="str">
        <f aca="false">IFERROR(VLOOKUP($B172,Annuaire_roster!$B:$G,MATCH(P$1,Annuaire_roster!$B$1:$G$1,0),0),"-")</f>
        <v>Google Leads</v>
      </c>
      <c r="Q172" s="35" t="n">
        <v>44722</v>
      </c>
      <c r="R172" s="36" t="n">
        <f aca="false">IF(M172="Abs",O172,0)</f>
        <v>0.375</v>
      </c>
      <c r="S172" s="36" t="n">
        <f aca="false">SUM(R172,L172,I172,J172,W172,H172)</f>
        <v>0.375</v>
      </c>
      <c r="T172" s="1" t="str">
        <f aca="false">"Sem - "&amp;WEEKNUM(Q172,21)</f>
        <v>Sem - 24</v>
      </c>
      <c r="U172" s="1" t="str">
        <f aca="false">PROPER(TEXT(Q172,"mmmm"))</f>
        <v>June</v>
      </c>
      <c r="V172" s="37" t="str">
        <f aca="false">+TEXT(Q172,"aaa")</f>
        <v>Thu</v>
      </c>
      <c r="W172" s="32"/>
      <c r="X172" s="38" t="n">
        <f aca="false">IFERROR(IF(M172="Abs",0,IF((D172-C172+E172-F172)&lt;0.000694444444444444,0,(D172-C172+E172-F172))),0)</f>
        <v>0</v>
      </c>
      <c r="Y172" s="39" t="str">
        <f aca="false">IFERROR(VLOOKUP(B172,Annuaire_roster!B:E,4,0),"-")</f>
        <v>CHOUIFI Mustapha</v>
      </c>
      <c r="Z172" s="39" t="str">
        <f aca="false">IFERROR(VLOOKUP(B172,Annuaire_roster!B:F,3,0),"-")</f>
        <v>Google Leads</v>
      </c>
      <c r="AA172" s="39" t="str">
        <f aca="false">IFERROR(VLOOKUP(B172,Annuaire_roster!B:I,6,0),"-")</f>
        <v>Forfaitaire</v>
      </c>
      <c r="AB172" s="40" t="str">
        <f aca="false">IF(AND(D172="Congé",F172="Congé"),0.333333333333333,IF(OR(AND(D172="Congé",F172&lt;&gt;"Congé"),(AND(F172="Congé",D172&lt;&gt;"Congé"))),0.166666666666667,""))</f>
        <v/>
      </c>
      <c r="AC172" s="40" t="str">
        <f aca="false">IF(AND(D172="Congé sans solde",F172="Congé sans solde"),0.333333333333333,IF(OR(AND(D172="Congé sans solde",F172&lt;&gt;"Congé sans solde"),(AND(F172="Congé sans solde",D172&lt;&gt;"Congé sans solde"))),0.166666666666667,""))</f>
        <v/>
      </c>
      <c r="AD172" s="40" t="str">
        <f aca="false">IF(AND(D172="Congé spécial",F172="Congé spécial"),0.333333333333333,IF(OR(AND(D172="Congé spécial",F172&lt;&gt;"Congé décès"),(AND(F172="Congé spécial",D172&lt;&gt;"Congé spécial"))),0.166666666666667,""))</f>
        <v/>
      </c>
      <c r="AE172" s="41" t="str">
        <f aca="false">IF(AND(D172="Férié",F172="Férié"),0.333333333333333,IF(OR(AND(D172="Férié",F172&lt;&gt;"Férié"),(AND(F172="Férié",D172&lt;&gt;"Férié"))),0.166666666666667,""))</f>
        <v/>
      </c>
      <c r="AF172" s="41"/>
      <c r="AG172" s="36"/>
    </row>
    <row r="173" customFormat="false" ht="12.75" hidden="false" customHeight="true" outlineLevel="0" collapsed="false">
      <c r="A173" s="22" t="n">
        <f aca="false">VLOOKUP(B173,Annuaire_roster!B:F,5,0)</f>
        <v>952</v>
      </c>
      <c r="B173" s="23" t="s">
        <v>63</v>
      </c>
      <c r="C173" s="24" t="str">
        <f aca="false">IFERROR(IF(COUNTIFS(Pointage_brut!$E:$E,VLOOKUP($B173,Annuaire_roster!$B:$J,9,0),Pointage_brut!$A:$A,TEXT($Q173,"yyyymmdd")*1)=0,"",MOD(_xlfn.MINIFS(Pointage_brut!$F:$F,Pointage_brut!$E:$E,VLOOKUP($B173,Annuaire_roster!$B:$J,9,0),Pointage_brut!$A:$A,TEXT($Q173,"yyyymmdd")*1),1)),"")</f>
        <v/>
      </c>
      <c r="D173" s="25" t="n">
        <f aca="false" t="array" ref="D173:D173">IFERROR(INDEX(Planning2[],MATCH(1,(Planning2[Nom]=B173)*(Planning2[Date]=Q173),0),3),"-")</f>
        <v>0.416666666666667</v>
      </c>
      <c r="E173" s="26" t="str">
        <f aca="false">IFERROR(IF(COUNTIFS(Pointage_brut!$E:$E,VLOOKUP($B173,Annuaire_roster!$B:$J,9,0),Pointage_brut!$A:$A,TEXT($Q173,"yyyymmdd")*1)=0,"",MOD(_xlfn.MAXIFS(Pointage_brut!$G:$G,Pointage_brut!$E:$E,VLOOKUP($B173,Annuaire_roster!$B:$J,9,0),Pointage_brut!$A:$A,TEXT($Q173,"yyyymmdd")*1),1)),"")</f>
        <v/>
      </c>
      <c r="F173" s="27" t="n">
        <f aca="false" t="array" ref="F173:F173">IFERROR(INDEX(Planning2[],MATCH(1,(Planning2[Nom]=B173)*(Planning2[Date]=Q173),0),4),"-")</f>
        <v>0.833333333333333</v>
      </c>
      <c r="G173" s="28"/>
      <c r="H173" s="28"/>
      <c r="I173" s="29" t="str">
        <f aca="false">IF(IF(OR(C173="",D173="Congé",D173="OFF",D173="Congé spécial"),"",IF(D173&gt;F173,D173-C173,IF(C173-D173&lt;0,0,C173-D173)))&lt;0.00068287037037037,"",IF(OR(D173="Congé",D173="OFF",C173="",D173="Congé spécial"),"",IF(D173&gt;F173,D173-C173,IF(C173-D173&lt;0,0,C173-D173))))</f>
        <v/>
      </c>
      <c r="J173" s="28"/>
      <c r="K173" s="30" t="n">
        <f aca="false">IF(SUM(H173:J173)&lt;0.00068287037037037,0,SUM(H173:J173))</f>
        <v>0</v>
      </c>
      <c r="L173" s="28" t="n">
        <f aca="false">IF(OR(F173="Congé",F173="OFF",M173="Abs",F173="Congé sans solde",F173="Férié",F173="Congé spécial",D173="Congé spécial"),0,IF(F173-E173&lt;0,0,IF(F173-E173&lt;=0.00068287037037037,0,F173-E173)))</f>
        <v>0</v>
      </c>
      <c r="M173" s="31" t="str">
        <f aca="false">IF(AND(O173&lt;&gt;0,C173=""),"Abs",0)</f>
        <v>Abs</v>
      </c>
      <c r="N173" s="32" t="str">
        <f aca="false">IFERROR(IF(OR(D173="OFF",D173="Congé",M173="Abs",D173="Congé sans solde",D173="Férié"),"",IF(O173-K173-L173&gt;O173,O173,IF(O173-K173-L173&lt;0,"",O173-K173-L173))),"")</f>
        <v/>
      </c>
      <c r="O173" s="33" t="n">
        <f aca="false">IF(AG173="2H Pause déjeuner",IF(F173-D173-0.0833333333333333&lt;0,F173-D173-0.0833333333333333+1,F173-D173-0.0833333333333333),IF(OR(AND(F173="OFF",D173="OFF"),AND(F173="Congé",D173="Congé"),AND(F173="Congé sans solde",D173="Congé sans solde"),AND(F173="Congé spécial",D173="Congé spécial"),AND(F173="Férié",D173="Férié"),AND(F173="OFF",D173="Congé"),AND(F173="OFF",D173="Congé sans solde"),AND(F173="OFF",D173="Congé spécial"),AND(F173="OFF",D173="Férié"),AND(F173="Congé",D173="OFF"),AND(F173="Congé",D173="Congé sans solde"),AND(F173="Congé",D173="Congé spécial"),AND(F173="Congé",D173="Férié"),AND(F173="Congé sans solde",D173="OFF"),AND(F173="Congé sans solde",D173="Congé"),AND(F173="Congé sans solde",D173="Congé spécial"),AND(F173="Congé sans solde",D173="Férié"),AND(F173="Congé spécial",D173="OFF"),AND(F173="Congé spécial",D173="Congé"),AND(F173="Congé spécial",D173="Congé sans solde"),AND(F173="Congé spécial",D173="Férié"),AND(F173="Férié",D173="OFF"),AND(F173="Férié",D173="Congé"),AND(F173="Férié",D173="Congé sans solde"),AND(F173="Férié",D173="Congé spécial")),0,IF(OR(F173="OFF",F173="Congé",F173="Congé spécial",F173="Congé sans solde",D173="OFF",D173="Congé",D173="Congé spécial",D173="Congé sans solde"),0.208333333333334,IF(AND(AG173="",F173-D173&lt;0),("24:00:00"-D173)+("00:00:00"+F173)-0.0416666666666667,IF(AND(OR(AG173="Allaitement",AG173="Sans déjeuner"),F173-D173&lt;0),("24:00:00"-D173)+("00:00:00"+F173),IF(AND(AG173="",F173-D173&gt;0.166666666666667),F173-D173-0.0416666666666667,IF(AND(OR(AG173="Allaitement",AG173="Sans déjeuner"),F173-D173&gt;0.166666666666667),F173-D173,F173-D173)))))))</f>
        <v>0.375</v>
      </c>
      <c r="P173" s="34" t="str">
        <f aca="false">IFERROR(VLOOKUP($B173,Annuaire_roster!$B:$G,MATCH(P$1,Annuaire_roster!$B$1:$G$1,0),0),"-")</f>
        <v>Google Leads</v>
      </c>
      <c r="Q173" s="35" t="n">
        <v>44722</v>
      </c>
      <c r="R173" s="36" t="n">
        <f aca="false">IF(M173="Abs",O173,0)</f>
        <v>0.375</v>
      </c>
      <c r="S173" s="36" t="n">
        <f aca="false">SUM(R173,L173,I173,J173,W173,H173)</f>
        <v>0.375</v>
      </c>
      <c r="T173" s="1" t="str">
        <f aca="false">"Sem - "&amp;WEEKNUM(Q173,21)</f>
        <v>Sem - 24</v>
      </c>
      <c r="U173" s="1" t="str">
        <f aca="false">PROPER(TEXT(Q173,"mmmm"))</f>
        <v>June</v>
      </c>
      <c r="V173" s="37" t="str">
        <f aca="false">+TEXT(Q173,"aaa")</f>
        <v>Thu</v>
      </c>
      <c r="W173" s="32"/>
      <c r="X173" s="38" t="n">
        <f aca="false">IFERROR(IF(M173="Abs",0,IF((D173-C173+E173-F173)&lt;0.000694444444444444,0,(D173-C173+E173-F173))),0)</f>
        <v>0</v>
      </c>
      <c r="Y173" s="39" t="str">
        <f aca="false">IFERROR(VLOOKUP(B173,Annuaire_roster!B:E,4,0),"-")</f>
        <v>OUAQERROUCH Nour-El Houda</v>
      </c>
      <c r="Z173" s="39" t="str">
        <f aca="false">IFERROR(VLOOKUP(B173,Annuaire_roster!B:F,3,0),"-")</f>
        <v>Google Leads</v>
      </c>
      <c r="AA173" s="39" t="str">
        <f aca="false">IFERROR(VLOOKUP(B173,Annuaire_roster!B:I,6,0),"-")</f>
        <v>Forfaitaire</v>
      </c>
      <c r="AB173" s="40" t="str">
        <f aca="false">IF(AND(D173="Congé",F173="Congé"),0.333333333333333,IF(OR(AND(D173="Congé",F173&lt;&gt;"Congé"),(AND(F173="Congé",D173&lt;&gt;"Congé"))),0.166666666666667,""))</f>
        <v/>
      </c>
      <c r="AC173" s="40" t="str">
        <f aca="false">IF(AND(D173="Congé sans solde",F173="Congé sans solde"),0.333333333333333,IF(OR(AND(D173="Congé sans solde",F173&lt;&gt;"Congé sans solde"),(AND(F173="Congé sans solde",D173&lt;&gt;"Congé sans solde"))),0.166666666666667,""))</f>
        <v/>
      </c>
      <c r="AD173" s="40" t="str">
        <f aca="false">IF(AND(D173="Congé spécial",F173="Congé spécial"),0.333333333333333,IF(OR(AND(D173="Congé spécial",F173&lt;&gt;"Congé décès"),(AND(F173="Congé spécial",D173&lt;&gt;"Congé spécial"))),0.166666666666667,""))</f>
        <v/>
      </c>
      <c r="AE173" s="41" t="str">
        <f aca="false">IF(AND(D173="Férié",F173="Férié"),0.333333333333333,IF(OR(AND(D173="Férié",F173&lt;&gt;"Férié"),(AND(F173="Férié",D173&lt;&gt;"Férié"))),0.166666666666667,""))</f>
        <v/>
      </c>
      <c r="AF173" s="41"/>
      <c r="AG173" s="36"/>
    </row>
    <row r="174" customFormat="false" ht="12.75" hidden="false" customHeight="true" outlineLevel="0" collapsed="false">
      <c r="A174" s="22" t="n">
        <f aca="false">VLOOKUP(B174,Annuaire_roster!B:F,5,0)</f>
        <v>894</v>
      </c>
      <c r="B174" s="23" t="s">
        <v>57</v>
      </c>
      <c r="C174" s="24" t="str">
        <f aca="false">IFERROR(IF(COUNTIFS(Pointage_brut!$E:$E,VLOOKUP($B174,Annuaire_roster!$B:$J,9,0),Pointage_brut!$A:$A,TEXT($Q174,"yyyymmdd")*1)=0,"",MOD(_xlfn.MINIFS(Pointage_brut!$F:$F,Pointage_brut!$E:$E,VLOOKUP($B174,Annuaire_roster!$B:$J,9,0),Pointage_brut!$A:$A,TEXT($Q174,"yyyymmdd")*1),1)),"")</f>
        <v/>
      </c>
      <c r="D174" s="25" t="n">
        <f aca="false" t="array" ref="D174:D174">IFERROR(INDEX(Planning2[],MATCH(1,(Planning2[Nom]=B174)*(Planning2[Date]=Q174),0),3),"-")</f>
        <v>0.416666666666667</v>
      </c>
      <c r="E174" s="26" t="str">
        <f aca="false">IFERROR(IF(COUNTIFS(Pointage_brut!$E:$E,VLOOKUP($B174,Annuaire_roster!$B:$J,9,0),Pointage_brut!$A:$A,TEXT($Q174,"yyyymmdd")*1)=0,"",MOD(_xlfn.MAXIFS(Pointage_brut!$G:$G,Pointage_brut!$E:$E,VLOOKUP($B174,Annuaire_roster!$B:$J,9,0),Pointage_brut!$A:$A,TEXT($Q174,"yyyymmdd")*1),1)),"")</f>
        <v/>
      </c>
      <c r="F174" s="27" t="n">
        <f aca="false" t="array" ref="F174:F174">IFERROR(INDEX(Planning2[],MATCH(1,(Planning2[Nom]=B174)*(Planning2[Date]=Q174),0),4),"-")</f>
        <v>0.833333333333333</v>
      </c>
      <c r="G174" s="28"/>
      <c r="H174" s="28"/>
      <c r="I174" s="29" t="str">
        <f aca="false">IF(IF(OR(C174="",D174="Congé",D174="OFF",D174="Congé spécial"),"",IF(D174&gt;F174,D174-C174,IF(C174-D174&lt;0,0,C174-D174)))&lt;0.00068287037037037,"",IF(OR(D174="Congé",D174="OFF",C174="",D174="Congé spécial"),"",IF(D174&gt;F174,D174-C174,IF(C174-D174&lt;0,0,C174-D174))))</f>
        <v/>
      </c>
      <c r="J174" s="28"/>
      <c r="K174" s="30" t="n">
        <f aca="false">IF(SUM(H174:J174)&lt;0.00068287037037037,0,SUM(H174:J174))</f>
        <v>0</v>
      </c>
      <c r="L174" s="28" t="n">
        <f aca="false">IF(OR(F174="Congé",F174="OFF",M174="Abs",F174="Congé sans solde",F174="Férié",F174="Congé spécial",D174="Congé spécial"),0,IF(F174-E174&lt;0,0,IF(F174-E174&lt;=0.00068287037037037,0,F174-E174)))</f>
        <v>0</v>
      </c>
      <c r="M174" s="31" t="str">
        <f aca="false">IF(AND(O174&lt;&gt;0,C174=""),"Abs",0)</f>
        <v>Abs</v>
      </c>
      <c r="N174" s="32" t="str">
        <f aca="false">IFERROR(IF(OR(D174="OFF",D174="Congé",M174="Abs",D174="Congé sans solde",D174="Férié"),"",IF(O174-K174-L174&gt;O174,O174,IF(O174-K174-L174&lt;0,"",O174-K174-L174))),"")</f>
        <v/>
      </c>
      <c r="O174" s="33" t="n">
        <f aca="false">IF(AG174="2H Pause déjeuner",IF(F174-D174-0.0833333333333333&lt;0,F174-D174-0.0833333333333333+1,F174-D174-0.0833333333333333),IF(OR(AND(F174="OFF",D174="OFF"),AND(F174="Congé",D174="Congé"),AND(F174="Congé sans solde",D174="Congé sans solde"),AND(F174="Congé spécial",D174="Congé spécial"),AND(F174="Férié",D174="Férié"),AND(F174="OFF",D174="Congé"),AND(F174="OFF",D174="Congé sans solde"),AND(F174="OFF",D174="Congé spécial"),AND(F174="OFF",D174="Férié"),AND(F174="Congé",D174="OFF"),AND(F174="Congé",D174="Congé sans solde"),AND(F174="Congé",D174="Congé spécial"),AND(F174="Congé",D174="Férié"),AND(F174="Congé sans solde",D174="OFF"),AND(F174="Congé sans solde",D174="Congé"),AND(F174="Congé sans solde",D174="Congé spécial"),AND(F174="Congé sans solde",D174="Férié"),AND(F174="Congé spécial",D174="OFF"),AND(F174="Congé spécial",D174="Congé"),AND(F174="Congé spécial",D174="Congé sans solde"),AND(F174="Congé spécial",D174="Férié"),AND(F174="Férié",D174="OFF"),AND(F174="Férié",D174="Congé"),AND(F174="Férié",D174="Congé sans solde"),AND(F174="Férié",D174="Congé spécial")),0,IF(OR(F174="OFF",F174="Congé",F174="Congé spécial",F174="Congé sans solde",D174="OFF",D174="Congé",D174="Congé spécial",D174="Congé sans solde"),0.208333333333334,IF(AND(AG174="",F174-D174&lt;0),("24:00:00"-D174)+("00:00:00"+F174)-0.0416666666666667,IF(AND(OR(AG174="Allaitement",AG174="Sans déjeuner"),F174-D174&lt;0),("24:00:00"-D174)+("00:00:00"+F174),IF(AND(AG174="",F174-D174&gt;0.166666666666667),F174-D174-0.0416666666666667,IF(AND(OR(AG174="Allaitement",AG174="Sans déjeuner"),F174-D174&gt;0.166666666666667),F174-D174,F174-D174)))))))</f>
        <v>0.375</v>
      </c>
      <c r="P174" s="34" t="str">
        <f aca="false">IFERROR(VLOOKUP($B174,Annuaire_roster!$B:$G,MATCH(P$1,Annuaire_roster!$B$1:$G$1,0),0),"-")</f>
        <v>Google Leads</v>
      </c>
      <c r="Q174" s="35" t="n">
        <v>44722</v>
      </c>
      <c r="R174" s="36" t="n">
        <f aca="false">IF(M174="Abs",O174,0)</f>
        <v>0.375</v>
      </c>
      <c r="S174" s="36" t="n">
        <f aca="false">SUM(R174,L174,I174,J174,W174,H174)</f>
        <v>0.375</v>
      </c>
      <c r="T174" s="1" t="str">
        <f aca="false">"Sem - "&amp;WEEKNUM(Q174,21)</f>
        <v>Sem - 24</v>
      </c>
      <c r="U174" s="1" t="str">
        <f aca="false">PROPER(TEXT(Q174,"mmmm"))</f>
        <v>June</v>
      </c>
      <c r="V174" s="37" t="str">
        <f aca="false">+TEXT(Q174,"aaa")</f>
        <v>Thu</v>
      </c>
      <c r="W174" s="32"/>
      <c r="X174" s="38" t="n">
        <f aca="false">IFERROR(IF(M174="Abs",0,IF((D174-C174+E174-F174)&lt;0.000694444444444444,0,(D174-C174+E174-F174))),0)</f>
        <v>0</v>
      </c>
      <c r="Y174" s="39" t="str">
        <f aca="false">IFERROR(VLOOKUP(B174,Annuaire_roster!B:E,4,0),"-")</f>
        <v>OUAQERROUCH Nour-El Houda</v>
      </c>
      <c r="Z174" s="39" t="str">
        <f aca="false">IFERROR(VLOOKUP(B174,Annuaire_roster!B:F,3,0),"-")</f>
        <v>Google Leads</v>
      </c>
      <c r="AA174" s="39" t="str">
        <f aca="false">IFERROR(VLOOKUP(B174,Annuaire_roster!B:I,6,0),"-")</f>
        <v>Forfaitaire</v>
      </c>
      <c r="AB174" s="40" t="str">
        <f aca="false">IF(AND(D174="Congé",F174="Congé"),0.333333333333333,IF(OR(AND(D174="Congé",F174&lt;&gt;"Congé"),(AND(F174="Congé",D174&lt;&gt;"Congé"))),0.166666666666667,""))</f>
        <v/>
      </c>
      <c r="AC174" s="40" t="str">
        <f aca="false">IF(AND(D174="Congé sans solde",F174="Congé sans solde"),0.333333333333333,IF(OR(AND(D174="Congé sans solde",F174&lt;&gt;"Congé sans solde"),(AND(F174="Congé sans solde",D174&lt;&gt;"Congé sans solde"))),0.166666666666667,""))</f>
        <v/>
      </c>
      <c r="AD174" s="40" t="str">
        <f aca="false">IF(AND(D174="Congé spécial",F174="Congé spécial"),0.333333333333333,IF(OR(AND(D174="Congé spécial",F174&lt;&gt;"Congé décès"),(AND(F174="Congé spécial",D174&lt;&gt;"Congé spécial"))),0.166666666666667,""))</f>
        <v/>
      </c>
      <c r="AE174" s="41" t="str">
        <f aca="false">IF(AND(D174="Férié",F174="Férié"),0.333333333333333,IF(OR(AND(D174="Férié",F174&lt;&gt;"Férié"),(AND(F174="Férié",D174&lt;&gt;"Férié"))),0.166666666666667,""))</f>
        <v/>
      </c>
      <c r="AF174" s="41"/>
      <c r="AG174" s="36"/>
    </row>
    <row r="175" customFormat="false" ht="12.75" hidden="false" customHeight="true" outlineLevel="0" collapsed="false">
      <c r="A175" s="22" t="n">
        <f aca="false">VLOOKUP(B175,Annuaire_roster!B:F,5,0)</f>
        <v>0</v>
      </c>
      <c r="B175" s="23" t="s">
        <v>45</v>
      </c>
      <c r="C175" s="24" t="str">
        <f aca="false">IFERROR(IF(COUNTIFS(Pointage_brut!$E:$E,VLOOKUP($B175,Annuaire_roster!$B:$J,9,0),Pointage_brut!$A:$A,TEXT($Q175,"yyyymmdd")*1)=0,"",MOD(_xlfn.MINIFS(Pointage_brut!$F:$F,Pointage_brut!$E:$E,VLOOKUP($B175,Annuaire_roster!$B:$J,9,0),Pointage_brut!$A:$A,TEXT($Q175,"yyyymmdd")*1),1)),"")</f>
        <v/>
      </c>
      <c r="D175" s="25" t="n">
        <f aca="false" t="array" ref="D175:D175">IFERROR(INDEX(Planning2[],MATCH(1,(Planning2[Nom]=B175)*(Planning2[Date]=Q175),0),3),"-")</f>
        <v>0.416666666666667</v>
      </c>
      <c r="E175" s="26" t="str">
        <f aca="false">IFERROR(IF(COUNTIFS(Pointage_brut!$E:$E,VLOOKUP($B175,Annuaire_roster!$B:$J,9,0),Pointage_brut!$A:$A,TEXT($Q175,"yyyymmdd")*1)=0,"",MOD(_xlfn.MAXIFS(Pointage_brut!$G:$G,Pointage_brut!$E:$E,VLOOKUP($B175,Annuaire_roster!$B:$J,9,0),Pointage_brut!$A:$A,TEXT($Q175,"yyyymmdd")*1),1)),"")</f>
        <v/>
      </c>
      <c r="F175" s="27" t="n">
        <f aca="false" t="array" ref="F175:F175">IFERROR(INDEX(Planning2[],MATCH(1,(Planning2[Nom]=B175)*(Planning2[Date]=Q175),0),4),"-")</f>
        <v>0.833333333333333</v>
      </c>
      <c r="G175" s="28"/>
      <c r="H175" s="28"/>
      <c r="I175" s="29" t="str">
        <f aca="false">IF(IF(OR(C175="",D175="Congé",D175="OFF",D175="Congé spécial"),"",IF(D175&gt;F175,D175-C175,IF(C175-D175&lt;0,0,C175-D175)))&lt;0.00068287037037037,"",IF(OR(D175="Congé",D175="OFF",C175="",D175="Congé spécial"),"",IF(D175&gt;F175,D175-C175,IF(C175-D175&lt;0,0,C175-D175))))</f>
        <v/>
      </c>
      <c r="J175" s="28"/>
      <c r="K175" s="30" t="n">
        <f aca="false">IF(SUM(H175:J175)&lt;0.00068287037037037,0,SUM(H175:J175))</f>
        <v>0</v>
      </c>
      <c r="L175" s="28" t="n">
        <f aca="false">IF(OR(F175="Congé",F175="OFF",M175="Abs",F175="Congé sans solde",F175="Férié",F175="Congé spécial",D175="Congé spécial"),0,IF(F175-E175&lt;0,0,IF(F175-E175&lt;=0.00068287037037037,0,F175-E175)))</f>
        <v>0</v>
      </c>
      <c r="M175" s="31" t="str">
        <f aca="false">IF(AND(O175&lt;&gt;0,C175=""),"Abs",0)</f>
        <v>Abs</v>
      </c>
      <c r="N175" s="32" t="str">
        <f aca="false">IFERROR(IF(OR(D175="OFF",D175="Congé",M175="Abs",D175="Congé sans solde",D175="Férié"),"",IF(O175-K175-L175&gt;O175,O175,IF(O175-K175-L175&lt;0,"",O175-K175-L175))),"")</f>
        <v/>
      </c>
      <c r="O175" s="33" t="n">
        <f aca="false">IF(AG175="2H Pause déjeuner",IF(F175-D175-0.0833333333333333&lt;0,F175-D175-0.0833333333333333+1,F175-D175-0.0833333333333333),IF(OR(AND(F175="OFF",D175="OFF"),AND(F175="Congé",D175="Congé"),AND(F175="Congé sans solde",D175="Congé sans solde"),AND(F175="Congé spécial",D175="Congé spécial"),AND(F175="Férié",D175="Férié"),AND(F175="OFF",D175="Congé"),AND(F175="OFF",D175="Congé sans solde"),AND(F175="OFF",D175="Congé spécial"),AND(F175="OFF",D175="Férié"),AND(F175="Congé",D175="OFF"),AND(F175="Congé",D175="Congé sans solde"),AND(F175="Congé",D175="Congé spécial"),AND(F175="Congé",D175="Férié"),AND(F175="Congé sans solde",D175="OFF"),AND(F175="Congé sans solde",D175="Congé"),AND(F175="Congé sans solde",D175="Congé spécial"),AND(F175="Congé sans solde",D175="Férié"),AND(F175="Congé spécial",D175="OFF"),AND(F175="Congé spécial",D175="Congé"),AND(F175="Congé spécial",D175="Congé sans solde"),AND(F175="Congé spécial",D175="Férié"),AND(F175="Férié",D175="OFF"),AND(F175="Férié",D175="Congé"),AND(F175="Férié",D175="Congé sans solde"),AND(F175="Férié",D175="Congé spécial")),0,IF(OR(F175="OFF",F175="Congé",F175="Congé spécial",F175="Congé sans solde",D175="OFF",D175="Congé",D175="Congé spécial",D175="Congé sans solde"),0.208333333333334,IF(AND(AG175="",F175-D175&lt;0),("24:00:00"-D175)+("00:00:00"+F175)-0.0416666666666667,IF(AND(OR(AG175="Allaitement",AG175="Sans déjeuner"),F175-D175&lt;0),("24:00:00"-D175)+("00:00:00"+F175),IF(AND(AG175="",F175-D175&gt;0.166666666666667),F175-D175-0.0416666666666667,IF(AND(OR(AG175="Allaitement",AG175="Sans déjeuner"),F175-D175&gt;0.166666666666667),F175-D175,F175-D175)))))))</f>
        <v>0.375</v>
      </c>
      <c r="P175" s="34" t="str">
        <f aca="false">IFERROR(VLOOKUP($B175,Annuaire_roster!$B:$G,MATCH(P$1,Annuaire_roster!$B$1:$G$1,0),0),"-")</f>
        <v>Google Leads</v>
      </c>
      <c r="Q175" s="35" t="n">
        <v>44722</v>
      </c>
      <c r="R175" s="36" t="n">
        <f aca="false">IF(M175="Abs",O175,0)</f>
        <v>0.375</v>
      </c>
      <c r="S175" s="36" t="n">
        <f aca="false">SUM(R175,L175,I175,J175,W175,H175)</f>
        <v>0.375</v>
      </c>
      <c r="T175" s="1" t="str">
        <f aca="false">"Sem - "&amp;WEEKNUM(Q175,21)</f>
        <v>Sem - 24</v>
      </c>
      <c r="U175" s="1" t="str">
        <f aca="false">PROPER(TEXT(Q175,"mmmm"))</f>
        <v>June</v>
      </c>
      <c r="V175" s="37" t="str">
        <f aca="false">+TEXT(Q175,"aaa")</f>
        <v>Thu</v>
      </c>
      <c r="W175" s="32"/>
      <c r="X175" s="38" t="n">
        <f aca="false">IFERROR(IF(M175="Abs",0,IF((D175-C175+E175-F175)&lt;0.000694444444444444,0,(D175-C175+E175-F175))),0)</f>
        <v>0</v>
      </c>
      <c r="Y175" s="39" t="n">
        <f aca="false">IFERROR(VLOOKUP(B175,Annuaire_roster!B:E,4,0),"-")</f>
        <v>0</v>
      </c>
      <c r="Z175" s="39" t="str">
        <f aca="false">IFERROR(VLOOKUP(B175,Annuaire_roster!B:F,3,0),"-")</f>
        <v>Google Leads</v>
      </c>
      <c r="AA175" s="39" t="n">
        <f aca="false">IFERROR(VLOOKUP(B175,Annuaire_roster!B:I,6,0),"-")</f>
        <v>0</v>
      </c>
      <c r="AB175" s="40" t="str">
        <f aca="false">IF(AND(D175="Congé",F175="Congé"),0.333333333333333,IF(OR(AND(D175="Congé",F175&lt;&gt;"Congé"),(AND(F175="Congé",D175&lt;&gt;"Congé"))),0.166666666666667,""))</f>
        <v/>
      </c>
      <c r="AC175" s="40" t="str">
        <f aca="false">IF(AND(D175="Congé sans solde",F175="Congé sans solde"),0.333333333333333,IF(OR(AND(D175="Congé sans solde",F175&lt;&gt;"Congé sans solde"),(AND(F175="Congé sans solde",D175&lt;&gt;"Congé sans solde"))),0.166666666666667,""))</f>
        <v/>
      </c>
      <c r="AD175" s="40" t="str">
        <f aca="false">IF(AND(D175="Congé spécial",F175="Congé spécial"),0.333333333333333,IF(OR(AND(D175="Congé spécial",F175&lt;&gt;"Congé décès"),(AND(F175="Congé spécial",D175&lt;&gt;"Congé spécial"))),0.166666666666667,""))</f>
        <v/>
      </c>
      <c r="AE175" s="41" t="str">
        <f aca="false">IF(AND(D175="Férié",F175="Férié"),0.333333333333333,IF(OR(AND(D175="Férié",F175&lt;&gt;"Férié"),(AND(F175="Férié",D175&lt;&gt;"Férié"))),0.166666666666667,""))</f>
        <v/>
      </c>
      <c r="AF175" s="41"/>
      <c r="AG175" s="36"/>
    </row>
    <row r="176" customFormat="false" ht="12.75" hidden="false" customHeight="true" outlineLevel="0" collapsed="false">
      <c r="A176" s="22" t="n">
        <f aca="false">VLOOKUP(B176,Annuaire_roster!B:F,5,0)</f>
        <v>971</v>
      </c>
      <c r="B176" s="23" t="s">
        <v>58</v>
      </c>
      <c r="C176" s="24" t="str">
        <f aca="false">IFERROR(IF(COUNTIFS(Pointage_brut!$E:$E,VLOOKUP($B176,Annuaire_roster!$B:$J,9,0),Pointage_brut!$A:$A,TEXT($Q176,"yyyymmdd")*1)=0,"",MOD(_xlfn.MINIFS(Pointage_brut!$F:$F,Pointage_brut!$E:$E,VLOOKUP($B176,Annuaire_roster!$B:$J,9,0),Pointage_brut!$A:$A,TEXT($Q176,"yyyymmdd")*1),1)),"")</f>
        <v/>
      </c>
      <c r="D176" s="25" t="n">
        <f aca="false" t="array" ref="D176:D176">IFERROR(INDEX(Planning2[],MATCH(1,(Planning2[Nom]=B176)*(Planning2[Date]=Q176),0),3),"-")</f>
        <v>0.416666666666667</v>
      </c>
      <c r="E176" s="26" t="str">
        <f aca="false">IFERROR(IF(COUNTIFS(Pointage_brut!$E:$E,VLOOKUP($B176,Annuaire_roster!$B:$J,9,0),Pointage_brut!$A:$A,TEXT($Q176,"yyyymmdd")*1)=0,"",MOD(_xlfn.MAXIFS(Pointage_brut!$G:$G,Pointage_brut!$E:$E,VLOOKUP($B176,Annuaire_roster!$B:$J,9,0),Pointage_brut!$A:$A,TEXT($Q176,"yyyymmdd")*1),1)),"")</f>
        <v/>
      </c>
      <c r="F176" s="27" t="n">
        <f aca="false" t="array" ref="F176:F176">IFERROR(INDEX(Planning2[],MATCH(1,(Planning2[Nom]=B176)*(Planning2[Date]=Q176),0),4),"-")</f>
        <v>0.833333333333333</v>
      </c>
      <c r="G176" s="28"/>
      <c r="H176" s="28"/>
      <c r="I176" s="29" t="str">
        <f aca="false">IF(IF(OR(C176="",D176="Congé",D176="OFF",D176="Congé spécial"),"",IF(D176&gt;F176,D176-C176,IF(C176-D176&lt;0,0,C176-D176)))&lt;0.00068287037037037,"",IF(OR(D176="Congé",D176="OFF",C176="",D176="Congé spécial"),"",IF(D176&gt;F176,D176-C176,IF(C176-D176&lt;0,0,C176-D176))))</f>
        <v/>
      </c>
      <c r="J176" s="28"/>
      <c r="K176" s="30" t="n">
        <f aca="false">IF(SUM(H176:J176)&lt;0.00068287037037037,0,SUM(H176:J176))</f>
        <v>0</v>
      </c>
      <c r="L176" s="28" t="n">
        <f aca="false">IF(OR(F176="Congé",F176="OFF",M176="Abs",F176="Congé sans solde",F176="Férié",F176="Congé spécial",D176="Congé spécial"),0,IF(F176-E176&lt;0,0,IF(F176-E176&lt;=0.00068287037037037,0,F176-E176)))</f>
        <v>0</v>
      </c>
      <c r="M176" s="31" t="str">
        <f aca="false">IF(AND(O176&lt;&gt;0,C176=""),"Abs",0)</f>
        <v>Abs</v>
      </c>
      <c r="N176" s="32" t="str">
        <f aca="false">IFERROR(IF(OR(D176="OFF",D176="Congé",M176="Abs",D176="Congé sans solde",D176="Férié"),"",IF(O176-K176-L176&gt;O176,O176,IF(O176-K176-L176&lt;0,"",O176-K176-L176))),"")</f>
        <v/>
      </c>
      <c r="O176" s="33" t="n">
        <f aca="false">IF(AG176="2H Pause déjeuner",IF(F176-D176-0.0833333333333333&lt;0,F176-D176-0.0833333333333333+1,F176-D176-0.0833333333333333),IF(OR(AND(F176="OFF",D176="OFF"),AND(F176="Congé",D176="Congé"),AND(F176="Congé sans solde",D176="Congé sans solde"),AND(F176="Congé spécial",D176="Congé spécial"),AND(F176="Férié",D176="Férié"),AND(F176="OFF",D176="Congé"),AND(F176="OFF",D176="Congé sans solde"),AND(F176="OFF",D176="Congé spécial"),AND(F176="OFF",D176="Férié"),AND(F176="Congé",D176="OFF"),AND(F176="Congé",D176="Congé sans solde"),AND(F176="Congé",D176="Congé spécial"),AND(F176="Congé",D176="Férié"),AND(F176="Congé sans solde",D176="OFF"),AND(F176="Congé sans solde",D176="Congé"),AND(F176="Congé sans solde",D176="Congé spécial"),AND(F176="Congé sans solde",D176="Férié"),AND(F176="Congé spécial",D176="OFF"),AND(F176="Congé spécial",D176="Congé"),AND(F176="Congé spécial",D176="Congé sans solde"),AND(F176="Congé spécial",D176="Férié"),AND(F176="Férié",D176="OFF"),AND(F176="Férié",D176="Congé"),AND(F176="Férié",D176="Congé sans solde"),AND(F176="Férié",D176="Congé spécial")),0,IF(OR(F176="OFF",F176="Congé",F176="Congé spécial",F176="Congé sans solde",D176="OFF",D176="Congé",D176="Congé spécial",D176="Congé sans solde"),0.208333333333334,IF(AND(AG176="",F176-D176&lt;0),("24:00:00"-D176)+("00:00:00"+F176)-0.0416666666666667,IF(AND(OR(AG176="Allaitement",AG176="Sans déjeuner"),F176-D176&lt;0),("24:00:00"-D176)+("00:00:00"+F176),IF(AND(AG176="",F176-D176&gt;0.166666666666667),F176-D176-0.0416666666666667,IF(AND(OR(AG176="Allaitement",AG176="Sans déjeuner"),F176-D176&gt;0.166666666666667),F176-D176,F176-D176)))))))</f>
        <v>0.375</v>
      </c>
      <c r="P176" s="34" t="str">
        <f aca="false">IFERROR(VLOOKUP($B176,Annuaire_roster!$B:$G,MATCH(P$1,Annuaire_roster!$B$1:$G$1,0),0),"-")</f>
        <v>Google Leads</v>
      </c>
      <c r="Q176" s="35" t="n">
        <v>44722</v>
      </c>
      <c r="R176" s="36" t="n">
        <f aca="false">IF(M176="Abs",O176,0)</f>
        <v>0.375</v>
      </c>
      <c r="S176" s="36" t="n">
        <f aca="false">SUM(R176,L176,I176,J176,W176,H176)</f>
        <v>0.375</v>
      </c>
      <c r="T176" s="1" t="str">
        <f aca="false">"Sem - "&amp;WEEKNUM(Q176,21)</f>
        <v>Sem - 24</v>
      </c>
      <c r="U176" s="1" t="str">
        <f aca="false">PROPER(TEXT(Q176,"mmmm"))</f>
        <v>June</v>
      </c>
      <c r="V176" s="37" t="str">
        <f aca="false">+TEXT(Q176,"aaa")</f>
        <v>Thu</v>
      </c>
      <c r="W176" s="32"/>
      <c r="X176" s="38" t="n">
        <f aca="false">IFERROR(IF(M176="Abs",0,IF((D176-C176+E176-F176)&lt;0.000694444444444444,0,(D176-C176+E176-F176))),0)</f>
        <v>0</v>
      </c>
      <c r="Y176" s="39" t="str">
        <f aca="false">IFERROR(VLOOKUP(B176,Annuaire_roster!B:E,4,0),"-")</f>
        <v>CHOUIFI Mustapha</v>
      </c>
      <c r="Z176" s="39" t="str">
        <f aca="false">IFERROR(VLOOKUP(B176,Annuaire_roster!B:F,3,0),"-")</f>
        <v>Google Leads</v>
      </c>
      <c r="AA176" s="39" t="str">
        <f aca="false">IFERROR(VLOOKUP(B176,Annuaire_roster!B:I,6,0),"-")</f>
        <v>Forfaitaire</v>
      </c>
      <c r="AB176" s="40" t="str">
        <f aca="false">IF(AND(D176="Congé",F176="Congé"),0.333333333333333,IF(OR(AND(D176="Congé",F176&lt;&gt;"Congé"),(AND(F176="Congé",D176&lt;&gt;"Congé"))),0.166666666666667,""))</f>
        <v/>
      </c>
      <c r="AC176" s="40" t="str">
        <f aca="false">IF(AND(D176="Congé sans solde",F176="Congé sans solde"),0.333333333333333,IF(OR(AND(D176="Congé sans solde",F176&lt;&gt;"Congé sans solde"),(AND(F176="Congé sans solde",D176&lt;&gt;"Congé sans solde"))),0.166666666666667,""))</f>
        <v/>
      </c>
      <c r="AD176" s="40" t="str">
        <f aca="false">IF(AND(D176="Congé spécial",F176="Congé spécial"),0.333333333333333,IF(OR(AND(D176="Congé spécial",F176&lt;&gt;"Congé décès"),(AND(F176="Congé spécial",D176&lt;&gt;"Congé spécial"))),0.166666666666667,""))</f>
        <v/>
      </c>
      <c r="AE176" s="41" t="str">
        <f aca="false">IF(AND(D176="Férié",F176="Férié"),0.333333333333333,IF(OR(AND(D176="Férié",F176&lt;&gt;"Férié"),(AND(F176="Férié",D176&lt;&gt;"Férié"))),0.166666666666667,""))</f>
        <v/>
      </c>
      <c r="AF176" s="41"/>
      <c r="AG176" s="36"/>
    </row>
    <row r="177" customFormat="false" ht="12.75" hidden="false" customHeight="true" outlineLevel="0" collapsed="false">
      <c r="A177" s="22" t="n">
        <f aca="false">VLOOKUP(B177,Annuaire_roster!B:F,5,0)</f>
        <v>1145</v>
      </c>
      <c r="B177" s="23" t="s">
        <v>61</v>
      </c>
      <c r="C177" s="24" t="str">
        <f aca="false">IFERROR(IF(COUNTIFS(Pointage_brut!$E:$E,VLOOKUP($B177,Annuaire_roster!$B:$J,9,0),Pointage_brut!$A:$A,TEXT($Q177,"yyyymmdd")*1)=0,"",MOD(_xlfn.MINIFS(Pointage_brut!$F:$F,Pointage_brut!$E:$E,VLOOKUP($B177,Annuaire_roster!$B:$J,9,0),Pointage_brut!$A:$A,TEXT($Q177,"yyyymmdd")*1),1)),"")</f>
        <v/>
      </c>
      <c r="D177" s="25" t="n">
        <f aca="false" t="array" ref="D177:D177">IFERROR(INDEX(Planning2[],MATCH(1,(Planning2[Nom]=B177)*(Planning2[Date]=Q177),0),3),"-")</f>
        <v>0.416666666666667</v>
      </c>
      <c r="E177" s="26" t="str">
        <f aca="false">IFERROR(IF(COUNTIFS(Pointage_brut!$E:$E,VLOOKUP($B177,Annuaire_roster!$B:$J,9,0),Pointage_brut!$A:$A,TEXT($Q177,"yyyymmdd")*1)=0,"",MOD(_xlfn.MAXIFS(Pointage_brut!$G:$G,Pointage_brut!$E:$E,VLOOKUP($B177,Annuaire_roster!$B:$J,9,0),Pointage_brut!$A:$A,TEXT($Q177,"yyyymmdd")*1),1)),"")</f>
        <v/>
      </c>
      <c r="F177" s="27" t="n">
        <f aca="false" t="array" ref="F177:F177">IFERROR(INDEX(Planning2[],MATCH(1,(Planning2[Nom]=B177)*(Planning2[Date]=Q177),0),4),"-")</f>
        <v>0.833333333333333</v>
      </c>
      <c r="G177" s="28"/>
      <c r="H177" s="28"/>
      <c r="I177" s="29" t="str">
        <f aca="false">IF(IF(OR(C177="",D177="Congé",D177="OFF",D177="Congé spécial"),"",IF(D177&gt;F177,D177-C177,IF(C177-D177&lt;0,0,C177-D177)))&lt;0.00068287037037037,"",IF(OR(D177="Congé",D177="OFF",C177="",D177="Congé spécial"),"",IF(D177&gt;F177,D177-C177,IF(C177-D177&lt;0,0,C177-D177))))</f>
        <v/>
      </c>
      <c r="J177" s="28"/>
      <c r="K177" s="30" t="n">
        <f aca="false">IF(SUM(H177:J177)&lt;0.00068287037037037,0,SUM(H177:J177))</f>
        <v>0</v>
      </c>
      <c r="L177" s="28" t="n">
        <f aca="false">IF(OR(F177="Congé",F177="OFF",M177="Abs",F177="Congé sans solde",F177="Férié",F177="Congé spécial",D177="Congé spécial"),0,IF(F177-E177&lt;0,0,IF(F177-E177&lt;=0.00068287037037037,0,F177-E177)))</f>
        <v>0</v>
      </c>
      <c r="M177" s="31" t="str">
        <f aca="false">IF(AND(O177&lt;&gt;0,C177=""),"Abs",0)</f>
        <v>Abs</v>
      </c>
      <c r="N177" s="32" t="str">
        <f aca="false">IFERROR(IF(OR(D177="OFF",D177="Congé",M177="Abs",D177="Congé sans solde",D177="Férié"),"",IF(O177-K177-L177&gt;O177,O177,IF(O177-K177-L177&lt;0,"",O177-K177-L177))),"")</f>
        <v/>
      </c>
      <c r="O177" s="33" t="n">
        <f aca="false">IF(AG177="2H Pause déjeuner",IF(F177-D177-0.0833333333333333&lt;0,F177-D177-0.0833333333333333+1,F177-D177-0.0833333333333333),IF(OR(AND(F177="OFF",D177="OFF"),AND(F177="Congé",D177="Congé"),AND(F177="Congé sans solde",D177="Congé sans solde"),AND(F177="Congé spécial",D177="Congé spécial"),AND(F177="Férié",D177="Férié"),AND(F177="OFF",D177="Congé"),AND(F177="OFF",D177="Congé sans solde"),AND(F177="OFF",D177="Congé spécial"),AND(F177="OFF",D177="Férié"),AND(F177="Congé",D177="OFF"),AND(F177="Congé",D177="Congé sans solde"),AND(F177="Congé",D177="Congé spécial"),AND(F177="Congé",D177="Férié"),AND(F177="Congé sans solde",D177="OFF"),AND(F177="Congé sans solde",D177="Congé"),AND(F177="Congé sans solde",D177="Congé spécial"),AND(F177="Congé sans solde",D177="Férié"),AND(F177="Congé spécial",D177="OFF"),AND(F177="Congé spécial",D177="Congé"),AND(F177="Congé spécial",D177="Congé sans solde"),AND(F177="Congé spécial",D177="Férié"),AND(F177="Férié",D177="OFF"),AND(F177="Férié",D177="Congé"),AND(F177="Férié",D177="Congé sans solde"),AND(F177="Férié",D177="Congé spécial")),0,IF(OR(F177="OFF",F177="Congé",F177="Congé spécial",F177="Congé sans solde",D177="OFF",D177="Congé",D177="Congé spécial",D177="Congé sans solde"),0.208333333333334,IF(AND(AG177="",F177-D177&lt;0),("24:00:00"-D177)+("00:00:00"+F177)-0.0416666666666667,IF(AND(OR(AG177="Allaitement",AG177="Sans déjeuner"),F177-D177&lt;0),("24:00:00"-D177)+("00:00:00"+F177),IF(AND(AG177="",F177-D177&gt;0.166666666666667),F177-D177-0.0416666666666667,IF(AND(OR(AG177="Allaitement",AG177="Sans déjeuner"),F177-D177&gt;0.166666666666667),F177-D177,F177-D177)))))))</f>
        <v>0.375</v>
      </c>
      <c r="P177" s="34" t="str">
        <f aca="false">IFERROR(VLOOKUP($B177,Annuaire_roster!$B:$G,MATCH(P$1,Annuaire_roster!$B$1:$G$1,0),0),"-")</f>
        <v>Google Leads</v>
      </c>
      <c r="Q177" s="35" t="n">
        <v>44722</v>
      </c>
      <c r="R177" s="36" t="n">
        <f aca="false">IF(M177="Abs",O177,0)</f>
        <v>0.375</v>
      </c>
      <c r="S177" s="36" t="n">
        <f aca="false">SUM(R177,L177,I177,J177,W177,H177)</f>
        <v>0.375</v>
      </c>
      <c r="T177" s="1" t="str">
        <f aca="false">"Sem - "&amp;WEEKNUM(Q177,21)</f>
        <v>Sem - 24</v>
      </c>
      <c r="U177" s="1" t="str">
        <f aca="false">PROPER(TEXT(Q177,"mmmm"))</f>
        <v>June</v>
      </c>
      <c r="V177" s="37" t="str">
        <f aca="false">+TEXT(Q177,"aaa")</f>
        <v>Thu</v>
      </c>
      <c r="W177" s="32"/>
      <c r="X177" s="38" t="n">
        <f aca="false">IFERROR(IF(M177="Abs",0,IF((D177-C177+E177-F177)&lt;0.000694444444444444,0,(D177-C177+E177-F177))),0)</f>
        <v>0</v>
      </c>
      <c r="Y177" s="39" t="str">
        <f aca="false">IFERROR(VLOOKUP(B177,Annuaire_roster!B:E,4,0),"-")</f>
        <v>CHOUIFI Mustapha</v>
      </c>
      <c r="Z177" s="39" t="str">
        <f aca="false">IFERROR(VLOOKUP(B177,Annuaire_roster!B:F,3,0),"-")</f>
        <v>Google Leads</v>
      </c>
      <c r="AA177" s="39" t="str">
        <f aca="false">IFERROR(VLOOKUP(B177,Annuaire_roster!B:I,6,0),"-")</f>
        <v>Forfaitaire</v>
      </c>
      <c r="AB177" s="40" t="str">
        <f aca="false">IF(AND(D177="Congé",F177="Congé"),0.333333333333333,IF(OR(AND(D177="Congé",F177&lt;&gt;"Congé"),(AND(F177="Congé",D177&lt;&gt;"Congé"))),0.166666666666667,""))</f>
        <v/>
      </c>
      <c r="AC177" s="40" t="str">
        <f aca="false">IF(AND(D177="Congé sans solde",F177="Congé sans solde"),0.333333333333333,IF(OR(AND(D177="Congé sans solde",F177&lt;&gt;"Congé sans solde"),(AND(F177="Congé sans solde",D177&lt;&gt;"Congé sans solde"))),0.166666666666667,""))</f>
        <v/>
      </c>
      <c r="AD177" s="40" t="str">
        <f aca="false">IF(AND(D177="Congé spécial",F177="Congé spécial"),0.333333333333333,IF(OR(AND(D177="Congé spécial",F177&lt;&gt;"Congé décès"),(AND(F177="Congé spécial",D177&lt;&gt;"Congé spécial"))),0.166666666666667,""))</f>
        <v/>
      </c>
      <c r="AE177" s="41" t="str">
        <f aca="false">IF(AND(D177="Férié",F177="Férié"),0.333333333333333,IF(OR(AND(D177="Férié",F177&lt;&gt;"Férié"),(AND(F177="Férié",D177&lt;&gt;"Férié"))),0.166666666666667,""))</f>
        <v/>
      </c>
      <c r="AF177" s="41"/>
      <c r="AG177" s="36"/>
    </row>
    <row r="178" customFormat="false" ht="12.75" hidden="false" customHeight="true" outlineLevel="0" collapsed="false">
      <c r="A178" s="22" t="n">
        <f aca="false">VLOOKUP(B178,Annuaire_roster!B:F,5,0)</f>
        <v>1132</v>
      </c>
      <c r="B178" s="23" t="s">
        <v>52</v>
      </c>
      <c r="C178" s="24" t="str">
        <f aca="false">IFERROR(IF(COUNTIFS(Pointage_brut!$E:$E,VLOOKUP($B178,Annuaire_roster!$B:$J,9,0),Pointage_brut!$A:$A,TEXT($Q178,"yyyymmdd")*1)=0,"",MOD(_xlfn.MINIFS(Pointage_brut!$F:$F,Pointage_brut!$E:$E,VLOOKUP($B178,Annuaire_roster!$B:$J,9,0),Pointage_brut!$A:$A,TEXT($Q178,"yyyymmdd")*1),1)),"")</f>
        <v/>
      </c>
      <c r="D178" s="25" t="n">
        <f aca="false" t="array" ref="D178:D178">IFERROR(INDEX(Planning2[],MATCH(1,(Planning2[Nom]=B178)*(Planning2[Date]=Q178),0),3),"-")</f>
        <v>0.416666666666667</v>
      </c>
      <c r="E178" s="26" t="str">
        <f aca="false">IFERROR(IF(COUNTIFS(Pointage_brut!$E:$E,VLOOKUP($B178,Annuaire_roster!$B:$J,9,0),Pointage_brut!$A:$A,TEXT($Q178,"yyyymmdd")*1)=0,"",MOD(_xlfn.MAXIFS(Pointage_brut!$G:$G,Pointage_brut!$E:$E,VLOOKUP($B178,Annuaire_roster!$B:$J,9,0),Pointage_brut!$A:$A,TEXT($Q178,"yyyymmdd")*1),1)),"")</f>
        <v/>
      </c>
      <c r="F178" s="27" t="n">
        <f aca="false" t="array" ref="F178:F178">IFERROR(INDEX(Planning2[],MATCH(1,(Planning2[Nom]=B178)*(Planning2[Date]=Q178),0),4),"-")</f>
        <v>0.833333333333333</v>
      </c>
      <c r="G178" s="28"/>
      <c r="H178" s="28"/>
      <c r="I178" s="29" t="str">
        <f aca="false">IF(IF(OR(C178="",D178="Congé",D178="OFF",D178="Congé spécial"),"",IF(D178&gt;F178,D178-C178,IF(C178-D178&lt;0,0,C178-D178)))&lt;0.00068287037037037,"",IF(OR(D178="Congé",D178="OFF",C178="",D178="Congé spécial"),"",IF(D178&gt;F178,D178-C178,IF(C178-D178&lt;0,0,C178-D178))))</f>
        <v/>
      </c>
      <c r="J178" s="28"/>
      <c r="K178" s="30" t="n">
        <f aca="false">IF(SUM(H178:J178)&lt;0.00068287037037037,0,SUM(H178:J178))</f>
        <v>0</v>
      </c>
      <c r="L178" s="28" t="n">
        <f aca="false">IF(OR(F178="Congé",F178="OFF",M178="Abs",F178="Congé sans solde",F178="Férié",F178="Congé spécial",D178="Congé spécial"),0,IF(F178-E178&lt;0,0,IF(F178-E178&lt;=0.00068287037037037,0,F178-E178)))</f>
        <v>0</v>
      </c>
      <c r="M178" s="31" t="str">
        <f aca="false">IF(AND(O178&lt;&gt;0,C178=""),"Abs",0)</f>
        <v>Abs</v>
      </c>
      <c r="N178" s="32" t="str">
        <f aca="false">IFERROR(IF(OR(D178="OFF",D178="Congé",M178="Abs",D178="Congé sans solde",D178="Férié"),"",IF(O178-K178-L178&gt;O178,O178,IF(O178-K178-L178&lt;0,"",O178-K178-L178))),"")</f>
        <v/>
      </c>
      <c r="O178" s="33" t="n">
        <f aca="false">IF(AG178="2H Pause déjeuner",IF(F178-D178-0.0833333333333333&lt;0,F178-D178-0.0833333333333333+1,F178-D178-0.0833333333333333),IF(OR(AND(F178="OFF",D178="OFF"),AND(F178="Congé",D178="Congé"),AND(F178="Congé sans solde",D178="Congé sans solde"),AND(F178="Congé spécial",D178="Congé spécial"),AND(F178="Férié",D178="Férié"),AND(F178="OFF",D178="Congé"),AND(F178="OFF",D178="Congé sans solde"),AND(F178="OFF",D178="Congé spécial"),AND(F178="OFF",D178="Férié"),AND(F178="Congé",D178="OFF"),AND(F178="Congé",D178="Congé sans solde"),AND(F178="Congé",D178="Congé spécial"),AND(F178="Congé",D178="Férié"),AND(F178="Congé sans solde",D178="OFF"),AND(F178="Congé sans solde",D178="Congé"),AND(F178="Congé sans solde",D178="Congé spécial"),AND(F178="Congé sans solde",D178="Férié"),AND(F178="Congé spécial",D178="OFF"),AND(F178="Congé spécial",D178="Congé"),AND(F178="Congé spécial",D178="Congé sans solde"),AND(F178="Congé spécial",D178="Férié"),AND(F178="Férié",D178="OFF"),AND(F178="Férié",D178="Congé"),AND(F178="Férié",D178="Congé sans solde"),AND(F178="Férié",D178="Congé spécial")),0,IF(OR(F178="OFF",F178="Congé",F178="Congé spécial",F178="Congé sans solde",D178="OFF",D178="Congé",D178="Congé spécial",D178="Congé sans solde"),0.208333333333334,IF(AND(AG178="",F178-D178&lt;0),("24:00:00"-D178)+("00:00:00"+F178)-0.0416666666666667,IF(AND(OR(AG178="Allaitement",AG178="Sans déjeuner"),F178-D178&lt;0),("24:00:00"-D178)+("00:00:00"+F178),IF(AND(AG178="",F178-D178&gt;0.166666666666667),F178-D178-0.0416666666666667,IF(AND(OR(AG178="Allaitement",AG178="Sans déjeuner"),F178-D178&gt;0.166666666666667),F178-D178,F178-D178)))))))</f>
        <v>0.375</v>
      </c>
      <c r="P178" s="34" t="str">
        <f aca="false">IFERROR(VLOOKUP($B178,Annuaire_roster!$B:$G,MATCH(P$1,Annuaire_roster!$B$1:$G$1,0),0),"-")</f>
        <v>Google Leads</v>
      </c>
      <c r="Q178" s="35" t="n">
        <v>44722</v>
      </c>
      <c r="R178" s="36" t="n">
        <f aca="false">IF(M178="Abs",O178,0)</f>
        <v>0.375</v>
      </c>
      <c r="S178" s="36" t="n">
        <f aca="false">SUM(R178,L178,I178,J178,W178,H178)</f>
        <v>0.375</v>
      </c>
      <c r="T178" s="1" t="str">
        <f aca="false">"Sem - "&amp;WEEKNUM(Q178,21)</f>
        <v>Sem - 24</v>
      </c>
      <c r="U178" s="1" t="str">
        <f aca="false">PROPER(TEXT(Q178,"mmmm"))</f>
        <v>June</v>
      </c>
      <c r="V178" s="37" t="str">
        <f aca="false">+TEXT(Q178,"aaa")</f>
        <v>Thu</v>
      </c>
      <c r="W178" s="32"/>
      <c r="X178" s="38" t="n">
        <f aca="false">IFERROR(IF(M178="Abs",0,IF((D178-C178+E178-F178)&lt;0.000694444444444444,0,(D178-C178+E178-F178))),0)</f>
        <v>0</v>
      </c>
      <c r="Y178" s="39" t="str">
        <f aca="false">IFERROR(VLOOKUP(B178,Annuaire_roster!B:E,4,0),"-")</f>
        <v>CHOUIFI Mustapha</v>
      </c>
      <c r="Z178" s="39" t="str">
        <f aca="false">IFERROR(VLOOKUP(B178,Annuaire_roster!B:F,3,0),"-")</f>
        <v>Google Leads</v>
      </c>
      <c r="AA178" s="39" t="str">
        <f aca="false">IFERROR(VLOOKUP(B178,Annuaire_roster!B:I,6,0),"-")</f>
        <v>Forfaitaire</v>
      </c>
      <c r="AB178" s="40" t="str">
        <f aca="false">IF(AND(D178="Congé",F178="Congé"),0.333333333333333,IF(OR(AND(D178="Congé",F178&lt;&gt;"Congé"),(AND(F178="Congé",D178&lt;&gt;"Congé"))),0.166666666666667,""))</f>
        <v/>
      </c>
      <c r="AC178" s="40" t="str">
        <f aca="false">IF(AND(D178="Congé sans solde",F178="Congé sans solde"),0.333333333333333,IF(OR(AND(D178="Congé sans solde",F178&lt;&gt;"Congé sans solde"),(AND(F178="Congé sans solde",D178&lt;&gt;"Congé sans solde"))),0.166666666666667,""))</f>
        <v/>
      </c>
      <c r="AD178" s="40" t="str">
        <f aca="false">IF(AND(D178="Congé spécial",F178="Congé spécial"),0.333333333333333,IF(OR(AND(D178="Congé spécial",F178&lt;&gt;"Congé décès"),(AND(F178="Congé spécial",D178&lt;&gt;"Congé spécial"))),0.166666666666667,""))</f>
        <v/>
      </c>
      <c r="AE178" s="41" t="str">
        <f aca="false">IF(AND(D178="Férié",F178="Férié"),0.333333333333333,IF(OR(AND(D178="Férié",F178&lt;&gt;"Férié"),(AND(F178="Férié",D178&lt;&gt;"Férié"))),0.166666666666667,""))</f>
        <v/>
      </c>
      <c r="AF178" s="41"/>
      <c r="AG178" s="36"/>
    </row>
    <row r="179" customFormat="false" ht="12.75" hidden="false" customHeight="true" outlineLevel="0" collapsed="false">
      <c r="A179" s="22" t="n">
        <f aca="false">VLOOKUP(B179,Annuaire_roster!B:F,5,0)</f>
        <v>0</v>
      </c>
      <c r="B179" s="23" t="s">
        <v>37</v>
      </c>
      <c r="C179" s="24" t="str">
        <f aca="false">IFERROR(IF(COUNTIFS(Pointage_brut!$E:$E,VLOOKUP($B179,Annuaire_roster!$B:$J,9,0),Pointage_brut!$A:$A,TEXT($Q179,"yyyymmdd")*1)=0,"",MOD(_xlfn.MINIFS(Pointage_brut!$F:$F,Pointage_brut!$E:$E,VLOOKUP($B179,Annuaire_roster!$B:$J,9,0),Pointage_brut!$A:$A,TEXT($Q179,"yyyymmdd")*1),1)),"")</f>
        <v/>
      </c>
      <c r="D179" s="25" t="n">
        <f aca="false" t="array" ref="D179:D179">IFERROR(INDEX(Planning2[],MATCH(1,(Planning2[Nom]=B179)*(Planning2[Date]=Q179),0),3),"-")</f>
        <v>0.416666666666667</v>
      </c>
      <c r="E179" s="26" t="str">
        <f aca="false">IFERROR(IF(COUNTIFS(Pointage_brut!$E:$E,VLOOKUP($B179,Annuaire_roster!$B:$J,9,0),Pointage_brut!$A:$A,TEXT($Q179,"yyyymmdd")*1)=0,"",MOD(_xlfn.MAXIFS(Pointage_brut!$G:$G,Pointage_brut!$E:$E,VLOOKUP($B179,Annuaire_roster!$B:$J,9,0),Pointage_brut!$A:$A,TEXT($Q179,"yyyymmdd")*1),1)),"")</f>
        <v/>
      </c>
      <c r="F179" s="27" t="n">
        <f aca="false" t="array" ref="F179:F179">IFERROR(INDEX(Planning2[],MATCH(1,(Planning2[Nom]=B179)*(Planning2[Date]=Q179),0),4),"-")</f>
        <v>0.833333333333333</v>
      </c>
      <c r="G179" s="28"/>
      <c r="H179" s="28"/>
      <c r="I179" s="29" t="str">
        <f aca="false">IF(IF(OR(C179="",D179="Congé",D179="OFF",D179="Congé spécial"),"",IF(D179&gt;F179,D179-C179,IF(C179-D179&lt;0,0,C179-D179)))&lt;0.00068287037037037,"",IF(OR(D179="Congé",D179="OFF",C179="",D179="Congé spécial"),"",IF(D179&gt;F179,D179-C179,IF(C179-D179&lt;0,0,C179-D179))))</f>
        <v/>
      </c>
      <c r="J179" s="28"/>
      <c r="K179" s="30" t="n">
        <f aca="false">IF(SUM(H179:J179)&lt;0.00068287037037037,0,SUM(H179:J179))</f>
        <v>0</v>
      </c>
      <c r="L179" s="28" t="n">
        <f aca="false">IF(OR(F179="Congé",F179="OFF",M179="Abs",F179="Congé sans solde",F179="Férié",F179="Congé spécial",D179="Congé spécial"),0,IF(F179-E179&lt;0,0,IF(F179-E179&lt;=0.00068287037037037,0,F179-E179)))</f>
        <v>0</v>
      </c>
      <c r="M179" s="31" t="str">
        <f aca="false">IF(AND(O179&lt;&gt;0,C179=""),"Abs",0)</f>
        <v>Abs</v>
      </c>
      <c r="N179" s="32" t="str">
        <f aca="false">IFERROR(IF(OR(D179="OFF",D179="Congé",M179="Abs",D179="Congé sans solde",D179="Férié"),"",IF(O179-K179-L179&gt;O179,O179,IF(O179-K179-L179&lt;0,"",O179-K179-L179))),"")</f>
        <v/>
      </c>
      <c r="O179" s="33" t="n">
        <f aca="false">IF(AG179="2H Pause déjeuner",IF(F179-D179-0.0833333333333333&lt;0,F179-D179-0.0833333333333333+1,F179-D179-0.0833333333333333),IF(OR(AND(F179="OFF",D179="OFF"),AND(F179="Congé",D179="Congé"),AND(F179="Congé sans solde",D179="Congé sans solde"),AND(F179="Congé spécial",D179="Congé spécial"),AND(F179="Férié",D179="Férié"),AND(F179="OFF",D179="Congé"),AND(F179="OFF",D179="Congé sans solde"),AND(F179="OFF",D179="Congé spécial"),AND(F179="OFF",D179="Férié"),AND(F179="Congé",D179="OFF"),AND(F179="Congé",D179="Congé sans solde"),AND(F179="Congé",D179="Congé spécial"),AND(F179="Congé",D179="Férié"),AND(F179="Congé sans solde",D179="OFF"),AND(F179="Congé sans solde",D179="Congé"),AND(F179="Congé sans solde",D179="Congé spécial"),AND(F179="Congé sans solde",D179="Férié"),AND(F179="Congé spécial",D179="OFF"),AND(F179="Congé spécial",D179="Congé"),AND(F179="Congé spécial",D179="Congé sans solde"),AND(F179="Congé spécial",D179="Férié"),AND(F179="Férié",D179="OFF"),AND(F179="Férié",D179="Congé"),AND(F179="Férié",D179="Congé sans solde"),AND(F179="Férié",D179="Congé spécial")),0,IF(OR(F179="OFF",F179="Congé",F179="Congé spécial",F179="Congé sans solde",D179="OFF",D179="Congé",D179="Congé spécial",D179="Congé sans solde"),0.208333333333334,IF(AND(AG179="",F179-D179&lt;0),("24:00:00"-D179)+("00:00:00"+F179)-0.0416666666666667,IF(AND(OR(AG179="Allaitement",AG179="Sans déjeuner"),F179-D179&lt;0),("24:00:00"-D179)+("00:00:00"+F179),IF(AND(AG179="",F179-D179&gt;0.166666666666667),F179-D179-0.0416666666666667,IF(AND(OR(AG179="Allaitement",AG179="Sans déjeuner"),F179-D179&gt;0.166666666666667),F179-D179,F179-D179)))))))</f>
        <v>0.375</v>
      </c>
      <c r="P179" s="34" t="str">
        <f aca="false">IFERROR(VLOOKUP($B179,Annuaire_roster!$B:$G,MATCH(P$1,Annuaire_roster!$B$1:$G$1,0),0),"-")</f>
        <v>Google Leads</v>
      </c>
      <c r="Q179" s="35" t="n">
        <v>44722</v>
      </c>
      <c r="R179" s="36" t="n">
        <f aca="false">IF(M179="Abs",O179,0)</f>
        <v>0.375</v>
      </c>
      <c r="S179" s="36" t="n">
        <f aca="false">SUM(R179,L179,I179,J179,W179,H179)</f>
        <v>0.375</v>
      </c>
      <c r="T179" s="1" t="str">
        <f aca="false">"Sem - "&amp;WEEKNUM(Q179,21)</f>
        <v>Sem - 24</v>
      </c>
      <c r="U179" s="1" t="str">
        <f aca="false">PROPER(TEXT(Q179,"mmmm"))</f>
        <v>June</v>
      </c>
      <c r="V179" s="37" t="str">
        <f aca="false">+TEXT(Q179,"aaa")</f>
        <v>Thu</v>
      </c>
      <c r="W179" s="32"/>
      <c r="X179" s="38" t="n">
        <f aca="false">IFERROR(IF(M179="Abs",0,IF((D179-C179+E179-F179)&lt;0.000694444444444444,0,(D179-C179+E179-F179))),0)</f>
        <v>0</v>
      </c>
      <c r="Y179" s="39" t="n">
        <f aca="false">IFERROR(VLOOKUP(B179,Annuaire_roster!B:E,4,0),"-")</f>
        <v>0</v>
      </c>
      <c r="Z179" s="39" t="str">
        <f aca="false">IFERROR(VLOOKUP(B179,Annuaire_roster!B:F,3,0),"-")</f>
        <v>Google Leads</v>
      </c>
      <c r="AA179" s="39" t="n">
        <f aca="false">IFERROR(VLOOKUP(B179,Annuaire_roster!B:I,6,0),"-")</f>
        <v>0</v>
      </c>
      <c r="AB179" s="40" t="str">
        <f aca="false">IF(AND(D179="Congé",F179="Congé"),0.333333333333333,IF(OR(AND(D179="Congé",F179&lt;&gt;"Congé"),(AND(F179="Congé",D179&lt;&gt;"Congé"))),0.166666666666667,""))</f>
        <v/>
      </c>
      <c r="AC179" s="40" t="str">
        <f aca="false">IF(AND(D179="Congé sans solde",F179="Congé sans solde"),0.333333333333333,IF(OR(AND(D179="Congé sans solde",F179&lt;&gt;"Congé sans solde"),(AND(F179="Congé sans solde",D179&lt;&gt;"Congé sans solde"))),0.166666666666667,""))</f>
        <v/>
      </c>
      <c r="AD179" s="40" t="str">
        <f aca="false">IF(AND(D179="Congé spécial",F179="Congé spécial"),0.333333333333333,IF(OR(AND(D179="Congé spécial",F179&lt;&gt;"Congé décès"),(AND(F179="Congé spécial",D179&lt;&gt;"Congé spécial"))),0.166666666666667,""))</f>
        <v/>
      </c>
      <c r="AE179" s="41" t="str">
        <f aca="false">IF(AND(D179="Férié",F179="Férié"),0.333333333333333,IF(OR(AND(D179="Férié",F179&lt;&gt;"Férié"),(AND(F179="Férié",D179&lt;&gt;"Férié"))),0.166666666666667,""))</f>
        <v/>
      </c>
      <c r="AF179" s="41"/>
      <c r="AG179" s="36"/>
    </row>
    <row r="180" customFormat="false" ht="12.75" hidden="false" customHeight="true" outlineLevel="0" collapsed="false">
      <c r="A180" s="22" t="n">
        <f aca="false">VLOOKUP(B180,Annuaire_roster!B:F,5,0)</f>
        <v>0</v>
      </c>
      <c r="B180" s="23" t="s">
        <v>62</v>
      </c>
      <c r="C180" s="24" t="str">
        <f aca="false">IFERROR(IF(COUNTIFS(Pointage_brut!$E:$E,VLOOKUP($B180,Annuaire_roster!$B:$J,9,0),Pointage_brut!$A:$A,TEXT($Q180,"yyyymmdd")*1)=0,"",MOD(_xlfn.MINIFS(Pointage_brut!$F:$F,Pointage_brut!$E:$E,VLOOKUP($B180,Annuaire_roster!$B:$J,9,0),Pointage_brut!$A:$A,TEXT($Q180,"yyyymmdd")*1),1)),"")</f>
        <v/>
      </c>
      <c r="D180" s="25" t="n">
        <f aca="false" t="array" ref="D180:D180">IFERROR(INDEX(Planning2[],MATCH(1,(Planning2[Nom]=B180)*(Planning2[Date]=Q180),0),3),"-")</f>
        <v>0.416666666666667</v>
      </c>
      <c r="E180" s="26" t="str">
        <f aca="false">IFERROR(IF(COUNTIFS(Pointage_brut!$E:$E,VLOOKUP($B180,Annuaire_roster!$B:$J,9,0),Pointage_brut!$A:$A,TEXT($Q180,"yyyymmdd")*1)=0,"",MOD(_xlfn.MAXIFS(Pointage_brut!$G:$G,Pointage_brut!$E:$E,VLOOKUP($B180,Annuaire_roster!$B:$J,9,0),Pointage_brut!$A:$A,TEXT($Q180,"yyyymmdd")*1),1)),"")</f>
        <v/>
      </c>
      <c r="F180" s="27" t="n">
        <f aca="false" t="array" ref="F180:F180">IFERROR(INDEX(Planning2[],MATCH(1,(Planning2[Nom]=B180)*(Planning2[Date]=Q180),0),4),"-")</f>
        <v>0.833333333333333</v>
      </c>
      <c r="G180" s="28"/>
      <c r="H180" s="28"/>
      <c r="I180" s="29" t="str">
        <f aca="false">IF(IF(OR(C180="",D180="Congé",D180="OFF",D180="Congé spécial"),"",IF(D180&gt;F180,D180-C180,IF(C180-D180&lt;0,0,C180-D180)))&lt;0.00068287037037037,"",IF(OR(D180="Congé",D180="OFF",C180="",D180="Congé spécial"),"",IF(D180&gt;F180,D180-C180,IF(C180-D180&lt;0,0,C180-D180))))</f>
        <v/>
      </c>
      <c r="J180" s="28"/>
      <c r="K180" s="30" t="n">
        <f aca="false">IF(SUM(H180:J180)&lt;0.00068287037037037,0,SUM(H180:J180))</f>
        <v>0</v>
      </c>
      <c r="L180" s="28" t="n">
        <f aca="false">IF(OR(F180="Congé",F180="OFF",M180="Abs",F180="Congé sans solde",F180="Férié",F180="Congé spécial",D180="Congé spécial"),0,IF(F180-E180&lt;0,0,IF(F180-E180&lt;=0.00068287037037037,0,F180-E180)))</f>
        <v>0</v>
      </c>
      <c r="M180" s="31" t="str">
        <f aca="false">IF(AND(O180&lt;&gt;0,C180=""),"Abs",0)</f>
        <v>Abs</v>
      </c>
      <c r="N180" s="32" t="str">
        <f aca="false">IFERROR(IF(OR(D180="OFF",D180="Congé",M180="Abs",D180="Congé sans solde",D180="Férié"),"",IF(O180-K180-L180&gt;O180,O180,IF(O180-K180-L180&lt;0,"",O180-K180-L180))),"")</f>
        <v/>
      </c>
      <c r="O180" s="33" t="n">
        <f aca="false">IF(AG180="2H Pause déjeuner",IF(F180-D180-0.0833333333333333&lt;0,F180-D180-0.0833333333333333+1,F180-D180-0.0833333333333333),IF(OR(AND(F180="OFF",D180="OFF"),AND(F180="Congé",D180="Congé"),AND(F180="Congé sans solde",D180="Congé sans solde"),AND(F180="Congé spécial",D180="Congé spécial"),AND(F180="Férié",D180="Férié"),AND(F180="OFF",D180="Congé"),AND(F180="OFF",D180="Congé sans solde"),AND(F180="OFF",D180="Congé spécial"),AND(F180="OFF",D180="Férié"),AND(F180="Congé",D180="OFF"),AND(F180="Congé",D180="Congé sans solde"),AND(F180="Congé",D180="Congé spécial"),AND(F180="Congé",D180="Férié"),AND(F180="Congé sans solde",D180="OFF"),AND(F180="Congé sans solde",D180="Congé"),AND(F180="Congé sans solde",D180="Congé spécial"),AND(F180="Congé sans solde",D180="Férié"),AND(F180="Congé spécial",D180="OFF"),AND(F180="Congé spécial",D180="Congé"),AND(F180="Congé spécial",D180="Congé sans solde"),AND(F180="Congé spécial",D180="Férié"),AND(F180="Férié",D180="OFF"),AND(F180="Férié",D180="Congé"),AND(F180="Férié",D180="Congé sans solde"),AND(F180="Férié",D180="Congé spécial")),0,IF(OR(F180="OFF",F180="Congé",F180="Congé spécial",F180="Congé sans solde",D180="OFF",D180="Congé",D180="Congé spécial",D180="Congé sans solde"),0.208333333333334,IF(AND(AG180="",F180-D180&lt;0),("24:00:00"-D180)+("00:00:00"+F180)-0.0416666666666667,IF(AND(OR(AG180="Allaitement",AG180="Sans déjeuner"),F180-D180&lt;0),("24:00:00"-D180)+("00:00:00"+F180),IF(AND(AG180="",F180-D180&gt;0.166666666666667),F180-D180-0.0416666666666667,IF(AND(OR(AG180="Allaitement",AG180="Sans déjeuner"),F180-D180&gt;0.166666666666667),F180-D180,F180-D180)))))))</f>
        <v>0.375</v>
      </c>
      <c r="P180" s="34" t="str">
        <f aca="false">IFERROR(VLOOKUP($B180,Annuaire_roster!$B:$G,MATCH(P$1,Annuaire_roster!$B$1:$G$1,0),0),"-")</f>
        <v>Google Leads</v>
      </c>
      <c r="Q180" s="35" t="n">
        <v>44722</v>
      </c>
      <c r="R180" s="36" t="n">
        <f aca="false">IF(M180="Abs",O180,0)</f>
        <v>0.375</v>
      </c>
      <c r="S180" s="36" t="n">
        <f aca="false">SUM(R180,L180,I180,J180,W180,H180)</f>
        <v>0.375</v>
      </c>
      <c r="T180" s="1" t="str">
        <f aca="false">"Sem - "&amp;WEEKNUM(Q180,21)</f>
        <v>Sem - 24</v>
      </c>
      <c r="U180" s="1" t="str">
        <f aca="false">PROPER(TEXT(Q180,"mmmm"))</f>
        <v>June</v>
      </c>
      <c r="V180" s="37" t="str">
        <f aca="false">+TEXT(Q180,"aaa")</f>
        <v>Thu</v>
      </c>
      <c r="W180" s="32"/>
      <c r="X180" s="38" t="n">
        <f aca="false">IFERROR(IF(M180="Abs",0,IF((D180-C180+E180-F180)&lt;0.000694444444444444,0,(D180-C180+E180-F180))),0)</f>
        <v>0</v>
      </c>
      <c r="Y180" s="39" t="n">
        <f aca="false">IFERROR(VLOOKUP(B180,Annuaire_roster!B:E,4,0),"-")</f>
        <v>0</v>
      </c>
      <c r="Z180" s="39" t="str">
        <f aca="false">IFERROR(VLOOKUP(B180,Annuaire_roster!B:F,3,0),"-")</f>
        <v>Google Leads</v>
      </c>
      <c r="AA180" s="39" t="n">
        <f aca="false">IFERROR(VLOOKUP(B180,Annuaire_roster!B:I,6,0),"-")</f>
        <v>0</v>
      </c>
      <c r="AB180" s="40" t="str">
        <f aca="false">IF(AND(D180="Congé",F180="Congé"),0.333333333333333,IF(OR(AND(D180="Congé",F180&lt;&gt;"Congé"),(AND(F180="Congé",D180&lt;&gt;"Congé"))),0.166666666666667,""))</f>
        <v/>
      </c>
      <c r="AC180" s="40" t="str">
        <f aca="false">IF(AND(D180="Congé sans solde",F180="Congé sans solde"),0.333333333333333,IF(OR(AND(D180="Congé sans solde",F180&lt;&gt;"Congé sans solde"),(AND(F180="Congé sans solde",D180&lt;&gt;"Congé sans solde"))),0.166666666666667,""))</f>
        <v/>
      </c>
      <c r="AD180" s="40" t="str">
        <f aca="false">IF(AND(D180="Congé spécial",F180="Congé spécial"),0.333333333333333,IF(OR(AND(D180="Congé spécial",F180&lt;&gt;"Congé décès"),(AND(F180="Congé spécial",D180&lt;&gt;"Congé spécial"))),0.166666666666667,""))</f>
        <v/>
      </c>
      <c r="AE180" s="41" t="str">
        <f aca="false">IF(AND(D180="Férié",F180="Férié"),0.333333333333333,IF(OR(AND(D180="Férié",F180&lt;&gt;"Férié"),(AND(F180="Férié",D180&lt;&gt;"Férié"))),0.166666666666667,""))</f>
        <v/>
      </c>
      <c r="AF180" s="41"/>
      <c r="AG180" s="36"/>
    </row>
    <row r="181" customFormat="false" ht="12.75" hidden="false" customHeight="true" outlineLevel="0" collapsed="false">
      <c r="A181" s="22" t="n">
        <f aca="false">VLOOKUP(B181,Annuaire_roster!B:F,5,0)</f>
        <v>0</v>
      </c>
      <c r="B181" s="23" t="s">
        <v>51</v>
      </c>
      <c r="C181" s="24" t="str">
        <f aca="false">IFERROR(IF(COUNTIFS(Pointage_brut!$E:$E,VLOOKUP($B181,Annuaire_roster!$B:$J,9,0),Pointage_brut!$A:$A,TEXT($Q181,"yyyymmdd")*1)=0,"",MOD(_xlfn.MINIFS(Pointage_brut!$F:$F,Pointage_brut!$E:$E,VLOOKUP($B181,Annuaire_roster!$B:$J,9,0),Pointage_brut!$A:$A,TEXT($Q181,"yyyymmdd")*1),1)),"")</f>
        <v/>
      </c>
      <c r="D181" s="25" t="n">
        <f aca="false" t="array" ref="D181:D181">IFERROR(INDEX(Planning2[],MATCH(1,(Planning2[Nom]=B181)*(Planning2[Date]=Q181),0),3),"-")</f>
        <v>0.458333333333333</v>
      </c>
      <c r="E181" s="26" t="str">
        <f aca="false">IFERROR(IF(COUNTIFS(Pointage_brut!$E:$E,VLOOKUP($B181,Annuaire_roster!$B:$J,9,0),Pointage_brut!$A:$A,TEXT($Q181,"yyyymmdd")*1)=0,"",MOD(_xlfn.MAXIFS(Pointage_brut!$G:$G,Pointage_brut!$E:$E,VLOOKUP($B181,Annuaire_roster!$B:$J,9,0),Pointage_brut!$A:$A,TEXT($Q181,"yyyymmdd")*1),1)),"")</f>
        <v/>
      </c>
      <c r="F181" s="27" t="n">
        <f aca="false" t="array" ref="F181:F181">IFERROR(INDEX(Planning2[],MATCH(1,(Planning2[Nom]=B181)*(Planning2[Date]=Q181),0),4),"-")</f>
        <v>0.833333333333333</v>
      </c>
      <c r="G181" s="28"/>
      <c r="H181" s="28"/>
      <c r="I181" s="29" t="str">
        <f aca="false">IF(IF(OR(C181="",D181="Congé",D181="OFF",D181="Congé spécial"),"",IF(D181&gt;F181,D181-C181,IF(C181-D181&lt;0,0,C181-D181)))&lt;0.00068287037037037,"",IF(OR(D181="Congé",D181="OFF",C181="",D181="Congé spécial"),"",IF(D181&gt;F181,D181-C181,IF(C181-D181&lt;0,0,C181-D181))))</f>
        <v/>
      </c>
      <c r="J181" s="28"/>
      <c r="K181" s="30" t="n">
        <f aca="false">IF(SUM(H181:J181)&lt;0.00068287037037037,0,SUM(H181:J181))</f>
        <v>0</v>
      </c>
      <c r="L181" s="28" t="n">
        <f aca="false">IF(OR(F181="Congé",F181="OFF",M181="Abs",F181="Congé sans solde",F181="Férié",F181="Congé spécial",D181="Congé spécial"),0,IF(F181-E181&lt;0,0,IF(F181-E181&lt;=0.00068287037037037,0,F181-E181)))</f>
        <v>0</v>
      </c>
      <c r="M181" s="31" t="str">
        <f aca="false">IF(AND(O181&lt;&gt;0,C181=""),"Abs",0)</f>
        <v>Abs</v>
      </c>
      <c r="N181" s="32" t="str">
        <f aca="false">IFERROR(IF(OR(D181="OFF",D181="Congé",M181="Abs",D181="Congé sans solde",D181="Férié"),"",IF(O181-K181-L181&gt;O181,O181,IF(O181-K181-L181&lt;0,"",O181-K181-L181))),"")</f>
        <v/>
      </c>
      <c r="O181" s="33" t="n">
        <f aca="false">IF(AG181="2H Pause déjeuner",IF(F181-D181-0.0833333333333333&lt;0,F181-D181-0.0833333333333333+1,F181-D181-0.0833333333333333),IF(OR(AND(F181="OFF",D181="OFF"),AND(F181="Congé",D181="Congé"),AND(F181="Congé sans solde",D181="Congé sans solde"),AND(F181="Congé spécial",D181="Congé spécial"),AND(F181="Férié",D181="Férié"),AND(F181="OFF",D181="Congé"),AND(F181="OFF",D181="Congé sans solde"),AND(F181="OFF",D181="Congé spécial"),AND(F181="OFF",D181="Férié"),AND(F181="Congé",D181="OFF"),AND(F181="Congé",D181="Congé sans solde"),AND(F181="Congé",D181="Congé spécial"),AND(F181="Congé",D181="Férié"),AND(F181="Congé sans solde",D181="OFF"),AND(F181="Congé sans solde",D181="Congé"),AND(F181="Congé sans solde",D181="Congé spécial"),AND(F181="Congé sans solde",D181="Férié"),AND(F181="Congé spécial",D181="OFF"),AND(F181="Congé spécial",D181="Congé"),AND(F181="Congé spécial",D181="Congé sans solde"),AND(F181="Congé spécial",D181="Férié"),AND(F181="Férié",D181="OFF"),AND(F181="Férié",D181="Congé"),AND(F181="Férié",D181="Congé sans solde"),AND(F181="Férié",D181="Congé spécial")),0,IF(OR(F181="OFF",F181="Congé",F181="Congé spécial",F181="Congé sans solde",D181="OFF",D181="Congé",D181="Congé spécial",D181="Congé sans solde"),0.208333333333334,IF(AND(AG181="",F181-D181&lt;0),("24:00:00"-D181)+("00:00:00"+F181)-0.0416666666666667,IF(AND(OR(AG181="Allaitement",AG181="Sans déjeuner"),F181-D181&lt;0),("24:00:00"-D181)+("00:00:00"+F181),IF(AND(AG181="",F181-D181&gt;0.166666666666667),F181-D181-0.0416666666666667,IF(AND(OR(AG181="Allaitement",AG181="Sans déjeuner"),F181-D181&gt;0.166666666666667),F181-D181,F181-D181)))))))</f>
        <v>0.333333333333333</v>
      </c>
      <c r="P181" s="34" t="str">
        <f aca="false">IFERROR(VLOOKUP($B181,Annuaire_roster!$B:$G,MATCH(P$1,Annuaire_roster!$B$1:$G$1,0),0),"-")</f>
        <v>Google Leads</v>
      </c>
      <c r="Q181" s="35" t="n">
        <v>44722</v>
      </c>
      <c r="R181" s="36" t="n">
        <f aca="false">IF(M181="Abs",O181,0)</f>
        <v>0.333333333333333</v>
      </c>
      <c r="S181" s="36" t="n">
        <f aca="false">SUM(R181,L181,I181,J181,W181,H181)</f>
        <v>0.333333333333333</v>
      </c>
      <c r="T181" s="1" t="str">
        <f aca="false">"Sem - "&amp;WEEKNUM(Q181,21)</f>
        <v>Sem - 24</v>
      </c>
      <c r="U181" s="1" t="str">
        <f aca="false">PROPER(TEXT(Q181,"mmmm"))</f>
        <v>June</v>
      </c>
      <c r="V181" s="37" t="str">
        <f aca="false">+TEXT(Q181,"aaa")</f>
        <v>Thu</v>
      </c>
      <c r="W181" s="32"/>
      <c r="X181" s="38" t="n">
        <f aca="false">IFERROR(IF(M181="Abs",0,IF((D181-C181+E181-F181)&lt;0.000694444444444444,0,(D181-C181+E181-F181))),0)</f>
        <v>0</v>
      </c>
      <c r="Y181" s="39" t="n">
        <f aca="false">IFERROR(VLOOKUP(B181,Annuaire_roster!B:E,4,0),"-")</f>
        <v>0</v>
      </c>
      <c r="Z181" s="39" t="str">
        <f aca="false">IFERROR(VLOOKUP(B181,Annuaire_roster!B:F,3,0),"-")</f>
        <v>Google Leads</v>
      </c>
      <c r="AA181" s="39" t="n">
        <f aca="false">IFERROR(VLOOKUP(B181,Annuaire_roster!B:I,6,0),"-")</f>
        <v>0</v>
      </c>
      <c r="AB181" s="40" t="str">
        <f aca="false">IF(AND(D181="Congé",F181="Congé"),0.333333333333333,IF(OR(AND(D181="Congé",F181&lt;&gt;"Congé"),(AND(F181="Congé",D181&lt;&gt;"Congé"))),0.166666666666667,""))</f>
        <v/>
      </c>
      <c r="AC181" s="40" t="str">
        <f aca="false">IF(AND(D181="Congé sans solde",F181="Congé sans solde"),0.333333333333333,IF(OR(AND(D181="Congé sans solde",F181&lt;&gt;"Congé sans solde"),(AND(F181="Congé sans solde",D181&lt;&gt;"Congé sans solde"))),0.166666666666667,""))</f>
        <v/>
      </c>
      <c r="AD181" s="40" t="str">
        <f aca="false">IF(AND(D181="Congé spécial",F181="Congé spécial"),0.333333333333333,IF(OR(AND(D181="Congé spécial",F181&lt;&gt;"Congé décès"),(AND(F181="Congé spécial",D181&lt;&gt;"Congé spécial"))),0.166666666666667,""))</f>
        <v/>
      </c>
      <c r="AE181" s="41" t="str">
        <f aca="false">IF(AND(D181="Férié",F181="Férié"),0.333333333333333,IF(OR(AND(D181="Férié",F181&lt;&gt;"Férié"),(AND(F181="Férié",D181&lt;&gt;"Férié"))),0.166666666666667,""))</f>
        <v/>
      </c>
      <c r="AF181" s="41"/>
      <c r="AG181" s="36"/>
    </row>
    <row r="182" customFormat="false" ht="12.75" hidden="false" customHeight="true" outlineLevel="0" collapsed="false">
      <c r="A182" s="22" t="n">
        <f aca="false">VLOOKUP(B182,Annuaire_roster!B:F,5,0)</f>
        <v>1154</v>
      </c>
      <c r="B182" s="23" t="s">
        <v>53</v>
      </c>
      <c r="C182" s="24" t="str">
        <f aca="false">IFERROR(IF(COUNTIFS(Pointage_brut!$E:$E,VLOOKUP($B182,Annuaire_roster!$B:$J,9,0),Pointage_brut!$A:$A,TEXT($Q182,"yyyymmdd")*1)=0,"",MOD(_xlfn.MINIFS(Pointage_brut!$F:$F,Pointage_brut!$E:$E,VLOOKUP($B182,Annuaire_roster!$B:$J,9,0),Pointage_brut!$A:$A,TEXT($Q182,"yyyymmdd")*1),1)),"")</f>
        <v/>
      </c>
      <c r="D182" s="25" t="str">
        <f aca="false" t="array" ref="D182:D182">IFERROR(INDEX(Planning2[],MATCH(1,(Planning2[Nom]=B182)*(Planning2[Date]=Q182),0),3),"-")</f>
        <v>Congé</v>
      </c>
      <c r="E182" s="26" t="str">
        <f aca="false">IFERROR(IF(COUNTIFS(Pointage_brut!$E:$E,VLOOKUP($B182,Annuaire_roster!$B:$J,9,0),Pointage_brut!$A:$A,TEXT($Q182,"yyyymmdd")*1)=0,"",MOD(_xlfn.MAXIFS(Pointage_brut!$G:$G,Pointage_brut!$E:$E,VLOOKUP($B182,Annuaire_roster!$B:$J,9,0),Pointage_brut!$A:$A,TEXT($Q182,"yyyymmdd")*1),1)),"")</f>
        <v/>
      </c>
      <c r="F182" s="27" t="str">
        <f aca="false" t="array" ref="F182:F182">IFERROR(INDEX(Planning2[],MATCH(1,(Planning2[Nom]=B182)*(Planning2[Date]=Q182),0),4),"-")</f>
        <v>Congé</v>
      </c>
      <c r="G182" s="28"/>
      <c r="H182" s="28"/>
      <c r="I182" s="29" t="str">
        <f aca="false">IF(IF(OR(C182="",D182="Congé",D182="OFF",D182="Congé spécial"),"",IF(D182&gt;F182,D182-C182,IF(C182-D182&lt;0,0,C182-D182)))&lt;0.00068287037037037,"",IF(OR(D182="Congé",D182="OFF",C182="",D182="Congé spécial"),"",IF(D182&gt;F182,D182-C182,IF(C182-D182&lt;0,0,C182-D182))))</f>
        <v/>
      </c>
      <c r="J182" s="28"/>
      <c r="K182" s="30" t="n">
        <f aca="false">IF(SUM(H182:J182)&lt;0.00068287037037037,0,SUM(H182:J182))</f>
        <v>0</v>
      </c>
      <c r="L182" s="28" t="n">
        <f aca="false">IF(OR(F182="Congé",F182="OFF",M182="Abs",F182="Congé sans solde",F182="Férié",F182="Congé spécial",D182="Congé spécial"),0,IF(F182-E182&lt;0,0,IF(F182-E182&lt;=0.00068287037037037,0,F182-E182)))</f>
        <v>0</v>
      </c>
      <c r="M182" s="31" t="n">
        <f aca="false">IF(AND(O182&lt;&gt;0,C182=""),"Abs",0)</f>
        <v>0</v>
      </c>
      <c r="N182" s="32" t="str">
        <f aca="false">IFERROR(IF(OR(D182="OFF",D182="Congé",M182="Abs",D182="Congé sans solde",D182="Férié"),"",IF(O182-K182-L182&gt;O182,O182,IF(O182-K182-L182&lt;0,"",O182-K182-L182))),"")</f>
        <v/>
      </c>
      <c r="O182" s="33" t="n">
        <f aca="false">IF(AG182="2H Pause déjeuner",IF(F182-D182-0.0833333333333333&lt;0,F182-D182-0.0833333333333333+1,F182-D182-0.0833333333333333),IF(OR(AND(F182="OFF",D182="OFF"),AND(F182="Congé",D182="Congé"),AND(F182="Congé sans solde",D182="Congé sans solde"),AND(F182="Congé spécial",D182="Congé spécial"),AND(F182="Férié",D182="Férié"),AND(F182="OFF",D182="Congé"),AND(F182="OFF",D182="Congé sans solde"),AND(F182="OFF",D182="Congé spécial"),AND(F182="OFF",D182="Férié"),AND(F182="Congé",D182="OFF"),AND(F182="Congé",D182="Congé sans solde"),AND(F182="Congé",D182="Congé spécial"),AND(F182="Congé",D182="Férié"),AND(F182="Congé sans solde",D182="OFF"),AND(F182="Congé sans solde",D182="Congé"),AND(F182="Congé sans solde",D182="Congé spécial"),AND(F182="Congé sans solde",D182="Férié"),AND(F182="Congé spécial",D182="OFF"),AND(F182="Congé spécial",D182="Congé"),AND(F182="Congé spécial",D182="Congé sans solde"),AND(F182="Congé spécial",D182="Férié"),AND(F182="Férié",D182="OFF"),AND(F182="Férié",D182="Congé"),AND(F182="Férié",D182="Congé sans solde"),AND(F182="Férié",D182="Congé spécial")),0,IF(OR(F182="OFF",F182="Congé",F182="Congé spécial",F182="Congé sans solde",D182="OFF",D182="Congé",D182="Congé spécial",D182="Congé sans solde"),0.208333333333334,IF(AND(AG182="",F182-D182&lt;0),("24:00:00"-D182)+("00:00:00"+F182)-0.0416666666666667,IF(AND(OR(AG182="Allaitement",AG182="Sans déjeuner"),F182-D182&lt;0),("24:00:00"-D182)+("00:00:00"+F182),IF(AND(AG182="",F182-D182&gt;0.166666666666667),F182-D182-0.0416666666666667,IF(AND(OR(AG182="Allaitement",AG182="Sans déjeuner"),F182-D182&gt;0.166666666666667),F182-D182,F182-D182)))))))</f>
        <v>0</v>
      </c>
      <c r="P182" s="34" t="str">
        <f aca="false">IFERROR(VLOOKUP($B182,Annuaire_roster!$B:$G,MATCH(P$1,Annuaire_roster!$B$1:$G$1,0),0),"-")</f>
        <v>Google Leads</v>
      </c>
      <c r="Q182" s="35" t="n">
        <v>44722</v>
      </c>
      <c r="R182" s="36" t="n">
        <f aca="false">IF(M182="Abs",O182,0)</f>
        <v>0</v>
      </c>
      <c r="S182" s="36" t="n">
        <f aca="false">SUM(R182,L182,I182,J182,W182,H182)</f>
        <v>0</v>
      </c>
      <c r="T182" s="1" t="str">
        <f aca="false">"Sem - "&amp;WEEKNUM(Q182,21)</f>
        <v>Sem - 24</v>
      </c>
      <c r="U182" s="1" t="str">
        <f aca="false">PROPER(TEXT(Q182,"mmmm"))</f>
        <v>June</v>
      </c>
      <c r="V182" s="37" t="str">
        <f aca="false">+TEXT(Q182,"aaa")</f>
        <v>Thu</v>
      </c>
      <c r="W182" s="32"/>
      <c r="X182" s="38" t="n">
        <f aca="false">IFERROR(IF(M182="Abs",0,IF((D182-C182+E182-F182)&lt;0.000694444444444444,0,(D182-C182+E182-F182))),0)</f>
        <v>0</v>
      </c>
      <c r="Y182" s="39" t="str">
        <f aca="false">IFERROR(VLOOKUP(B182,Annuaire_roster!B:E,4,0),"-")</f>
        <v>CHOUIFI Mustapha</v>
      </c>
      <c r="Z182" s="39" t="str">
        <f aca="false">IFERROR(VLOOKUP(B182,Annuaire_roster!B:F,3,0),"-")</f>
        <v>Google Leads</v>
      </c>
      <c r="AA182" s="39" t="str">
        <f aca="false">IFERROR(VLOOKUP(B182,Annuaire_roster!B:I,6,0),"-")</f>
        <v>Forfaitaire</v>
      </c>
      <c r="AB182" s="40" t="n">
        <f aca="false">IF(AND(D182="Congé",F182="Congé"),0.333333333333333,IF(OR(AND(D182="Congé",F182&lt;&gt;"Congé"),(AND(F182="Congé",D182&lt;&gt;"Congé"))),0.166666666666667,""))</f>
        <v>0.333333333333333</v>
      </c>
      <c r="AC182" s="40" t="str">
        <f aca="false">IF(AND(D182="Congé sans solde",F182="Congé sans solde"),0.333333333333333,IF(OR(AND(D182="Congé sans solde",F182&lt;&gt;"Congé sans solde"),(AND(F182="Congé sans solde",D182&lt;&gt;"Congé sans solde"))),0.166666666666667,""))</f>
        <v/>
      </c>
      <c r="AD182" s="40" t="str">
        <f aca="false">IF(AND(D182="Congé spécial",F182="Congé spécial"),0.333333333333333,IF(OR(AND(D182="Congé spécial",F182&lt;&gt;"Congé décès"),(AND(F182="Congé spécial",D182&lt;&gt;"Congé spécial"))),0.166666666666667,""))</f>
        <v/>
      </c>
      <c r="AE182" s="41" t="str">
        <f aca="false">IF(AND(D182="Férié",F182="Férié"),0.333333333333333,IF(OR(AND(D182="Férié",F182&lt;&gt;"Férié"),(AND(F182="Férié",D182&lt;&gt;"Férié"))),0.166666666666667,""))</f>
        <v/>
      </c>
      <c r="AF182" s="41"/>
      <c r="AG182" s="36"/>
    </row>
    <row r="183" customFormat="false" ht="12.75" hidden="false" customHeight="true" outlineLevel="0" collapsed="false">
      <c r="A183" s="22" t="n">
        <f aca="false">VLOOKUP(B183,Annuaire_roster!B:F,5,0)</f>
        <v>742</v>
      </c>
      <c r="B183" s="23" t="s">
        <v>33</v>
      </c>
      <c r="C183" s="24" t="str">
        <f aca="false">IFERROR(IF(COUNTIFS(Pointage_brut!$E:$E,VLOOKUP($B183,Annuaire_roster!$B:$J,9,0),Pointage_brut!$A:$A,TEXT($Q183,"yyyymmdd")*1)=0,"",MOD(_xlfn.MINIFS(Pointage_brut!$F:$F,Pointage_brut!$E:$E,VLOOKUP($B183,Annuaire_roster!$B:$J,9,0),Pointage_brut!$A:$A,TEXT($Q183,"yyyymmdd")*1),1)),"")</f>
        <v/>
      </c>
      <c r="D183" s="25" t="str">
        <f aca="false" t="array" ref="D183:D183">IFERROR(INDEX(Planning2[],MATCH(1,(Planning2[Nom]=B183)*(Planning2[Date]=Q183),0),3),"-")</f>
        <v>OFF</v>
      </c>
      <c r="E183" s="26" t="str">
        <f aca="false">IFERROR(IF(COUNTIFS(Pointage_brut!$E:$E,VLOOKUP($B183,Annuaire_roster!$B:$J,9,0),Pointage_brut!$A:$A,TEXT($Q183,"yyyymmdd")*1)=0,"",MOD(_xlfn.MAXIFS(Pointage_brut!$G:$G,Pointage_brut!$E:$E,VLOOKUP($B183,Annuaire_roster!$B:$J,9,0),Pointage_brut!$A:$A,TEXT($Q183,"yyyymmdd")*1),1)),"")</f>
        <v/>
      </c>
      <c r="F183" s="27" t="str">
        <f aca="false" t="array" ref="F183:F183">IFERROR(INDEX(Planning2[],MATCH(1,(Planning2[Nom]=B183)*(Planning2[Date]=Q183),0),4),"-")</f>
        <v>OFF</v>
      </c>
      <c r="G183" s="28"/>
      <c r="H183" s="28"/>
      <c r="I183" s="29" t="str">
        <f aca="false">IF(IF(OR(C183="",D183="Congé",D183="OFF",D183="Congé spécial"),"",IF(D183&gt;F183,D183-C183,IF(C183-D183&lt;0,0,C183-D183)))&lt;0.00068287037037037,"",IF(OR(D183="Congé",D183="OFF",C183="",D183="Congé spécial"),"",IF(D183&gt;F183,D183-C183,IF(C183-D183&lt;0,0,C183-D183))))</f>
        <v/>
      </c>
      <c r="J183" s="28"/>
      <c r="K183" s="30" t="n">
        <f aca="false">IF(SUM(H183:J183)&lt;0.00068287037037037,0,SUM(H183:J183))</f>
        <v>0</v>
      </c>
      <c r="L183" s="28" t="n">
        <f aca="false">IF(OR(F183="Congé",F183="OFF",M183="Abs",F183="Congé sans solde",F183="Férié",F183="Congé spécial",D183="Congé spécial"),0,IF(F183-E183&lt;0,0,IF(F183-E183&lt;=0.00068287037037037,0,F183-E183)))</f>
        <v>0</v>
      </c>
      <c r="M183" s="31" t="n">
        <f aca="false">IF(AND(O183&lt;&gt;0,C183=""),"Abs",0)</f>
        <v>0</v>
      </c>
      <c r="N183" s="32" t="str">
        <f aca="false">IFERROR(IF(OR(D183="OFF",D183="Congé",M183="Abs",D183="Congé sans solde",D183="Férié"),"",IF(O183-K183-L183&gt;O183,O183,IF(O183-K183-L183&lt;0,"",O183-K183-L183))),"")</f>
        <v/>
      </c>
      <c r="O183" s="33" t="n">
        <f aca="false">IF(AG183="2H Pause déjeuner",IF(F183-D183-0.0833333333333333&lt;0,F183-D183-0.0833333333333333+1,F183-D183-0.0833333333333333),IF(OR(AND(F183="OFF",D183="OFF"),AND(F183="Congé",D183="Congé"),AND(F183="Congé sans solde",D183="Congé sans solde"),AND(F183="Congé spécial",D183="Congé spécial"),AND(F183="Férié",D183="Férié"),AND(F183="OFF",D183="Congé"),AND(F183="OFF",D183="Congé sans solde"),AND(F183="OFF",D183="Congé spécial"),AND(F183="OFF",D183="Férié"),AND(F183="Congé",D183="OFF"),AND(F183="Congé",D183="Congé sans solde"),AND(F183="Congé",D183="Congé spécial"),AND(F183="Congé",D183="Férié"),AND(F183="Congé sans solde",D183="OFF"),AND(F183="Congé sans solde",D183="Congé"),AND(F183="Congé sans solde",D183="Congé spécial"),AND(F183="Congé sans solde",D183="Férié"),AND(F183="Congé spécial",D183="OFF"),AND(F183="Congé spécial",D183="Congé"),AND(F183="Congé spécial",D183="Congé sans solde"),AND(F183="Congé spécial",D183="Férié"),AND(F183="Férié",D183="OFF"),AND(F183="Férié",D183="Congé"),AND(F183="Férié",D183="Congé sans solde"),AND(F183="Férié",D183="Congé spécial")),0,IF(OR(F183="OFF",F183="Congé",F183="Congé spécial",F183="Congé sans solde",D183="OFF",D183="Congé",D183="Congé spécial",D183="Congé sans solde"),0.208333333333334,IF(AND(AG183="",F183-D183&lt;0),("24:00:00"-D183)+("00:00:00"+F183)-0.0416666666666667,IF(AND(OR(AG183="Allaitement",AG183="Sans déjeuner"),F183-D183&lt;0),("24:00:00"-D183)+("00:00:00"+F183),IF(AND(AG183="",F183-D183&gt;0.166666666666667),F183-D183-0.0416666666666667,IF(AND(OR(AG183="Allaitement",AG183="Sans déjeuner"),F183-D183&gt;0.166666666666667),F183-D183,F183-D183)))))))</f>
        <v>0</v>
      </c>
      <c r="P183" s="34" t="str">
        <f aca="false">IFERROR(VLOOKUP($B183,Annuaire_roster!$B:$G,MATCH(P$1,Annuaire_roster!$B$1:$G$1,0),0),"-")</f>
        <v>Google Leads</v>
      </c>
      <c r="Q183" s="35" t="n">
        <v>44722</v>
      </c>
      <c r="R183" s="36" t="n">
        <f aca="false">IF(M183="Abs",O183,0)</f>
        <v>0</v>
      </c>
      <c r="S183" s="36" t="n">
        <f aca="false">SUM(R183,L183,I183,J183,W183,H183)</f>
        <v>0</v>
      </c>
      <c r="T183" s="1" t="str">
        <f aca="false">"Sem - "&amp;WEEKNUM(Q183,21)</f>
        <v>Sem - 24</v>
      </c>
      <c r="U183" s="1" t="str">
        <f aca="false">PROPER(TEXT(Q183,"mmmm"))</f>
        <v>June</v>
      </c>
      <c r="V183" s="37" t="str">
        <f aca="false">+TEXT(Q183,"aaa")</f>
        <v>Thu</v>
      </c>
      <c r="W183" s="32"/>
      <c r="X183" s="38" t="n">
        <f aca="false">IFERROR(IF(M183="Abs",0,IF((D183-C183+E183-F183)&lt;0.000694444444444444,0,(D183-C183+E183-F183))),0)</f>
        <v>0</v>
      </c>
      <c r="Y183" s="39" t="str">
        <f aca="false">IFERROR(VLOOKUP(B183,Annuaire_roster!B:E,4,0),"-")</f>
        <v>OUAQERROUCH Nour-El Houda</v>
      </c>
      <c r="Z183" s="39" t="str">
        <f aca="false">IFERROR(VLOOKUP(B183,Annuaire_roster!B:F,3,0),"-")</f>
        <v>Google Leads</v>
      </c>
      <c r="AA183" s="39" t="str">
        <f aca="false">IFERROR(VLOOKUP(B183,Annuaire_roster!B:I,6,0),"-")</f>
        <v>Forfaitaire</v>
      </c>
      <c r="AB183" s="40" t="str">
        <f aca="false">IF(AND(D183="Congé",F183="Congé"),0.333333333333333,IF(OR(AND(D183="Congé",F183&lt;&gt;"Congé"),(AND(F183="Congé",D183&lt;&gt;"Congé"))),0.166666666666667,""))</f>
        <v/>
      </c>
      <c r="AC183" s="40" t="str">
        <f aca="false">IF(AND(D183="Congé sans solde",F183="Congé sans solde"),0.333333333333333,IF(OR(AND(D183="Congé sans solde",F183&lt;&gt;"Congé sans solde"),(AND(F183="Congé sans solde",D183&lt;&gt;"Congé sans solde"))),0.166666666666667,""))</f>
        <v/>
      </c>
      <c r="AD183" s="40" t="str">
        <f aca="false">IF(AND(D183="Congé spécial",F183="Congé spécial"),0.333333333333333,IF(OR(AND(D183="Congé spécial",F183&lt;&gt;"Congé décès"),(AND(F183="Congé spécial",D183&lt;&gt;"Congé spécial"))),0.166666666666667,""))</f>
        <v/>
      </c>
      <c r="AE183" s="41" t="str">
        <f aca="false">IF(AND(D183="Férié",F183="Férié"),0.333333333333333,IF(OR(AND(D183="Férié",F183&lt;&gt;"Férié"),(AND(F183="Férié",D183&lt;&gt;"Férié"))),0.166666666666667,""))</f>
        <v/>
      </c>
      <c r="AF183" s="41"/>
      <c r="AG183" s="36"/>
    </row>
    <row r="184" customFormat="false" ht="12.75" hidden="false" customHeight="true" outlineLevel="0" collapsed="false">
      <c r="A184" s="22" t="n">
        <f aca="false">VLOOKUP(B184,Annuaire_roster!B:F,5,0)</f>
        <v>1131</v>
      </c>
      <c r="B184" s="23" t="s">
        <v>50</v>
      </c>
      <c r="C184" s="24" t="str">
        <f aca="false">IFERROR(IF(COUNTIFS(Pointage_brut!$E:$E,VLOOKUP($B184,Annuaire_roster!$B:$J,9,0),Pointage_brut!$A:$A,TEXT($Q184,"yyyymmdd")*1)=0,"",MOD(_xlfn.MINIFS(Pointage_brut!$F:$F,Pointage_brut!$E:$E,VLOOKUP($B184,Annuaire_roster!$B:$J,9,0),Pointage_brut!$A:$A,TEXT($Q184,"yyyymmdd")*1),1)),"")</f>
        <v/>
      </c>
      <c r="D184" s="25" t="str">
        <f aca="false" t="array" ref="D184:D184">IFERROR(INDEX(Planning2[],MATCH(1,(Planning2[Nom]=B184)*(Planning2[Date]=Q184),0),3),"-")</f>
        <v>OFF</v>
      </c>
      <c r="E184" s="26" t="str">
        <f aca="false">IFERROR(IF(COUNTIFS(Pointage_brut!$E:$E,VLOOKUP($B184,Annuaire_roster!$B:$J,9,0),Pointage_brut!$A:$A,TEXT($Q184,"yyyymmdd")*1)=0,"",MOD(_xlfn.MAXIFS(Pointage_brut!$G:$G,Pointage_brut!$E:$E,VLOOKUP($B184,Annuaire_roster!$B:$J,9,0),Pointage_brut!$A:$A,TEXT($Q184,"yyyymmdd")*1),1)),"")</f>
        <v/>
      </c>
      <c r="F184" s="27" t="str">
        <f aca="false" t="array" ref="F184:F184">IFERROR(INDEX(Planning2[],MATCH(1,(Planning2[Nom]=B184)*(Planning2[Date]=Q184),0),4),"-")</f>
        <v>OFF</v>
      </c>
      <c r="G184" s="28"/>
      <c r="H184" s="28"/>
      <c r="I184" s="29" t="str">
        <f aca="false">IF(IF(OR(C184="",D184="Congé",D184="OFF",D184="Congé spécial"),"",IF(D184&gt;F184,D184-C184,IF(C184-D184&lt;0,0,C184-D184)))&lt;0.00068287037037037,"",IF(OR(D184="Congé",D184="OFF",C184="",D184="Congé spécial"),"",IF(D184&gt;F184,D184-C184,IF(C184-D184&lt;0,0,C184-D184))))</f>
        <v/>
      </c>
      <c r="J184" s="28"/>
      <c r="K184" s="30" t="n">
        <f aca="false">IF(SUM(H184:J184)&lt;0.00068287037037037,0,SUM(H184:J184))</f>
        <v>0</v>
      </c>
      <c r="L184" s="28" t="n">
        <f aca="false">IF(OR(F184="Congé",F184="OFF",M184="Abs",F184="Congé sans solde",F184="Férié",F184="Congé spécial",D184="Congé spécial"),0,IF(F184-E184&lt;0,0,IF(F184-E184&lt;=0.00068287037037037,0,F184-E184)))</f>
        <v>0</v>
      </c>
      <c r="M184" s="31" t="n">
        <f aca="false">IF(AND(O184&lt;&gt;0,C184=""),"Abs",0)</f>
        <v>0</v>
      </c>
      <c r="N184" s="32" t="str">
        <f aca="false">IFERROR(IF(OR(D184="OFF",D184="Congé",M184="Abs",D184="Congé sans solde",D184="Férié"),"",IF(O184-K184-L184&gt;O184,O184,IF(O184-K184-L184&lt;0,"",O184-K184-L184))),"")</f>
        <v/>
      </c>
      <c r="O184" s="33" t="n">
        <f aca="false">IF(AG184="2H Pause déjeuner",IF(F184-D184-0.0833333333333333&lt;0,F184-D184-0.0833333333333333+1,F184-D184-0.0833333333333333),IF(OR(AND(F184="OFF",D184="OFF"),AND(F184="Congé",D184="Congé"),AND(F184="Congé sans solde",D184="Congé sans solde"),AND(F184="Congé spécial",D184="Congé spécial"),AND(F184="Férié",D184="Férié"),AND(F184="OFF",D184="Congé"),AND(F184="OFF",D184="Congé sans solde"),AND(F184="OFF",D184="Congé spécial"),AND(F184="OFF",D184="Férié"),AND(F184="Congé",D184="OFF"),AND(F184="Congé",D184="Congé sans solde"),AND(F184="Congé",D184="Congé spécial"),AND(F184="Congé",D184="Férié"),AND(F184="Congé sans solde",D184="OFF"),AND(F184="Congé sans solde",D184="Congé"),AND(F184="Congé sans solde",D184="Congé spécial"),AND(F184="Congé sans solde",D184="Férié"),AND(F184="Congé spécial",D184="OFF"),AND(F184="Congé spécial",D184="Congé"),AND(F184="Congé spécial",D184="Congé sans solde"),AND(F184="Congé spécial",D184="Férié"),AND(F184="Férié",D184="OFF"),AND(F184="Férié",D184="Congé"),AND(F184="Férié",D184="Congé sans solde"),AND(F184="Férié",D184="Congé spécial")),0,IF(OR(F184="OFF",F184="Congé",F184="Congé spécial",F184="Congé sans solde",D184="OFF",D184="Congé",D184="Congé spécial",D184="Congé sans solde"),0.208333333333334,IF(AND(AG184="",F184-D184&lt;0),("24:00:00"-D184)+("00:00:00"+F184)-0.0416666666666667,IF(AND(OR(AG184="Allaitement",AG184="Sans déjeuner"),F184-D184&lt;0),("24:00:00"-D184)+("00:00:00"+F184),IF(AND(AG184="",F184-D184&gt;0.166666666666667),F184-D184-0.0416666666666667,IF(AND(OR(AG184="Allaitement",AG184="Sans déjeuner"),F184-D184&gt;0.166666666666667),F184-D184,F184-D184)))))))</f>
        <v>0</v>
      </c>
      <c r="P184" s="34" t="str">
        <f aca="false">IFERROR(VLOOKUP($B184,Annuaire_roster!$B:$G,MATCH(P$1,Annuaire_roster!$B$1:$G$1,0),0),"-")</f>
        <v>Google Leads</v>
      </c>
      <c r="Q184" s="35" t="n">
        <v>44722</v>
      </c>
      <c r="R184" s="36" t="n">
        <f aca="false">IF(M184="Abs",O184,0)</f>
        <v>0</v>
      </c>
      <c r="S184" s="36" t="n">
        <f aca="false">SUM(R184,L184,I184,J184,W184,H184)</f>
        <v>0</v>
      </c>
      <c r="T184" s="1" t="str">
        <f aca="false">"Sem - "&amp;WEEKNUM(Q184,21)</f>
        <v>Sem - 24</v>
      </c>
      <c r="U184" s="1" t="str">
        <f aca="false">PROPER(TEXT(Q184,"mmmm"))</f>
        <v>June</v>
      </c>
      <c r="V184" s="37" t="str">
        <f aca="false">+TEXT(Q184,"aaa")</f>
        <v>Thu</v>
      </c>
      <c r="W184" s="32"/>
      <c r="X184" s="38" t="n">
        <f aca="false">IFERROR(IF(M184="Abs",0,IF((D184-C184+E184-F184)&lt;0.000694444444444444,0,(D184-C184+E184-F184))),0)</f>
        <v>0</v>
      </c>
      <c r="Y184" s="39" t="str">
        <f aca="false">IFERROR(VLOOKUP(B184,Annuaire_roster!B:E,4,0),"-")</f>
        <v>CHOUIFI Mustapha</v>
      </c>
      <c r="Z184" s="39" t="str">
        <f aca="false">IFERROR(VLOOKUP(B184,Annuaire_roster!B:F,3,0),"-")</f>
        <v>Google Leads</v>
      </c>
      <c r="AA184" s="39" t="str">
        <f aca="false">IFERROR(VLOOKUP(B184,Annuaire_roster!B:I,6,0),"-")</f>
        <v>Forfaitaire</v>
      </c>
      <c r="AB184" s="40" t="str">
        <f aca="false">IF(AND(D184="Congé",F184="Congé"),0.333333333333333,IF(OR(AND(D184="Congé",F184&lt;&gt;"Congé"),(AND(F184="Congé",D184&lt;&gt;"Congé"))),0.166666666666667,""))</f>
        <v/>
      </c>
      <c r="AC184" s="40" t="str">
        <f aca="false">IF(AND(D184="Congé sans solde",F184="Congé sans solde"),0.333333333333333,IF(OR(AND(D184="Congé sans solde",F184&lt;&gt;"Congé sans solde"),(AND(F184="Congé sans solde",D184&lt;&gt;"Congé sans solde"))),0.166666666666667,""))</f>
        <v/>
      </c>
      <c r="AD184" s="40" t="str">
        <f aca="false">IF(AND(D184="Congé spécial",F184="Congé spécial"),0.333333333333333,IF(OR(AND(D184="Congé spécial",F184&lt;&gt;"Congé décès"),(AND(F184="Congé spécial",D184&lt;&gt;"Congé spécial"))),0.166666666666667,""))</f>
        <v/>
      </c>
      <c r="AE184" s="41" t="str">
        <f aca="false">IF(AND(D184="Férié",F184="Férié"),0.333333333333333,IF(OR(AND(D184="Férié",F184&lt;&gt;"Férié"),(AND(F184="Férié",D184&lt;&gt;"Férié"))),0.166666666666667,""))</f>
        <v/>
      </c>
      <c r="AF184" s="41"/>
      <c r="AG184" s="36"/>
    </row>
    <row r="185" customFormat="false" ht="12.75" hidden="false" customHeight="true" outlineLevel="0" collapsed="false">
      <c r="A185" s="22" t="n">
        <f aca="false">VLOOKUP(B185,Annuaire_roster!B:F,5,0)</f>
        <v>0</v>
      </c>
      <c r="B185" s="23" t="s">
        <v>35</v>
      </c>
      <c r="C185" s="24" t="str">
        <f aca="false">IFERROR(IF(COUNTIFS(Pointage_brut!$E:$E,VLOOKUP($B185,Annuaire_roster!$B:$J,9,0),Pointage_brut!$A:$A,TEXT($Q185,"yyyymmdd")*1)=0,"",MOD(_xlfn.MINIFS(Pointage_brut!$F:$F,Pointage_brut!$E:$E,VLOOKUP($B185,Annuaire_roster!$B:$J,9,0),Pointage_brut!$A:$A,TEXT($Q185,"yyyymmdd")*1),1)),"")</f>
        <v/>
      </c>
      <c r="D185" s="25" t="str">
        <f aca="false" t="array" ref="D185:D185">IFERROR(INDEX(Planning2[],MATCH(1,(Planning2[Nom]=B185)*(Planning2[Date]=Q185),0),3),"-")</f>
        <v>OFF</v>
      </c>
      <c r="E185" s="26" t="str">
        <f aca="false">IFERROR(IF(COUNTIFS(Pointage_brut!$E:$E,VLOOKUP($B185,Annuaire_roster!$B:$J,9,0),Pointage_brut!$A:$A,TEXT($Q185,"yyyymmdd")*1)=0,"",MOD(_xlfn.MAXIFS(Pointage_brut!$G:$G,Pointage_brut!$E:$E,VLOOKUP($B185,Annuaire_roster!$B:$J,9,0),Pointage_brut!$A:$A,TEXT($Q185,"yyyymmdd")*1),1)),"")</f>
        <v/>
      </c>
      <c r="F185" s="27" t="str">
        <f aca="false" t="array" ref="F185:F185">IFERROR(INDEX(Planning2[],MATCH(1,(Planning2[Nom]=B185)*(Planning2[Date]=Q185),0),4),"-")</f>
        <v>OFF</v>
      </c>
      <c r="G185" s="28"/>
      <c r="H185" s="28"/>
      <c r="I185" s="29" t="str">
        <f aca="false">IF(IF(OR(C185="",D185="Congé",D185="OFF",D185="Congé spécial"),"",IF(D185&gt;F185,D185-C185,IF(C185-D185&lt;0,0,C185-D185)))&lt;0.00068287037037037,"",IF(OR(D185="Congé",D185="OFF",C185="",D185="Congé spécial"),"",IF(D185&gt;F185,D185-C185,IF(C185-D185&lt;0,0,C185-D185))))</f>
        <v/>
      </c>
      <c r="J185" s="28"/>
      <c r="K185" s="30" t="n">
        <f aca="false">IF(SUM(H185:J185)&lt;0.00068287037037037,0,SUM(H185:J185))</f>
        <v>0</v>
      </c>
      <c r="L185" s="28" t="n">
        <f aca="false">IF(OR(F185="Congé",F185="OFF",M185="Abs",F185="Congé sans solde",F185="Férié",F185="Congé spécial",D185="Congé spécial"),0,IF(F185-E185&lt;0,0,IF(F185-E185&lt;=0.00068287037037037,0,F185-E185)))</f>
        <v>0</v>
      </c>
      <c r="M185" s="31" t="n">
        <f aca="false">IF(AND(O185&lt;&gt;0,C185=""),"Abs",0)</f>
        <v>0</v>
      </c>
      <c r="N185" s="32" t="str">
        <f aca="false">IFERROR(IF(OR(D185="OFF",D185="Congé",M185="Abs",D185="Congé sans solde",D185="Férié"),"",IF(O185-K185-L185&gt;O185,O185,IF(O185-K185-L185&lt;0,"",O185-K185-L185))),"")</f>
        <v/>
      </c>
      <c r="O185" s="33" t="n">
        <f aca="false">IF(AG185="2H Pause déjeuner",IF(F185-D185-0.0833333333333333&lt;0,F185-D185-0.0833333333333333+1,F185-D185-0.0833333333333333),IF(OR(AND(F185="OFF",D185="OFF"),AND(F185="Congé",D185="Congé"),AND(F185="Congé sans solde",D185="Congé sans solde"),AND(F185="Congé spécial",D185="Congé spécial"),AND(F185="Férié",D185="Férié"),AND(F185="OFF",D185="Congé"),AND(F185="OFF",D185="Congé sans solde"),AND(F185="OFF",D185="Congé spécial"),AND(F185="OFF",D185="Férié"),AND(F185="Congé",D185="OFF"),AND(F185="Congé",D185="Congé sans solde"),AND(F185="Congé",D185="Congé spécial"),AND(F185="Congé",D185="Férié"),AND(F185="Congé sans solde",D185="OFF"),AND(F185="Congé sans solde",D185="Congé"),AND(F185="Congé sans solde",D185="Congé spécial"),AND(F185="Congé sans solde",D185="Férié"),AND(F185="Congé spécial",D185="OFF"),AND(F185="Congé spécial",D185="Congé"),AND(F185="Congé spécial",D185="Congé sans solde"),AND(F185="Congé spécial",D185="Férié"),AND(F185="Férié",D185="OFF"),AND(F185="Férié",D185="Congé"),AND(F185="Férié",D185="Congé sans solde"),AND(F185="Férié",D185="Congé spécial")),0,IF(OR(F185="OFF",F185="Congé",F185="Congé spécial",F185="Congé sans solde",D185="OFF",D185="Congé",D185="Congé spécial",D185="Congé sans solde"),0.208333333333334,IF(AND(AG185="",F185-D185&lt;0),("24:00:00"-D185)+("00:00:00"+F185)-0.0416666666666667,IF(AND(OR(AG185="Allaitement",AG185="Sans déjeuner"),F185-D185&lt;0),("24:00:00"-D185)+("00:00:00"+F185),IF(AND(AG185="",F185-D185&gt;0.166666666666667),F185-D185-0.0416666666666667,IF(AND(OR(AG185="Allaitement",AG185="Sans déjeuner"),F185-D185&gt;0.166666666666667),F185-D185,F185-D185)))))))</f>
        <v>0</v>
      </c>
      <c r="P185" s="34" t="str">
        <f aca="false">IFERROR(VLOOKUP($B185,Annuaire_roster!$B:$G,MATCH(P$1,Annuaire_roster!$B$1:$G$1,0),0),"-")</f>
        <v>Google Leads</v>
      </c>
      <c r="Q185" s="35" t="n">
        <v>44722</v>
      </c>
      <c r="R185" s="36" t="n">
        <f aca="false">IF(M185="Abs",O185,0)</f>
        <v>0</v>
      </c>
      <c r="S185" s="36" t="n">
        <f aca="false">SUM(R185,L185,I185,J185,W185,H185)</f>
        <v>0</v>
      </c>
      <c r="T185" s="1" t="str">
        <f aca="false">"Sem - "&amp;WEEKNUM(Q185,21)</f>
        <v>Sem - 24</v>
      </c>
      <c r="U185" s="1" t="str">
        <f aca="false">PROPER(TEXT(Q185,"mmmm"))</f>
        <v>June</v>
      </c>
      <c r="V185" s="37" t="str">
        <f aca="false">+TEXT(Q185,"aaa")</f>
        <v>Thu</v>
      </c>
      <c r="W185" s="32"/>
      <c r="X185" s="38" t="n">
        <f aca="false">IFERROR(IF(M185="Abs",0,IF((D185-C185+E185-F185)&lt;0.000694444444444444,0,(D185-C185+E185-F185))),0)</f>
        <v>0</v>
      </c>
      <c r="Y185" s="39" t="n">
        <f aca="false">IFERROR(VLOOKUP(B185,Annuaire_roster!B:E,4,0),"-")</f>
        <v>0</v>
      </c>
      <c r="Z185" s="39" t="str">
        <f aca="false">IFERROR(VLOOKUP(B185,Annuaire_roster!B:F,3,0),"-")</f>
        <v>Google Leads</v>
      </c>
      <c r="AA185" s="39" t="n">
        <f aca="false">IFERROR(VLOOKUP(B185,Annuaire_roster!B:I,6,0),"-")</f>
        <v>0</v>
      </c>
      <c r="AB185" s="40" t="str">
        <f aca="false">IF(AND(D185="Congé",F185="Congé"),0.333333333333333,IF(OR(AND(D185="Congé",F185&lt;&gt;"Congé"),(AND(F185="Congé",D185&lt;&gt;"Congé"))),0.166666666666667,""))</f>
        <v/>
      </c>
      <c r="AC185" s="40" t="str">
        <f aca="false">IF(AND(D185="Congé sans solde",F185="Congé sans solde"),0.333333333333333,IF(OR(AND(D185="Congé sans solde",F185&lt;&gt;"Congé sans solde"),(AND(F185="Congé sans solde",D185&lt;&gt;"Congé sans solde"))),0.166666666666667,""))</f>
        <v/>
      </c>
      <c r="AD185" s="40" t="str">
        <f aca="false">IF(AND(D185="Congé spécial",F185="Congé spécial"),0.333333333333333,IF(OR(AND(D185="Congé spécial",F185&lt;&gt;"Congé décès"),(AND(F185="Congé spécial",D185&lt;&gt;"Congé spécial"))),0.166666666666667,""))</f>
        <v/>
      </c>
      <c r="AE185" s="41" t="str">
        <f aca="false">IF(AND(D185="Férié",F185="Férié"),0.333333333333333,IF(OR(AND(D185="Férié",F185&lt;&gt;"Férié"),(AND(F185="Férié",D185&lt;&gt;"Férié"))),0.166666666666667,""))</f>
        <v/>
      </c>
      <c r="AF185" s="41"/>
      <c r="AG185" s="36"/>
    </row>
    <row r="186" customFormat="false" ht="12.75" hidden="false" customHeight="true" outlineLevel="0" collapsed="false">
      <c r="A186" s="22" t="n">
        <f aca="false">VLOOKUP(B186,Annuaire_roster!B:F,5,0)</f>
        <v>0</v>
      </c>
      <c r="B186" s="23" t="s">
        <v>36</v>
      </c>
      <c r="C186" s="24" t="str">
        <f aca="false">IFERROR(IF(COUNTIFS(Pointage_brut!$E:$E,VLOOKUP($B186,Annuaire_roster!$B:$J,9,0),Pointage_brut!$A:$A,TEXT($Q186,"yyyymmdd")*1)=0,"",MOD(_xlfn.MINIFS(Pointage_brut!$F:$F,Pointage_brut!$E:$E,VLOOKUP($B186,Annuaire_roster!$B:$J,9,0),Pointage_brut!$A:$A,TEXT($Q186,"yyyymmdd")*1),1)),"")</f>
        <v/>
      </c>
      <c r="D186" s="25" t="str">
        <f aca="false" t="array" ref="D186:D186">IFERROR(INDEX(Planning2[],MATCH(1,(Planning2[Nom]=B186)*(Planning2[Date]=Q186),0),3),"-")</f>
        <v>OFF</v>
      </c>
      <c r="E186" s="26" t="str">
        <f aca="false">IFERROR(IF(COUNTIFS(Pointage_brut!$E:$E,VLOOKUP($B186,Annuaire_roster!$B:$J,9,0),Pointage_brut!$A:$A,TEXT($Q186,"yyyymmdd")*1)=0,"",MOD(_xlfn.MAXIFS(Pointage_brut!$G:$G,Pointage_brut!$E:$E,VLOOKUP($B186,Annuaire_roster!$B:$J,9,0),Pointage_brut!$A:$A,TEXT($Q186,"yyyymmdd")*1),1)),"")</f>
        <v/>
      </c>
      <c r="F186" s="27" t="str">
        <f aca="false" t="array" ref="F186:F186">IFERROR(INDEX(Planning2[],MATCH(1,(Planning2[Nom]=B186)*(Planning2[Date]=Q186),0),4),"-")</f>
        <v>OFF</v>
      </c>
      <c r="G186" s="28"/>
      <c r="H186" s="28"/>
      <c r="I186" s="29" t="str">
        <f aca="false">IF(IF(OR(C186="",D186="Congé",D186="OFF",D186="Congé spécial"),"",IF(D186&gt;F186,D186-C186,IF(C186-D186&lt;0,0,C186-D186)))&lt;0.00068287037037037,"",IF(OR(D186="Congé",D186="OFF",C186="",D186="Congé spécial"),"",IF(D186&gt;F186,D186-C186,IF(C186-D186&lt;0,0,C186-D186))))</f>
        <v/>
      </c>
      <c r="J186" s="28"/>
      <c r="K186" s="30" t="n">
        <f aca="false">IF(SUM(H186:J186)&lt;0.00068287037037037,0,SUM(H186:J186))</f>
        <v>0</v>
      </c>
      <c r="L186" s="28" t="n">
        <f aca="false">IF(OR(F186="Congé",F186="OFF",M186="Abs",F186="Congé sans solde",F186="Férié",F186="Congé spécial",D186="Congé spécial"),0,IF(F186-E186&lt;0,0,IF(F186-E186&lt;=0.00068287037037037,0,F186-E186)))</f>
        <v>0</v>
      </c>
      <c r="M186" s="31" t="n">
        <f aca="false">IF(AND(O186&lt;&gt;0,C186=""),"Abs",0)</f>
        <v>0</v>
      </c>
      <c r="N186" s="32" t="str">
        <f aca="false">IFERROR(IF(OR(D186="OFF",D186="Congé",M186="Abs",D186="Congé sans solde",D186="Férié"),"",IF(O186-K186-L186&gt;O186,O186,IF(O186-K186-L186&lt;0,"",O186-K186-L186))),"")</f>
        <v/>
      </c>
      <c r="O186" s="33" t="n">
        <f aca="false">IF(AG186="2H Pause déjeuner",IF(F186-D186-0.0833333333333333&lt;0,F186-D186-0.0833333333333333+1,F186-D186-0.0833333333333333),IF(OR(AND(F186="OFF",D186="OFF"),AND(F186="Congé",D186="Congé"),AND(F186="Congé sans solde",D186="Congé sans solde"),AND(F186="Congé spécial",D186="Congé spécial"),AND(F186="Férié",D186="Férié"),AND(F186="OFF",D186="Congé"),AND(F186="OFF",D186="Congé sans solde"),AND(F186="OFF",D186="Congé spécial"),AND(F186="OFF",D186="Férié"),AND(F186="Congé",D186="OFF"),AND(F186="Congé",D186="Congé sans solde"),AND(F186="Congé",D186="Congé spécial"),AND(F186="Congé",D186="Férié"),AND(F186="Congé sans solde",D186="OFF"),AND(F186="Congé sans solde",D186="Congé"),AND(F186="Congé sans solde",D186="Congé spécial"),AND(F186="Congé sans solde",D186="Férié"),AND(F186="Congé spécial",D186="OFF"),AND(F186="Congé spécial",D186="Congé"),AND(F186="Congé spécial",D186="Congé sans solde"),AND(F186="Congé spécial",D186="Férié"),AND(F186="Férié",D186="OFF"),AND(F186="Férié",D186="Congé"),AND(F186="Férié",D186="Congé sans solde"),AND(F186="Férié",D186="Congé spécial")),0,IF(OR(F186="OFF",F186="Congé",F186="Congé spécial",F186="Congé sans solde",D186="OFF",D186="Congé",D186="Congé spécial",D186="Congé sans solde"),0.208333333333334,IF(AND(AG186="",F186-D186&lt;0),("24:00:00"-D186)+("00:00:00"+F186)-0.0416666666666667,IF(AND(OR(AG186="Allaitement",AG186="Sans déjeuner"),F186-D186&lt;0),("24:00:00"-D186)+("00:00:00"+F186),IF(AND(AG186="",F186-D186&gt;0.166666666666667),F186-D186-0.0416666666666667,IF(AND(OR(AG186="Allaitement",AG186="Sans déjeuner"),F186-D186&gt;0.166666666666667),F186-D186,F186-D186)))))))</f>
        <v>0</v>
      </c>
      <c r="P186" s="34" t="str">
        <f aca="false">IFERROR(VLOOKUP($B186,Annuaire_roster!$B:$G,MATCH(P$1,Annuaire_roster!$B$1:$G$1,0),0),"-")</f>
        <v>Google Leads</v>
      </c>
      <c r="Q186" s="35" t="n">
        <v>44722</v>
      </c>
      <c r="R186" s="36" t="n">
        <f aca="false">IF(M186="Abs",O186,0)</f>
        <v>0</v>
      </c>
      <c r="S186" s="36" t="n">
        <f aca="false">SUM(R186,L186,I186,J186,W186,H186)</f>
        <v>0</v>
      </c>
      <c r="T186" s="1" t="str">
        <f aca="false">"Sem - "&amp;WEEKNUM(Q186,21)</f>
        <v>Sem - 24</v>
      </c>
      <c r="U186" s="1" t="str">
        <f aca="false">PROPER(TEXT(Q186,"mmmm"))</f>
        <v>June</v>
      </c>
      <c r="V186" s="37" t="str">
        <f aca="false">+TEXT(Q186,"aaa")</f>
        <v>Thu</v>
      </c>
      <c r="W186" s="32"/>
      <c r="X186" s="38" t="n">
        <f aca="false">IFERROR(IF(M186="Abs",0,IF((D186-C186+E186-F186)&lt;0.000694444444444444,0,(D186-C186+E186-F186))),0)</f>
        <v>0</v>
      </c>
      <c r="Y186" s="39" t="n">
        <f aca="false">IFERROR(VLOOKUP(B186,Annuaire_roster!B:E,4,0),"-")</f>
        <v>0</v>
      </c>
      <c r="Z186" s="39" t="str">
        <f aca="false">IFERROR(VLOOKUP(B186,Annuaire_roster!B:F,3,0),"-")</f>
        <v>Google Leads</v>
      </c>
      <c r="AA186" s="39" t="n">
        <f aca="false">IFERROR(VLOOKUP(B186,Annuaire_roster!B:I,6,0),"-")</f>
        <v>0</v>
      </c>
      <c r="AB186" s="40" t="str">
        <f aca="false">IF(AND(D186="Congé",F186="Congé"),0.333333333333333,IF(OR(AND(D186="Congé",F186&lt;&gt;"Congé"),(AND(F186="Congé",D186&lt;&gt;"Congé"))),0.166666666666667,""))</f>
        <v/>
      </c>
      <c r="AC186" s="40" t="str">
        <f aca="false">IF(AND(D186="Congé sans solde",F186="Congé sans solde"),0.333333333333333,IF(OR(AND(D186="Congé sans solde",F186&lt;&gt;"Congé sans solde"),(AND(F186="Congé sans solde",D186&lt;&gt;"Congé sans solde"))),0.166666666666667,""))</f>
        <v/>
      </c>
      <c r="AD186" s="40" t="str">
        <f aca="false">IF(AND(D186="Congé spécial",F186="Congé spécial"),0.333333333333333,IF(OR(AND(D186="Congé spécial",F186&lt;&gt;"Congé décès"),(AND(F186="Congé spécial",D186&lt;&gt;"Congé spécial"))),0.166666666666667,""))</f>
        <v/>
      </c>
      <c r="AE186" s="41" t="str">
        <f aca="false">IF(AND(D186="Férié",F186="Férié"),0.333333333333333,IF(OR(AND(D186="Férié",F186&lt;&gt;"Férié"),(AND(F186="Férié",D186&lt;&gt;"Férié"))),0.166666666666667,""))</f>
        <v/>
      </c>
      <c r="AF186" s="41"/>
      <c r="AG186" s="36"/>
    </row>
    <row r="187" customFormat="false" ht="12.75" hidden="false" customHeight="true" outlineLevel="0" collapsed="false">
      <c r="A187" s="22" t="n">
        <f aca="false">VLOOKUP(B187,Annuaire_roster!B:F,5,0)</f>
        <v>0</v>
      </c>
      <c r="B187" s="23" t="s">
        <v>47</v>
      </c>
      <c r="C187" s="24" t="str">
        <f aca="false">IFERROR(IF(COUNTIFS(Pointage_brut!$E:$E,VLOOKUP($B187,Annuaire_roster!$B:$J,9,0),Pointage_brut!$A:$A,TEXT($Q187,"yyyymmdd")*1)=0,"",MOD(_xlfn.MINIFS(Pointage_brut!$F:$F,Pointage_brut!$E:$E,VLOOKUP($B187,Annuaire_roster!$B:$J,9,0),Pointage_brut!$A:$A,TEXT($Q187,"yyyymmdd")*1),1)),"")</f>
        <v/>
      </c>
      <c r="D187" s="25" t="str">
        <f aca="false" t="array" ref="D187:D187">IFERROR(INDEX(Planning2[],MATCH(1,(Planning2[Nom]=B187)*(Planning2[Date]=Q187),0),3),"-")</f>
        <v>OFF</v>
      </c>
      <c r="E187" s="26" t="str">
        <f aca="false">IFERROR(IF(COUNTIFS(Pointage_brut!$E:$E,VLOOKUP($B187,Annuaire_roster!$B:$J,9,0),Pointage_brut!$A:$A,TEXT($Q187,"yyyymmdd")*1)=0,"",MOD(_xlfn.MAXIFS(Pointage_brut!$G:$G,Pointage_brut!$E:$E,VLOOKUP($B187,Annuaire_roster!$B:$J,9,0),Pointage_brut!$A:$A,TEXT($Q187,"yyyymmdd")*1),1)),"")</f>
        <v/>
      </c>
      <c r="F187" s="27" t="str">
        <f aca="false" t="array" ref="F187:F187">IFERROR(INDEX(Planning2[],MATCH(1,(Planning2[Nom]=B187)*(Planning2[Date]=Q187),0),4),"-")</f>
        <v>OFF</v>
      </c>
      <c r="G187" s="28"/>
      <c r="H187" s="28"/>
      <c r="I187" s="29" t="str">
        <f aca="false">IF(IF(OR(C187="",D187="Congé",D187="OFF",D187="Congé spécial"),"",IF(D187&gt;F187,D187-C187,IF(C187-D187&lt;0,0,C187-D187)))&lt;0.00068287037037037,"",IF(OR(D187="Congé",D187="OFF",C187="",D187="Congé spécial"),"",IF(D187&gt;F187,D187-C187,IF(C187-D187&lt;0,0,C187-D187))))</f>
        <v/>
      </c>
      <c r="J187" s="28"/>
      <c r="K187" s="30" t="n">
        <f aca="false">IF(SUM(H187:J187)&lt;0.00068287037037037,0,SUM(H187:J187))</f>
        <v>0</v>
      </c>
      <c r="L187" s="28" t="n">
        <f aca="false">IF(OR(F187="Congé",F187="OFF",M187="Abs",F187="Congé sans solde",F187="Férié",F187="Congé spécial",D187="Congé spécial"),0,IF(F187-E187&lt;0,0,IF(F187-E187&lt;=0.00068287037037037,0,F187-E187)))</f>
        <v>0</v>
      </c>
      <c r="M187" s="31" t="n">
        <f aca="false">IF(AND(O187&lt;&gt;0,C187=""),"Abs",0)</f>
        <v>0</v>
      </c>
      <c r="N187" s="32" t="str">
        <f aca="false">IFERROR(IF(OR(D187="OFF",D187="Congé",M187="Abs",D187="Congé sans solde",D187="Férié"),"",IF(O187-K187-L187&gt;O187,O187,IF(O187-K187-L187&lt;0,"",O187-K187-L187))),"")</f>
        <v/>
      </c>
      <c r="O187" s="33" t="n">
        <f aca="false">IF(AG187="2H Pause déjeuner",IF(F187-D187-0.0833333333333333&lt;0,F187-D187-0.0833333333333333+1,F187-D187-0.0833333333333333),IF(OR(AND(F187="OFF",D187="OFF"),AND(F187="Congé",D187="Congé"),AND(F187="Congé sans solde",D187="Congé sans solde"),AND(F187="Congé spécial",D187="Congé spécial"),AND(F187="Férié",D187="Férié"),AND(F187="OFF",D187="Congé"),AND(F187="OFF",D187="Congé sans solde"),AND(F187="OFF",D187="Congé spécial"),AND(F187="OFF",D187="Férié"),AND(F187="Congé",D187="OFF"),AND(F187="Congé",D187="Congé sans solde"),AND(F187="Congé",D187="Congé spécial"),AND(F187="Congé",D187="Férié"),AND(F187="Congé sans solde",D187="OFF"),AND(F187="Congé sans solde",D187="Congé"),AND(F187="Congé sans solde",D187="Congé spécial"),AND(F187="Congé sans solde",D187="Férié"),AND(F187="Congé spécial",D187="OFF"),AND(F187="Congé spécial",D187="Congé"),AND(F187="Congé spécial",D187="Congé sans solde"),AND(F187="Congé spécial",D187="Férié"),AND(F187="Férié",D187="OFF"),AND(F187="Férié",D187="Congé"),AND(F187="Férié",D187="Congé sans solde"),AND(F187="Férié",D187="Congé spécial")),0,IF(OR(F187="OFF",F187="Congé",F187="Congé spécial",F187="Congé sans solde",D187="OFF",D187="Congé",D187="Congé spécial",D187="Congé sans solde"),0.208333333333334,IF(AND(AG187="",F187-D187&lt;0),("24:00:00"-D187)+("00:00:00"+F187)-0.0416666666666667,IF(AND(OR(AG187="Allaitement",AG187="Sans déjeuner"),F187-D187&lt;0),("24:00:00"-D187)+("00:00:00"+F187),IF(AND(AG187="",F187-D187&gt;0.166666666666667),F187-D187-0.0416666666666667,IF(AND(OR(AG187="Allaitement",AG187="Sans déjeuner"),F187-D187&gt;0.166666666666667),F187-D187,F187-D187)))))))</f>
        <v>0</v>
      </c>
      <c r="P187" s="34" t="str">
        <f aca="false">IFERROR(VLOOKUP($B187,Annuaire_roster!$B:$G,MATCH(P$1,Annuaire_roster!$B$1:$G$1,0),0),"-")</f>
        <v>Google Leads</v>
      </c>
      <c r="Q187" s="35" t="n">
        <v>44722</v>
      </c>
      <c r="R187" s="36" t="n">
        <f aca="false">IF(M187="Abs",O187,0)</f>
        <v>0</v>
      </c>
      <c r="S187" s="36" t="n">
        <f aca="false">SUM(R187,L187,I187,J187,W187,H187)</f>
        <v>0</v>
      </c>
      <c r="T187" s="1" t="str">
        <f aca="false">"Sem - "&amp;WEEKNUM(Q187,21)</f>
        <v>Sem - 24</v>
      </c>
      <c r="U187" s="1" t="str">
        <f aca="false">PROPER(TEXT(Q187,"mmmm"))</f>
        <v>June</v>
      </c>
      <c r="V187" s="37" t="str">
        <f aca="false">+TEXT(Q187,"aaa")</f>
        <v>Thu</v>
      </c>
      <c r="W187" s="32"/>
      <c r="X187" s="38" t="n">
        <f aca="false">IFERROR(IF(M187="Abs",0,IF((D187-C187+E187-F187)&lt;0.000694444444444444,0,(D187-C187+E187-F187))),0)</f>
        <v>0</v>
      </c>
      <c r="Y187" s="39" t="n">
        <f aca="false">IFERROR(VLOOKUP(B187,Annuaire_roster!B:E,4,0),"-")</f>
        <v>0</v>
      </c>
      <c r="Z187" s="39" t="str">
        <f aca="false">IFERROR(VLOOKUP(B187,Annuaire_roster!B:F,3,0),"-")</f>
        <v>Google Leads</v>
      </c>
      <c r="AA187" s="39" t="n">
        <f aca="false">IFERROR(VLOOKUP(B187,Annuaire_roster!B:I,6,0),"-")</f>
        <v>0</v>
      </c>
      <c r="AB187" s="40" t="str">
        <f aca="false">IF(AND(D187="Congé",F187="Congé"),0.333333333333333,IF(OR(AND(D187="Congé",F187&lt;&gt;"Congé"),(AND(F187="Congé",D187&lt;&gt;"Congé"))),0.166666666666667,""))</f>
        <v/>
      </c>
      <c r="AC187" s="40" t="str">
        <f aca="false">IF(AND(D187="Congé sans solde",F187="Congé sans solde"),0.333333333333333,IF(OR(AND(D187="Congé sans solde",F187&lt;&gt;"Congé sans solde"),(AND(F187="Congé sans solde",D187&lt;&gt;"Congé sans solde"))),0.166666666666667,""))</f>
        <v/>
      </c>
      <c r="AD187" s="40" t="str">
        <f aca="false">IF(AND(D187="Congé spécial",F187="Congé spécial"),0.333333333333333,IF(OR(AND(D187="Congé spécial",F187&lt;&gt;"Congé décès"),(AND(F187="Congé spécial",D187&lt;&gt;"Congé spécial"))),0.166666666666667,""))</f>
        <v/>
      </c>
      <c r="AE187" s="41" t="str">
        <f aca="false">IF(AND(D187="Férié",F187="Férié"),0.333333333333333,IF(OR(AND(D187="Férié",F187&lt;&gt;"Férié"),(AND(F187="Férié",D187&lt;&gt;"Férié"))),0.166666666666667,""))</f>
        <v/>
      </c>
      <c r="AF187" s="41"/>
      <c r="AG187" s="36"/>
    </row>
    <row r="188" customFormat="false" ht="12.75" hidden="false" customHeight="true" outlineLevel="0" collapsed="false">
      <c r="A188" s="22" t="n">
        <f aca="false">VLOOKUP(B188,Annuaire_roster!B:F,5,0)</f>
        <v>1167</v>
      </c>
      <c r="B188" s="23" t="s">
        <v>55</v>
      </c>
      <c r="C188" s="24" t="str">
        <f aca="false">IFERROR(IF(COUNTIFS(Pointage_brut!$E:$E,VLOOKUP($B188,Annuaire_roster!$B:$J,9,0),Pointage_brut!$A:$A,TEXT($Q188,"yyyymmdd")*1)=0,"",MOD(_xlfn.MINIFS(Pointage_brut!$F:$F,Pointage_brut!$E:$E,VLOOKUP($B188,Annuaire_roster!$B:$J,9,0),Pointage_brut!$A:$A,TEXT($Q188,"yyyymmdd")*1),1)),"")</f>
        <v/>
      </c>
      <c r="D188" s="25" t="str">
        <f aca="false" t="array" ref="D188:D188">IFERROR(INDEX(Planning2[],MATCH(1,(Planning2[Nom]=B188)*(Planning2[Date]=Q188),0),3),"-")</f>
        <v>OFF</v>
      </c>
      <c r="E188" s="26" t="str">
        <f aca="false">IFERROR(IF(COUNTIFS(Pointage_brut!$E:$E,VLOOKUP($B188,Annuaire_roster!$B:$J,9,0),Pointage_brut!$A:$A,TEXT($Q188,"yyyymmdd")*1)=0,"",MOD(_xlfn.MAXIFS(Pointage_brut!$G:$G,Pointage_brut!$E:$E,VLOOKUP($B188,Annuaire_roster!$B:$J,9,0),Pointage_brut!$A:$A,TEXT($Q188,"yyyymmdd")*1),1)),"")</f>
        <v/>
      </c>
      <c r="F188" s="27" t="str">
        <f aca="false" t="array" ref="F188:F188">IFERROR(INDEX(Planning2[],MATCH(1,(Planning2[Nom]=B188)*(Planning2[Date]=Q188),0),4),"-")</f>
        <v>OFF</v>
      </c>
      <c r="G188" s="28"/>
      <c r="H188" s="28"/>
      <c r="I188" s="29" t="str">
        <f aca="false">IF(IF(OR(C188="",D188="Congé",D188="OFF",D188="Congé spécial"),"",IF(D188&gt;F188,D188-C188,IF(C188-D188&lt;0,0,C188-D188)))&lt;0.00068287037037037,"",IF(OR(D188="Congé",D188="OFF",C188="",D188="Congé spécial"),"",IF(D188&gt;F188,D188-C188,IF(C188-D188&lt;0,0,C188-D188))))</f>
        <v/>
      </c>
      <c r="J188" s="28"/>
      <c r="K188" s="30" t="n">
        <f aca="false">IF(SUM(H188:J188)&lt;0.00068287037037037,0,SUM(H188:J188))</f>
        <v>0</v>
      </c>
      <c r="L188" s="28" t="n">
        <f aca="false">IF(OR(F188="Congé",F188="OFF",M188="Abs",F188="Congé sans solde",F188="Férié",F188="Congé spécial",D188="Congé spécial"),0,IF(F188-E188&lt;0,0,IF(F188-E188&lt;=0.00068287037037037,0,F188-E188)))</f>
        <v>0</v>
      </c>
      <c r="M188" s="31" t="n">
        <f aca="false">IF(AND(O188&lt;&gt;0,C188=""),"Abs",0)</f>
        <v>0</v>
      </c>
      <c r="N188" s="32" t="str">
        <f aca="false">IFERROR(IF(OR(D188="OFF",D188="Congé",M188="Abs",D188="Congé sans solde",D188="Férié"),"",IF(O188-K188-L188&gt;O188,O188,IF(O188-K188-L188&lt;0,"",O188-K188-L188))),"")</f>
        <v/>
      </c>
      <c r="O188" s="33" t="n">
        <f aca="false">IF(AG188="2H Pause déjeuner",IF(F188-D188-0.0833333333333333&lt;0,F188-D188-0.0833333333333333+1,F188-D188-0.0833333333333333),IF(OR(AND(F188="OFF",D188="OFF"),AND(F188="Congé",D188="Congé"),AND(F188="Congé sans solde",D188="Congé sans solde"),AND(F188="Congé spécial",D188="Congé spécial"),AND(F188="Férié",D188="Férié"),AND(F188="OFF",D188="Congé"),AND(F188="OFF",D188="Congé sans solde"),AND(F188="OFF",D188="Congé spécial"),AND(F188="OFF",D188="Férié"),AND(F188="Congé",D188="OFF"),AND(F188="Congé",D188="Congé sans solde"),AND(F188="Congé",D188="Congé spécial"),AND(F188="Congé",D188="Férié"),AND(F188="Congé sans solde",D188="OFF"),AND(F188="Congé sans solde",D188="Congé"),AND(F188="Congé sans solde",D188="Congé spécial"),AND(F188="Congé sans solde",D188="Férié"),AND(F188="Congé spécial",D188="OFF"),AND(F188="Congé spécial",D188="Congé"),AND(F188="Congé spécial",D188="Congé sans solde"),AND(F188="Congé spécial",D188="Férié"),AND(F188="Férié",D188="OFF"),AND(F188="Férié",D188="Congé"),AND(F188="Férié",D188="Congé sans solde"),AND(F188="Férié",D188="Congé spécial")),0,IF(OR(F188="OFF",F188="Congé",F188="Congé spécial",F188="Congé sans solde",D188="OFF",D188="Congé",D188="Congé spécial",D188="Congé sans solde"),0.208333333333334,IF(AND(AG188="",F188-D188&lt;0),("24:00:00"-D188)+("00:00:00"+F188)-0.0416666666666667,IF(AND(OR(AG188="Allaitement",AG188="Sans déjeuner"),F188-D188&lt;0),("24:00:00"-D188)+("00:00:00"+F188),IF(AND(AG188="",F188-D188&gt;0.166666666666667),F188-D188-0.0416666666666667,IF(AND(OR(AG188="Allaitement",AG188="Sans déjeuner"),F188-D188&gt;0.166666666666667),F188-D188,F188-D188)))))))</f>
        <v>0</v>
      </c>
      <c r="P188" s="34" t="str">
        <f aca="false">IFERROR(VLOOKUP($B188,Annuaire_roster!$B:$G,MATCH(P$1,Annuaire_roster!$B$1:$G$1,0),0),"-")</f>
        <v>Google Leads</v>
      </c>
      <c r="Q188" s="35" t="n">
        <v>44722</v>
      </c>
      <c r="R188" s="36" t="n">
        <f aca="false">IF(M188="Abs",O188,0)</f>
        <v>0</v>
      </c>
      <c r="S188" s="36" t="n">
        <f aca="false">SUM(R188,L188,I188,J188,W188,H188)</f>
        <v>0</v>
      </c>
      <c r="T188" s="1" t="str">
        <f aca="false">"Sem - "&amp;WEEKNUM(Q188,21)</f>
        <v>Sem - 24</v>
      </c>
      <c r="U188" s="1" t="str">
        <f aca="false">PROPER(TEXT(Q188,"mmmm"))</f>
        <v>June</v>
      </c>
      <c r="V188" s="37" t="str">
        <f aca="false">+TEXT(Q188,"aaa")</f>
        <v>Thu</v>
      </c>
      <c r="W188" s="32"/>
      <c r="X188" s="38" t="n">
        <f aca="false">IFERROR(IF(M188="Abs",0,IF((D188-C188+E188-F188)&lt;0.000694444444444444,0,(D188-C188+E188-F188))),0)</f>
        <v>0</v>
      </c>
      <c r="Y188" s="39" t="str">
        <f aca="false">IFERROR(VLOOKUP(B188,Annuaire_roster!B:E,4,0),"-")</f>
        <v>OUAQERROUCH Nour-El Houda</v>
      </c>
      <c r="Z188" s="39" t="str">
        <f aca="false">IFERROR(VLOOKUP(B188,Annuaire_roster!B:F,3,0),"-")</f>
        <v>Google Leads</v>
      </c>
      <c r="AA188" s="39" t="str">
        <f aca="false">IFERROR(VLOOKUP(B188,Annuaire_roster!B:I,6,0),"-")</f>
        <v>Forfaitaire</v>
      </c>
      <c r="AB188" s="40" t="str">
        <f aca="false">IF(AND(D188="Congé",F188="Congé"),0.333333333333333,IF(OR(AND(D188="Congé",F188&lt;&gt;"Congé"),(AND(F188="Congé",D188&lt;&gt;"Congé"))),0.166666666666667,""))</f>
        <v/>
      </c>
      <c r="AC188" s="40" t="str">
        <f aca="false">IF(AND(D188="Congé sans solde",F188="Congé sans solde"),0.333333333333333,IF(OR(AND(D188="Congé sans solde",F188&lt;&gt;"Congé sans solde"),(AND(F188="Congé sans solde",D188&lt;&gt;"Congé sans solde"))),0.166666666666667,""))</f>
        <v/>
      </c>
      <c r="AD188" s="40" t="str">
        <f aca="false">IF(AND(D188="Congé spécial",F188="Congé spécial"),0.333333333333333,IF(OR(AND(D188="Congé spécial",F188&lt;&gt;"Congé décès"),(AND(F188="Congé spécial",D188&lt;&gt;"Congé spécial"))),0.166666666666667,""))</f>
        <v/>
      </c>
      <c r="AE188" s="41" t="str">
        <f aca="false">IF(AND(D188="Férié",F188="Férié"),0.333333333333333,IF(OR(AND(D188="Férié",F188&lt;&gt;"Férié"),(AND(F188="Férié",D188&lt;&gt;"Férié"))),0.166666666666667,""))</f>
        <v/>
      </c>
      <c r="AF188" s="41"/>
      <c r="AG188" s="36"/>
    </row>
    <row r="189" customFormat="false" ht="12.75" hidden="false" customHeight="true" outlineLevel="0" collapsed="false">
      <c r="A189" s="22" t="n">
        <f aca="false">VLOOKUP(B189,Annuaire_roster!B:F,5,0)</f>
        <v>1165</v>
      </c>
      <c r="B189" s="23" t="s">
        <v>40</v>
      </c>
      <c r="C189" s="24" t="str">
        <f aca="false">IFERROR(IF(COUNTIFS(Pointage_brut!$E:$E,VLOOKUP($B189,Annuaire_roster!$B:$J,9,0),Pointage_brut!$A:$A,TEXT($Q189,"yyyymmdd")*1)=0,"",MOD(_xlfn.MINIFS(Pointage_brut!$F:$F,Pointage_brut!$E:$E,VLOOKUP($B189,Annuaire_roster!$B:$J,9,0),Pointage_brut!$A:$A,TEXT($Q189,"yyyymmdd")*1),1)),"")</f>
        <v/>
      </c>
      <c r="D189" s="25" t="str">
        <f aca="false" t="array" ref="D189:D189">IFERROR(INDEX(Planning2[],MATCH(1,(Planning2[Nom]=B189)*(Planning2[Date]=Q189),0),3),"-")</f>
        <v>OFF</v>
      </c>
      <c r="E189" s="26" t="str">
        <f aca="false">IFERROR(IF(COUNTIFS(Pointage_brut!$E:$E,VLOOKUP($B189,Annuaire_roster!$B:$J,9,0),Pointage_brut!$A:$A,TEXT($Q189,"yyyymmdd")*1)=0,"",MOD(_xlfn.MAXIFS(Pointage_brut!$G:$G,Pointage_brut!$E:$E,VLOOKUP($B189,Annuaire_roster!$B:$J,9,0),Pointage_brut!$A:$A,TEXT($Q189,"yyyymmdd")*1),1)),"")</f>
        <v/>
      </c>
      <c r="F189" s="27" t="str">
        <f aca="false" t="array" ref="F189:F189">IFERROR(INDEX(Planning2[],MATCH(1,(Planning2[Nom]=B189)*(Planning2[Date]=Q189),0),4),"-")</f>
        <v>OFF</v>
      </c>
      <c r="G189" s="28"/>
      <c r="H189" s="28"/>
      <c r="I189" s="29" t="str">
        <f aca="false">IF(IF(OR(C189="",D189="Congé",D189="OFF",D189="Congé spécial"),"",IF(D189&gt;F189,D189-C189,IF(C189-D189&lt;0,0,C189-D189)))&lt;0.00068287037037037,"",IF(OR(D189="Congé",D189="OFF",C189="",D189="Congé spécial"),"",IF(D189&gt;F189,D189-C189,IF(C189-D189&lt;0,0,C189-D189))))</f>
        <v/>
      </c>
      <c r="J189" s="28"/>
      <c r="K189" s="30" t="n">
        <f aca="false">IF(SUM(H189:J189)&lt;0.00068287037037037,0,SUM(H189:J189))</f>
        <v>0</v>
      </c>
      <c r="L189" s="28" t="n">
        <f aca="false">IF(OR(F189="Congé",F189="OFF",M189="Abs",F189="Congé sans solde",F189="Férié",F189="Congé spécial",D189="Congé spécial"),0,IF(F189-E189&lt;0,0,IF(F189-E189&lt;=0.00068287037037037,0,F189-E189)))</f>
        <v>0</v>
      </c>
      <c r="M189" s="31" t="n">
        <f aca="false">IF(AND(O189&lt;&gt;0,C189=""),"Abs",0)</f>
        <v>0</v>
      </c>
      <c r="N189" s="32" t="str">
        <f aca="false">IFERROR(IF(OR(D189="OFF",D189="Congé",M189="Abs",D189="Congé sans solde",D189="Férié"),"",IF(O189-K189-L189&gt;O189,O189,IF(O189-K189-L189&lt;0,"",O189-K189-L189))),"")</f>
        <v/>
      </c>
      <c r="O189" s="33" t="n">
        <f aca="false">IF(AG189="2H Pause déjeuner",IF(F189-D189-0.0833333333333333&lt;0,F189-D189-0.0833333333333333+1,F189-D189-0.0833333333333333),IF(OR(AND(F189="OFF",D189="OFF"),AND(F189="Congé",D189="Congé"),AND(F189="Congé sans solde",D189="Congé sans solde"),AND(F189="Congé spécial",D189="Congé spécial"),AND(F189="Férié",D189="Férié"),AND(F189="OFF",D189="Congé"),AND(F189="OFF",D189="Congé sans solde"),AND(F189="OFF",D189="Congé spécial"),AND(F189="OFF",D189="Férié"),AND(F189="Congé",D189="OFF"),AND(F189="Congé",D189="Congé sans solde"),AND(F189="Congé",D189="Congé spécial"),AND(F189="Congé",D189="Férié"),AND(F189="Congé sans solde",D189="OFF"),AND(F189="Congé sans solde",D189="Congé"),AND(F189="Congé sans solde",D189="Congé spécial"),AND(F189="Congé sans solde",D189="Férié"),AND(F189="Congé spécial",D189="OFF"),AND(F189="Congé spécial",D189="Congé"),AND(F189="Congé spécial",D189="Congé sans solde"),AND(F189="Congé spécial",D189="Férié"),AND(F189="Férié",D189="OFF"),AND(F189="Férié",D189="Congé"),AND(F189="Férié",D189="Congé sans solde"),AND(F189="Férié",D189="Congé spécial")),0,IF(OR(F189="OFF",F189="Congé",F189="Congé spécial",F189="Congé sans solde",D189="OFF",D189="Congé",D189="Congé spécial",D189="Congé sans solde"),0.208333333333334,IF(AND(AG189="",F189-D189&lt;0),("24:00:00"-D189)+("00:00:00"+F189)-0.0416666666666667,IF(AND(OR(AG189="Allaitement",AG189="Sans déjeuner"),F189-D189&lt;0),("24:00:00"-D189)+("00:00:00"+F189),IF(AND(AG189="",F189-D189&gt;0.166666666666667),F189-D189-0.0416666666666667,IF(AND(OR(AG189="Allaitement",AG189="Sans déjeuner"),F189-D189&gt;0.166666666666667),F189-D189,F189-D189)))))))</f>
        <v>0</v>
      </c>
      <c r="P189" s="34" t="str">
        <f aca="false">IFERROR(VLOOKUP($B189,Annuaire_roster!$B:$G,MATCH(P$1,Annuaire_roster!$B$1:$G$1,0),0),"-")</f>
        <v>Google Leads</v>
      </c>
      <c r="Q189" s="35" t="n">
        <v>44722</v>
      </c>
      <c r="R189" s="36" t="n">
        <f aca="false">IF(M189="Abs",O189,0)</f>
        <v>0</v>
      </c>
      <c r="S189" s="36" t="n">
        <f aca="false">SUM(R189,L189,I189,J189,W189,H189)</f>
        <v>0</v>
      </c>
      <c r="T189" s="1" t="str">
        <f aca="false">"Sem - "&amp;WEEKNUM(Q189,21)</f>
        <v>Sem - 24</v>
      </c>
      <c r="U189" s="1" t="str">
        <f aca="false">PROPER(TEXT(Q189,"mmmm"))</f>
        <v>June</v>
      </c>
      <c r="V189" s="37" t="str">
        <f aca="false">+TEXT(Q189,"aaa")</f>
        <v>Thu</v>
      </c>
      <c r="W189" s="32"/>
      <c r="X189" s="38" t="n">
        <f aca="false">IFERROR(IF(M189="Abs",0,IF((D189-C189+E189-F189)&lt;0.000694444444444444,0,(D189-C189+E189-F189))),0)</f>
        <v>0</v>
      </c>
      <c r="Y189" s="39" t="str">
        <f aca="false">IFERROR(VLOOKUP(B189,Annuaire_roster!B:E,4,0),"-")</f>
        <v>OUAQERROUCH Nour-El Houda</v>
      </c>
      <c r="Z189" s="39" t="str">
        <f aca="false">IFERROR(VLOOKUP(B189,Annuaire_roster!B:F,3,0),"-")</f>
        <v>Google Leads</v>
      </c>
      <c r="AA189" s="39" t="str">
        <f aca="false">IFERROR(VLOOKUP(B189,Annuaire_roster!B:I,6,0),"-")</f>
        <v>Forfaitaire</v>
      </c>
      <c r="AB189" s="40" t="str">
        <f aca="false">IF(AND(D189="Congé",F189="Congé"),0.333333333333333,IF(OR(AND(D189="Congé",F189&lt;&gt;"Congé"),(AND(F189="Congé",D189&lt;&gt;"Congé"))),0.166666666666667,""))</f>
        <v/>
      </c>
      <c r="AC189" s="40" t="str">
        <f aca="false">IF(AND(D189="Congé sans solde",F189="Congé sans solde"),0.333333333333333,IF(OR(AND(D189="Congé sans solde",F189&lt;&gt;"Congé sans solde"),(AND(F189="Congé sans solde",D189&lt;&gt;"Congé sans solde"))),0.166666666666667,""))</f>
        <v/>
      </c>
      <c r="AD189" s="40" t="str">
        <f aca="false">IF(AND(D189="Congé spécial",F189="Congé spécial"),0.333333333333333,IF(OR(AND(D189="Congé spécial",F189&lt;&gt;"Congé décès"),(AND(F189="Congé spécial",D189&lt;&gt;"Congé spécial"))),0.166666666666667,""))</f>
        <v/>
      </c>
      <c r="AE189" s="41" t="str">
        <f aca="false">IF(AND(D189="Férié",F189="Férié"),0.333333333333333,IF(OR(AND(D189="Férié",F189&lt;&gt;"Férié"),(AND(F189="Férié",D189&lt;&gt;"Férié"))),0.166666666666667,""))</f>
        <v/>
      </c>
      <c r="AF189" s="41"/>
      <c r="AG189" s="36"/>
    </row>
    <row r="190" customFormat="false" ht="12.75" hidden="false" customHeight="true" outlineLevel="0" collapsed="false">
      <c r="A190" s="22" t="n">
        <f aca="false">VLOOKUP(B190,Annuaire_roster!B:F,5,0)</f>
        <v>0</v>
      </c>
      <c r="B190" s="23" t="s">
        <v>49</v>
      </c>
      <c r="C190" s="24" t="str">
        <f aca="false">IFERROR(IF(COUNTIFS(Pointage_brut!$E:$E,VLOOKUP($B190,Annuaire_roster!$B:$J,9,0),Pointage_brut!$A:$A,TEXT($Q190,"yyyymmdd")*1)=0,"",MOD(_xlfn.MINIFS(Pointage_brut!$F:$F,Pointage_brut!$E:$E,VLOOKUP($B190,Annuaire_roster!$B:$J,9,0),Pointage_brut!$A:$A,TEXT($Q190,"yyyymmdd")*1),1)),"")</f>
        <v/>
      </c>
      <c r="D190" s="25" t="str">
        <f aca="false" t="array" ref="D190:D190">IFERROR(INDEX(Planning2[],MATCH(1,(Planning2[Nom]=B190)*(Planning2[Date]=Q190),0),3),"-")</f>
        <v>OFF</v>
      </c>
      <c r="E190" s="26" t="str">
        <f aca="false">IFERROR(IF(COUNTIFS(Pointage_brut!$E:$E,VLOOKUP($B190,Annuaire_roster!$B:$J,9,0),Pointage_brut!$A:$A,TEXT($Q190,"yyyymmdd")*1)=0,"",MOD(_xlfn.MAXIFS(Pointage_brut!$G:$G,Pointage_brut!$E:$E,VLOOKUP($B190,Annuaire_roster!$B:$J,9,0),Pointage_brut!$A:$A,TEXT($Q190,"yyyymmdd")*1),1)),"")</f>
        <v/>
      </c>
      <c r="F190" s="27" t="str">
        <f aca="false" t="array" ref="F190:F190">IFERROR(INDEX(Planning2[],MATCH(1,(Planning2[Nom]=B190)*(Planning2[Date]=Q190),0),4),"-")</f>
        <v>OFF</v>
      </c>
      <c r="G190" s="28"/>
      <c r="H190" s="28"/>
      <c r="I190" s="29" t="str">
        <f aca="false">IF(IF(OR(C190="",D190="Congé",D190="OFF",D190="Congé spécial"),"",IF(D190&gt;F190,D190-C190,IF(C190-D190&lt;0,0,C190-D190)))&lt;0.00068287037037037,"",IF(OR(D190="Congé",D190="OFF",C190="",D190="Congé spécial"),"",IF(D190&gt;F190,D190-C190,IF(C190-D190&lt;0,0,C190-D190))))</f>
        <v/>
      </c>
      <c r="J190" s="28"/>
      <c r="K190" s="30" t="n">
        <f aca="false">IF(SUM(H190:J190)&lt;0.00068287037037037,0,SUM(H190:J190))</f>
        <v>0</v>
      </c>
      <c r="L190" s="28" t="n">
        <f aca="false">IF(OR(F190="Congé",F190="OFF",M190="Abs",F190="Congé sans solde",F190="Férié",F190="Congé spécial",D190="Congé spécial"),0,IF(F190-E190&lt;0,0,IF(F190-E190&lt;=0.00068287037037037,0,F190-E190)))</f>
        <v>0</v>
      </c>
      <c r="M190" s="31" t="n">
        <f aca="false">IF(AND(O190&lt;&gt;0,C190=""),"Abs",0)</f>
        <v>0</v>
      </c>
      <c r="N190" s="32" t="str">
        <f aca="false">IFERROR(IF(OR(D190="OFF",D190="Congé",M190="Abs",D190="Congé sans solde",D190="Férié"),"",IF(O190-K190-L190&gt;O190,O190,IF(O190-K190-L190&lt;0,"",O190-K190-L190))),"")</f>
        <v/>
      </c>
      <c r="O190" s="33" t="n">
        <f aca="false">IF(AG190="2H Pause déjeuner",IF(F190-D190-0.0833333333333333&lt;0,F190-D190-0.0833333333333333+1,F190-D190-0.0833333333333333),IF(OR(AND(F190="OFF",D190="OFF"),AND(F190="Congé",D190="Congé"),AND(F190="Congé sans solde",D190="Congé sans solde"),AND(F190="Congé spécial",D190="Congé spécial"),AND(F190="Férié",D190="Férié"),AND(F190="OFF",D190="Congé"),AND(F190="OFF",D190="Congé sans solde"),AND(F190="OFF",D190="Congé spécial"),AND(F190="OFF",D190="Férié"),AND(F190="Congé",D190="OFF"),AND(F190="Congé",D190="Congé sans solde"),AND(F190="Congé",D190="Congé spécial"),AND(F190="Congé",D190="Férié"),AND(F190="Congé sans solde",D190="OFF"),AND(F190="Congé sans solde",D190="Congé"),AND(F190="Congé sans solde",D190="Congé spécial"),AND(F190="Congé sans solde",D190="Férié"),AND(F190="Congé spécial",D190="OFF"),AND(F190="Congé spécial",D190="Congé"),AND(F190="Congé spécial",D190="Congé sans solde"),AND(F190="Congé spécial",D190="Férié"),AND(F190="Férié",D190="OFF"),AND(F190="Férié",D190="Congé"),AND(F190="Férié",D190="Congé sans solde"),AND(F190="Férié",D190="Congé spécial")),0,IF(OR(F190="OFF",F190="Congé",F190="Congé spécial",F190="Congé sans solde",D190="OFF",D190="Congé",D190="Congé spécial",D190="Congé sans solde"),0.208333333333334,IF(AND(AG190="",F190-D190&lt;0),("24:00:00"-D190)+("00:00:00"+F190)-0.0416666666666667,IF(AND(OR(AG190="Allaitement",AG190="Sans déjeuner"),F190-D190&lt;0),("24:00:00"-D190)+("00:00:00"+F190),IF(AND(AG190="",F190-D190&gt;0.166666666666667),F190-D190-0.0416666666666667,IF(AND(OR(AG190="Allaitement",AG190="Sans déjeuner"),F190-D190&gt;0.166666666666667),F190-D190,F190-D190)))))))</f>
        <v>0</v>
      </c>
      <c r="P190" s="34" t="str">
        <f aca="false">IFERROR(VLOOKUP($B190,Annuaire_roster!$B:$G,MATCH(P$1,Annuaire_roster!$B$1:$G$1,0),0),"-")</f>
        <v>Google Leads</v>
      </c>
      <c r="Q190" s="35" t="n">
        <v>44722</v>
      </c>
      <c r="R190" s="36" t="n">
        <f aca="false">IF(M190="Abs",O190,0)</f>
        <v>0</v>
      </c>
      <c r="S190" s="36" t="n">
        <f aca="false">SUM(R190,L190,I190,J190,W190,H190)</f>
        <v>0</v>
      </c>
      <c r="T190" s="1" t="str">
        <f aca="false">"Sem - "&amp;WEEKNUM(Q190,21)</f>
        <v>Sem - 24</v>
      </c>
      <c r="U190" s="1" t="str">
        <f aca="false">PROPER(TEXT(Q190,"mmmm"))</f>
        <v>June</v>
      </c>
      <c r="V190" s="37" t="str">
        <f aca="false">+TEXT(Q190,"aaa")</f>
        <v>Thu</v>
      </c>
      <c r="W190" s="32"/>
      <c r="X190" s="38" t="n">
        <f aca="false">IFERROR(IF(M190="Abs",0,IF((D190-C190+E190-F190)&lt;0.000694444444444444,0,(D190-C190+E190-F190))),0)</f>
        <v>0</v>
      </c>
      <c r="Y190" s="39" t="n">
        <f aca="false">IFERROR(VLOOKUP(B190,Annuaire_roster!B:E,4,0),"-")</f>
        <v>0</v>
      </c>
      <c r="Z190" s="39" t="str">
        <f aca="false">IFERROR(VLOOKUP(B190,Annuaire_roster!B:F,3,0),"-")</f>
        <v>Google Leads</v>
      </c>
      <c r="AA190" s="39" t="n">
        <f aca="false">IFERROR(VLOOKUP(B190,Annuaire_roster!B:I,6,0),"-")</f>
        <v>0</v>
      </c>
      <c r="AB190" s="40" t="str">
        <f aca="false">IF(AND(D190="Congé",F190="Congé"),0.333333333333333,IF(OR(AND(D190="Congé",F190&lt;&gt;"Congé"),(AND(F190="Congé",D190&lt;&gt;"Congé"))),0.166666666666667,""))</f>
        <v/>
      </c>
      <c r="AC190" s="40" t="str">
        <f aca="false">IF(AND(D190="Congé sans solde",F190="Congé sans solde"),0.333333333333333,IF(OR(AND(D190="Congé sans solde",F190&lt;&gt;"Congé sans solde"),(AND(F190="Congé sans solde",D190&lt;&gt;"Congé sans solde"))),0.166666666666667,""))</f>
        <v/>
      </c>
      <c r="AD190" s="40" t="str">
        <f aca="false">IF(AND(D190="Congé spécial",F190="Congé spécial"),0.333333333333333,IF(OR(AND(D190="Congé spécial",F190&lt;&gt;"Congé décès"),(AND(F190="Congé spécial",D190&lt;&gt;"Congé spécial"))),0.166666666666667,""))</f>
        <v/>
      </c>
      <c r="AE190" s="41" t="str">
        <f aca="false">IF(AND(D190="Férié",F190="Férié"),0.333333333333333,IF(OR(AND(D190="Férié",F190&lt;&gt;"Férié"),(AND(F190="Férié",D190&lt;&gt;"Férié"))),0.166666666666667,""))</f>
        <v/>
      </c>
      <c r="AF190" s="41"/>
      <c r="AG190" s="36"/>
    </row>
    <row r="191" customFormat="false" ht="12.75" hidden="false" customHeight="true" outlineLevel="0" collapsed="false">
      <c r="A191" s="22" t="n">
        <f aca="false">VLOOKUP(B191,Annuaire_roster!B:F,5,0)</f>
        <v>0</v>
      </c>
      <c r="B191" s="23" t="s">
        <v>39</v>
      </c>
      <c r="C191" s="24" t="str">
        <f aca="false">IFERROR(IF(COUNTIFS(Pointage_brut!$E:$E,VLOOKUP($B191,Annuaire_roster!$B:$J,9,0),Pointage_brut!$A:$A,TEXT($Q191,"yyyymmdd")*1)=0,"",MOD(_xlfn.MINIFS(Pointage_brut!$F:$F,Pointage_brut!$E:$E,VLOOKUP($B191,Annuaire_roster!$B:$J,9,0),Pointage_brut!$A:$A,TEXT($Q191,"yyyymmdd")*1),1)),"")</f>
        <v/>
      </c>
      <c r="D191" s="25" t="str">
        <f aca="false" t="array" ref="D191:D191">IFERROR(INDEX(Planning2[],MATCH(1,(Planning2[Nom]=B191)*(Planning2[Date]=Q191),0),3),"-")</f>
        <v>OFF</v>
      </c>
      <c r="E191" s="26" t="str">
        <f aca="false">IFERROR(IF(COUNTIFS(Pointage_brut!$E:$E,VLOOKUP($B191,Annuaire_roster!$B:$J,9,0),Pointage_brut!$A:$A,TEXT($Q191,"yyyymmdd")*1)=0,"",MOD(_xlfn.MAXIFS(Pointage_brut!$G:$G,Pointage_brut!$E:$E,VLOOKUP($B191,Annuaire_roster!$B:$J,9,0),Pointage_brut!$A:$A,TEXT($Q191,"yyyymmdd")*1),1)),"")</f>
        <v/>
      </c>
      <c r="F191" s="27" t="str">
        <f aca="false" t="array" ref="F191:F191">IFERROR(INDEX(Planning2[],MATCH(1,(Planning2[Nom]=B191)*(Planning2[Date]=Q191),0),4),"-")</f>
        <v>OFF</v>
      </c>
      <c r="G191" s="28"/>
      <c r="H191" s="28"/>
      <c r="I191" s="29" t="str">
        <f aca="false">IF(IF(OR(C191="",D191="Congé",D191="OFF",D191="Congé spécial"),"",IF(D191&gt;F191,D191-C191,IF(C191-D191&lt;0,0,C191-D191)))&lt;0.00068287037037037,"",IF(OR(D191="Congé",D191="OFF",C191="",D191="Congé spécial"),"",IF(D191&gt;F191,D191-C191,IF(C191-D191&lt;0,0,C191-D191))))</f>
        <v/>
      </c>
      <c r="J191" s="28"/>
      <c r="K191" s="30" t="n">
        <f aca="false">IF(SUM(H191:J191)&lt;0.00068287037037037,0,SUM(H191:J191))</f>
        <v>0</v>
      </c>
      <c r="L191" s="28" t="n">
        <f aca="false">IF(OR(F191="Congé",F191="OFF",M191="Abs",F191="Congé sans solde",F191="Férié",F191="Congé spécial",D191="Congé spécial"),0,IF(F191-E191&lt;0,0,IF(F191-E191&lt;=0.00068287037037037,0,F191-E191)))</f>
        <v>0</v>
      </c>
      <c r="M191" s="31" t="n">
        <f aca="false">IF(AND(O191&lt;&gt;0,C191=""),"Abs",0)</f>
        <v>0</v>
      </c>
      <c r="N191" s="32" t="str">
        <f aca="false">IFERROR(IF(OR(D191="OFF",D191="Congé",M191="Abs",D191="Congé sans solde",D191="Férié"),"",IF(O191-K191-L191&gt;O191,O191,IF(O191-K191-L191&lt;0,"",O191-K191-L191))),"")</f>
        <v/>
      </c>
      <c r="O191" s="33" t="n">
        <f aca="false">IF(AG191="2H Pause déjeuner",IF(F191-D191-0.0833333333333333&lt;0,F191-D191-0.0833333333333333+1,F191-D191-0.0833333333333333),IF(OR(AND(F191="OFF",D191="OFF"),AND(F191="Congé",D191="Congé"),AND(F191="Congé sans solde",D191="Congé sans solde"),AND(F191="Congé spécial",D191="Congé spécial"),AND(F191="Férié",D191="Férié"),AND(F191="OFF",D191="Congé"),AND(F191="OFF",D191="Congé sans solde"),AND(F191="OFF",D191="Congé spécial"),AND(F191="OFF",D191="Férié"),AND(F191="Congé",D191="OFF"),AND(F191="Congé",D191="Congé sans solde"),AND(F191="Congé",D191="Congé spécial"),AND(F191="Congé",D191="Férié"),AND(F191="Congé sans solde",D191="OFF"),AND(F191="Congé sans solde",D191="Congé"),AND(F191="Congé sans solde",D191="Congé spécial"),AND(F191="Congé sans solde",D191="Férié"),AND(F191="Congé spécial",D191="OFF"),AND(F191="Congé spécial",D191="Congé"),AND(F191="Congé spécial",D191="Congé sans solde"),AND(F191="Congé spécial",D191="Férié"),AND(F191="Férié",D191="OFF"),AND(F191="Férié",D191="Congé"),AND(F191="Férié",D191="Congé sans solde"),AND(F191="Férié",D191="Congé spécial")),0,IF(OR(F191="OFF",F191="Congé",F191="Congé spécial",F191="Congé sans solde",D191="OFF",D191="Congé",D191="Congé spécial",D191="Congé sans solde"),0.208333333333334,IF(AND(AG191="",F191-D191&lt;0),("24:00:00"-D191)+("00:00:00"+F191)-0.0416666666666667,IF(AND(OR(AG191="Allaitement",AG191="Sans déjeuner"),F191-D191&lt;0),("24:00:00"-D191)+("00:00:00"+F191),IF(AND(AG191="",F191-D191&gt;0.166666666666667),F191-D191-0.0416666666666667,IF(AND(OR(AG191="Allaitement",AG191="Sans déjeuner"),F191-D191&gt;0.166666666666667),F191-D191,F191-D191)))))))</f>
        <v>0</v>
      </c>
      <c r="P191" s="34" t="str">
        <f aca="false">IFERROR(VLOOKUP($B191,Annuaire_roster!$B:$G,MATCH(P$1,Annuaire_roster!$B$1:$G$1,0),0),"-")</f>
        <v>Google Leads</v>
      </c>
      <c r="Q191" s="35" t="n">
        <v>44722</v>
      </c>
      <c r="R191" s="36" t="n">
        <f aca="false">IF(M191="Abs",O191,0)</f>
        <v>0</v>
      </c>
      <c r="S191" s="36" t="n">
        <f aca="false">SUM(R191,L191,I191,J191,W191,H191)</f>
        <v>0</v>
      </c>
      <c r="T191" s="1" t="str">
        <f aca="false">"Sem - "&amp;WEEKNUM(Q191,21)</f>
        <v>Sem - 24</v>
      </c>
      <c r="U191" s="1" t="str">
        <f aca="false">PROPER(TEXT(Q191,"mmmm"))</f>
        <v>June</v>
      </c>
      <c r="V191" s="37" t="str">
        <f aca="false">+TEXT(Q191,"aaa")</f>
        <v>Thu</v>
      </c>
      <c r="W191" s="32"/>
      <c r="X191" s="38" t="n">
        <f aca="false">IFERROR(IF(M191="Abs",0,IF((D191-C191+E191-F191)&lt;0.000694444444444444,0,(D191-C191+E191-F191))),0)</f>
        <v>0</v>
      </c>
      <c r="Y191" s="39" t="n">
        <f aca="false">IFERROR(VLOOKUP(B191,Annuaire_roster!B:E,4,0),"-")</f>
        <v>0</v>
      </c>
      <c r="Z191" s="39" t="str">
        <f aca="false">IFERROR(VLOOKUP(B191,Annuaire_roster!B:F,3,0),"-")</f>
        <v>Google Leads</v>
      </c>
      <c r="AA191" s="39" t="n">
        <f aca="false">IFERROR(VLOOKUP(B191,Annuaire_roster!B:I,6,0),"-")</f>
        <v>0</v>
      </c>
      <c r="AB191" s="40" t="str">
        <f aca="false">IF(AND(D191="Congé",F191="Congé"),0.333333333333333,IF(OR(AND(D191="Congé",F191&lt;&gt;"Congé"),(AND(F191="Congé",D191&lt;&gt;"Congé"))),0.166666666666667,""))</f>
        <v/>
      </c>
      <c r="AC191" s="40" t="str">
        <f aca="false">IF(AND(D191="Congé sans solde",F191="Congé sans solde"),0.333333333333333,IF(OR(AND(D191="Congé sans solde",F191&lt;&gt;"Congé sans solde"),(AND(F191="Congé sans solde",D191&lt;&gt;"Congé sans solde"))),0.166666666666667,""))</f>
        <v/>
      </c>
      <c r="AD191" s="40" t="str">
        <f aca="false">IF(AND(D191="Congé spécial",F191="Congé spécial"),0.333333333333333,IF(OR(AND(D191="Congé spécial",F191&lt;&gt;"Congé décès"),(AND(F191="Congé spécial",D191&lt;&gt;"Congé spécial"))),0.166666666666667,""))</f>
        <v/>
      </c>
      <c r="AE191" s="41" t="str">
        <f aca="false">IF(AND(D191="Férié",F191="Férié"),0.333333333333333,IF(OR(AND(D191="Férié",F191&lt;&gt;"Férié"),(AND(F191="Férié",D191&lt;&gt;"Férié"))),0.166666666666667,""))</f>
        <v/>
      </c>
      <c r="AF191" s="41"/>
      <c r="AG191" s="36"/>
    </row>
    <row r="192" customFormat="false" ht="12.75" hidden="false" customHeight="true" outlineLevel="0" collapsed="false">
      <c r="A192" s="22" t="n">
        <f aca="false">VLOOKUP(B192,Annuaire_roster!B:F,5,0)</f>
        <v>397</v>
      </c>
      <c r="B192" s="23" t="s">
        <v>56</v>
      </c>
      <c r="C192" s="24" t="str">
        <f aca="false">IFERROR(IF(COUNTIFS(Pointage_brut!$E:$E,VLOOKUP($B192,Annuaire_roster!$B:$J,9,0),Pointage_brut!$A:$A,TEXT($Q192,"yyyymmdd")*1)=0,"",MOD(_xlfn.MINIFS(Pointage_brut!$F:$F,Pointage_brut!$E:$E,VLOOKUP($B192,Annuaire_roster!$B:$J,9,0),Pointage_brut!$A:$A,TEXT($Q192,"yyyymmdd")*1),1)),"")</f>
        <v/>
      </c>
      <c r="D192" s="25" t="str">
        <f aca="false" t="array" ref="D192:D192">IFERROR(INDEX(Planning2[],MATCH(1,(Planning2[Nom]=B192)*(Planning2[Date]=Q192),0),3),"-")</f>
        <v>OFF</v>
      </c>
      <c r="E192" s="26" t="str">
        <f aca="false">IFERROR(IF(COUNTIFS(Pointage_brut!$E:$E,VLOOKUP($B192,Annuaire_roster!$B:$J,9,0),Pointage_brut!$A:$A,TEXT($Q192,"yyyymmdd")*1)=0,"",MOD(_xlfn.MAXIFS(Pointage_brut!$G:$G,Pointage_brut!$E:$E,VLOOKUP($B192,Annuaire_roster!$B:$J,9,0),Pointage_brut!$A:$A,TEXT($Q192,"yyyymmdd")*1),1)),"")</f>
        <v/>
      </c>
      <c r="F192" s="27" t="str">
        <f aca="false" t="array" ref="F192:F192">IFERROR(INDEX(Planning2[],MATCH(1,(Planning2[Nom]=B192)*(Planning2[Date]=Q192),0),4),"-")</f>
        <v>OFF</v>
      </c>
      <c r="G192" s="28"/>
      <c r="H192" s="28"/>
      <c r="I192" s="29" t="str">
        <f aca="false">IF(IF(OR(C192="",D192="Congé",D192="OFF",D192="Congé spécial"),"",IF(D192&gt;F192,D192-C192,IF(C192-D192&lt;0,0,C192-D192)))&lt;0.00068287037037037,"",IF(OR(D192="Congé",D192="OFF",C192="",D192="Congé spécial"),"",IF(D192&gt;F192,D192-C192,IF(C192-D192&lt;0,0,C192-D192))))</f>
        <v/>
      </c>
      <c r="J192" s="28"/>
      <c r="K192" s="30" t="n">
        <f aca="false">IF(SUM(H192:J192)&lt;0.00068287037037037,0,SUM(H192:J192))</f>
        <v>0</v>
      </c>
      <c r="L192" s="28" t="n">
        <f aca="false">IF(OR(F192="Congé",F192="OFF",M192="Abs",F192="Congé sans solde",F192="Férié",F192="Congé spécial",D192="Congé spécial"),0,IF(F192-E192&lt;0,0,IF(F192-E192&lt;=0.00068287037037037,0,F192-E192)))</f>
        <v>0</v>
      </c>
      <c r="M192" s="31" t="n">
        <f aca="false">IF(AND(O192&lt;&gt;0,C192=""),"Abs",0)</f>
        <v>0</v>
      </c>
      <c r="N192" s="32" t="str">
        <f aca="false">IFERROR(IF(OR(D192="OFF",D192="Congé",M192="Abs",D192="Congé sans solde",D192="Férié"),"",IF(O192-K192-L192&gt;O192,O192,IF(O192-K192-L192&lt;0,"",O192-K192-L192))),"")</f>
        <v/>
      </c>
      <c r="O192" s="33" t="n">
        <f aca="false">IF(AG192="2H Pause déjeuner",IF(F192-D192-0.0833333333333333&lt;0,F192-D192-0.0833333333333333+1,F192-D192-0.0833333333333333),IF(OR(AND(F192="OFF",D192="OFF"),AND(F192="Congé",D192="Congé"),AND(F192="Congé sans solde",D192="Congé sans solde"),AND(F192="Congé spécial",D192="Congé spécial"),AND(F192="Férié",D192="Férié"),AND(F192="OFF",D192="Congé"),AND(F192="OFF",D192="Congé sans solde"),AND(F192="OFF",D192="Congé spécial"),AND(F192="OFF",D192="Férié"),AND(F192="Congé",D192="OFF"),AND(F192="Congé",D192="Congé sans solde"),AND(F192="Congé",D192="Congé spécial"),AND(F192="Congé",D192="Férié"),AND(F192="Congé sans solde",D192="OFF"),AND(F192="Congé sans solde",D192="Congé"),AND(F192="Congé sans solde",D192="Congé spécial"),AND(F192="Congé sans solde",D192="Férié"),AND(F192="Congé spécial",D192="OFF"),AND(F192="Congé spécial",D192="Congé"),AND(F192="Congé spécial",D192="Congé sans solde"),AND(F192="Congé spécial",D192="Férié"),AND(F192="Férié",D192="OFF"),AND(F192="Férié",D192="Congé"),AND(F192="Férié",D192="Congé sans solde"),AND(F192="Férié",D192="Congé spécial")),0,IF(OR(F192="OFF",F192="Congé",F192="Congé spécial",F192="Congé sans solde",D192="OFF",D192="Congé",D192="Congé spécial",D192="Congé sans solde"),0.208333333333334,IF(AND(AG192="",F192-D192&lt;0),("24:00:00"-D192)+("00:00:00"+F192)-0.0416666666666667,IF(AND(OR(AG192="Allaitement",AG192="Sans déjeuner"),F192-D192&lt;0),("24:00:00"-D192)+("00:00:00"+F192),IF(AND(AG192="",F192-D192&gt;0.166666666666667),F192-D192-0.0416666666666667,IF(AND(OR(AG192="Allaitement",AG192="Sans déjeuner"),F192-D192&gt;0.166666666666667),F192-D192,F192-D192)))))))</f>
        <v>0</v>
      </c>
      <c r="P192" s="34" t="str">
        <f aca="false">IFERROR(VLOOKUP($B192,Annuaire_roster!$B:$G,MATCH(P$1,Annuaire_roster!$B$1:$G$1,0),0),"-")</f>
        <v>Google Leads</v>
      </c>
      <c r="Q192" s="35" t="n">
        <v>44722</v>
      </c>
      <c r="R192" s="36" t="n">
        <f aca="false">IF(M192="Abs",O192,0)</f>
        <v>0</v>
      </c>
      <c r="S192" s="36" t="n">
        <f aca="false">SUM(R192,L192,I192,J192,W192,H192)</f>
        <v>0</v>
      </c>
      <c r="T192" s="1" t="str">
        <f aca="false">"Sem - "&amp;WEEKNUM(Q192,21)</f>
        <v>Sem - 24</v>
      </c>
      <c r="U192" s="1" t="str">
        <f aca="false">PROPER(TEXT(Q192,"mmmm"))</f>
        <v>June</v>
      </c>
      <c r="V192" s="37" t="str">
        <f aca="false">+TEXT(Q192,"aaa")</f>
        <v>Thu</v>
      </c>
      <c r="W192" s="32"/>
      <c r="X192" s="38" t="n">
        <f aca="false">IFERROR(IF(M192="Abs",0,IF((D192-C192+E192-F192)&lt;0.000694444444444444,0,(D192-C192+E192-F192))),0)</f>
        <v>0</v>
      </c>
      <c r="Y192" s="39" t="str">
        <f aca="false">IFERROR(VLOOKUP(B192,Annuaire_roster!B:E,4,0),"-")</f>
        <v>OUAQERROUCH Nour-El Houda</v>
      </c>
      <c r="Z192" s="39" t="str">
        <f aca="false">IFERROR(VLOOKUP(B192,Annuaire_roster!B:F,3,0),"-")</f>
        <v>Google Leads</v>
      </c>
      <c r="AA192" s="39" t="str">
        <f aca="false">IFERROR(VLOOKUP(B192,Annuaire_roster!B:I,6,0),"-")</f>
        <v>Forfaitaire</v>
      </c>
      <c r="AB192" s="40" t="str">
        <f aca="false">IF(AND(D192="Congé",F192="Congé"),0.333333333333333,IF(OR(AND(D192="Congé",F192&lt;&gt;"Congé"),(AND(F192="Congé",D192&lt;&gt;"Congé"))),0.166666666666667,""))</f>
        <v/>
      </c>
      <c r="AC192" s="40" t="str">
        <f aca="false">IF(AND(D192="Congé sans solde",F192="Congé sans solde"),0.333333333333333,IF(OR(AND(D192="Congé sans solde",F192&lt;&gt;"Congé sans solde"),(AND(F192="Congé sans solde",D192&lt;&gt;"Congé sans solde"))),0.166666666666667,""))</f>
        <v/>
      </c>
      <c r="AD192" s="40" t="str">
        <f aca="false">IF(AND(D192="Congé spécial",F192="Congé spécial"),0.333333333333333,IF(OR(AND(D192="Congé spécial",F192&lt;&gt;"Congé décès"),(AND(F192="Congé spécial",D192&lt;&gt;"Congé spécial"))),0.166666666666667,""))</f>
        <v/>
      </c>
      <c r="AE192" s="41" t="str">
        <f aca="false">IF(AND(D192="Férié",F192="Férié"),0.333333333333333,IF(OR(AND(D192="Férié",F192&lt;&gt;"Férié"),(AND(F192="Férié",D192&lt;&gt;"Férié"))),0.166666666666667,""))</f>
        <v/>
      </c>
      <c r="AF192" s="41"/>
      <c r="AG192" s="36"/>
    </row>
    <row r="193" customFormat="false" ht="12.75" hidden="false" customHeight="true" outlineLevel="0" collapsed="false">
      <c r="A193" s="22" t="n">
        <f aca="false">VLOOKUP(B193,Annuaire_roster!B:F,5,0)</f>
        <v>0</v>
      </c>
      <c r="B193" s="23" t="s">
        <v>46</v>
      </c>
      <c r="C193" s="24" t="str">
        <f aca="false">IFERROR(IF(COUNTIFS(Pointage_brut!$E:$E,VLOOKUP($B193,Annuaire_roster!$B:$J,9,0),Pointage_brut!$A:$A,TEXT($Q193,"yyyymmdd")*1)=0,"",MOD(_xlfn.MINIFS(Pointage_brut!$F:$F,Pointage_brut!$E:$E,VLOOKUP($B193,Annuaire_roster!$B:$J,9,0),Pointage_brut!$A:$A,TEXT($Q193,"yyyymmdd")*1),1)),"")</f>
        <v/>
      </c>
      <c r="D193" s="25" t="str">
        <f aca="false" t="array" ref="D193:D193">IFERROR(INDEX(Planning2[],MATCH(1,(Planning2[Nom]=B193)*(Planning2[Date]=Q193),0),3),"-")</f>
        <v>OFF</v>
      </c>
      <c r="E193" s="26" t="str">
        <f aca="false">IFERROR(IF(COUNTIFS(Pointage_brut!$E:$E,VLOOKUP($B193,Annuaire_roster!$B:$J,9,0),Pointage_brut!$A:$A,TEXT($Q193,"yyyymmdd")*1)=0,"",MOD(_xlfn.MAXIFS(Pointage_brut!$G:$G,Pointage_brut!$E:$E,VLOOKUP($B193,Annuaire_roster!$B:$J,9,0),Pointage_brut!$A:$A,TEXT($Q193,"yyyymmdd")*1),1)),"")</f>
        <v/>
      </c>
      <c r="F193" s="27" t="str">
        <f aca="false" t="array" ref="F193:F193">IFERROR(INDEX(Planning2[],MATCH(1,(Planning2[Nom]=B193)*(Planning2[Date]=Q193),0),4),"-")</f>
        <v>OFF</v>
      </c>
      <c r="G193" s="28"/>
      <c r="H193" s="28"/>
      <c r="I193" s="29" t="str">
        <f aca="false">IF(IF(OR(C193="",D193="Congé",D193="OFF",D193="Congé spécial"),"",IF(D193&gt;F193,D193-C193,IF(C193-D193&lt;0,0,C193-D193)))&lt;0.00068287037037037,"",IF(OR(D193="Congé",D193="OFF",C193="",D193="Congé spécial"),"",IF(D193&gt;F193,D193-C193,IF(C193-D193&lt;0,0,C193-D193))))</f>
        <v/>
      </c>
      <c r="J193" s="28"/>
      <c r="K193" s="30" t="n">
        <f aca="false">IF(SUM(H193:J193)&lt;0.00068287037037037,0,SUM(H193:J193))</f>
        <v>0</v>
      </c>
      <c r="L193" s="28" t="n">
        <f aca="false">IF(OR(F193="Congé",F193="OFF",M193="Abs",F193="Congé sans solde",F193="Férié",F193="Congé spécial",D193="Congé spécial"),0,IF(F193-E193&lt;0,0,IF(F193-E193&lt;=0.00068287037037037,0,F193-E193)))</f>
        <v>0</v>
      </c>
      <c r="M193" s="31" t="n">
        <f aca="false">IF(AND(O193&lt;&gt;0,C193=""),"Abs",0)</f>
        <v>0</v>
      </c>
      <c r="N193" s="32" t="str">
        <f aca="false">IFERROR(IF(OR(D193="OFF",D193="Congé",M193="Abs",D193="Congé sans solde",D193="Férié"),"",IF(O193-K193-L193&gt;O193,O193,IF(O193-K193-L193&lt;0,"",O193-K193-L193))),"")</f>
        <v/>
      </c>
      <c r="O193" s="33" t="n">
        <f aca="false">IF(AG193="2H Pause déjeuner",IF(F193-D193-0.0833333333333333&lt;0,F193-D193-0.0833333333333333+1,F193-D193-0.0833333333333333),IF(OR(AND(F193="OFF",D193="OFF"),AND(F193="Congé",D193="Congé"),AND(F193="Congé sans solde",D193="Congé sans solde"),AND(F193="Congé spécial",D193="Congé spécial"),AND(F193="Férié",D193="Férié"),AND(F193="OFF",D193="Congé"),AND(F193="OFF",D193="Congé sans solde"),AND(F193="OFF",D193="Congé spécial"),AND(F193="OFF",D193="Férié"),AND(F193="Congé",D193="OFF"),AND(F193="Congé",D193="Congé sans solde"),AND(F193="Congé",D193="Congé spécial"),AND(F193="Congé",D193="Férié"),AND(F193="Congé sans solde",D193="OFF"),AND(F193="Congé sans solde",D193="Congé"),AND(F193="Congé sans solde",D193="Congé spécial"),AND(F193="Congé sans solde",D193="Férié"),AND(F193="Congé spécial",D193="OFF"),AND(F193="Congé spécial",D193="Congé"),AND(F193="Congé spécial",D193="Congé sans solde"),AND(F193="Congé spécial",D193="Férié"),AND(F193="Férié",D193="OFF"),AND(F193="Férié",D193="Congé"),AND(F193="Férié",D193="Congé sans solde"),AND(F193="Férié",D193="Congé spécial")),0,IF(OR(F193="OFF",F193="Congé",F193="Congé spécial",F193="Congé sans solde",D193="OFF",D193="Congé",D193="Congé spécial",D193="Congé sans solde"),0.208333333333334,IF(AND(AG193="",F193-D193&lt;0),("24:00:00"-D193)+("00:00:00"+F193)-0.0416666666666667,IF(AND(OR(AG193="Allaitement",AG193="Sans déjeuner"),F193-D193&lt;0),("24:00:00"-D193)+("00:00:00"+F193),IF(AND(AG193="",F193-D193&gt;0.166666666666667),F193-D193-0.0416666666666667,IF(AND(OR(AG193="Allaitement",AG193="Sans déjeuner"),F193-D193&gt;0.166666666666667),F193-D193,F193-D193)))))))</f>
        <v>0</v>
      </c>
      <c r="P193" s="34" t="str">
        <f aca="false">IFERROR(VLOOKUP($B193,Annuaire_roster!$B:$G,MATCH(P$1,Annuaire_roster!$B$1:$G$1,0),0),"-")</f>
        <v>Google Leads</v>
      </c>
      <c r="Q193" s="35" t="n">
        <v>44722</v>
      </c>
      <c r="R193" s="36" t="n">
        <f aca="false">IF(M193="Abs",O193,0)</f>
        <v>0</v>
      </c>
      <c r="S193" s="36" t="n">
        <f aca="false">SUM(R193,L193,I193,J193,W193,H193)</f>
        <v>0</v>
      </c>
      <c r="T193" s="1" t="str">
        <f aca="false">"Sem - "&amp;WEEKNUM(Q193,21)</f>
        <v>Sem - 24</v>
      </c>
      <c r="U193" s="1" t="str">
        <f aca="false">PROPER(TEXT(Q193,"mmmm"))</f>
        <v>June</v>
      </c>
      <c r="V193" s="37" t="str">
        <f aca="false">+TEXT(Q193,"aaa")</f>
        <v>Thu</v>
      </c>
      <c r="W193" s="32"/>
      <c r="X193" s="38" t="n">
        <f aca="false">IFERROR(IF(M193="Abs",0,IF((D193-C193+E193-F193)&lt;0.000694444444444444,0,(D193-C193+E193-F193))),0)</f>
        <v>0</v>
      </c>
      <c r="Y193" s="39" t="n">
        <f aca="false">IFERROR(VLOOKUP(B193,Annuaire_roster!B:E,4,0),"-")</f>
        <v>0</v>
      </c>
      <c r="Z193" s="39" t="str">
        <f aca="false">IFERROR(VLOOKUP(B193,Annuaire_roster!B:F,3,0),"-")</f>
        <v>Google Leads</v>
      </c>
      <c r="AA193" s="39" t="n">
        <f aca="false">IFERROR(VLOOKUP(B193,Annuaire_roster!B:I,6,0),"-")</f>
        <v>0</v>
      </c>
      <c r="AB193" s="40" t="str">
        <f aca="false">IF(AND(D193="Congé",F193="Congé"),0.333333333333333,IF(OR(AND(D193="Congé",F193&lt;&gt;"Congé"),(AND(F193="Congé",D193&lt;&gt;"Congé"))),0.166666666666667,""))</f>
        <v/>
      </c>
      <c r="AC193" s="40" t="str">
        <f aca="false">IF(AND(D193="Congé sans solde",F193="Congé sans solde"),0.333333333333333,IF(OR(AND(D193="Congé sans solde",F193&lt;&gt;"Congé sans solde"),(AND(F193="Congé sans solde",D193&lt;&gt;"Congé sans solde"))),0.166666666666667,""))</f>
        <v/>
      </c>
      <c r="AD193" s="40" t="str">
        <f aca="false">IF(AND(D193="Congé spécial",F193="Congé spécial"),0.333333333333333,IF(OR(AND(D193="Congé spécial",F193&lt;&gt;"Congé décès"),(AND(F193="Congé spécial",D193&lt;&gt;"Congé spécial"))),0.166666666666667,""))</f>
        <v/>
      </c>
      <c r="AE193" s="41" t="str">
        <f aca="false">IF(AND(D193="Férié",F193="Férié"),0.333333333333333,IF(OR(AND(D193="Férié",F193&lt;&gt;"Férié"),(AND(F193="Férié",D193&lt;&gt;"Férié"))),0.166666666666667,""))</f>
        <v/>
      </c>
      <c r="AF193" s="41"/>
      <c r="AG193" s="36"/>
    </row>
    <row r="194" customFormat="false" ht="12.75" hidden="true" customHeight="true" outlineLevel="0" collapsed="false">
      <c r="A194" s="22" t="n">
        <f aca="false">VLOOKUP(B194,Annuaire_roster!B:F,5,0)</f>
        <v>364</v>
      </c>
      <c r="B194" s="23" t="s">
        <v>43</v>
      </c>
      <c r="C194" s="24" t="str">
        <f aca="false">IFERROR(IF(COUNTIFS(Pointage_brut!$E:$E,VLOOKUP($B194,Annuaire_roster!$B:$J,9,0),Pointage_brut!$A:$A,TEXT($Q194,"yyyymmdd")*1)=0,"",MOD(_xlfn.MINIFS(Pointage_brut!$F:$F,Pointage_brut!$E:$E,VLOOKUP($B194,Annuaire_roster!$B:$J,9,0),Pointage_brut!$A:$A,TEXT($Q194,"yyyymmdd")*1),1)),"")</f>
        <v/>
      </c>
      <c r="D194" s="25" t="n">
        <f aca="false" t="array" ref="D194:D194">IFERROR(INDEX(Planning2[],MATCH(1,(Planning2[Nom]=B194)*(Planning2[Date]=Q194),0),3),"-")</f>
        <v>0.416666666666667</v>
      </c>
      <c r="E194" s="26" t="str">
        <f aca="false">IFERROR(IF(COUNTIFS(Pointage_brut!$E:$E,VLOOKUP($B194,Annuaire_roster!$B:$J,9,0),Pointage_brut!$A:$A,TEXT($Q194,"yyyymmdd")*1)=0,"",MOD(_xlfn.MAXIFS(Pointage_brut!$G:$G,Pointage_brut!$E:$E,VLOOKUP($B194,Annuaire_roster!$B:$J,9,0),Pointage_brut!$A:$A,TEXT($Q194,"yyyymmdd")*1),1)),"")</f>
        <v/>
      </c>
      <c r="F194" s="27" t="n">
        <f aca="false" t="array" ref="F194:F194">IFERROR(INDEX(Planning2[],MATCH(1,(Planning2[Nom]=B194)*(Planning2[Date]=Q194),0),4),"-")</f>
        <v>0.833333333333333</v>
      </c>
      <c r="G194" s="28"/>
      <c r="H194" s="28"/>
      <c r="I194" s="29" t="str">
        <f aca="false">IF(IF(OR(C194="",D194="Congé",D194="OFF",D194="Congé spécial"),"",IF(D194&gt;F194,D194-C194,IF(C194-D194&lt;0,0,C194-D194)))&lt;0.00068287037037037,"",IF(OR(D194="Congé",D194="OFF",C194="",D194="Congé spécial"),"",IF(D194&gt;F194,D194-C194,IF(C194-D194&lt;0,0,C194-D194))))</f>
        <v/>
      </c>
      <c r="J194" s="28"/>
      <c r="K194" s="30" t="n">
        <f aca="false">IF(SUM(H194:J194)&lt;0.00068287037037037,0,SUM(H194:J194))</f>
        <v>0</v>
      </c>
      <c r="L194" s="28" t="n">
        <f aca="false">IF(OR(F194="Congé",F194="OFF",M194="Abs",F194="Congé sans solde",F194="Férié",F194="Congé spécial",D194="Congé spécial"),0,IF(F194-E194&lt;0,0,IF(F194-E194&lt;=0.00068287037037037,0,F194-E194)))</f>
        <v>0</v>
      </c>
      <c r="M194" s="31" t="str">
        <f aca="false">IF(AND(O194&lt;&gt;0,C194=""),"Abs",0)</f>
        <v>Abs</v>
      </c>
      <c r="N194" s="32" t="str">
        <f aca="false">IFERROR(IF(OR(D194="OFF",D194="Congé",M194="Abs",D194="Congé sans solde",D194="Férié"),"",IF(O194-K194-L194&gt;O194,O194,IF(O194-K194-L194&lt;0,"",O194-K194-L194))),"")</f>
        <v/>
      </c>
      <c r="O194" s="33" t="n">
        <f aca="false">IF(AG194="2H Pause déjeuner",IF(F194-D194-0.0833333333333333&lt;0,F194-D194-0.0833333333333333+1,F194-D194-0.0833333333333333),IF(OR(AND(F194="OFF",D194="OFF"),AND(F194="Congé",D194="Congé"),AND(F194="Congé sans solde",D194="Congé sans solde"),AND(F194="Congé spécial",D194="Congé spécial"),AND(F194="Férié",D194="Férié"),AND(F194="OFF",D194="Congé"),AND(F194="OFF",D194="Congé sans solde"),AND(F194="OFF",D194="Congé spécial"),AND(F194="OFF",D194="Férié"),AND(F194="Congé",D194="OFF"),AND(F194="Congé",D194="Congé sans solde"),AND(F194="Congé",D194="Congé spécial"),AND(F194="Congé",D194="Férié"),AND(F194="Congé sans solde",D194="OFF"),AND(F194="Congé sans solde",D194="Congé"),AND(F194="Congé sans solde",D194="Congé spécial"),AND(F194="Congé sans solde",D194="Férié"),AND(F194="Congé spécial",D194="OFF"),AND(F194="Congé spécial",D194="Congé"),AND(F194="Congé spécial",D194="Congé sans solde"),AND(F194="Congé spécial",D194="Férié"),AND(F194="Férié",D194="OFF"),AND(F194="Férié",D194="Congé"),AND(F194="Férié",D194="Congé sans solde"),AND(F194="Férié",D194="Congé spécial")),0,IF(OR(F194="OFF",F194="Congé",F194="Congé spécial",F194="Congé sans solde",D194="OFF",D194="Congé",D194="Congé spécial",D194="Congé sans solde"),0.208333333333334,IF(AND(AG194="",F194-D194&lt;0),("24:00:00"-D194)+("00:00:00"+F194)-0.0416666666666667,IF(AND(OR(AG194="Allaitement",AG194="Sans déjeuner"),F194-D194&lt;0),("24:00:00"-D194)+("00:00:00"+F194),IF(AND(AG194="",F194-D194&gt;0.166666666666667),F194-D194-0.0416666666666667,IF(AND(OR(AG194="Allaitement",AG194="Sans déjeuner"),F194-D194&gt;0.166666666666667),F194-D194,F194-D194)))))))</f>
        <v>0.375</v>
      </c>
      <c r="P194" s="34" t="str">
        <f aca="false">IFERROR(VLOOKUP($B194,Annuaire_roster!$B:$G,MATCH(P$1,Annuaire_roster!$B$1:$G$1,0),0),"-")</f>
        <v>Google Leads</v>
      </c>
      <c r="Q194" s="35" t="n">
        <v>44723</v>
      </c>
      <c r="R194" s="36" t="n">
        <f aca="false">IF(M194="Abs",O194,0)</f>
        <v>0.375</v>
      </c>
      <c r="S194" s="36" t="n">
        <f aca="false">SUM(R194,L194,I194,J194,W194,H194)</f>
        <v>0.375</v>
      </c>
      <c r="T194" s="1" t="str">
        <f aca="false">"Sem - "&amp;WEEKNUM(Q194,21)</f>
        <v>Sem - 24</v>
      </c>
      <c r="U194" s="1" t="str">
        <f aca="false">PROPER(TEXT(Q194,"mmmm"))</f>
        <v>June</v>
      </c>
      <c r="V194" s="37" t="str">
        <f aca="false">+TEXT(Q194,"aaa")</f>
        <v>Fri</v>
      </c>
      <c r="W194" s="32"/>
      <c r="X194" s="38" t="n">
        <f aca="false">IFERROR(IF(M194="Abs",0,IF((D194-C194+E194-F194)&lt;0.000694444444444444,0,(D194-C194+E194-F194))),0)</f>
        <v>0</v>
      </c>
      <c r="Y194" s="39" t="str">
        <f aca="false">IFERROR(VLOOKUP(B194,Annuaire_roster!B:E,4,0),"-")</f>
        <v>OUAQERROUCH Nour-El Houda</v>
      </c>
      <c r="Z194" s="39" t="str">
        <f aca="false">IFERROR(VLOOKUP(B194,Annuaire_roster!B:F,3,0),"-")</f>
        <v>Google Leads</v>
      </c>
      <c r="AA194" s="39" t="str">
        <f aca="false">IFERROR(VLOOKUP(B194,Annuaire_roster!B:I,6,0),"-")</f>
        <v>Forfaitaire</v>
      </c>
      <c r="AB194" s="40" t="str">
        <f aca="false">IF(AND(D194="Congé",F194="Congé"),0.333333333333333,IF(OR(AND(D194="Congé",F194&lt;&gt;"Congé"),(AND(F194="Congé",D194&lt;&gt;"Congé"))),0.166666666666667,""))</f>
        <v/>
      </c>
      <c r="AC194" s="40" t="str">
        <f aca="false">IF(AND(D194="Congé sans solde",F194="Congé sans solde"),0.333333333333333,IF(OR(AND(D194="Congé sans solde",F194&lt;&gt;"Congé sans solde"),(AND(F194="Congé sans solde",D194&lt;&gt;"Congé sans solde"))),0.166666666666667,""))</f>
        <v/>
      </c>
      <c r="AD194" s="40" t="str">
        <f aca="false">IF(AND(D194="Congé spécial",F194="Congé spécial"),0.333333333333333,IF(OR(AND(D194="Congé spécial",F194&lt;&gt;"Congé décès"),(AND(F194="Congé spécial",D194&lt;&gt;"Congé spécial"))),0.166666666666667,""))</f>
        <v/>
      </c>
      <c r="AE194" s="41" t="str">
        <f aca="false">IF(AND(D194="Férié",F194="Férié"),0.333333333333333,IF(OR(AND(D194="Férié",F194&lt;&gt;"Férié"),(AND(F194="Férié",D194&lt;&gt;"Férié"))),0.166666666666667,""))</f>
        <v/>
      </c>
      <c r="AF194" s="41"/>
      <c r="AG194" s="36"/>
    </row>
    <row r="195" customFormat="false" ht="12.75" hidden="true" customHeight="true" outlineLevel="0" collapsed="false">
      <c r="A195" s="22" t="n">
        <f aca="false">VLOOKUP(B195,Annuaire_roster!B:F,5,0)</f>
        <v>894</v>
      </c>
      <c r="B195" s="23" t="s">
        <v>57</v>
      </c>
      <c r="C195" s="24" t="str">
        <f aca="false">IFERROR(IF(COUNTIFS(Pointage_brut!$E:$E,VLOOKUP($B195,Annuaire_roster!$B:$J,9,0),Pointage_brut!$A:$A,TEXT($Q195,"yyyymmdd")*1)=0,"",MOD(_xlfn.MINIFS(Pointage_brut!$F:$F,Pointage_brut!$E:$E,VLOOKUP($B195,Annuaire_roster!$B:$J,9,0),Pointage_brut!$A:$A,TEXT($Q195,"yyyymmdd")*1),1)),"")</f>
        <v/>
      </c>
      <c r="D195" s="25" t="str">
        <f aca="false" t="array" ref="D195:D195">IFERROR(INDEX(Planning2[],MATCH(1,(Planning2[Nom]=B195)*(Planning2[Date]=Q195),0),3),"-")</f>
        <v>Missionnée</v>
      </c>
      <c r="E195" s="26" t="str">
        <f aca="false">IFERROR(IF(COUNTIFS(Pointage_brut!$E:$E,VLOOKUP($B195,Annuaire_roster!$B:$J,9,0),Pointage_brut!$A:$A,TEXT($Q195,"yyyymmdd")*1)=0,"",MOD(_xlfn.MAXIFS(Pointage_brut!$G:$G,Pointage_brut!$E:$E,VLOOKUP($B195,Annuaire_roster!$B:$J,9,0),Pointage_brut!$A:$A,TEXT($Q195,"yyyymmdd")*1),1)),"")</f>
        <v/>
      </c>
      <c r="F195" s="27" t="str">
        <f aca="false" t="array" ref="F195:F195">IFERROR(INDEX(Planning2[],MATCH(1,(Planning2[Nom]=B195)*(Planning2[Date]=Q195),0),4),"-")</f>
        <v>Missionnée</v>
      </c>
      <c r="G195" s="28"/>
      <c r="H195" s="28"/>
      <c r="I195" s="29" t="str">
        <f aca="false">IF(IF(OR(C195="",D195="Congé",D195="OFF",D195="Congé spécial"),"",IF(D195&gt;F195,D195-C195,IF(C195-D195&lt;0,0,C195-D195)))&lt;0.00068287037037037,"",IF(OR(D195="Congé",D195="OFF",C195="",D195="Congé spécial"),"",IF(D195&gt;F195,D195-C195,IF(C195-D195&lt;0,0,C195-D195))))</f>
        <v/>
      </c>
      <c r="J195" s="28"/>
      <c r="K195" s="30" t="n">
        <f aca="false">IF(SUM(H195:J195)&lt;0.00068287037037037,0,SUM(H195:J195))</f>
        <v>0</v>
      </c>
      <c r="L195" s="28" t="e">
        <f aca="false">IF(OR(F195="Congé",F195="OFF",M195="Abs",F195="Congé sans solde",F195="Férié",F195="Congé spécial",D195="Congé spécial"),0,IF(F195-E195&lt;0,0,IF(F195-E195&lt;=0.00068287037037037,0,F195-E195)))</f>
        <v>#VALUE!</v>
      </c>
      <c r="M195" s="31" t="e">
        <f aca="false">IF(AND(O195&lt;&gt;0,C195=""),"Abs",0)</f>
        <v>#VALUE!</v>
      </c>
      <c r="N195" s="32" t="str">
        <f aca="false">IFERROR(IF(OR(D195="OFF",D195="Congé",M195="Abs",D195="Congé sans solde",D195="Férié"),"",IF(O195-K195-L195&gt;O195,O195,IF(O195-K195-L195&lt;0,"",O195-K195-L195))),"")</f>
        <v/>
      </c>
      <c r="O195" s="33" t="e">
        <f aca="false">IF(AG195="2H Pause déjeuner",IF(F195-D195-0.0833333333333333&lt;0,F195-D195-0.0833333333333333+1,F195-D195-0.0833333333333333),IF(OR(AND(F195="OFF",D195="OFF"),AND(F195="Congé",D195="Congé"),AND(F195="Congé sans solde",D195="Congé sans solde"),AND(F195="Congé spécial",D195="Congé spécial"),AND(F195="Férié",D195="Férié"),AND(F195="OFF",D195="Congé"),AND(F195="OFF",D195="Congé sans solde"),AND(F195="OFF",D195="Congé spécial"),AND(F195="OFF",D195="Férié"),AND(F195="Congé",D195="OFF"),AND(F195="Congé",D195="Congé sans solde"),AND(F195="Congé",D195="Congé spécial"),AND(F195="Congé",D195="Férié"),AND(F195="Congé sans solde",D195="OFF"),AND(F195="Congé sans solde",D195="Congé"),AND(F195="Congé sans solde",D195="Congé spécial"),AND(F195="Congé sans solde",D195="Férié"),AND(F195="Congé spécial",D195="OFF"),AND(F195="Congé spécial",D195="Congé"),AND(F195="Congé spécial",D195="Congé sans solde"),AND(F195="Congé spécial",D195="Férié"),AND(F195="Férié",D195="OFF"),AND(F195="Férié",D195="Congé"),AND(F195="Férié",D195="Congé sans solde"),AND(F195="Férié",D195="Congé spécial")),0,IF(OR(F195="OFF",F195="Congé",F195="Congé spécial",F195="Congé sans solde",D195="OFF",D195="Congé",D195="Congé spécial",D195="Congé sans solde"),0.208333333333334,IF(AND(AG195="",F195-D195&lt;0),("24:00:00"-D195)+("00:00:00"+F195)-0.0416666666666667,IF(AND(OR(AG195="Allaitement",AG195="Sans déjeuner"),F195-D195&lt;0),("24:00:00"-D195)+("00:00:00"+F195),IF(AND(AG195="",F195-D195&gt;0.166666666666667),F195-D195-0.0416666666666667,IF(AND(OR(AG195="Allaitement",AG195="Sans déjeuner"),F195-D195&gt;0.166666666666667),F195-D195,F195-D195)))))))</f>
        <v>#VALUE!</v>
      </c>
      <c r="P195" s="34" t="str">
        <f aca="false">IFERROR(VLOOKUP($B195,Annuaire_roster!$B:$G,MATCH(P$1,Annuaire_roster!$B$1:$G$1,0),0),"-")</f>
        <v>Google Leads</v>
      </c>
      <c r="Q195" s="35" t="n">
        <v>44723</v>
      </c>
      <c r="R195" s="36" t="e">
        <f aca="false">IF(M195="Abs",O195,0)</f>
        <v>#VALUE!</v>
      </c>
      <c r="S195" s="36" t="e">
        <f aca="false">SUM(R195,L195,I195,J195,W195,H195)</f>
        <v>#VALUE!</v>
      </c>
      <c r="T195" s="1" t="str">
        <f aca="false">"Sem - "&amp;WEEKNUM(Q195,21)</f>
        <v>Sem - 24</v>
      </c>
      <c r="U195" s="1" t="str">
        <f aca="false">PROPER(TEXT(Q195,"mmmm"))</f>
        <v>June</v>
      </c>
      <c r="V195" s="37" t="str">
        <f aca="false">+TEXT(Q195,"aaa")</f>
        <v>Fri</v>
      </c>
      <c r="W195" s="32"/>
      <c r="X195" s="38" t="n">
        <f aca="false">IFERROR(IF(M195="Abs",0,IF((D195-C195+E195-F195)&lt;0.000694444444444444,0,(D195-C195+E195-F195))),0)</f>
        <v>0</v>
      </c>
      <c r="Y195" s="39" t="str">
        <f aca="false">IFERROR(VLOOKUP(B195,Annuaire_roster!B:E,4,0),"-")</f>
        <v>OUAQERROUCH Nour-El Houda</v>
      </c>
      <c r="Z195" s="39" t="str">
        <f aca="false">IFERROR(VLOOKUP(B195,Annuaire_roster!B:F,3,0),"-")</f>
        <v>Google Leads</v>
      </c>
      <c r="AA195" s="39" t="str">
        <f aca="false">IFERROR(VLOOKUP(B195,Annuaire_roster!B:I,6,0),"-")</f>
        <v>Forfaitaire</v>
      </c>
      <c r="AB195" s="40" t="str">
        <f aca="false">IF(AND(D195="Congé",F195="Congé"),0.333333333333333,IF(OR(AND(D195="Congé",F195&lt;&gt;"Congé"),(AND(F195="Congé",D195&lt;&gt;"Congé"))),0.166666666666667,""))</f>
        <v/>
      </c>
      <c r="AC195" s="40" t="str">
        <f aca="false">IF(AND(D195="Congé sans solde",F195="Congé sans solde"),0.333333333333333,IF(OR(AND(D195="Congé sans solde",F195&lt;&gt;"Congé sans solde"),(AND(F195="Congé sans solde",D195&lt;&gt;"Congé sans solde"))),0.166666666666667,""))</f>
        <v/>
      </c>
      <c r="AD195" s="40" t="str">
        <f aca="false">IF(AND(D195="Congé spécial",F195="Congé spécial"),0.333333333333333,IF(OR(AND(D195="Congé spécial",F195&lt;&gt;"Congé décès"),(AND(F195="Congé spécial",D195&lt;&gt;"Congé spécial"))),0.166666666666667,""))</f>
        <v/>
      </c>
      <c r="AE195" s="41" t="str">
        <f aca="false">IF(AND(D195="Férié",F195="Férié"),0.333333333333333,IF(OR(AND(D195="Férié",F195&lt;&gt;"Férié"),(AND(F195="Férié",D195&lt;&gt;"Férié"))),0.166666666666667,""))</f>
        <v/>
      </c>
      <c r="AF195" s="41"/>
      <c r="AG195" s="36"/>
    </row>
    <row r="196" customFormat="false" ht="12.75" hidden="true" customHeight="true" outlineLevel="0" collapsed="false">
      <c r="A196" s="22" t="n">
        <f aca="false">VLOOKUP(B196,Annuaire_roster!B:F,5,0)</f>
        <v>669</v>
      </c>
      <c r="B196" s="23" t="s">
        <v>38</v>
      </c>
      <c r="C196" s="24" t="str">
        <f aca="false">IFERROR(IF(COUNTIFS(Pointage_brut!$E:$E,VLOOKUP($B196,Annuaire_roster!$B:$J,9,0),Pointage_brut!$A:$A,TEXT($Q196,"yyyymmdd")*1)=0,"",MOD(_xlfn.MINIFS(Pointage_brut!$F:$F,Pointage_brut!$E:$E,VLOOKUP($B196,Annuaire_roster!$B:$J,9,0),Pointage_brut!$A:$A,TEXT($Q196,"yyyymmdd")*1),1)),"")</f>
        <v/>
      </c>
      <c r="D196" s="25" t="str">
        <f aca="false" t="array" ref="D196:D196">IFERROR(INDEX(Planning2[],MATCH(1,(Planning2[Nom]=B196)*(Planning2[Date]=Q196),0),3),"-")</f>
        <v>OFF</v>
      </c>
      <c r="E196" s="26" t="str">
        <f aca="false">IFERROR(IF(COUNTIFS(Pointage_brut!$E:$E,VLOOKUP($B196,Annuaire_roster!$B:$J,9,0),Pointage_brut!$A:$A,TEXT($Q196,"yyyymmdd")*1)=0,"",MOD(_xlfn.MAXIFS(Pointage_brut!$G:$G,Pointage_brut!$E:$E,VLOOKUP($B196,Annuaire_roster!$B:$J,9,0),Pointage_brut!$A:$A,TEXT($Q196,"yyyymmdd")*1),1)),"")</f>
        <v/>
      </c>
      <c r="F196" s="27" t="str">
        <f aca="false" t="array" ref="F196:F196">IFERROR(INDEX(Planning2[],MATCH(1,(Planning2[Nom]=B196)*(Planning2[Date]=Q196),0),4),"-")</f>
        <v>OFF</v>
      </c>
      <c r="G196" s="28"/>
      <c r="H196" s="28"/>
      <c r="I196" s="29" t="str">
        <f aca="false">IF(IF(OR(C196="",D196="Congé",D196="OFF",D196="Congé spécial"),"",IF(D196&gt;F196,D196-C196,IF(C196-D196&lt;0,0,C196-D196)))&lt;0.00068287037037037,"",IF(OR(D196="Congé",D196="OFF",C196="",D196="Congé spécial"),"",IF(D196&gt;F196,D196-C196,IF(C196-D196&lt;0,0,C196-D196))))</f>
        <v/>
      </c>
      <c r="J196" s="28"/>
      <c r="K196" s="30" t="n">
        <f aca="false">IF(SUM(H196:J196)&lt;0.00068287037037037,0,SUM(H196:J196))</f>
        <v>0</v>
      </c>
      <c r="L196" s="28" t="n">
        <f aca="false">IF(OR(F196="Congé",F196="OFF",M196="Abs",F196="Congé sans solde",F196="Férié",F196="Congé spécial",D196="Congé spécial"),0,IF(F196-E196&lt;0,0,IF(F196-E196&lt;=0.00068287037037037,0,F196-E196)))</f>
        <v>0</v>
      </c>
      <c r="M196" s="31" t="n">
        <f aca="false">IF(AND(O196&lt;&gt;0,C196=""),"Abs",0)</f>
        <v>0</v>
      </c>
      <c r="N196" s="32" t="str">
        <f aca="false">IFERROR(IF(OR(D196="OFF",D196="Congé",M196="Abs",D196="Congé sans solde",D196="Férié"),"",IF(O196-K196-L196&gt;O196,O196,IF(O196-K196-L196&lt;0,"",O196-K196-L196))),"")</f>
        <v/>
      </c>
      <c r="O196" s="33" t="n">
        <f aca="false">IF(AG196="2H Pause déjeuner",IF(F196-D196-0.0833333333333333&lt;0,F196-D196-0.0833333333333333+1,F196-D196-0.0833333333333333),IF(OR(AND(F196="OFF",D196="OFF"),AND(F196="Congé",D196="Congé"),AND(F196="Congé sans solde",D196="Congé sans solde"),AND(F196="Congé spécial",D196="Congé spécial"),AND(F196="Férié",D196="Férié"),AND(F196="OFF",D196="Congé"),AND(F196="OFF",D196="Congé sans solde"),AND(F196="OFF",D196="Congé spécial"),AND(F196="OFF",D196="Férié"),AND(F196="Congé",D196="OFF"),AND(F196="Congé",D196="Congé sans solde"),AND(F196="Congé",D196="Congé spécial"),AND(F196="Congé",D196="Férié"),AND(F196="Congé sans solde",D196="OFF"),AND(F196="Congé sans solde",D196="Congé"),AND(F196="Congé sans solde",D196="Congé spécial"),AND(F196="Congé sans solde",D196="Férié"),AND(F196="Congé spécial",D196="OFF"),AND(F196="Congé spécial",D196="Congé"),AND(F196="Congé spécial",D196="Congé sans solde"),AND(F196="Congé spécial",D196="Férié"),AND(F196="Férié",D196="OFF"),AND(F196="Férié",D196="Congé"),AND(F196="Férié",D196="Congé sans solde"),AND(F196="Férié",D196="Congé spécial")),0,IF(OR(F196="OFF",F196="Congé",F196="Congé spécial",F196="Congé sans solde",D196="OFF",D196="Congé",D196="Congé spécial",D196="Congé sans solde"),0.208333333333334,IF(AND(AG196="",F196-D196&lt;0),("24:00:00"-D196)+("00:00:00"+F196)-0.0416666666666667,IF(AND(OR(AG196="Allaitement",AG196="Sans déjeuner"),F196-D196&lt;0),("24:00:00"-D196)+("00:00:00"+F196),IF(AND(AG196="",F196-D196&gt;0.166666666666667),F196-D196-0.0416666666666667,IF(AND(OR(AG196="Allaitement",AG196="Sans déjeuner"),F196-D196&gt;0.166666666666667),F196-D196,F196-D196)))))))</f>
        <v>0</v>
      </c>
      <c r="P196" s="34" t="str">
        <f aca="false">IFERROR(VLOOKUP($B196,Annuaire_roster!$B:$G,MATCH(P$1,Annuaire_roster!$B$1:$G$1,0),0),"-")</f>
        <v>Google Leads</v>
      </c>
      <c r="Q196" s="35" t="n">
        <v>44723</v>
      </c>
      <c r="R196" s="36" t="n">
        <f aca="false">IF(M196="Abs",O196,0)</f>
        <v>0</v>
      </c>
      <c r="S196" s="36" t="n">
        <f aca="false">SUM(R196,L196,I196,J196,W196,H196)</f>
        <v>0</v>
      </c>
      <c r="T196" s="1" t="str">
        <f aca="false">"Sem - "&amp;WEEKNUM(Q196,21)</f>
        <v>Sem - 24</v>
      </c>
      <c r="U196" s="1" t="str">
        <f aca="false">PROPER(TEXT(Q196,"mmmm"))</f>
        <v>June</v>
      </c>
      <c r="V196" s="37" t="str">
        <f aca="false">+TEXT(Q196,"aaa")</f>
        <v>Fri</v>
      </c>
      <c r="W196" s="32"/>
      <c r="X196" s="38" t="n">
        <f aca="false">IFERROR(IF(M196="Abs",0,IF((D196-C196+E196-F196)&lt;0.000694444444444444,0,(D196-C196+E196-F196))),0)</f>
        <v>0</v>
      </c>
      <c r="Y196" s="39" t="str">
        <f aca="false">IFERROR(VLOOKUP(B196,Annuaire_roster!B:E,4,0),"-")</f>
        <v>CHOUIFI Mustapha</v>
      </c>
      <c r="Z196" s="39" t="str">
        <f aca="false">IFERROR(VLOOKUP(B196,Annuaire_roster!B:F,3,0),"-")</f>
        <v>Google Leads</v>
      </c>
      <c r="AA196" s="39" t="str">
        <f aca="false">IFERROR(VLOOKUP(B196,Annuaire_roster!B:I,6,0),"-")</f>
        <v>Forfaitaire</v>
      </c>
      <c r="AB196" s="40" t="str">
        <f aca="false">IF(AND(D196="Congé",F196="Congé"),0.333333333333333,IF(OR(AND(D196="Congé",F196&lt;&gt;"Congé"),(AND(F196="Congé",D196&lt;&gt;"Congé"))),0.166666666666667,""))</f>
        <v/>
      </c>
      <c r="AC196" s="40" t="str">
        <f aca="false">IF(AND(D196="Congé sans solde",F196="Congé sans solde"),0.333333333333333,IF(OR(AND(D196="Congé sans solde",F196&lt;&gt;"Congé sans solde"),(AND(F196="Congé sans solde",D196&lt;&gt;"Congé sans solde"))),0.166666666666667,""))</f>
        <v/>
      </c>
      <c r="AD196" s="40" t="str">
        <f aca="false">IF(AND(D196="Congé spécial",F196="Congé spécial"),0.333333333333333,IF(OR(AND(D196="Congé spécial",F196&lt;&gt;"Congé décès"),(AND(F196="Congé spécial",D196&lt;&gt;"Congé spécial"))),0.166666666666667,""))</f>
        <v/>
      </c>
      <c r="AE196" s="41" t="str">
        <f aca="false">IF(AND(D196="Férié",F196="Férié"),0.333333333333333,IF(OR(AND(D196="Férié",F196&lt;&gt;"Férié"),(AND(F196="Férié",D196&lt;&gt;"Férié"))),0.166666666666667,""))</f>
        <v/>
      </c>
      <c r="AF196" s="41"/>
      <c r="AG196" s="36"/>
    </row>
    <row r="197" customFormat="false" ht="12.75" hidden="true" customHeight="true" outlineLevel="0" collapsed="false">
      <c r="A197" s="22" t="n">
        <f aca="false">VLOOKUP(B197,Annuaire_roster!B:F,5,0)</f>
        <v>742</v>
      </c>
      <c r="B197" s="23" t="s">
        <v>33</v>
      </c>
      <c r="C197" s="24" t="str">
        <f aca="false">IFERROR(IF(COUNTIFS(Pointage_brut!$E:$E,VLOOKUP($B197,Annuaire_roster!$B:$J,9,0),Pointage_brut!$A:$A,TEXT($Q197,"yyyymmdd")*1)=0,"",MOD(_xlfn.MINIFS(Pointage_brut!$F:$F,Pointage_brut!$E:$E,VLOOKUP($B197,Annuaire_roster!$B:$J,9,0),Pointage_brut!$A:$A,TEXT($Q197,"yyyymmdd")*1),1)),"")</f>
        <v/>
      </c>
      <c r="D197" s="25" t="str">
        <f aca="false" t="array" ref="D197:D197">IFERROR(INDEX(Planning2[],MATCH(1,(Planning2[Nom]=B197)*(Planning2[Date]=Q197),0),3),"-")</f>
        <v>OFF</v>
      </c>
      <c r="E197" s="26" t="str">
        <f aca="false">IFERROR(IF(COUNTIFS(Pointage_brut!$E:$E,VLOOKUP($B197,Annuaire_roster!$B:$J,9,0),Pointage_brut!$A:$A,TEXT($Q197,"yyyymmdd")*1)=0,"",MOD(_xlfn.MAXIFS(Pointage_brut!$G:$G,Pointage_brut!$E:$E,VLOOKUP($B197,Annuaire_roster!$B:$J,9,0),Pointage_brut!$A:$A,TEXT($Q197,"yyyymmdd")*1),1)),"")</f>
        <v/>
      </c>
      <c r="F197" s="27" t="str">
        <f aca="false" t="array" ref="F197:F197">IFERROR(INDEX(Planning2[],MATCH(1,(Planning2[Nom]=B197)*(Planning2[Date]=Q197),0),4),"-")</f>
        <v>OFF</v>
      </c>
      <c r="G197" s="28"/>
      <c r="H197" s="28"/>
      <c r="I197" s="29" t="str">
        <f aca="false">IF(IF(OR(C197="",D197="Congé",D197="OFF",D197="Congé spécial"),"",IF(D197&gt;F197,D197-C197,IF(C197-D197&lt;0,0,C197-D197)))&lt;0.00068287037037037,"",IF(OR(D197="Congé",D197="OFF",C197="",D197="Congé spécial"),"",IF(D197&gt;F197,D197-C197,IF(C197-D197&lt;0,0,C197-D197))))</f>
        <v/>
      </c>
      <c r="J197" s="28"/>
      <c r="K197" s="30" t="n">
        <f aca="false">IF(SUM(H197:J197)&lt;0.00068287037037037,0,SUM(H197:J197))</f>
        <v>0</v>
      </c>
      <c r="L197" s="28" t="n">
        <f aca="false">IF(OR(F197="Congé",F197="OFF",M197="Abs",F197="Congé sans solde",F197="Férié",F197="Congé spécial",D197="Congé spécial"),0,IF(F197-E197&lt;0,0,IF(F197-E197&lt;=0.00068287037037037,0,F197-E197)))</f>
        <v>0</v>
      </c>
      <c r="M197" s="31" t="n">
        <f aca="false">IF(AND(O197&lt;&gt;0,C197=""),"Abs",0)</f>
        <v>0</v>
      </c>
      <c r="N197" s="32" t="str">
        <f aca="false">IFERROR(IF(OR(D197="OFF",D197="Congé",M197="Abs",D197="Congé sans solde",D197="Férié"),"",IF(O197-K197-L197&gt;O197,O197,IF(O197-K197-L197&lt;0,"",O197-K197-L197))),"")</f>
        <v/>
      </c>
      <c r="O197" s="33" t="n">
        <f aca="false">IF(AG197="2H Pause déjeuner",IF(F197-D197-0.0833333333333333&lt;0,F197-D197-0.0833333333333333+1,F197-D197-0.0833333333333333),IF(OR(AND(F197="OFF",D197="OFF"),AND(F197="Congé",D197="Congé"),AND(F197="Congé sans solde",D197="Congé sans solde"),AND(F197="Congé spécial",D197="Congé spécial"),AND(F197="Férié",D197="Férié"),AND(F197="OFF",D197="Congé"),AND(F197="OFF",D197="Congé sans solde"),AND(F197="OFF",D197="Congé spécial"),AND(F197="OFF",D197="Férié"),AND(F197="Congé",D197="OFF"),AND(F197="Congé",D197="Congé sans solde"),AND(F197="Congé",D197="Congé spécial"),AND(F197="Congé",D197="Férié"),AND(F197="Congé sans solde",D197="OFF"),AND(F197="Congé sans solde",D197="Congé"),AND(F197="Congé sans solde",D197="Congé spécial"),AND(F197="Congé sans solde",D197="Férié"),AND(F197="Congé spécial",D197="OFF"),AND(F197="Congé spécial",D197="Congé"),AND(F197="Congé spécial",D197="Congé sans solde"),AND(F197="Congé spécial",D197="Férié"),AND(F197="Férié",D197="OFF"),AND(F197="Férié",D197="Congé"),AND(F197="Férié",D197="Congé sans solde"),AND(F197="Férié",D197="Congé spécial")),0,IF(OR(F197="OFF",F197="Congé",F197="Congé spécial",F197="Congé sans solde",D197="OFF",D197="Congé",D197="Congé spécial",D197="Congé sans solde"),0.208333333333334,IF(AND(AG197="",F197-D197&lt;0),("24:00:00"-D197)+("00:00:00"+F197)-0.0416666666666667,IF(AND(OR(AG197="Allaitement",AG197="Sans déjeuner"),F197-D197&lt;0),("24:00:00"-D197)+("00:00:00"+F197),IF(AND(AG197="",F197-D197&gt;0.166666666666667),F197-D197-0.0416666666666667,IF(AND(OR(AG197="Allaitement",AG197="Sans déjeuner"),F197-D197&gt;0.166666666666667),F197-D197,F197-D197)))))))</f>
        <v>0</v>
      </c>
      <c r="P197" s="34" t="str">
        <f aca="false">IFERROR(VLOOKUP($B197,Annuaire_roster!$B:$G,MATCH(P$1,Annuaire_roster!$B$1:$G$1,0),0),"-")</f>
        <v>Google Leads</v>
      </c>
      <c r="Q197" s="35" t="n">
        <v>44723</v>
      </c>
      <c r="R197" s="36" t="n">
        <f aca="false">IF(M197="Abs",O197,0)</f>
        <v>0</v>
      </c>
      <c r="S197" s="36" t="n">
        <f aca="false">SUM(R197,L197,I197,J197,W197,H197)</f>
        <v>0</v>
      </c>
      <c r="T197" s="1" t="str">
        <f aca="false">"Sem - "&amp;WEEKNUM(Q197,21)</f>
        <v>Sem - 24</v>
      </c>
      <c r="U197" s="1" t="str">
        <f aca="false">PROPER(TEXT(Q197,"mmmm"))</f>
        <v>June</v>
      </c>
      <c r="V197" s="37" t="str">
        <f aca="false">+TEXT(Q197,"aaa")</f>
        <v>Fri</v>
      </c>
      <c r="W197" s="32"/>
      <c r="X197" s="38" t="n">
        <f aca="false">IFERROR(IF(M197="Abs",0,IF((D197-C197+E197-F197)&lt;0.000694444444444444,0,(D197-C197+E197-F197))),0)</f>
        <v>0</v>
      </c>
      <c r="Y197" s="39" t="str">
        <f aca="false">IFERROR(VLOOKUP(B197,Annuaire_roster!B:E,4,0),"-")</f>
        <v>OUAQERROUCH Nour-El Houda</v>
      </c>
      <c r="Z197" s="39" t="str">
        <f aca="false">IFERROR(VLOOKUP(B197,Annuaire_roster!B:F,3,0),"-")</f>
        <v>Google Leads</v>
      </c>
      <c r="AA197" s="39" t="str">
        <f aca="false">IFERROR(VLOOKUP(B197,Annuaire_roster!B:I,6,0),"-")</f>
        <v>Forfaitaire</v>
      </c>
      <c r="AB197" s="40" t="str">
        <f aca="false">IF(AND(D197="Congé",F197="Congé"),0.333333333333333,IF(OR(AND(D197="Congé",F197&lt;&gt;"Congé"),(AND(F197="Congé",D197&lt;&gt;"Congé"))),0.166666666666667,""))</f>
        <v/>
      </c>
      <c r="AC197" s="40" t="str">
        <f aca="false">IF(AND(D197="Congé sans solde",F197="Congé sans solde"),0.333333333333333,IF(OR(AND(D197="Congé sans solde",F197&lt;&gt;"Congé sans solde"),(AND(F197="Congé sans solde",D197&lt;&gt;"Congé sans solde"))),0.166666666666667,""))</f>
        <v/>
      </c>
      <c r="AD197" s="40" t="str">
        <f aca="false">IF(AND(D197="Congé spécial",F197="Congé spécial"),0.333333333333333,IF(OR(AND(D197="Congé spécial",F197&lt;&gt;"Congé décès"),(AND(F197="Congé spécial",D197&lt;&gt;"Congé spécial"))),0.166666666666667,""))</f>
        <v/>
      </c>
      <c r="AE197" s="41" t="str">
        <f aca="false">IF(AND(D197="Férié",F197="Férié"),0.333333333333333,IF(OR(AND(D197="Férié",F197&lt;&gt;"Férié"),(AND(F197="Férié",D197&lt;&gt;"Férié"))),0.166666666666667,""))</f>
        <v/>
      </c>
      <c r="AF197" s="41"/>
      <c r="AG197" s="36"/>
    </row>
    <row r="198" customFormat="false" ht="12.75" hidden="true" customHeight="true" outlineLevel="0" collapsed="false">
      <c r="A198" s="22" t="n">
        <f aca="false">VLOOKUP(B198,Annuaire_roster!B:F,5,0)</f>
        <v>971</v>
      </c>
      <c r="B198" s="23" t="s">
        <v>58</v>
      </c>
      <c r="C198" s="24" t="str">
        <f aca="false">IFERROR(IF(COUNTIFS(Pointage_brut!$E:$E,VLOOKUP($B198,Annuaire_roster!$B:$J,9,0),Pointage_brut!$A:$A,TEXT($Q198,"yyyymmdd")*1)=0,"",MOD(_xlfn.MINIFS(Pointage_brut!$F:$F,Pointage_brut!$E:$E,VLOOKUP($B198,Annuaire_roster!$B:$J,9,0),Pointage_brut!$A:$A,TEXT($Q198,"yyyymmdd")*1),1)),"")</f>
        <v/>
      </c>
      <c r="D198" s="25" t="n">
        <f aca="false" t="array" ref="D198:D198">IFERROR(INDEX(Planning2[],MATCH(1,(Planning2[Nom]=B198)*(Planning2[Date]=Q198),0),3),"-")</f>
        <v>0.416666666666667</v>
      </c>
      <c r="E198" s="26" t="str">
        <f aca="false">IFERROR(IF(COUNTIFS(Pointage_brut!$E:$E,VLOOKUP($B198,Annuaire_roster!$B:$J,9,0),Pointage_brut!$A:$A,TEXT($Q198,"yyyymmdd")*1)=0,"",MOD(_xlfn.MAXIFS(Pointage_brut!$G:$G,Pointage_brut!$E:$E,VLOOKUP($B198,Annuaire_roster!$B:$J,9,0),Pointage_brut!$A:$A,TEXT($Q198,"yyyymmdd")*1),1)),"")</f>
        <v/>
      </c>
      <c r="F198" s="27" t="n">
        <f aca="false" t="array" ref="F198:F198">IFERROR(INDEX(Planning2[],MATCH(1,(Planning2[Nom]=B198)*(Planning2[Date]=Q198),0),4),"-")</f>
        <v>0.833333333333333</v>
      </c>
      <c r="G198" s="28"/>
      <c r="H198" s="28"/>
      <c r="I198" s="29" t="str">
        <f aca="false">IF(IF(OR(C198="",D198="Congé",D198="OFF",D198="Congé spécial"),"",IF(D198&gt;F198,D198-C198,IF(C198-D198&lt;0,0,C198-D198)))&lt;0.00068287037037037,"",IF(OR(D198="Congé",D198="OFF",C198="",D198="Congé spécial"),"",IF(D198&gt;F198,D198-C198,IF(C198-D198&lt;0,0,C198-D198))))</f>
        <v/>
      </c>
      <c r="J198" s="28"/>
      <c r="K198" s="30" t="n">
        <f aca="false">IF(SUM(H198:J198)&lt;0.00068287037037037,0,SUM(H198:J198))</f>
        <v>0</v>
      </c>
      <c r="L198" s="28" t="n">
        <f aca="false">IF(OR(F198="Congé",F198="OFF",M198="Abs",F198="Congé sans solde",F198="Férié",F198="Congé spécial",D198="Congé spécial"),0,IF(F198-E198&lt;0,0,IF(F198-E198&lt;=0.00068287037037037,0,F198-E198)))</f>
        <v>0</v>
      </c>
      <c r="M198" s="31" t="str">
        <f aca="false">IF(AND(O198&lt;&gt;0,C198=""),"Abs",0)</f>
        <v>Abs</v>
      </c>
      <c r="N198" s="32" t="str">
        <f aca="false">IFERROR(IF(OR(D198="OFF",D198="Congé",M198="Abs",D198="Congé sans solde",D198="Férié"),"",IF(O198-K198-L198&gt;O198,O198,IF(O198-K198-L198&lt;0,"",O198-K198-L198))),"")</f>
        <v/>
      </c>
      <c r="O198" s="33" t="n">
        <f aca="false">IF(AG198="2H Pause déjeuner",IF(F198-D198-0.0833333333333333&lt;0,F198-D198-0.0833333333333333+1,F198-D198-0.0833333333333333),IF(OR(AND(F198="OFF",D198="OFF"),AND(F198="Congé",D198="Congé"),AND(F198="Congé sans solde",D198="Congé sans solde"),AND(F198="Congé spécial",D198="Congé spécial"),AND(F198="Férié",D198="Férié"),AND(F198="OFF",D198="Congé"),AND(F198="OFF",D198="Congé sans solde"),AND(F198="OFF",D198="Congé spécial"),AND(F198="OFF",D198="Férié"),AND(F198="Congé",D198="OFF"),AND(F198="Congé",D198="Congé sans solde"),AND(F198="Congé",D198="Congé spécial"),AND(F198="Congé",D198="Férié"),AND(F198="Congé sans solde",D198="OFF"),AND(F198="Congé sans solde",D198="Congé"),AND(F198="Congé sans solde",D198="Congé spécial"),AND(F198="Congé sans solde",D198="Férié"),AND(F198="Congé spécial",D198="OFF"),AND(F198="Congé spécial",D198="Congé"),AND(F198="Congé spécial",D198="Congé sans solde"),AND(F198="Congé spécial",D198="Férié"),AND(F198="Férié",D198="OFF"),AND(F198="Férié",D198="Congé"),AND(F198="Férié",D198="Congé sans solde"),AND(F198="Férié",D198="Congé spécial")),0,IF(OR(F198="OFF",F198="Congé",F198="Congé spécial",F198="Congé sans solde",D198="OFF",D198="Congé",D198="Congé spécial",D198="Congé sans solde"),0.208333333333334,IF(AND(AG198="",F198-D198&lt;0),("24:00:00"-D198)+("00:00:00"+F198)-0.0416666666666667,IF(AND(OR(AG198="Allaitement",AG198="Sans déjeuner"),F198-D198&lt;0),("24:00:00"-D198)+("00:00:00"+F198),IF(AND(AG198="",F198-D198&gt;0.166666666666667),F198-D198-0.0416666666666667,IF(AND(OR(AG198="Allaitement",AG198="Sans déjeuner"),F198-D198&gt;0.166666666666667),F198-D198,F198-D198)))))))</f>
        <v>0.375</v>
      </c>
      <c r="P198" s="34" t="str">
        <f aca="false">IFERROR(VLOOKUP($B198,Annuaire_roster!$B:$G,MATCH(P$1,Annuaire_roster!$B$1:$G$1,0),0),"-")</f>
        <v>Google Leads</v>
      </c>
      <c r="Q198" s="35" t="n">
        <v>44723</v>
      </c>
      <c r="R198" s="36" t="n">
        <f aca="false">IF(M198="Abs",O198,0)</f>
        <v>0.375</v>
      </c>
      <c r="S198" s="36" t="n">
        <f aca="false">SUM(R198,L198,I198,J198,W198,H198)</f>
        <v>0.375</v>
      </c>
      <c r="T198" s="1" t="str">
        <f aca="false">"Sem - "&amp;WEEKNUM(Q198,21)</f>
        <v>Sem - 24</v>
      </c>
      <c r="U198" s="1" t="str">
        <f aca="false">PROPER(TEXT(Q198,"mmmm"))</f>
        <v>June</v>
      </c>
      <c r="V198" s="37" t="str">
        <f aca="false">+TEXT(Q198,"aaa")</f>
        <v>Fri</v>
      </c>
      <c r="W198" s="32"/>
      <c r="X198" s="38" t="n">
        <f aca="false">IFERROR(IF(M198="Abs",0,IF((D198-C198+E198-F198)&lt;0.000694444444444444,0,(D198-C198+E198-F198))),0)</f>
        <v>0</v>
      </c>
      <c r="Y198" s="39" t="str">
        <f aca="false">IFERROR(VLOOKUP(B198,Annuaire_roster!B:E,4,0),"-")</f>
        <v>CHOUIFI Mustapha</v>
      </c>
      <c r="Z198" s="39" t="str">
        <f aca="false">IFERROR(VLOOKUP(B198,Annuaire_roster!B:F,3,0),"-")</f>
        <v>Google Leads</v>
      </c>
      <c r="AA198" s="39" t="str">
        <f aca="false">IFERROR(VLOOKUP(B198,Annuaire_roster!B:I,6,0),"-")</f>
        <v>Forfaitaire</v>
      </c>
      <c r="AB198" s="40" t="str">
        <f aca="false">IF(AND(D198="Congé",F198="Congé"),0.333333333333333,IF(OR(AND(D198="Congé",F198&lt;&gt;"Congé"),(AND(F198="Congé",D198&lt;&gt;"Congé"))),0.166666666666667,""))</f>
        <v/>
      </c>
      <c r="AC198" s="40" t="str">
        <f aca="false">IF(AND(D198="Congé sans solde",F198="Congé sans solde"),0.333333333333333,IF(OR(AND(D198="Congé sans solde",F198&lt;&gt;"Congé sans solde"),(AND(F198="Congé sans solde",D198&lt;&gt;"Congé sans solde"))),0.166666666666667,""))</f>
        <v/>
      </c>
      <c r="AD198" s="40" t="str">
        <f aca="false">IF(AND(D198="Congé spécial",F198="Congé spécial"),0.333333333333333,IF(OR(AND(D198="Congé spécial",F198&lt;&gt;"Congé décès"),(AND(F198="Congé spécial",D198&lt;&gt;"Congé spécial"))),0.166666666666667,""))</f>
        <v/>
      </c>
      <c r="AE198" s="41" t="str">
        <f aca="false">IF(AND(D198="Férié",F198="Férié"),0.333333333333333,IF(OR(AND(D198="Férié",F198&lt;&gt;"Férié"),(AND(F198="Férié",D198&lt;&gt;"Férié"))),0.166666666666667,""))</f>
        <v/>
      </c>
      <c r="AF198" s="41"/>
      <c r="AG198" s="36"/>
    </row>
    <row r="199" customFormat="false" ht="12.75" hidden="true" customHeight="true" outlineLevel="0" collapsed="false">
      <c r="A199" s="22" t="n">
        <f aca="false">VLOOKUP(B199,Annuaire_roster!B:F,5,0)</f>
        <v>952</v>
      </c>
      <c r="B199" s="23" t="s">
        <v>63</v>
      </c>
      <c r="C199" s="24" t="str">
        <f aca="false">IFERROR(IF(COUNTIFS(Pointage_brut!$E:$E,VLOOKUP($B199,Annuaire_roster!$B:$J,9,0),Pointage_brut!$A:$A,TEXT($Q199,"yyyymmdd")*1)=0,"",MOD(_xlfn.MINIFS(Pointage_brut!$F:$F,Pointage_brut!$E:$E,VLOOKUP($B199,Annuaire_roster!$B:$J,9,0),Pointage_brut!$A:$A,TEXT($Q199,"yyyymmdd")*1),1)),"")</f>
        <v/>
      </c>
      <c r="D199" s="25" t="str">
        <f aca="false" t="array" ref="D199:D199">IFERROR(INDEX(Planning2[],MATCH(1,(Planning2[Nom]=B199)*(Planning2[Date]=Q199),0),3),"-")</f>
        <v>OFF</v>
      </c>
      <c r="E199" s="26" t="str">
        <f aca="false">IFERROR(IF(COUNTIFS(Pointage_brut!$E:$E,VLOOKUP($B199,Annuaire_roster!$B:$J,9,0),Pointage_brut!$A:$A,TEXT($Q199,"yyyymmdd")*1)=0,"",MOD(_xlfn.MAXIFS(Pointage_brut!$G:$G,Pointage_brut!$E:$E,VLOOKUP($B199,Annuaire_roster!$B:$J,9,0),Pointage_brut!$A:$A,TEXT($Q199,"yyyymmdd")*1),1)),"")</f>
        <v/>
      </c>
      <c r="F199" s="27" t="str">
        <f aca="false" t="array" ref="F199:F199">IFERROR(INDEX(Planning2[],MATCH(1,(Planning2[Nom]=B199)*(Planning2[Date]=Q199),0),4),"-")</f>
        <v>OFF</v>
      </c>
      <c r="G199" s="28"/>
      <c r="H199" s="28"/>
      <c r="I199" s="29" t="str">
        <f aca="false">IF(IF(OR(C199="",D199="Congé",D199="OFF",D199="Congé spécial"),"",IF(D199&gt;F199,D199-C199,IF(C199-D199&lt;0,0,C199-D199)))&lt;0.00068287037037037,"",IF(OR(D199="Congé",D199="OFF",C199="",D199="Congé spécial"),"",IF(D199&gt;F199,D199-C199,IF(C199-D199&lt;0,0,C199-D199))))</f>
        <v/>
      </c>
      <c r="J199" s="28"/>
      <c r="K199" s="30" t="n">
        <f aca="false">IF(SUM(H199:J199)&lt;0.00068287037037037,0,SUM(H199:J199))</f>
        <v>0</v>
      </c>
      <c r="L199" s="28" t="n">
        <f aca="false">IF(OR(F199="Congé",F199="OFF",M199="Abs",F199="Congé sans solde",F199="Férié",F199="Congé spécial",D199="Congé spécial"),0,IF(F199-E199&lt;0,0,IF(F199-E199&lt;=0.00068287037037037,0,F199-E199)))</f>
        <v>0</v>
      </c>
      <c r="M199" s="31" t="n">
        <f aca="false">IF(AND(O199&lt;&gt;0,C199=""),"Abs",0)</f>
        <v>0</v>
      </c>
      <c r="N199" s="32" t="str">
        <f aca="false">IFERROR(IF(OR(D199="OFF",D199="Congé",M199="Abs",D199="Congé sans solde",D199="Férié"),"",IF(O199-K199-L199&gt;O199,O199,IF(O199-K199-L199&lt;0,"",O199-K199-L199))),"")</f>
        <v/>
      </c>
      <c r="O199" s="33" t="n">
        <f aca="false">IF(AG199="2H Pause déjeuner",IF(F199-D199-0.0833333333333333&lt;0,F199-D199-0.0833333333333333+1,F199-D199-0.0833333333333333),IF(OR(AND(F199="OFF",D199="OFF"),AND(F199="Congé",D199="Congé"),AND(F199="Congé sans solde",D199="Congé sans solde"),AND(F199="Congé spécial",D199="Congé spécial"),AND(F199="Férié",D199="Férié"),AND(F199="OFF",D199="Congé"),AND(F199="OFF",D199="Congé sans solde"),AND(F199="OFF",D199="Congé spécial"),AND(F199="OFF",D199="Férié"),AND(F199="Congé",D199="OFF"),AND(F199="Congé",D199="Congé sans solde"),AND(F199="Congé",D199="Congé spécial"),AND(F199="Congé",D199="Férié"),AND(F199="Congé sans solde",D199="OFF"),AND(F199="Congé sans solde",D199="Congé"),AND(F199="Congé sans solde",D199="Congé spécial"),AND(F199="Congé sans solde",D199="Férié"),AND(F199="Congé spécial",D199="OFF"),AND(F199="Congé spécial",D199="Congé"),AND(F199="Congé spécial",D199="Congé sans solde"),AND(F199="Congé spécial",D199="Férié"),AND(F199="Férié",D199="OFF"),AND(F199="Férié",D199="Congé"),AND(F199="Férié",D199="Congé sans solde"),AND(F199="Férié",D199="Congé spécial")),0,IF(OR(F199="OFF",F199="Congé",F199="Congé spécial",F199="Congé sans solde",D199="OFF",D199="Congé",D199="Congé spécial",D199="Congé sans solde"),0.208333333333334,IF(AND(AG199="",F199-D199&lt;0),("24:00:00"-D199)+("00:00:00"+F199)-0.0416666666666667,IF(AND(OR(AG199="Allaitement",AG199="Sans déjeuner"),F199-D199&lt;0),("24:00:00"-D199)+("00:00:00"+F199),IF(AND(AG199="",F199-D199&gt;0.166666666666667),F199-D199-0.0416666666666667,IF(AND(OR(AG199="Allaitement",AG199="Sans déjeuner"),F199-D199&gt;0.166666666666667),F199-D199,F199-D199)))))))</f>
        <v>0</v>
      </c>
      <c r="P199" s="34" t="str">
        <f aca="false">IFERROR(VLOOKUP($B199,Annuaire_roster!$B:$G,MATCH(P$1,Annuaire_roster!$B$1:$G$1,0),0),"-")</f>
        <v>Google Leads</v>
      </c>
      <c r="Q199" s="35" t="n">
        <v>44723</v>
      </c>
      <c r="R199" s="36" t="n">
        <f aca="false">IF(M199="Abs",O199,0)</f>
        <v>0</v>
      </c>
      <c r="S199" s="36" t="n">
        <f aca="false">SUM(R199,L199,I199,J199,W199,H199)</f>
        <v>0</v>
      </c>
      <c r="T199" s="1" t="str">
        <f aca="false">"Sem - "&amp;WEEKNUM(Q199,21)</f>
        <v>Sem - 24</v>
      </c>
      <c r="U199" s="1" t="str">
        <f aca="false">PROPER(TEXT(Q199,"mmmm"))</f>
        <v>June</v>
      </c>
      <c r="V199" s="37" t="str">
        <f aca="false">+TEXT(Q199,"aaa")</f>
        <v>Fri</v>
      </c>
      <c r="W199" s="32"/>
      <c r="X199" s="38" t="n">
        <f aca="false">IFERROR(IF(M199="Abs",0,IF((D199-C199+E199-F199)&lt;0.000694444444444444,0,(D199-C199+E199-F199))),0)</f>
        <v>0</v>
      </c>
      <c r="Y199" s="39" t="str">
        <f aca="false">IFERROR(VLOOKUP(B199,Annuaire_roster!B:E,4,0),"-")</f>
        <v>OUAQERROUCH Nour-El Houda</v>
      </c>
      <c r="Z199" s="39" t="str">
        <f aca="false">IFERROR(VLOOKUP(B199,Annuaire_roster!B:F,3,0),"-")</f>
        <v>Google Leads</v>
      </c>
      <c r="AA199" s="39" t="str">
        <f aca="false">IFERROR(VLOOKUP(B199,Annuaire_roster!B:I,6,0),"-")</f>
        <v>Forfaitaire</v>
      </c>
      <c r="AB199" s="40" t="str">
        <f aca="false">IF(AND(D199="Congé",F199="Congé"),0.333333333333333,IF(OR(AND(D199="Congé",F199&lt;&gt;"Congé"),(AND(F199="Congé",D199&lt;&gt;"Congé"))),0.166666666666667,""))</f>
        <v/>
      </c>
      <c r="AC199" s="40" t="str">
        <f aca="false">IF(AND(D199="Congé sans solde",F199="Congé sans solde"),0.333333333333333,IF(OR(AND(D199="Congé sans solde",F199&lt;&gt;"Congé sans solde"),(AND(F199="Congé sans solde",D199&lt;&gt;"Congé sans solde"))),0.166666666666667,""))</f>
        <v/>
      </c>
      <c r="AD199" s="40" t="str">
        <f aca="false">IF(AND(D199="Congé spécial",F199="Congé spécial"),0.333333333333333,IF(OR(AND(D199="Congé spécial",F199&lt;&gt;"Congé décès"),(AND(F199="Congé spécial",D199&lt;&gt;"Congé spécial"))),0.166666666666667,""))</f>
        <v/>
      </c>
      <c r="AE199" s="41" t="str">
        <f aca="false">IF(AND(D199="Férié",F199="Férié"),0.333333333333333,IF(OR(AND(D199="Férié",F199&lt;&gt;"Férié"),(AND(F199="Férié",D199&lt;&gt;"Férié"))),0.166666666666667,""))</f>
        <v/>
      </c>
      <c r="AF199" s="41"/>
      <c r="AG199" s="36"/>
    </row>
    <row r="200" customFormat="false" ht="12.75" hidden="true" customHeight="true" outlineLevel="0" collapsed="false">
      <c r="A200" s="22" t="n">
        <f aca="false">VLOOKUP(B200,Annuaire_roster!B:F,5,0)</f>
        <v>949</v>
      </c>
      <c r="B200" s="23" t="s">
        <v>48</v>
      </c>
      <c r="C200" s="24" t="str">
        <f aca="false">IFERROR(IF(COUNTIFS(Pointage_brut!$E:$E,VLOOKUP($B200,Annuaire_roster!$B:$J,9,0),Pointage_brut!$A:$A,TEXT($Q200,"yyyymmdd")*1)=0,"",MOD(_xlfn.MINIFS(Pointage_brut!$F:$F,Pointage_brut!$E:$E,VLOOKUP($B200,Annuaire_roster!$B:$J,9,0),Pointage_brut!$A:$A,TEXT($Q200,"yyyymmdd")*1),1)),"")</f>
        <v/>
      </c>
      <c r="D200" s="25" t="str">
        <f aca="false" t="array" ref="D200:D200">IFERROR(INDEX(Planning2[],MATCH(1,(Planning2[Nom]=B200)*(Planning2[Date]=Q200),0),3),"-")</f>
        <v>OFF</v>
      </c>
      <c r="E200" s="26" t="str">
        <f aca="false">IFERROR(IF(COUNTIFS(Pointage_brut!$E:$E,VLOOKUP($B200,Annuaire_roster!$B:$J,9,0),Pointage_brut!$A:$A,TEXT($Q200,"yyyymmdd")*1)=0,"",MOD(_xlfn.MAXIFS(Pointage_brut!$G:$G,Pointage_brut!$E:$E,VLOOKUP($B200,Annuaire_roster!$B:$J,9,0),Pointage_brut!$A:$A,TEXT($Q200,"yyyymmdd")*1),1)),"")</f>
        <v/>
      </c>
      <c r="F200" s="27" t="str">
        <f aca="false" t="array" ref="F200:F200">IFERROR(INDEX(Planning2[],MATCH(1,(Planning2[Nom]=B200)*(Planning2[Date]=Q200),0),4),"-")</f>
        <v>OFF</v>
      </c>
      <c r="G200" s="28"/>
      <c r="H200" s="28"/>
      <c r="I200" s="29" t="str">
        <f aca="false">IF(IF(OR(C200="",D200="Congé",D200="OFF",D200="Congé spécial"),"",IF(D200&gt;F200,D200-C200,IF(C200-D200&lt;0,0,C200-D200)))&lt;0.00068287037037037,"",IF(OR(D200="Congé",D200="OFF",C200="",D200="Congé spécial"),"",IF(D200&gt;F200,D200-C200,IF(C200-D200&lt;0,0,C200-D200))))</f>
        <v/>
      </c>
      <c r="J200" s="28"/>
      <c r="K200" s="30" t="n">
        <f aca="false">IF(SUM(H200:J200)&lt;0.00068287037037037,0,SUM(H200:J200))</f>
        <v>0</v>
      </c>
      <c r="L200" s="28" t="n">
        <f aca="false">IF(OR(F200="Congé",F200="OFF",M200="Abs",F200="Congé sans solde",F200="Férié",F200="Congé spécial",D200="Congé spécial"),0,IF(F200-E200&lt;0,0,IF(F200-E200&lt;=0.00068287037037037,0,F200-E200)))</f>
        <v>0</v>
      </c>
      <c r="M200" s="31" t="n">
        <f aca="false">IF(AND(O200&lt;&gt;0,C200=""),"Abs",0)</f>
        <v>0</v>
      </c>
      <c r="N200" s="32" t="str">
        <f aca="false">IFERROR(IF(OR(D200="OFF",D200="Congé",M200="Abs",D200="Congé sans solde",D200="Férié"),"",IF(O200-K200-L200&gt;O200,O200,IF(O200-K200-L200&lt;0,"",O200-K200-L200))),"")</f>
        <v/>
      </c>
      <c r="O200" s="33" t="n">
        <f aca="false">IF(AG200="2H Pause déjeuner",IF(F200-D200-0.0833333333333333&lt;0,F200-D200-0.0833333333333333+1,F200-D200-0.0833333333333333),IF(OR(AND(F200="OFF",D200="OFF"),AND(F200="Congé",D200="Congé"),AND(F200="Congé sans solde",D200="Congé sans solde"),AND(F200="Congé spécial",D200="Congé spécial"),AND(F200="Férié",D200="Férié"),AND(F200="OFF",D200="Congé"),AND(F200="OFF",D200="Congé sans solde"),AND(F200="OFF",D200="Congé spécial"),AND(F200="OFF",D200="Férié"),AND(F200="Congé",D200="OFF"),AND(F200="Congé",D200="Congé sans solde"),AND(F200="Congé",D200="Congé spécial"),AND(F200="Congé",D200="Férié"),AND(F200="Congé sans solde",D200="OFF"),AND(F200="Congé sans solde",D200="Congé"),AND(F200="Congé sans solde",D200="Congé spécial"),AND(F200="Congé sans solde",D200="Férié"),AND(F200="Congé spécial",D200="OFF"),AND(F200="Congé spécial",D200="Congé"),AND(F200="Congé spécial",D200="Congé sans solde"),AND(F200="Congé spécial",D200="Férié"),AND(F200="Férié",D200="OFF"),AND(F200="Férié",D200="Congé"),AND(F200="Férié",D200="Congé sans solde"),AND(F200="Férié",D200="Congé spécial")),0,IF(OR(F200="OFF",F200="Congé",F200="Congé spécial",F200="Congé sans solde",D200="OFF",D200="Congé",D200="Congé spécial",D200="Congé sans solde"),0.208333333333334,IF(AND(AG200="",F200-D200&lt;0),("24:00:00"-D200)+("00:00:00"+F200)-0.0416666666666667,IF(AND(OR(AG200="Allaitement",AG200="Sans déjeuner"),F200-D200&lt;0),("24:00:00"-D200)+("00:00:00"+F200),IF(AND(AG200="",F200-D200&gt;0.166666666666667),F200-D200-0.0416666666666667,IF(AND(OR(AG200="Allaitement",AG200="Sans déjeuner"),F200-D200&gt;0.166666666666667),F200-D200,F200-D200)))))))</f>
        <v>0</v>
      </c>
      <c r="P200" s="34" t="str">
        <f aca="false">IFERROR(VLOOKUP($B200,Annuaire_roster!$B:$G,MATCH(P$1,Annuaire_roster!$B$1:$G$1,0),0),"-")</f>
        <v>Google Leads</v>
      </c>
      <c r="Q200" s="35" t="n">
        <v>44723</v>
      </c>
      <c r="R200" s="36" t="n">
        <f aca="false">IF(M200="Abs",O200,0)</f>
        <v>0</v>
      </c>
      <c r="S200" s="36" t="n">
        <f aca="false">SUM(R200,L200,I200,J200,W200,H200)</f>
        <v>0</v>
      </c>
      <c r="T200" s="1" t="str">
        <f aca="false">"Sem - "&amp;WEEKNUM(Q200,21)</f>
        <v>Sem - 24</v>
      </c>
      <c r="U200" s="1" t="str">
        <f aca="false">PROPER(TEXT(Q200,"mmmm"))</f>
        <v>June</v>
      </c>
      <c r="V200" s="37" t="str">
        <f aca="false">+TEXT(Q200,"aaa")</f>
        <v>Fri</v>
      </c>
      <c r="W200" s="32"/>
      <c r="X200" s="38" t="n">
        <f aca="false">IFERROR(IF(M200="Abs",0,IF((D200-C200+E200-F200)&lt;0.000694444444444444,0,(D200-C200+E200-F200))),0)</f>
        <v>0</v>
      </c>
      <c r="Y200" s="39" t="str">
        <f aca="false">IFERROR(VLOOKUP(B200,Annuaire_roster!B:E,4,0),"-")</f>
        <v>CHOUIFI Mustapha</v>
      </c>
      <c r="Z200" s="39" t="str">
        <f aca="false">IFERROR(VLOOKUP(B200,Annuaire_roster!B:F,3,0),"-")</f>
        <v>Google Leads</v>
      </c>
      <c r="AA200" s="39" t="str">
        <f aca="false">IFERROR(VLOOKUP(B200,Annuaire_roster!B:I,6,0),"-")</f>
        <v>Forfaitaire</v>
      </c>
      <c r="AB200" s="40" t="str">
        <f aca="false">IF(AND(D200="Congé",F200="Congé"),0.333333333333333,IF(OR(AND(D200="Congé",F200&lt;&gt;"Congé"),(AND(F200="Congé",D200&lt;&gt;"Congé"))),0.166666666666667,""))</f>
        <v/>
      </c>
      <c r="AC200" s="40" t="str">
        <f aca="false">IF(AND(D200="Congé sans solde",F200="Congé sans solde"),0.333333333333333,IF(OR(AND(D200="Congé sans solde",F200&lt;&gt;"Congé sans solde"),(AND(F200="Congé sans solde",D200&lt;&gt;"Congé sans solde"))),0.166666666666667,""))</f>
        <v/>
      </c>
      <c r="AD200" s="40" t="str">
        <f aca="false">IF(AND(D200="Congé spécial",F200="Congé spécial"),0.333333333333333,IF(OR(AND(D200="Congé spécial",F200&lt;&gt;"Congé décès"),(AND(F200="Congé spécial",D200&lt;&gt;"Congé spécial"))),0.166666666666667,""))</f>
        <v/>
      </c>
      <c r="AE200" s="41" t="str">
        <f aca="false">IF(AND(D200="Férié",F200="Férié"),0.333333333333333,IF(OR(AND(D200="Férié",F200&lt;&gt;"Férié"),(AND(F200="Férié",D200&lt;&gt;"Férié"))),0.166666666666667,""))</f>
        <v/>
      </c>
      <c r="AF200" s="41"/>
      <c r="AG200" s="36"/>
    </row>
    <row r="201" customFormat="false" ht="12.75" hidden="true" customHeight="true" outlineLevel="0" collapsed="false">
      <c r="A201" s="22" t="n">
        <f aca="false">VLOOKUP(B201,Annuaire_roster!B:F,5,0)</f>
        <v>1007</v>
      </c>
      <c r="B201" s="23" t="s">
        <v>59</v>
      </c>
      <c r="C201" s="24" t="str">
        <f aca="false">IFERROR(IF(COUNTIFS(Pointage_brut!$E:$E,VLOOKUP($B201,Annuaire_roster!$B:$J,9,0),Pointage_brut!$A:$A,TEXT($Q201,"yyyymmdd")*1)=0,"",MOD(_xlfn.MINIFS(Pointage_brut!$F:$F,Pointage_brut!$E:$E,VLOOKUP($B201,Annuaire_roster!$B:$J,9,0),Pointage_brut!$A:$A,TEXT($Q201,"yyyymmdd")*1),1)),"")</f>
        <v/>
      </c>
      <c r="D201" s="25" t="str">
        <f aca="false" t="array" ref="D201:D201">IFERROR(INDEX(Planning2[],MATCH(1,(Planning2[Nom]=B201)*(Planning2[Date]=Q201),0),3),"-")</f>
        <v>OFF</v>
      </c>
      <c r="E201" s="26" t="str">
        <f aca="false">IFERROR(IF(COUNTIFS(Pointage_brut!$E:$E,VLOOKUP($B201,Annuaire_roster!$B:$J,9,0),Pointage_brut!$A:$A,TEXT($Q201,"yyyymmdd")*1)=0,"",MOD(_xlfn.MAXIFS(Pointage_brut!$G:$G,Pointage_brut!$E:$E,VLOOKUP($B201,Annuaire_roster!$B:$J,9,0),Pointage_brut!$A:$A,TEXT($Q201,"yyyymmdd")*1),1)),"")</f>
        <v/>
      </c>
      <c r="F201" s="27" t="str">
        <f aca="false" t="array" ref="F201:F201">IFERROR(INDEX(Planning2[],MATCH(1,(Planning2[Nom]=B201)*(Planning2[Date]=Q201),0),4),"-")</f>
        <v>OFF</v>
      </c>
      <c r="G201" s="28"/>
      <c r="H201" s="28"/>
      <c r="I201" s="29" t="str">
        <f aca="false">IF(IF(OR(C201="",D201="Congé",D201="OFF",D201="Congé spécial"),"",IF(D201&gt;F201,D201-C201,IF(C201-D201&lt;0,0,C201-D201)))&lt;0.00068287037037037,"",IF(OR(D201="Congé",D201="OFF",C201="",D201="Congé spécial"),"",IF(D201&gt;F201,D201-C201,IF(C201-D201&lt;0,0,C201-D201))))</f>
        <v/>
      </c>
      <c r="J201" s="28"/>
      <c r="K201" s="30" t="n">
        <f aca="false">IF(SUM(H201:J201)&lt;0.00068287037037037,0,SUM(H201:J201))</f>
        <v>0</v>
      </c>
      <c r="L201" s="28" t="n">
        <f aca="false">IF(OR(F201="Congé",F201="OFF",M201="Abs",F201="Congé sans solde",F201="Férié",F201="Congé spécial",D201="Congé spécial"),0,IF(F201-E201&lt;0,0,IF(F201-E201&lt;=0.00068287037037037,0,F201-E201)))</f>
        <v>0</v>
      </c>
      <c r="M201" s="31" t="n">
        <f aca="false">IF(AND(O201&lt;&gt;0,C201=""),"Abs",0)</f>
        <v>0</v>
      </c>
      <c r="N201" s="32" t="str">
        <f aca="false">IFERROR(IF(OR(D201="OFF",D201="Congé",M201="Abs",D201="Congé sans solde",D201="Férié"),"",IF(O201-K201-L201&gt;O201,O201,IF(O201-K201-L201&lt;0,"",O201-K201-L201))),"")</f>
        <v/>
      </c>
      <c r="O201" s="33" t="n">
        <f aca="false">IF(AG201="2H Pause déjeuner",IF(F201-D201-0.0833333333333333&lt;0,F201-D201-0.0833333333333333+1,F201-D201-0.0833333333333333),IF(OR(AND(F201="OFF",D201="OFF"),AND(F201="Congé",D201="Congé"),AND(F201="Congé sans solde",D201="Congé sans solde"),AND(F201="Congé spécial",D201="Congé spécial"),AND(F201="Férié",D201="Férié"),AND(F201="OFF",D201="Congé"),AND(F201="OFF",D201="Congé sans solde"),AND(F201="OFF",D201="Congé spécial"),AND(F201="OFF",D201="Férié"),AND(F201="Congé",D201="OFF"),AND(F201="Congé",D201="Congé sans solde"),AND(F201="Congé",D201="Congé spécial"),AND(F201="Congé",D201="Férié"),AND(F201="Congé sans solde",D201="OFF"),AND(F201="Congé sans solde",D201="Congé"),AND(F201="Congé sans solde",D201="Congé spécial"),AND(F201="Congé sans solde",D201="Férié"),AND(F201="Congé spécial",D201="OFF"),AND(F201="Congé spécial",D201="Congé"),AND(F201="Congé spécial",D201="Congé sans solde"),AND(F201="Congé spécial",D201="Férié"),AND(F201="Férié",D201="OFF"),AND(F201="Férié",D201="Congé"),AND(F201="Férié",D201="Congé sans solde"),AND(F201="Férié",D201="Congé spécial")),0,IF(OR(F201="OFF",F201="Congé",F201="Congé spécial",F201="Congé sans solde",D201="OFF",D201="Congé",D201="Congé spécial",D201="Congé sans solde"),0.208333333333334,IF(AND(AG201="",F201-D201&lt;0),("24:00:00"-D201)+("00:00:00"+F201)-0.0416666666666667,IF(AND(OR(AG201="Allaitement",AG201="Sans déjeuner"),F201-D201&lt;0),("24:00:00"-D201)+("00:00:00"+F201),IF(AND(AG201="",F201-D201&gt;0.166666666666667),F201-D201-0.0416666666666667,IF(AND(OR(AG201="Allaitement",AG201="Sans déjeuner"),F201-D201&gt;0.166666666666667),F201-D201,F201-D201)))))))</f>
        <v>0</v>
      </c>
      <c r="P201" s="34" t="str">
        <f aca="false">IFERROR(VLOOKUP($B201,Annuaire_roster!$B:$G,MATCH(P$1,Annuaire_roster!$B$1:$G$1,0),0),"-")</f>
        <v>Google Leads</v>
      </c>
      <c r="Q201" s="35" t="n">
        <v>44723</v>
      </c>
      <c r="R201" s="36" t="n">
        <f aca="false">IF(M201="Abs",O201,0)</f>
        <v>0</v>
      </c>
      <c r="S201" s="36" t="n">
        <f aca="false">SUM(R201,L201,I201,J201,W201,H201)</f>
        <v>0</v>
      </c>
      <c r="T201" s="1" t="str">
        <f aca="false">"Sem - "&amp;WEEKNUM(Q201,21)</f>
        <v>Sem - 24</v>
      </c>
      <c r="U201" s="1" t="str">
        <f aca="false">PROPER(TEXT(Q201,"mmmm"))</f>
        <v>June</v>
      </c>
      <c r="V201" s="37" t="str">
        <f aca="false">+TEXT(Q201,"aaa")</f>
        <v>Fri</v>
      </c>
      <c r="W201" s="32"/>
      <c r="X201" s="38" t="n">
        <f aca="false">IFERROR(IF(M201="Abs",0,IF((D201-C201+E201-F201)&lt;0.000694444444444444,0,(D201-C201+E201-F201))),0)</f>
        <v>0</v>
      </c>
      <c r="Y201" s="39" t="str">
        <f aca="false">IFERROR(VLOOKUP(B201,Annuaire_roster!B:E,4,0),"-")</f>
        <v>OUAQERROUCH Nour-El Houda</v>
      </c>
      <c r="Z201" s="39" t="str">
        <f aca="false">IFERROR(VLOOKUP(B201,Annuaire_roster!B:F,3,0),"-")</f>
        <v>Google Leads</v>
      </c>
      <c r="AA201" s="39" t="str">
        <f aca="false">IFERROR(VLOOKUP(B201,Annuaire_roster!B:I,6,0),"-")</f>
        <v>Forfaitaire</v>
      </c>
      <c r="AB201" s="40" t="str">
        <f aca="false">IF(AND(D201="Congé",F201="Congé"),0.333333333333333,IF(OR(AND(D201="Congé",F201&lt;&gt;"Congé"),(AND(F201="Congé",D201&lt;&gt;"Congé"))),0.166666666666667,""))</f>
        <v/>
      </c>
      <c r="AC201" s="40" t="str">
        <f aca="false">IF(AND(D201="Congé sans solde",F201="Congé sans solde"),0.333333333333333,IF(OR(AND(D201="Congé sans solde",F201&lt;&gt;"Congé sans solde"),(AND(F201="Congé sans solde",D201&lt;&gt;"Congé sans solde"))),0.166666666666667,""))</f>
        <v/>
      </c>
      <c r="AD201" s="40" t="str">
        <f aca="false">IF(AND(D201="Congé spécial",F201="Congé spécial"),0.333333333333333,IF(OR(AND(D201="Congé spécial",F201&lt;&gt;"Congé décès"),(AND(F201="Congé spécial",D201&lt;&gt;"Congé spécial"))),0.166666666666667,""))</f>
        <v/>
      </c>
      <c r="AE201" s="41" t="str">
        <f aca="false">IF(AND(D201="Férié",F201="Férié"),0.333333333333333,IF(OR(AND(D201="Férié",F201&lt;&gt;"Férié"),(AND(F201="Férié",D201&lt;&gt;"Férié"))),0.166666666666667,""))</f>
        <v/>
      </c>
      <c r="AF201" s="41"/>
      <c r="AG201" s="36"/>
    </row>
    <row r="202" customFormat="false" ht="12.75" hidden="true" customHeight="true" outlineLevel="0" collapsed="false">
      <c r="A202" s="22" t="n">
        <f aca="false">VLOOKUP(B202,Annuaire_roster!B:F,5,0)</f>
        <v>1008</v>
      </c>
      <c r="B202" s="23" t="s">
        <v>60</v>
      </c>
      <c r="C202" s="24" t="str">
        <f aca="false">IFERROR(IF(COUNTIFS(Pointage_brut!$E:$E,VLOOKUP($B202,Annuaire_roster!$B:$J,9,0),Pointage_brut!$A:$A,TEXT($Q202,"yyyymmdd")*1)=0,"",MOD(_xlfn.MINIFS(Pointage_brut!$F:$F,Pointage_brut!$E:$E,VLOOKUP($B202,Annuaire_roster!$B:$J,9,0),Pointage_brut!$A:$A,TEXT($Q202,"yyyymmdd")*1),1)),"")</f>
        <v/>
      </c>
      <c r="D202" s="25" t="n">
        <f aca="false" t="array" ref="D202:D202">IFERROR(INDEX(Planning2[],MATCH(1,(Planning2[Nom]=B202)*(Planning2[Date]=Q202),0),3),"-")</f>
        <v>0.291666666666667</v>
      </c>
      <c r="E202" s="26" t="str">
        <f aca="false">IFERROR(IF(COUNTIFS(Pointage_brut!$E:$E,VLOOKUP($B202,Annuaire_roster!$B:$J,9,0),Pointage_brut!$A:$A,TEXT($Q202,"yyyymmdd")*1)=0,"",MOD(_xlfn.MAXIFS(Pointage_brut!$G:$G,Pointage_brut!$E:$E,VLOOKUP($B202,Annuaire_roster!$B:$J,9,0),Pointage_brut!$A:$A,TEXT($Q202,"yyyymmdd")*1),1)),"")</f>
        <v/>
      </c>
      <c r="F202" s="27" t="n">
        <f aca="false" t="array" ref="F202:F202">IFERROR(INDEX(Planning2[],MATCH(1,(Planning2[Nom]=B202)*(Planning2[Date]=Q202),0),4),"-")</f>
        <v>0.708333333333333</v>
      </c>
      <c r="G202" s="28"/>
      <c r="H202" s="28"/>
      <c r="I202" s="29" t="str">
        <f aca="false">IF(IF(OR(C202="",D202="Congé",D202="OFF",D202="Congé spécial"),"",IF(D202&gt;F202,D202-C202,IF(C202-D202&lt;0,0,C202-D202)))&lt;0.00068287037037037,"",IF(OR(D202="Congé",D202="OFF",C202="",D202="Congé spécial"),"",IF(D202&gt;F202,D202-C202,IF(C202-D202&lt;0,0,C202-D202))))</f>
        <v/>
      </c>
      <c r="J202" s="28"/>
      <c r="K202" s="30" t="n">
        <f aca="false">IF(SUM(H202:J202)&lt;0.00068287037037037,0,SUM(H202:J202))</f>
        <v>0</v>
      </c>
      <c r="L202" s="28" t="n">
        <f aca="false">IF(OR(F202="Congé",F202="OFF",M202="Abs",F202="Congé sans solde",F202="Férié",F202="Congé spécial",D202="Congé spécial"),0,IF(F202-E202&lt;0,0,IF(F202-E202&lt;=0.00068287037037037,0,F202-E202)))</f>
        <v>0</v>
      </c>
      <c r="M202" s="31" t="str">
        <f aca="false">IF(AND(O202&lt;&gt;0,C202=""),"Abs",0)</f>
        <v>Abs</v>
      </c>
      <c r="N202" s="32" t="str">
        <f aca="false">IFERROR(IF(OR(D202="OFF",D202="Congé",M202="Abs",D202="Congé sans solde",D202="Férié"),"",IF(O202-K202-L202&gt;O202,O202,IF(O202-K202-L202&lt;0,"",O202-K202-L202))),"")</f>
        <v/>
      </c>
      <c r="O202" s="33" t="n">
        <f aca="false">IF(AG202="2H Pause déjeuner",IF(F202-D202-0.0833333333333333&lt;0,F202-D202-0.0833333333333333+1,F202-D202-0.0833333333333333),IF(OR(AND(F202="OFF",D202="OFF"),AND(F202="Congé",D202="Congé"),AND(F202="Congé sans solde",D202="Congé sans solde"),AND(F202="Congé spécial",D202="Congé spécial"),AND(F202="Férié",D202="Férié"),AND(F202="OFF",D202="Congé"),AND(F202="OFF",D202="Congé sans solde"),AND(F202="OFF",D202="Congé spécial"),AND(F202="OFF",D202="Férié"),AND(F202="Congé",D202="OFF"),AND(F202="Congé",D202="Congé sans solde"),AND(F202="Congé",D202="Congé spécial"),AND(F202="Congé",D202="Férié"),AND(F202="Congé sans solde",D202="OFF"),AND(F202="Congé sans solde",D202="Congé"),AND(F202="Congé sans solde",D202="Congé spécial"),AND(F202="Congé sans solde",D202="Férié"),AND(F202="Congé spécial",D202="OFF"),AND(F202="Congé spécial",D202="Congé"),AND(F202="Congé spécial",D202="Congé sans solde"),AND(F202="Congé spécial",D202="Férié"),AND(F202="Férié",D202="OFF"),AND(F202="Férié",D202="Congé"),AND(F202="Férié",D202="Congé sans solde"),AND(F202="Férié",D202="Congé spécial")),0,IF(OR(F202="OFF",F202="Congé",F202="Congé spécial",F202="Congé sans solde",D202="OFF",D202="Congé",D202="Congé spécial",D202="Congé sans solde"),0.208333333333334,IF(AND(AG202="",F202-D202&lt;0),("24:00:00"-D202)+("00:00:00"+F202)-0.0416666666666667,IF(AND(OR(AG202="Allaitement",AG202="Sans déjeuner"),F202-D202&lt;0),("24:00:00"-D202)+("00:00:00"+F202),IF(AND(AG202="",F202-D202&gt;0.166666666666667),F202-D202-0.0416666666666667,IF(AND(OR(AG202="Allaitement",AG202="Sans déjeuner"),F202-D202&gt;0.166666666666667),F202-D202,F202-D202)))))))</f>
        <v>0.375</v>
      </c>
      <c r="P202" s="34" t="str">
        <f aca="false">IFERROR(VLOOKUP($B202,Annuaire_roster!$B:$G,MATCH(P$1,Annuaire_roster!$B$1:$G$1,0),0),"-")</f>
        <v>Google Leads</v>
      </c>
      <c r="Q202" s="35" t="n">
        <v>44723</v>
      </c>
      <c r="R202" s="36" t="n">
        <f aca="false">IF(M202="Abs",O202,0)</f>
        <v>0.375</v>
      </c>
      <c r="S202" s="36" t="n">
        <f aca="false">SUM(R202,L202,I202,J202,W202,H202)</f>
        <v>0.375</v>
      </c>
      <c r="T202" s="1" t="str">
        <f aca="false">"Sem - "&amp;WEEKNUM(Q202,21)</f>
        <v>Sem - 24</v>
      </c>
      <c r="U202" s="1" t="str">
        <f aca="false">PROPER(TEXT(Q202,"mmmm"))</f>
        <v>June</v>
      </c>
      <c r="V202" s="37" t="str">
        <f aca="false">+TEXT(Q202,"aaa")</f>
        <v>Fri</v>
      </c>
      <c r="W202" s="32"/>
      <c r="X202" s="38" t="n">
        <f aca="false">IFERROR(IF(M202="Abs",0,IF((D202-C202+E202-F202)&lt;0.000694444444444444,0,(D202-C202+E202-F202))),0)</f>
        <v>0</v>
      </c>
      <c r="Y202" s="39" t="str">
        <f aca="false">IFERROR(VLOOKUP(B202,Annuaire_roster!B:E,4,0),"-")</f>
        <v>CHOUIFI Mustapha</v>
      </c>
      <c r="Z202" s="39" t="str">
        <f aca="false">IFERROR(VLOOKUP(B202,Annuaire_roster!B:F,3,0),"-")</f>
        <v>Google Leads</v>
      </c>
      <c r="AA202" s="39" t="str">
        <f aca="false">IFERROR(VLOOKUP(B202,Annuaire_roster!B:I,6,0),"-")</f>
        <v>Forfaitaire</v>
      </c>
      <c r="AB202" s="40" t="str">
        <f aca="false">IF(AND(D202="Congé",F202="Congé"),0.333333333333333,IF(OR(AND(D202="Congé",F202&lt;&gt;"Congé"),(AND(F202="Congé",D202&lt;&gt;"Congé"))),0.166666666666667,""))</f>
        <v/>
      </c>
      <c r="AC202" s="40" t="str">
        <f aca="false">IF(AND(D202="Congé sans solde",F202="Congé sans solde"),0.333333333333333,IF(OR(AND(D202="Congé sans solde",F202&lt;&gt;"Congé sans solde"),(AND(F202="Congé sans solde",D202&lt;&gt;"Congé sans solde"))),0.166666666666667,""))</f>
        <v/>
      </c>
      <c r="AD202" s="40" t="str">
        <f aca="false">IF(AND(D202="Congé spécial",F202="Congé spécial"),0.333333333333333,IF(OR(AND(D202="Congé spécial",F202&lt;&gt;"Congé décès"),(AND(F202="Congé spécial",D202&lt;&gt;"Congé spécial"))),0.166666666666667,""))</f>
        <v/>
      </c>
      <c r="AE202" s="41" t="str">
        <f aca="false">IF(AND(D202="Férié",F202="Férié"),0.333333333333333,IF(OR(AND(D202="Férié",F202&lt;&gt;"Férié"),(AND(F202="Férié",D202&lt;&gt;"Férié"))),0.166666666666667,""))</f>
        <v/>
      </c>
      <c r="AF202" s="41"/>
      <c r="AG202" s="36"/>
    </row>
    <row r="203" customFormat="false" ht="12.75" hidden="true" customHeight="true" outlineLevel="0" collapsed="false">
      <c r="A203" s="22" t="n">
        <f aca="false">VLOOKUP(B203,Annuaire_roster!B:F,5,0)</f>
        <v>1009</v>
      </c>
      <c r="B203" s="23" t="s">
        <v>44</v>
      </c>
      <c r="C203" s="24" t="str">
        <f aca="false">IFERROR(IF(COUNTIFS(Pointage_brut!$E:$E,VLOOKUP($B203,Annuaire_roster!$B:$J,9,0),Pointage_brut!$A:$A,TEXT($Q203,"yyyymmdd")*1)=0,"",MOD(_xlfn.MINIFS(Pointage_brut!$F:$F,Pointage_brut!$E:$E,VLOOKUP($B203,Annuaire_roster!$B:$J,9,0),Pointage_brut!$A:$A,TEXT($Q203,"yyyymmdd")*1),1)),"")</f>
        <v/>
      </c>
      <c r="D203" s="25" t="n">
        <f aca="false" t="array" ref="D203:D203">IFERROR(INDEX(Planning2[],MATCH(1,(Planning2[Nom]=B203)*(Planning2[Date]=Q203),0),3),"-")</f>
        <v>0.416666666666667</v>
      </c>
      <c r="E203" s="26" t="str">
        <f aca="false">IFERROR(IF(COUNTIFS(Pointage_brut!$E:$E,VLOOKUP($B203,Annuaire_roster!$B:$J,9,0),Pointage_brut!$A:$A,TEXT($Q203,"yyyymmdd")*1)=0,"",MOD(_xlfn.MAXIFS(Pointage_brut!$G:$G,Pointage_brut!$E:$E,VLOOKUP($B203,Annuaire_roster!$B:$J,9,0),Pointage_brut!$A:$A,TEXT($Q203,"yyyymmdd")*1),1)),"")</f>
        <v/>
      </c>
      <c r="F203" s="27" t="n">
        <f aca="false" t="array" ref="F203:F203">IFERROR(INDEX(Planning2[],MATCH(1,(Planning2[Nom]=B203)*(Planning2[Date]=Q203),0),4),"-")</f>
        <v>0.833333333333333</v>
      </c>
      <c r="G203" s="28"/>
      <c r="H203" s="28"/>
      <c r="I203" s="29" t="str">
        <f aca="false">IF(IF(OR(C203="",D203="Congé",D203="OFF",D203="Congé spécial"),"",IF(D203&gt;F203,D203-C203,IF(C203-D203&lt;0,0,C203-D203)))&lt;0.00068287037037037,"",IF(OR(D203="Congé",D203="OFF",C203="",D203="Congé spécial"),"",IF(D203&gt;F203,D203-C203,IF(C203-D203&lt;0,0,C203-D203))))</f>
        <v/>
      </c>
      <c r="J203" s="28"/>
      <c r="K203" s="30" t="n">
        <f aca="false">IF(SUM(H203:J203)&lt;0.00068287037037037,0,SUM(H203:J203))</f>
        <v>0</v>
      </c>
      <c r="L203" s="28" t="n">
        <f aca="false">IF(OR(F203="Congé",F203="OFF",M203="Abs",F203="Congé sans solde",F203="Férié",F203="Congé spécial",D203="Congé spécial"),0,IF(F203-E203&lt;0,0,IF(F203-E203&lt;=0.00068287037037037,0,F203-E203)))</f>
        <v>0</v>
      </c>
      <c r="M203" s="31" t="str">
        <f aca="false">IF(AND(O203&lt;&gt;0,C203=""),"Abs",0)</f>
        <v>Abs</v>
      </c>
      <c r="N203" s="32" t="str">
        <f aca="false">IFERROR(IF(OR(D203="OFF",D203="Congé",M203="Abs",D203="Congé sans solde",D203="Férié"),"",IF(O203-K203-L203&gt;O203,O203,IF(O203-K203-L203&lt;0,"",O203-K203-L203))),"")</f>
        <v/>
      </c>
      <c r="O203" s="33" t="n">
        <f aca="false">IF(AG203="2H Pause déjeuner",IF(F203-D203-0.0833333333333333&lt;0,F203-D203-0.0833333333333333+1,F203-D203-0.0833333333333333),IF(OR(AND(F203="OFF",D203="OFF"),AND(F203="Congé",D203="Congé"),AND(F203="Congé sans solde",D203="Congé sans solde"),AND(F203="Congé spécial",D203="Congé spécial"),AND(F203="Férié",D203="Férié"),AND(F203="OFF",D203="Congé"),AND(F203="OFF",D203="Congé sans solde"),AND(F203="OFF",D203="Congé spécial"),AND(F203="OFF",D203="Férié"),AND(F203="Congé",D203="OFF"),AND(F203="Congé",D203="Congé sans solde"),AND(F203="Congé",D203="Congé spécial"),AND(F203="Congé",D203="Férié"),AND(F203="Congé sans solde",D203="OFF"),AND(F203="Congé sans solde",D203="Congé"),AND(F203="Congé sans solde",D203="Congé spécial"),AND(F203="Congé sans solde",D203="Férié"),AND(F203="Congé spécial",D203="OFF"),AND(F203="Congé spécial",D203="Congé"),AND(F203="Congé spécial",D203="Congé sans solde"),AND(F203="Congé spécial",D203="Férié"),AND(F203="Férié",D203="OFF"),AND(F203="Férié",D203="Congé"),AND(F203="Férié",D203="Congé sans solde"),AND(F203="Férié",D203="Congé spécial")),0,IF(OR(F203="OFF",F203="Congé",F203="Congé spécial",F203="Congé sans solde",D203="OFF",D203="Congé",D203="Congé spécial",D203="Congé sans solde"),0.208333333333334,IF(AND(AG203="",F203-D203&lt;0),("24:00:00"-D203)+("00:00:00"+F203)-0.0416666666666667,IF(AND(OR(AG203="Allaitement",AG203="Sans déjeuner"),F203-D203&lt;0),("24:00:00"-D203)+("00:00:00"+F203),IF(AND(AG203="",F203-D203&gt;0.166666666666667),F203-D203-0.0416666666666667,IF(AND(OR(AG203="Allaitement",AG203="Sans déjeuner"),F203-D203&gt;0.166666666666667),F203-D203,F203-D203)))))))</f>
        <v>0.375</v>
      </c>
      <c r="P203" s="34" t="str">
        <f aca="false">IFERROR(VLOOKUP($B203,Annuaire_roster!$B:$G,MATCH(P$1,Annuaire_roster!$B$1:$G$1,0),0),"-")</f>
        <v>Google Leads</v>
      </c>
      <c r="Q203" s="35" t="n">
        <v>44723</v>
      </c>
      <c r="R203" s="36" t="n">
        <f aca="false">IF(M203="Abs",O203,0)</f>
        <v>0.375</v>
      </c>
      <c r="S203" s="36" t="n">
        <f aca="false">SUM(R203,L203,I203,J203,W203,H203)</f>
        <v>0.375</v>
      </c>
      <c r="T203" s="1" t="str">
        <f aca="false">"Sem - "&amp;WEEKNUM(Q203,21)</f>
        <v>Sem - 24</v>
      </c>
      <c r="U203" s="1" t="str">
        <f aca="false">PROPER(TEXT(Q203,"mmmm"))</f>
        <v>June</v>
      </c>
      <c r="V203" s="37" t="str">
        <f aca="false">+TEXT(Q203,"aaa")</f>
        <v>Fri</v>
      </c>
      <c r="W203" s="32"/>
      <c r="X203" s="38" t="n">
        <f aca="false">IFERROR(IF(M203="Abs",0,IF((D203-C203+E203-F203)&lt;0.000694444444444444,0,(D203-C203+E203-F203))),0)</f>
        <v>0</v>
      </c>
      <c r="Y203" s="39" t="str">
        <f aca="false">IFERROR(VLOOKUP(B203,Annuaire_roster!B:E,4,0),"-")</f>
        <v>OUAQERROUCH Nour-El Houda</v>
      </c>
      <c r="Z203" s="39" t="str">
        <f aca="false">IFERROR(VLOOKUP(B203,Annuaire_roster!B:F,3,0),"-")</f>
        <v>Google Leads</v>
      </c>
      <c r="AA203" s="39" t="str">
        <f aca="false">IFERROR(VLOOKUP(B203,Annuaire_roster!B:I,6,0),"-")</f>
        <v>Forfaitaire</v>
      </c>
      <c r="AB203" s="40" t="str">
        <f aca="false">IF(AND(D203="Congé",F203="Congé"),0.333333333333333,IF(OR(AND(D203="Congé",F203&lt;&gt;"Congé"),(AND(F203="Congé",D203&lt;&gt;"Congé"))),0.166666666666667,""))</f>
        <v/>
      </c>
      <c r="AC203" s="40" t="str">
        <f aca="false">IF(AND(D203="Congé sans solde",F203="Congé sans solde"),0.333333333333333,IF(OR(AND(D203="Congé sans solde",F203&lt;&gt;"Congé sans solde"),(AND(F203="Congé sans solde",D203&lt;&gt;"Congé sans solde"))),0.166666666666667,""))</f>
        <v/>
      </c>
      <c r="AD203" s="40" t="str">
        <f aca="false">IF(AND(D203="Congé spécial",F203="Congé spécial"),0.333333333333333,IF(OR(AND(D203="Congé spécial",F203&lt;&gt;"Congé décès"),(AND(F203="Congé spécial",D203&lt;&gt;"Congé spécial"))),0.166666666666667,""))</f>
        <v/>
      </c>
      <c r="AE203" s="41" t="str">
        <f aca="false">IF(AND(D203="Férié",F203="Férié"),0.333333333333333,IF(OR(AND(D203="Férié",F203&lt;&gt;"Férié"),(AND(F203="Férié",D203&lt;&gt;"Férié"))),0.166666666666667,""))</f>
        <v/>
      </c>
      <c r="AF203" s="41"/>
      <c r="AG203" s="36"/>
    </row>
    <row r="204" customFormat="false" ht="12.75" hidden="true" customHeight="true" outlineLevel="0" collapsed="false">
      <c r="A204" s="22" t="n">
        <f aca="false">VLOOKUP(B204,Annuaire_roster!B:F,5,0)</f>
        <v>1131</v>
      </c>
      <c r="B204" s="23" t="s">
        <v>50</v>
      </c>
      <c r="C204" s="24" t="str">
        <f aca="false">IFERROR(IF(COUNTIFS(Pointage_brut!$E:$E,VLOOKUP($B204,Annuaire_roster!$B:$J,9,0),Pointage_brut!$A:$A,TEXT($Q204,"yyyymmdd")*1)=0,"",MOD(_xlfn.MINIFS(Pointage_brut!$F:$F,Pointage_brut!$E:$E,VLOOKUP($B204,Annuaire_roster!$B:$J,9,0),Pointage_brut!$A:$A,TEXT($Q204,"yyyymmdd")*1),1)),"")</f>
        <v/>
      </c>
      <c r="D204" s="25" t="str">
        <f aca="false" t="array" ref="D204:D204">IFERROR(INDEX(Planning2[],MATCH(1,(Planning2[Nom]=B204)*(Planning2[Date]=Q204),0),3),"-")</f>
        <v>OFF</v>
      </c>
      <c r="E204" s="26" t="str">
        <f aca="false">IFERROR(IF(COUNTIFS(Pointage_brut!$E:$E,VLOOKUP($B204,Annuaire_roster!$B:$J,9,0),Pointage_brut!$A:$A,TEXT($Q204,"yyyymmdd")*1)=0,"",MOD(_xlfn.MAXIFS(Pointage_brut!$G:$G,Pointage_brut!$E:$E,VLOOKUP($B204,Annuaire_roster!$B:$J,9,0),Pointage_brut!$A:$A,TEXT($Q204,"yyyymmdd")*1),1)),"")</f>
        <v/>
      </c>
      <c r="F204" s="27" t="str">
        <f aca="false" t="array" ref="F204:F204">IFERROR(INDEX(Planning2[],MATCH(1,(Planning2[Nom]=B204)*(Planning2[Date]=Q204),0),4),"-")</f>
        <v>OFF</v>
      </c>
      <c r="G204" s="28"/>
      <c r="H204" s="28"/>
      <c r="I204" s="29" t="str">
        <f aca="false">IF(IF(OR(C204="",D204="Congé",D204="OFF",D204="Congé spécial"),"",IF(D204&gt;F204,D204-C204,IF(C204-D204&lt;0,0,C204-D204)))&lt;0.00068287037037037,"",IF(OR(D204="Congé",D204="OFF",C204="",D204="Congé spécial"),"",IF(D204&gt;F204,D204-C204,IF(C204-D204&lt;0,0,C204-D204))))</f>
        <v/>
      </c>
      <c r="J204" s="53"/>
      <c r="K204" s="30" t="n">
        <f aca="false">IF(SUM(H204:J204)&lt;0.00068287037037037,0,SUM(H204:J204))</f>
        <v>0</v>
      </c>
      <c r="L204" s="28" t="n">
        <f aca="false">IF(OR(F204="Congé",F204="OFF",M204="Abs",F204="Congé sans solde",F204="Férié",F204="Congé spécial",D204="Congé spécial"),0,IF(F204-E204&lt;0,0,IF(F204-E204&lt;=0.00068287037037037,0,F204-E204)))</f>
        <v>0</v>
      </c>
      <c r="M204" s="31" t="n">
        <f aca="false">IF(AND(O204&lt;&gt;0,C204=""),"Abs",0)</f>
        <v>0</v>
      </c>
      <c r="N204" s="32" t="str">
        <f aca="false">IFERROR(IF(OR(D204="OFF",D204="Congé",M204="Abs",D204="Congé sans solde",D204="Férié"),"",IF(O204-K204-L204&gt;O204,O204,IF(O204-K204-L204&lt;0,"",O204-K204-L204))),"")</f>
        <v/>
      </c>
      <c r="O204" s="33" t="n">
        <f aca="false">IF(AG204="2H Pause déjeuner",IF(F204-D204-0.0833333333333333&lt;0,F204-D204-0.0833333333333333+1,F204-D204-0.0833333333333333),IF(OR(AND(F204="OFF",D204="OFF"),AND(F204="Congé",D204="Congé"),AND(F204="Congé sans solde",D204="Congé sans solde"),AND(F204="Congé spécial",D204="Congé spécial"),AND(F204="Férié",D204="Férié"),AND(F204="OFF",D204="Congé"),AND(F204="OFF",D204="Congé sans solde"),AND(F204="OFF",D204="Congé spécial"),AND(F204="OFF",D204="Férié"),AND(F204="Congé",D204="OFF"),AND(F204="Congé",D204="Congé sans solde"),AND(F204="Congé",D204="Congé spécial"),AND(F204="Congé",D204="Férié"),AND(F204="Congé sans solde",D204="OFF"),AND(F204="Congé sans solde",D204="Congé"),AND(F204="Congé sans solde",D204="Congé spécial"),AND(F204="Congé sans solde",D204="Férié"),AND(F204="Congé spécial",D204="OFF"),AND(F204="Congé spécial",D204="Congé"),AND(F204="Congé spécial",D204="Congé sans solde"),AND(F204="Congé spécial",D204="Férié"),AND(F204="Férié",D204="OFF"),AND(F204="Férié",D204="Congé"),AND(F204="Férié",D204="Congé sans solde"),AND(F204="Férié",D204="Congé spécial")),0,IF(OR(F204="OFF",F204="Congé",F204="Congé spécial",F204="Congé sans solde",D204="OFF",D204="Congé",D204="Congé spécial",D204="Congé sans solde"),0.208333333333334,IF(AND(AG204="",F204-D204&lt;0),("24:00:00"-D204)+("00:00:00"+F204)-0.0416666666666667,IF(AND(OR(AG204="Allaitement",AG204="Sans déjeuner"),F204-D204&lt;0),("24:00:00"-D204)+("00:00:00"+F204),IF(AND(AG204="",F204-D204&gt;0.166666666666667),F204-D204-0.0416666666666667,IF(AND(OR(AG204="Allaitement",AG204="Sans déjeuner"),F204-D204&gt;0.166666666666667),F204-D204,F204-D204)))))))</f>
        <v>0</v>
      </c>
      <c r="P204" s="34" t="str">
        <f aca="false">IFERROR(VLOOKUP($B204,Annuaire_roster!$B:$G,MATCH(P$1,Annuaire_roster!$B$1:$G$1,0),0),"-")</f>
        <v>Google Leads</v>
      </c>
      <c r="Q204" s="35" t="n">
        <v>44723</v>
      </c>
      <c r="R204" s="36" t="n">
        <f aca="false">IF(M204="Abs",O204,0)</f>
        <v>0</v>
      </c>
      <c r="S204" s="36" t="n">
        <f aca="false">SUM(R204,L204,I204,J204,W204,H204)</f>
        <v>0</v>
      </c>
      <c r="T204" s="1" t="str">
        <f aca="false">"Sem - "&amp;WEEKNUM(Q204,21)</f>
        <v>Sem - 24</v>
      </c>
      <c r="U204" s="1" t="str">
        <f aca="false">PROPER(TEXT(Q204,"mmmm"))</f>
        <v>June</v>
      </c>
      <c r="V204" s="37" t="str">
        <f aca="false">+TEXT(Q204,"aaa")</f>
        <v>Fri</v>
      </c>
      <c r="W204" s="32"/>
      <c r="X204" s="38" t="n">
        <f aca="false">IFERROR(IF(M204="Abs",0,IF((D204-C204+E204-F204)&lt;0.000694444444444444,0,(D204-C204+E204-F204))),0)</f>
        <v>0</v>
      </c>
      <c r="Y204" s="39" t="str">
        <f aca="false">IFERROR(VLOOKUP(B204,Annuaire_roster!B:E,4,0),"-")</f>
        <v>CHOUIFI Mustapha</v>
      </c>
      <c r="Z204" s="39" t="str">
        <f aca="false">IFERROR(VLOOKUP(B204,Annuaire_roster!B:F,3,0),"-")</f>
        <v>Google Leads</v>
      </c>
      <c r="AA204" s="39" t="str">
        <f aca="false">IFERROR(VLOOKUP(B204,Annuaire_roster!B:I,6,0),"-")</f>
        <v>Forfaitaire</v>
      </c>
      <c r="AB204" s="40" t="str">
        <f aca="false">IF(AND(D204="Congé",F204="Congé"),0.333333333333333,IF(OR(AND(D204="Congé",F204&lt;&gt;"Congé"),(AND(F204="Congé",D204&lt;&gt;"Congé"))),0.166666666666667,""))</f>
        <v/>
      </c>
      <c r="AC204" s="40" t="str">
        <f aca="false">IF(AND(D204="Congé sans solde",F204="Congé sans solde"),0.333333333333333,IF(OR(AND(D204="Congé sans solde",F204&lt;&gt;"Congé sans solde"),(AND(F204="Congé sans solde",D204&lt;&gt;"Congé sans solde"))),0.166666666666667,""))</f>
        <v/>
      </c>
      <c r="AD204" s="40" t="str">
        <f aca="false">IF(AND(D204="Congé spécial",F204="Congé spécial"),0.333333333333333,IF(OR(AND(D204="Congé spécial",F204&lt;&gt;"Congé décès"),(AND(F204="Congé spécial",D204&lt;&gt;"Congé spécial"))),0.166666666666667,""))</f>
        <v/>
      </c>
      <c r="AE204" s="41" t="str">
        <f aca="false">IF(AND(D204="Férié",F204="Férié"),0.333333333333333,IF(OR(AND(D204="Férié",F204&lt;&gt;"Férié"),(AND(F204="Férié",D204&lt;&gt;"Férié"))),0.166666666666667,""))</f>
        <v/>
      </c>
      <c r="AF204" s="41"/>
      <c r="AG204" s="36"/>
    </row>
    <row r="205" customFormat="false" ht="12.75" hidden="true" customHeight="true" outlineLevel="0" collapsed="false">
      <c r="A205" s="22" t="n">
        <f aca="false">VLOOKUP(B205,Annuaire_roster!B:F,5,0)</f>
        <v>1145</v>
      </c>
      <c r="B205" s="23" t="s">
        <v>61</v>
      </c>
      <c r="C205" s="24" t="str">
        <f aca="false">IFERROR(IF(COUNTIFS(Pointage_brut!$E:$E,VLOOKUP($B205,Annuaire_roster!$B:$J,9,0),Pointage_brut!$A:$A,TEXT($Q205,"yyyymmdd")*1)=0,"",MOD(_xlfn.MINIFS(Pointage_brut!$F:$F,Pointage_brut!$E:$E,VLOOKUP($B205,Annuaire_roster!$B:$J,9,0),Pointage_brut!$A:$A,TEXT($Q205,"yyyymmdd")*1),1)),"")</f>
        <v/>
      </c>
      <c r="D205" s="25" t="n">
        <f aca="false" t="array" ref="D205:D205">IFERROR(INDEX(Planning2[],MATCH(1,(Planning2[Nom]=B205)*(Planning2[Date]=Q205),0),3),"-")</f>
        <v>0.416666666666667</v>
      </c>
      <c r="E205" s="26" t="str">
        <f aca="false">IFERROR(IF(COUNTIFS(Pointage_brut!$E:$E,VLOOKUP($B205,Annuaire_roster!$B:$J,9,0),Pointage_brut!$A:$A,TEXT($Q205,"yyyymmdd")*1)=0,"",MOD(_xlfn.MAXIFS(Pointage_brut!$G:$G,Pointage_brut!$E:$E,VLOOKUP($B205,Annuaire_roster!$B:$J,9,0),Pointage_brut!$A:$A,TEXT($Q205,"yyyymmdd")*1),1)),"")</f>
        <v/>
      </c>
      <c r="F205" s="27" t="n">
        <f aca="false" t="array" ref="F205:F205">IFERROR(INDEX(Planning2[],MATCH(1,(Planning2[Nom]=B205)*(Planning2[Date]=Q205),0),4),"-")</f>
        <v>0.833333333333333</v>
      </c>
      <c r="G205" s="28"/>
      <c r="H205" s="28"/>
      <c r="I205" s="29" t="str">
        <f aca="false">IF(IF(OR(C205="",D205="Congé",D205="OFF",D205="Congé spécial"),"",IF(D205&gt;F205,D205-C205,IF(C205-D205&lt;0,0,C205-D205)))&lt;0.00068287037037037,"",IF(OR(D205="Congé",D205="OFF",C205="",D205="Congé spécial"),"",IF(D205&gt;F205,D205-C205,IF(C205-D205&lt;0,0,C205-D205))))</f>
        <v/>
      </c>
      <c r="J205" s="53"/>
      <c r="K205" s="30" t="n">
        <f aca="false">IF(SUM(H205:J205)&lt;0.00068287037037037,0,SUM(H205:J205))</f>
        <v>0</v>
      </c>
      <c r="L205" s="28" t="n">
        <f aca="false">IF(OR(F205="Congé",F205="OFF",M205="Abs",F205="Congé sans solde",F205="Férié",F205="Congé spécial",D205="Congé spécial"),0,IF(F205-E205&lt;0,0,IF(F205-E205&lt;=0.00068287037037037,0,F205-E205)))</f>
        <v>0</v>
      </c>
      <c r="M205" s="31" t="str">
        <f aca="false">IF(AND(O205&lt;&gt;0,C205=""),"Abs",0)</f>
        <v>Abs</v>
      </c>
      <c r="N205" s="32" t="str">
        <f aca="false">IFERROR(IF(OR(D205="OFF",D205="Congé",M205="Abs",D205="Congé sans solde",D205="Férié"),"",IF(O205-K205-L205&gt;O205,O205,IF(O205-K205-L205&lt;0,"",O205-K205-L205))),"")</f>
        <v/>
      </c>
      <c r="O205" s="33" t="n">
        <f aca="false">IF(AG205="2H Pause déjeuner",IF(F205-D205-0.0833333333333333&lt;0,F205-D205-0.0833333333333333+1,F205-D205-0.0833333333333333),IF(OR(AND(F205="OFF",D205="OFF"),AND(F205="Congé",D205="Congé"),AND(F205="Congé sans solde",D205="Congé sans solde"),AND(F205="Congé spécial",D205="Congé spécial"),AND(F205="Férié",D205="Férié"),AND(F205="OFF",D205="Congé"),AND(F205="OFF",D205="Congé sans solde"),AND(F205="OFF",D205="Congé spécial"),AND(F205="OFF",D205="Férié"),AND(F205="Congé",D205="OFF"),AND(F205="Congé",D205="Congé sans solde"),AND(F205="Congé",D205="Congé spécial"),AND(F205="Congé",D205="Férié"),AND(F205="Congé sans solde",D205="OFF"),AND(F205="Congé sans solde",D205="Congé"),AND(F205="Congé sans solde",D205="Congé spécial"),AND(F205="Congé sans solde",D205="Férié"),AND(F205="Congé spécial",D205="OFF"),AND(F205="Congé spécial",D205="Congé"),AND(F205="Congé spécial",D205="Congé sans solde"),AND(F205="Congé spécial",D205="Férié"),AND(F205="Férié",D205="OFF"),AND(F205="Férié",D205="Congé"),AND(F205="Férié",D205="Congé sans solde"),AND(F205="Férié",D205="Congé spécial")),0,IF(OR(F205="OFF",F205="Congé",F205="Congé spécial",F205="Congé sans solde",D205="OFF",D205="Congé",D205="Congé spécial",D205="Congé sans solde"),0.208333333333334,IF(AND(AG205="",F205-D205&lt;0),("24:00:00"-D205)+("00:00:00"+F205)-0.0416666666666667,IF(AND(OR(AG205="Allaitement",AG205="Sans déjeuner"),F205-D205&lt;0),("24:00:00"-D205)+("00:00:00"+F205),IF(AND(AG205="",F205-D205&gt;0.166666666666667),F205-D205-0.0416666666666667,IF(AND(OR(AG205="Allaitement",AG205="Sans déjeuner"),F205-D205&gt;0.166666666666667),F205-D205,F205-D205)))))))</f>
        <v>0.375</v>
      </c>
      <c r="P205" s="34" t="str">
        <f aca="false">IFERROR(VLOOKUP($B205,Annuaire_roster!$B:$G,MATCH(P$1,Annuaire_roster!$B$1:$G$1,0),0),"-")</f>
        <v>Google Leads</v>
      </c>
      <c r="Q205" s="35" t="n">
        <v>44723</v>
      </c>
      <c r="R205" s="36" t="n">
        <f aca="false">IF(M205="Abs",O205,0)</f>
        <v>0.375</v>
      </c>
      <c r="S205" s="36" t="n">
        <f aca="false">SUM(R205,L205,I205,J205,W205,H205)</f>
        <v>0.375</v>
      </c>
      <c r="T205" s="1" t="str">
        <f aca="false">"Sem - "&amp;WEEKNUM(Q205,21)</f>
        <v>Sem - 24</v>
      </c>
      <c r="U205" s="1" t="str">
        <f aca="false">PROPER(TEXT(Q205,"mmmm"))</f>
        <v>June</v>
      </c>
      <c r="V205" s="37" t="str">
        <f aca="false">+TEXT(Q205,"aaa")</f>
        <v>Fri</v>
      </c>
      <c r="W205" s="32"/>
      <c r="X205" s="38" t="n">
        <f aca="false">IFERROR(IF(M205="Abs",0,IF((D205-C205+E205-F205)&lt;0.000694444444444444,0,(D205-C205+E205-F205))),0)</f>
        <v>0</v>
      </c>
      <c r="Y205" s="39" t="str">
        <f aca="false">IFERROR(VLOOKUP(B205,Annuaire_roster!B:E,4,0),"-")</f>
        <v>CHOUIFI Mustapha</v>
      </c>
      <c r="Z205" s="39" t="str">
        <f aca="false">IFERROR(VLOOKUP(B205,Annuaire_roster!B:F,3,0),"-")</f>
        <v>Google Leads</v>
      </c>
      <c r="AA205" s="39" t="str">
        <f aca="false">IFERROR(VLOOKUP(B205,Annuaire_roster!B:I,6,0),"-")</f>
        <v>Forfaitaire</v>
      </c>
      <c r="AB205" s="40" t="str">
        <f aca="false">IF(AND(D205="Congé",F205="Congé"),0.333333333333333,IF(OR(AND(D205="Congé",F205&lt;&gt;"Congé"),(AND(F205="Congé",D205&lt;&gt;"Congé"))),0.166666666666667,""))</f>
        <v/>
      </c>
      <c r="AC205" s="40" t="str">
        <f aca="false">IF(AND(D205="Congé sans solde",F205="Congé sans solde"),0.333333333333333,IF(OR(AND(D205="Congé sans solde",F205&lt;&gt;"Congé sans solde"),(AND(F205="Congé sans solde",D205&lt;&gt;"Congé sans solde"))),0.166666666666667,""))</f>
        <v/>
      </c>
      <c r="AD205" s="40" t="str">
        <f aca="false">IF(AND(D205="Congé spécial",F205="Congé spécial"),0.333333333333333,IF(OR(AND(D205="Congé spécial",F205&lt;&gt;"Congé décès"),(AND(F205="Congé spécial",D205&lt;&gt;"Congé spécial"))),0.166666666666667,""))</f>
        <v/>
      </c>
      <c r="AE205" s="41" t="str">
        <f aca="false">IF(AND(D205="Férié",F205="Férié"),0.333333333333333,IF(OR(AND(D205="Férié",F205&lt;&gt;"Férié"),(AND(F205="Férié",D205&lt;&gt;"Férié"))),0.166666666666667,""))</f>
        <v/>
      </c>
      <c r="AF205" s="41"/>
      <c r="AG205" s="36"/>
    </row>
    <row r="206" customFormat="false" ht="12.75" hidden="true" customHeight="true" outlineLevel="0" collapsed="false">
      <c r="A206" s="22" t="n">
        <f aca="false">VLOOKUP(B206,Annuaire_roster!B:F,5,0)</f>
        <v>397</v>
      </c>
      <c r="B206" s="23" t="s">
        <v>56</v>
      </c>
      <c r="C206" s="24" t="str">
        <f aca="false">IFERROR(IF(COUNTIFS(Pointage_brut!$E:$E,VLOOKUP($B206,Annuaire_roster!$B:$J,9,0),Pointage_brut!$A:$A,TEXT($Q206,"yyyymmdd")*1)=0,"",MOD(_xlfn.MINIFS(Pointage_brut!$F:$F,Pointage_brut!$E:$E,VLOOKUP($B206,Annuaire_roster!$B:$J,9,0),Pointage_brut!$A:$A,TEXT($Q206,"yyyymmdd")*1),1)),"")</f>
        <v/>
      </c>
      <c r="D206" s="25" t="str">
        <f aca="false" t="array" ref="D206:D206">IFERROR(INDEX(Planning2[],MATCH(1,(Planning2[Nom]=B206)*(Planning2[Date]=Q206),0),3),"-")</f>
        <v>OFF</v>
      </c>
      <c r="E206" s="26" t="str">
        <f aca="false">IFERROR(IF(COUNTIFS(Pointage_brut!$E:$E,VLOOKUP($B206,Annuaire_roster!$B:$J,9,0),Pointage_brut!$A:$A,TEXT($Q206,"yyyymmdd")*1)=0,"",MOD(_xlfn.MAXIFS(Pointage_brut!$G:$G,Pointage_brut!$E:$E,VLOOKUP($B206,Annuaire_roster!$B:$J,9,0),Pointage_brut!$A:$A,TEXT($Q206,"yyyymmdd")*1),1)),"")</f>
        <v/>
      </c>
      <c r="F206" s="27" t="str">
        <f aca="false" t="array" ref="F206:F206">IFERROR(INDEX(Planning2[],MATCH(1,(Planning2[Nom]=B206)*(Planning2[Date]=Q206),0),4),"-")</f>
        <v>OFF</v>
      </c>
      <c r="G206" s="28"/>
      <c r="H206" s="28"/>
      <c r="I206" s="29" t="str">
        <f aca="false">IF(IF(OR(C206="",D206="Congé",D206="OFF",D206="Congé spécial"),"",IF(D206&gt;F206,D206-C206,IF(C206-D206&lt;0,0,C206-D206)))&lt;0.00068287037037037,"",IF(OR(D206="Congé",D206="OFF",C206="",D206="Congé spécial"),"",IF(D206&gt;F206,D206-C206,IF(C206-D206&lt;0,0,C206-D206))))</f>
        <v/>
      </c>
      <c r="J206" s="53"/>
      <c r="K206" s="30" t="n">
        <f aca="false">IF(SUM(H206:J206)&lt;0.00068287037037037,0,SUM(H206:J206))</f>
        <v>0</v>
      </c>
      <c r="L206" s="28" t="n">
        <f aca="false">IF(OR(F206="Congé",F206="OFF",M206="Abs",F206="Congé sans solde",F206="Férié",F206="Congé spécial",D206="Congé spécial"),0,IF(F206-E206&lt;0,0,IF(F206-E206&lt;=0.00068287037037037,0,F206-E206)))</f>
        <v>0</v>
      </c>
      <c r="M206" s="31" t="n">
        <f aca="false">IF(AND(O206&lt;&gt;0,C206=""),"Abs",0)</f>
        <v>0</v>
      </c>
      <c r="N206" s="32" t="str">
        <f aca="false">IFERROR(IF(OR(D206="OFF",D206="Congé",M206="Abs",D206="Congé sans solde",D206="Férié"),"",IF(O206-K206-L206&gt;O206,O206,IF(O206-K206-L206&lt;0,"",O206-K206-L206))),"")</f>
        <v/>
      </c>
      <c r="O206" s="33" t="n">
        <f aca="false">IF(AG206="2H Pause déjeuner",IF(F206-D206-0.0833333333333333&lt;0,F206-D206-0.0833333333333333+1,F206-D206-0.0833333333333333),IF(OR(AND(F206="OFF",D206="OFF"),AND(F206="Congé",D206="Congé"),AND(F206="Congé sans solde",D206="Congé sans solde"),AND(F206="Congé spécial",D206="Congé spécial"),AND(F206="Férié",D206="Férié"),AND(F206="OFF",D206="Congé"),AND(F206="OFF",D206="Congé sans solde"),AND(F206="OFF",D206="Congé spécial"),AND(F206="OFF",D206="Férié"),AND(F206="Congé",D206="OFF"),AND(F206="Congé",D206="Congé sans solde"),AND(F206="Congé",D206="Congé spécial"),AND(F206="Congé",D206="Férié"),AND(F206="Congé sans solde",D206="OFF"),AND(F206="Congé sans solde",D206="Congé"),AND(F206="Congé sans solde",D206="Congé spécial"),AND(F206="Congé sans solde",D206="Férié"),AND(F206="Congé spécial",D206="OFF"),AND(F206="Congé spécial",D206="Congé"),AND(F206="Congé spécial",D206="Congé sans solde"),AND(F206="Congé spécial",D206="Férié"),AND(F206="Férié",D206="OFF"),AND(F206="Férié",D206="Congé"),AND(F206="Férié",D206="Congé sans solde"),AND(F206="Férié",D206="Congé spécial")),0,IF(OR(F206="OFF",F206="Congé",F206="Congé spécial",F206="Congé sans solde",D206="OFF",D206="Congé",D206="Congé spécial",D206="Congé sans solde"),0.208333333333334,IF(AND(AG206="",F206-D206&lt;0),("24:00:00"-D206)+("00:00:00"+F206)-0.0416666666666667,IF(AND(OR(AG206="Allaitement",AG206="Sans déjeuner"),F206-D206&lt;0),("24:00:00"-D206)+("00:00:00"+F206),IF(AND(AG206="",F206-D206&gt;0.166666666666667),F206-D206-0.0416666666666667,IF(AND(OR(AG206="Allaitement",AG206="Sans déjeuner"),F206-D206&gt;0.166666666666667),F206-D206,F206-D206)))))))</f>
        <v>0</v>
      </c>
      <c r="P206" s="34" t="str">
        <f aca="false">IFERROR(VLOOKUP($B206,Annuaire_roster!$B:$G,MATCH(P$1,Annuaire_roster!$B$1:$G$1,0),0),"-")</f>
        <v>Google Leads</v>
      </c>
      <c r="Q206" s="35" t="n">
        <v>44723</v>
      </c>
      <c r="R206" s="36" t="n">
        <f aca="false">IF(M206="Abs",O206,0)</f>
        <v>0</v>
      </c>
      <c r="S206" s="36" t="n">
        <f aca="false">SUM(R206,L206,I206,J206,W206,H206)</f>
        <v>0</v>
      </c>
      <c r="T206" s="1" t="str">
        <f aca="false">"Sem - "&amp;WEEKNUM(Q206,21)</f>
        <v>Sem - 24</v>
      </c>
      <c r="U206" s="1" t="str">
        <f aca="false">PROPER(TEXT(Q206,"mmmm"))</f>
        <v>June</v>
      </c>
      <c r="V206" s="37" t="str">
        <f aca="false">+TEXT(Q206,"aaa")</f>
        <v>Fri</v>
      </c>
      <c r="W206" s="32"/>
      <c r="X206" s="38" t="n">
        <f aca="false">IFERROR(IF(M206="Abs",0,IF((D206-C206+E206-F206)&lt;0.000694444444444444,0,(D206-C206+E206-F206))),0)</f>
        <v>0</v>
      </c>
      <c r="Y206" s="39" t="str">
        <f aca="false">IFERROR(VLOOKUP(B206,Annuaire_roster!B:E,4,0),"-")</f>
        <v>OUAQERROUCH Nour-El Houda</v>
      </c>
      <c r="Z206" s="39" t="str">
        <f aca="false">IFERROR(VLOOKUP(B206,Annuaire_roster!B:F,3,0),"-")</f>
        <v>Google Leads</v>
      </c>
      <c r="AA206" s="39" t="str">
        <f aca="false">IFERROR(VLOOKUP(B206,Annuaire_roster!B:I,6,0),"-")</f>
        <v>Forfaitaire</v>
      </c>
      <c r="AB206" s="40" t="str">
        <f aca="false">IF(AND(D206="Congé",F206="Congé"),0.333333333333333,IF(OR(AND(D206="Congé",F206&lt;&gt;"Congé"),(AND(F206="Congé",D206&lt;&gt;"Congé"))),0.166666666666667,""))</f>
        <v/>
      </c>
      <c r="AC206" s="40" t="str">
        <f aca="false">IF(AND(D206="Congé sans solde",F206="Congé sans solde"),0.333333333333333,IF(OR(AND(D206="Congé sans solde",F206&lt;&gt;"Congé sans solde"),(AND(F206="Congé sans solde",D206&lt;&gt;"Congé sans solde"))),0.166666666666667,""))</f>
        <v/>
      </c>
      <c r="AD206" s="40" t="str">
        <f aca="false">IF(AND(D206="Congé spécial",F206="Congé spécial"),0.333333333333333,IF(OR(AND(D206="Congé spécial",F206&lt;&gt;"Congé décès"),(AND(F206="Congé spécial",D206&lt;&gt;"Congé spécial"))),0.166666666666667,""))</f>
        <v/>
      </c>
      <c r="AE206" s="41" t="str">
        <f aca="false">IF(AND(D206="Férié",F206="Férié"),0.333333333333333,IF(OR(AND(D206="Férié",F206&lt;&gt;"Férié"),(AND(F206="Férié",D206&lt;&gt;"Férié"))),0.166666666666667,""))</f>
        <v/>
      </c>
      <c r="AF206" s="41"/>
      <c r="AG206" s="36"/>
    </row>
    <row r="207" customFormat="false" ht="12.75" hidden="true" customHeight="true" outlineLevel="0" collapsed="false">
      <c r="A207" s="22" t="n">
        <f aca="false">VLOOKUP(B207,Annuaire_roster!B:F,5,0)</f>
        <v>1132</v>
      </c>
      <c r="B207" s="23" t="s">
        <v>52</v>
      </c>
      <c r="C207" s="24" t="str">
        <f aca="false">IFERROR(IF(COUNTIFS(Pointage_brut!$E:$E,VLOOKUP($B207,Annuaire_roster!$B:$J,9,0),Pointage_brut!$A:$A,TEXT($Q207,"yyyymmdd")*1)=0,"",MOD(_xlfn.MINIFS(Pointage_brut!$F:$F,Pointage_brut!$E:$E,VLOOKUP($B207,Annuaire_roster!$B:$J,9,0),Pointage_brut!$A:$A,TEXT($Q207,"yyyymmdd")*1),1)),"")</f>
        <v/>
      </c>
      <c r="D207" s="25" t="n">
        <f aca="false" t="array" ref="D207:D207">IFERROR(INDEX(Planning2[],MATCH(1,(Planning2[Nom]=B207)*(Planning2[Date]=Q207),0),3),"-")</f>
        <v>0.416666666666667</v>
      </c>
      <c r="E207" s="26" t="str">
        <f aca="false">IFERROR(IF(COUNTIFS(Pointage_brut!$E:$E,VLOOKUP($B207,Annuaire_roster!$B:$J,9,0),Pointage_brut!$A:$A,TEXT($Q207,"yyyymmdd")*1)=0,"",MOD(_xlfn.MAXIFS(Pointage_brut!$G:$G,Pointage_brut!$E:$E,VLOOKUP($B207,Annuaire_roster!$B:$J,9,0),Pointage_brut!$A:$A,TEXT($Q207,"yyyymmdd")*1),1)),"")</f>
        <v/>
      </c>
      <c r="F207" s="27" t="n">
        <f aca="false" t="array" ref="F207:F207">IFERROR(INDEX(Planning2[],MATCH(1,(Planning2[Nom]=B207)*(Planning2[Date]=Q207),0),4),"-")</f>
        <v>0.833333333333333</v>
      </c>
      <c r="G207" s="28"/>
      <c r="H207" s="28"/>
      <c r="I207" s="29" t="str">
        <f aca="false">IF(IF(OR(C207="",D207="Congé",D207="OFF",D207="Congé spécial"),"",IF(D207&gt;F207,D207-C207,IF(C207-D207&lt;0,0,C207-D207)))&lt;0.00068287037037037,"",IF(OR(D207="Congé",D207="OFF",C207="",D207="Congé spécial"),"",IF(D207&gt;F207,D207-C207,IF(C207-D207&lt;0,0,C207-D207))))</f>
        <v/>
      </c>
      <c r="J207" s="53"/>
      <c r="K207" s="30" t="n">
        <f aca="false">IF(SUM(H207:J207)&lt;0.00068287037037037,0,SUM(H207:J207))</f>
        <v>0</v>
      </c>
      <c r="L207" s="28" t="n">
        <f aca="false">IF(OR(F207="Congé",F207="OFF",M207="Abs",F207="Congé sans solde",F207="Férié",F207="Congé spécial",D207="Congé spécial"),0,IF(F207-E207&lt;0,0,IF(F207-E207&lt;=0.00068287037037037,0,F207-E207)))</f>
        <v>0</v>
      </c>
      <c r="M207" s="31" t="str">
        <f aca="false">IF(AND(O207&lt;&gt;0,C207=""),"Abs",0)</f>
        <v>Abs</v>
      </c>
      <c r="N207" s="32" t="str">
        <f aca="false">IFERROR(IF(OR(D207="OFF",D207="Congé",M207="Abs",D207="Congé sans solde",D207="Férié"),"",IF(O207-K207-L207&gt;O207,O207,IF(O207-K207-L207&lt;0,"",O207-K207-L207))),"")</f>
        <v/>
      </c>
      <c r="O207" s="33" t="n">
        <f aca="false">IF(AG207="2H Pause déjeuner",IF(F207-D207-0.0833333333333333&lt;0,F207-D207-0.0833333333333333+1,F207-D207-0.0833333333333333),IF(OR(AND(F207="OFF",D207="OFF"),AND(F207="Congé",D207="Congé"),AND(F207="Congé sans solde",D207="Congé sans solde"),AND(F207="Congé spécial",D207="Congé spécial"),AND(F207="Férié",D207="Férié"),AND(F207="OFF",D207="Congé"),AND(F207="OFF",D207="Congé sans solde"),AND(F207="OFF",D207="Congé spécial"),AND(F207="OFF",D207="Férié"),AND(F207="Congé",D207="OFF"),AND(F207="Congé",D207="Congé sans solde"),AND(F207="Congé",D207="Congé spécial"),AND(F207="Congé",D207="Férié"),AND(F207="Congé sans solde",D207="OFF"),AND(F207="Congé sans solde",D207="Congé"),AND(F207="Congé sans solde",D207="Congé spécial"),AND(F207="Congé sans solde",D207="Férié"),AND(F207="Congé spécial",D207="OFF"),AND(F207="Congé spécial",D207="Congé"),AND(F207="Congé spécial",D207="Congé sans solde"),AND(F207="Congé spécial",D207="Férié"),AND(F207="Férié",D207="OFF"),AND(F207="Férié",D207="Congé"),AND(F207="Férié",D207="Congé sans solde"),AND(F207="Férié",D207="Congé spécial")),0,IF(OR(F207="OFF",F207="Congé",F207="Congé spécial",F207="Congé sans solde",D207="OFF",D207="Congé",D207="Congé spécial",D207="Congé sans solde"),0.208333333333334,IF(AND(AG207="",F207-D207&lt;0),("24:00:00"-D207)+("00:00:00"+F207)-0.0416666666666667,IF(AND(OR(AG207="Allaitement",AG207="Sans déjeuner"),F207-D207&lt;0),("24:00:00"-D207)+("00:00:00"+F207),IF(AND(AG207="",F207-D207&gt;0.166666666666667),F207-D207-0.0416666666666667,IF(AND(OR(AG207="Allaitement",AG207="Sans déjeuner"),F207-D207&gt;0.166666666666667),F207-D207,F207-D207)))))))</f>
        <v>0.375</v>
      </c>
      <c r="P207" s="34" t="str">
        <f aca="false">IFERROR(VLOOKUP($B207,Annuaire_roster!$B:$G,MATCH(P$1,Annuaire_roster!$B$1:$G$1,0),0),"-")</f>
        <v>Google Leads</v>
      </c>
      <c r="Q207" s="35" t="n">
        <v>44723</v>
      </c>
      <c r="R207" s="36" t="n">
        <f aca="false">IF(M207="Abs",O207,0)</f>
        <v>0.375</v>
      </c>
      <c r="S207" s="36" t="n">
        <f aca="false">SUM(R207,L207,I207,J207,W207,H207)</f>
        <v>0.375</v>
      </c>
      <c r="T207" s="1" t="str">
        <f aca="false">"Sem - "&amp;WEEKNUM(Q207,21)</f>
        <v>Sem - 24</v>
      </c>
      <c r="U207" s="1" t="str">
        <f aca="false">PROPER(TEXT(Q207,"mmmm"))</f>
        <v>June</v>
      </c>
      <c r="V207" s="37" t="str">
        <f aca="false">+TEXT(Q207,"aaa")</f>
        <v>Fri</v>
      </c>
      <c r="W207" s="32"/>
      <c r="X207" s="38" t="n">
        <f aca="false">IFERROR(IF(M207="Abs",0,IF((D207-C207+E207-F207)&lt;0.000694444444444444,0,(D207-C207+E207-F207))),0)</f>
        <v>0</v>
      </c>
      <c r="Y207" s="39" t="str">
        <f aca="false">IFERROR(VLOOKUP(B207,Annuaire_roster!B:E,4,0),"-")</f>
        <v>CHOUIFI Mustapha</v>
      </c>
      <c r="Z207" s="39" t="str">
        <f aca="false">IFERROR(VLOOKUP(B207,Annuaire_roster!B:F,3,0),"-")</f>
        <v>Google Leads</v>
      </c>
      <c r="AA207" s="39" t="str">
        <f aca="false">IFERROR(VLOOKUP(B207,Annuaire_roster!B:I,6,0),"-")</f>
        <v>Forfaitaire</v>
      </c>
      <c r="AB207" s="40" t="str">
        <f aca="false">IF(AND(D207="Congé",F207="Congé"),0.333333333333333,IF(OR(AND(D207="Congé",F207&lt;&gt;"Congé"),(AND(F207="Congé",D207&lt;&gt;"Congé"))),0.166666666666667,""))</f>
        <v/>
      </c>
      <c r="AC207" s="40" t="str">
        <f aca="false">IF(AND(D207="Congé sans solde",F207="Congé sans solde"),0.333333333333333,IF(OR(AND(D207="Congé sans solde",F207&lt;&gt;"Congé sans solde"),(AND(F207="Congé sans solde",D207&lt;&gt;"Congé sans solde"))),0.166666666666667,""))</f>
        <v/>
      </c>
      <c r="AD207" s="40" t="str">
        <f aca="false">IF(AND(D207="Congé spécial",F207="Congé spécial"),0.333333333333333,IF(OR(AND(D207="Congé spécial",F207&lt;&gt;"Congé décès"),(AND(F207="Congé spécial",D207&lt;&gt;"Congé spécial"))),0.166666666666667,""))</f>
        <v/>
      </c>
      <c r="AE207" s="41" t="str">
        <f aca="false">IF(AND(D207="Férié",F207="Férié"),0.333333333333333,IF(OR(AND(D207="Férié",F207&lt;&gt;"Férié"),(AND(F207="Férié",D207&lt;&gt;"Férié"))),0.166666666666667,""))</f>
        <v/>
      </c>
      <c r="AF207" s="41"/>
      <c r="AG207" s="36"/>
    </row>
    <row r="208" customFormat="false" ht="12.75" hidden="true" customHeight="true" outlineLevel="0" collapsed="false">
      <c r="A208" s="22" t="n">
        <f aca="false">VLOOKUP(B208,Annuaire_roster!B:F,5,0)</f>
        <v>1170</v>
      </c>
      <c r="B208" s="23" t="s">
        <v>64</v>
      </c>
      <c r="C208" s="24" t="str">
        <f aca="false">IFERROR(IF(COUNTIFS(Pointage_brut!$E:$E,VLOOKUP($B208,Annuaire_roster!$B:$J,9,0),Pointage_brut!$A:$A,TEXT($Q208,"yyyymmdd")*1)=0,"",MOD(_xlfn.MINIFS(Pointage_brut!$F:$F,Pointage_brut!$E:$E,VLOOKUP($B208,Annuaire_roster!$B:$J,9,0),Pointage_brut!$A:$A,TEXT($Q208,"yyyymmdd")*1),1)),"")</f>
        <v/>
      </c>
      <c r="D208" s="25" t="str">
        <f aca="false" t="array" ref="D208:D208">IFERROR(INDEX(Planning2[],MATCH(1,(Planning2[Nom]=B208)*(Planning2[Date]=Q208),0),3),"-")</f>
        <v>OFF</v>
      </c>
      <c r="E208" s="26" t="str">
        <f aca="false">IFERROR(IF(COUNTIFS(Pointage_brut!$E:$E,VLOOKUP($B208,Annuaire_roster!$B:$J,9,0),Pointage_brut!$A:$A,TEXT($Q208,"yyyymmdd")*1)=0,"",MOD(_xlfn.MAXIFS(Pointage_brut!$G:$G,Pointage_brut!$E:$E,VLOOKUP($B208,Annuaire_roster!$B:$J,9,0),Pointage_brut!$A:$A,TEXT($Q208,"yyyymmdd")*1),1)),"")</f>
        <v/>
      </c>
      <c r="F208" s="27" t="str">
        <f aca="false" t="array" ref="F208:F208">IFERROR(INDEX(Planning2[],MATCH(1,(Planning2[Nom]=B208)*(Planning2[Date]=Q208),0),4),"-")</f>
        <v>OFF</v>
      </c>
      <c r="G208" s="28"/>
      <c r="H208" s="28"/>
      <c r="I208" s="29" t="str">
        <f aca="false">IF(IF(OR(C208="",D208="Congé",D208="OFF",D208="Congé spécial"),"",IF(D208&gt;F208,D208-C208,IF(C208-D208&lt;0,0,C208-D208)))&lt;0.00068287037037037,"",IF(OR(D208="Congé",D208="OFF",C208="",D208="Congé spécial"),"",IF(D208&gt;F208,D208-C208,IF(C208-D208&lt;0,0,C208-D208))))</f>
        <v/>
      </c>
      <c r="J208" s="53"/>
      <c r="K208" s="30" t="n">
        <f aca="false">IF(SUM(H208:J208)&lt;0.00068287037037037,0,SUM(H208:J208))</f>
        <v>0</v>
      </c>
      <c r="L208" s="28" t="n">
        <f aca="false">IF(OR(F208="Congé",F208="OFF",M208="Abs",F208="Congé sans solde",F208="Férié",F208="Congé spécial",D208="Congé spécial"),0,IF(F208-E208&lt;0,0,IF(F208-E208&lt;=0.00068287037037037,0,F208-E208)))</f>
        <v>0</v>
      </c>
      <c r="M208" s="31" t="n">
        <f aca="false">IF(AND(O208&lt;&gt;0,C208=""),"Abs",0)</f>
        <v>0</v>
      </c>
      <c r="N208" s="32" t="str">
        <f aca="false">IFERROR(IF(OR(D208="OFF",D208="Congé",M208="Abs",D208="Congé sans solde",D208="Férié"),"",IF(O208-K208-L208&gt;O208,O208,IF(O208-K208-L208&lt;0,"",O208-K208-L208))),"")</f>
        <v/>
      </c>
      <c r="O208" s="33" t="n">
        <f aca="false">IF(AG208="2H Pause déjeuner",IF(F208-D208-0.0833333333333333&lt;0,F208-D208-0.0833333333333333+1,F208-D208-0.0833333333333333),IF(OR(AND(F208="OFF",D208="OFF"),AND(F208="Congé",D208="Congé"),AND(F208="Congé sans solde",D208="Congé sans solde"),AND(F208="Congé spécial",D208="Congé spécial"),AND(F208="Férié",D208="Férié"),AND(F208="OFF",D208="Congé"),AND(F208="OFF",D208="Congé sans solde"),AND(F208="OFF",D208="Congé spécial"),AND(F208="OFF",D208="Férié"),AND(F208="Congé",D208="OFF"),AND(F208="Congé",D208="Congé sans solde"),AND(F208="Congé",D208="Congé spécial"),AND(F208="Congé",D208="Férié"),AND(F208="Congé sans solde",D208="OFF"),AND(F208="Congé sans solde",D208="Congé"),AND(F208="Congé sans solde",D208="Congé spécial"),AND(F208="Congé sans solde",D208="Férié"),AND(F208="Congé spécial",D208="OFF"),AND(F208="Congé spécial",D208="Congé"),AND(F208="Congé spécial",D208="Congé sans solde"),AND(F208="Congé spécial",D208="Férié"),AND(F208="Férié",D208="OFF"),AND(F208="Férié",D208="Congé"),AND(F208="Férié",D208="Congé sans solde"),AND(F208="Férié",D208="Congé spécial")),0,IF(OR(F208="OFF",F208="Congé",F208="Congé spécial",F208="Congé sans solde",D208="OFF",D208="Congé",D208="Congé spécial",D208="Congé sans solde"),0.208333333333334,IF(AND(AG208="",F208-D208&lt;0),("24:00:00"-D208)+("00:00:00"+F208)-0.0416666666666667,IF(AND(OR(AG208="Allaitement",AG208="Sans déjeuner"),F208-D208&lt;0),("24:00:00"-D208)+("00:00:00"+F208),IF(AND(AG208="",F208-D208&gt;0.166666666666667),F208-D208-0.0416666666666667,IF(AND(OR(AG208="Allaitement",AG208="Sans déjeuner"),F208-D208&gt;0.166666666666667),F208-D208,F208-D208)))))))</f>
        <v>0</v>
      </c>
      <c r="P208" s="34" t="str">
        <f aca="false">IFERROR(VLOOKUP($B208,Annuaire_roster!$B:$G,MATCH(P$1,Annuaire_roster!$B$1:$G$1,0),0),"-")</f>
        <v>Google Leads</v>
      </c>
      <c r="Q208" s="35" t="n">
        <v>44723</v>
      </c>
      <c r="R208" s="36" t="n">
        <f aca="false">IF(M208="Abs",O208,0)</f>
        <v>0</v>
      </c>
      <c r="S208" s="36" t="n">
        <f aca="false">SUM(R208,L208,I208,J208,W208,H208)</f>
        <v>0</v>
      </c>
      <c r="T208" s="1" t="str">
        <f aca="false">"Sem - "&amp;WEEKNUM(Q208,21)</f>
        <v>Sem - 24</v>
      </c>
      <c r="U208" s="1" t="str">
        <f aca="false">PROPER(TEXT(Q208,"mmmm"))</f>
        <v>June</v>
      </c>
      <c r="V208" s="37" t="str">
        <f aca="false">+TEXT(Q208,"aaa")</f>
        <v>Fri</v>
      </c>
      <c r="W208" s="32"/>
      <c r="X208" s="38" t="n">
        <f aca="false">IFERROR(IF(M208="Abs",0,IF((D208-C208+E208-F208)&lt;0.000694444444444444,0,(D208-C208+E208-F208))),0)</f>
        <v>0</v>
      </c>
      <c r="Y208" s="39" t="str">
        <f aca="false">IFERROR(VLOOKUP(B208,Annuaire_roster!B:E,4,0),"-")</f>
        <v>CHOUIFI Mustapha</v>
      </c>
      <c r="Z208" s="39" t="str">
        <f aca="false">IFERROR(VLOOKUP(B208,Annuaire_roster!B:F,3,0),"-")</f>
        <v>Google Leads</v>
      </c>
      <c r="AA208" s="39" t="str">
        <f aca="false">IFERROR(VLOOKUP(B208,Annuaire_roster!B:I,6,0),"-")</f>
        <v>Forfaitaire</v>
      </c>
      <c r="AB208" s="40" t="str">
        <f aca="false">IF(AND(D208="Congé",F208="Congé"),0.333333333333333,IF(OR(AND(D208="Congé",F208&lt;&gt;"Congé"),(AND(F208="Congé",D208&lt;&gt;"Congé"))),0.166666666666667,""))</f>
        <v/>
      </c>
      <c r="AC208" s="40" t="str">
        <f aca="false">IF(AND(D208="Congé sans solde",F208="Congé sans solde"),0.333333333333333,IF(OR(AND(D208="Congé sans solde",F208&lt;&gt;"Congé sans solde"),(AND(F208="Congé sans solde",D208&lt;&gt;"Congé sans solde"))),0.166666666666667,""))</f>
        <v/>
      </c>
      <c r="AD208" s="40" t="str">
        <f aca="false">IF(AND(D208="Congé spécial",F208="Congé spécial"),0.333333333333333,IF(OR(AND(D208="Congé spécial",F208&lt;&gt;"Congé décès"),(AND(F208="Congé spécial",D208&lt;&gt;"Congé spécial"))),0.166666666666667,""))</f>
        <v/>
      </c>
      <c r="AE208" s="41" t="str">
        <f aca="false">IF(AND(D208="Férié",F208="Férié"),0.333333333333333,IF(OR(AND(D208="Férié",F208&lt;&gt;"Férié"),(AND(F208="Férié",D208&lt;&gt;"Férié"))),0.166666666666667,""))</f>
        <v/>
      </c>
      <c r="AF208" s="41"/>
      <c r="AG208" s="36"/>
    </row>
    <row r="209" customFormat="false" ht="12.75" hidden="true" customHeight="true" outlineLevel="0" collapsed="false">
      <c r="A209" s="22" t="n">
        <f aca="false">VLOOKUP(B209,Annuaire_roster!B:F,5,0)</f>
        <v>1154</v>
      </c>
      <c r="B209" s="23" t="s">
        <v>53</v>
      </c>
      <c r="C209" s="24" t="str">
        <f aca="false">IFERROR(IF(COUNTIFS(Pointage_brut!$E:$E,VLOOKUP($B209,Annuaire_roster!$B:$J,9,0),Pointage_brut!$A:$A,TEXT($Q209,"yyyymmdd")*1)=0,"",MOD(_xlfn.MINIFS(Pointage_brut!$F:$F,Pointage_brut!$E:$E,VLOOKUP($B209,Annuaire_roster!$B:$J,9,0),Pointage_brut!$A:$A,TEXT($Q209,"yyyymmdd")*1),1)),"")</f>
        <v/>
      </c>
      <c r="D209" s="25" t="n">
        <f aca="false" t="array" ref="D209:D209">IFERROR(INDEX(Planning2[],MATCH(1,(Planning2[Nom]=B209)*(Planning2[Date]=Q209),0),3),"-")</f>
        <v>0.291666666666667</v>
      </c>
      <c r="E209" s="26" t="str">
        <f aca="false">IFERROR(IF(COUNTIFS(Pointage_brut!$E:$E,VLOOKUP($B209,Annuaire_roster!$B:$J,9,0),Pointage_brut!$A:$A,TEXT($Q209,"yyyymmdd")*1)=0,"",MOD(_xlfn.MAXIFS(Pointage_brut!$G:$G,Pointage_brut!$E:$E,VLOOKUP($B209,Annuaire_roster!$B:$J,9,0),Pointage_brut!$A:$A,TEXT($Q209,"yyyymmdd")*1),1)),"")</f>
        <v/>
      </c>
      <c r="F209" s="27" t="n">
        <f aca="false" t="array" ref="F209:F209">IFERROR(INDEX(Planning2[],MATCH(1,(Planning2[Nom]=B209)*(Planning2[Date]=Q209),0),4),"-")</f>
        <v>0.708333333333333</v>
      </c>
      <c r="G209" s="28"/>
      <c r="H209" s="28"/>
      <c r="I209" s="29" t="str">
        <f aca="false">IF(IF(OR(C209="",D209="Congé",D209="OFF",D209="Congé spécial"),"",IF(D209&gt;F209,D209-C209,IF(C209-D209&lt;0,0,C209-D209)))&lt;0.00068287037037037,"",IF(OR(D209="Congé",D209="OFF",C209="",D209="Congé spécial"),"",IF(D209&gt;F209,D209-C209,IF(C209-D209&lt;0,0,C209-D209))))</f>
        <v/>
      </c>
      <c r="J209" s="53"/>
      <c r="K209" s="30" t="n">
        <f aca="false">IF(SUM(H209:J209)&lt;0.00068287037037037,0,SUM(H209:J209))</f>
        <v>0</v>
      </c>
      <c r="L209" s="28" t="n">
        <f aca="false">IF(OR(F209="Congé",F209="OFF",M209="Abs",F209="Congé sans solde",F209="Férié",F209="Congé spécial",D209="Congé spécial"),0,IF(F209-E209&lt;0,0,IF(F209-E209&lt;=0.00068287037037037,0,F209-E209)))</f>
        <v>0</v>
      </c>
      <c r="M209" s="31" t="str">
        <f aca="false">IF(AND(O209&lt;&gt;0,C209=""),"Abs",0)</f>
        <v>Abs</v>
      </c>
      <c r="N209" s="32" t="str">
        <f aca="false">IFERROR(IF(OR(D209="OFF",D209="Congé",M209="Abs",D209="Congé sans solde",D209="Férié"),"",IF(O209-K209-L209&gt;O209,O209,IF(O209-K209-L209&lt;0,"",O209-K209-L209))),"")</f>
        <v/>
      </c>
      <c r="O209" s="33" t="n">
        <f aca="false">IF(AG209="2H Pause déjeuner",IF(F209-D209-0.0833333333333333&lt;0,F209-D209-0.0833333333333333+1,F209-D209-0.0833333333333333),IF(OR(AND(F209="OFF",D209="OFF"),AND(F209="Congé",D209="Congé"),AND(F209="Congé sans solde",D209="Congé sans solde"),AND(F209="Congé spécial",D209="Congé spécial"),AND(F209="Férié",D209="Férié"),AND(F209="OFF",D209="Congé"),AND(F209="OFF",D209="Congé sans solde"),AND(F209="OFF",D209="Congé spécial"),AND(F209="OFF",D209="Férié"),AND(F209="Congé",D209="OFF"),AND(F209="Congé",D209="Congé sans solde"),AND(F209="Congé",D209="Congé spécial"),AND(F209="Congé",D209="Férié"),AND(F209="Congé sans solde",D209="OFF"),AND(F209="Congé sans solde",D209="Congé"),AND(F209="Congé sans solde",D209="Congé spécial"),AND(F209="Congé sans solde",D209="Férié"),AND(F209="Congé spécial",D209="OFF"),AND(F209="Congé spécial",D209="Congé"),AND(F209="Congé spécial",D209="Congé sans solde"),AND(F209="Congé spécial",D209="Férié"),AND(F209="Férié",D209="OFF"),AND(F209="Férié",D209="Congé"),AND(F209="Férié",D209="Congé sans solde"),AND(F209="Férié",D209="Congé spécial")),0,IF(OR(F209="OFF",F209="Congé",F209="Congé spécial",F209="Congé sans solde",D209="OFF",D209="Congé",D209="Congé spécial",D209="Congé sans solde"),0.208333333333334,IF(AND(AG209="",F209-D209&lt;0),("24:00:00"-D209)+("00:00:00"+F209)-0.0416666666666667,IF(AND(OR(AG209="Allaitement",AG209="Sans déjeuner"),F209-D209&lt;0),("24:00:00"-D209)+("00:00:00"+F209),IF(AND(AG209="",F209-D209&gt;0.166666666666667),F209-D209-0.0416666666666667,IF(AND(OR(AG209="Allaitement",AG209="Sans déjeuner"),F209-D209&gt;0.166666666666667),F209-D209,F209-D209)))))))</f>
        <v>0.375</v>
      </c>
      <c r="P209" s="34" t="str">
        <f aca="false">IFERROR(VLOOKUP($B209,Annuaire_roster!$B:$G,MATCH(P$1,Annuaire_roster!$B$1:$G$1,0),0),"-")</f>
        <v>Google Leads</v>
      </c>
      <c r="Q209" s="35" t="n">
        <v>44723</v>
      </c>
      <c r="R209" s="36" t="n">
        <f aca="false">IF(M209="Abs",O209,0)</f>
        <v>0.375</v>
      </c>
      <c r="S209" s="36" t="n">
        <f aca="false">SUM(R209,L209,I209,J209,W209,H209)</f>
        <v>0.375</v>
      </c>
      <c r="T209" s="1" t="str">
        <f aca="false">"Sem - "&amp;WEEKNUM(Q209,21)</f>
        <v>Sem - 24</v>
      </c>
      <c r="U209" s="1" t="str">
        <f aca="false">PROPER(TEXT(Q209,"mmmm"))</f>
        <v>June</v>
      </c>
      <c r="V209" s="37" t="str">
        <f aca="false">+TEXT(Q209,"aaa")</f>
        <v>Fri</v>
      </c>
      <c r="W209" s="32"/>
      <c r="X209" s="38" t="n">
        <f aca="false">IFERROR(IF(M209="Abs",0,IF((D209-C209+E209-F209)&lt;0.000694444444444444,0,(D209-C209+E209-F209))),0)</f>
        <v>0</v>
      </c>
      <c r="Y209" s="39" t="str">
        <f aca="false">IFERROR(VLOOKUP(B209,Annuaire_roster!B:E,4,0),"-")</f>
        <v>CHOUIFI Mustapha</v>
      </c>
      <c r="Z209" s="39" t="str">
        <f aca="false">IFERROR(VLOOKUP(B209,Annuaire_roster!B:F,3,0),"-")</f>
        <v>Google Leads</v>
      </c>
      <c r="AA209" s="39" t="str">
        <f aca="false">IFERROR(VLOOKUP(B209,Annuaire_roster!B:I,6,0),"-")</f>
        <v>Forfaitaire</v>
      </c>
      <c r="AB209" s="40" t="str">
        <f aca="false">IF(AND(D209="Congé",F209="Congé"),0.333333333333333,IF(OR(AND(D209="Congé",F209&lt;&gt;"Congé"),(AND(F209="Congé",D209&lt;&gt;"Congé"))),0.166666666666667,""))</f>
        <v/>
      </c>
      <c r="AC209" s="40" t="str">
        <f aca="false">IF(AND(D209="Congé sans solde",F209="Congé sans solde"),0.333333333333333,IF(OR(AND(D209="Congé sans solde",F209&lt;&gt;"Congé sans solde"),(AND(F209="Congé sans solde",D209&lt;&gt;"Congé sans solde"))),0.166666666666667,""))</f>
        <v/>
      </c>
      <c r="AD209" s="40" t="str">
        <f aca="false">IF(AND(D209="Congé spécial",F209="Congé spécial"),0.333333333333333,IF(OR(AND(D209="Congé spécial",F209&lt;&gt;"Congé décès"),(AND(F209="Congé spécial",D209&lt;&gt;"Congé spécial"))),0.166666666666667,""))</f>
        <v/>
      </c>
      <c r="AE209" s="41" t="str">
        <f aca="false">IF(AND(D209="Férié",F209="Férié"),0.333333333333333,IF(OR(AND(D209="Férié",F209&lt;&gt;"Férié"),(AND(F209="Férié",D209&lt;&gt;"Férié"))),0.166666666666667,""))</f>
        <v/>
      </c>
      <c r="AF209" s="41"/>
      <c r="AG209" s="36"/>
    </row>
    <row r="210" customFormat="false" ht="12.75" hidden="true" customHeight="true" outlineLevel="0" collapsed="false">
      <c r="A210" s="22" t="n">
        <f aca="false">VLOOKUP(B210,Annuaire_roster!B:F,5,0)</f>
        <v>1167</v>
      </c>
      <c r="B210" s="23" t="s">
        <v>55</v>
      </c>
      <c r="C210" s="24" t="str">
        <f aca="false">IFERROR(IF(COUNTIFS(Pointage_brut!$E:$E,VLOOKUP($B210,Annuaire_roster!$B:$J,9,0),Pointage_brut!$A:$A,TEXT($Q210,"yyyymmdd")*1)=0,"",MOD(_xlfn.MINIFS(Pointage_brut!$F:$F,Pointage_brut!$E:$E,VLOOKUP($B210,Annuaire_roster!$B:$J,9,0),Pointage_brut!$A:$A,TEXT($Q210,"yyyymmdd")*1),1)),"")</f>
        <v/>
      </c>
      <c r="D210" s="25" t="n">
        <f aca="false" t="array" ref="D210:D210">IFERROR(INDEX(Planning2[],MATCH(1,(Planning2[Nom]=B210)*(Planning2[Date]=Q210),0),3),"-")</f>
        <v>0.291666666666667</v>
      </c>
      <c r="E210" s="26" t="str">
        <f aca="false">IFERROR(IF(COUNTIFS(Pointage_brut!$E:$E,VLOOKUP($B210,Annuaire_roster!$B:$J,9,0),Pointage_brut!$A:$A,TEXT($Q210,"yyyymmdd")*1)=0,"",MOD(_xlfn.MAXIFS(Pointage_brut!$G:$G,Pointage_brut!$E:$E,VLOOKUP($B210,Annuaire_roster!$B:$J,9,0),Pointage_brut!$A:$A,TEXT($Q210,"yyyymmdd")*1),1)),"")</f>
        <v/>
      </c>
      <c r="F210" s="27" t="n">
        <f aca="false" t="array" ref="F210:F210">IFERROR(INDEX(Planning2[],MATCH(1,(Planning2[Nom]=B210)*(Planning2[Date]=Q210),0),4),"-")</f>
        <v>0.666666666666667</v>
      </c>
      <c r="G210" s="28"/>
      <c r="H210" s="28"/>
      <c r="I210" s="29" t="str">
        <f aca="false">IF(IF(OR(C210="",D210="Congé",D210="OFF",D210="Congé spécial"),"",IF(D210&gt;F210,D210-C210,IF(C210-D210&lt;0,0,C210-D210)))&lt;0.00068287037037037,"",IF(OR(D210="Congé",D210="OFF",C210="",D210="Congé spécial"),"",IF(D210&gt;F210,D210-C210,IF(C210-D210&lt;0,0,C210-D210))))</f>
        <v/>
      </c>
      <c r="J210" s="53"/>
      <c r="K210" s="30" t="n">
        <f aca="false">IF(SUM(H210:J210)&lt;0.00068287037037037,0,SUM(H210:J210))</f>
        <v>0</v>
      </c>
      <c r="L210" s="28" t="n">
        <f aca="false">IF(OR(F210="Congé",F210="OFF",M210="Abs",F210="Congé sans solde",F210="Férié",F210="Congé spécial",D210="Congé spécial"),0,IF(F210-E210&lt;0,0,IF(F210-E210&lt;=0.00068287037037037,0,F210-E210)))</f>
        <v>0</v>
      </c>
      <c r="M210" s="31" t="str">
        <f aca="false">IF(AND(O210&lt;&gt;0,C210=""),"Abs",0)</f>
        <v>Abs</v>
      </c>
      <c r="N210" s="32" t="str">
        <f aca="false">IFERROR(IF(OR(D210="OFF",D210="Congé",M210="Abs",D210="Congé sans solde",D210="Férié"),"",IF(O210-K210-L210&gt;O210,O210,IF(O210-K210-L210&lt;0,"",O210-K210-L210))),"")</f>
        <v/>
      </c>
      <c r="O210" s="33" t="n">
        <f aca="false">IF(AG210="2H Pause déjeuner",IF(F210-D210-0.0833333333333333&lt;0,F210-D210-0.0833333333333333+1,F210-D210-0.0833333333333333),IF(OR(AND(F210="OFF",D210="OFF"),AND(F210="Congé",D210="Congé"),AND(F210="Congé sans solde",D210="Congé sans solde"),AND(F210="Congé spécial",D210="Congé spécial"),AND(F210="Férié",D210="Férié"),AND(F210="OFF",D210="Congé"),AND(F210="OFF",D210="Congé sans solde"),AND(F210="OFF",D210="Congé spécial"),AND(F210="OFF",D210="Férié"),AND(F210="Congé",D210="OFF"),AND(F210="Congé",D210="Congé sans solde"),AND(F210="Congé",D210="Congé spécial"),AND(F210="Congé",D210="Férié"),AND(F210="Congé sans solde",D210="OFF"),AND(F210="Congé sans solde",D210="Congé"),AND(F210="Congé sans solde",D210="Congé spécial"),AND(F210="Congé sans solde",D210="Férié"),AND(F210="Congé spécial",D210="OFF"),AND(F210="Congé spécial",D210="Congé"),AND(F210="Congé spécial",D210="Congé sans solde"),AND(F210="Congé spécial",D210="Férié"),AND(F210="Férié",D210="OFF"),AND(F210="Férié",D210="Congé"),AND(F210="Férié",D210="Congé sans solde"),AND(F210="Férié",D210="Congé spécial")),0,IF(OR(F210="OFF",F210="Congé",F210="Congé spécial",F210="Congé sans solde",D210="OFF",D210="Congé",D210="Congé spécial",D210="Congé sans solde"),0.208333333333334,IF(AND(AG210="",F210-D210&lt;0),("24:00:00"-D210)+("00:00:00"+F210)-0.0416666666666667,IF(AND(OR(AG210="Allaitement",AG210="Sans déjeuner"),F210-D210&lt;0),("24:00:00"-D210)+("00:00:00"+F210),IF(AND(AG210="",F210-D210&gt;0.166666666666667),F210-D210-0.0416666666666667,IF(AND(OR(AG210="Allaitement",AG210="Sans déjeuner"),F210-D210&gt;0.166666666666667),F210-D210,F210-D210)))))))</f>
        <v>0.333333333333333</v>
      </c>
      <c r="P210" s="34" t="str">
        <f aca="false">IFERROR(VLOOKUP($B210,Annuaire_roster!$B:$G,MATCH(P$1,Annuaire_roster!$B$1:$G$1,0),0),"-")</f>
        <v>Google Leads</v>
      </c>
      <c r="Q210" s="35" t="n">
        <v>44723</v>
      </c>
      <c r="R210" s="36" t="n">
        <f aca="false">IF(M210="Abs",O210,0)</f>
        <v>0.333333333333333</v>
      </c>
      <c r="S210" s="36" t="n">
        <f aca="false">SUM(R210,L210,I210,J210,W210,H210)</f>
        <v>0.333333333333333</v>
      </c>
      <c r="T210" s="1" t="str">
        <f aca="false">"Sem - "&amp;WEEKNUM(Q210,21)</f>
        <v>Sem - 24</v>
      </c>
      <c r="U210" s="1" t="str">
        <f aca="false">PROPER(TEXT(Q210,"mmmm"))</f>
        <v>June</v>
      </c>
      <c r="V210" s="37" t="str">
        <f aca="false">+TEXT(Q210,"aaa")</f>
        <v>Fri</v>
      </c>
      <c r="W210" s="32"/>
      <c r="X210" s="38" t="n">
        <f aca="false">IFERROR(IF(M210="Abs",0,IF((D210-C210+E210-F210)&lt;0.000694444444444444,0,(D210-C210+E210-F210))),0)</f>
        <v>0</v>
      </c>
      <c r="Y210" s="39" t="str">
        <f aca="false">IFERROR(VLOOKUP(B210,Annuaire_roster!B:E,4,0),"-")</f>
        <v>OUAQERROUCH Nour-El Houda</v>
      </c>
      <c r="Z210" s="39" t="str">
        <f aca="false">IFERROR(VLOOKUP(B210,Annuaire_roster!B:F,3,0),"-")</f>
        <v>Google Leads</v>
      </c>
      <c r="AA210" s="39" t="str">
        <f aca="false">IFERROR(VLOOKUP(B210,Annuaire_roster!B:I,6,0),"-")</f>
        <v>Forfaitaire</v>
      </c>
      <c r="AB210" s="40" t="str">
        <f aca="false">IF(AND(D210="Congé",F210="Congé"),0.333333333333333,IF(OR(AND(D210="Congé",F210&lt;&gt;"Congé"),(AND(F210="Congé",D210&lt;&gt;"Congé"))),0.166666666666667,""))</f>
        <v/>
      </c>
      <c r="AC210" s="40" t="str">
        <f aca="false">IF(AND(D210="Congé sans solde",F210="Congé sans solde"),0.333333333333333,IF(OR(AND(D210="Congé sans solde",F210&lt;&gt;"Congé sans solde"),(AND(F210="Congé sans solde",D210&lt;&gt;"Congé sans solde"))),0.166666666666667,""))</f>
        <v/>
      </c>
      <c r="AD210" s="40" t="str">
        <f aca="false">IF(AND(D210="Congé spécial",F210="Congé spécial"),0.333333333333333,IF(OR(AND(D210="Congé spécial",F210&lt;&gt;"Congé décès"),(AND(F210="Congé spécial",D210&lt;&gt;"Congé spécial"))),0.166666666666667,""))</f>
        <v/>
      </c>
      <c r="AE210" s="41" t="str">
        <f aca="false">IF(AND(D210="Férié",F210="Férié"),0.333333333333333,IF(OR(AND(D210="Férié",F210&lt;&gt;"Férié"),(AND(F210="Férié",D210&lt;&gt;"Férié"))),0.166666666666667,""))</f>
        <v/>
      </c>
      <c r="AF210" s="41"/>
      <c r="AG210" s="36"/>
    </row>
    <row r="211" customFormat="false" ht="12.75" hidden="true" customHeight="true" outlineLevel="0" collapsed="false">
      <c r="A211" s="22" t="n">
        <f aca="false">VLOOKUP(B211,Annuaire_roster!B:F,5,0)</f>
        <v>1274</v>
      </c>
      <c r="B211" s="23" t="s">
        <v>54</v>
      </c>
      <c r="C211" s="24" t="str">
        <f aca="false">IFERROR(IF(COUNTIFS(Pointage_brut!$E:$E,VLOOKUP($B211,Annuaire_roster!$B:$J,9,0),Pointage_brut!$A:$A,TEXT($Q211,"yyyymmdd")*1)=0,"",MOD(_xlfn.MINIFS(Pointage_brut!$F:$F,Pointage_brut!$E:$E,VLOOKUP($B211,Annuaire_roster!$B:$J,9,0),Pointage_brut!$A:$A,TEXT($Q211,"yyyymmdd")*1),1)),"")</f>
        <v/>
      </c>
      <c r="D211" s="25" t="str">
        <f aca="false" t="array" ref="D211:D211">IFERROR(INDEX(Planning2[],MATCH(1,(Planning2[Nom]=B211)*(Planning2[Date]=Q211),0),3),"-")</f>
        <v>OFF</v>
      </c>
      <c r="E211" s="26" t="str">
        <f aca="false">IFERROR(IF(COUNTIFS(Pointage_brut!$E:$E,VLOOKUP($B211,Annuaire_roster!$B:$J,9,0),Pointage_brut!$A:$A,TEXT($Q211,"yyyymmdd")*1)=0,"",MOD(_xlfn.MAXIFS(Pointage_brut!$G:$G,Pointage_brut!$E:$E,VLOOKUP($B211,Annuaire_roster!$B:$J,9,0),Pointage_brut!$A:$A,TEXT($Q211,"yyyymmdd")*1),1)),"")</f>
        <v/>
      </c>
      <c r="F211" s="27" t="str">
        <f aca="false" t="array" ref="F211:F211">IFERROR(INDEX(Planning2[],MATCH(1,(Planning2[Nom]=B211)*(Planning2[Date]=Q211),0),4),"-")</f>
        <v>OFF</v>
      </c>
      <c r="G211" s="28"/>
      <c r="H211" s="28"/>
      <c r="I211" s="29" t="str">
        <f aca="false">IF(IF(OR(C211="",D211="Congé",D211="OFF",D211="Congé spécial"),"",IF(D211&gt;F211,D211-C211,IF(C211-D211&lt;0,0,C211-D211)))&lt;0.00068287037037037,"",IF(OR(D211="Congé",D211="OFF",C211="",D211="Congé spécial"),"",IF(D211&gt;F211,D211-C211,IF(C211-D211&lt;0,0,C211-D211))))</f>
        <v/>
      </c>
      <c r="J211" s="53"/>
      <c r="K211" s="30" t="n">
        <f aca="false">IF(SUM(H211:J211)&lt;0.00068287037037037,0,SUM(H211:J211))</f>
        <v>0</v>
      </c>
      <c r="L211" s="28" t="n">
        <f aca="false">IF(OR(F211="Congé",F211="OFF",M211="Abs",F211="Congé sans solde",F211="Férié",F211="Congé spécial",D211="Congé spécial"),0,IF(F211-E211&lt;0,0,IF(F211-E211&lt;=0.00068287037037037,0,F211-E211)))</f>
        <v>0</v>
      </c>
      <c r="M211" s="31" t="n">
        <f aca="false">IF(AND(O211&lt;&gt;0,C211=""),"Abs",0)</f>
        <v>0</v>
      </c>
      <c r="N211" s="32" t="str">
        <f aca="false">IFERROR(IF(OR(D211="OFF",D211="Congé",M211="Abs",D211="Congé sans solde",D211="Férié"),"",IF(O211-K211-L211&gt;O211,O211,IF(O211-K211-L211&lt;0,"",O211-K211-L211))),"")</f>
        <v/>
      </c>
      <c r="O211" s="33" t="n">
        <f aca="false">IF(AG211="2H Pause déjeuner",IF(F211-D211-0.0833333333333333&lt;0,F211-D211-0.0833333333333333+1,F211-D211-0.0833333333333333),IF(OR(AND(F211="OFF",D211="OFF"),AND(F211="Congé",D211="Congé"),AND(F211="Congé sans solde",D211="Congé sans solde"),AND(F211="Congé spécial",D211="Congé spécial"),AND(F211="Férié",D211="Férié"),AND(F211="OFF",D211="Congé"),AND(F211="OFF",D211="Congé sans solde"),AND(F211="OFF",D211="Congé spécial"),AND(F211="OFF",D211="Férié"),AND(F211="Congé",D211="OFF"),AND(F211="Congé",D211="Congé sans solde"),AND(F211="Congé",D211="Congé spécial"),AND(F211="Congé",D211="Férié"),AND(F211="Congé sans solde",D211="OFF"),AND(F211="Congé sans solde",D211="Congé"),AND(F211="Congé sans solde",D211="Congé spécial"),AND(F211="Congé sans solde",D211="Férié"),AND(F211="Congé spécial",D211="OFF"),AND(F211="Congé spécial",D211="Congé"),AND(F211="Congé spécial",D211="Congé sans solde"),AND(F211="Congé spécial",D211="Férié"),AND(F211="Férié",D211="OFF"),AND(F211="Férié",D211="Congé"),AND(F211="Férié",D211="Congé sans solde"),AND(F211="Férié",D211="Congé spécial")),0,IF(OR(F211="OFF",F211="Congé",F211="Congé spécial",F211="Congé sans solde",D211="OFF",D211="Congé",D211="Congé spécial",D211="Congé sans solde"),0.208333333333334,IF(AND(AG211="",F211-D211&lt;0),("24:00:00"-D211)+("00:00:00"+F211)-0.0416666666666667,IF(AND(OR(AG211="Allaitement",AG211="Sans déjeuner"),F211-D211&lt;0),("24:00:00"-D211)+("00:00:00"+F211),IF(AND(AG211="",F211-D211&gt;0.166666666666667),F211-D211-0.0416666666666667,IF(AND(OR(AG211="Allaitement",AG211="Sans déjeuner"),F211-D211&gt;0.166666666666667),F211-D211,F211-D211)))))))</f>
        <v>0</v>
      </c>
      <c r="P211" s="34" t="str">
        <f aca="false">IFERROR(VLOOKUP($B211,Annuaire_roster!$B:$G,MATCH(P$1,Annuaire_roster!$B$1:$G$1,0),0),"-")</f>
        <v>Google Leads</v>
      </c>
      <c r="Q211" s="35" t="n">
        <v>44723</v>
      </c>
      <c r="R211" s="36" t="n">
        <f aca="false">IF(M211="Abs",O211,0)</f>
        <v>0</v>
      </c>
      <c r="S211" s="36" t="n">
        <f aca="false">SUM(R211,L211,I211,J211,W211,H211)</f>
        <v>0</v>
      </c>
      <c r="T211" s="1" t="str">
        <f aca="false">"Sem - "&amp;WEEKNUM(Q211,21)</f>
        <v>Sem - 24</v>
      </c>
      <c r="U211" s="1" t="str">
        <f aca="false">PROPER(TEXT(Q211,"mmmm"))</f>
        <v>June</v>
      </c>
      <c r="V211" s="37" t="str">
        <f aca="false">+TEXT(Q211,"aaa")</f>
        <v>Fri</v>
      </c>
      <c r="W211" s="32"/>
      <c r="X211" s="38" t="n">
        <f aca="false">IFERROR(IF(M211="Abs",0,IF((D211-C211+E211-F211)&lt;0.000694444444444444,0,(D211-C211+E211-F211))),0)</f>
        <v>0</v>
      </c>
      <c r="Y211" s="39" t="str">
        <f aca="false">IFERROR(VLOOKUP(B211,Annuaire_roster!B:E,4,0),"-")</f>
        <v>OUAQERROUCH Nour-El Houda</v>
      </c>
      <c r="Z211" s="39" t="str">
        <f aca="false">IFERROR(VLOOKUP(B211,Annuaire_roster!B:F,3,0),"-")</f>
        <v>Google Leads</v>
      </c>
      <c r="AA211" s="39" t="str">
        <f aca="false">IFERROR(VLOOKUP(B211,Annuaire_roster!B:I,6,0),"-")</f>
        <v>Forfaitaire</v>
      </c>
      <c r="AB211" s="40" t="str">
        <f aca="false">IF(AND(D211="Congé",F211="Congé"),0.333333333333333,IF(OR(AND(D211="Congé",F211&lt;&gt;"Congé"),(AND(F211="Congé",D211&lt;&gt;"Congé"))),0.166666666666667,""))</f>
        <v/>
      </c>
      <c r="AC211" s="40" t="str">
        <f aca="false">IF(AND(D211="Congé sans solde",F211="Congé sans solde"),0.333333333333333,IF(OR(AND(D211="Congé sans solde",F211&lt;&gt;"Congé sans solde"),(AND(F211="Congé sans solde",D211&lt;&gt;"Congé sans solde"))),0.166666666666667,""))</f>
        <v/>
      </c>
      <c r="AD211" s="40" t="str">
        <f aca="false">IF(AND(D211="Congé spécial",F211="Congé spécial"),0.333333333333333,IF(OR(AND(D211="Congé spécial",F211&lt;&gt;"Congé décès"),(AND(F211="Congé spécial",D211&lt;&gt;"Congé spécial"))),0.166666666666667,""))</f>
        <v/>
      </c>
      <c r="AE211" s="41" t="str">
        <f aca="false">IF(AND(D211="Férié",F211="Férié"),0.333333333333333,IF(OR(AND(D211="Férié",F211&lt;&gt;"Férié"),(AND(F211="Férié",D211&lt;&gt;"Férié"))),0.166666666666667,""))</f>
        <v/>
      </c>
      <c r="AF211" s="41"/>
      <c r="AG211" s="36"/>
    </row>
    <row r="212" customFormat="false" ht="12.75" hidden="true" customHeight="true" outlineLevel="0" collapsed="false">
      <c r="A212" s="22" t="n">
        <f aca="false">VLOOKUP(B212,Annuaire_roster!B:F,5,0)</f>
        <v>1165</v>
      </c>
      <c r="B212" s="23" t="s">
        <v>40</v>
      </c>
      <c r="C212" s="24" t="str">
        <f aca="false">IFERROR(IF(COUNTIFS(Pointage_brut!$E:$E,VLOOKUP($B212,Annuaire_roster!$B:$J,9,0),Pointage_brut!$A:$A,TEXT($Q212,"yyyymmdd")*1)=0,"",MOD(_xlfn.MINIFS(Pointage_brut!$F:$F,Pointage_brut!$E:$E,VLOOKUP($B212,Annuaire_roster!$B:$J,9,0),Pointage_brut!$A:$A,TEXT($Q212,"yyyymmdd")*1),1)),"")</f>
        <v/>
      </c>
      <c r="D212" s="25" t="str">
        <f aca="false" t="array" ref="D212:D212">IFERROR(INDEX(Planning2[],MATCH(1,(Planning2[Nom]=B212)*(Planning2[Date]=Q212),0),3),"-")</f>
        <v>OFF</v>
      </c>
      <c r="E212" s="26" t="str">
        <f aca="false">IFERROR(IF(COUNTIFS(Pointage_brut!$E:$E,VLOOKUP($B212,Annuaire_roster!$B:$J,9,0),Pointage_brut!$A:$A,TEXT($Q212,"yyyymmdd")*1)=0,"",MOD(_xlfn.MAXIFS(Pointage_brut!$G:$G,Pointage_brut!$E:$E,VLOOKUP($B212,Annuaire_roster!$B:$J,9,0),Pointage_brut!$A:$A,TEXT($Q212,"yyyymmdd")*1),1)),"")</f>
        <v/>
      </c>
      <c r="F212" s="27" t="str">
        <f aca="false" t="array" ref="F212:F212">IFERROR(INDEX(Planning2[],MATCH(1,(Planning2[Nom]=B212)*(Planning2[Date]=Q212),0),4),"-")</f>
        <v>OFF</v>
      </c>
      <c r="G212" s="28"/>
      <c r="H212" s="28"/>
      <c r="I212" s="29" t="str">
        <f aca="false">IF(IF(OR(C212="",D212="Congé",D212="OFF",D212="Congé spécial"),"",IF(D212&gt;F212,D212-C212,IF(C212-D212&lt;0,0,C212-D212)))&lt;0.00068287037037037,"",IF(OR(D212="Congé",D212="OFF",C212="",D212="Congé spécial"),"",IF(D212&gt;F212,D212-C212,IF(C212-D212&lt;0,0,C212-D212))))</f>
        <v/>
      </c>
      <c r="J212" s="53"/>
      <c r="K212" s="30" t="n">
        <f aca="false">IF(SUM(H212:J212)&lt;0.00068287037037037,0,SUM(H212:J212))</f>
        <v>0</v>
      </c>
      <c r="L212" s="28" t="n">
        <f aca="false">IF(OR(F212="Congé",F212="OFF",M212="Abs",F212="Congé sans solde",F212="Férié",F212="Congé spécial",D212="Congé spécial"),0,IF(F212-E212&lt;0,0,IF(F212-E212&lt;=0.00068287037037037,0,F212-E212)))</f>
        <v>0</v>
      </c>
      <c r="M212" s="31" t="n">
        <f aca="false">IF(AND(O212&lt;&gt;0,C212=""),"Abs",0)</f>
        <v>0</v>
      </c>
      <c r="N212" s="32" t="str">
        <f aca="false">IFERROR(IF(OR(D212="OFF",D212="Congé",M212="Abs",D212="Congé sans solde",D212="Férié"),"",IF(O212-K212-L212&gt;O212,O212,IF(O212-K212-L212&lt;0,"",O212-K212-L212))),"")</f>
        <v/>
      </c>
      <c r="O212" s="33" t="n">
        <f aca="false">IF(AG212="2H Pause déjeuner",IF(F212-D212-0.0833333333333333&lt;0,F212-D212-0.0833333333333333+1,F212-D212-0.0833333333333333),IF(OR(AND(F212="OFF",D212="OFF"),AND(F212="Congé",D212="Congé"),AND(F212="Congé sans solde",D212="Congé sans solde"),AND(F212="Congé spécial",D212="Congé spécial"),AND(F212="Férié",D212="Férié"),AND(F212="OFF",D212="Congé"),AND(F212="OFF",D212="Congé sans solde"),AND(F212="OFF",D212="Congé spécial"),AND(F212="OFF",D212="Férié"),AND(F212="Congé",D212="OFF"),AND(F212="Congé",D212="Congé sans solde"),AND(F212="Congé",D212="Congé spécial"),AND(F212="Congé",D212="Férié"),AND(F212="Congé sans solde",D212="OFF"),AND(F212="Congé sans solde",D212="Congé"),AND(F212="Congé sans solde",D212="Congé spécial"),AND(F212="Congé sans solde",D212="Férié"),AND(F212="Congé spécial",D212="OFF"),AND(F212="Congé spécial",D212="Congé"),AND(F212="Congé spécial",D212="Congé sans solde"),AND(F212="Congé spécial",D212="Férié"),AND(F212="Férié",D212="OFF"),AND(F212="Férié",D212="Congé"),AND(F212="Férié",D212="Congé sans solde"),AND(F212="Férié",D212="Congé spécial")),0,IF(OR(F212="OFF",F212="Congé",F212="Congé spécial",F212="Congé sans solde",D212="OFF",D212="Congé",D212="Congé spécial",D212="Congé sans solde"),0.208333333333334,IF(AND(AG212="",F212-D212&lt;0),("24:00:00"-D212)+("00:00:00"+F212)-0.0416666666666667,IF(AND(OR(AG212="Allaitement",AG212="Sans déjeuner"),F212-D212&lt;0),("24:00:00"-D212)+("00:00:00"+F212),IF(AND(AG212="",F212-D212&gt;0.166666666666667),F212-D212-0.0416666666666667,IF(AND(OR(AG212="Allaitement",AG212="Sans déjeuner"),F212-D212&gt;0.166666666666667),F212-D212,F212-D212)))))))</f>
        <v>0</v>
      </c>
      <c r="P212" s="34" t="str">
        <f aca="false">IFERROR(VLOOKUP($B212,Annuaire_roster!$B:$G,MATCH(P$1,Annuaire_roster!$B$1:$G$1,0),0),"-")</f>
        <v>Google Leads</v>
      </c>
      <c r="Q212" s="35" t="n">
        <v>44723</v>
      </c>
      <c r="R212" s="36" t="n">
        <f aca="false">IF(M212="Abs",O212,0)</f>
        <v>0</v>
      </c>
      <c r="S212" s="36" t="n">
        <f aca="false">SUM(R212,L212,I212,J212,W212,H212)</f>
        <v>0</v>
      </c>
      <c r="T212" s="1" t="str">
        <f aca="false">"Sem - "&amp;WEEKNUM(Q212,21)</f>
        <v>Sem - 24</v>
      </c>
      <c r="U212" s="1" t="str">
        <f aca="false">PROPER(TEXT(Q212,"mmmm"))</f>
        <v>June</v>
      </c>
      <c r="V212" s="37" t="str">
        <f aca="false">+TEXT(Q212,"aaa")</f>
        <v>Fri</v>
      </c>
      <c r="W212" s="32"/>
      <c r="X212" s="38" t="n">
        <f aca="false">IFERROR(IF(M212="Abs",0,IF((D212-C212+E212-F212)&lt;0.000694444444444444,0,(D212-C212+E212-F212))),0)</f>
        <v>0</v>
      </c>
      <c r="Y212" s="39" t="str">
        <f aca="false">IFERROR(VLOOKUP(B212,Annuaire_roster!B:E,4,0),"-")</f>
        <v>OUAQERROUCH Nour-El Houda</v>
      </c>
      <c r="Z212" s="39" t="str">
        <f aca="false">IFERROR(VLOOKUP(B212,Annuaire_roster!B:F,3,0),"-")</f>
        <v>Google Leads</v>
      </c>
      <c r="AA212" s="39" t="str">
        <f aca="false">IFERROR(VLOOKUP(B212,Annuaire_roster!B:I,6,0),"-")</f>
        <v>Forfaitaire</v>
      </c>
      <c r="AB212" s="40" t="str">
        <f aca="false">IF(AND(D212="Congé",F212="Congé"),0.333333333333333,IF(OR(AND(D212="Congé",F212&lt;&gt;"Congé"),(AND(F212="Congé",D212&lt;&gt;"Congé"))),0.166666666666667,""))</f>
        <v/>
      </c>
      <c r="AC212" s="40" t="str">
        <f aca="false">IF(AND(D212="Congé sans solde",F212="Congé sans solde"),0.333333333333333,IF(OR(AND(D212="Congé sans solde",F212&lt;&gt;"Congé sans solde"),(AND(F212="Congé sans solde",D212&lt;&gt;"Congé sans solde"))),0.166666666666667,""))</f>
        <v/>
      </c>
      <c r="AD212" s="40" t="str">
        <f aca="false">IF(AND(D212="Congé spécial",F212="Congé spécial"),0.333333333333333,IF(OR(AND(D212="Congé spécial",F212&lt;&gt;"Congé décès"),(AND(F212="Congé spécial",D212&lt;&gt;"Congé spécial"))),0.166666666666667,""))</f>
        <v/>
      </c>
      <c r="AE212" s="41" t="str">
        <f aca="false">IF(AND(D212="Férié",F212="Férié"),0.333333333333333,IF(OR(AND(D212="Férié",F212&lt;&gt;"Férié"),(AND(F212="Férié",D212&lt;&gt;"Férié"))),0.166666666666667,""))</f>
        <v/>
      </c>
      <c r="AF212" s="41"/>
      <c r="AG212" s="36"/>
    </row>
    <row r="213" customFormat="false" ht="12.75" hidden="true" customHeight="true" outlineLevel="0" collapsed="false">
      <c r="A213" s="22" t="n">
        <f aca="false">VLOOKUP(B213,Annuaire_roster!B:F,5,0)</f>
        <v>0</v>
      </c>
      <c r="B213" s="23" t="s">
        <v>41</v>
      </c>
      <c r="C213" s="24" t="str">
        <f aca="false">IFERROR(IF(COUNTIFS(Pointage_brut!$E:$E,VLOOKUP($B213,Annuaire_roster!$B:$J,9,0),Pointage_brut!$A:$A,TEXT($Q213,"yyyymmdd")*1)=0,"",MOD(_xlfn.MINIFS(Pointage_brut!$F:$F,Pointage_brut!$E:$E,VLOOKUP($B213,Annuaire_roster!$B:$J,9,0),Pointage_brut!$A:$A,TEXT($Q213,"yyyymmdd")*1),1)),"")</f>
        <v/>
      </c>
      <c r="D213" s="25" t="str">
        <f aca="false" t="array" ref="D213:D213">IFERROR(INDEX(Planning2[],MATCH(1,(Planning2[Nom]=B213)*(Planning2[Date]=Q213),0),3),"-")</f>
        <v>OFF</v>
      </c>
      <c r="E213" s="26" t="str">
        <f aca="false">IFERROR(IF(COUNTIFS(Pointage_brut!$E:$E,VLOOKUP($B213,Annuaire_roster!$B:$J,9,0),Pointage_brut!$A:$A,TEXT($Q213,"yyyymmdd")*1)=0,"",MOD(_xlfn.MAXIFS(Pointage_brut!$G:$G,Pointage_brut!$E:$E,VLOOKUP($B213,Annuaire_roster!$B:$J,9,0),Pointage_brut!$A:$A,TEXT($Q213,"yyyymmdd")*1),1)),"")</f>
        <v/>
      </c>
      <c r="F213" s="27" t="str">
        <f aca="false" t="array" ref="F213:F213">IFERROR(INDEX(Planning2[],MATCH(1,(Planning2[Nom]=B213)*(Planning2[Date]=Q213),0),4),"-")</f>
        <v>OFF</v>
      </c>
      <c r="G213" s="28"/>
      <c r="H213" s="28"/>
      <c r="I213" s="29" t="str">
        <f aca="false">IF(IF(OR(C213="",D213="Congé",D213="OFF",D213="Congé spécial"),"",IF(D213&gt;F213,D213-C213,IF(C213-D213&lt;0,0,C213-D213)))&lt;0.00068287037037037,"",IF(OR(D213="Congé",D213="OFF",C213="",D213="Congé spécial"),"",IF(D213&gt;F213,D213-C213,IF(C213-D213&lt;0,0,C213-D213))))</f>
        <v/>
      </c>
      <c r="J213" s="53"/>
      <c r="K213" s="30" t="n">
        <f aca="false">IF(SUM(H213:J213)&lt;0.00068287037037037,0,SUM(H213:J213))</f>
        <v>0</v>
      </c>
      <c r="L213" s="28" t="n">
        <f aca="false">IF(OR(F213="Congé",F213="OFF",M213="Abs",F213="Congé sans solde",F213="Férié",F213="Congé spécial",D213="Congé spécial"),0,IF(F213-E213&lt;0,0,IF(F213-E213&lt;=0.00068287037037037,0,F213-E213)))</f>
        <v>0</v>
      </c>
      <c r="M213" s="31" t="n">
        <f aca="false">IF(AND(O213&lt;&gt;0,C213=""),"Abs",0)</f>
        <v>0</v>
      </c>
      <c r="N213" s="32" t="str">
        <f aca="false">IFERROR(IF(OR(D213="OFF",D213="Congé",M213="Abs",D213="Congé sans solde",D213="Férié"),"",IF(O213-K213-L213&gt;O213,O213,IF(O213-K213-L213&lt;0,"",O213-K213-L213))),"")</f>
        <v/>
      </c>
      <c r="O213" s="33" t="n">
        <f aca="false">IF(AG213="2H Pause déjeuner",IF(F213-D213-0.0833333333333333&lt;0,F213-D213-0.0833333333333333+1,F213-D213-0.0833333333333333),IF(OR(AND(F213="OFF",D213="OFF"),AND(F213="Congé",D213="Congé"),AND(F213="Congé sans solde",D213="Congé sans solde"),AND(F213="Congé spécial",D213="Congé spécial"),AND(F213="Férié",D213="Férié"),AND(F213="OFF",D213="Congé"),AND(F213="OFF",D213="Congé sans solde"),AND(F213="OFF",D213="Congé spécial"),AND(F213="OFF",D213="Férié"),AND(F213="Congé",D213="OFF"),AND(F213="Congé",D213="Congé sans solde"),AND(F213="Congé",D213="Congé spécial"),AND(F213="Congé",D213="Férié"),AND(F213="Congé sans solde",D213="OFF"),AND(F213="Congé sans solde",D213="Congé"),AND(F213="Congé sans solde",D213="Congé spécial"),AND(F213="Congé sans solde",D213="Férié"),AND(F213="Congé spécial",D213="OFF"),AND(F213="Congé spécial",D213="Congé"),AND(F213="Congé spécial",D213="Congé sans solde"),AND(F213="Congé spécial",D213="Férié"),AND(F213="Férié",D213="OFF"),AND(F213="Férié",D213="Congé"),AND(F213="Férié",D213="Congé sans solde"),AND(F213="Férié",D213="Congé spécial")),0,IF(OR(F213="OFF",F213="Congé",F213="Congé spécial",F213="Congé sans solde",D213="OFF",D213="Congé",D213="Congé spécial",D213="Congé sans solde"),0.208333333333334,IF(AND(AG213="",F213-D213&lt;0),("24:00:00"-D213)+("00:00:00"+F213)-0.0416666666666667,IF(AND(OR(AG213="Allaitement",AG213="Sans déjeuner"),F213-D213&lt;0),("24:00:00"-D213)+("00:00:00"+F213),IF(AND(AG213="",F213-D213&gt;0.166666666666667),F213-D213-0.0416666666666667,IF(AND(OR(AG213="Allaitement",AG213="Sans déjeuner"),F213-D213&gt;0.166666666666667),F213-D213,F213-D213)))))))</f>
        <v>0</v>
      </c>
      <c r="P213" s="34" t="str">
        <f aca="false">IFERROR(VLOOKUP($B213,Annuaire_roster!$B:$G,MATCH(P$1,Annuaire_roster!$B$1:$G$1,0),0),"-")</f>
        <v>Google Leads</v>
      </c>
      <c r="Q213" s="35" t="n">
        <v>44723</v>
      </c>
      <c r="R213" s="36" t="n">
        <f aca="false">IF(M213="Abs",O213,0)</f>
        <v>0</v>
      </c>
      <c r="S213" s="36" t="n">
        <f aca="false">SUM(R213,L213,I213,J213,W213,H213)</f>
        <v>0</v>
      </c>
      <c r="T213" s="1" t="str">
        <f aca="false">"Sem - "&amp;WEEKNUM(Q213,21)</f>
        <v>Sem - 24</v>
      </c>
      <c r="U213" s="1" t="str">
        <f aca="false">PROPER(TEXT(Q213,"mmmm"))</f>
        <v>June</v>
      </c>
      <c r="V213" s="37" t="str">
        <f aca="false">+TEXT(Q213,"aaa")</f>
        <v>Fri</v>
      </c>
      <c r="W213" s="32"/>
      <c r="X213" s="38" t="n">
        <f aca="false">IFERROR(IF(M213="Abs",0,IF((D213-C213+E213-F213)&lt;0.000694444444444444,0,(D213-C213+E213-F213))),0)</f>
        <v>0</v>
      </c>
      <c r="Y213" s="39" t="str">
        <f aca="false">IFERROR(VLOOKUP(B213,Annuaire_roster!B:E,4,0),"-")</f>
        <v>CHOUIFI Mustapha</v>
      </c>
      <c r="Z213" s="39" t="str">
        <f aca="false">IFERROR(VLOOKUP(B213,Annuaire_roster!B:F,3,0),"-")</f>
        <v>Google Leads</v>
      </c>
      <c r="AA213" s="39" t="str">
        <f aca="false">IFERROR(VLOOKUP(B213,Annuaire_roster!B:I,6,0),"-")</f>
        <v>Forfaitaire</v>
      </c>
      <c r="AB213" s="40" t="str">
        <f aca="false">IF(AND(D213="Congé",F213="Congé"),0.333333333333333,IF(OR(AND(D213="Congé",F213&lt;&gt;"Congé"),(AND(F213="Congé",D213&lt;&gt;"Congé"))),0.166666666666667,""))</f>
        <v/>
      </c>
      <c r="AC213" s="40" t="str">
        <f aca="false">IF(AND(D213="Congé sans solde",F213="Congé sans solde"),0.333333333333333,IF(OR(AND(D213="Congé sans solde",F213&lt;&gt;"Congé sans solde"),(AND(F213="Congé sans solde",D213&lt;&gt;"Congé sans solde"))),0.166666666666667,""))</f>
        <v/>
      </c>
      <c r="AD213" s="40" t="str">
        <f aca="false">IF(AND(D213="Congé spécial",F213="Congé spécial"),0.333333333333333,IF(OR(AND(D213="Congé spécial",F213&lt;&gt;"Congé décès"),(AND(F213="Congé spécial",D213&lt;&gt;"Congé spécial"))),0.166666666666667,""))</f>
        <v/>
      </c>
      <c r="AE213" s="41" t="str">
        <f aca="false">IF(AND(D213="Férié",F213="Férié"),0.333333333333333,IF(OR(AND(D213="Férié",F213&lt;&gt;"Férié"),(AND(F213="Férié",D213&lt;&gt;"Férié"))),0.166666666666667,""))</f>
        <v/>
      </c>
      <c r="AF213" s="41"/>
      <c r="AG213" s="36"/>
    </row>
    <row r="214" customFormat="false" ht="12.75" hidden="true" customHeight="true" outlineLevel="0" collapsed="false">
      <c r="A214" s="22" t="n">
        <f aca="false">VLOOKUP(B214,Annuaire_roster!B:F,5,0)</f>
        <v>0</v>
      </c>
      <c r="B214" s="23" t="s">
        <v>34</v>
      </c>
      <c r="C214" s="24" t="str">
        <f aca="false">IFERROR(IF(COUNTIFS(Pointage_brut!$E:$E,VLOOKUP($B214,Annuaire_roster!$B:$J,9,0),Pointage_brut!$A:$A,TEXT($Q214,"yyyymmdd")*1)=0,"",MOD(_xlfn.MINIFS(Pointage_brut!$F:$F,Pointage_brut!$E:$E,VLOOKUP($B214,Annuaire_roster!$B:$J,9,0),Pointage_brut!$A:$A,TEXT($Q214,"yyyymmdd")*1),1)),"")</f>
        <v/>
      </c>
      <c r="D214" s="25" t="str">
        <f aca="false" t="array" ref="D214:D214">IFERROR(INDEX(Planning2[],MATCH(1,(Planning2[Nom]=B214)*(Planning2[Date]=Q214),0),3),"-")</f>
        <v>OFF</v>
      </c>
      <c r="E214" s="26" t="str">
        <f aca="false">IFERROR(IF(COUNTIFS(Pointage_brut!$E:$E,VLOOKUP($B214,Annuaire_roster!$B:$J,9,0),Pointage_brut!$A:$A,TEXT($Q214,"yyyymmdd")*1)=0,"",MOD(_xlfn.MAXIFS(Pointage_brut!$G:$G,Pointage_brut!$E:$E,VLOOKUP($B214,Annuaire_roster!$B:$J,9,0),Pointage_brut!$A:$A,TEXT($Q214,"yyyymmdd")*1),1)),"")</f>
        <v/>
      </c>
      <c r="F214" s="27" t="str">
        <f aca="false" t="array" ref="F214:F214">IFERROR(INDEX(Planning2[],MATCH(1,(Planning2[Nom]=B214)*(Planning2[Date]=Q214),0),4),"-")</f>
        <v>OFF</v>
      </c>
      <c r="G214" s="28"/>
      <c r="H214" s="28"/>
      <c r="I214" s="29" t="str">
        <f aca="false">IF(IF(OR(C214="",D214="Congé",D214="OFF",D214="Congé spécial"),"",IF(D214&gt;F214,D214-C214,IF(C214-D214&lt;0,0,C214-D214)))&lt;0.00068287037037037,"",IF(OR(D214="Congé",D214="OFF",C214="",D214="Congé spécial"),"",IF(D214&gt;F214,D214-C214,IF(C214-D214&lt;0,0,C214-D214))))</f>
        <v/>
      </c>
      <c r="J214" s="53"/>
      <c r="K214" s="30" t="n">
        <f aca="false">IF(SUM(H214:J214)&lt;0.00068287037037037,0,SUM(H214:J214))</f>
        <v>0</v>
      </c>
      <c r="L214" s="28" t="n">
        <f aca="false">IF(OR(F214="Congé",F214="OFF",M214="Abs",F214="Congé sans solde",F214="Férié",F214="Congé spécial",D214="Congé spécial"),0,IF(F214-E214&lt;0,0,IF(F214-E214&lt;=0.00068287037037037,0,F214-E214)))</f>
        <v>0</v>
      </c>
      <c r="M214" s="31" t="n">
        <f aca="false">IF(AND(O214&lt;&gt;0,C214=""),"Abs",0)</f>
        <v>0</v>
      </c>
      <c r="N214" s="32" t="str">
        <f aca="false">IFERROR(IF(OR(D214="OFF",D214="Congé",M214="Abs",D214="Congé sans solde",D214="Férié"),"",IF(O214-K214-L214&gt;O214,O214,IF(O214-K214-L214&lt;0,"",O214-K214-L214))),"")</f>
        <v/>
      </c>
      <c r="O214" s="33" t="n">
        <f aca="false">IF(AG214="2H Pause déjeuner",IF(F214-D214-0.0833333333333333&lt;0,F214-D214-0.0833333333333333+1,F214-D214-0.0833333333333333),IF(OR(AND(F214="OFF",D214="OFF"),AND(F214="Congé",D214="Congé"),AND(F214="Congé sans solde",D214="Congé sans solde"),AND(F214="Congé spécial",D214="Congé spécial"),AND(F214="Férié",D214="Férié"),AND(F214="OFF",D214="Congé"),AND(F214="OFF",D214="Congé sans solde"),AND(F214="OFF",D214="Congé spécial"),AND(F214="OFF",D214="Férié"),AND(F214="Congé",D214="OFF"),AND(F214="Congé",D214="Congé sans solde"),AND(F214="Congé",D214="Congé spécial"),AND(F214="Congé",D214="Férié"),AND(F214="Congé sans solde",D214="OFF"),AND(F214="Congé sans solde",D214="Congé"),AND(F214="Congé sans solde",D214="Congé spécial"),AND(F214="Congé sans solde",D214="Férié"),AND(F214="Congé spécial",D214="OFF"),AND(F214="Congé spécial",D214="Congé"),AND(F214="Congé spécial",D214="Congé sans solde"),AND(F214="Congé spécial",D214="Férié"),AND(F214="Férié",D214="OFF"),AND(F214="Férié",D214="Congé"),AND(F214="Férié",D214="Congé sans solde"),AND(F214="Férié",D214="Congé spécial")),0,IF(OR(F214="OFF",F214="Congé",F214="Congé spécial",F214="Congé sans solde",D214="OFF",D214="Congé",D214="Congé spécial",D214="Congé sans solde"),0.208333333333334,IF(AND(AG214="",F214-D214&lt;0),("24:00:00"-D214)+("00:00:00"+F214)-0.0416666666666667,IF(AND(OR(AG214="Allaitement",AG214="Sans déjeuner"),F214-D214&lt;0),("24:00:00"-D214)+("00:00:00"+F214),IF(AND(AG214="",F214-D214&gt;0.166666666666667),F214-D214-0.0416666666666667,IF(AND(OR(AG214="Allaitement",AG214="Sans déjeuner"),F214-D214&gt;0.166666666666667),F214-D214,F214-D214)))))))</f>
        <v>0</v>
      </c>
      <c r="P214" s="34" t="str">
        <f aca="false">IFERROR(VLOOKUP($B214,Annuaire_roster!$B:$G,MATCH(P$1,Annuaire_roster!$B$1:$G$1,0),0),"-")</f>
        <v>Google Leads</v>
      </c>
      <c r="Q214" s="35" t="n">
        <v>44723</v>
      </c>
      <c r="R214" s="36" t="n">
        <f aca="false">IF(M214="Abs",O214,0)</f>
        <v>0</v>
      </c>
      <c r="S214" s="36" t="n">
        <f aca="false">SUM(R214,L214,I214,J214,W214,H214)</f>
        <v>0</v>
      </c>
      <c r="T214" s="1" t="str">
        <f aca="false">"Sem - "&amp;WEEKNUM(Q214,21)</f>
        <v>Sem - 24</v>
      </c>
      <c r="U214" s="1" t="str">
        <f aca="false">PROPER(TEXT(Q214,"mmmm"))</f>
        <v>June</v>
      </c>
      <c r="V214" s="37" t="str">
        <f aca="false">+TEXT(Q214,"aaa")</f>
        <v>Fri</v>
      </c>
      <c r="W214" s="32"/>
      <c r="X214" s="38" t="n">
        <f aca="false">IFERROR(IF(M214="Abs",0,IF((D214-C214+E214-F214)&lt;0.000694444444444444,0,(D214-C214+E214-F214))),0)</f>
        <v>0</v>
      </c>
      <c r="Y214" s="39" t="n">
        <f aca="false">IFERROR(VLOOKUP(B214,Annuaire_roster!B:E,4,0),"-")</f>
        <v>0</v>
      </c>
      <c r="Z214" s="39" t="str">
        <f aca="false">IFERROR(VLOOKUP(B214,Annuaire_roster!B:F,3,0),"-")</f>
        <v>Google Leads</v>
      </c>
      <c r="AA214" s="39" t="n">
        <f aca="false">IFERROR(VLOOKUP(B214,Annuaire_roster!B:I,6,0),"-")</f>
        <v>0</v>
      </c>
      <c r="AB214" s="40" t="str">
        <f aca="false">IF(AND(D214="Congé",F214="Congé"),0.333333333333333,IF(OR(AND(D214="Congé",F214&lt;&gt;"Congé"),(AND(F214="Congé",D214&lt;&gt;"Congé"))),0.166666666666667,""))</f>
        <v/>
      </c>
      <c r="AC214" s="40" t="str">
        <f aca="false">IF(AND(D214="Congé sans solde",F214="Congé sans solde"),0.333333333333333,IF(OR(AND(D214="Congé sans solde",F214&lt;&gt;"Congé sans solde"),(AND(F214="Congé sans solde",D214&lt;&gt;"Congé sans solde"))),0.166666666666667,""))</f>
        <v/>
      </c>
      <c r="AD214" s="40" t="str">
        <f aca="false">IF(AND(D214="Congé spécial",F214="Congé spécial"),0.333333333333333,IF(OR(AND(D214="Congé spécial",F214&lt;&gt;"Congé décès"),(AND(F214="Congé spécial",D214&lt;&gt;"Congé spécial"))),0.166666666666667,""))</f>
        <v/>
      </c>
      <c r="AE214" s="41" t="str">
        <f aca="false">IF(AND(D214="Férié",F214="Férié"),0.333333333333333,IF(OR(AND(D214="Férié",F214&lt;&gt;"Férié"),(AND(F214="Férié",D214&lt;&gt;"Férié"))),0.166666666666667,""))</f>
        <v/>
      </c>
      <c r="AF214" s="41"/>
      <c r="AG214" s="36"/>
    </row>
    <row r="215" customFormat="false" ht="12.75" hidden="true" customHeight="true" outlineLevel="0" collapsed="false">
      <c r="A215" s="22" t="n">
        <f aca="false">VLOOKUP(B215,Annuaire_roster!B:F,5,0)</f>
        <v>0</v>
      </c>
      <c r="B215" s="23" t="s">
        <v>45</v>
      </c>
      <c r="C215" s="24" t="str">
        <f aca="false">IFERROR(IF(COUNTIFS(Pointage_brut!$E:$E,VLOOKUP($B215,Annuaire_roster!$B:$J,9,0),Pointage_brut!$A:$A,TEXT($Q215,"yyyymmdd")*1)=0,"",MOD(_xlfn.MINIFS(Pointage_brut!$F:$F,Pointage_brut!$E:$E,VLOOKUP($B215,Annuaire_roster!$B:$J,9,0),Pointage_brut!$A:$A,TEXT($Q215,"yyyymmdd")*1),1)),"")</f>
        <v/>
      </c>
      <c r="D215" s="25" t="str">
        <f aca="false" t="array" ref="D215:D215">IFERROR(INDEX(Planning2[],MATCH(1,(Planning2[Nom]=B215)*(Planning2[Date]=Q215),0),3),"-")</f>
        <v>OFF</v>
      </c>
      <c r="E215" s="26" t="str">
        <f aca="false">IFERROR(IF(COUNTIFS(Pointage_brut!$E:$E,VLOOKUP($B215,Annuaire_roster!$B:$J,9,0),Pointage_brut!$A:$A,TEXT($Q215,"yyyymmdd")*1)=0,"",MOD(_xlfn.MAXIFS(Pointage_brut!$G:$G,Pointage_brut!$E:$E,VLOOKUP($B215,Annuaire_roster!$B:$J,9,0),Pointage_brut!$A:$A,TEXT($Q215,"yyyymmdd")*1),1)),"")</f>
        <v/>
      </c>
      <c r="F215" s="27" t="str">
        <f aca="false" t="array" ref="F215:F215">IFERROR(INDEX(Planning2[],MATCH(1,(Planning2[Nom]=B215)*(Planning2[Date]=Q215),0),4),"-")</f>
        <v>OFF</v>
      </c>
      <c r="G215" s="28"/>
      <c r="H215" s="28"/>
      <c r="I215" s="29" t="str">
        <f aca="false">IF(IF(OR(C215="",D215="Congé",D215="OFF",D215="Congé spécial"),"",IF(D215&gt;F215,D215-C215,IF(C215-D215&lt;0,0,C215-D215)))&lt;0.00068287037037037,"",IF(OR(D215="Congé",D215="OFF",C215="",D215="Congé spécial"),"",IF(D215&gt;F215,D215-C215,IF(C215-D215&lt;0,0,C215-D215))))</f>
        <v/>
      </c>
      <c r="J215" s="53"/>
      <c r="K215" s="30" t="n">
        <f aca="false">IF(SUM(H215:J215)&lt;0.00068287037037037,0,SUM(H215:J215))</f>
        <v>0</v>
      </c>
      <c r="L215" s="28" t="n">
        <f aca="false">IF(OR(F215="Congé",F215="OFF",M215="Abs",F215="Congé sans solde",F215="Férié",F215="Congé spécial",D215="Congé spécial"),0,IF(F215-E215&lt;0,0,IF(F215-E215&lt;=0.00068287037037037,0,F215-E215)))</f>
        <v>0</v>
      </c>
      <c r="M215" s="31" t="n">
        <f aca="false">IF(AND(O215&lt;&gt;0,C215=""),"Abs",0)</f>
        <v>0</v>
      </c>
      <c r="N215" s="32" t="str">
        <f aca="false">IFERROR(IF(OR(D215="OFF",D215="Congé",M215="Abs",D215="Congé sans solde",D215="Férié"),"",IF(O215-K215-L215&gt;O215,O215,IF(O215-K215-L215&lt;0,"",O215-K215-L215))),"")</f>
        <v/>
      </c>
      <c r="O215" s="33" t="n">
        <f aca="false">IF(AG215="2H Pause déjeuner",IF(F215-D215-0.0833333333333333&lt;0,F215-D215-0.0833333333333333+1,F215-D215-0.0833333333333333),IF(OR(AND(F215="OFF",D215="OFF"),AND(F215="Congé",D215="Congé"),AND(F215="Congé sans solde",D215="Congé sans solde"),AND(F215="Congé spécial",D215="Congé spécial"),AND(F215="Férié",D215="Férié"),AND(F215="OFF",D215="Congé"),AND(F215="OFF",D215="Congé sans solde"),AND(F215="OFF",D215="Congé spécial"),AND(F215="OFF",D215="Férié"),AND(F215="Congé",D215="OFF"),AND(F215="Congé",D215="Congé sans solde"),AND(F215="Congé",D215="Congé spécial"),AND(F215="Congé",D215="Férié"),AND(F215="Congé sans solde",D215="OFF"),AND(F215="Congé sans solde",D215="Congé"),AND(F215="Congé sans solde",D215="Congé spécial"),AND(F215="Congé sans solde",D215="Férié"),AND(F215="Congé spécial",D215="OFF"),AND(F215="Congé spécial",D215="Congé"),AND(F215="Congé spécial",D215="Congé sans solde"),AND(F215="Congé spécial",D215="Férié"),AND(F215="Férié",D215="OFF"),AND(F215="Férié",D215="Congé"),AND(F215="Férié",D215="Congé sans solde"),AND(F215="Férié",D215="Congé spécial")),0,IF(OR(F215="OFF",F215="Congé",F215="Congé spécial",F215="Congé sans solde",D215="OFF",D215="Congé",D215="Congé spécial",D215="Congé sans solde"),0.208333333333334,IF(AND(AG215="",F215-D215&lt;0),("24:00:00"-D215)+("00:00:00"+F215)-0.0416666666666667,IF(AND(OR(AG215="Allaitement",AG215="Sans déjeuner"),F215-D215&lt;0),("24:00:00"-D215)+("00:00:00"+F215),IF(AND(AG215="",F215-D215&gt;0.166666666666667),F215-D215-0.0416666666666667,IF(AND(OR(AG215="Allaitement",AG215="Sans déjeuner"),F215-D215&gt;0.166666666666667),F215-D215,F215-D215)))))))</f>
        <v>0</v>
      </c>
      <c r="P215" s="34" t="str">
        <f aca="false">IFERROR(VLOOKUP($B215,Annuaire_roster!$B:$G,MATCH(P$1,Annuaire_roster!$B$1:$G$1,0),0),"-")</f>
        <v>Google Leads</v>
      </c>
      <c r="Q215" s="35" t="n">
        <v>44723</v>
      </c>
      <c r="R215" s="36" t="n">
        <f aca="false">IF(M215="Abs",O215,0)</f>
        <v>0</v>
      </c>
      <c r="S215" s="36" t="n">
        <f aca="false">SUM(R215,L215,I215,J215,W215,H215)</f>
        <v>0</v>
      </c>
      <c r="T215" s="1" t="str">
        <f aca="false">"Sem - "&amp;WEEKNUM(Q215,21)</f>
        <v>Sem - 24</v>
      </c>
      <c r="U215" s="1" t="str">
        <f aca="false">PROPER(TEXT(Q215,"mmmm"))</f>
        <v>June</v>
      </c>
      <c r="V215" s="37" t="str">
        <f aca="false">+TEXT(Q215,"aaa")</f>
        <v>Fri</v>
      </c>
      <c r="W215" s="32"/>
      <c r="X215" s="38" t="n">
        <f aca="false">IFERROR(IF(M215="Abs",0,IF((D215-C215+E215-F215)&lt;0.000694444444444444,0,(D215-C215+E215-F215))),0)</f>
        <v>0</v>
      </c>
      <c r="Y215" s="39" t="n">
        <f aca="false">IFERROR(VLOOKUP(B215,Annuaire_roster!B:E,4,0),"-")</f>
        <v>0</v>
      </c>
      <c r="Z215" s="39" t="str">
        <f aca="false">IFERROR(VLOOKUP(B215,Annuaire_roster!B:F,3,0),"-")</f>
        <v>Google Leads</v>
      </c>
      <c r="AA215" s="39" t="n">
        <f aca="false">IFERROR(VLOOKUP(B215,Annuaire_roster!B:I,6,0),"-")</f>
        <v>0</v>
      </c>
      <c r="AB215" s="40" t="str">
        <f aca="false">IF(AND(D215="Congé",F215="Congé"),0.333333333333333,IF(OR(AND(D215="Congé",F215&lt;&gt;"Congé"),(AND(F215="Congé",D215&lt;&gt;"Congé"))),0.166666666666667,""))</f>
        <v/>
      </c>
      <c r="AC215" s="40" t="str">
        <f aca="false">IF(AND(D215="Congé sans solde",F215="Congé sans solde"),0.333333333333333,IF(OR(AND(D215="Congé sans solde",F215&lt;&gt;"Congé sans solde"),(AND(F215="Congé sans solde",D215&lt;&gt;"Congé sans solde"))),0.166666666666667,""))</f>
        <v/>
      </c>
      <c r="AD215" s="40" t="str">
        <f aca="false">IF(AND(D215="Congé spécial",F215="Congé spécial"),0.333333333333333,IF(OR(AND(D215="Congé spécial",F215&lt;&gt;"Congé décès"),(AND(F215="Congé spécial",D215&lt;&gt;"Congé spécial"))),0.166666666666667,""))</f>
        <v/>
      </c>
      <c r="AE215" s="41" t="str">
        <f aca="false">IF(AND(D215="Férié",F215="Férié"),0.333333333333333,IF(OR(AND(D215="Férié",F215&lt;&gt;"Férié"),(AND(F215="Férié",D215&lt;&gt;"Férié"))),0.166666666666667,""))</f>
        <v/>
      </c>
      <c r="AF215" s="41"/>
      <c r="AG215" s="36"/>
    </row>
    <row r="216" customFormat="false" ht="12.75" hidden="true" customHeight="true" outlineLevel="0" collapsed="false">
      <c r="A216" s="22" t="n">
        <f aca="false">VLOOKUP(B216,Annuaire_roster!B:F,5,0)</f>
        <v>0</v>
      </c>
      <c r="B216" s="23" t="s">
        <v>35</v>
      </c>
      <c r="C216" s="24" t="str">
        <f aca="false">IFERROR(IF(COUNTIFS(Pointage_brut!$E:$E,VLOOKUP($B216,Annuaire_roster!$B:$J,9,0),Pointage_brut!$A:$A,TEXT($Q216,"yyyymmdd")*1)=0,"",MOD(_xlfn.MINIFS(Pointage_brut!$F:$F,Pointage_brut!$E:$E,VLOOKUP($B216,Annuaire_roster!$B:$J,9,0),Pointage_brut!$A:$A,TEXT($Q216,"yyyymmdd")*1),1)),"")</f>
        <v/>
      </c>
      <c r="D216" s="25" t="str">
        <f aca="false" t="array" ref="D216:D216">IFERROR(INDEX(Planning2[],MATCH(1,(Planning2[Nom]=B216)*(Planning2[Date]=Q216),0),3),"-")</f>
        <v>OFF</v>
      </c>
      <c r="E216" s="26" t="str">
        <f aca="false">IFERROR(IF(COUNTIFS(Pointage_brut!$E:$E,VLOOKUP($B216,Annuaire_roster!$B:$J,9,0),Pointage_brut!$A:$A,TEXT($Q216,"yyyymmdd")*1)=0,"",MOD(_xlfn.MAXIFS(Pointage_brut!$G:$G,Pointage_brut!$E:$E,VLOOKUP($B216,Annuaire_roster!$B:$J,9,0),Pointage_brut!$A:$A,TEXT($Q216,"yyyymmdd")*1),1)),"")</f>
        <v/>
      </c>
      <c r="F216" s="27" t="str">
        <f aca="false" t="array" ref="F216:F216">IFERROR(INDEX(Planning2[],MATCH(1,(Planning2[Nom]=B216)*(Planning2[Date]=Q216),0),4),"-")</f>
        <v>OFF</v>
      </c>
      <c r="G216" s="28"/>
      <c r="H216" s="28"/>
      <c r="I216" s="29" t="str">
        <f aca="false">IF(IF(OR(C216="",D216="Congé",D216="OFF",D216="Congé spécial"),"",IF(D216&gt;F216,D216-C216,IF(C216-D216&lt;0,0,C216-D216)))&lt;0.00068287037037037,"",IF(OR(D216="Congé",D216="OFF",C216="",D216="Congé spécial"),"",IF(D216&gt;F216,D216-C216,IF(C216-D216&lt;0,0,C216-D216))))</f>
        <v/>
      </c>
      <c r="J216" s="53"/>
      <c r="K216" s="30" t="n">
        <f aca="false">IF(SUM(H216:J216)&lt;0.00068287037037037,0,SUM(H216:J216))</f>
        <v>0</v>
      </c>
      <c r="L216" s="28" t="n">
        <f aca="false">IF(OR(F216="Congé",F216="OFF",M216="Abs",F216="Congé sans solde",F216="Férié",F216="Congé spécial",D216="Congé spécial"),0,IF(F216-E216&lt;0,0,IF(F216-E216&lt;=0.00068287037037037,0,F216-E216)))</f>
        <v>0</v>
      </c>
      <c r="M216" s="31" t="n">
        <f aca="false">IF(AND(O216&lt;&gt;0,C216=""),"Abs",0)</f>
        <v>0</v>
      </c>
      <c r="N216" s="32" t="str">
        <f aca="false">IFERROR(IF(OR(D216="OFF",D216="Congé",M216="Abs",D216="Congé sans solde",D216="Férié"),"",IF(O216-K216-L216&gt;O216,O216,IF(O216-K216-L216&lt;0,"",O216-K216-L216))),"")</f>
        <v/>
      </c>
      <c r="O216" s="33" t="n">
        <f aca="false">IF(AG216="2H Pause déjeuner",IF(F216-D216-0.0833333333333333&lt;0,F216-D216-0.0833333333333333+1,F216-D216-0.0833333333333333),IF(OR(AND(F216="OFF",D216="OFF"),AND(F216="Congé",D216="Congé"),AND(F216="Congé sans solde",D216="Congé sans solde"),AND(F216="Congé spécial",D216="Congé spécial"),AND(F216="Férié",D216="Férié"),AND(F216="OFF",D216="Congé"),AND(F216="OFF",D216="Congé sans solde"),AND(F216="OFF",D216="Congé spécial"),AND(F216="OFF",D216="Férié"),AND(F216="Congé",D216="OFF"),AND(F216="Congé",D216="Congé sans solde"),AND(F216="Congé",D216="Congé spécial"),AND(F216="Congé",D216="Férié"),AND(F216="Congé sans solde",D216="OFF"),AND(F216="Congé sans solde",D216="Congé"),AND(F216="Congé sans solde",D216="Congé spécial"),AND(F216="Congé sans solde",D216="Férié"),AND(F216="Congé spécial",D216="OFF"),AND(F216="Congé spécial",D216="Congé"),AND(F216="Congé spécial",D216="Congé sans solde"),AND(F216="Congé spécial",D216="Férié"),AND(F216="Férié",D216="OFF"),AND(F216="Férié",D216="Congé"),AND(F216="Férié",D216="Congé sans solde"),AND(F216="Férié",D216="Congé spécial")),0,IF(OR(F216="OFF",F216="Congé",F216="Congé spécial",F216="Congé sans solde",D216="OFF",D216="Congé",D216="Congé spécial",D216="Congé sans solde"),0.208333333333334,IF(AND(AG216="",F216-D216&lt;0),("24:00:00"-D216)+("00:00:00"+F216)-0.0416666666666667,IF(AND(OR(AG216="Allaitement",AG216="Sans déjeuner"),F216-D216&lt;0),("24:00:00"-D216)+("00:00:00"+F216),IF(AND(AG216="",F216-D216&gt;0.166666666666667),F216-D216-0.0416666666666667,IF(AND(OR(AG216="Allaitement",AG216="Sans déjeuner"),F216-D216&gt;0.166666666666667),F216-D216,F216-D216)))))))</f>
        <v>0</v>
      </c>
      <c r="P216" s="34" t="str">
        <f aca="false">IFERROR(VLOOKUP($B216,Annuaire_roster!$B:$G,MATCH(P$1,Annuaire_roster!$B$1:$G$1,0),0),"-")</f>
        <v>Google Leads</v>
      </c>
      <c r="Q216" s="35" t="n">
        <v>44723</v>
      </c>
      <c r="R216" s="36" t="n">
        <f aca="false">IF(M216="Abs",O216,0)</f>
        <v>0</v>
      </c>
      <c r="S216" s="36" t="n">
        <f aca="false">SUM(R216,L216,I216,J216,W216,H216)</f>
        <v>0</v>
      </c>
      <c r="T216" s="1" t="str">
        <f aca="false">"Sem - "&amp;WEEKNUM(Q216,21)</f>
        <v>Sem - 24</v>
      </c>
      <c r="U216" s="1" t="str">
        <f aca="false">PROPER(TEXT(Q216,"mmmm"))</f>
        <v>June</v>
      </c>
      <c r="V216" s="37" t="str">
        <f aca="false">+TEXT(Q216,"aaa")</f>
        <v>Fri</v>
      </c>
      <c r="W216" s="32"/>
      <c r="X216" s="38" t="n">
        <f aca="false">IFERROR(IF(M216="Abs",0,IF((D216-C216+E216-F216)&lt;0.000694444444444444,0,(D216-C216+E216-F216))),0)</f>
        <v>0</v>
      </c>
      <c r="Y216" s="39" t="n">
        <f aca="false">IFERROR(VLOOKUP(B216,Annuaire_roster!B:E,4,0),"-")</f>
        <v>0</v>
      </c>
      <c r="Z216" s="39" t="str">
        <f aca="false">IFERROR(VLOOKUP(B216,Annuaire_roster!B:F,3,0),"-")</f>
        <v>Google Leads</v>
      </c>
      <c r="AA216" s="39" t="n">
        <f aca="false">IFERROR(VLOOKUP(B216,Annuaire_roster!B:I,6,0),"-")</f>
        <v>0</v>
      </c>
      <c r="AB216" s="40" t="str">
        <f aca="false">IF(AND(D216="Congé",F216="Congé"),0.333333333333333,IF(OR(AND(D216="Congé",F216&lt;&gt;"Congé"),(AND(F216="Congé",D216&lt;&gt;"Congé"))),0.166666666666667,""))</f>
        <v/>
      </c>
      <c r="AC216" s="40" t="str">
        <f aca="false">IF(AND(D216="Congé sans solde",F216="Congé sans solde"),0.333333333333333,IF(OR(AND(D216="Congé sans solde",F216&lt;&gt;"Congé sans solde"),(AND(F216="Congé sans solde",D216&lt;&gt;"Congé sans solde"))),0.166666666666667,""))</f>
        <v/>
      </c>
      <c r="AD216" s="40" t="str">
        <f aca="false">IF(AND(D216="Congé spécial",F216="Congé spécial"),0.333333333333333,IF(OR(AND(D216="Congé spécial",F216&lt;&gt;"Congé décès"),(AND(F216="Congé spécial",D216&lt;&gt;"Congé spécial"))),0.166666666666667,""))</f>
        <v/>
      </c>
      <c r="AE216" s="41" t="str">
        <f aca="false">IF(AND(D216="Férié",F216="Férié"),0.333333333333333,IF(OR(AND(D216="Férié",F216&lt;&gt;"Férié"),(AND(F216="Férié",D216&lt;&gt;"Férié"))),0.166666666666667,""))</f>
        <v/>
      </c>
      <c r="AF216" s="41"/>
      <c r="AG216" s="36"/>
    </row>
    <row r="217" customFormat="false" ht="12.75" hidden="true" customHeight="true" outlineLevel="0" collapsed="false">
      <c r="A217" s="22" t="n">
        <f aca="false">VLOOKUP(B217,Annuaire_roster!B:F,5,0)</f>
        <v>0</v>
      </c>
      <c r="B217" s="23" t="s">
        <v>46</v>
      </c>
      <c r="C217" s="24" t="str">
        <f aca="false">IFERROR(IF(COUNTIFS(Pointage_brut!$E:$E,VLOOKUP($B217,Annuaire_roster!$B:$J,9,0),Pointage_brut!$A:$A,TEXT($Q217,"yyyymmdd")*1)=0,"",MOD(_xlfn.MINIFS(Pointage_brut!$F:$F,Pointage_brut!$E:$E,VLOOKUP($B217,Annuaire_roster!$B:$J,9,0),Pointage_brut!$A:$A,TEXT($Q217,"yyyymmdd")*1),1)),"")</f>
        <v/>
      </c>
      <c r="D217" s="25" t="str">
        <f aca="false" t="array" ref="D217:D217">IFERROR(INDEX(Planning2[],MATCH(1,(Planning2[Nom]=B217)*(Planning2[Date]=Q217),0),3),"-")</f>
        <v>OFF</v>
      </c>
      <c r="E217" s="26" t="str">
        <f aca="false">IFERROR(IF(COUNTIFS(Pointage_brut!$E:$E,VLOOKUP($B217,Annuaire_roster!$B:$J,9,0),Pointage_brut!$A:$A,TEXT($Q217,"yyyymmdd")*1)=0,"",MOD(_xlfn.MAXIFS(Pointage_brut!$G:$G,Pointage_brut!$E:$E,VLOOKUP($B217,Annuaire_roster!$B:$J,9,0),Pointage_brut!$A:$A,TEXT($Q217,"yyyymmdd")*1),1)),"")</f>
        <v/>
      </c>
      <c r="F217" s="27" t="str">
        <f aca="false" t="array" ref="F217:F217">IFERROR(INDEX(Planning2[],MATCH(1,(Planning2[Nom]=B217)*(Planning2[Date]=Q217),0),4),"-")</f>
        <v>OFF</v>
      </c>
      <c r="G217" s="28"/>
      <c r="H217" s="28"/>
      <c r="I217" s="29" t="str">
        <f aca="false">IF(IF(OR(C217="",D217="Congé",D217="OFF",D217="Congé spécial"),"",IF(D217&gt;F217,D217-C217,IF(C217-D217&lt;0,0,C217-D217)))&lt;0.00068287037037037,"",IF(OR(D217="Congé",D217="OFF",C217="",D217="Congé spécial"),"",IF(D217&gt;F217,D217-C217,IF(C217-D217&lt;0,0,C217-D217))))</f>
        <v/>
      </c>
      <c r="J217" s="53"/>
      <c r="K217" s="30" t="n">
        <f aca="false">IF(SUM(H217:J217)&lt;0.00068287037037037,0,SUM(H217:J217))</f>
        <v>0</v>
      </c>
      <c r="L217" s="28" t="n">
        <f aca="false">IF(OR(F217="Congé",F217="OFF",M217="Abs",F217="Congé sans solde",F217="Férié",F217="Congé spécial",D217="Congé spécial"),0,IF(F217-E217&lt;0,0,IF(F217-E217&lt;=0.00068287037037037,0,F217-E217)))</f>
        <v>0</v>
      </c>
      <c r="M217" s="31" t="n">
        <f aca="false">IF(AND(O217&lt;&gt;0,C217=""),"Abs",0)</f>
        <v>0</v>
      </c>
      <c r="N217" s="32" t="str">
        <f aca="false">IFERROR(IF(OR(D217="OFF",D217="Congé",M217="Abs",D217="Congé sans solde",D217="Férié"),"",IF(O217-K217-L217&gt;O217,O217,IF(O217-K217-L217&lt;0,"",O217-K217-L217))),"")</f>
        <v/>
      </c>
      <c r="O217" s="33" t="n">
        <f aca="false">IF(AG217="2H Pause déjeuner",IF(F217-D217-0.0833333333333333&lt;0,F217-D217-0.0833333333333333+1,F217-D217-0.0833333333333333),IF(OR(AND(F217="OFF",D217="OFF"),AND(F217="Congé",D217="Congé"),AND(F217="Congé sans solde",D217="Congé sans solde"),AND(F217="Congé spécial",D217="Congé spécial"),AND(F217="Férié",D217="Férié"),AND(F217="OFF",D217="Congé"),AND(F217="OFF",D217="Congé sans solde"),AND(F217="OFF",D217="Congé spécial"),AND(F217="OFF",D217="Férié"),AND(F217="Congé",D217="OFF"),AND(F217="Congé",D217="Congé sans solde"),AND(F217="Congé",D217="Congé spécial"),AND(F217="Congé",D217="Férié"),AND(F217="Congé sans solde",D217="OFF"),AND(F217="Congé sans solde",D217="Congé"),AND(F217="Congé sans solde",D217="Congé spécial"),AND(F217="Congé sans solde",D217="Férié"),AND(F217="Congé spécial",D217="OFF"),AND(F217="Congé spécial",D217="Congé"),AND(F217="Congé spécial",D217="Congé sans solde"),AND(F217="Congé spécial",D217="Férié"),AND(F217="Férié",D217="OFF"),AND(F217="Férié",D217="Congé"),AND(F217="Férié",D217="Congé sans solde"),AND(F217="Férié",D217="Congé spécial")),0,IF(OR(F217="OFF",F217="Congé",F217="Congé spécial",F217="Congé sans solde",D217="OFF",D217="Congé",D217="Congé spécial",D217="Congé sans solde"),0.208333333333334,IF(AND(AG217="",F217-D217&lt;0),("24:00:00"-D217)+("00:00:00"+F217)-0.0416666666666667,IF(AND(OR(AG217="Allaitement",AG217="Sans déjeuner"),F217-D217&lt;0),("24:00:00"-D217)+("00:00:00"+F217),IF(AND(AG217="",F217-D217&gt;0.166666666666667),F217-D217-0.0416666666666667,IF(AND(OR(AG217="Allaitement",AG217="Sans déjeuner"),F217-D217&gt;0.166666666666667),F217-D217,F217-D217)))))))</f>
        <v>0</v>
      </c>
      <c r="P217" s="34" t="str">
        <f aca="false">IFERROR(VLOOKUP($B217,Annuaire_roster!$B:$G,MATCH(P$1,Annuaire_roster!$B$1:$G$1,0),0),"-")</f>
        <v>Google Leads</v>
      </c>
      <c r="Q217" s="35" t="n">
        <v>44723</v>
      </c>
      <c r="R217" s="36" t="n">
        <f aca="false">IF(M217="Abs",O217,0)</f>
        <v>0</v>
      </c>
      <c r="S217" s="36" t="n">
        <f aca="false">SUM(R217,L217,I217,J217,W217,H217)</f>
        <v>0</v>
      </c>
      <c r="T217" s="1" t="str">
        <f aca="false">"Sem - "&amp;WEEKNUM(Q217,21)</f>
        <v>Sem - 24</v>
      </c>
      <c r="U217" s="1" t="str">
        <f aca="false">PROPER(TEXT(Q217,"mmmm"))</f>
        <v>June</v>
      </c>
      <c r="V217" s="37" t="str">
        <f aca="false">+TEXT(Q217,"aaa")</f>
        <v>Fri</v>
      </c>
      <c r="W217" s="32"/>
      <c r="X217" s="38" t="n">
        <f aca="false">IFERROR(IF(M217="Abs",0,IF((D217-C217+E217-F217)&lt;0.000694444444444444,0,(D217-C217+E217-F217))),0)</f>
        <v>0</v>
      </c>
      <c r="Y217" s="39" t="n">
        <f aca="false">IFERROR(VLOOKUP(B217,Annuaire_roster!B:E,4,0),"-")</f>
        <v>0</v>
      </c>
      <c r="Z217" s="39" t="str">
        <f aca="false">IFERROR(VLOOKUP(B217,Annuaire_roster!B:F,3,0),"-")</f>
        <v>Google Leads</v>
      </c>
      <c r="AA217" s="39" t="n">
        <f aca="false">IFERROR(VLOOKUP(B217,Annuaire_roster!B:I,6,0),"-")</f>
        <v>0</v>
      </c>
      <c r="AB217" s="40" t="str">
        <f aca="false">IF(AND(D217="Congé",F217="Congé"),0.333333333333333,IF(OR(AND(D217="Congé",F217&lt;&gt;"Congé"),(AND(F217="Congé",D217&lt;&gt;"Congé"))),0.166666666666667,""))</f>
        <v/>
      </c>
      <c r="AC217" s="40" t="str">
        <f aca="false">IF(AND(D217="Congé sans solde",F217="Congé sans solde"),0.333333333333333,IF(OR(AND(D217="Congé sans solde",F217&lt;&gt;"Congé sans solde"),(AND(F217="Congé sans solde",D217&lt;&gt;"Congé sans solde"))),0.166666666666667,""))</f>
        <v/>
      </c>
      <c r="AD217" s="40" t="str">
        <f aca="false">IF(AND(D217="Congé spécial",F217="Congé spécial"),0.333333333333333,IF(OR(AND(D217="Congé spécial",F217&lt;&gt;"Congé décès"),(AND(F217="Congé spécial",D217&lt;&gt;"Congé spécial"))),0.166666666666667,""))</f>
        <v/>
      </c>
      <c r="AE217" s="41" t="str">
        <f aca="false">IF(AND(D217="Férié",F217="Férié"),0.333333333333333,IF(OR(AND(D217="Férié",F217&lt;&gt;"Férié"),(AND(F217="Férié",D217&lt;&gt;"Férié"))),0.166666666666667,""))</f>
        <v/>
      </c>
      <c r="AF217" s="41"/>
      <c r="AG217" s="36"/>
    </row>
    <row r="218" customFormat="false" ht="12.75" hidden="true" customHeight="true" outlineLevel="0" collapsed="false">
      <c r="A218" s="22" t="n">
        <f aca="false">VLOOKUP(B218,Annuaire_roster!B:F,5,0)</f>
        <v>0</v>
      </c>
      <c r="B218" s="23" t="s">
        <v>36</v>
      </c>
      <c r="C218" s="24" t="str">
        <f aca="false">IFERROR(IF(COUNTIFS(Pointage_brut!$E:$E,VLOOKUP($B218,Annuaire_roster!$B:$J,9,0),Pointage_brut!$A:$A,TEXT($Q218,"yyyymmdd")*1)=0,"",MOD(_xlfn.MINIFS(Pointage_brut!$F:$F,Pointage_brut!$E:$E,VLOOKUP($B218,Annuaire_roster!$B:$J,9,0),Pointage_brut!$A:$A,TEXT($Q218,"yyyymmdd")*1),1)),"")</f>
        <v/>
      </c>
      <c r="D218" s="25" t="str">
        <f aca="false" t="array" ref="D218:D218">IFERROR(INDEX(Planning2[],MATCH(1,(Planning2[Nom]=B218)*(Planning2[Date]=Q218),0),3),"-")</f>
        <v>OFF</v>
      </c>
      <c r="E218" s="26" t="str">
        <f aca="false">IFERROR(IF(COUNTIFS(Pointage_brut!$E:$E,VLOOKUP($B218,Annuaire_roster!$B:$J,9,0),Pointage_brut!$A:$A,TEXT($Q218,"yyyymmdd")*1)=0,"",MOD(_xlfn.MAXIFS(Pointage_brut!$G:$G,Pointage_brut!$E:$E,VLOOKUP($B218,Annuaire_roster!$B:$J,9,0),Pointage_brut!$A:$A,TEXT($Q218,"yyyymmdd")*1),1)),"")</f>
        <v/>
      </c>
      <c r="F218" s="27" t="str">
        <f aca="false" t="array" ref="F218:F218">IFERROR(INDEX(Planning2[],MATCH(1,(Planning2[Nom]=B218)*(Planning2[Date]=Q218),0),4),"-")</f>
        <v>OFF</v>
      </c>
      <c r="G218" s="28"/>
      <c r="H218" s="28"/>
      <c r="I218" s="29" t="str">
        <f aca="false">IF(IF(OR(C218="",D218="Congé",D218="OFF",D218="Congé spécial"),"",IF(D218&gt;F218,D218-C218,IF(C218-D218&lt;0,0,C218-D218)))&lt;0.00068287037037037,"",IF(OR(D218="Congé",D218="OFF",C218="",D218="Congé spécial"),"",IF(D218&gt;F218,D218-C218,IF(C218-D218&lt;0,0,C218-D218))))</f>
        <v/>
      </c>
      <c r="J218" s="53"/>
      <c r="K218" s="30" t="n">
        <f aca="false">IF(SUM(H218:J218)&lt;0.00068287037037037,0,SUM(H218:J218))</f>
        <v>0</v>
      </c>
      <c r="L218" s="28" t="n">
        <f aca="false">IF(OR(F218="Congé",F218="OFF",M218="Abs",F218="Congé sans solde",F218="Férié",F218="Congé spécial",D218="Congé spécial"),0,IF(F218-E218&lt;0,0,IF(F218-E218&lt;=0.00068287037037037,0,F218-E218)))</f>
        <v>0</v>
      </c>
      <c r="M218" s="31" t="n">
        <f aca="false">IF(AND(O218&lt;&gt;0,C218=""),"Abs",0)</f>
        <v>0</v>
      </c>
      <c r="N218" s="32" t="str">
        <f aca="false">IFERROR(IF(OR(D218="OFF",D218="Congé",M218="Abs",D218="Congé sans solde",D218="Férié"),"",IF(O218-K218-L218&gt;O218,O218,IF(O218-K218-L218&lt;0,"",O218-K218-L218))),"")</f>
        <v/>
      </c>
      <c r="O218" s="33" t="n">
        <f aca="false">IF(AG218="2H Pause déjeuner",IF(F218-D218-0.0833333333333333&lt;0,F218-D218-0.0833333333333333+1,F218-D218-0.0833333333333333),IF(OR(AND(F218="OFF",D218="OFF"),AND(F218="Congé",D218="Congé"),AND(F218="Congé sans solde",D218="Congé sans solde"),AND(F218="Congé spécial",D218="Congé spécial"),AND(F218="Férié",D218="Férié"),AND(F218="OFF",D218="Congé"),AND(F218="OFF",D218="Congé sans solde"),AND(F218="OFF",D218="Congé spécial"),AND(F218="OFF",D218="Férié"),AND(F218="Congé",D218="OFF"),AND(F218="Congé",D218="Congé sans solde"),AND(F218="Congé",D218="Congé spécial"),AND(F218="Congé",D218="Férié"),AND(F218="Congé sans solde",D218="OFF"),AND(F218="Congé sans solde",D218="Congé"),AND(F218="Congé sans solde",D218="Congé spécial"),AND(F218="Congé sans solde",D218="Férié"),AND(F218="Congé spécial",D218="OFF"),AND(F218="Congé spécial",D218="Congé"),AND(F218="Congé spécial",D218="Congé sans solde"),AND(F218="Congé spécial",D218="Férié"),AND(F218="Férié",D218="OFF"),AND(F218="Férié",D218="Congé"),AND(F218="Férié",D218="Congé sans solde"),AND(F218="Férié",D218="Congé spécial")),0,IF(OR(F218="OFF",F218="Congé",F218="Congé spécial",F218="Congé sans solde",D218="OFF",D218="Congé",D218="Congé spécial",D218="Congé sans solde"),0.208333333333334,IF(AND(AG218="",F218-D218&lt;0),("24:00:00"-D218)+("00:00:00"+F218)-0.0416666666666667,IF(AND(OR(AG218="Allaitement",AG218="Sans déjeuner"),F218-D218&lt;0),("24:00:00"-D218)+("00:00:00"+F218),IF(AND(AG218="",F218-D218&gt;0.166666666666667),F218-D218-0.0416666666666667,IF(AND(OR(AG218="Allaitement",AG218="Sans déjeuner"),F218-D218&gt;0.166666666666667),F218-D218,F218-D218)))))))</f>
        <v>0</v>
      </c>
      <c r="P218" s="34" t="str">
        <f aca="false">IFERROR(VLOOKUP($B218,Annuaire_roster!$B:$G,MATCH(P$1,Annuaire_roster!$B$1:$G$1,0),0),"-")</f>
        <v>Google Leads</v>
      </c>
      <c r="Q218" s="35" t="n">
        <v>44723</v>
      </c>
      <c r="R218" s="36" t="n">
        <f aca="false">IF(M218="Abs",O218,0)</f>
        <v>0</v>
      </c>
      <c r="S218" s="36" t="n">
        <f aca="false">SUM(R218,L218,I218,J218,W218,H218)</f>
        <v>0</v>
      </c>
      <c r="T218" s="1" t="str">
        <f aca="false">"Sem - "&amp;WEEKNUM(Q218,21)</f>
        <v>Sem - 24</v>
      </c>
      <c r="U218" s="1" t="str">
        <f aca="false">PROPER(TEXT(Q218,"mmmm"))</f>
        <v>June</v>
      </c>
      <c r="V218" s="37" t="str">
        <f aca="false">+TEXT(Q218,"aaa")</f>
        <v>Fri</v>
      </c>
      <c r="W218" s="32"/>
      <c r="X218" s="38" t="n">
        <f aca="false">IFERROR(IF(M218="Abs",0,IF((D218-C218+E218-F218)&lt;0.000694444444444444,0,(D218-C218+E218-F218))),0)</f>
        <v>0</v>
      </c>
      <c r="Y218" s="39" t="n">
        <f aca="false">IFERROR(VLOOKUP(B218,Annuaire_roster!B:E,4,0),"-")</f>
        <v>0</v>
      </c>
      <c r="Z218" s="39" t="str">
        <f aca="false">IFERROR(VLOOKUP(B218,Annuaire_roster!B:F,3,0),"-")</f>
        <v>Google Leads</v>
      </c>
      <c r="AA218" s="39" t="n">
        <f aca="false">IFERROR(VLOOKUP(B218,Annuaire_roster!B:I,6,0),"-")</f>
        <v>0</v>
      </c>
      <c r="AB218" s="40" t="str">
        <f aca="false">IF(AND(D218="Congé",F218="Congé"),0.333333333333333,IF(OR(AND(D218="Congé",F218&lt;&gt;"Congé"),(AND(F218="Congé",D218&lt;&gt;"Congé"))),0.166666666666667,""))</f>
        <v/>
      </c>
      <c r="AC218" s="40" t="str">
        <f aca="false">IF(AND(D218="Congé sans solde",F218="Congé sans solde"),0.333333333333333,IF(OR(AND(D218="Congé sans solde",F218&lt;&gt;"Congé sans solde"),(AND(F218="Congé sans solde",D218&lt;&gt;"Congé sans solde"))),0.166666666666667,""))</f>
        <v/>
      </c>
      <c r="AD218" s="40" t="str">
        <f aca="false">IF(AND(D218="Congé spécial",F218="Congé spécial"),0.333333333333333,IF(OR(AND(D218="Congé spécial",F218&lt;&gt;"Congé décès"),(AND(F218="Congé spécial",D218&lt;&gt;"Congé spécial"))),0.166666666666667,""))</f>
        <v/>
      </c>
      <c r="AE218" s="41" t="str">
        <f aca="false">IF(AND(D218="Férié",F218="Férié"),0.333333333333333,IF(OR(AND(D218="Férié",F218&lt;&gt;"Férié"),(AND(F218="Férié",D218&lt;&gt;"Férié"))),0.166666666666667,""))</f>
        <v/>
      </c>
      <c r="AF218" s="41"/>
      <c r="AG218" s="36"/>
    </row>
    <row r="219" customFormat="false" ht="12.75" hidden="true" customHeight="true" outlineLevel="0" collapsed="false">
      <c r="A219" s="22" t="n">
        <f aca="false">VLOOKUP(B219,Annuaire_roster!B:F,5,0)</f>
        <v>0</v>
      </c>
      <c r="B219" s="23" t="s">
        <v>42</v>
      </c>
      <c r="C219" s="24" t="str">
        <f aca="false">IFERROR(IF(COUNTIFS(Pointage_brut!$E:$E,VLOOKUP($B219,Annuaire_roster!$B:$J,9,0),Pointage_brut!$A:$A,TEXT($Q219,"yyyymmdd")*1)=0,"",MOD(_xlfn.MINIFS(Pointage_brut!$F:$F,Pointage_brut!$E:$E,VLOOKUP($B219,Annuaire_roster!$B:$J,9,0),Pointage_brut!$A:$A,TEXT($Q219,"yyyymmdd")*1),1)),"")</f>
        <v/>
      </c>
      <c r="D219" s="25" t="n">
        <f aca="false" t="array" ref="D219:D219">IFERROR(INDEX(Planning2[],MATCH(1,(Planning2[Nom]=B219)*(Planning2[Date]=Q219),0),3),"-")</f>
        <v>0.291666666666667</v>
      </c>
      <c r="E219" s="26" t="str">
        <f aca="false">IFERROR(IF(COUNTIFS(Pointage_brut!$E:$E,VLOOKUP($B219,Annuaire_roster!$B:$J,9,0),Pointage_brut!$A:$A,TEXT($Q219,"yyyymmdd")*1)=0,"",MOD(_xlfn.MAXIFS(Pointage_brut!$G:$G,Pointage_brut!$E:$E,VLOOKUP($B219,Annuaire_roster!$B:$J,9,0),Pointage_brut!$A:$A,TEXT($Q219,"yyyymmdd")*1),1)),"")</f>
        <v/>
      </c>
      <c r="F219" s="27" t="n">
        <f aca="false" t="array" ref="F219:F219">IFERROR(INDEX(Planning2[],MATCH(1,(Planning2[Nom]=B219)*(Planning2[Date]=Q219),0),4),"-")</f>
        <v>0.708333333333333</v>
      </c>
      <c r="G219" s="28"/>
      <c r="H219" s="28"/>
      <c r="I219" s="29" t="str">
        <f aca="false">IF(IF(OR(C219="",D219="Congé",D219="OFF",D219="Congé spécial"),"",IF(D219&gt;F219,D219-C219,IF(C219-D219&lt;0,0,C219-D219)))&lt;0.00068287037037037,"",IF(OR(D219="Congé",D219="OFF",C219="",D219="Congé spécial"),"",IF(D219&gt;F219,D219-C219,IF(C219-D219&lt;0,0,C219-D219))))</f>
        <v/>
      </c>
      <c r="J219" s="53"/>
      <c r="K219" s="30" t="n">
        <f aca="false">IF(SUM(H219:J219)&lt;0.00068287037037037,0,SUM(H219:J219))</f>
        <v>0</v>
      </c>
      <c r="L219" s="28" t="n">
        <f aca="false">IF(OR(F219="Congé",F219="OFF",M219="Abs",F219="Congé sans solde",F219="Férié",F219="Congé spécial",D219="Congé spécial"),0,IF(F219-E219&lt;0,0,IF(F219-E219&lt;=0.00068287037037037,0,F219-E219)))</f>
        <v>0</v>
      </c>
      <c r="M219" s="31" t="str">
        <f aca="false">IF(AND(O219&lt;&gt;0,C219=""),"Abs",0)</f>
        <v>Abs</v>
      </c>
      <c r="N219" s="32" t="str">
        <f aca="false">IFERROR(IF(OR(D219="OFF",D219="Congé",M219="Abs",D219="Congé sans solde",D219="Férié"),"",IF(O219-K219-L219&gt;O219,O219,IF(O219-K219-L219&lt;0,"",O219-K219-L219))),"")</f>
        <v/>
      </c>
      <c r="O219" s="33" t="n">
        <f aca="false">IF(AG219="2H Pause déjeuner",IF(F219-D219-0.0833333333333333&lt;0,F219-D219-0.0833333333333333+1,F219-D219-0.0833333333333333),IF(OR(AND(F219="OFF",D219="OFF"),AND(F219="Congé",D219="Congé"),AND(F219="Congé sans solde",D219="Congé sans solde"),AND(F219="Congé spécial",D219="Congé spécial"),AND(F219="Férié",D219="Férié"),AND(F219="OFF",D219="Congé"),AND(F219="OFF",D219="Congé sans solde"),AND(F219="OFF",D219="Congé spécial"),AND(F219="OFF",D219="Férié"),AND(F219="Congé",D219="OFF"),AND(F219="Congé",D219="Congé sans solde"),AND(F219="Congé",D219="Congé spécial"),AND(F219="Congé",D219="Férié"),AND(F219="Congé sans solde",D219="OFF"),AND(F219="Congé sans solde",D219="Congé"),AND(F219="Congé sans solde",D219="Congé spécial"),AND(F219="Congé sans solde",D219="Férié"),AND(F219="Congé spécial",D219="OFF"),AND(F219="Congé spécial",D219="Congé"),AND(F219="Congé spécial",D219="Congé sans solde"),AND(F219="Congé spécial",D219="Férié"),AND(F219="Férié",D219="OFF"),AND(F219="Férié",D219="Congé"),AND(F219="Férié",D219="Congé sans solde"),AND(F219="Férié",D219="Congé spécial")),0,IF(OR(F219="OFF",F219="Congé",F219="Congé spécial",F219="Congé sans solde",D219="OFF",D219="Congé",D219="Congé spécial",D219="Congé sans solde"),0.208333333333334,IF(AND(AG219="",F219-D219&lt;0),("24:00:00"-D219)+("00:00:00"+F219)-0.0416666666666667,IF(AND(OR(AG219="Allaitement",AG219="Sans déjeuner"),F219-D219&lt;0),("24:00:00"-D219)+("00:00:00"+F219),IF(AND(AG219="",F219-D219&gt;0.166666666666667),F219-D219-0.0416666666666667,IF(AND(OR(AG219="Allaitement",AG219="Sans déjeuner"),F219-D219&gt;0.166666666666667),F219-D219,F219-D219)))))))</f>
        <v>0.375</v>
      </c>
      <c r="P219" s="34" t="str">
        <f aca="false">IFERROR(VLOOKUP($B219,Annuaire_roster!$B:$G,MATCH(P$1,Annuaire_roster!$B$1:$G$1,0),0),"-")</f>
        <v>Google Leads</v>
      </c>
      <c r="Q219" s="35" t="n">
        <v>44723</v>
      </c>
      <c r="R219" s="36" t="n">
        <f aca="false">IF(M219="Abs",O219,0)</f>
        <v>0.375</v>
      </c>
      <c r="S219" s="36" t="n">
        <f aca="false">SUM(R219,L219,I219,J219,W219,H219)</f>
        <v>0.375</v>
      </c>
      <c r="T219" s="1" t="str">
        <f aca="false">"Sem - "&amp;WEEKNUM(Q219,21)</f>
        <v>Sem - 24</v>
      </c>
      <c r="U219" s="1" t="str">
        <f aca="false">PROPER(TEXT(Q219,"mmmm"))</f>
        <v>June</v>
      </c>
      <c r="V219" s="37" t="str">
        <f aca="false">+TEXT(Q219,"aaa")</f>
        <v>Fri</v>
      </c>
      <c r="W219" s="32"/>
      <c r="X219" s="38" t="n">
        <f aca="false">IFERROR(IF(M219="Abs",0,IF((D219-C219+E219-F219)&lt;0.000694444444444444,0,(D219-C219+E219-F219))),0)</f>
        <v>0</v>
      </c>
      <c r="Y219" s="39" t="n">
        <f aca="false">IFERROR(VLOOKUP(B219,Annuaire_roster!B:E,4,0),"-")</f>
        <v>0</v>
      </c>
      <c r="Z219" s="39" t="str">
        <f aca="false">IFERROR(VLOOKUP(B219,Annuaire_roster!B:F,3,0),"-")</f>
        <v>Google Leads</v>
      </c>
      <c r="AA219" s="39" t="n">
        <f aca="false">IFERROR(VLOOKUP(B219,Annuaire_roster!B:I,6,0),"-")</f>
        <v>0</v>
      </c>
      <c r="AB219" s="40" t="str">
        <f aca="false">IF(AND(D219="Congé",F219="Congé"),0.333333333333333,IF(OR(AND(D219="Congé",F219&lt;&gt;"Congé"),(AND(F219="Congé",D219&lt;&gt;"Congé"))),0.166666666666667,""))</f>
        <v/>
      </c>
      <c r="AC219" s="40" t="str">
        <f aca="false">IF(AND(D219="Congé sans solde",F219="Congé sans solde"),0.333333333333333,IF(OR(AND(D219="Congé sans solde",F219&lt;&gt;"Congé sans solde"),(AND(F219="Congé sans solde",D219&lt;&gt;"Congé sans solde"))),0.166666666666667,""))</f>
        <v/>
      </c>
      <c r="AD219" s="40" t="str">
        <f aca="false">IF(AND(D219="Congé spécial",F219="Congé spécial"),0.333333333333333,IF(OR(AND(D219="Congé spécial",F219&lt;&gt;"Congé décès"),(AND(F219="Congé spécial",D219&lt;&gt;"Congé spécial"))),0.166666666666667,""))</f>
        <v/>
      </c>
      <c r="AE219" s="41" t="str">
        <f aca="false">IF(AND(D219="Férié",F219="Férié"),0.333333333333333,IF(OR(AND(D219="Férié",F219&lt;&gt;"Férié"),(AND(F219="Férié",D219&lt;&gt;"Férié"))),0.166666666666667,""))</f>
        <v/>
      </c>
      <c r="AF219" s="41"/>
      <c r="AG219" s="36"/>
    </row>
    <row r="220" customFormat="false" ht="12.75" hidden="true" customHeight="true" outlineLevel="0" collapsed="false">
      <c r="A220" s="22" t="n">
        <f aca="false">VLOOKUP(B220,Annuaire_roster!B:F,5,0)</f>
        <v>0</v>
      </c>
      <c r="B220" s="23" t="s">
        <v>49</v>
      </c>
      <c r="C220" s="24" t="str">
        <f aca="false">IFERROR(IF(COUNTIFS(Pointage_brut!$E:$E,VLOOKUP($B220,Annuaire_roster!$B:$J,9,0),Pointage_brut!$A:$A,TEXT($Q220,"yyyymmdd")*1)=0,"",MOD(_xlfn.MINIFS(Pointage_brut!$F:$F,Pointage_brut!$E:$E,VLOOKUP($B220,Annuaire_roster!$B:$J,9,0),Pointage_brut!$A:$A,TEXT($Q220,"yyyymmdd")*1),1)),"")</f>
        <v/>
      </c>
      <c r="D220" s="25" t="str">
        <f aca="false" t="array" ref="D220:D220">IFERROR(INDEX(Planning2[],MATCH(1,(Planning2[Nom]=B220)*(Planning2[Date]=Q220),0),3),"-")</f>
        <v>OFF</v>
      </c>
      <c r="E220" s="26" t="str">
        <f aca="false">IFERROR(IF(COUNTIFS(Pointage_brut!$E:$E,VLOOKUP($B220,Annuaire_roster!$B:$J,9,0),Pointage_brut!$A:$A,TEXT($Q220,"yyyymmdd")*1)=0,"",MOD(_xlfn.MAXIFS(Pointage_brut!$G:$G,Pointage_brut!$E:$E,VLOOKUP($B220,Annuaire_roster!$B:$J,9,0),Pointage_brut!$A:$A,TEXT($Q220,"yyyymmdd")*1),1)),"")</f>
        <v/>
      </c>
      <c r="F220" s="27" t="str">
        <f aca="false" t="array" ref="F220:F220">IFERROR(INDEX(Planning2[],MATCH(1,(Planning2[Nom]=B220)*(Planning2[Date]=Q220),0),4),"-")</f>
        <v>OFF</v>
      </c>
      <c r="G220" s="28"/>
      <c r="H220" s="28"/>
      <c r="I220" s="29" t="str">
        <f aca="false">IF(IF(OR(C220="",D220="Congé",D220="OFF",D220="Congé spécial"),"",IF(D220&gt;F220,D220-C220,IF(C220-D220&lt;0,0,C220-D220)))&lt;0.00068287037037037,"",IF(OR(D220="Congé",D220="OFF",C220="",D220="Congé spécial"),"",IF(D220&gt;F220,D220-C220,IF(C220-D220&lt;0,0,C220-D220))))</f>
        <v/>
      </c>
      <c r="J220" s="53"/>
      <c r="K220" s="30" t="n">
        <f aca="false">IF(SUM(H220:J220)&lt;0.00068287037037037,0,SUM(H220:J220))</f>
        <v>0</v>
      </c>
      <c r="L220" s="28" t="n">
        <f aca="false">IF(OR(F220="Congé",F220="OFF",M220="Abs",F220="Congé sans solde",F220="Férié",F220="Congé spécial",D220="Congé spécial"),0,IF(F220-E220&lt;0,0,IF(F220-E220&lt;=0.00068287037037037,0,F220-E220)))</f>
        <v>0</v>
      </c>
      <c r="M220" s="31" t="n">
        <f aca="false">IF(AND(O220&lt;&gt;0,C220=""),"Abs",0)</f>
        <v>0</v>
      </c>
      <c r="N220" s="32" t="str">
        <f aca="false">IFERROR(IF(OR(D220="OFF",D220="Congé",M220="Abs",D220="Congé sans solde",D220="Férié"),"",IF(O220-K220-L220&gt;O220,O220,IF(O220-K220-L220&lt;0,"",O220-K220-L220))),"")</f>
        <v/>
      </c>
      <c r="O220" s="33" t="n">
        <f aca="false">IF(AG220="2H Pause déjeuner",IF(F220-D220-0.0833333333333333&lt;0,F220-D220-0.0833333333333333+1,F220-D220-0.0833333333333333),IF(OR(AND(F220="OFF",D220="OFF"),AND(F220="Congé",D220="Congé"),AND(F220="Congé sans solde",D220="Congé sans solde"),AND(F220="Congé spécial",D220="Congé spécial"),AND(F220="Férié",D220="Férié"),AND(F220="OFF",D220="Congé"),AND(F220="OFF",D220="Congé sans solde"),AND(F220="OFF",D220="Congé spécial"),AND(F220="OFF",D220="Férié"),AND(F220="Congé",D220="OFF"),AND(F220="Congé",D220="Congé sans solde"),AND(F220="Congé",D220="Congé spécial"),AND(F220="Congé",D220="Férié"),AND(F220="Congé sans solde",D220="OFF"),AND(F220="Congé sans solde",D220="Congé"),AND(F220="Congé sans solde",D220="Congé spécial"),AND(F220="Congé sans solde",D220="Férié"),AND(F220="Congé spécial",D220="OFF"),AND(F220="Congé spécial",D220="Congé"),AND(F220="Congé spécial",D220="Congé sans solde"),AND(F220="Congé spécial",D220="Férié"),AND(F220="Férié",D220="OFF"),AND(F220="Férié",D220="Congé"),AND(F220="Férié",D220="Congé sans solde"),AND(F220="Férié",D220="Congé spécial")),0,IF(OR(F220="OFF",F220="Congé",F220="Congé spécial",F220="Congé sans solde",D220="OFF",D220="Congé",D220="Congé spécial",D220="Congé sans solde"),0.208333333333334,IF(AND(AG220="",F220-D220&lt;0),("24:00:00"-D220)+("00:00:00"+F220)-0.0416666666666667,IF(AND(OR(AG220="Allaitement",AG220="Sans déjeuner"),F220-D220&lt;0),("24:00:00"-D220)+("00:00:00"+F220),IF(AND(AG220="",F220-D220&gt;0.166666666666667),F220-D220-0.0416666666666667,IF(AND(OR(AG220="Allaitement",AG220="Sans déjeuner"),F220-D220&gt;0.166666666666667),F220-D220,F220-D220)))))))</f>
        <v>0</v>
      </c>
      <c r="P220" s="34" t="str">
        <f aca="false">IFERROR(VLOOKUP($B220,Annuaire_roster!$B:$G,MATCH(P$1,Annuaire_roster!$B$1:$G$1,0),0),"-")</f>
        <v>Google Leads</v>
      </c>
      <c r="Q220" s="35" t="n">
        <v>44723</v>
      </c>
      <c r="R220" s="36" t="n">
        <f aca="false">IF(M220="Abs",O220,0)</f>
        <v>0</v>
      </c>
      <c r="S220" s="36" t="n">
        <f aca="false">SUM(R220,L220,I220,J220,W220,H220)</f>
        <v>0</v>
      </c>
      <c r="T220" s="1" t="str">
        <f aca="false">"Sem - "&amp;WEEKNUM(Q220,21)</f>
        <v>Sem - 24</v>
      </c>
      <c r="U220" s="1" t="str">
        <f aca="false">PROPER(TEXT(Q220,"mmmm"))</f>
        <v>June</v>
      </c>
      <c r="V220" s="37" t="str">
        <f aca="false">+TEXT(Q220,"aaa")</f>
        <v>Fri</v>
      </c>
      <c r="W220" s="32"/>
      <c r="X220" s="38" t="n">
        <f aca="false">IFERROR(IF(M220="Abs",0,IF((D220-C220+E220-F220)&lt;0.000694444444444444,0,(D220-C220+E220-F220))),0)</f>
        <v>0</v>
      </c>
      <c r="Y220" s="39" t="n">
        <f aca="false">IFERROR(VLOOKUP(B220,Annuaire_roster!B:E,4,0),"-")</f>
        <v>0</v>
      </c>
      <c r="Z220" s="39" t="str">
        <f aca="false">IFERROR(VLOOKUP(B220,Annuaire_roster!B:F,3,0),"-")</f>
        <v>Google Leads</v>
      </c>
      <c r="AA220" s="39" t="n">
        <f aca="false">IFERROR(VLOOKUP(B220,Annuaire_roster!B:I,6,0),"-")</f>
        <v>0</v>
      </c>
      <c r="AB220" s="40" t="str">
        <f aca="false">IF(AND(D220="Congé",F220="Congé"),0.333333333333333,IF(OR(AND(D220="Congé",F220&lt;&gt;"Congé"),(AND(F220="Congé",D220&lt;&gt;"Congé"))),0.166666666666667,""))</f>
        <v/>
      </c>
      <c r="AC220" s="40" t="str">
        <f aca="false">IF(AND(D220="Congé sans solde",F220="Congé sans solde"),0.333333333333333,IF(OR(AND(D220="Congé sans solde",F220&lt;&gt;"Congé sans solde"),(AND(F220="Congé sans solde",D220&lt;&gt;"Congé sans solde"))),0.166666666666667,""))</f>
        <v/>
      </c>
      <c r="AD220" s="40" t="str">
        <f aca="false">IF(AND(D220="Congé spécial",F220="Congé spécial"),0.333333333333333,IF(OR(AND(D220="Congé spécial",F220&lt;&gt;"Congé décès"),(AND(F220="Congé spécial",D220&lt;&gt;"Congé spécial"))),0.166666666666667,""))</f>
        <v/>
      </c>
      <c r="AE220" s="41" t="str">
        <f aca="false">IF(AND(D220="Férié",F220="Férié"),0.333333333333333,IF(OR(AND(D220="Férié",F220&lt;&gt;"Férié"),(AND(F220="Férié",D220&lt;&gt;"Férié"))),0.166666666666667,""))</f>
        <v/>
      </c>
      <c r="AF220" s="41"/>
      <c r="AG220" s="36"/>
    </row>
    <row r="221" customFormat="false" ht="12.75" hidden="true" customHeight="true" outlineLevel="0" collapsed="false">
      <c r="A221" s="22" t="n">
        <f aca="false">VLOOKUP(B221,Annuaire_roster!B:F,5,0)</f>
        <v>0</v>
      </c>
      <c r="B221" s="23" t="s">
        <v>51</v>
      </c>
      <c r="C221" s="24" t="str">
        <f aca="false">IFERROR(IF(COUNTIFS(Pointage_brut!$E:$E,VLOOKUP($B221,Annuaire_roster!$B:$J,9,0),Pointage_brut!$A:$A,TEXT($Q221,"yyyymmdd")*1)=0,"",MOD(_xlfn.MINIFS(Pointage_brut!$F:$F,Pointage_brut!$E:$E,VLOOKUP($B221,Annuaire_roster!$B:$J,9,0),Pointage_brut!$A:$A,TEXT($Q221,"yyyymmdd")*1),1)),"")</f>
        <v/>
      </c>
      <c r="D221" s="25" t="str">
        <f aca="false" t="array" ref="D221:D221">IFERROR(INDEX(Planning2[],MATCH(1,(Planning2[Nom]=B221)*(Planning2[Date]=Q221),0),3),"-")</f>
        <v>OFF</v>
      </c>
      <c r="E221" s="26" t="str">
        <f aca="false">IFERROR(IF(COUNTIFS(Pointage_brut!$E:$E,VLOOKUP($B221,Annuaire_roster!$B:$J,9,0),Pointage_brut!$A:$A,TEXT($Q221,"yyyymmdd")*1)=0,"",MOD(_xlfn.MAXIFS(Pointage_brut!$G:$G,Pointage_brut!$E:$E,VLOOKUP($B221,Annuaire_roster!$B:$J,9,0),Pointage_brut!$A:$A,TEXT($Q221,"yyyymmdd")*1),1)),"")</f>
        <v/>
      </c>
      <c r="F221" s="27" t="str">
        <f aca="false" t="array" ref="F221:F221">IFERROR(INDEX(Planning2[],MATCH(1,(Planning2[Nom]=B221)*(Planning2[Date]=Q221),0),4),"-")</f>
        <v>OFF</v>
      </c>
      <c r="G221" s="28"/>
      <c r="H221" s="28"/>
      <c r="I221" s="29" t="str">
        <f aca="false">IF(IF(OR(C221="",D221="Congé",D221="OFF",D221="Congé spécial"),"",IF(D221&gt;F221,D221-C221,IF(C221-D221&lt;0,0,C221-D221)))&lt;0.00068287037037037,"",IF(OR(D221="Congé",D221="OFF",C221="",D221="Congé spécial"),"",IF(D221&gt;F221,D221-C221,IF(C221-D221&lt;0,0,C221-D221))))</f>
        <v/>
      </c>
      <c r="J221" s="53"/>
      <c r="K221" s="30" t="n">
        <f aca="false">IF(SUM(H221:J221)&lt;0.00068287037037037,0,SUM(H221:J221))</f>
        <v>0</v>
      </c>
      <c r="L221" s="28" t="n">
        <f aca="false">IF(OR(F221="Congé",F221="OFF",M221="Abs",F221="Congé sans solde",F221="Férié",F221="Congé spécial",D221="Congé spécial"),0,IF(F221-E221&lt;0,0,IF(F221-E221&lt;=0.00068287037037037,0,F221-E221)))</f>
        <v>0</v>
      </c>
      <c r="M221" s="31" t="n">
        <f aca="false">IF(AND(O221&lt;&gt;0,C221=""),"Abs",0)</f>
        <v>0</v>
      </c>
      <c r="N221" s="32" t="str">
        <f aca="false">IFERROR(IF(OR(D221="OFF",D221="Congé",M221="Abs",D221="Congé sans solde",D221="Férié"),"",IF(O221-K221-L221&gt;O221,O221,IF(O221-K221-L221&lt;0,"",O221-K221-L221))),"")</f>
        <v/>
      </c>
      <c r="O221" s="33" t="n">
        <f aca="false">IF(AG221="2H Pause déjeuner",IF(F221-D221-0.0833333333333333&lt;0,F221-D221-0.0833333333333333+1,F221-D221-0.0833333333333333),IF(OR(AND(F221="OFF",D221="OFF"),AND(F221="Congé",D221="Congé"),AND(F221="Congé sans solde",D221="Congé sans solde"),AND(F221="Congé spécial",D221="Congé spécial"),AND(F221="Férié",D221="Férié"),AND(F221="OFF",D221="Congé"),AND(F221="OFF",D221="Congé sans solde"),AND(F221="OFF",D221="Congé spécial"),AND(F221="OFF",D221="Férié"),AND(F221="Congé",D221="OFF"),AND(F221="Congé",D221="Congé sans solde"),AND(F221="Congé",D221="Congé spécial"),AND(F221="Congé",D221="Férié"),AND(F221="Congé sans solde",D221="OFF"),AND(F221="Congé sans solde",D221="Congé"),AND(F221="Congé sans solde",D221="Congé spécial"),AND(F221="Congé sans solde",D221="Férié"),AND(F221="Congé spécial",D221="OFF"),AND(F221="Congé spécial",D221="Congé"),AND(F221="Congé spécial",D221="Congé sans solde"),AND(F221="Congé spécial",D221="Férié"),AND(F221="Férié",D221="OFF"),AND(F221="Férié",D221="Congé"),AND(F221="Férié",D221="Congé sans solde"),AND(F221="Férié",D221="Congé spécial")),0,IF(OR(F221="OFF",F221="Congé",F221="Congé spécial",F221="Congé sans solde",D221="OFF",D221="Congé",D221="Congé spécial",D221="Congé sans solde"),0.208333333333334,IF(AND(AG221="",F221-D221&lt;0),("24:00:00"-D221)+("00:00:00"+F221)-0.0416666666666667,IF(AND(OR(AG221="Allaitement",AG221="Sans déjeuner"),F221-D221&lt;0),("24:00:00"-D221)+("00:00:00"+F221),IF(AND(AG221="",F221-D221&gt;0.166666666666667),F221-D221-0.0416666666666667,IF(AND(OR(AG221="Allaitement",AG221="Sans déjeuner"),F221-D221&gt;0.166666666666667),F221-D221,F221-D221)))))))</f>
        <v>0</v>
      </c>
      <c r="P221" s="34" t="str">
        <f aca="false">IFERROR(VLOOKUP($B221,Annuaire_roster!$B:$G,MATCH(P$1,Annuaire_roster!$B$1:$G$1,0),0),"-")</f>
        <v>Google Leads</v>
      </c>
      <c r="Q221" s="35" t="n">
        <v>44723</v>
      </c>
      <c r="R221" s="36" t="n">
        <f aca="false">IF(M221="Abs",O221,0)</f>
        <v>0</v>
      </c>
      <c r="S221" s="36" t="n">
        <f aca="false">SUM(R221,L221,I221,J221,W221,H221)</f>
        <v>0</v>
      </c>
      <c r="T221" s="1" t="str">
        <f aca="false">"Sem - "&amp;WEEKNUM(Q221,21)</f>
        <v>Sem - 24</v>
      </c>
      <c r="U221" s="1" t="str">
        <f aca="false">PROPER(TEXT(Q221,"mmmm"))</f>
        <v>June</v>
      </c>
      <c r="V221" s="37" t="str">
        <f aca="false">+TEXT(Q221,"aaa")</f>
        <v>Fri</v>
      </c>
      <c r="W221" s="32"/>
      <c r="X221" s="38" t="n">
        <f aca="false">IFERROR(IF(M221="Abs",0,IF((D221-C221+E221-F221)&lt;0.000694444444444444,0,(D221-C221+E221-F221))),0)</f>
        <v>0</v>
      </c>
      <c r="Y221" s="39" t="n">
        <f aca="false">IFERROR(VLOOKUP(B221,Annuaire_roster!B:E,4,0),"-")</f>
        <v>0</v>
      </c>
      <c r="Z221" s="39" t="str">
        <f aca="false">IFERROR(VLOOKUP(B221,Annuaire_roster!B:F,3,0),"-")</f>
        <v>Google Leads</v>
      </c>
      <c r="AA221" s="39" t="n">
        <f aca="false">IFERROR(VLOOKUP(B221,Annuaire_roster!B:I,6,0),"-")</f>
        <v>0</v>
      </c>
      <c r="AB221" s="40" t="str">
        <f aca="false">IF(AND(D221="Congé",F221="Congé"),0.333333333333333,IF(OR(AND(D221="Congé",F221&lt;&gt;"Congé"),(AND(F221="Congé",D221&lt;&gt;"Congé"))),0.166666666666667,""))</f>
        <v/>
      </c>
      <c r="AC221" s="40" t="str">
        <f aca="false">IF(AND(D221="Congé sans solde",F221="Congé sans solde"),0.333333333333333,IF(OR(AND(D221="Congé sans solde",F221&lt;&gt;"Congé sans solde"),(AND(F221="Congé sans solde",D221&lt;&gt;"Congé sans solde"))),0.166666666666667,""))</f>
        <v/>
      </c>
      <c r="AD221" s="40" t="str">
        <f aca="false">IF(AND(D221="Congé spécial",F221="Congé spécial"),0.333333333333333,IF(OR(AND(D221="Congé spécial",F221&lt;&gt;"Congé décès"),(AND(F221="Congé spécial",D221&lt;&gt;"Congé spécial"))),0.166666666666667,""))</f>
        <v/>
      </c>
      <c r="AE221" s="41" t="str">
        <f aca="false">IF(AND(D221="Férié",F221="Férié"),0.333333333333333,IF(OR(AND(D221="Férié",F221&lt;&gt;"Férié"),(AND(F221="Férié",D221&lt;&gt;"Férié"))),0.166666666666667,""))</f>
        <v/>
      </c>
      <c r="AF221" s="41"/>
      <c r="AG221" s="36"/>
    </row>
    <row r="222" customFormat="false" ht="12.75" hidden="true" customHeight="true" outlineLevel="0" collapsed="false">
      <c r="A222" s="22" t="n">
        <f aca="false">VLOOKUP(B222,Annuaire_roster!B:F,5,0)</f>
        <v>0</v>
      </c>
      <c r="B222" s="23" t="s">
        <v>39</v>
      </c>
      <c r="C222" s="24" t="str">
        <f aca="false">IFERROR(IF(COUNTIFS(Pointage_brut!$E:$E,VLOOKUP($B222,Annuaire_roster!$B:$J,9,0),Pointage_brut!$A:$A,TEXT($Q222,"yyyymmdd")*1)=0,"",MOD(_xlfn.MINIFS(Pointage_brut!$F:$F,Pointage_brut!$E:$E,VLOOKUP($B222,Annuaire_roster!$B:$J,9,0),Pointage_brut!$A:$A,TEXT($Q222,"yyyymmdd")*1),1)),"")</f>
        <v/>
      </c>
      <c r="D222" s="25" t="str">
        <f aca="false" t="array" ref="D222:D222">IFERROR(INDEX(Planning2[],MATCH(1,(Planning2[Nom]=B222)*(Planning2[Date]=Q222),0),3),"-")</f>
        <v>OFF</v>
      </c>
      <c r="E222" s="26" t="str">
        <f aca="false">IFERROR(IF(COUNTIFS(Pointage_brut!$E:$E,VLOOKUP($B222,Annuaire_roster!$B:$J,9,0),Pointage_brut!$A:$A,TEXT($Q222,"yyyymmdd")*1)=0,"",MOD(_xlfn.MAXIFS(Pointage_brut!$G:$G,Pointage_brut!$E:$E,VLOOKUP($B222,Annuaire_roster!$B:$J,9,0),Pointage_brut!$A:$A,TEXT($Q222,"yyyymmdd")*1),1)),"")</f>
        <v/>
      </c>
      <c r="F222" s="27" t="str">
        <f aca="false" t="array" ref="F222:F222">IFERROR(INDEX(Planning2[],MATCH(1,(Planning2[Nom]=B222)*(Planning2[Date]=Q222),0),4),"-")</f>
        <v>OFF</v>
      </c>
      <c r="G222" s="28"/>
      <c r="H222" s="28"/>
      <c r="I222" s="29" t="str">
        <f aca="false">IF(IF(OR(C222="",D222="Congé",D222="OFF",D222="Congé spécial"),"",IF(D222&gt;F222,D222-C222,IF(C222-D222&lt;0,0,C222-D222)))&lt;0.00068287037037037,"",IF(OR(D222="Congé",D222="OFF",C222="",D222="Congé spécial"),"",IF(D222&gt;F222,D222-C222,IF(C222-D222&lt;0,0,C222-D222))))</f>
        <v/>
      </c>
      <c r="J222" s="53"/>
      <c r="K222" s="30" t="n">
        <f aca="false">IF(SUM(H222:J222)&lt;0.00068287037037037,0,SUM(H222:J222))</f>
        <v>0</v>
      </c>
      <c r="L222" s="28" t="n">
        <f aca="false">IF(OR(F222="Congé",F222="OFF",M222="Abs",F222="Congé sans solde",F222="Férié",F222="Congé spécial",D222="Congé spécial"),0,IF(F222-E222&lt;0,0,IF(F222-E222&lt;=0.00068287037037037,0,F222-E222)))</f>
        <v>0</v>
      </c>
      <c r="M222" s="31" t="n">
        <f aca="false">IF(AND(O222&lt;&gt;0,C222=""),"Abs",0)</f>
        <v>0</v>
      </c>
      <c r="N222" s="32" t="str">
        <f aca="false">IFERROR(IF(OR(D222="OFF",D222="Congé",M222="Abs",D222="Congé sans solde",D222="Férié"),"",IF(O222-K222-L222&gt;O222,O222,IF(O222-K222-L222&lt;0,"",O222-K222-L222))),"")</f>
        <v/>
      </c>
      <c r="O222" s="33" t="n">
        <f aca="false">IF(AG222="2H Pause déjeuner",IF(F222-D222-0.0833333333333333&lt;0,F222-D222-0.0833333333333333+1,F222-D222-0.0833333333333333),IF(OR(AND(F222="OFF",D222="OFF"),AND(F222="Congé",D222="Congé"),AND(F222="Congé sans solde",D222="Congé sans solde"),AND(F222="Congé spécial",D222="Congé spécial"),AND(F222="Férié",D222="Férié"),AND(F222="OFF",D222="Congé"),AND(F222="OFF",D222="Congé sans solde"),AND(F222="OFF",D222="Congé spécial"),AND(F222="OFF",D222="Férié"),AND(F222="Congé",D222="OFF"),AND(F222="Congé",D222="Congé sans solde"),AND(F222="Congé",D222="Congé spécial"),AND(F222="Congé",D222="Férié"),AND(F222="Congé sans solde",D222="OFF"),AND(F222="Congé sans solde",D222="Congé"),AND(F222="Congé sans solde",D222="Congé spécial"),AND(F222="Congé sans solde",D222="Férié"),AND(F222="Congé spécial",D222="OFF"),AND(F222="Congé spécial",D222="Congé"),AND(F222="Congé spécial",D222="Congé sans solde"),AND(F222="Congé spécial",D222="Férié"),AND(F222="Férié",D222="OFF"),AND(F222="Férié",D222="Congé"),AND(F222="Férié",D222="Congé sans solde"),AND(F222="Férié",D222="Congé spécial")),0,IF(OR(F222="OFF",F222="Congé",F222="Congé spécial",F222="Congé sans solde",D222="OFF",D222="Congé",D222="Congé spécial",D222="Congé sans solde"),0.208333333333334,IF(AND(AG222="",F222-D222&lt;0),("24:00:00"-D222)+("00:00:00"+F222)-0.0416666666666667,IF(AND(OR(AG222="Allaitement",AG222="Sans déjeuner"),F222-D222&lt;0),("24:00:00"-D222)+("00:00:00"+F222),IF(AND(AG222="",F222-D222&gt;0.166666666666667),F222-D222-0.0416666666666667,IF(AND(OR(AG222="Allaitement",AG222="Sans déjeuner"),F222-D222&gt;0.166666666666667),F222-D222,F222-D222)))))))</f>
        <v>0</v>
      </c>
      <c r="P222" s="34" t="str">
        <f aca="false">IFERROR(VLOOKUP($B222,Annuaire_roster!$B:$G,MATCH(P$1,Annuaire_roster!$B$1:$G$1,0),0),"-")</f>
        <v>Google Leads</v>
      </c>
      <c r="Q222" s="35" t="n">
        <v>44723</v>
      </c>
      <c r="R222" s="36" t="n">
        <f aca="false">IF(M222="Abs",O222,0)</f>
        <v>0</v>
      </c>
      <c r="S222" s="36" t="n">
        <f aca="false">SUM(R222,L222,I222,J222,W222,H222)</f>
        <v>0</v>
      </c>
      <c r="T222" s="1" t="str">
        <f aca="false">"Sem - "&amp;WEEKNUM(Q222,21)</f>
        <v>Sem - 24</v>
      </c>
      <c r="U222" s="1" t="str">
        <f aca="false">PROPER(TEXT(Q222,"mmmm"))</f>
        <v>June</v>
      </c>
      <c r="V222" s="37" t="str">
        <f aca="false">+TEXT(Q222,"aaa")</f>
        <v>Fri</v>
      </c>
      <c r="W222" s="32"/>
      <c r="X222" s="38" t="n">
        <f aca="false">IFERROR(IF(M222="Abs",0,IF((D222-C222+E222-F222)&lt;0.000694444444444444,0,(D222-C222+E222-F222))),0)</f>
        <v>0</v>
      </c>
      <c r="Y222" s="39" t="n">
        <f aca="false">IFERROR(VLOOKUP(B222,Annuaire_roster!B:E,4,0),"-")</f>
        <v>0</v>
      </c>
      <c r="Z222" s="39" t="str">
        <f aca="false">IFERROR(VLOOKUP(B222,Annuaire_roster!B:F,3,0),"-")</f>
        <v>Google Leads</v>
      </c>
      <c r="AA222" s="39" t="n">
        <f aca="false">IFERROR(VLOOKUP(B222,Annuaire_roster!B:I,6,0),"-")</f>
        <v>0</v>
      </c>
      <c r="AB222" s="40" t="str">
        <f aca="false">IF(AND(D222="Congé",F222="Congé"),0.333333333333333,IF(OR(AND(D222="Congé",F222&lt;&gt;"Congé"),(AND(F222="Congé",D222&lt;&gt;"Congé"))),0.166666666666667,""))</f>
        <v/>
      </c>
      <c r="AC222" s="40" t="str">
        <f aca="false">IF(AND(D222="Congé sans solde",F222="Congé sans solde"),0.333333333333333,IF(OR(AND(D222="Congé sans solde",F222&lt;&gt;"Congé sans solde"),(AND(F222="Congé sans solde",D222&lt;&gt;"Congé sans solde"))),0.166666666666667,""))</f>
        <v/>
      </c>
      <c r="AD222" s="40" t="str">
        <f aca="false">IF(AND(D222="Congé spécial",F222="Congé spécial"),0.333333333333333,IF(OR(AND(D222="Congé spécial",F222&lt;&gt;"Congé décès"),(AND(F222="Congé spécial",D222&lt;&gt;"Congé spécial"))),0.166666666666667,""))</f>
        <v/>
      </c>
      <c r="AE222" s="41" t="str">
        <f aca="false">IF(AND(D222="Férié",F222="Férié"),0.333333333333333,IF(OR(AND(D222="Férié",F222&lt;&gt;"Férié"),(AND(F222="Férié",D222&lt;&gt;"Férié"))),0.166666666666667,""))</f>
        <v/>
      </c>
      <c r="AF222" s="41"/>
      <c r="AG222" s="36"/>
    </row>
    <row r="223" customFormat="false" ht="12.75" hidden="true" customHeight="true" outlineLevel="0" collapsed="false">
      <c r="A223" s="22" t="n">
        <f aca="false">VLOOKUP(B223,Annuaire_roster!B:F,5,0)</f>
        <v>0</v>
      </c>
      <c r="B223" s="23" t="s">
        <v>37</v>
      </c>
      <c r="C223" s="24" t="str">
        <f aca="false">IFERROR(IF(COUNTIFS(Pointage_brut!$E:$E,VLOOKUP($B223,Annuaire_roster!$B:$J,9,0),Pointage_brut!$A:$A,TEXT($Q223,"yyyymmdd")*1)=0,"",MOD(_xlfn.MINIFS(Pointage_brut!$F:$F,Pointage_brut!$E:$E,VLOOKUP($B223,Annuaire_roster!$B:$J,9,0),Pointage_brut!$A:$A,TEXT($Q223,"yyyymmdd")*1),1)),"")</f>
        <v/>
      </c>
      <c r="D223" s="25" t="n">
        <f aca="false" t="array" ref="D223:D223">IFERROR(INDEX(Planning2[],MATCH(1,(Planning2[Nom]=B223)*(Planning2[Date]=Q223),0),3),"-")</f>
        <v>0.291666666666667</v>
      </c>
      <c r="E223" s="26" t="str">
        <f aca="false">IFERROR(IF(COUNTIFS(Pointage_brut!$E:$E,VLOOKUP($B223,Annuaire_roster!$B:$J,9,0),Pointage_brut!$A:$A,TEXT($Q223,"yyyymmdd")*1)=0,"",MOD(_xlfn.MAXIFS(Pointage_brut!$G:$G,Pointage_brut!$E:$E,VLOOKUP($B223,Annuaire_roster!$B:$J,9,0),Pointage_brut!$A:$A,TEXT($Q223,"yyyymmdd")*1),1)),"")</f>
        <v/>
      </c>
      <c r="F223" s="27" t="n">
        <f aca="false" t="array" ref="F223:F223">IFERROR(INDEX(Planning2[],MATCH(1,(Planning2[Nom]=B223)*(Planning2[Date]=Q223),0),4),"-")</f>
        <v>0.666666666666667</v>
      </c>
      <c r="G223" s="28"/>
      <c r="H223" s="28"/>
      <c r="I223" s="29" t="str">
        <f aca="false">IF(IF(OR(C223="",D223="Congé",D223="OFF",D223="Congé spécial"),"",IF(D223&gt;F223,D223-C223,IF(C223-D223&lt;0,0,C223-D223)))&lt;0.00068287037037037,"",IF(OR(D223="Congé",D223="OFF",C223="",D223="Congé spécial"),"",IF(D223&gt;F223,D223-C223,IF(C223-D223&lt;0,0,C223-D223))))</f>
        <v/>
      </c>
      <c r="J223" s="53"/>
      <c r="K223" s="30" t="n">
        <f aca="false">IF(SUM(H223:J223)&lt;0.00068287037037037,0,SUM(H223:J223))</f>
        <v>0</v>
      </c>
      <c r="L223" s="28" t="n">
        <f aca="false">IF(OR(F223="Congé",F223="OFF",M223="Abs",F223="Congé sans solde",F223="Férié",F223="Congé spécial",D223="Congé spécial"),0,IF(F223-E223&lt;0,0,IF(F223-E223&lt;=0.00068287037037037,0,F223-E223)))</f>
        <v>0</v>
      </c>
      <c r="M223" s="31" t="str">
        <f aca="false">IF(AND(O223&lt;&gt;0,C223=""),"Abs",0)</f>
        <v>Abs</v>
      </c>
      <c r="N223" s="32" t="str">
        <f aca="false">IFERROR(IF(OR(D223="OFF",D223="Congé",M223="Abs",D223="Congé sans solde",D223="Férié"),"",IF(O223-K223-L223&gt;O223,O223,IF(O223-K223-L223&lt;0,"",O223-K223-L223))),"")</f>
        <v/>
      </c>
      <c r="O223" s="33" t="n">
        <f aca="false">IF(AG223="2H Pause déjeuner",IF(F223-D223-0.0833333333333333&lt;0,F223-D223-0.0833333333333333+1,F223-D223-0.0833333333333333),IF(OR(AND(F223="OFF",D223="OFF"),AND(F223="Congé",D223="Congé"),AND(F223="Congé sans solde",D223="Congé sans solde"),AND(F223="Congé spécial",D223="Congé spécial"),AND(F223="Férié",D223="Férié"),AND(F223="OFF",D223="Congé"),AND(F223="OFF",D223="Congé sans solde"),AND(F223="OFF",D223="Congé spécial"),AND(F223="OFF",D223="Férié"),AND(F223="Congé",D223="OFF"),AND(F223="Congé",D223="Congé sans solde"),AND(F223="Congé",D223="Congé spécial"),AND(F223="Congé",D223="Férié"),AND(F223="Congé sans solde",D223="OFF"),AND(F223="Congé sans solde",D223="Congé"),AND(F223="Congé sans solde",D223="Congé spécial"),AND(F223="Congé sans solde",D223="Férié"),AND(F223="Congé spécial",D223="OFF"),AND(F223="Congé spécial",D223="Congé"),AND(F223="Congé spécial",D223="Congé sans solde"),AND(F223="Congé spécial",D223="Férié"),AND(F223="Férié",D223="OFF"),AND(F223="Férié",D223="Congé"),AND(F223="Férié",D223="Congé sans solde"),AND(F223="Férié",D223="Congé spécial")),0,IF(OR(F223="OFF",F223="Congé",F223="Congé spécial",F223="Congé sans solde",D223="OFF",D223="Congé",D223="Congé spécial",D223="Congé sans solde"),0.208333333333334,IF(AND(AG223="",F223-D223&lt;0),("24:00:00"-D223)+("00:00:00"+F223)-0.0416666666666667,IF(AND(OR(AG223="Allaitement",AG223="Sans déjeuner"),F223-D223&lt;0),("24:00:00"-D223)+("00:00:00"+F223),IF(AND(AG223="",F223-D223&gt;0.166666666666667),F223-D223-0.0416666666666667,IF(AND(OR(AG223="Allaitement",AG223="Sans déjeuner"),F223-D223&gt;0.166666666666667),F223-D223,F223-D223)))))))</f>
        <v>0.333333333333333</v>
      </c>
      <c r="P223" s="34" t="str">
        <f aca="false">IFERROR(VLOOKUP($B223,Annuaire_roster!$B:$G,MATCH(P$1,Annuaire_roster!$B$1:$G$1,0),0),"-")</f>
        <v>Google Leads</v>
      </c>
      <c r="Q223" s="35" t="n">
        <v>44723</v>
      </c>
      <c r="R223" s="36" t="n">
        <f aca="false">IF(M223="Abs",O223,0)</f>
        <v>0.333333333333333</v>
      </c>
      <c r="S223" s="36" t="n">
        <f aca="false">SUM(R223,L223,I223,J223,W223,H223)</f>
        <v>0.333333333333333</v>
      </c>
      <c r="T223" s="1" t="str">
        <f aca="false">"Sem - "&amp;WEEKNUM(Q223,21)</f>
        <v>Sem - 24</v>
      </c>
      <c r="U223" s="1" t="str">
        <f aca="false">PROPER(TEXT(Q223,"mmmm"))</f>
        <v>June</v>
      </c>
      <c r="V223" s="37" t="str">
        <f aca="false">+TEXT(Q223,"aaa")</f>
        <v>Fri</v>
      </c>
      <c r="W223" s="32"/>
      <c r="X223" s="38" t="n">
        <f aca="false">IFERROR(IF(M223="Abs",0,IF((D223-C223+E223-F223)&lt;0.000694444444444444,0,(D223-C223+E223-F223))),0)</f>
        <v>0</v>
      </c>
      <c r="Y223" s="39" t="n">
        <f aca="false">IFERROR(VLOOKUP(B223,Annuaire_roster!B:E,4,0),"-")</f>
        <v>0</v>
      </c>
      <c r="Z223" s="39" t="str">
        <f aca="false">IFERROR(VLOOKUP(B223,Annuaire_roster!B:F,3,0),"-")</f>
        <v>Google Leads</v>
      </c>
      <c r="AA223" s="39" t="n">
        <f aca="false">IFERROR(VLOOKUP(B223,Annuaire_roster!B:I,6,0),"-")</f>
        <v>0</v>
      </c>
      <c r="AB223" s="40" t="str">
        <f aca="false">IF(AND(D223="Congé",F223="Congé"),0.333333333333333,IF(OR(AND(D223="Congé",F223&lt;&gt;"Congé"),(AND(F223="Congé",D223&lt;&gt;"Congé"))),0.166666666666667,""))</f>
        <v/>
      </c>
      <c r="AC223" s="40" t="str">
        <f aca="false">IF(AND(D223="Congé sans solde",F223="Congé sans solde"),0.333333333333333,IF(OR(AND(D223="Congé sans solde",F223&lt;&gt;"Congé sans solde"),(AND(F223="Congé sans solde",D223&lt;&gt;"Congé sans solde"))),0.166666666666667,""))</f>
        <v/>
      </c>
      <c r="AD223" s="40" t="str">
        <f aca="false">IF(AND(D223="Congé spécial",F223="Congé spécial"),0.333333333333333,IF(OR(AND(D223="Congé spécial",F223&lt;&gt;"Congé décès"),(AND(F223="Congé spécial",D223&lt;&gt;"Congé spécial"))),0.166666666666667,""))</f>
        <v/>
      </c>
      <c r="AE223" s="41" t="str">
        <f aca="false">IF(AND(D223="Férié",F223="Férié"),0.333333333333333,IF(OR(AND(D223="Férié",F223&lt;&gt;"Férié"),(AND(F223="Férié",D223&lt;&gt;"Férié"))),0.166666666666667,""))</f>
        <v/>
      </c>
      <c r="AF223" s="41"/>
      <c r="AG223" s="36"/>
    </row>
    <row r="224" customFormat="false" ht="12.75" hidden="true" customHeight="true" outlineLevel="0" collapsed="false">
      <c r="A224" s="22" t="n">
        <f aca="false">VLOOKUP(B224,Annuaire_roster!B:F,5,0)</f>
        <v>0</v>
      </c>
      <c r="B224" s="23" t="s">
        <v>62</v>
      </c>
      <c r="C224" s="24" t="str">
        <f aca="false">IFERROR(IF(COUNTIFS(Pointage_brut!$E:$E,VLOOKUP($B224,Annuaire_roster!$B:$J,9,0),Pointage_brut!$A:$A,TEXT($Q224,"yyyymmdd")*1)=0,"",MOD(_xlfn.MINIFS(Pointage_brut!$F:$F,Pointage_brut!$E:$E,VLOOKUP($B224,Annuaire_roster!$B:$J,9,0),Pointage_brut!$A:$A,TEXT($Q224,"yyyymmdd")*1),1)),"")</f>
        <v/>
      </c>
      <c r="D224" s="25" t="n">
        <f aca="false" t="array" ref="D224:D224">IFERROR(INDEX(Planning2[],MATCH(1,(Planning2[Nom]=B224)*(Planning2[Date]=Q224),0),3),"-")</f>
        <v>0.416666666666667</v>
      </c>
      <c r="E224" s="26" t="str">
        <f aca="false">IFERROR(IF(COUNTIFS(Pointage_brut!$E:$E,VLOOKUP($B224,Annuaire_roster!$B:$J,9,0),Pointage_brut!$A:$A,TEXT($Q224,"yyyymmdd")*1)=0,"",MOD(_xlfn.MAXIFS(Pointage_brut!$G:$G,Pointage_brut!$E:$E,VLOOKUP($B224,Annuaire_roster!$B:$J,9,0),Pointage_brut!$A:$A,TEXT($Q224,"yyyymmdd")*1),1)),"")</f>
        <v/>
      </c>
      <c r="F224" s="27" t="n">
        <f aca="false" t="array" ref="F224:F224">IFERROR(INDEX(Planning2[],MATCH(1,(Planning2[Nom]=B224)*(Planning2[Date]=Q224),0),4),"-")</f>
        <v>0.833333333333333</v>
      </c>
      <c r="G224" s="28"/>
      <c r="H224" s="28"/>
      <c r="I224" s="29" t="str">
        <f aca="false">IF(IF(OR(C224="",D224="Congé",D224="OFF",D224="Congé spécial"),"",IF(D224&gt;F224,D224-C224,IF(C224-D224&lt;0,0,C224-D224)))&lt;0.00068287037037037,"",IF(OR(D224="Congé",D224="OFF",C224="",D224="Congé spécial"),"",IF(D224&gt;F224,D224-C224,IF(C224-D224&lt;0,0,C224-D224))))</f>
        <v/>
      </c>
      <c r="J224" s="53"/>
      <c r="K224" s="30" t="n">
        <f aca="false">IF(SUM(H224:J224)&lt;0.00068287037037037,0,SUM(H224:J224))</f>
        <v>0</v>
      </c>
      <c r="L224" s="28" t="n">
        <f aca="false">IF(OR(F224="Congé",F224="OFF",M224="Abs",F224="Congé sans solde",F224="Férié",F224="Congé spécial",D224="Congé spécial"),0,IF(F224-E224&lt;0,0,IF(F224-E224&lt;=0.00068287037037037,0,F224-E224)))</f>
        <v>0</v>
      </c>
      <c r="M224" s="31" t="str">
        <f aca="false">IF(AND(O224&lt;&gt;0,C224=""),"Abs",0)</f>
        <v>Abs</v>
      </c>
      <c r="N224" s="32" t="str">
        <f aca="false">IFERROR(IF(OR(D224="OFF",D224="Congé",M224="Abs",D224="Congé sans solde",D224="Férié"),"",IF(O224-K224-L224&gt;O224,O224,IF(O224-K224-L224&lt;0,"",O224-K224-L224))),"")</f>
        <v/>
      </c>
      <c r="O224" s="33" t="n">
        <f aca="false">IF(AG224="2H Pause déjeuner",IF(F224-D224-0.0833333333333333&lt;0,F224-D224-0.0833333333333333+1,F224-D224-0.0833333333333333),IF(OR(AND(F224="OFF",D224="OFF"),AND(F224="Congé",D224="Congé"),AND(F224="Congé sans solde",D224="Congé sans solde"),AND(F224="Congé spécial",D224="Congé spécial"),AND(F224="Férié",D224="Férié"),AND(F224="OFF",D224="Congé"),AND(F224="OFF",D224="Congé sans solde"),AND(F224="OFF",D224="Congé spécial"),AND(F224="OFF",D224="Férié"),AND(F224="Congé",D224="OFF"),AND(F224="Congé",D224="Congé sans solde"),AND(F224="Congé",D224="Congé spécial"),AND(F224="Congé",D224="Férié"),AND(F224="Congé sans solde",D224="OFF"),AND(F224="Congé sans solde",D224="Congé"),AND(F224="Congé sans solde",D224="Congé spécial"),AND(F224="Congé sans solde",D224="Férié"),AND(F224="Congé spécial",D224="OFF"),AND(F224="Congé spécial",D224="Congé"),AND(F224="Congé spécial",D224="Congé sans solde"),AND(F224="Congé spécial",D224="Férié"),AND(F224="Férié",D224="OFF"),AND(F224="Férié",D224="Congé"),AND(F224="Férié",D224="Congé sans solde"),AND(F224="Férié",D224="Congé spécial")),0,IF(OR(F224="OFF",F224="Congé",F224="Congé spécial",F224="Congé sans solde",D224="OFF",D224="Congé",D224="Congé spécial",D224="Congé sans solde"),0.208333333333334,IF(AND(AG224="",F224-D224&lt;0),("24:00:00"-D224)+("00:00:00"+F224)-0.0416666666666667,IF(AND(OR(AG224="Allaitement",AG224="Sans déjeuner"),F224-D224&lt;0),("24:00:00"-D224)+("00:00:00"+F224),IF(AND(AG224="",F224-D224&gt;0.166666666666667),F224-D224-0.0416666666666667,IF(AND(OR(AG224="Allaitement",AG224="Sans déjeuner"),F224-D224&gt;0.166666666666667),F224-D224,F224-D224)))))))</f>
        <v>0.375</v>
      </c>
      <c r="P224" s="34" t="str">
        <f aca="false">IFERROR(VLOOKUP($B224,Annuaire_roster!$B:$G,MATCH(P$1,Annuaire_roster!$B$1:$G$1,0),0),"-")</f>
        <v>Google Leads</v>
      </c>
      <c r="Q224" s="35" t="n">
        <v>44723</v>
      </c>
      <c r="R224" s="36" t="n">
        <f aca="false">IF(M224="Abs",O224,0)</f>
        <v>0.375</v>
      </c>
      <c r="S224" s="36" t="n">
        <f aca="false">SUM(R224,L224,I224,J224,W224,H224)</f>
        <v>0.375</v>
      </c>
      <c r="T224" s="1" t="str">
        <f aca="false">"Sem - "&amp;WEEKNUM(Q224,21)</f>
        <v>Sem - 24</v>
      </c>
      <c r="U224" s="1" t="str">
        <f aca="false">PROPER(TEXT(Q224,"mmmm"))</f>
        <v>June</v>
      </c>
      <c r="V224" s="37" t="str">
        <f aca="false">+TEXT(Q224,"aaa")</f>
        <v>Fri</v>
      </c>
      <c r="W224" s="32"/>
      <c r="X224" s="38" t="n">
        <f aca="false">IFERROR(IF(M224="Abs",0,IF((D224-C224+E224-F224)&lt;0.000694444444444444,0,(D224-C224+E224-F224))),0)</f>
        <v>0</v>
      </c>
      <c r="Y224" s="39" t="n">
        <f aca="false">IFERROR(VLOOKUP(B224,Annuaire_roster!B:E,4,0),"-")</f>
        <v>0</v>
      </c>
      <c r="Z224" s="39" t="str">
        <f aca="false">IFERROR(VLOOKUP(B224,Annuaire_roster!B:F,3,0),"-")</f>
        <v>Google Leads</v>
      </c>
      <c r="AA224" s="39" t="n">
        <f aca="false">IFERROR(VLOOKUP(B224,Annuaire_roster!B:I,6,0),"-")</f>
        <v>0</v>
      </c>
      <c r="AB224" s="40" t="str">
        <f aca="false">IF(AND(D224="Congé",F224="Congé"),0.333333333333333,IF(OR(AND(D224="Congé",F224&lt;&gt;"Congé"),(AND(F224="Congé",D224&lt;&gt;"Congé"))),0.166666666666667,""))</f>
        <v/>
      </c>
      <c r="AC224" s="40" t="str">
        <f aca="false">IF(AND(D224="Congé sans solde",F224="Congé sans solde"),0.333333333333333,IF(OR(AND(D224="Congé sans solde",F224&lt;&gt;"Congé sans solde"),(AND(F224="Congé sans solde",D224&lt;&gt;"Congé sans solde"))),0.166666666666667,""))</f>
        <v/>
      </c>
      <c r="AD224" s="40" t="str">
        <f aca="false">IF(AND(D224="Congé spécial",F224="Congé spécial"),0.333333333333333,IF(OR(AND(D224="Congé spécial",F224&lt;&gt;"Congé décès"),(AND(F224="Congé spécial",D224&lt;&gt;"Congé spécial"))),0.166666666666667,""))</f>
        <v/>
      </c>
      <c r="AE224" s="41" t="str">
        <f aca="false">IF(AND(D224="Férié",F224="Férié"),0.333333333333333,IF(OR(AND(D224="Férié",F224&lt;&gt;"Férié"),(AND(F224="Férié",D224&lt;&gt;"Férié"))),0.166666666666667,""))</f>
        <v/>
      </c>
      <c r="AF224" s="41"/>
      <c r="AG224" s="36"/>
    </row>
    <row r="225" customFormat="false" ht="12.75" hidden="true" customHeight="true" outlineLevel="0" collapsed="false">
      <c r="A225" s="22" t="n">
        <f aca="false">VLOOKUP(B225,Annuaire_roster!B:F,5,0)</f>
        <v>0</v>
      </c>
      <c r="B225" s="23" t="s">
        <v>47</v>
      </c>
      <c r="C225" s="24" t="str">
        <f aca="false">IFERROR(IF(COUNTIFS(Pointage_brut!$E:$E,VLOOKUP($B225,Annuaire_roster!$B:$J,9,0),Pointage_brut!$A:$A,TEXT($Q225,"yyyymmdd")*1)=0,"",MOD(_xlfn.MINIFS(Pointage_brut!$F:$F,Pointage_brut!$E:$E,VLOOKUP($B225,Annuaire_roster!$B:$J,9,0),Pointage_brut!$A:$A,TEXT($Q225,"yyyymmdd")*1),1)),"")</f>
        <v/>
      </c>
      <c r="D225" s="25" t="str">
        <f aca="false" t="array" ref="D225:D225">IFERROR(INDEX(Planning2[],MATCH(1,(Planning2[Nom]=B225)*(Planning2[Date]=Q225),0),3),"-")</f>
        <v>OFF</v>
      </c>
      <c r="E225" s="26" t="str">
        <f aca="false">IFERROR(IF(COUNTIFS(Pointage_brut!$E:$E,VLOOKUP($B225,Annuaire_roster!$B:$J,9,0),Pointage_brut!$A:$A,TEXT($Q225,"yyyymmdd")*1)=0,"",MOD(_xlfn.MAXIFS(Pointage_brut!$G:$G,Pointage_brut!$E:$E,VLOOKUP($B225,Annuaire_roster!$B:$J,9,0),Pointage_brut!$A:$A,TEXT($Q225,"yyyymmdd")*1),1)),"")</f>
        <v/>
      </c>
      <c r="F225" s="27" t="str">
        <f aca="false" t="array" ref="F225:F225">IFERROR(INDEX(Planning2[],MATCH(1,(Planning2[Nom]=B225)*(Planning2[Date]=Q225),0),4),"-")</f>
        <v>OFF</v>
      </c>
      <c r="G225" s="28"/>
      <c r="H225" s="28"/>
      <c r="I225" s="29" t="str">
        <f aca="false">IF(IF(OR(C225="",D225="Congé",D225="OFF",D225="Congé spécial"),"",IF(D225&gt;F225,D225-C225,IF(C225-D225&lt;0,0,C225-D225)))&lt;0.00068287037037037,"",IF(OR(D225="Congé",D225="OFF",C225="",D225="Congé spécial"),"",IF(D225&gt;F225,D225-C225,IF(C225-D225&lt;0,0,C225-D225))))</f>
        <v/>
      </c>
      <c r="J225" s="53"/>
      <c r="K225" s="30" t="n">
        <f aca="false">IF(SUM(H225:J225)&lt;0.00068287037037037,0,SUM(H225:J225))</f>
        <v>0</v>
      </c>
      <c r="L225" s="28" t="n">
        <f aca="false">IF(OR(F225="Congé",F225="OFF",M225="Abs",F225="Congé sans solde",F225="Férié",F225="Congé spécial",D225="Congé spécial"),0,IF(F225-E225&lt;0,0,IF(F225-E225&lt;=0.00068287037037037,0,F225-E225)))</f>
        <v>0</v>
      </c>
      <c r="M225" s="31" t="n">
        <f aca="false">IF(AND(O225&lt;&gt;0,C225=""),"Abs",0)</f>
        <v>0</v>
      </c>
      <c r="N225" s="32" t="str">
        <f aca="false">IFERROR(IF(OR(D225="OFF",D225="Congé",M225="Abs",D225="Congé sans solde",D225="Férié"),"",IF(O225-K225-L225&gt;O225,O225,IF(O225-K225-L225&lt;0,"",O225-K225-L225))),"")</f>
        <v/>
      </c>
      <c r="O225" s="33" t="n">
        <f aca="false">IF(AG225="2H Pause déjeuner",IF(F225-D225-0.0833333333333333&lt;0,F225-D225-0.0833333333333333+1,F225-D225-0.0833333333333333),IF(OR(AND(F225="OFF",D225="OFF"),AND(F225="Congé",D225="Congé"),AND(F225="Congé sans solde",D225="Congé sans solde"),AND(F225="Congé spécial",D225="Congé spécial"),AND(F225="Férié",D225="Férié"),AND(F225="OFF",D225="Congé"),AND(F225="OFF",D225="Congé sans solde"),AND(F225="OFF",D225="Congé spécial"),AND(F225="OFF",D225="Férié"),AND(F225="Congé",D225="OFF"),AND(F225="Congé",D225="Congé sans solde"),AND(F225="Congé",D225="Congé spécial"),AND(F225="Congé",D225="Férié"),AND(F225="Congé sans solde",D225="OFF"),AND(F225="Congé sans solde",D225="Congé"),AND(F225="Congé sans solde",D225="Congé spécial"),AND(F225="Congé sans solde",D225="Férié"),AND(F225="Congé spécial",D225="OFF"),AND(F225="Congé spécial",D225="Congé"),AND(F225="Congé spécial",D225="Congé sans solde"),AND(F225="Congé spécial",D225="Férié"),AND(F225="Férié",D225="OFF"),AND(F225="Férié",D225="Congé"),AND(F225="Férié",D225="Congé sans solde"),AND(F225="Férié",D225="Congé spécial")),0,IF(OR(F225="OFF",F225="Congé",F225="Congé spécial",F225="Congé sans solde",D225="OFF",D225="Congé",D225="Congé spécial",D225="Congé sans solde"),0.208333333333334,IF(AND(AG225="",F225-D225&lt;0),("24:00:00"-D225)+("00:00:00"+F225)-0.0416666666666667,IF(AND(OR(AG225="Allaitement",AG225="Sans déjeuner"),F225-D225&lt;0),("24:00:00"-D225)+("00:00:00"+F225),IF(AND(AG225="",F225-D225&gt;0.166666666666667),F225-D225-0.0416666666666667,IF(AND(OR(AG225="Allaitement",AG225="Sans déjeuner"),F225-D225&gt;0.166666666666667),F225-D225,F225-D225)))))))</f>
        <v>0</v>
      </c>
      <c r="P225" s="34" t="str">
        <f aca="false">IFERROR(VLOOKUP($B225,Annuaire_roster!$B:$G,MATCH(P$1,Annuaire_roster!$B$1:$G$1,0),0),"-")</f>
        <v>Google Leads</v>
      </c>
      <c r="Q225" s="35" t="n">
        <v>44723</v>
      </c>
      <c r="R225" s="36" t="n">
        <f aca="false">IF(M225="Abs",O225,0)</f>
        <v>0</v>
      </c>
      <c r="S225" s="36" t="n">
        <f aca="false">SUM(R225,L225,I225,J225,W225,H225)</f>
        <v>0</v>
      </c>
      <c r="T225" s="1" t="str">
        <f aca="false">"Sem - "&amp;WEEKNUM(Q225,21)</f>
        <v>Sem - 24</v>
      </c>
      <c r="U225" s="1" t="str">
        <f aca="false">PROPER(TEXT(Q225,"mmmm"))</f>
        <v>June</v>
      </c>
      <c r="V225" s="37" t="str">
        <f aca="false">+TEXT(Q225,"aaa")</f>
        <v>Fri</v>
      </c>
      <c r="W225" s="32"/>
      <c r="X225" s="38" t="n">
        <f aca="false">IFERROR(IF(M225="Abs",0,IF((D225-C225+E225-F225)&lt;0.000694444444444444,0,(D225-C225+E225-F225))),0)</f>
        <v>0</v>
      </c>
      <c r="Y225" s="39" t="n">
        <f aca="false">IFERROR(VLOOKUP(B225,Annuaire_roster!B:E,4,0),"-")</f>
        <v>0</v>
      </c>
      <c r="Z225" s="39" t="str">
        <f aca="false">IFERROR(VLOOKUP(B225,Annuaire_roster!B:F,3,0),"-")</f>
        <v>Google Leads</v>
      </c>
      <c r="AA225" s="39" t="n">
        <f aca="false">IFERROR(VLOOKUP(B225,Annuaire_roster!B:I,6,0),"-")</f>
        <v>0</v>
      </c>
      <c r="AB225" s="40" t="str">
        <f aca="false">IF(AND(D225="Congé",F225="Congé"),0.333333333333333,IF(OR(AND(D225="Congé",F225&lt;&gt;"Congé"),(AND(F225="Congé",D225&lt;&gt;"Congé"))),0.166666666666667,""))</f>
        <v/>
      </c>
      <c r="AC225" s="40" t="str">
        <f aca="false">IF(AND(D225="Congé sans solde",F225="Congé sans solde"),0.333333333333333,IF(OR(AND(D225="Congé sans solde",F225&lt;&gt;"Congé sans solde"),(AND(F225="Congé sans solde",D225&lt;&gt;"Congé sans solde"))),0.166666666666667,""))</f>
        <v/>
      </c>
      <c r="AD225" s="40" t="str">
        <f aca="false">IF(AND(D225="Congé spécial",F225="Congé spécial"),0.333333333333333,IF(OR(AND(D225="Congé spécial",F225&lt;&gt;"Congé décès"),(AND(F225="Congé spécial",D225&lt;&gt;"Congé spécial"))),0.166666666666667,""))</f>
        <v/>
      </c>
      <c r="AE225" s="41" t="str">
        <f aca="false">IF(AND(D225="Férié",F225="Férié"),0.333333333333333,IF(OR(AND(D225="Férié",F225&lt;&gt;"Férié"),(AND(F225="Férié",D225&lt;&gt;"Férié"))),0.166666666666667,""))</f>
        <v/>
      </c>
      <c r="AF225" s="41"/>
      <c r="AG225" s="36"/>
    </row>
  </sheetData>
  <autoFilter ref="A1:AG225">
    <filterColumn colId="16">
      <filters blank="1"/>
    </filterColumn>
    <sortState ref="A2:AG225">
      <sortCondition ref="A2:A225" customList=""/>
    </sortState>
  </autoFilter>
  <conditionalFormatting sqref="B3:B36">
    <cfRule type="cellIs" priority="2" operator="equal" aboveAverage="0" equalAverage="0" bottom="0" percent="0" rank="0" text="" dxfId="12">
      <formula>"OFF"</formula>
    </cfRule>
  </conditionalFormatting>
  <conditionalFormatting sqref="B37:B45 B157:B225">
    <cfRule type="cellIs" priority="3" operator="equal" aboveAverage="0" equalAverage="0" bottom="0" percent="0" rank="0" text="" dxfId="12">
      <formula>"OFF"</formula>
    </cfRule>
  </conditionalFormatting>
  <conditionalFormatting sqref="X27">
    <cfRule type="cellIs" priority="4" operator="equal" aboveAverage="0" equalAverage="0" bottom="0" percent="0" rank="0" text="" dxfId="13">
      <formula>0</formula>
    </cfRule>
  </conditionalFormatting>
  <conditionalFormatting sqref="G27:K27">
    <cfRule type="cellIs" priority="5" operator="equal" aboveAverage="0" equalAverage="0" bottom="0" percent="0" rank="0" text="" dxfId="14">
      <formula>0</formula>
    </cfRule>
  </conditionalFormatting>
  <conditionalFormatting sqref="C27 E27">
    <cfRule type="cellIs" priority="6" operator="equal" aboveAverage="0" equalAverage="0" bottom="0" percent="0" rank="0" text="" dxfId="12">
      <formula>"OFF"</formula>
    </cfRule>
  </conditionalFormatting>
  <conditionalFormatting sqref="X25">
    <cfRule type="cellIs" priority="7" operator="equal" aboveAverage="0" equalAverage="0" bottom="0" percent="0" rank="0" text="" dxfId="13">
      <formula>0</formula>
    </cfRule>
  </conditionalFormatting>
  <conditionalFormatting sqref="G25:K25">
    <cfRule type="cellIs" priority="8" operator="equal" aboveAverage="0" equalAverage="0" bottom="0" percent="0" rank="0" text="" dxfId="14">
      <formula>0</formula>
    </cfRule>
  </conditionalFormatting>
  <conditionalFormatting sqref="C25 E25">
    <cfRule type="cellIs" priority="9" operator="equal" aboveAverage="0" equalAverage="0" bottom="0" percent="0" rank="0" text="" dxfId="12">
      <formula>"OFF"</formula>
    </cfRule>
  </conditionalFormatting>
  <conditionalFormatting sqref="X78">
    <cfRule type="cellIs" priority="10" operator="equal" aboveAverage="0" equalAverage="0" bottom="0" percent="0" rank="0" text="" dxfId="13">
      <formula>0</formula>
    </cfRule>
  </conditionalFormatting>
  <conditionalFormatting sqref="G78:H78 J78:K78">
    <cfRule type="cellIs" priority="11" operator="equal" aboveAverage="0" equalAverage="0" bottom="0" percent="0" rank="0" text="" dxfId="14">
      <formula>0</formula>
    </cfRule>
  </conditionalFormatting>
  <conditionalFormatting sqref="C78 E78">
    <cfRule type="cellIs" priority="12" operator="equal" aboveAverage="0" equalAverage="0" bottom="0" percent="0" rank="0" text="" dxfId="12">
      <formula>"OFF"</formula>
    </cfRule>
  </conditionalFormatting>
  <conditionalFormatting sqref="X70">
    <cfRule type="cellIs" priority="13" operator="equal" aboveAverage="0" equalAverage="0" bottom="0" percent="0" rank="0" text="" dxfId="13">
      <formula>0</formula>
    </cfRule>
  </conditionalFormatting>
  <conditionalFormatting sqref="G70:H70 J70:K70">
    <cfRule type="cellIs" priority="14" operator="equal" aboveAverage="0" equalAverage="0" bottom="0" percent="0" rank="0" text="" dxfId="14">
      <formula>0</formula>
    </cfRule>
  </conditionalFormatting>
  <conditionalFormatting sqref="C70 E70">
    <cfRule type="cellIs" priority="15" operator="equal" aboveAverage="0" equalAverage="0" bottom="0" percent="0" rank="0" text="" dxfId="12">
      <formula>"OFF"</formula>
    </cfRule>
  </conditionalFormatting>
  <conditionalFormatting sqref="X2:X24 X26 X28:X69 X71:X77 X79:X225">
    <cfRule type="cellIs" priority="16" operator="equal" aboveAverage="0" equalAverage="0" bottom="0" percent="0" rank="0" text="" dxfId="13">
      <formula>0</formula>
    </cfRule>
  </conditionalFormatting>
  <conditionalFormatting sqref="G1:M2 G3:K24 G26:K26 G28:K64 G65:H69 G71:H77 G79:H91 G92:K225 I65:I91 J65:K69 J71:K77 J79:K91 L3:M225 O2:O225">
    <cfRule type="cellIs" priority="17" operator="equal" aboveAverage="0" equalAverage="0" bottom="0" percent="0" rank="0" text="" dxfId="14">
      <formula>0</formula>
    </cfRule>
  </conditionalFormatting>
  <conditionalFormatting sqref="B2 B46:B160 C1:F2 C3:C24 C26 C28:C69 C71:C77 C79:C225 D3:D225 E3:E24 E26 E28:E69 E71:E77 E79:E225 F3:F225">
    <cfRule type="cellIs" priority="18" operator="equal" aboveAverage="0" equalAverage="0" bottom="0" percent="0" rank="0" text="" dxfId="12">
      <formula>"OFF"</formula>
    </cfRule>
  </conditionalFormatting>
  <dataValidations count="1">
    <dataValidation allowBlank="true" errorStyle="stop" operator="between" showDropDown="false" showErrorMessage="true" showInputMessage="true" sqref="AG2:AG225" type="list">
      <formula1>"2H Pause déjeuner,Sans déjeuner,Allaitement"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34" activeCellId="0" sqref="A34"/>
    </sheetView>
  </sheetViews>
  <sheetFormatPr defaultColWidth="10.6796875" defaultRowHeight="15" zeroHeight="false" outlineLevelRow="0" outlineLevelCol="0"/>
  <cols>
    <col collapsed="false" customWidth="true" hidden="false" outlineLevel="0" max="1" min="1" style="54" width="24.42"/>
  </cols>
  <sheetData>
    <row r="1" customFormat="false" ht="15" hidden="false" customHeight="true" outlineLevel="0" collapsed="false">
      <c r="A1" s="55"/>
      <c r="B1" s="55" t="s">
        <v>65</v>
      </c>
    </row>
    <row r="2" customFormat="false" ht="19.5" hidden="false" customHeight="true" outlineLevel="0" collapsed="false">
      <c r="A2" s="56" t="s">
        <v>66</v>
      </c>
      <c r="B2" s="57" t="n">
        <v>0.322916666666667</v>
      </c>
    </row>
    <row r="3" customFormat="false" ht="19.5" hidden="false" customHeight="true" outlineLevel="0" collapsed="false">
      <c r="A3" s="56" t="s">
        <v>67</v>
      </c>
      <c r="B3" s="57" t="n">
        <v>0.330555555555556</v>
      </c>
    </row>
    <row r="4" customFormat="false" ht="19.5" hidden="false" customHeight="true" outlineLevel="0" collapsed="false">
      <c r="A4" s="56" t="s">
        <v>68</v>
      </c>
      <c r="B4" s="57" t="n">
        <v>0.333333333333333</v>
      </c>
    </row>
    <row r="5" customFormat="false" ht="19.5" hidden="false" customHeight="true" outlineLevel="0" collapsed="false">
      <c r="A5" s="56" t="s">
        <v>69</v>
      </c>
      <c r="B5" s="57" t="n">
        <v>0.324305555555556</v>
      </c>
    </row>
    <row r="6" customFormat="false" ht="19.5" hidden="false" customHeight="true" outlineLevel="0" collapsed="false">
      <c r="A6" s="56" t="s">
        <v>70</v>
      </c>
      <c r="B6" s="57" t="n">
        <v>0.325</v>
      </c>
    </row>
    <row r="7" customFormat="false" ht="19.5" hidden="false" customHeight="true" outlineLevel="0" collapsed="false">
      <c r="A7" s="56" t="s">
        <v>71</v>
      </c>
      <c r="B7" s="57" t="n">
        <v>0.330555555555556</v>
      </c>
    </row>
    <row r="8" customFormat="false" ht="19.5" hidden="false" customHeight="true" outlineLevel="0" collapsed="false">
      <c r="A8" s="56" t="s">
        <v>72</v>
      </c>
      <c r="B8" s="57" t="n">
        <v>0.339583333333333</v>
      </c>
    </row>
    <row r="9" customFormat="false" ht="19.5" hidden="false" customHeight="true" outlineLevel="0" collapsed="false">
      <c r="A9" s="56" t="s">
        <v>73</v>
      </c>
      <c r="B9" s="57" t="n">
        <v>0.333333333333333</v>
      </c>
    </row>
    <row r="10" customFormat="false" ht="19.5" hidden="false" customHeight="true" outlineLevel="0" collapsed="false">
      <c r="A10" s="56" t="s">
        <v>74</v>
      </c>
      <c r="B10" s="57" t="n">
        <v>0.323611111111111</v>
      </c>
    </row>
    <row r="11" customFormat="false" ht="19.5" hidden="false" customHeight="true" outlineLevel="0" collapsed="false">
      <c r="A11" s="56" t="s">
        <v>75</v>
      </c>
      <c r="B11" s="57" t="n">
        <v>0.325</v>
      </c>
    </row>
    <row r="12" customFormat="false" ht="15" hidden="false" customHeight="true" outlineLevel="0" collapsed="false">
      <c r="A12" s="56" t="s">
        <v>76</v>
      </c>
      <c r="B12" s="57" t="n">
        <v>0.33125</v>
      </c>
    </row>
    <row r="13" customFormat="false" ht="15" hidden="false" customHeight="true" outlineLevel="0" collapsed="false">
      <c r="A13" s="56" t="s">
        <v>77</v>
      </c>
      <c r="B13" s="57" t="n">
        <v>0.329166666666667</v>
      </c>
    </row>
    <row r="14" customFormat="false" ht="15" hidden="false" customHeight="true" outlineLevel="0" collapsed="false">
      <c r="A14" s="56" t="s">
        <v>78</v>
      </c>
      <c r="B14" s="57" t="n">
        <v>0.333333333333333</v>
      </c>
    </row>
    <row r="15" customFormat="false" ht="15" hidden="false" customHeight="true" outlineLevel="0" collapsed="false">
      <c r="A15" s="56" t="s">
        <v>79</v>
      </c>
      <c r="B15" s="57" t="n">
        <v>0.321527777777778</v>
      </c>
    </row>
    <row r="16" customFormat="false" ht="15" hidden="false" customHeight="true" outlineLevel="0" collapsed="false">
      <c r="A16" s="56" t="s">
        <v>80</v>
      </c>
      <c r="B16" s="57" t="n">
        <v>0.334027777777778</v>
      </c>
    </row>
    <row r="17" customFormat="false" ht="15" hidden="false" customHeight="true" outlineLevel="0" collapsed="false">
      <c r="A17" s="56" t="s">
        <v>81</v>
      </c>
      <c r="B17" s="57" t="n">
        <v>0.329861111111111</v>
      </c>
    </row>
    <row r="18" customFormat="false" ht="15" hidden="false" customHeight="true" outlineLevel="0" collapsed="false">
      <c r="A18" s="56" t="s">
        <v>82</v>
      </c>
      <c r="B18" s="57" t="n">
        <v>0.335416666666667</v>
      </c>
    </row>
    <row r="19" customFormat="false" ht="15" hidden="false" customHeight="true" outlineLevel="0" collapsed="false">
      <c r="A19" s="56" t="s">
        <v>83</v>
      </c>
      <c r="B19" s="57" t="n">
        <v>0.33125</v>
      </c>
    </row>
    <row r="20" customFormat="false" ht="15" hidden="false" customHeight="true" outlineLevel="0" collapsed="false">
      <c r="A20" s="56" t="s">
        <v>84</v>
      </c>
      <c r="B20" s="57" t="n">
        <v>0.325694444444445</v>
      </c>
    </row>
    <row r="21" customFormat="false" ht="15" hidden="false" customHeight="true" outlineLevel="0" collapsed="false">
      <c r="A21" s="56" t="s">
        <v>85</v>
      </c>
      <c r="B21" s="57" t="n">
        <v>0.320138888888889</v>
      </c>
    </row>
    <row r="22" customFormat="false" ht="15" hidden="false" customHeight="true" outlineLevel="0" collapsed="false">
      <c r="A22" s="56" t="s">
        <v>86</v>
      </c>
      <c r="B22" s="57" t="n">
        <v>0.322222222222222</v>
      </c>
    </row>
    <row r="23" customFormat="false" ht="15" hidden="false" customHeight="true" outlineLevel="0" collapsed="false">
      <c r="A23" s="56" t="s">
        <v>87</v>
      </c>
      <c r="B23" s="57" t="n">
        <v>0.319444444444444</v>
      </c>
    </row>
    <row r="24" customFormat="false" ht="15" hidden="false" customHeight="true" outlineLevel="0" collapsed="false">
      <c r="A24" s="56" t="s">
        <v>88</v>
      </c>
      <c r="B24" s="57" t="n">
        <v>0.334027777777778</v>
      </c>
    </row>
    <row r="25" customFormat="false" ht="15" hidden="false" customHeight="true" outlineLevel="0" collapsed="false">
      <c r="A25" s="56" t="s">
        <v>89</v>
      </c>
      <c r="B25" s="57" t="n">
        <v>0.330555555555556</v>
      </c>
    </row>
    <row r="26" customFormat="false" ht="15" hidden="false" customHeight="true" outlineLevel="0" collapsed="false">
      <c r="A26" s="56" t="s">
        <v>90</v>
      </c>
      <c r="B26" s="57" t="n">
        <v>0.325694444444445</v>
      </c>
    </row>
    <row r="27" customFormat="false" ht="15" hidden="false" customHeight="true" outlineLevel="0" collapsed="false">
      <c r="A27" s="56" t="s">
        <v>91</v>
      </c>
      <c r="B27" s="57" t="n">
        <v>0.332638888888889</v>
      </c>
    </row>
    <row r="28" customFormat="false" ht="15" hidden="false" customHeight="true" outlineLevel="0" collapsed="false">
      <c r="A28" s="56" t="s">
        <v>92</v>
      </c>
      <c r="B28" s="57" t="n">
        <v>0.322222222222222</v>
      </c>
    </row>
    <row r="29" customFormat="false" ht="15" hidden="false" customHeight="true" outlineLevel="0" collapsed="false">
      <c r="A29" s="56" t="s">
        <v>93</v>
      </c>
      <c r="B29" s="57" t="n">
        <v>0.336805555555556</v>
      </c>
    </row>
    <row r="30" customFormat="false" ht="15" hidden="false" customHeight="true" outlineLevel="0" collapsed="false">
      <c r="A30" s="58" t="s">
        <v>35</v>
      </c>
      <c r="B30" s="57" t="n">
        <v>0.334722222222222</v>
      </c>
    </row>
    <row r="31" customFormat="false" ht="15" hidden="false" customHeight="true" outlineLevel="0" collapsed="false">
      <c r="A31" s="56" t="s">
        <v>94</v>
      </c>
      <c r="B31" s="57" t="n">
        <v>0.328472222222222</v>
      </c>
    </row>
    <row r="32" customFormat="false" ht="15" hidden="false" customHeight="true" outlineLevel="0" collapsed="false">
      <c r="A32" s="56" t="s">
        <v>95</v>
      </c>
      <c r="B32" s="57" t="n">
        <v>0.335416666666667</v>
      </c>
    </row>
    <row r="33" customFormat="false" ht="15" hidden="false" customHeight="true" outlineLevel="0" collapsed="false">
      <c r="A33" s="56" t="s">
        <v>96</v>
      </c>
      <c r="B33" s="57" t="n">
        <v>0.332638888888889</v>
      </c>
    </row>
    <row r="34" customFormat="false" ht="15" hidden="false" customHeight="true" outlineLevel="0" collapsed="false">
      <c r="A34" s="58" t="s">
        <v>46</v>
      </c>
      <c r="B34" s="57" t="n">
        <v>0.333333333333333</v>
      </c>
    </row>
    <row r="35" customFormat="false" ht="15" hidden="false" customHeight="true" outlineLevel="0" collapsed="false">
      <c r="A35" s="56" t="s">
        <v>97</v>
      </c>
      <c r="B35" s="57" t="n">
        <v>0.332638888888889</v>
      </c>
    </row>
    <row r="36" customFormat="false" ht="15" hidden="false" customHeight="true" outlineLevel="0" collapsed="false">
      <c r="A36" s="56" t="s">
        <v>98</v>
      </c>
      <c r="B36" s="57" t="n">
        <v>0.333333333333333</v>
      </c>
    </row>
    <row r="37" customFormat="false" ht="15" hidden="false" customHeight="true" outlineLevel="0" collapsed="false">
      <c r="A37" s="56" t="s">
        <v>99</v>
      </c>
      <c r="B37" s="57" t="n">
        <v>0.329166666666667</v>
      </c>
    </row>
    <row r="38" customFormat="false" ht="15" hidden="false" customHeight="true" outlineLevel="0" collapsed="false">
      <c r="A38" s="56" t="s">
        <v>100</v>
      </c>
      <c r="B38" s="57" t="n">
        <v>0.0125</v>
      </c>
    </row>
    <row r="39" customFormat="false" ht="15" hidden="false" customHeight="true" outlineLevel="0" collapsed="false">
      <c r="A39" s="56" t="s">
        <v>101</v>
      </c>
      <c r="B39" s="57" t="n">
        <v>0.329861111111111</v>
      </c>
    </row>
    <row r="40" customFormat="false" ht="15" hidden="false" customHeight="true" outlineLevel="0" collapsed="false">
      <c r="A40" s="56" t="s">
        <v>102</v>
      </c>
      <c r="B40" s="57" t="n">
        <v>0.329166666666667</v>
      </c>
    </row>
    <row r="41" customFormat="false" ht="15" hidden="false" customHeight="true" outlineLevel="0" collapsed="false">
      <c r="A41" s="56" t="s">
        <v>103</v>
      </c>
      <c r="B41" s="57" t="n">
        <v>0.333333333333333</v>
      </c>
    </row>
    <row r="42" customFormat="false" ht="15" hidden="false" customHeight="true" outlineLevel="0" collapsed="false">
      <c r="A42" s="56" t="s">
        <v>104</v>
      </c>
      <c r="B42" s="57" t="n">
        <v>0.333333333333333</v>
      </c>
    </row>
    <row r="43" customFormat="false" ht="15" hidden="false" customHeight="true" outlineLevel="0" collapsed="false">
      <c r="A43" s="56" t="s">
        <v>105</v>
      </c>
      <c r="B43" s="57" t="n">
        <v>0.333333333333333</v>
      </c>
    </row>
    <row r="44" customFormat="false" ht="15" hidden="false" customHeight="true" outlineLevel="0" collapsed="false">
      <c r="A44" s="56" t="s">
        <v>106</v>
      </c>
      <c r="B44" s="57" t="n">
        <v>0.33125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54" width="28.42"/>
    <col collapsed="false" customWidth="true" hidden="false" outlineLevel="0" max="2" min="2" style="54" width="13.71"/>
    <col collapsed="false" customWidth="true" hidden="false" outlineLevel="0" max="3" min="3" style="54" width="17.29"/>
    <col collapsed="false" customWidth="true" hidden="false" outlineLevel="0" max="4" min="4" style="54" width="14.42"/>
    <col collapsed="false" customWidth="true" hidden="false" outlineLevel="0" max="5" min="5" style="59" width="13.29"/>
    <col collapsed="false" customWidth="true" hidden="false" outlineLevel="0" max="6" min="6" style="54" width="12.42"/>
    <col collapsed="false" customWidth="true" hidden="false" outlineLevel="0" max="7" min="7" style="54" width="15.71"/>
    <col collapsed="false" customWidth="true" hidden="false" outlineLevel="0" max="8" min="8" style="54" width="15"/>
    <col collapsed="false" customWidth="true" hidden="false" outlineLevel="0" max="9" min="9" style="54" width="30.29"/>
    <col collapsed="false" customWidth="true" hidden="false" outlineLevel="0" max="11" min="11" style="54" width="35.71"/>
  </cols>
  <sheetData>
    <row r="1" customFormat="false" ht="33" hidden="false" customHeight="true" outlineLevel="0" collapsed="false">
      <c r="A1" s="12" t="s">
        <v>1</v>
      </c>
      <c r="B1" s="60" t="s">
        <v>2</v>
      </c>
      <c r="C1" s="60" t="s">
        <v>3</v>
      </c>
      <c r="D1" s="60" t="s">
        <v>5</v>
      </c>
      <c r="E1" s="60" t="s">
        <v>107</v>
      </c>
      <c r="F1" s="60" t="s">
        <v>12</v>
      </c>
      <c r="G1" s="60" t="s">
        <v>15</v>
      </c>
      <c r="H1" s="60" t="s">
        <v>16</v>
      </c>
      <c r="I1" s="60" t="s">
        <v>31</v>
      </c>
    </row>
    <row r="2" customFormat="false" ht="15" hidden="false" customHeight="true" outlineLevel="0" collapsed="false">
      <c r="A2" s="58" t="s">
        <v>43</v>
      </c>
      <c r="B2" s="61" t="n">
        <v>0.289583333333333</v>
      </c>
      <c r="C2" s="61" t="n">
        <v>0.291666666666667</v>
      </c>
      <c r="D2" s="61" t="n">
        <v>0.666666666666667</v>
      </c>
      <c r="E2" s="62"/>
      <c r="F2" s="63"/>
      <c r="G2" s="64" t="s">
        <v>108</v>
      </c>
      <c r="H2" s="65" t="n">
        <v>44752</v>
      </c>
      <c r="I2" s="66"/>
      <c r="T2" s="67"/>
    </row>
    <row r="3" customFormat="false" ht="15" hidden="false" customHeight="true" outlineLevel="0" collapsed="false">
      <c r="A3" s="58" t="s">
        <v>38</v>
      </c>
      <c r="B3" s="61" t="n">
        <v>0.290277777777778</v>
      </c>
      <c r="C3" s="61" t="n">
        <v>0.291666666666667</v>
      </c>
      <c r="D3" s="61" t="n">
        <v>0.666666666666667</v>
      </c>
      <c r="E3" s="62"/>
      <c r="F3" s="63"/>
      <c r="G3" s="64" t="s">
        <v>108</v>
      </c>
      <c r="H3" s="65" t="n">
        <v>44752</v>
      </c>
      <c r="I3" s="66"/>
      <c r="K3" s="68"/>
      <c r="L3" s="69"/>
      <c r="T3" s="67"/>
    </row>
    <row r="4" customFormat="false" ht="15" hidden="false" customHeight="true" outlineLevel="0" collapsed="false">
      <c r="A4" s="58" t="s">
        <v>48</v>
      </c>
      <c r="B4" s="61" t="n">
        <v>0.290972222222222</v>
      </c>
      <c r="C4" s="61" t="n">
        <v>0.291666666666667</v>
      </c>
      <c r="D4" s="61" t="n">
        <v>0.666666666666667</v>
      </c>
      <c r="E4" s="62"/>
      <c r="F4" s="70"/>
      <c r="G4" s="64" t="s">
        <v>108</v>
      </c>
      <c r="H4" s="65" t="n">
        <v>44752</v>
      </c>
      <c r="I4" s="66"/>
      <c r="K4" s="68"/>
      <c r="L4" s="71"/>
      <c r="T4" s="67"/>
    </row>
    <row r="5" customFormat="false" ht="15" hidden="false" customHeight="true" outlineLevel="0" collapsed="false">
      <c r="A5" s="58" t="s">
        <v>44</v>
      </c>
      <c r="B5" s="61" t="n">
        <v>0.290277777777778</v>
      </c>
      <c r="C5" s="61" t="n">
        <v>0.291666666666667</v>
      </c>
      <c r="D5" s="61" t="n">
        <v>0.666666666666667</v>
      </c>
      <c r="E5" s="62"/>
      <c r="F5" s="70"/>
      <c r="G5" s="64" t="s">
        <v>108</v>
      </c>
      <c r="H5" s="65" t="n">
        <v>44752</v>
      </c>
      <c r="I5" s="72"/>
      <c r="K5" s="68"/>
      <c r="L5" s="69"/>
      <c r="T5" s="67"/>
    </row>
    <row r="6" customFormat="false" ht="15" hidden="false" customHeight="true" outlineLevel="0" collapsed="false">
      <c r="A6" s="58" t="s">
        <v>42</v>
      </c>
      <c r="B6" s="61" t="n">
        <v>0.284027777777778</v>
      </c>
      <c r="C6" s="61" t="n">
        <v>0.291666666666667</v>
      </c>
      <c r="D6" s="61" t="n">
        <v>0.666666666666667</v>
      </c>
      <c r="E6" s="73"/>
      <c r="F6" s="70"/>
      <c r="G6" s="64" t="s">
        <v>108</v>
      </c>
      <c r="H6" s="65" t="n">
        <v>44752</v>
      </c>
      <c r="I6" s="66"/>
      <c r="K6" s="68"/>
      <c r="L6" s="69"/>
      <c r="T6" s="67"/>
    </row>
    <row r="7" customFormat="false" ht="15" hidden="false" customHeight="true" outlineLevel="0" collapsed="false">
      <c r="A7" s="58" t="s">
        <v>41</v>
      </c>
      <c r="B7" s="61" t="n">
        <v>0.290972222222222</v>
      </c>
      <c r="C7" s="61" t="n">
        <v>0.291666666666667</v>
      </c>
      <c r="D7" s="61" t="n">
        <v>0.666666666666667</v>
      </c>
      <c r="E7" s="73"/>
      <c r="F7" s="74"/>
      <c r="G7" s="64" t="s">
        <v>108</v>
      </c>
      <c r="H7" s="65" t="n">
        <v>44752</v>
      </c>
      <c r="I7" s="66"/>
      <c r="K7" s="68"/>
      <c r="L7" s="69"/>
      <c r="T7" s="67"/>
    </row>
    <row r="8" customFormat="false" ht="15" hidden="false" customHeight="true" outlineLevel="0" collapsed="false">
      <c r="A8" s="58" t="s">
        <v>59</v>
      </c>
      <c r="B8" s="61" t="n">
        <v>0.290972222222222</v>
      </c>
      <c r="C8" s="61" t="n">
        <v>0.291666666666667</v>
      </c>
      <c r="D8" s="61" t="n">
        <v>0.666666666666667</v>
      </c>
      <c r="E8" s="62"/>
      <c r="F8" s="70"/>
      <c r="G8" s="64" t="s">
        <v>108</v>
      </c>
      <c r="H8" s="65" t="n">
        <v>44752</v>
      </c>
      <c r="I8" s="66"/>
      <c r="K8" s="68"/>
      <c r="L8" s="69"/>
    </row>
    <row r="9" customFormat="false" ht="15" hidden="false" customHeight="true" outlineLevel="0" collapsed="false">
      <c r="A9" s="58" t="s">
        <v>60</v>
      </c>
      <c r="B9" s="61" t="n">
        <v>0.288888888888889</v>
      </c>
      <c r="C9" s="61" t="n">
        <v>0.291666666666667</v>
      </c>
      <c r="D9" s="61" t="n">
        <v>0.666666666666667</v>
      </c>
      <c r="E9" s="62"/>
      <c r="F9" s="70"/>
      <c r="G9" s="64" t="s">
        <v>108</v>
      </c>
      <c r="H9" s="65" t="n">
        <v>44752</v>
      </c>
      <c r="I9" s="66"/>
      <c r="K9" s="68"/>
      <c r="L9" s="69"/>
    </row>
    <row r="10" customFormat="false" ht="15" hidden="false" customHeight="true" outlineLevel="0" collapsed="false">
      <c r="A10" s="58" t="s">
        <v>54</v>
      </c>
      <c r="B10" s="61" t="n">
        <v>0.2875</v>
      </c>
      <c r="C10" s="61" t="n">
        <v>0.291666666666667</v>
      </c>
      <c r="D10" s="61" t="n">
        <v>0.666666666666667</v>
      </c>
      <c r="E10" s="62"/>
      <c r="F10" s="63"/>
      <c r="G10" s="64" t="s">
        <v>108</v>
      </c>
      <c r="H10" s="65" t="n">
        <v>44752</v>
      </c>
      <c r="I10" s="66"/>
      <c r="K10" s="68"/>
      <c r="L10" s="69"/>
    </row>
    <row r="11" customFormat="false" ht="16.5" hidden="false" customHeight="true" outlineLevel="0" collapsed="false">
      <c r="A11" s="58" t="s">
        <v>34</v>
      </c>
      <c r="B11" s="61" t="n">
        <v>0.291666666666667</v>
      </c>
      <c r="C11" s="61" t="n">
        <v>0.291666666666667</v>
      </c>
      <c r="D11" s="61" t="n">
        <v>0.666666666666667</v>
      </c>
      <c r="E11" s="62"/>
      <c r="F11" s="63"/>
      <c r="G11" s="64" t="s">
        <v>108</v>
      </c>
      <c r="H11" s="65" t="n">
        <v>44752</v>
      </c>
      <c r="I11" s="66"/>
    </row>
    <row r="12" customFormat="false" ht="15" hidden="false" customHeight="true" outlineLevel="0" collapsed="false">
      <c r="A12" s="58" t="s">
        <v>64</v>
      </c>
      <c r="B12" s="61"/>
      <c r="C12" s="61" t="n">
        <v>0.333333333333333</v>
      </c>
      <c r="D12" s="61" t="n">
        <v>0.75</v>
      </c>
      <c r="E12" s="62"/>
      <c r="F12" s="63"/>
      <c r="G12" s="64" t="s">
        <v>108</v>
      </c>
      <c r="H12" s="65" t="n">
        <v>44752</v>
      </c>
      <c r="I12" s="66"/>
    </row>
    <row r="13" customFormat="false" ht="15" hidden="false" customHeight="true" outlineLevel="0" collapsed="false">
      <c r="A13" s="58" t="s">
        <v>63</v>
      </c>
      <c r="B13" s="61"/>
      <c r="C13" s="61" t="n">
        <v>0.416666666666667</v>
      </c>
      <c r="D13" s="61" t="n">
        <v>0.833333333333333</v>
      </c>
      <c r="E13" s="62"/>
      <c r="F13" s="63"/>
      <c r="G13" s="64" t="s">
        <v>108</v>
      </c>
      <c r="H13" s="65" t="n">
        <v>44752</v>
      </c>
      <c r="I13" s="66"/>
    </row>
    <row r="14" customFormat="false" ht="15" hidden="false" customHeight="true" outlineLevel="0" collapsed="false">
      <c r="A14" s="58" t="s">
        <v>57</v>
      </c>
      <c r="B14" s="61"/>
      <c r="C14" s="61" t="n">
        <v>0.416666666666667</v>
      </c>
      <c r="D14" s="61" t="n">
        <v>0.833333333333333</v>
      </c>
      <c r="E14" s="62"/>
      <c r="F14" s="63"/>
      <c r="G14" s="64" t="s">
        <v>108</v>
      </c>
      <c r="H14" s="65" t="n">
        <v>44752</v>
      </c>
      <c r="I14" s="66"/>
    </row>
    <row r="15" customFormat="false" ht="15" hidden="false" customHeight="true" outlineLevel="0" collapsed="false">
      <c r="A15" s="58" t="s">
        <v>45</v>
      </c>
      <c r="B15" s="61"/>
      <c r="C15" s="61" t="n">
        <v>0.416666666666667</v>
      </c>
      <c r="D15" s="61" t="n">
        <v>0.833333333333333</v>
      </c>
      <c r="E15" s="62"/>
      <c r="F15" s="74"/>
      <c r="G15" s="64" t="s">
        <v>108</v>
      </c>
      <c r="H15" s="65" t="n">
        <v>44752</v>
      </c>
      <c r="I15" s="66"/>
    </row>
    <row r="16" customFormat="false" ht="15" hidden="false" customHeight="true" outlineLevel="0" collapsed="false">
      <c r="A16" s="58" t="s">
        <v>58</v>
      </c>
      <c r="B16" s="61"/>
      <c r="C16" s="61" t="n">
        <v>0.416666666666667</v>
      </c>
      <c r="D16" s="61" t="n">
        <v>0.833333333333333</v>
      </c>
      <c r="E16" s="62"/>
      <c r="F16" s="63"/>
      <c r="G16" s="64" t="s">
        <v>108</v>
      </c>
      <c r="H16" s="65" t="n">
        <v>44752</v>
      </c>
      <c r="I16" s="66"/>
    </row>
    <row r="17" customFormat="false" ht="15" hidden="false" customHeight="true" outlineLevel="0" collapsed="false">
      <c r="A17" s="58" t="s">
        <v>61</v>
      </c>
      <c r="B17" s="61"/>
      <c r="C17" s="61" t="n">
        <v>0.416666666666667</v>
      </c>
      <c r="D17" s="61" t="n">
        <v>0.833333333333333</v>
      </c>
      <c r="E17" s="62"/>
      <c r="F17" s="70"/>
      <c r="G17" s="64" t="s">
        <v>108</v>
      </c>
      <c r="H17" s="65" t="n">
        <v>44752</v>
      </c>
      <c r="I17" s="75"/>
    </row>
    <row r="18" customFormat="false" ht="15" hidden="false" customHeight="true" outlineLevel="0" collapsed="false">
      <c r="A18" s="58" t="s">
        <v>52</v>
      </c>
      <c r="B18" s="61"/>
      <c r="C18" s="61" t="n">
        <v>0.416666666666667</v>
      </c>
      <c r="D18" s="61" t="n">
        <v>0.833333333333333</v>
      </c>
      <c r="E18" s="62"/>
      <c r="F18" s="74"/>
      <c r="G18" s="64" t="s">
        <v>108</v>
      </c>
      <c r="H18" s="65" t="n">
        <v>44752</v>
      </c>
      <c r="I18" s="75"/>
    </row>
    <row r="19" customFormat="false" ht="15" hidden="false" customHeight="true" outlineLevel="0" collapsed="false">
      <c r="A19" s="58" t="s">
        <v>37</v>
      </c>
      <c r="B19" s="61"/>
      <c r="C19" s="61" t="n">
        <v>0.416666666666667</v>
      </c>
      <c r="D19" s="61" t="n">
        <v>0.833333333333333</v>
      </c>
      <c r="E19" s="73"/>
      <c r="F19" s="63"/>
      <c r="G19" s="64" t="s">
        <v>108</v>
      </c>
      <c r="H19" s="65" t="n">
        <v>44752</v>
      </c>
      <c r="I19" s="75"/>
      <c r="K19" s="61" t="s">
        <v>109</v>
      </c>
    </row>
    <row r="20" customFormat="false" ht="15" hidden="false" customHeight="true" outlineLevel="0" collapsed="false">
      <c r="A20" s="58" t="s">
        <v>62</v>
      </c>
      <c r="B20" s="61"/>
      <c r="C20" s="61" t="n">
        <v>0.416666666666667</v>
      </c>
      <c r="D20" s="61" t="n">
        <v>0.833333333333333</v>
      </c>
      <c r="E20" s="62"/>
      <c r="F20" s="63"/>
      <c r="G20" s="64" t="s">
        <v>108</v>
      </c>
      <c r="H20" s="65" t="n">
        <v>44752</v>
      </c>
      <c r="I20" s="70"/>
    </row>
    <row r="21" customFormat="false" ht="15" hidden="false" customHeight="true" outlineLevel="0" collapsed="false">
      <c r="A21" s="58" t="s">
        <v>51</v>
      </c>
      <c r="B21" s="61"/>
      <c r="C21" s="61" t="n">
        <v>0.458333333333333</v>
      </c>
      <c r="D21" s="61" t="n">
        <v>0.833333333333333</v>
      </c>
      <c r="E21" s="62"/>
      <c r="F21" s="63"/>
      <c r="G21" s="64" t="s">
        <v>108</v>
      </c>
      <c r="H21" s="65" t="n">
        <v>44752</v>
      </c>
      <c r="I21" s="70"/>
    </row>
    <row r="22" customFormat="false" ht="15" hidden="false" customHeight="true" outlineLevel="0" collapsed="false">
      <c r="A22" s="58" t="s">
        <v>53</v>
      </c>
      <c r="B22" s="61"/>
      <c r="C22" s="61" t="s">
        <v>110</v>
      </c>
      <c r="D22" s="61" t="s">
        <v>110</v>
      </c>
      <c r="E22" s="62"/>
      <c r="F22" s="63"/>
      <c r="G22" s="64" t="s">
        <v>108</v>
      </c>
      <c r="H22" s="65" t="n">
        <v>44752</v>
      </c>
      <c r="I22" s="70"/>
    </row>
    <row r="23" customFormat="false" ht="15" hidden="false" customHeight="true" outlineLevel="0" collapsed="false">
      <c r="A23" s="58" t="s">
        <v>33</v>
      </c>
      <c r="B23" s="61"/>
      <c r="C23" s="61" t="s">
        <v>111</v>
      </c>
      <c r="D23" s="61" t="s">
        <v>111</v>
      </c>
      <c r="E23" s="62"/>
      <c r="F23" s="63"/>
      <c r="G23" s="64" t="s">
        <v>108</v>
      </c>
      <c r="H23" s="65" t="n">
        <v>44752</v>
      </c>
      <c r="I23" s="70"/>
    </row>
    <row r="24" customFormat="false" ht="15" hidden="false" customHeight="true" outlineLevel="0" collapsed="false">
      <c r="A24" s="58" t="s">
        <v>50</v>
      </c>
      <c r="B24" s="61"/>
      <c r="C24" s="61" t="s">
        <v>111</v>
      </c>
      <c r="D24" s="61" t="s">
        <v>111</v>
      </c>
      <c r="E24" s="62"/>
      <c r="F24" s="63"/>
      <c r="G24" s="64" t="s">
        <v>108</v>
      </c>
      <c r="H24" s="65" t="n">
        <v>44752</v>
      </c>
      <c r="I24" s="70"/>
    </row>
    <row r="25" customFormat="false" ht="15" hidden="false" customHeight="true" outlineLevel="0" collapsed="false">
      <c r="A25" s="58" t="s">
        <v>35</v>
      </c>
      <c r="B25" s="61"/>
      <c r="C25" s="61" t="s">
        <v>111</v>
      </c>
      <c r="D25" s="61" t="s">
        <v>111</v>
      </c>
      <c r="E25" s="62"/>
      <c r="F25" s="63"/>
      <c r="G25" s="64" t="s">
        <v>108</v>
      </c>
      <c r="H25" s="65" t="n">
        <v>44752</v>
      </c>
      <c r="I25" s="70"/>
    </row>
    <row r="26" customFormat="false" ht="15" hidden="false" customHeight="true" outlineLevel="0" collapsed="false">
      <c r="A26" s="58" t="s">
        <v>36</v>
      </c>
      <c r="B26" s="61"/>
      <c r="C26" s="61" t="s">
        <v>111</v>
      </c>
      <c r="D26" s="61" t="s">
        <v>111</v>
      </c>
      <c r="E26" s="62"/>
      <c r="F26" s="63"/>
      <c r="G26" s="64" t="s">
        <v>108</v>
      </c>
      <c r="H26" s="65" t="n">
        <v>44752</v>
      </c>
      <c r="I26" s="70"/>
    </row>
    <row r="27" customFormat="false" ht="15" hidden="false" customHeight="true" outlineLevel="0" collapsed="false">
      <c r="A27" s="58" t="s">
        <v>47</v>
      </c>
      <c r="B27" s="61"/>
      <c r="C27" s="61" t="s">
        <v>111</v>
      </c>
      <c r="D27" s="61" t="s">
        <v>111</v>
      </c>
      <c r="E27" s="62"/>
      <c r="F27" s="63"/>
      <c r="G27" s="64" t="s">
        <v>108</v>
      </c>
      <c r="H27" s="65" t="n">
        <v>44752</v>
      </c>
      <c r="I27" s="70"/>
    </row>
    <row r="28" customFormat="false" ht="15" hidden="false" customHeight="true" outlineLevel="0" collapsed="false">
      <c r="A28" s="58" t="s">
        <v>55</v>
      </c>
      <c r="B28" s="61"/>
      <c r="C28" s="61" t="s">
        <v>111</v>
      </c>
      <c r="D28" s="61" t="s">
        <v>111</v>
      </c>
      <c r="E28" s="62"/>
      <c r="F28" s="63"/>
      <c r="G28" s="64" t="s">
        <v>108</v>
      </c>
      <c r="H28" s="65" t="n">
        <v>44752</v>
      </c>
      <c r="I28" s="70"/>
    </row>
    <row r="29" customFormat="false" ht="15" hidden="false" customHeight="true" outlineLevel="0" collapsed="false">
      <c r="A29" s="58" t="s">
        <v>40</v>
      </c>
      <c r="B29" s="61"/>
      <c r="C29" s="61" t="s">
        <v>111</v>
      </c>
      <c r="D29" s="61" t="s">
        <v>111</v>
      </c>
      <c r="E29" s="62"/>
      <c r="F29" s="63"/>
      <c r="G29" s="64" t="s">
        <v>108</v>
      </c>
      <c r="H29" s="65" t="n">
        <v>44752</v>
      </c>
      <c r="I29" s="70"/>
    </row>
    <row r="30" customFormat="false" ht="15" hidden="false" customHeight="true" outlineLevel="0" collapsed="false">
      <c r="A30" s="58" t="s">
        <v>49</v>
      </c>
      <c r="B30" s="61"/>
      <c r="C30" s="61" t="s">
        <v>111</v>
      </c>
      <c r="D30" s="61" t="s">
        <v>111</v>
      </c>
      <c r="E30" s="62"/>
      <c r="F30" s="63"/>
      <c r="G30" s="64" t="s">
        <v>108</v>
      </c>
      <c r="H30" s="65" t="n">
        <v>44752</v>
      </c>
      <c r="I30" s="70"/>
    </row>
    <row r="31" customFormat="false" ht="15" hidden="false" customHeight="true" outlineLevel="0" collapsed="false">
      <c r="A31" s="58" t="s">
        <v>39</v>
      </c>
      <c r="B31" s="61"/>
      <c r="C31" s="61" t="s">
        <v>111</v>
      </c>
      <c r="D31" s="61" t="s">
        <v>111</v>
      </c>
      <c r="E31" s="62"/>
      <c r="F31" s="63"/>
      <c r="G31" s="64" t="s">
        <v>108</v>
      </c>
      <c r="H31" s="65" t="n">
        <v>44752</v>
      </c>
      <c r="I31" s="70"/>
    </row>
    <row r="32" customFormat="false" ht="15" hidden="false" customHeight="true" outlineLevel="0" collapsed="false">
      <c r="A32" s="58" t="s">
        <v>56</v>
      </c>
      <c r="B32" s="61"/>
      <c r="C32" s="61" t="s">
        <v>111</v>
      </c>
      <c r="D32" s="61" t="s">
        <v>111</v>
      </c>
      <c r="E32" s="62"/>
      <c r="F32" s="63"/>
      <c r="G32" s="64" t="s">
        <v>108</v>
      </c>
      <c r="H32" s="65" t="n">
        <v>44752</v>
      </c>
      <c r="I32" s="70"/>
    </row>
    <row r="33" customFormat="false" ht="15" hidden="false" customHeight="true" outlineLevel="0" collapsed="false">
      <c r="A33" s="58" t="s">
        <v>46</v>
      </c>
      <c r="B33" s="61"/>
      <c r="C33" s="61" t="s">
        <v>111</v>
      </c>
      <c r="D33" s="61" t="s">
        <v>111</v>
      </c>
      <c r="E33" s="62"/>
      <c r="F33" s="63"/>
      <c r="G33" s="64" t="s">
        <v>108</v>
      </c>
      <c r="H33" s="65" t="n">
        <v>44752</v>
      </c>
      <c r="I33" s="70"/>
    </row>
  </sheetData>
  <conditionalFormatting sqref="D25">
    <cfRule type="cellIs" priority="2" operator="equal" aboveAverage="0" equalAverage="0" bottom="0" percent="0" rank="0" text="" dxfId="12">
      <formula>"OFF"</formula>
    </cfRule>
  </conditionalFormatting>
  <conditionalFormatting sqref="C25">
    <cfRule type="cellIs" priority="3" operator="equal" aboveAverage="0" equalAverage="0" bottom="0" percent="0" rank="0" text="" dxfId="12">
      <formula>"OFF"</formula>
    </cfRule>
  </conditionalFormatting>
  <conditionalFormatting sqref="K19">
    <cfRule type="cellIs" priority="4" operator="equal" aboveAverage="0" equalAverage="0" bottom="0" percent="0" rank="0" text="" dxfId="12">
      <formula>"OFF"</formula>
    </cfRule>
  </conditionalFormatting>
  <conditionalFormatting sqref="C29:D33">
    <cfRule type="cellIs" priority="5" operator="equal" aboveAverage="0" equalAverage="0" bottom="0" percent="0" rank="0" text="" dxfId="12">
      <formula>"OFF"</formula>
    </cfRule>
  </conditionalFormatting>
  <conditionalFormatting sqref="C23:D23">
    <cfRule type="cellIs" priority="6" operator="equal" aboveAverage="0" equalAverage="0" bottom="0" percent="0" rank="0" text="" dxfId="12">
      <formula>"OFF"</formula>
    </cfRule>
  </conditionalFormatting>
  <conditionalFormatting sqref="C9:D9">
    <cfRule type="cellIs" priority="7" operator="equal" aboveAverage="0" equalAverage="0" bottom="0" percent="0" rank="0" text="" dxfId="12">
      <formula>"OFF"</formula>
    </cfRule>
  </conditionalFormatting>
  <conditionalFormatting sqref="D19">
    <cfRule type="cellIs" priority="8" operator="equal" aboveAverage="0" equalAverage="0" bottom="0" percent="0" rank="0" text="" dxfId="12">
      <formula>"OFF"</formula>
    </cfRule>
  </conditionalFormatting>
  <conditionalFormatting sqref="C19">
    <cfRule type="cellIs" priority="9" operator="equal" aboveAverage="0" equalAverage="0" bottom="0" percent="0" rank="0" text="" dxfId="12">
      <formula>"OFF"</formula>
    </cfRule>
  </conditionalFormatting>
  <conditionalFormatting sqref="B2:D2 B3:B33">
    <cfRule type="cellIs" priority="10" operator="equal" aboveAverage="0" equalAverage="0" bottom="0" percent="0" rank="0" text="" dxfId="12">
      <formula>"OFF"</formula>
    </cfRule>
  </conditionalFormatting>
  <conditionalFormatting sqref="C16:D18">
    <cfRule type="cellIs" priority="11" operator="equal" aboveAverage="0" equalAverage="0" bottom="0" percent="0" rank="0" text="" dxfId="12">
      <formula>"OFF"</formula>
    </cfRule>
  </conditionalFormatting>
  <conditionalFormatting sqref="C3:D8 C10:D15 C20:D22 C24:D24 C26:D28">
    <cfRule type="cellIs" priority="12" operator="equal" aboveAverage="0" equalAverage="0" bottom="0" percent="0" rank="0" text="" dxfId="12">
      <formula>"OFF"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0.6796875" defaultRowHeight="15" zeroHeight="false" outlineLevelRow="0" outlineLevelCol="0"/>
  <cols>
    <col collapsed="false" customWidth="true" hidden="false" outlineLevel="0" max="1" min="1" style="54" width="24.29"/>
  </cols>
  <sheetData>
    <row r="1" customFormat="false" ht="15" hidden="false" customHeight="true" outlineLevel="0" collapsed="false">
      <c r="A1" s="55"/>
      <c r="B1" s="55" t="s">
        <v>65</v>
      </c>
    </row>
    <row r="2" customFormat="false" ht="15" hidden="false" customHeight="true" outlineLevel="0" collapsed="false">
      <c r="A2" s="56" t="s">
        <v>68</v>
      </c>
      <c r="B2" s="57" t="n">
        <v>0.415972222222222</v>
      </c>
    </row>
    <row r="3" customFormat="false" ht="15" hidden="false" customHeight="true" outlineLevel="0" collapsed="false">
      <c r="A3" s="56" t="s">
        <v>75</v>
      </c>
      <c r="B3" s="57" t="n">
        <v>0.415972222222222</v>
      </c>
    </row>
    <row r="4" customFormat="false" ht="15" hidden="false" customHeight="true" outlineLevel="0" collapsed="false">
      <c r="A4" s="56" t="s">
        <v>112</v>
      </c>
      <c r="B4" s="57" t="n">
        <v>0.333333333333333</v>
      </c>
    </row>
    <row r="5" customFormat="false" ht="15.75" hidden="false" customHeight="true" outlineLevel="0" collapsed="false">
      <c r="A5" s="56" t="s">
        <v>113</v>
      </c>
      <c r="B5" s="57" t="n">
        <v>0.332638888888889</v>
      </c>
    </row>
    <row r="6" customFormat="false" ht="15.75" hidden="false" customHeight="true" outlineLevel="0" collapsed="false">
      <c r="A6" s="76" t="s">
        <v>61</v>
      </c>
      <c r="B6" s="57" t="n">
        <v>0.331944444444444</v>
      </c>
    </row>
    <row r="7" customFormat="false" ht="15.75" hidden="false" customHeight="true" outlineLevel="0" collapsed="false">
      <c r="A7" s="76" t="s">
        <v>114</v>
      </c>
      <c r="B7" s="57" t="n">
        <v>0.344444444444444</v>
      </c>
    </row>
    <row r="8" customFormat="false" ht="15" hidden="false" customHeight="true" outlineLevel="0" collapsed="false">
      <c r="A8" s="56" t="s">
        <v>85</v>
      </c>
      <c r="B8" s="57" t="n">
        <v>0.332638888888889</v>
      </c>
    </row>
    <row r="9" customFormat="false" ht="15.75" hidden="false" customHeight="true" outlineLevel="0" collapsed="false">
      <c r="A9" s="56" t="s">
        <v>115</v>
      </c>
      <c r="B9" s="57" t="n">
        <v>0.331944444444444</v>
      </c>
    </row>
    <row r="10" customFormat="false" ht="15.75" hidden="false" customHeight="true" outlineLevel="0" collapsed="false">
      <c r="A10" s="76" t="s">
        <v>116</v>
      </c>
      <c r="B10" s="57" t="n">
        <v>0.31875</v>
      </c>
    </row>
    <row r="11" customFormat="false" ht="15" hidden="false" customHeight="true" outlineLevel="0" collapsed="false">
      <c r="A11" s="56" t="s">
        <v>90</v>
      </c>
      <c r="B11" s="57" t="n">
        <v>0.413888888888889</v>
      </c>
    </row>
    <row r="12" customFormat="false" ht="15" hidden="false" customHeight="true" outlineLevel="0" collapsed="false">
      <c r="A12" s="56" t="s">
        <v>57</v>
      </c>
      <c r="B12" s="57" t="n">
        <v>0.332638888888889</v>
      </c>
    </row>
    <row r="13" customFormat="false" ht="15" hidden="false" customHeight="true" outlineLevel="0" collapsed="false">
      <c r="A13" s="56" t="s">
        <v>117</v>
      </c>
      <c r="B13" s="57" t="n">
        <v>0.413888888888889</v>
      </c>
    </row>
    <row r="14" customFormat="false" ht="15" hidden="false" customHeight="true" outlineLevel="0" collapsed="false">
      <c r="A14" s="56" t="s">
        <v>118</v>
      </c>
      <c r="B14" s="57" t="n">
        <v>0.415277777777778</v>
      </c>
    </row>
    <row r="15" customFormat="false" ht="15" hidden="false" customHeight="true" outlineLevel="0" collapsed="false">
      <c r="A15" s="56" t="s">
        <v>119</v>
      </c>
      <c r="B15" s="57" t="n">
        <v>0.411805555555556</v>
      </c>
    </row>
    <row r="16" customFormat="false" ht="15" hidden="false" customHeight="true" outlineLevel="0" collapsed="false">
      <c r="A16" s="56" t="s">
        <v>94</v>
      </c>
      <c r="B16" s="57" t="n">
        <v>0.332638888888889</v>
      </c>
    </row>
    <row r="17" customFormat="false" ht="15" hidden="false" customHeight="true" outlineLevel="0" collapsed="false">
      <c r="A17" s="56" t="s">
        <v>120</v>
      </c>
      <c r="B17" s="57" t="n">
        <v>0.415972222222222</v>
      </c>
    </row>
    <row r="18" customFormat="false" ht="15" hidden="false" customHeight="true" outlineLevel="0" collapsed="false">
      <c r="A18" s="56" t="s">
        <v>121</v>
      </c>
      <c r="B18" s="57" t="n">
        <v>0.4125</v>
      </c>
    </row>
    <row r="19" customFormat="false" ht="15" hidden="false" customHeight="true" outlineLevel="0" collapsed="false">
      <c r="A19" s="56" t="s">
        <v>122</v>
      </c>
      <c r="B19" s="57" t="n">
        <v>0.330555555555556</v>
      </c>
    </row>
    <row r="20" customFormat="false" ht="15" hidden="false" customHeight="true" outlineLevel="0" collapsed="false">
      <c r="A20" s="56" t="s">
        <v>123</v>
      </c>
      <c r="B20" s="57" t="n">
        <v>0.4125</v>
      </c>
    </row>
    <row r="21" customFormat="false" ht="15" hidden="false" customHeight="true" outlineLevel="0" collapsed="false">
      <c r="B21" s="77"/>
    </row>
    <row r="22" customFormat="false" ht="15" hidden="false" customHeight="true" outlineLevel="0" collapsed="false">
      <c r="B22" s="77"/>
    </row>
    <row r="23" customFormat="false" ht="15" hidden="false" customHeight="true" outlineLevel="0" collapsed="false">
      <c r="A23" s="78"/>
      <c r="B23" s="77"/>
    </row>
    <row r="24" customFormat="false" ht="15" hidden="false" customHeight="true" outlineLevel="0" collapsed="false">
      <c r="A24" s="78"/>
      <c r="B24" s="77"/>
    </row>
    <row r="25" customFormat="false" ht="15" hidden="false" customHeight="true" outlineLevel="0" collapsed="false">
      <c r="A25" s="78"/>
      <c r="B25" s="77"/>
    </row>
    <row r="26" customFormat="false" ht="15" hidden="false" customHeight="true" outlineLevel="0" collapsed="false">
      <c r="A26" s="78"/>
      <c r="B26" s="77"/>
    </row>
    <row r="27" customFormat="false" ht="15" hidden="false" customHeight="true" outlineLevel="0" collapsed="false">
      <c r="A27" s="78"/>
      <c r="B27" s="77"/>
    </row>
    <row r="28" customFormat="false" ht="15" hidden="false" customHeight="true" outlineLevel="0" collapsed="false">
      <c r="A28" s="78"/>
      <c r="B28" s="77"/>
    </row>
    <row r="29" customFormat="false" ht="15" hidden="false" customHeight="true" outlineLevel="0" collapsed="false">
      <c r="A29" s="78"/>
      <c r="B29" s="77"/>
    </row>
    <row r="30" customFormat="false" ht="15" hidden="false" customHeight="true" outlineLevel="0" collapsed="false">
      <c r="B30" s="77"/>
    </row>
    <row r="31" customFormat="false" ht="15" hidden="false" customHeight="true" outlineLevel="0" collapsed="false">
      <c r="B31" s="77"/>
    </row>
    <row r="32" customFormat="false" ht="15" hidden="false" customHeight="true" outlineLevel="0" collapsed="false">
      <c r="A32" s="78"/>
      <c r="B32" s="77"/>
    </row>
    <row r="33" customFormat="false" ht="15" hidden="false" customHeight="true" outlineLevel="0" collapsed="false">
      <c r="B33" s="77"/>
    </row>
    <row r="34" customFormat="false" ht="15" hidden="false" customHeight="true" outlineLevel="0" collapsed="false">
      <c r="B34" s="77"/>
    </row>
    <row r="35" customFormat="false" ht="15" hidden="false" customHeight="true" outlineLevel="0" collapsed="false">
      <c r="A35" s="78"/>
      <c r="B35" s="77"/>
    </row>
    <row r="36" customFormat="false" ht="15" hidden="false" customHeight="true" outlineLevel="0" collapsed="false">
      <c r="B36" s="77"/>
    </row>
    <row r="37" customFormat="false" ht="15" hidden="false" customHeight="true" outlineLevel="0" collapsed="false">
      <c r="A37" s="55"/>
      <c r="B37" s="79"/>
    </row>
    <row r="38" customFormat="false" ht="15" hidden="false" customHeight="true" outlineLevel="0" collapsed="false">
      <c r="A38" s="78"/>
      <c r="B38" s="57"/>
    </row>
    <row r="39" customFormat="false" ht="15" hidden="false" customHeight="true" outlineLevel="0" collapsed="false">
      <c r="A39" s="78"/>
      <c r="B39" s="77"/>
    </row>
    <row r="40" customFormat="false" ht="15" hidden="false" customHeight="true" outlineLevel="0" collapsed="false">
      <c r="B40" s="77"/>
    </row>
    <row r="41" customFormat="false" ht="15" hidden="false" customHeight="true" outlineLevel="0" collapsed="false">
      <c r="B41" s="77"/>
    </row>
    <row r="42" customFormat="false" ht="15" hidden="false" customHeight="true" outlineLevel="0" collapsed="false">
      <c r="B42" s="77"/>
    </row>
    <row r="43" customFormat="false" ht="15" hidden="false" customHeight="true" outlineLevel="0" collapsed="false">
      <c r="B43" s="77"/>
    </row>
    <row r="44" customFormat="false" ht="15" hidden="false" customHeight="true" outlineLevel="0" collapsed="false">
      <c r="B44" s="77"/>
    </row>
    <row r="45" customFormat="false" ht="15" hidden="false" customHeight="true" outlineLevel="0" collapsed="false">
      <c r="B45" s="77"/>
    </row>
    <row r="46" customFormat="false" ht="15" hidden="false" customHeight="true" outlineLevel="0" collapsed="false">
      <c r="B46" s="77"/>
    </row>
    <row r="47" customFormat="false" ht="15" hidden="false" customHeight="true" outlineLevel="0" collapsed="false">
      <c r="B47" s="77"/>
    </row>
    <row r="48" customFormat="false" ht="15" hidden="false" customHeight="true" outlineLevel="0" collapsed="false">
      <c r="B48" s="77"/>
    </row>
    <row r="49" customFormat="false" ht="15" hidden="false" customHeight="true" outlineLevel="0" collapsed="false">
      <c r="B49" s="77"/>
    </row>
    <row r="50" customFormat="false" ht="15" hidden="false" customHeight="true" outlineLevel="0" collapsed="false">
      <c r="B50" s="77"/>
    </row>
    <row r="51" customFormat="false" ht="15" hidden="false" customHeight="true" outlineLevel="0" collapsed="false">
      <c r="B51" s="77"/>
    </row>
    <row r="52" customFormat="false" ht="15" hidden="false" customHeight="true" outlineLevel="0" collapsed="false">
      <c r="B52" s="77"/>
    </row>
    <row r="53" customFormat="false" ht="15" hidden="false" customHeight="true" outlineLevel="0" collapsed="false">
      <c r="B53" s="77"/>
    </row>
    <row r="54" customFormat="false" ht="15" hidden="false" customHeight="true" outlineLevel="0" collapsed="false">
      <c r="B54" s="77"/>
    </row>
    <row r="55" customFormat="false" ht="15" hidden="false" customHeight="true" outlineLevel="0" collapsed="false">
      <c r="B55" s="77"/>
    </row>
  </sheetData>
  <conditionalFormatting sqref="A27">
    <cfRule type="cellIs" priority="2" operator="equal" aboveAverage="0" equalAverage="0" bottom="0" percent="0" rank="0" text="" dxfId="12">
      <formula>"OFF"</formula>
    </cfRule>
  </conditionalFormatting>
  <conditionalFormatting sqref="A38">
    <cfRule type="cellIs" priority="3" operator="equal" aboveAverage="0" equalAverage="0" bottom="0" percent="0" rank="0" text="" dxfId="12">
      <formula>"OFF"</formula>
    </cfRule>
  </conditionalFormatting>
  <conditionalFormatting sqref="A29">
    <cfRule type="cellIs" priority="4" operator="equal" aboveAverage="0" equalAverage="0" bottom="0" percent="0" rank="0" text="" dxfId="12">
      <formula>"OFF"</formula>
    </cfRule>
  </conditionalFormatting>
  <conditionalFormatting sqref="A26">
    <cfRule type="cellIs" priority="5" operator="equal" aboveAverage="0" equalAverage="0" bottom="0" percent="0" rank="0" text="" dxfId="12">
      <formula>"OFF"</formula>
    </cfRule>
  </conditionalFormatting>
  <conditionalFormatting sqref="A35">
    <cfRule type="cellIs" priority="6" operator="equal" aboveAverage="0" equalAverage="0" bottom="0" percent="0" rank="0" text="" dxfId="12">
      <formula>"OFF"</formula>
    </cfRule>
  </conditionalFormatting>
  <conditionalFormatting sqref="A24">
    <cfRule type="cellIs" priority="7" operator="equal" aboveAverage="0" equalAverage="0" bottom="0" percent="0" rank="0" text="" dxfId="12">
      <formula>"OFF"</formula>
    </cfRule>
  </conditionalFormatting>
  <conditionalFormatting sqref="A39">
    <cfRule type="cellIs" priority="8" operator="equal" aboveAverage="0" equalAverage="0" bottom="0" percent="0" rank="0" text="" dxfId="12">
      <formula>"OFF"</formula>
    </cfRule>
  </conditionalFormatting>
  <conditionalFormatting sqref="A25">
    <cfRule type="cellIs" priority="9" operator="equal" aboveAverage="0" equalAverage="0" bottom="0" percent="0" rank="0" text="" dxfId="12">
      <formula>"OFF"</formula>
    </cfRule>
  </conditionalFormatting>
  <conditionalFormatting sqref="A28">
    <cfRule type="cellIs" priority="10" operator="equal" aboveAverage="0" equalAverage="0" bottom="0" percent="0" rank="0" text="" dxfId="12">
      <formula>"OFF"</formula>
    </cfRule>
  </conditionalFormatting>
  <conditionalFormatting sqref="A32">
    <cfRule type="cellIs" priority="11" operator="equal" aboveAverage="0" equalAverage="0" bottom="0" percent="0" rank="0" text="" dxfId="12">
      <formula>"OFF"</formula>
    </cfRule>
  </conditionalFormatting>
  <conditionalFormatting sqref="A23">
    <cfRule type="cellIs" priority="12" operator="equal" aboveAverage="0" equalAverage="0" bottom="0" percent="0" rank="0" text="" dxfId="12">
      <formula>"OFF"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177" activeCellId="0" sqref="C177"/>
    </sheetView>
  </sheetViews>
  <sheetFormatPr defaultColWidth="11.43359375" defaultRowHeight="15" zeroHeight="false" outlineLevelRow="0" outlineLevelCol="0"/>
  <cols>
    <col collapsed="false" customWidth="true" hidden="false" outlineLevel="0" max="1" min="1" style="59" width="37.71"/>
    <col collapsed="false" customWidth="true" hidden="false" outlineLevel="0" max="2" min="2" style="54" width="11.71"/>
    <col collapsed="false" customWidth="true" hidden="false" outlineLevel="0" max="3" min="3" style="80" width="20.29"/>
    <col collapsed="false" customWidth="true" hidden="false" outlineLevel="0" max="4" min="4" style="81" width="20.42"/>
    <col collapsed="false" customWidth="true" hidden="false" outlineLevel="0" max="5" min="5" style="54" width="16.43"/>
    <col collapsed="false" customWidth="true" hidden="false" outlineLevel="0" max="6" min="6" style="54" width="12.42"/>
    <col collapsed="false" customWidth="false" hidden="false" outlineLevel="0" max="9" min="7" style="54" width="11.43"/>
    <col collapsed="false" customWidth="true" hidden="false" outlineLevel="0" max="10" min="10" style="54" width="19.71"/>
    <col collapsed="false" customWidth="false" hidden="false" outlineLevel="0" max="16384" min="11" style="54" width="11.43"/>
  </cols>
  <sheetData>
    <row r="1" customFormat="false" ht="15" hidden="false" customHeight="true" outlineLevel="0" collapsed="false">
      <c r="A1" s="82" t="s">
        <v>124</v>
      </c>
      <c r="B1" s="83" t="s">
        <v>16</v>
      </c>
      <c r="C1" s="84" t="s">
        <v>125</v>
      </c>
      <c r="D1" s="85" t="s">
        <v>126</v>
      </c>
      <c r="E1" s="84" t="s">
        <v>127</v>
      </c>
      <c r="F1" s="83" t="s">
        <v>15</v>
      </c>
      <c r="G1" s="83" t="s">
        <v>128</v>
      </c>
      <c r="H1" s="83" t="s">
        <v>129</v>
      </c>
    </row>
    <row r="2" customFormat="false" ht="14.25" hidden="true" customHeight="true" outlineLevel="0" collapsed="false">
      <c r="A2" s="86" t="s">
        <v>43</v>
      </c>
      <c r="B2" s="86" t="n">
        <v>44717</v>
      </c>
      <c r="C2" s="87" t="n">
        <v>0.416666666666667</v>
      </c>
      <c r="D2" s="87" t="n">
        <v>0.833333333333333</v>
      </c>
      <c r="E2" s="88" t="n">
        <f aca="false">WEEKNUM(Planning2[[#This Row],[Date]],21)</f>
        <v>23</v>
      </c>
      <c r="F2" s="89" t="str">
        <f aca="false">VLOOKUP(A2,Annuaire_roster!B:C,2,0)</f>
        <v>Google Leads</v>
      </c>
      <c r="G2" s="83"/>
      <c r="H2" s="83"/>
      <c r="J2" s="90"/>
      <c r="K2" s="91"/>
    </row>
    <row r="3" customFormat="false" ht="14.25" hidden="true" customHeight="true" outlineLevel="0" collapsed="false">
      <c r="A3" s="86" t="s">
        <v>57</v>
      </c>
      <c r="B3" s="86" t="n">
        <v>44717</v>
      </c>
      <c r="C3" s="87" t="s">
        <v>109</v>
      </c>
      <c r="D3" s="87" t="s">
        <v>109</v>
      </c>
      <c r="E3" s="88" t="n">
        <f aca="false">WEEKNUM(Planning2[[#This Row],[Date]],21)</f>
        <v>23</v>
      </c>
      <c r="F3" s="89" t="str">
        <f aca="false">VLOOKUP(A3,Annuaire_roster!B:C,2,0)</f>
        <v>Google Leads</v>
      </c>
      <c r="G3" s="83"/>
      <c r="H3" s="83"/>
      <c r="J3" s="90"/>
      <c r="K3" s="91"/>
    </row>
    <row r="4" customFormat="false" ht="14.25" hidden="true" customHeight="true" outlineLevel="0" collapsed="false">
      <c r="A4" s="86" t="s">
        <v>38</v>
      </c>
      <c r="B4" s="86" t="n">
        <v>44717</v>
      </c>
      <c r="C4" s="87" t="n">
        <v>0.291666666666667</v>
      </c>
      <c r="D4" s="87" t="n">
        <v>0.708333333333333</v>
      </c>
      <c r="E4" s="88" t="n">
        <f aca="false">WEEKNUM(Planning2[[#This Row],[Date]],21)</f>
        <v>23</v>
      </c>
      <c r="F4" s="89" t="str">
        <f aca="false">VLOOKUP(A4,Annuaire_roster!B:C,2,0)</f>
        <v>Google Leads</v>
      </c>
      <c r="G4" s="83"/>
      <c r="H4" s="83"/>
    </row>
    <row r="5" customFormat="false" ht="14.25" hidden="true" customHeight="true" outlineLevel="0" collapsed="false">
      <c r="A5" s="86" t="s">
        <v>33</v>
      </c>
      <c r="B5" s="86" t="n">
        <v>44717</v>
      </c>
      <c r="C5" s="87" t="n">
        <v>0.291666666666667</v>
      </c>
      <c r="D5" s="87" t="n">
        <v>0.666666666666667</v>
      </c>
      <c r="E5" s="88" t="n">
        <f aca="false">WEEKNUM(Planning2[[#This Row],[Date]],21)</f>
        <v>23</v>
      </c>
      <c r="F5" s="89" t="str">
        <f aca="false">VLOOKUP(A5,Annuaire_roster!B:C,2,0)</f>
        <v>Google Leads</v>
      </c>
      <c r="G5" s="83"/>
      <c r="H5" s="83"/>
    </row>
    <row r="6" customFormat="false" ht="14.25" hidden="true" customHeight="true" outlineLevel="0" collapsed="false">
      <c r="A6" s="86" t="s">
        <v>58</v>
      </c>
      <c r="B6" s="86" t="n">
        <v>44717</v>
      </c>
      <c r="C6" s="87" t="s">
        <v>111</v>
      </c>
      <c r="D6" s="87" t="s">
        <v>111</v>
      </c>
      <c r="E6" s="88" t="n">
        <f aca="false">WEEKNUM(Planning2[[#This Row],[Date]],21)</f>
        <v>23</v>
      </c>
      <c r="F6" s="89" t="str">
        <f aca="false">VLOOKUP(A6,Annuaire_roster!B:C,2,0)</f>
        <v>Google Leads</v>
      </c>
      <c r="G6" s="83"/>
      <c r="H6" s="83"/>
      <c r="J6" s="92"/>
      <c r="K6" s="93"/>
    </row>
    <row r="7" customFormat="false" ht="14.25" hidden="true" customHeight="true" outlineLevel="0" collapsed="false">
      <c r="A7" s="86" t="s">
        <v>63</v>
      </c>
      <c r="B7" s="86" t="n">
        <v>44717</v>
      </c>
      <c r="C7" s="87" t="s">
        <v>111</v>
      </c>
      <c r="D7" s="87" t="s">
        <v>111</v>
      </c>
      <c r="E7" s="88" t="n">
        <f aca="false">WEEKNUM(Planning2[[#This Row],[Date]],21)</f>
        <v>23</v>
      </c>
      <c r="F7" s="89" t="str">
        <f aca="false">VLOOKUP(A7,Annuaire_roster!B:C,2,0)</f>
        <v>Google Leads</v>
      </c>
      <c r="G7" s="83"/>
      <c r="H7" s="83"/>
      <c r="J7" s="92"/>
      <c r="K7" s="93"/>
    </row>
    <row r="8" customFormat="false" ht="14.25" hidden="true" customHeight="true" outlineLevel="0" collapsed="false">
      <c r="A8" s="86" t="s">
        <v>48</v>
      </c>
      <c r="B8" s="86" t="n">
        <v>44717</v>
      </c>
      <c r="C8" s="87" t="n">
        <v>0.416666666666667</v>
      </c>
      <c r="D8" s="87" t="n">
        <v>0.833333333333333</v>
      </c>
      <c r="E8" s="88" t="n">
        <f aca="false">WEEKNUM(Planning2[[#This Row],[Date]],21)</f>
        <v>23</v>
      </c>
      <c r="F8" s="89" t="str">
        <f aca="false">VLOOKUP(A8,Annuaire_roster!B:C,2,0)</f>
        <v>Google Leads</v>
      </c>
      <c r="G8" s="83"/>
      <c r="H8" s="83"/>
      <c r="J8" s="92"/>
      <c r="K8" s="93"/>
    </row>
    <row r="9" customFormat="false" ht="14.25" hidden="true" customHeight="true" outlineLevel="0" collapsed="false">
      <c r="A9" s="86" t="s">
        <v>59</v>
      </c>
      <c r="B9" s="86" t="n">
        <v>44717</v>
      </c>
      <c r="C9" s="87" t="s">
        <v>111</v>
      </c>
      <c r="D9" s="87" t="s">
        <v>111</v>
      </c>
      <c r="E9" s="88" t="n">
        <f aca="false">WEEKNUM(Planning2[[#This Row],[Date]],21)</f>
        <v>23</v>
      </c>
      <c r="F9" s="89" t="str">
        <f aca="false">VLOOKUP(A9,Annuaire_roster!B:C,2,0)</f>
        <v>Google Leads</v>
      </c>
      <c r="G9" s="83"/>
      <c r="H9" s="83"/>
    </row>
    <row r="10" customFormat="false" ht="14.25" hidden="true" customHeight="true" outlineLevel="0" collapsed="false">
      <c r="A10" s="86" t="s">
        <v>60</v>
      </c>
      <c r="B10" s="86" t="n">
        <v>44717</v>
      </c>
      <c r="C10" s="87" t="s">
        <v>111</v>
      </c>
      <c r="D10" s="87" t="s">
        <v>111</v>
      </c>
      <c r="E10" s="88" t="n">
        <f aca="false">WEEKNUM(Planning2[[#This Row],[Date]],21)</f>
        <v>23</v>
      </c>
      <c r="F10" s="89" t="str">
        <f aca="false">VLOOKUP(A10,Annuaire_roster!B:C,2,0)</f>
        <v>Google Leads</v>
      </c>
      <c r="G10" s="83"/>
      <c r="H10" s="83"/>
      <c r="J10" s="92"/>
    </row>
    <row r="11" customFormat="false" ht="14.25" hidden="true" customHeight="true" outlineLevel="0" collapsed="false">
      <c r="A11" s="86" t="s">
        <v>44</v>
      </c>
      <c r="B11" s="86" t="n">
        <v>44717</v>
      </c>
      <c r="C11" s="87" t="n">
        <v>0.416666666666667</v>
      </c>
      <c r="D11" s="87" t="n">
        <v>0.833333333333333</v>
      </c>
      <c r="E11" s="88" t="n">
        <f aca="false">WEEKNUM(Planning2[[#This Row],[Date]],21)</f>
        <v>23</v>
      </c>
      <c r="F11" s="89" t="str">
        <f aca="false">VLOOKUP(A11,Annuaire_roster!B:C,2,0)</f>
        <v>Google Leads</v>
      </c>
      <c r="G11" s="83"/>
      <c r="H11" s="83"/>
    </row>
    <row r="12" customFormat="false" ht="14.25" hidden="true" customHeight="true" outlineLevel="0" collapsed="false">
      <c r="A12" s="86" t="s">
        <v>50</v>
      </c>
      <c r="B12" s="86" t="n">
        <v>44717</v>
      </c>
      <c r="C12" s="87" t="n">
        <v>0.416666666666667</v>
      </c>
      <c r="D12" s="87" t="n">
        <v>0.833333333333333</v>
      </c>
      <c r="E12" s="88" t="n">
        <f aca="false">WEEKNUM(Planning2[[#This Row],[Date]],21)</f>
        <v>23</v>
      </c>
      <c r="F12" s="89" t="str">
        <f aca="false">VLOOKUP(A12,Annuaire_roster!B:C,2,0)</f>
        <v>Google Leads</v>
      </c>
      <c r="G12" s="83"/>
      <c r="H12" s="83"/>
    </row>
    <row r="13" customFormat="false" ht="14.25" hidden="true" customHeight="true" outlineLevel="0" collapsed="false">
      <c r="A13" s="86" t="s">
        <v>61</v>
      </c>
      <c r="B13" s="86" t="n">
        <v>44717</v>
      </c>
      <c r="C13" s="87" t="s">
        <v>111</v>
      </c>
      <c r="D13" s="87" t="s">
        <v>111</v>
      </c>
      <c r="E13" s="88" t="n">
        <f aca="false">WEEKNUM(Planning2[[#This Row],[Date]],21)</f>
        <v>23</v>
      </c>
      <c r="F13" s="89" t="str">
        <f aca="false">VLOOKUP(A13,Annuaire_roster!B:C,2,0)</f>
        <v>Google Leads</v>
      </c>
      <c r="G13" s="94"/>
      <c r="H13" s="83"/>
    </row>
    <row r="14" customFormat="false" ht="14.25" hidden="true" customHeight="true" outlineLevel="0" collapsed="false">
      <c r="A14" s="86" t="s">
        <v>56</v>
      </c>
      <c r="B14" s="86" t="n">
        <v>44717</v>
      </c>
      <c r="C14" s="87" t="s">
        <v>110</v>
      </c>
      <c r="D14" s="87" t="s">
        <v>110</v>
      </c>
      <c r="E14" s="88" t="n">
        <f aca="false">WEEKNUM(Planning2[[#This Row],[Date]],21)</f>
        <v>23</v>
      </c>
      <c r="F14" s="89" t="str">
        <f aca="false">VLOOKUP(A14,Annuaire_roster!B:C,2,0)</f>
        <v>Google Leads</v>
      </c>
      <c r="G14" s="94"/>
      <c r="H14" s="83"/>
    </row>
    <row r="15" customFormat="false" ht="14.25" hidden="true" customHeight="true" outlineLevel="0" collapsed="false">
      <c r="A15" s="86" t="s">
        <v>52</v>
      </c>
      <c r="B15" s="86" t="n">
        <v>44717</v>
      </c>
      <c r="C15" s="87" t="n">
        <v>0.625</v>
      </c>
      <c r="D15" s="87" t="n">
        <v>0.708333333333333</v>
      </c>
      <c r="E15" s="88" t="n">
        <f aca="false">WEEKNUM(Planning2[[#This Row],[Date]],21)</f>
        <v>23</v>
      </c>
      <c r="F15" s="89" t="str">
        <f aca="false">VLOOKUP(A15,Annuaire_roster!B:C,2,0)</f>
        <v>Google Leads</v>
      </c>
      <c r="G15" s="94"/>
      <c r="H15" s="83"/>
    </row>
    <row r="16" customFormat="false" ht="14.25" hidden="true" customHeight="true" outlineLevel="0" collapsed="false">
      <c r="A16" s="86" t="s">
        <v>64</v>
      </c>
      <c r="B16" s="86" t="n">
        <v>44717</v>
      </c>
      <c r="C16" s="87" t="s">
        <v>111</v>
      </c>
      <c r="D16" s="87" t="s">
        <v>111</v>
      </c>
      <c r="E16" s="88" t="n">
        <f aca="false">WEEKNUM(Planning2[[#This Row],[Date]],21)</f>
        <v>23</v>
      </c>
      <c r="F16" s="89" t="str">
        <f aca="false">VLOOKUP(A16,Annuaire_roster!B:C,2,0)</f>
        <v>Google Leads</v>
      </c>
      <c r="G16" s="94"/>
      <c r="H16" s="83"/>
    </row>
    <row r="17" customFormat="false" ht="14.25" hidden="false" customHeight="true" outlineLevel="0" collapsed="false">
      <c r="A17" s="86" t="s">
        <v>53</v>
      </c>
      <c r="B17" s="86" t="n">
        <v>44717</v>
      </c>
      <c r="C17" s="87" t="n">
        <v>0.625</v>
      </c>
      <c r="D17" s="87" t="n">
        <v>0.708333333333333</v>
      </c>
      <c r="E17" s="88" t="n">
        <f aca="false">WEEKNUM(Planning2[[#This Row],[Date]],21)</f>
        <v>23</v>
      </c>
      <c r="F17" s="89" t="str">
        <f aca="false">VLOOKUP(A17,Annuaire_roster!B:C,2,0)</f>
        <v>Google Leads</v>
      </c>
      <c r="G17" s="94"/>
      <c r="H17" s="83"/>
    </row>
    <row r="18" customFormat="false" ht="14.25" hidden="true" customHeight="true" outlineLevel="0" collapsed="false">
      <c r="A18" s="86" t="s">
        <v>55</v>
      </c>
      <c r="B18" s="86" t="n">
        <v>44717</v>
      </c>
      <c r="C18" s="87" t="n">
        <v>0.625</v>
      </c>
      <c r="D18" s="87" t="n">
        <v>0.708333333333333</v>
      </c>
      <c r="E18" s="88" t="n">
        <f aca="false">WEEKNUM(Planning2[[#This Row],[Date]],21)</f>
        <v>23</v>
      </c>
      <c r="F18" s="89" t="str">
        <f aca="false">VLOOKUP(A18,Annuaire_roster!B:C,2,0)</f>
        <v>Google Leads</v>
      </c>
      <c r="G18" s="94"/>
      <c r="H18" s="83"/>
    </row>
    <row r="19" customFormat="false" ht="14.25" hidden="true" customHeight="true" outlineLevel="0" collapsed="false">
      <c r="A19" s="86" t="s">
        <v>54</v>
      </c>
      <c r="B19" s="86" t="n">
        <v>44717</v>
      </c>
      <c r="C19" s="87" t="n">
        <v>0.625</v>
      </c>
      <c r="D19" s="87" t="n">
        <v>0.708333333333333</v>
      </c>
      <c r="E19" s="88" t="n">
        <f aca="false">WEEKNUM(Planning2[[#This Row],[Date]],21)</f>
        <v>23</v>
      </c>
      <c r="F19" s="89" t="str">
        <f aca="false">VLOOKUP(A19,Annuaire_roster!B:C,2,0)</f>
        <v>Google Leads</v>
      </c>
      <c r="G19" s="94"/>
      <c r="H19" s="83"/>
    </row>
    <row r="20" customFormat="false" ht="14.25" hidden="true" customHeight="true" outlineLevel="0" collapsed="false">
      <c r="A20" s="86" t="s">
        <v>40</v>
      </c>
      <c r="B20" s="86" t="n">
        <v>44717</v>
      </c>
      <c r="C20" s="87" t="n">
        <v>0.291666666666667</v>
      </c>
      <c r="D20" s="87" t="n">
        <v>0.708333333333333</v>
      </c>
      <c r="E20" s="88" t="n">
        <f aca="false">WEEKNUM(Planning2[[#This Row],[Date]],21)</f>
        <v>23</v>
      </c>
      <c r="F20" s="89" t="str">
        <f aca="false">VLOOKUP(A20,Annuaire_roster!B:C,2,0)</f>
        <v>Google Leads</v>
      </c>
      <c r="G20" s="94"/>
      <c r="H20" s="83"/>
    </row>
    <row r="21" customFormat="false" ht="14.25" hidden="true" customHeight="true" outlineLevel="0" collapsed="false">
      <c r="A21" s="86" t="s">
        <v>41</v>
      </c>
      <c r="B21" s="86" t="n">
        <v>44717</v>
      </c>
      <c r="C21" s="87" t="n">
        <v>0.291666666666667</v>
      </c>
      <c r="D21" s="87" t="n">
        <v>0.708333333333333</v>
      </c>
      <c r="E21" s="88" t="n">
        <f aca="false">WEEKNUM(Planning2[[#This Row],[Date]],21)</f>
        <v>23</v>
      </c>
      <c r="F21" s="89" t="str">
        <f aca="false">VLOOKUP(A21,Annuaire_roster!B:C,2,0)</f>
        <v>Google Leads</v>
      </c>
      <c r="G21" s="94"/>
      <c r="H21" s="83"/>
    </row>
    <row r="22" customFormat="false" ht="14.25" hidden="true" customHeight="true" outlineLevel="0" collapsed="false">
      <c r="A22" s="86" t="s">
        <v>34</v>
      </c>
      <c r="B22" s="86" t="n">
        <v>44717</v>
      </c>
      <c r="C22" s="87" t="n">
        <v>0.291666666666667</v>
      </c>
      <c r="D22" s="87" t="n">
        <v>0.708333333333333</v>
      </c>
      <c r="E22" s="88" t="n">
        <f aca="false">WEEKNUM(Planning2[[#This Row],[Date]],21)</f>
        <v>23</v>
      </c>
      <c r="F22" s="89" t="str">
        <f aca="false">VLOOKUP(A22,Annuaire_roster!B:C,2,0)</f>
        <v>Google Leads</v>
      </c>
      <c r="G22" s="94"/>
      <c r="H22" s="83"/>
    </row>
    <row r="23" customFormat="false" ht="14.25" hidden="true" customHeight="true" outlineLevel="0" collapsed="false">
      <c r="A23" s="86" t="s">
        <v>45</v>
      </c>
      <c r="B23" s="86" t="n">
        <v>44717</v>
      </c>
      <c r="C23" s="87" t="n">
        <v>0.416666666666667</v>
      </c>
      <c r="D23" s="87" t="n">
        <v>0.833333333333333</v>
      </c>
      <c r="E23" s="88" t="n">
        <f aca="false">WEEKNUM(Planning2[[#This Row],[Date]],21)</f>
        <v>23</v>
      </c>
      <c r="F23" s="89" t="str">
        <f aca="false">VLOOKUP(A23,Annuaire_roster!B:C,2,0)</f>
        <v>Google Leads</v>
      </c>
      <c r="G23" s="94"/>
      <c r="H23" s="83"/>
    </row>
    <row r="24" customFormat="false" ht="14.25" hidden="true" customHeight="true" outlineLevel="0" collapsed="false">
      <c r="A24" s="86" t="s">
        <v>35</v>
      </c>
      <c r="B24" s="86" t="n">
        <v>44717</v>
      </c>
      <c r="C24" s="87" t="n">
        <v>0.291666666666667</v>
      </c>
      <c r="D24" s="87" t="n">
        <v>0.708333333333333</v>
      </c>
      <c r="E24" s="88" t="n">
        <f aca="false">WEEKNUM(Planning2[[#This Row],[Date]],21)</f>
        <v>23</v>
      </c>
      <c r="F24" s="89" t="str">
        <f aca="false">VLOOKUP(A24,Annuaire_roster!B:C,2,0)</f>
        <v>Google Leads</v>
      </c>
      <c r="G24" s="94"/>
      <c r="H24" s="83"/>
    </row>
    <row r="25" customFormat="false" ht="14.25" hidden="true" customHeight="true" outlineLevel="0" collapsed="false">
      <c r="A25" s="86" t="s">
        <v>46</v>
      </c>
      <c r="B25" s="86" t="n">
        <v>44717</v>
      </c>
      <c r="C25" s="87" t="n">
        <v>0.416666666666667</v>
      </c>
      <c r="D25" s="87" t="n">
        <v>0.833333333333333</v>
      </c>
      <c r="E25" s="88" t="n">
        <f aca="false">WEEKNUM(Planning2[[#This Row],[Date]],21)</f>
        <v>23</v>
      </c>
      <c r="F25" s="89" t="str">
        <f aca="false">VLOOKUP(A25,Annuaire_roster!B:C,2,0)</f>
        <v>Google Leads</v>
      </c>
      <c r="G25" s="94"/>
      <c r="H25" s="83"/>
    </row>
    <row r="26" customFormat="false" ht="14.25" hidden="true" customHeight="true" outlineLevel="0" collapsed="false">
      <c r="A26" s="86" t="s">
        <v>36</v>
      </c>
      <c r="B26" s="86" t="n">
        <v>44717</v>
      </c>
      <c r="C26" s="87" t="n">
        <v>0.291666666666667</v>
      </c>
      <c r="D26" s="87" t="n">
        <v>0.708333333333333</v>
      </c>
      <c r="E26" s="88" t="n">
        <f aca="false">WEEKNUM(Planning2[[#This Row],[Date]],21)</f>
        <v>23</v>
      </c>
      <c r="F26" s="89" t="str">
        <f aca="false">VLOOKUP(A26,Annuaire_roster!B:C,2,0)</f>
        <v>Google Leads</v>
      </c>
      <c r="G26" s="94"/>
      <c r="H26" s="83"/>
    </row>
    <row r="27" customFormat="false" ht="14.25" hidden="true" customHeight="true" outlineLevel="0" collapsed="false">
      <c r="A27" s="86" t="s">
        <v>42</v>
      </c>
      <c r="B27" s="86" t="n">
        <v>44717</v>
      </c>
      <c r="C27" s="87" t="n">
        <v>0.291666666666667</v>
      </c>
      <c r="D27" s="87" t="n">
        <v>0.708333333333333</v>
      </c>
      <c r="E27" s="88" t="n">
        <f aca="false">WEEKNUM(Planning2[[#This Row],[Date]],21)</f>
        <v>23</v>
      </c>
      <c r="F27" s="89" t="str">
        <f aca="false">VLOOKUP(A27,Annuaire_roster!B:C,2,0)</f>
        <v>Google Leads</v>
      </c>
      <c r="G27" s="94"/>
      <c r="H27" s="83"/>
    </row>
    <row r="28" customFormat="false" ht="14.25" hidden="true" customHeight="true" outlineLevel="0" collapsed="false">
      <c r="A28" s="86" t="s">
        <v>49</v>
      </c>
      <c r="B28" s="86" t="n">
        <v>44717</v>
      </c>
      <c r="C28" s="87" t="n">
        <v>0.416666666666667</v>
      </c>
      <c r="D28" s="87" t="n">
        <v>0.833333333333333</v>
      </c>
      <c r="E28" s="88" t="n">
        <f aca="false">WEEKNUM(Planning2[[#This Row],[Date]],21)</f>
        <v>23</v>
      </c>
      <c r="F28" s="89" t="str">
        <f aca="false">VLOOKUP(A28,Annuaire_roster!B:C,2,0)</f>
        <v>Google Leads</v>
      </c>
      <c r="G28" s="83"/>
      <c r="H28" s="83"/>
    </row>
    <row r="29" customFormat="false" ht="14.25" hidden="true" customHeight="true" outlineLevel="0" collapsed="false">
      <c r="A29" s="86" t="s">
        <v>51</v>
      </c>
      <c r="B29" s="86" t="n">
        <v>44717</v>
      </c>
      <c r="C29" s="87" t="n">
        <v>0.416666666666667</v>
      </c>
      <c r="D29" s="87" t="n">
        <v>0.833333333333333</v>
      </c>
      <c r="E29" s="88" t="n">
        <f aca="false">WEEKNUM(Planning2[[#This Row],[Date]],21)</f>
        <v>23</v>
      </c>
      <c r="F29" s="89" t="str">
        <f aca="false">VLOOKUP(A29,Annuaire_roster!B:C,2,0)</f>
        <v>Google Leads</v>
      </c>
      <c r="G29" s="83"/>
      <c r="H29" s="83"/>
    </row>
    <row r="30" customFormat="false" ht="14.25" hidden="true" customHeight="true" outlineLevel="0" collapsed="false">
      <c r="A30" s="86" t="s">
        <v>39</v>
      </c>
      <c r="B30" s="86" t="n">
        <v>44717</v>
      </c>
      <c r="C30" s="87" t="n">
        <v>0.291666666666667</v>
      </c>
      <c r="D30" s="87" t="n">
        <v>0.708333333333333</v>
      </c>
      <c r="E30" s="88" t="n">
        <f aca="false">WEEKNUM(Planning2[[#This Row],[Date]],21)</f>
        <v>23</v>
      </c>
      <c r="F30" s="89" t="str">
        <f aca="false">VLOOKUP(A30,Annuaire_roster!B:C,2,0)</f>
        <v>Google Leads</v>
      </c>
      <c r="G30" s="83"/>
      <c r="H30" s="83"/>
    </row>
    <row r="31" customFormat="false" ht="14.25" hidden="true" customHeight="true" outlineLevel="0" collapsed="false">
      <c r="A31" s="86" t="s">
        <v>37</v>
      </c>
      <c r="B31" s="86" t="n">
        <v>44717</v>
      </c>
      <c r="C31" s="87" t="n">
        <v>0.291666666666667</v>
      </c>
      <c r="D31" s="87" t="n">
        <v>0.708333333333333</v>
      </c>
      <c r="E31" s="88" t="n">
        <f aca="false">WEEKNUM(Planning2[[#This Row],[Date]],21)</f>
        <v>23</v>
      </c>
      <c r="F31" s="89" t="str">
        <f aca="false">VLOOKUP(A31,Annuaire_roster!B:C,2,0)</f>
        <v>Google Leads</v>
      </c>
      <c r="G31" s="83"/>
      <c r="H31" s="83"/>
    </row>
    <row r="32" customFormat="false" ht="14.25" hidden="true" customHeight="true" outlineLevel="0" collapsed="false">
      <c r="A32" s="86" t="s">
        <v>62</v>
      </c>
      <c r="B32" s="86" t="n">
        <v>44717</v>
      </c>
      <c r="C32" s="87" t="s">
        <v>111</v>
      </c>
      <c r="D32" s="87" t="s">
        <v>111</v>
      </c>
      <c r="E32" s="88" t="n">
        <f aca="false">WEEKNUM(Planning2[[#This Row],[Date]],21)</f>
        <v>23</v>
      </c>
      <c r="F32" s="89" t="str">
        <f aca="false">VLOOKUP(A32,Annuaire_roster!B:C,2,0)</f>
        <v>Google Leads</v>
      </c>
      <c r="G32" s="83"/>
      <c r="H32" s="83"/>
    </row>
    <row r="33" customFormat="false" ht="14.25" hidden="true" customHeight="true" outlineLevel="0" collapsed="false">
      <c r="A33" s="95" t="s">
        <v>47</v>
      </c>
      <c r="B33" s="86" t="n">
        <v>44717</v>
      </c>
      <c r="C33" s="87" t="n">
        <v>0.416666666666667</v>
      </c>
      <c r="D33" s="87" t="n">
        <v>0.833333333333333</v>
      </c>
      <c r="E33" s="88" t="n">
        <f aca="false">WEEKNUM(Planning2[[#This Row],[Date]],21)</f>
        <v>23</v>
      </c>
      <c r="F33" s="89" t="str">
        <f aca="false">VLOOKUP(A33,Annuaire_roster!B:C,2,0)</f>
        <v>Google Leads</v>
      </c>
      <c r="G33" s="83"/>
      <c r="H33" s="83"/>
    </row>
    <row r="34" customFormat="false" ht="14.25" hidden="true" customHeight="true" outlineLevel="0" collapsed="false">
      <c r="A34" s="86" t="s">
        <v>43</v>
      </c>
      <c r="B34" s="86" t="n">
        <f aca="false">+B2+1</f>
        <v>44718</v>
      </c>
      <c r="C34" s="87" t="n">
        <v>0.416666666666667</v>
      </c>
      <c r="D34" s="87" t="n">
        <v>0.833333333333333</v>
      </c>
      <c r="E34" s="88" t="n">
        <f aca="false">WEEKNUM(Planning2[[#This Row],[Date]],21)</f>
        <v>23</v>
      </c>
      <c r="F34" s="89" t="str">
        <f aca="false">VLOOKUP(A34,Annuaire_roster!B:C,2,0)</f>
        <v>Google Leads</v>
      </c>
      <c r="G34" s="83"/>
      <c r="H34" s="83"/>
    </row>
    <row r="35" customFormat="false" ht="14.25" hidden="true" customHeight="true" outlineLevel="0" collapsed="false">
      <c r="A35" s="86" t="s">
        <v>57</v>
      </c>
      <c r="B35" s="86" t="n">
        <f aca="false">+B3+1</f>
        <v>44718</v>
      </c>
      <c r="C35" s="87" t="s">
        <v>109</v>
      </c>
      <c r="D35" s="87" t="s">
        <v>109</v>
      </c>
      <c r="E35" s="88" t="n">
        <f aca="false">WEEKNUM(Planning2[[#This Row],[Date]],21)</f>
        <v>23</v>
      </c>
      <c r="F35" s="89" t="str">
        <f aca="false">VLOOKUP(A35,Annuaire_roster!B:C,2,0)</f>
        <v>Google Leads</v>
      </c>
      <c r="G35" s="83"/>
      <c r="H35" s="83"/>
    </row>
    <row r="36" customFormat="false" ht="14.25" hidden="true" customHeight="true" outlineLevel="0" collapsed="false">
      <c r="A36" s="86" t="s">
        <v>38</v>
      </c>
      <c r="B36" s="86" t="n">
        <f aca="false">+B4+1</f>
        <v>44718</v>
      </c>
      <c r="C36" s="87" t="n">
        <v>0.291666666666667</v>
      </c>
      <c r="D36" s="87" t="n">
        <v>0.708333333333333</v>
      </c>
      <c r="E36" s="88" t="n">
        <f aca="false">WEEKNUM(Planning2[[#This Row],[Date]],21)</f>
        <v>23</v>
      </c>
      <c r="F36" s="89" t="str">
        <f aca="false">VLOOKUP(A36,Annuaire_roster!B:C,2,0)</f>
        <v>Google Leads</v>
      </c>
      <c r="G36" s="83"/>
      <c r="H36" s="83"/>
    </row>
    <row r="37" customFormat="false" ht="14.25" hidden="true" customHeight="true" outlineLevel="0" collapsed="false">
      <c r="A37" s="86" t="s">
        <v>33</v>
      </c>
      <c r="B37" s="86" t="n">
        <f aca="false">+B5+1</f>
        <v>44718</v>
      </c>
      <c r="C37" s="87" t="n">
        <v>0.291666666666667</v>
      </c>
      <c r="D37" s="87" t="n">
        <v>0.708333333333333</v>
      </c>
      <c r="E37" s="88" t="n">
        <f aca="false">WEEKNUM(Planning2[[#This Row],[Date]],21)</f>
        <v>23</v>
      </c>
      <c r="F37" s="89" t="str">
        <f aca="false">VLOOKUP(A37,Annuaire_roster!B:C,2,0)</f>
        <v>Google Leads</v>
      </c>
      <c r="G37" s="83"/>
      <c r="H37" s="83"/>
    </row>
    <row r="38" customFormat="false" ht="14.25" hidden="true" customHeight="true" outlineLevel="0" collapsed="false">
      <c r="A38" s="86" t="s">
        <v>58</v>
      </c>
      <c r="B38" s="86" t="n">
        <f aca="false">+B6+1</f>
        <v>44718</v>
      </c>
      <c r="C38" s="87" t="s">
        <v>111</v>
      </c>
      <c r="D38" s="87" t="s">
        <v>111</v>
      </c>
      <c r="E38" s="88" t="n">
        <f aca="false">WEEKNUM(Planning2[[#This Row],[Date]],21)</f>
        <v>23</v>
      </c>
      <c r="F38" s="89" t="str">
        <f aca="false">VLOOKUP(A38,Annuaire_roster!B:C,2,0)</f>
        <v>Google Leads</v>
      </c>
      <c r="G38" s="83"/>
      <c r="H38" s="83"/>
    </row>
    <row r="39" customFormat="false" ht="14.25" hidden="true" customHeight="true" outlineLevel="0" collapsed="false">
      <c r="A39" s="86" t="s">
        <v>63</v>
      </c>
      <c r="B39" s="86" t="n">
        <f aca="false">+B7+1</f>
        <v>44718</v>
      </c>
      <c r="C39" s="87" t="n">
        <v>0.416666666666667</v>
      </c>
      <c r="D39" s="87" t="n">
        <v>0.833333333333333</v>
      </c>
      <c r="E39" s="88" t="n">
        <f aca="false">WEEKNUM(Planning2[[#This Row],[Date]],21)</f>
        <v>23</v>
      </c>
      <c r="F39" s="89" t="str">
        <f aca="false">VLOOKUP(A39,Annuaire_roster!B:C,2,0)</f>
        <v>Google Leads</v>
      </c>
      <c r="G39" s="92"/>
      <c r="H39" s="92"/>
    </row>
    <row r="40" customFormat="false" ht="14.25" hidden="true" customHeight="true" outlineLevel="0" collapsed="false">
      <c r="A40" s="86" t="s">
        <v>48</v>
      </c>
      <c r="B40" s="86" t="n">
        <f aca="false">+B8+1</f>
        <v>44718</v>
      </c>
      <c r="C40" s="87" t="n">
        <v>0.416666666666667</v>
      </c>
      <c r="D40" s="87" t="n">
        <v>0.833333333333333</v>
      </c>
      <c r="E40" s="88" t="n">
        <f aca="false">WEEKNUM(Planning2[[#This Row],[Date]],21)</f>
        <v>23</v>
      </c>
      <c r="F40" s="89" t="str">
        <f aca="false">VLOOKUP(A40,Annuaire_roster!B:C,2,0)</f>
        <v>Google Leads</v>
      </c>
      <c r="G40" s="92"/>
      <c r="H40" s="92"/>
    </row>
    <row r="41" customFormat="false" ht="14.25" hidden="true" customHeight="true" outlineLevel="0" collapsed="false">
      <c r="A41" s="86" t="s">
        <v>59</v>
      </c>
      <c r="B41" s="86" t="n">
        <f aca="false">+B9+1</f>
        <v>44718</v>
      </c>
      <c r="C41" s="87" t="n">
        <v>0.291666666666667</v>
      </c>
      <c r="D41" s="87" t="n">
        <v>0.708333333333333</v>
      </c>
      <c r="E41" s="88" t="n">
        <f aca="false">WEEKNUM(Planning2[[#This Row],[Date]],21)</f>
        <v>23</v>
      </c>
      <c r="F41" s="89" t="str">
        <f aca="false">VLOOKUP(A41,Annuaire_roster!B:C,2,0)</f>
        <v>Google Leads</v>
      </c>
      <c r="G41" s="83"/>
      <c r="H41" s="83"/>
    </row>
    <row r="42" customFormat="false" ht="14.25" hidden="true" customHeight="true" outlineLevel="0" collapsed="false">
      <c r="A42" s="86" t="s">
        <v>60</v>
      </c>
      <c r="B42" s="86" t="n">
        <f aca="false">+B10+1</f>
        <v>44718</v>
      </c>
      <c r="C42" s="87" t="s">
        <v>111</v>
      </c>
      <c r="D42" s="87" t="s">
        <v>111</v>
      </c>
      <c r="E42" s="88" t="n">
        <f aca="false">WEEKNUM(Planning2[[#This Row],[Date]],21)</f>
        <v>23</v>
      </c>
      <c r="F42" s="89" t="str">
        <f aca="false">VLOOKUP(A42,Annuaire_roster!B:C,2,0)</f>
        <v>Google Leads</v>
      </c>
      <c r="G42" s="83"/>
      <c r="H42" s="83"/>
    </row>
    <row r="43" customFormat="false" ht="14.25" hidden="true" customHeight="true" outlineLevel="0" collapsed="false">
      <c r="A43" s="86" t="s">
        <v>44</v>
      </c>
      <c r="B43" s="86" t="n">
        <f aca="false">+B11+1</f>
        <v>44718</v>
      </c>
      <c r="C43" s="87" t="n">
        <v>0.416666666666667</v>
      </c>
      <c r="D43" s="87" t="n">
        <v>0.833333333333333</v>
      </c>
      <c r="E43" s="88" t="n">
        <f aca="false">WEEKNUM(Planning2[[#This Row],[Date]],21)</f>
        <v>23</v>
      </c>
      <c r="F43" s="89" t="str">
        <f aca="false">VLOOKUP(A43,Annuaire_roster!B:C,2,0)</f>
        <v>Google Leads</v>
      </c>
      <c r="G43" s="83"/>
      <c r="H43" s="83"/>
    </row>
    <row r="44" customFormat="false" ht="14.25" hidden="true" customHeight="true" outlineLevel="0" collapsed="false">
      <c r="A44" s="86" t="s">
        <v>50</v>
      </c>
      <c r="B44" s="86" t="n">
        <f aca="false">+B12+1</f>
        <v>44718</v>
      </c>
      <c r="C44" s="87" t="n">
        <v>0.416666666666667</v>
      </c>
      <c r="D44" s="87" t="n">
        <v>0.833333333333333</v>
      </c>
      <c r="E44" s="88" t="n">
        <f aca="false">WEEKNUM(Planning2[[#This Row],[Date]],21)</f>
        <v>23</v>
      </c>
      <c r="F44" s="89" t="str">
        <f aca="false">VLOOKUP(A44,Annuaire_roster!B:C,2,0)</f>
        <v>Google Leads</v>
      </c>
      <c r="G44" s="83"/>
      <c r="H44" s="83"/>
    </row>
    <row r="45" customFormat="false" ht="14.25" hidden="true" customHeight="true" outlineLevel="0" collapsed="false">
      <c r="A45" s="86" t="s">
        <v>61</v>
      </c>
      <c r="B45" s="86" t="n">
        <f aca="false">+B13+1</f>
        <v>44718</v>
      </c>
      <c r="C45" s="87" t="n">
        <v>0.291666666666667</v>
      </c>
      <c r="D45" s="87" t="n">
        <v>0.666666666666667</v>
      </c>
      <c r="E45" s="88" t="n">
        <f aca="false">WEEKNUM(Planning2[[#This Row],[Date]],21)</f>
        <v>23</v>
      </c>
      <c r="F45" s="89" t="str">
        <f aca="false">VLOOKUP(A45,Annuaire_roster!B:C,2,0)</f>
        <v>Google Leads</v>
      </c>
      <c r="G45" s="83"/>
      <c r="H45" s="83"/>
    </row>
    <row r="46" customFormat="false" ht="14.25" hidden="true" customHeight="true" outlineLevel="0" collapsed="false">
      <c r="A46" s="86" t="s">
        <v>56</v>
      </c>
      <c r="B46" s="86" t="n">
        <f aca="false">+B14+1</f>
        <v>44718</v>
      </c>
      <c r="C46" s="87" t="s">
        <v>110</v>
      </c>
      <c r="D46" s="87" t="s">
        <v>110</v>
      </c>
      <c r="E46" s="88" t="n">
        <f aca="false">WEEKNUM(Planning2[[#This Row],[Date]],21)</f>
        <v>23</v>
      </c>
      <c r="F46" s="89" t="str">
        <f aca="false">VLOOKUP(A46,Annuaire_roster!B:C,2,0)</f>
        <v>Google Leads</v>
      </c>
      <c r="G46" s="83"/>
      <c r="H46" s="83"/>
    </row>
    <row r="47" customFormat="false" ht="14.25" hidden="true" customHeight="true" outlineLevel="0" collapsed="false">
      <c r="A47" s="86" t="s">
        <v>52</v>
      </c>
      <c r="B47" s="86" t="n">
        <f aca="false">+B15+1</f>
        <v>44718</v>
      </c>
      <c r="C47" s="87" t="n">
        <v>0.625</v>
      </c>
      <c r="D47" s="87" t="n">
        <v>0.708333333333333</v>
      </c>
      <c r="E47" s="88" t="n">
        <f aca="false">WEEKNUM(Planning2[[#This Row],[Date]],21)</f>
        <v>23</v>
      </c>
      <c r="F47" s="89" t="str">
        <f aca="false">VLOOKUP(A47,Annuaire_roster!B:C,2,0)</f>
        <v>Google Leads</v>
      </c>
      <c r="G47" s="83"/>
      <c r="H47" s="83"/>
    </row>
    <row r="48" customFormat="false" ht="14.25" hidden="true" customHeight="true" outlineLevel="0" collapsed="false">
      <c r="A48" s="86" t="s">
        <v>64</v>
      </c>
      <c r="B48" s="86" t="n">
        <f aca="false">+B16+1</f>
        <v>44718</v>
      </c>
      <c r="C48" s="87" t="n">
        <v>0.416666666666667</v>
      </c>
      <c r="D48" s="87" t="n">
        <v>0.833333333333333</v>
      </c>
      <c r="E48" s="88" t="n">
        <f aca="false">WEEKNUM(Planning2[[#This Row],[Date]],21)</f>
        <v>23</v>
      </c>
      <c r="F48" s="89" t="str">
        <f aca="false">VLOOKUP(A48,Annuaire_roster!B:C,2,0)</f>
        <v>Google Leads</v>
      </c>
      <c r="G48" s="83"/>
      <c r="H48" s="83"/>
    </row>
    <row r="49" customFormat="false" ht="14.25" hidden="false" customHeight="true" outlineLevel="0" collapsed="false">
      <c r="A49" s="86" t="s">
        <v>53</v>
      </c>
      <c r="B49" s="86" t="n">
        <f aca="false">+B17+1</f>
        <v>44718</v>
      </c>
      <c r="C49" s="87" t="n">
        <v>0.416666666666667</v>
      </c>
      <c r="D49" s="87" t="n">
        <v>0.833333333333333</v>
      </c>
      <c r="E49" s="88" t="n">
        <f aca="false">WEEKNUM(Planning2[[#This Row],[Date]],21)</f>
        <v>23</v>
      </c>
      <c r="F49" s="89" t="str">
        <f aca="false">VLOOKUP(A49,Annuaire_roster!B:C,2,0)</f>
        <v>Google Leads</v>
      </c>
      <c r="G49" s="83"/>
      <c r="H49" s="83"/>
    </row>
    <row r="50" customFormat="false" ht="14.25" hidden="true" customHeight="true" outlineLevel="0" collapsed="false">
      <c r="A50" s="86" t="s">
        <v>55</v>
      </c>
      <c r="B50" s="86" t="n">
        <f aca="false">+B18+1</f>
        <v>44718</v>
      </c>
      <c r="C50" s="87" t="n">
        <v>0.625</v>
      </c>
      <c r="D50" s="87" t="n">
        <v>0.708333333333333</v>
      </c>
      <c r="E50" s="88" t="n">
        <f aca="false">WEEKNUM(Planning2[[#This Row],[Date]],21)</f>
        <v>23</v>
      </c>
      <c r="F50" s="89" t="str">
        <f aca="false">VLOOKUP(A50,Annuaire_roster!B:C,2,0)</f>
        <v>Google Leads</v>
      </c>
      <c r="G50" s="83"/>
      <c r="H50" s="83"/>
    </row>
    <row r="51" customFormat="false" ht="14.25" hidden="true" customHeight="true" outlineLevel="0" collapsed="false">
      <c r="A51" s="86" t="s">
        <v>54</v>
      </c>
      <c r="B51" s="86" t="n">
        <f aca="false">+B19+1</f>
        <v>44718</v>
      </c>
      <c r="C51" s="87" t="n">
        <v>0.416666666666667</v>
      </c>
      <c r="D51" s="87" t="n">
        <v>0.833333333333333</v>
      </c>
      <c r="E51" s="88" t="n">
        <f aca="false">WEEKNUM(Planning2[[#This Row],[Date]],21)</f>
        <v>23</v>
      </c>
      <c r="F51" s="89" t="str">
        <f aca="false">VLOOKUP(A51,Annuaire_roster!B:C,2,0)</f>
        <v>Google Leads</v>
      </c>
      <c r="G51" s="83"/>
      <c r="H51" s="83"/>
    </row>
    <row r="52" customFormat="false" ht="14.25" hidden="true" customHeight="true" outlineLevel="0" collapsed="false">
      <c r="A52" s="86" t="s">
        <v>40</v>
      </c>
      <c r="B52" s="86" t="n">
        <f aca="false">+B20+1</f>
        <v>44718</v>
      </c>
      <c r="C52" s="87" t="n">
        <v>0.416666666666667</v>
      </c>
      <c r="D52" s="87" t="n">
        <v>0.833333333333333</v>
      </c>
      <c r="E52" s="88" t="n">
        <f aca="false">WEEKNUM(Planning2[[#This Row],[Date]],21)</f>
        <v>23</v>
      </c>
      <c r="F52" s="89" t="str">
        <f aca="false">VLOOKUP(A52,Annuaire_roster!B:C,2,0)</f>
        <v>Google Leads</v>
      </c>
      <c r="G52" s="83"/>
      <c r="H52" s="83"/>
    </row>
    <row r="53" customFormat="false" ht="14.25" hidden="true" customHeight="true" outlineLevel="0" collapsed="false">
      <c r="A53" s="86" t="s">
        <v>41</v>
      </c>
      <c r="B53" s="86" t="n">
        <f aca="false">+B21+1</f>
        <v>44718</v>
      </c>
      <c r="C53" s="87" t="n">
        <v>0.291666666666667</v>
      </c>
      <c r="D53" s="87" t="n">
        <v>0.708333333333333</v>
      </c>
      <c r="E53" s="88" t="n">
        <f aca="false">WEEKNUM(Planning2[[#This Row],[Date]],21)</f>
        <v>23</v>
      </c>
      <c r="F53" s="89" t="str">
        <f aca="false">VLOOKUP(A53,Annuaire_roster!B:C,2,0)</f>
        <v>Google Leads</v>
      </c>
      <c r="G53" s="83"/>
      <c r="H53" s="96"/>
    </row>
    <row r="54" customFormat="false" ht="14.25" hidden="true" customHeight="true" outlineLevel="0" collapsed="false">
      <c r="A54" s="86" t="s">
        <v>34</v>
      </c>
      <c r="B54" s="86" t="n">
        <f aca="false">+B22+1</f>
        <v>44718</v>
      </c>
      <c r="C54" s="87" t="n">
        <v>0.291666666666667</v>
      </c>
      <c r="D54" s="87" t="n">
        <v>0.708333333333333</v>
      </c>
      <c r="E54" s="88" t="n">
        <f aca="false">WEEKNUM(Planning2[[#This Row],[Date]],21)</f>
        <v>23</v>
      </c>
      <c r="F54" s="89" t="str">
        <f aca="false">VLOOKUP(A54,Annuaire_roster!B:C,2,0)</f>
        <v>Google Leads</v>
      </c>
      <c r="G54" s="83"/>
      <c r="H54" s="96"/>
    </row>
    <row r="55" customFormat="false" ht="14.25" hidden="true" customHeight="true" outlineLevel="0" collapsed="false">
      <c r="A55" s="86" t="s">
        <v>45</v>
      </c>
      <c r="B55" s="86" t="n">
        <f aca="false">+B23+1</f>
        <v>44718</v>
      </c>
      <c r="C55" s="87" t="s">
        <v>111</v>
      </c>
      <c r="D55" s="87" t="s">
        <v>111</v>
      </c>
      <c r="E55" s="88" t="n">
        <f aca="false">WEEKNUM(Planning2[[#This Row],[Date]],21)</f>
        <v>23</v>
      </c>
      <c r="F55" s="89" t="str">
        <f aca="false">VLOOKUP(A55,Annuaire_roster!B:C,2,0)</f>
        <v>Google Leads</v>
      </c>
      <c r="G55" s="83"/>
      <c r="H55" s="96"/>
    </row>
    <row r="56" customFormat="false" ht="14.25" hidden="true" customHeight="true" outlineLevel="0" collapsed="false">
      <c r="A56" s="86" t="s">
        <v>35</v>
      </c>
      <c r="B56" s="86" t="n">
        <f aca="false">+B24+1</f>
        <v>44718</v>
      </c>
      <c r="C56" s="87" t="n">
        <v>0.291666666666667</v>
      </c>
      <c r="D56" s="87" t="n">
        <v>0.666666666666667</v>
      </c>
      <c r="E56" s="88" t="n">
        <f aca="false">WEEKNUM(Planning2[[#This Row],[Date]],21)</f>
        <v>23</v>
      </c>
      <c r="F56" s="89" t="str">
        <f aca="false">VLOOKUP(A56,Annuaire_roster!B:C,2,0)</f>
        <v>Google Leads</v>
      </c>
      <c r="G56" s="83"/>
      <c r="H56" s="96"/>
    </row>
    <row r="57" customFormat="false" ht="14.25" hidden="true" customHeight="true" outlineLevel="0" collapsed="false">
      <c r="A57" s="86" t="s">
        <v>46</v>
      </c>
      <c r="B57" s="86" t="n">
        <f aca="false">+B25+1</f>
        <v>44718</v>
      </c>
      <c r="C57" s="87" t="n">
        <v>0.416666666666667</v>
      </c>
      <c r="D57" s="87" t="n">
        <v>0.833333333333333</v>
      </c>
      <c r="E57" s="88" t="n">
        <f aca="false">WEEKNUM(Planning2[[#This Row],[Date]],21)</f>
        <v>23</v>
      </c>
      <c r="F57" s="89" t="str">
        <f aca="false">VLOOKUP(A57,Annuaire_roster!B:C,2,0)</f>
        <v>Google Leads</v>
      </c>
      <c r="G57" s="83"/>
      <c r="H57" s="83"/>
    </row>
    <row r="58" customFormat="false" ht="14.25" hidden="true" customHeight="true" outlineLevel="0" collapsed="false">
      <c r="A58" s="86" t="s">
        <v>36</v>
      </c>
      <c r="B58" s="86" t="n">
        <f aca="false">+B26+1</f>
        <v>44718</v>
      </c>
      <c r="C58" s="87" t="n">
        <v>0.291666666666667</v>
      </c>
      <c r="D58" s="87" t="n">
        <v>0.708333333333333</v>
      </c>
      <c r="E58" s="88" t="n">
        <f aca="false">WEEKNUM(Planning2[[#This Row],[Date]],21)</f>
        <v>23</v>
      </c>
      <c r="F58" s="89" t="str">
        <f aca="false">VLOOKUP(A58,Annuaire_roster!B:C,2,0)</f>
        <v>Google Leads</v>
      </c>
      <c r="G58" s="83"/>
      <c r="H58" s="83"/>
    </row>
    <row r="59" customFormat="false" ht="14.25" hidden="true" customHeight="true" outlineLevel="0" collapsed="false">
      <c r="A59" s="86" t="s">
        <v>42</v>
      </c>
      <c r="B59" s="86" t="n">
        <f aca="false">+B27+1</f>
        <v>44718</v>
      </c>
      <c r="C59" s="87" t="n">
        <v>0.291666666666667</v>
      </c>
      <c r="D59" s="87" t="n">
        <v>0.708333333333333</v>
      </c>
      <c r="E59" s="88" t="n">
        <f aca="false">WEEKNUM(Planning2[[#This Row],[Date]],21)</f>
        <v>23</v>
      </c>
      <c r="F59" s="89" t="str">
        <f aca="false">VLOOKUP(A59,Annuaire_roster!B:C,2,0)</f>
        <v>Google Leads</v>
      </c>
      <c r="G59" s="83"/>
      <c r="H59" s="83"/>
    </row>
    <row r="60" customFormat="false" ht="14.25" hidden="true" customHeight="true" outlineLevel="0" collapsed="false">
      <c r="A60" s="86" t="s">
        <v>49</v>
      </c>
      <c r="B60" s="86" t="n">
        <f aca="false">+B28+1</f>
        <v>44718</v>
      </c>
      <c r="C60" s="87" t="n">
        <v>0.291666666666667</v>
      </c>
      <c r="D60" s="87" t="n">
        <v>0.708333333333333</v>
      </c>
      <c r="E60" s="88" t="n">
        <f aca="false">WEEKNUM(Planning2[[#This Row],[Date]],21)</f>
        <v>23</v>
      </c>
      <c r="F60" s="89" t="str">
        <f aca="false">VLOOKUP(A60,Annuaire_roster!B:C,2,0)</f>
        <v>Google Leads</v>
      </c>
      <c r="G60" s="83"/>
      <c r="H60" s="83"/>
    </row>
    <row r="61" customFormat="false" ht="14.25" hidden="true" customHeight="true" outlineLevel="0" collapsed="false">
      <c r="A61" s="86" t="s">
        <v>51</v>
      </c>
      <c r="B61" s="86" t="n">
        <f aca="false">+B29+1</f>
        <v>44718</v>
      </c>
      <c r="C61" s="87" t="n">
        <v>0.416666666666667</v>
      </c>
      <c r="D61" s="87" t="n">
        <v>0.833333333333333</v>
      </c>
      <c r="E61" s="88" t="n">
        <f aca="false">WEEKNUM(Planning2[[#This Row],[Date]],21)</f>
        <v>23</v>
      </c>
      <c r="F61" s="89" t="str">
        <f aca="false">VLOOKUP(A61,Annuaire_roster!B:C,2,0)</f>
        <v>Google Leads</v>
      </c>
      <c r="G61" s="83"/>
      <c r="H61" s="83"/>
    </row>
    <row r="62" customFormat="false" ht="14.25" hidden="true" customHeight="true" outlineLevel="0" collapsed="false">
      <c r="A62" s="86" t="s">
        <v>39</v>
      </c>
      <c r="B62" s="86" t="n">
        <f aca="false">+B30+1</f>
        <v>44718</v>
      </c>
      <c r="C62" s="87" t="n">
        <v>0.291666666666667</v>
      </c>
      <c r="D62" s="87" t="n">
        <v>0.708333333333333</v>
      </c>
      <c r="E62" s="88" t="n">
        <f aca="false">WEEKNUM(Planning2[[#This Row],[Date]],21)</f>
        <v>23</v>
      </c>
      <c r="F62" s="89" t="str">
        <f aca="false">VLOOKUP(A62,Annuaire_roster!B:C,2,0)</f>
        <v>Google Leads</v>
      </c>
      <c r="G62" s="83"/>
      <c r="H62" s="83"/>
    </row>
    <row r="63" customFormat="false" ht="14.25" hidden="true" customHeight="true" outlineLevel="0" collapsed="false">
      <c r="A63" s="86" t="s">
        <v>37</v>
      </c>
      <c r="B63" s="86" t="n">
        <f aca="false">+B31+1</f>
        <v>44718</v>
      </c>
      <c r="C63" s="87" t="n">
        <v>0.291666666666667</v>
      </c>
      <c r="D63" s="87" t="n">
        <v>0.708333333333333</v>
      </c>
      <c r="E63" s="88" t="n">
        <f aca="false">WEEKNUM(Planning2[[#This Row],[Date]],21)</f>
        <v>23</v>
      </c>
      <c r="F63" s="89" t="str">
        <f aca="false">VLOOKUP(A63,Annuaire_roster!B:C,2,0)</f>
        <v>Google Leads</v>
      </c>
      <c r="G63" s="83"/>
      <c r="H63" s="83"/>
    </row>
    <row r="64" customFormat="false" ht="14.25" hidden="true" customHeight="true" outlineLevel="0" collapsed="false">
      <c r="A64" s="86" t="s">
        <v>62</v>
      </c>
      <c r="B64" s="86" t="n">
        <f aca="false">+B32+1</f>
        <v>44718</v>
      </c>
      <c r="C64" s="87" t="s">
        <v>111</v>
      </c>
      <c r="D64" s="87" t="s">
        <v>111</v>
      </c>
      <c r="E64" s="88" t="n">
        <f aca="false">WEEKNUM(Planning2[[#This Row],[Date]],21)</f>
        <v>23</v>
      </c>
      <c r="F64" s="89" t="str">
        <f aca="false">VLOOKUP(A64,Annuaire_roster!B:C,2,0)</f>
        <v>Google Leads</v>
      </c>
      <c r="G64" s="83"/>
      <c r="H64" s="83"/>
    </row>
    <row r="65" customFormat="false" ht="14.25" hidden="true" customHeight="true" outlineLevel="0" collapsed="false">
      <c r="A65" s="95" t="s">
        <v>47</v>
      </c>
      <c r="B65" s="86" t="n">
        <f aca="false">+B33+1</f>
        <v>44718</v>
      </c>
      <c r="C65" s="87" t="n">
        <v>0.416666666666667</v>
      </c>
      <c r="D65" s="87" t="n">
        <v>0.833333333333333</v>
      </c>
      <c r="E65" s="88" t="n">
        <f aca="false">WEEKNUM(Planning2[[#This Row],[Date]],21)</f>
        <v>23</v>
      </c>
      <c r="F65" s="89" t="str">
        <f aca="false">VLOOKUP(A65,Annuaire_roster!B:C,2,0)</f>
        <v>Google Leads</v>
      </c>
      <c r="G65" s="83"/>
      <c r="H65" s="83"/>
    </row>
    <row r="66" customFormat="false" ht="14.25" hidden="true" customHeight="true" outlineLevel="0" collapsed="false">
      <c r="A66" s="86" t="s">
        <v>43</v>
      </c>
      <c r="B66" s="86" t="n">
        <f aca="false">+B34+1</f>
        <v>44719</v>
      </c>
      <c r="C66" s="87" t="s">
        <v>111</v>
      </c>
      <c r="D66" s="87" t="s">
        <v>111</v>
      </c>
      <c r="E66" s="88" t="n">
        <f aca="false">WEEKNUM(Planning2[[#This Row],[Date]],21)</f>
        <v>24</v>
      </c>
      <c r="F66" s="89" t="str">
        <f aca="false">VLOOKUP(A66,Annuaire_roster!B:C,2,0)</f>
        <v>Google Leads</v>
      </c>
      <c r="G66" s="83"/>
      <c r="H66" s="83"/>
    </row>
    <row r="67" customFormat="false" ht="14.25" hidden="true" customHeight="true" outlineLevel="0" collapsed="false">
      <c r="A67" s="86" t="s">
        <v>57</v>
      </c>
      <c r="B67" s="86" t="n">
        <f aca="false">+B35+1</f>
        <v>44719</v>
      </c>
      <c r="C67" s="87" t="s">
        <v>109</v>
      </c>
      <c r="D67" s="87" t="s">
        <v>109</v>
      </c>
      <c r="E67" s="88" t="n">
        <f aca="false">WEEKNUM(Planning2[[#This Row],[Date]],21)</f>
        <v>24</v>
      </c>
      <c r="F67" s="89" t="str">
        <f aca="false">VLOOKUP(A67,Annuaire_roster!B:C,2,0)</f>
        <v>Google Leads</v>
      </c>
      <c r="G67" s="83"/>
      <c r="H67" s="83"/>
    </row>
    <row r="68" customFormat="false" ht="14.25" hidden="true" customHeight="true" outlineLevel="0" collapsed="false">
      <c r="A68" s="86" t="s">
        <v>38</v>
      </c>
      <c r="B68" s="86" t="n">
        <f aca="false">+B36+1</f>
        <v>44719</v>
      </c>
      <c r="C68" s="87" t="s">
        <v>111</v>
      </c>
      <c r="D68" s="87" t="s">
        <v>111</v>
      </c>
      <c r="E68" s="88" t="n">
        <f aca="false">WEEKNUM(Planning2[[#This Row],[Date]],21)</f>
        <v>24</v>
      </c>
      <c r="F68" s="89" t="str">
        <f aca="false">VLOOKUP(A68,Annuaire_roster!B:C,2,0)</f>
        <v>Google Leads</v>
      </c>
      <c r="G68" s="83"/>
      <c r="H68" s="83"/>
    </row>
    <row r="69" customFormat="false" ht="14.25" hidden="true" customHeight="true" outlineLevel="0" collapsed="false">
      <c r="A69" s="86" t="s">
        <v>33</v>
      </c>
      <c r="B69" s="86" t="n">
        <f aca="false">+B37+1</f>
        <v>44719</v>
      </c>
      <c r="C69" s="87" t="n">
        <v>0.291666666666667</v>
      </c>
      <c r="D69" s="87" t="n">
        <v>0.708333333333333</v>
      </c>
      <c r="E69" s="88" t="n">
        <f aca="false">WEEKNUM(Planning2[[#This Row],[Date]],21)</f>
        <v>24</v>
      </c>
      <c r="F69" s="89" t="str">
        <f aca="false">VLOOKUP(A69,Annuaire_roster!B:C,2,0)</f>
        <v>Google Leads</v>
      </c>
      <c r="G69" s="83"/>
      <c r="H69" s="83"/>
    </row>
    <row r="70" customFormat="false" ht="14.25" hidden="true" customHeight="true" outlineLevel="0" collapsed="false">
      <c r="A70" s="86" t="s">
        <v>58</v>
      </c>
      <c r="B70" s="86" t="n">
        <f aca="false">+B38+1</f>
        <v>44719</v>
      </c>
      <c r="C70" s="87" t="n">
        <v>0.416666666666667</v>
      </c>
      <c r="D70" s="87" t="n">
        <v>0.833333333333333</v>
      </c>
      <c r="E70" s="88" t="n">
        <f aca="false">WEEKNUM(Planning2[[#This Row],[Date]],21)</f>
        <v>24</v>
      </c>
      <c r="F70" s="89" t="str">
        <f aca="false">VLOOKUP(A70,Annuaire_roster!B:C,2,0)</f>
        <v>Google Leads</v>
      </c>
      <c r="G70" s="83"/>
      <c r="H70" s="97"/>
    </row>
    <row r="71" customFormat="false" ht="14.25" hidden="true" customHeight="true" outlineLevel="0" collapsed="false">
      <c r="A71" s="86" t="s">
        <v>63</v>
      </c>
      <c r="B71" s="86" t="n">
        <f aca="false">+B39+1</f>
        <v>44719</v>
      </c>
      <c r="C71" s="87" t="n">
        <v>0.416666666666667</v>
      </c>
      <c r="D71" s="87" t="n">
        <v>0.833333333333333</v>
      </c>
      <c r="E71" s="88" t="n">
        <f aca="false">WEEKNUM(Planning2[[#This Row],[Date]],21)</f>
        <v>24</v>
      </c>
      <c r="F71" s="89" t="str">
        <f aca="false">VLOOKUP(A71,Annuaire_roster!B:C,2,0)</f>
        <v>Google Leads</v>
      </c>
      <c r="G71" s="83"/>
      <c r="H71" s="83"/>
    </row>
    <row r="72" customFormat="false" ht="14.25" hidden="true" customHeight="true" outlineLevel="0" collapsed="false">
      <c r="A72" s="86" t="s">
        <v>48</v>
      </c>
      <c r="B72" s="86" t="n">
        <f aca="false">+B40+1</f>
        <v>44719</v>
      </c>
      <c r="C72" s="87" t="n">
        <v>0.416666666666667</v>
      </c>
      <c r="D72" s="87" t="n">
        <v>0.833333333333333</v>
      </c>
      <c r="E72" s="88" t="n">
        <f aca="false">WEEKNUM(Planning2[[#This Row],[Date]],21)</f>
        <v>24</v>
      </c>
      <c r="F72" s="89" t="str">
        <f aca="false">VLOOKUP(A72,Annuaire_roster!B:C,2,0)</f>
        <v>Google Leads</v>
      </c>
      <c r="G72" s="83"/>
      <c r="H72" s="83"/>
    </row>
    <row r="73" customFormat="false" ht="14.25" hidden="true" customHeight="true" outlineLevel="0" collapsed="false">
      <c r="A73" s="86" t="s">
        <v>59</v>
      </c>
      <c r="B73" s="86" t="n">
        <f aca="false">+B41+1</f>
        <v>44719</v>
      </c>
      <c r="C73" s="87" t="n">
        <v>0.291666666666667</v>
      </c>
      <c r="D73" s="87" t="n">
        <v>0.708333333333333</v>
      </c>
      <c r="E73" s="88" t="n">
        <f aca="false">WEEKNUM(Planning2[[#This Row],[Date]],21)</f>
        <v>24</v>
      </c>
      <c r="F73" s="89" t="str">
        <f aca="false">VLOOKUP(A73,Annuaire_roster!B:C,2,0)</f>
        <v>Google Leads</v>
      </c>
      <c r="G73" s="83"/>
      <c r="H73" s="83"/>
    </row>
    <row r="74" customFormat="false" ht="14.25" hidden="true" customHeight="true" outlineLevel="0" collapsed="false">
      <c r="A74" s="86" t="s">
        <v>60</v>
      </c>
      <c r="B74" s="86" t="n">
        <f aca="false">+B42+1</f>
        <v>44719</v>
      </c>
      <c r="C74" s="87" t="n">
        <v>0.416666666666667</v>
      </c>
      <c r="D74" s="87" t="n">
        <v>0.833333333333333</v>
      </c>
      <c r="E74" s="88" t="n">
        <f aca="false">WEEKNUM(Planning2[[#This Row],[Date]],21)</f>
        <v>24</v>
      </c>
      <c r="F74" s="89" t="str">
        <f aca="false">VLOOKUP(A74,Annuaire_roster!B:C,2,0)</f>
        <v>Google Leads</v>
      </c>
      <c r="G74" s="83"/>
      <c r="H74" s="83"/>
    </row>
    <row r="75" customFormat="false" ht="14.25" hidden="true" customHeight="true" outlineLevel="0" collapsed="false">
      <c r="A75" s="86" t="s">
        <v>44</v>
      </c>
      <c r="B75" s="86" t="n">
        <f aca="false">+B43+1</f>
        <v>44719</v>
      </c>
      <c r="C75" s="87" t="s">
        <v>111</v>
      </c>
      <c r="D75" s="87" t="s">
        <v>111</v>
      </c>
      <c r="E75" s="88" t="n">
        <f aca="false">WEEKNUM(Planning2[[#This Row],[Date]],21)</f>
        <v>24</v>
      </c>
      <c r="F75" s="89" t="str">
        <f aca="false">VLOOKUP(A75,Annuaire_roster!B:C,2,0)</f>
        <v>Google Leads</v>
      </c>
      <c r="G75" s="83"/>
      <c r="H75" s="83"/>
    </row>
    <row r="76" customFormat="false" ht="14.25" hidden="true" customHeight="true" outlineLevel="0" collapsed="false">
      <c r="A76" s="86" t="s">
        <v>50</v>
      </c>
      <c r="B76" s="86" t="n">
        <f aca="false">+B44+1</f>
        <v>44719</v>
      </c>
      <c r="C76" s="87" t="n">
        <v>0.416666666666667</v>
      </c>
      <c r="D76" s="87" t="n">
        <v>0.833333333333333</v>
      </c>
      <c r="E76" s="88" t="n">
        <f aca="false">WEEKNUM(Planning2[[#This Row],[Date]],21)</f>
        <v>24</v>
      </c>
      <c r="F76" s="89" t="str">
        <f aca="false">VLOOKUP(A76,Annuaire_roster!B:C,2,0)</f>
        <v>Google Leads</v>
      </c>
      <c r="G76" s="83"/>
      <c r="H76" s="83"/>
    </row>
    <row r="77" customFormat="false" ht="14.25" hidden="true" customHeight="true" outlineLevel="0" collapsed="false">
      <c r="A77" s="86" t="s">
        <v>61</v>
      </c>
      <c r="B77" s="86" t="n">
        <f aca="false">+B45+1</f>
        <v>44719</v>
      </c>
      <c r="C77" s="87" t="n">
        <v>0.416666666666667</v>
      </c>
      <c r="D77" s="87" t="n">
        <v>0.833333333333333</v>
      </c>
      <c r="E77" s="88" t="n">
        <f aca="false">WEEKNUM(Planning2[[#This Row],[Date]],21)</f>
        <v>24</v>
      </c>
      <c r="F77" s="89" t="str">
        <f aca="false">VLOOKUP(A77,Annuaire_roster!B:C,2,0)</f>
        <v>Google Leads</v>
      </c>
      <c r="G77" s="83"/>
      <c r="H77" s="83"/>
    </row>
    <row r="78" customFormat="false" ht="14.25" hidden="true" customHeight="true" outlineLevel="0" collapsed="false">
      <c r="A78" s="86" t="s">
        <v>56</v>
      </c>
      <c r="B78" s="86" t="n">
        <f aca="false">+B46+1</f>
        <v>44719</v>
      </c>
      <c r="C78" s="87" t="s">
        <v>110</v>
      </c>
      <c r="D78" s="87" t="s">
        <v>110</v>
      </c>
      <c r="E78" s="88" t="n">
        <f aca="false">WEEKNUM(Planning2[[#This Row],[Date]],21)</f>
        <v>24</v>
      </c>
      <c r="F78" s="89" t="str">
        <f aca="false">VLOOKUP(A78,Annuaire_roster!B:C,2,0)</f>
        <v>Google Leads</v>
      </c>
      <c r="G78" s="83"/>
      <c r="H78" s="83"/>
    </row>
    <row r="79" customFormat="false" ht="14.25" hidden="true" customHeight="true" outlineLevel="0" collapsed="false">
      <c r="A79" s="86" t="s">
        <v>52</v>
      </c>
      <c r="B79" s="86" t="n">
        <f aca="false">+B47+1</f>
        <v>44719</v>
      </c>
      <c r="C79" s="87" t="n">
        <v>0.291666666666667</v>
      </c>
      <c r="D79" s="87" t="n">
        <v>0.666666666666667</v>
      </c>
      <c r="E79" s="88" t="n">
        <f aca="false">WEEKNUM(Planning2[[#This Row],[Date]],21)</f>
        <v>24</v>
      </c>
      <c r="F79" s="89" t="str">
        <f aca="false">VLOOKUP(A79,Annuaire_roster!B:C,2,0)</f>
        <v>Google Leads</v>
      </c>
      <c r="G79" s="83"/>
      <c r="H79" s="83"/>
    </row>
    <row r="80" customFormat="false" ht="14.25" hidden="true" customHeight="true" outlineLevel="0" collapsed="false">
      <c r="A80" s="86" t="s">
        <v>64</v>
      </c>
      <c r="B80" s="86" t="n">
        <f aca="false">+B48+1</f>
        <v>44719</v>
      </c>
      <c r="C80" s="87" t="n">
        <v>0.333333333333333</v>
      </c>
      <c r="D80" s="87" t="n">
        <v>0.75</v>
      </c>
      <c r="E80" s="88" t="n">
        <f aca="false">WEEKNUM(Planning2[[#This Row],[Date]],21)</f>
        <v>24</v>
      </c>
      <c r="F80" s="89" t="str">
        <f aca="false">VLOOKUP(A80,Annuaire_roster!B:C,2,0)</f>
        <v>Google Leads</v>
      </c>
      <c r="G80" s="83"/>
      <c r="H80" s="83"/>
    </row>
    <row r="81" customFormat="false" ht="14.25" hidden="false" customHeight="true" outlineLevel="0" collapsed="false">
      <c r="A81" s="86" t="s">
        <v>53</v>
      </c>
      <c r="B81" s="86" t="n">
        <f aca="false">+B49+1</f>
        <v>44719</v>
      </c>
      <c r="C81" s="87" t="s">
        <v>111</v>
      </c>
      <c r="D81" s="87" t="s">
        <v>111</v>
      </c>
      <c r="E81" s="88" t="n">
        <f aca="false">WEEKNUM(Planning2[[#This Row],[Date]],21)</f>
        <v>24</v>
      </c>
      <c r="F81" s="89" t="str">
        <f aca="false">VLOOKUP(A81,Annuaire_roster!B:C,2,0)</f>
        <v>Google Leads</v>
      </c>
      <c r="G81" s="83"/>
      <c r="H81" s="83"/>
    </row>
    <row r="82" customFormat="false" ht="14.25" hidden="true" customHeight="true" outlineLevel="0" collapsed="false">
      <c r="A82" s="86" t="s">
        <v>55</v>
      </c>
      <c r="B82" s="86" t="n">
        <f aca="false">+B50+1</f>
        <v>44719</v>
      </c>
      <c r="C82" s="87" t="n">
        <v>0.416666666666667</v>
      </c>
      <c r="D82" s="87" t="n">
        <v>0.833333333333333</v>
      </c>
      <c r="E82" s="88" t="n">
        <f aca="false">WEEKNUM(Planning2[[#This Row],[Date]],21)</f>
        <v>24</v>
      </c>
      <c r="F82" s="89" t="str">
        <f aca="false">VLOOKUP(A82,Annuaire_roster!B:C,2,0)</f>
        <v>Google Leads</v>
      </c>
      <c r="G82" s="83"/>
      <c r="H82" s="83"/>
    </row>
    <row r="83" customFormat="false" ht="14.25" hidden="true" customHeight="true" outlineLevel="0" collapsed="false">
      <c r="A83" s="86" t="s">
        <v>54</v>
      </c>
      <c r="B83" s="86" t="n">
        <f aca="false">+B51+1</f>
        <v>44719</v>
      </c>
      <c r="C83" s="87" t="n">
        <v>0.291666666666667</v>
      </c>
      <c r="D83" s="87" t="n">
        <v>0.708333333333333</v>
      </c>
      <c r="E83" s="88" t="n">
        <f aca="false">WEEKNUM(Planning2[[#This Row],[Date]],21)</f>
        <v>24</v>
      </c>
      <c r="F83" s="89" t="str">
        <f aca="false">VLOOKUP(A83,Annuaire_roster!B:C,2,0)</f>
        <v>Google Leads</v>
      </c>
      <c r="G83" s="83"/>
      <c r="H83" s="83"/>
    </row>
    <row r="84" customFormat="false" ht="14.25" hidden="true" customHeight="true" outlineLevel="0" collapsed="false">
      <c r="A84" s="86" t="s">
        <v>40</v>
      </c>
      <c r="B84" s="86" t="n">
        <f aca="false">+B52+1</f>
        <v>44719</v>
      </c>
      <c r="C84" s="87" t="n">
        <v>0.416666666666667</v>
      </c>
      <c r="D84" s="87" t="n">
        <v>0.833333333333333</v>
      </c>
      <c r="E84" s="88" t="n">
        <f aca="false">WEEKNUM(Planning2[[#This Row],[Date]],21)</f>
        <v>24</v>
      </c>
      <c r="F84" s="89" t="str">
        <f aca="false">VLOOKUP(A84,Annuaire_roster!B:C,2,0)</f>
        <v>Google Leads</v>
      </c>
      <c r="G84" s="83"/>
      <c r="H84" s="96"/>
    </row>
    <row r="85" customFormat="false" ht="14.25" hidden="true" customHeight="true" outlineLevel="0" collapsed="false">
      <c r="A85" s="86" t="s">
        <v>41</v>
      </c>
      <c r="B85" s="86" t="n">
        <f aca="false">+B53+1</f>
        <v>44719</v>
      </c>
      <c r="C85" s="87" t="s">
        <v>111</v>
      </c>
      <c r="D85" s="87" t="s">
        <v>111</v>
      </c>
      <c r="E85" s="88" t="n">
        <f aca="false">WEEKNUM(Planning2[[#This Row],[Date]],21)</f>
        <v>24</v>
      </c>
      <c r="F85" s="89" t="str">
        <f aca="false">VLOOKUP(A85,Annuaire_roster!B:C,2,0)</f>
        <v>Google Leads</v>
      </c>
      <c r="G85" s="83"/>
      <c r="H85" s="96"/>
    </row>
    <row r="86" customFormat="false" ht="14.25" hidden="true" customHeight="true" outlineLevel="0" collapsed="false">
      <c r="A86" s="86" t="s">
        <v>34</v>
      </c>
      <c r="B86" s="86" t="n">
        <f aca="false">+B54+1</f>
        <v>44719</v>
      </c>
      <c r="C86" s="87" t="s">
        <v>111</v>
      </c>
      <c r="D86" s="87" t="s">
        <v>111</v>
      </c>
      <c r="E86" s="88" t="n">
        <f aca="false">WEEKNUM(Planning2[[#This Row],[Date]],21)</f>
        <v>24</v>
      </c>
      <c r="F86" s="89" t="str">
        <f aca="false">VLOOKUP(A86,Annuaire_roster!B:C,2,0)</f>
        <v>Google Leads</v>
      </c>
      <c r="G86" s="83"/>
      <c r="H86" s="96"/>
    </row>
    <row r="87" customFormat="false" ht="14.25" hidden="true" customHeight="true" outlineLevel="0" collapsed="false">
      <c r="A87" s="86" t="s">
        <v>45</v>
      </c>
      <c r="B87" s="86" t="n">
        <f aca="false">+B55+1</f>
        <v>44719</v>
      </c>
      <c r="C87" s="87" t="n">
        <v>0.291666666666667</v>
      </c>
      <c r="D87" s="87" t="n">
        <v>0.708333333333333</v>
      </c>
      <c r="E87" s="88" t="n">
        <f aca="false">WEEKNUM(Planning2[[#This Row],[Date]],21)</f>
        <v>24</v>
      </c>
      <c r="F87" s="89" t="str">
        <f aca="false">VLOOKUP(A87,Annuaire_roster!B:C,2,0)</f>
        <v>Google Leads</v>
      </c>
      <c r="G87" s="83"/>
      <c r="H87" s="96"/>
    </row>
    <row r="88" customFormat="false" ht="14.25" hidden="true" customHeight="true" outlineLevel="0" collapsed="false">
      <c r="A88" s="86" t="s">
        <v>35</v>
      </c>
      <c r="B88" s="86" t="n">
        <f aca="false">+B56+1</f>
        <v>44719</v>
      </c>
      <c r="C88" s="87" t="n">
        <v>0.291666666666667</v>
      </c>
      <c r="D88" s="87" t="n">
        <v>0.708333333333333</v>
      </c>
      <c r="E88" s="88" t="n">
        <f aca="false">WEEKNUM(Planning2[[#This Row],[Date]],21)</f>
        <v>24</v>
      </c>
      <c r="F88" s="89" t="str">
        <f aca="false">VLOOKUP(A88,Annuaire_roster!B:C,2,0)</f>
        <v>Google Leads</v>
      </c>
      <c r="G88" s="83"/>
      <c r="H88" s="83"/>
    </row>
    <row r="89" customFormat="false" ht="14.25" hidden="true" customHeight="true" outlineLevel="0" collapsed="false">
      <c r="A89" s="86" t="s">
        <v>46</v>
      </c>
      <c r="B89" s="86" t="n">
        <f aca="false">+B57+1</f>
        <v>44719</v>
      </c>
      <c r="C89" s="87" t="n">
        <v>0.291666666666667</v>
      </c>
      <c r="D89" s="87" t="n">
        <v>0.708333333333333</v>
      </c>
      <c r="E89" s="88" t="n">
        <f aca="false">WEEKNUM(Planning2[[#This Row],[Date]],21)</f>
        <v>24</v>
      </c>
      <c r="F89" s="89" t="str">
        <f aca="false">VLOOKUP(A89,Annuaire_roster!B:C,2,0)</f>
        <v>Google Leads</v>
      </c>
      <c r="G89" s="83"/>
      <c r="H89" s="83"/>
    </row>
    <row r="90" customFormat="false" ht="14.25" hidden="true" customHeight="true" outlineLevel="0" collapsed="false">
      <c r="A90" s="86" t="s">
        <v>36</v>
      </c>
      <c r="B90" s="86" t="n">
        <f aca="false">+B58+1</f>
        <v>44719</v>
      </c>
      <c r="C90" s="87" t="n">
        <v>0.291666666666667</v>
      </c>
      <c r="D90" s="87" t="n">
        <v>0.666666666666667</v>
      </c>
      <c r="E90" s="88" t="n">
        <f aca="false">WEEKNUM(Planning2[[#This Row],[Date]],21)</f>
        <v>24</v>
      </c>
      <c r="F90" s="89" t="str">
        <f aca="false">VLOOKUP(A90,Annuaire_roster!B:C,2,0)</f>
        <v>Google Leads</v>
      </c>
      <c r="G90" s="83"/>
      <c r="H90" s="83"/>
    </row>
    <row r="91" customFormat="false" ht="14.25" hidden="true" customHeight="true" outlineLevel="0" collapsed="false">
      <c r="A91" s="86" t="s">
        <v>42</v>
      </c>
      <c r="B91" s="86" t="n">
        <f aca="false">+B59+1</f>
        <v>44719</v>
      </c>
      <c r="C91" s="87" t="n">
        <v>0.291666666666667</v>
      </c>
      <c r="D91" s="87" t="n">
        <v>0.708333333333333</v>
      </c>
      <c r="E91" s="88" t="n">
        <f aca="false">WEEKNUM(Planning2[[#This Row],[Date]],21)</f>
        <v>24</v>
      </c>
      <c r="F91" s="89" t="str">
        <f aca="false">VLOOKUP(A91,Annuaire_roster!B:C,2,0)</f>
        <v>Google Leads</v>
      </c>
      <c r="G91" s="83"/>
      <c r="H91" s="83"/>
    </row>
    <row r="92" customFormat="false" ht="14.25" hidden="true" customHeight="true" outlineLevel="0" collapsed="false">
      <c r="A92" s="86" t="s">
        <v>49</v>
      </c>
      <c r="B92" s="86" t="n">
        <f aca="false">+B60+1</f>
        <v>44719</v>
      </c>
      <c r="C92" s="87" t="n">
        <v>0.291666666666667</v>
      </c>
      <c r="D92" s="87" t="n">
        <v>0.708333333333333</v>
      </c>
      <c r="E92" s="88" t="n">
        <f aca="false">WEEKNUM(Planning2[[#This Row],[Date]],21)</f>
        <v>24</v>
      </c>
      <c r="F92" s="89" t="str">
        <f aca="false">VLOOKUP(A92,Annuaire_roster!B:C,2,0)</f>
        <v>Google Leads</v>
      </c>
      <c r="G92" s="83"/>
      <c r="H92" s="83"/>
    </row>
    <row r="93" customFormat="false" ht="14.25" hidden="true" customHeight="true" outlineLevel="0" collapsed="false">
      <c r="A93" s="86" t="s">
        <v>51</v>
      </c>
      <c r="B93" s="86" t="n">
        <f aca="false">+B61+1</f>
        <v>44719</v>
      </c>
      <c r="C93" s="87" t="n">
        <v>0.416666666666667</v>
      </c>
      <c r="D93" s="87" t="n">
        <v>0.833333333333333</v>
      </c>
      <c r="E93" s="88" t="n">
        <f aca="false">WEEKNUM(Planning2[[#This Row],[Date]],21)</f>
        <v>24</v>
      </c>
      <c r="F93" s="89" t="str">
        <f aca="false">VLOOKUP(A93,Annuaire_roster!B:C,2,0)</f>
        <v>Google Leads</v>
      </c>
      <c r="G93" s="83"/>
      <c r="H93" s="83"/>
    </row>
    <row r="94" customFormat="false" ht="14.25" hidden="true" customHeight="true" outlineLevel="0" collapsed="false">
      <c r="A94" s="86" t="s">
        <v>39</v>
      </c>
      <c r="B94" s="86" t="n">
        <f aca="false">+B62+1</f>
        <v>44719</v>
      </c>
      <c r="C94" s="87" t="n">
        <v>0.291666666666667</v>
      </c>
      <c r="D94" s="87" t="n">
        <v>0.708333333333333</v>
      </c>
      <c r="E94" s="88" t="n">
        <f aca="false">WEEKNUM(Planning2[[#This Row],[Date]],21)</f>
        <v>24</v>
      </c>
      <c r="F94" s="89" t="str">
        <f aca="false">VLOOKUP(A94,Annuaire_roster!B:C,2,0)</f>
        <v>Google Leads</v>
      </c>
      <c r="G94" s="83"/>
      <c r="H94" s="83"/>
    </row>
    <row r="95" customFormat="false" ht="14.25" hidden="true" customHeight="true" outlineLevel="0" collapsed="false">
      <c r="A95" s="86" t="s">
        <v>37</v>
      </c>
      <c r="B95" s="86" t="n">
        <f aca="false">+B63+1</f>
        <v>44719</v>
      </c>
      <c r="C95" s="87" t="n">
        <v>0.416666666666667</v>
      </c>
      <c r="D95" s="87" t="n">
        <v>0.833333333333333</v>
      </c>
      <c r="E95" s="88" t="n">
        <f aca="false">WEEKNUM(Planning2[[#This Row],[Date]],21)</f>
        <v>24</v>
      </c>
      <c r="F95" s="89" t="str">
        <f aca="false">VLOOKUP(A95,Annuaire_roster!B:C,2,0)</f>
        <v>Google Leads</v>
      </c>
      <c r="G95" s="83"/>
      <c r="H95" s="83"/>
    </row>
    <row r="96" customFormat="false" ht="14.25" hidden="true" customHeight="true" outlineLevel="0" collapsed="false">
      <c r="A96" s="86" t="s">
        <v>62</v>
      </c>
      <c r="B96" s="86" t="n">
        <f aca="false">+B64+1</f>
        <v>44719</v>
      </c>
      <c r="C96" s="87" t="n">
        <v>0.416666666666667</v>
      </c>
      <c r="D96" s="87" t="n">
        <v>0.833333333333333</v>
      </c>
      <c r="E96" s="88" t="n">
        <f aca="false">WEEKNUM(Planning2[[#This Row],[Date]],21)</f>
        <v>24</v>
      </c>
      <c r="F96" s="89" t="str">
        <f aca="false">VLOOKUP(A96,Annuaire_roster!B:C,2,0)</f>
        <v>Google Leads</v>
      </c>
      <c r="G96" s="83"/>
      <c r="H96" s="83"/>
    </row>
    <row r="97" customFormat="false" ht="14.25" hidden="true" customHeight="true" outlineLevel="0" collapsed="false">
      <c r="A97" s="95" t="s">
        <v>47</v>
      </c>
      <c r="B97" s="86" t="n">
        <f aca="false">+B65+1</f>
        <v>44719</v>
      </c>
      <c r="C97" s="87" t="n">
        <v>0.416666666666667</v>
      </c>
      <c r="D97" s="87" t="n">
        <v>0.833333333333333</v>
      </c>
      <c r="E97" s="88" t="n">
        <f aca="false">WEEKNUM(Planning2[[#This Row],[Date]],21)</f>
        <v>24</v>
      </c>
      <c r="F97" s="89" t="str">
        <f aca="false">VLOOKUP(A97,Annuaire_roster!B:C,2,0)</f>
        <v>Google Leads</v>
      </c>
      <c r="G97" s="83"/>
      <c r="H97" s="83"/>
    </row>
    <row r="98" customFormat="false" ht="14.25" hidden="true" customHeight="true" outlineLevel="0" collapsed="false">
      <c r="A98" s="86" t="s">
        <v>43</v>
      </c>
      <c r="B98" s="86" t="n">
        <f aca="false">+B66+1</f>
        <v>44720</v>
      </c>
      <c r="C98" s="87" t="s">
        <v>111</v>
      </c>
      <c r="D98" s="87" t="s">
        <v>111</v>
      </c>
      <c r="E98" s="88" t="n">
        <f aca="false">WEEKNUM(Planning2[[#This Row],[Date]],21)</f>
        <v>24</v>
      </c>
      <c r="F98" s="89" t="str">
        <f aca="false">VLOOKUP(A98,Annuaire_roster!B:C,2,0)</f>
        <v>Google Leads</v>
      </c>
      <c r="G98" s="83"/>
      <c r="H98" s="83"/>
    </row>
    <row r="99" customFormat="false" ht="14.25" hidden="true" customHeight="true" outlineLevel="0" collapsed="false">
      <c r="A99" s="86" t="s">
        <v>57</v>
      </c>
      <c r="B99" s="86" t="n">
        <f aca="false">+B67+1</f>
        <v>44720</v>
      </c>
      <c r="C99" s="87" t="s">
        <v>111</v>
      </c>
      <c r="D99" s="87" t="s">
        <v>111</v>
      </c>
      <c r="E99" s="88" t="n">
        <f aca="false">WEEKNUM(Planning2[[#This Row],[Date]],21)</f>
        <v>24</v>
      </c>
      <c r="F99" s="89" t="str">
        <f aca="false">VLOOKUP(A99,Annuaire_roster!B:C,2,0)</f>
        <v>Google Leads</v>
      </c>
      <c r="G99" s="83"/>
      <c r="H99" s="83"/>
    </row>
    <row r="100" customFormat="false" ht="15" hidden="true" customHeight="true" outlineLevel="0" collapsed="false">
      <c r="A100" s="86" t="s">
        <v>38</v>
      </c>
      <c r="B100" s="86" t="n">
        <f aca="false">+B68+1</f>
        <v>44720</v>
      </c>
      <c r="C100" s="87" t="n">
        <v>0.291666666666667</v>
      </c>
      <c r="D100" s="87" t="n">
        <v>0.708333333333333</v>
      </c>
      <c r="E100" s="88" t="n">
        <f aca="false">WEEKNUM(Planning2[[#This Row],[Date]],21)</f>
        <v>24</v>
      </c>
      <c r="F100" s="89" t="str">
        <f aca="false">VLOOKUP(A100,Annuaire_roster!B:C,2,0)</f>
        <v>Google Leads</v>
      </c>
      <c r="G100" s="83"/>
      <c r="H100" s="83"/>
    </row>
    <row r="101" customFormat="false" ht="15" hidden="true" customHeight="true" outlineLevel="0" collapsed="false">
      <c r="A101" s="86" t="s">
        <v>33</v>
      </c>
      <c r="B101" s="86" t="n">
        <f aca="false">+B69+1</f>
        <v>44720</v>
      </c>
      <c r="C101" s="87" t="n">
        <v>0.291666666666667</v>
      </c>
      <c r="D101" s="87" t="n">
        <v>0.708333333333333</v>
      </c>
      <c r="E101" s="88" t="n">
        <f aca="false">WEEKNUM(Planning2[[#This Row],[Date]],21)</f>
        <v>24</v>
      </c>
      <c r="F101" s="89" t="str">
        <f aca="false">VLOOKUP(A101,Annuaire_roster!B:C,2,0)</f>
        <v>Google Leads</v>
      </c>
      <c r="G101" s="83"/>
      <c r="H101" s="83"/>
    </row>
    <row r="102" customFormat="false" ht="15" hidden="true" customHeight="true" outlineLevel="0" collapsed="false">
      <c r="A102" s="86" t="s">
        <v>58</v>
      </c>
      <c r="B102" s="86" t="n">
        <f aca="false">+B70+1</f>
        <v>44720</v>
      </c>
      <c r="C102" s="87" t="n">
        <v>0.416666666666667</v>
      </c>
      <c r="D102" s="87" t="n">
        <v>0.833333333333333</v>
      </c>
      <c r="E102" s="88" t="n">
        <f aca="false">WEEKNUM(Planning2[[#This Row],[Date]],21)</f>
        <v>24</v>
      </c>
      <c r="F102" s="89" t="str">
        <f aca="false">VLOOKUP(A102,Annuaire_roster!B:C,2,0)</f>
        <v>Google Leads</v>
      </c>
      <c r="G102" s="83"/>
      <c r="H102" s="83"/>
    </row>
    <row r="103" customFormat="false" ht="15" hidden="true" customHeight="true" outlineLevel="0" collapsed="false">
      <c r="A103" s="86" t="s">
        <v>63</v>
      </c>
      <c r="B103" s="86" t="n">
        <f aca="false">+B71+1</f>
        <v>44720</v>
      </c>
      <c r="C103" s="87" t="n">
        <v>0.416666666666667</v>
      </c>
      <c r="D103" s="87" t="n">
        <v>0.833333333333333</v>
      </c>
      <c r="E103" s="88" t="n">
        <f aca="false">WEEKNUM(Planning2[[#This Row],[Date]],21)</f>
        <v>24</v>
      </c>
      <c r="F103" s="89" t="str">
        <f aca="false">VLOOKUP(A103,Annuaire_roster!B:C,2,0)</f>
        <v>Google Leads</v>
      </c>
      <c r="G103" s="83"/>
      <c r="H103" s="83"/>
    </row>
    <row r="104" customFormat="false" ht="15" hidden="true" customHeight="true" outlineLevel="0" collapsed="false">
      <c r="A104" s="86" t="s">
        <v>48</v>
      </c>
      <c r="B104" s="86" t="n">
        <f aca="false">+B72+1</f>
        <v>44720</v>
      </c>
      <c r="C104" s="87" t="s">
        <v>111</v>
      </c>
      <c r="D104" s="87" t="s">
        <v>111</v>
      </c>
      <c r="E104" s="88" t="n">
        <f aca="false">WEEKNUM(Planning2[[#This Row],[Date]],21)</f>
        <v>24</v>
      </c>
      <c r="F104" s="89" t="str">
        <f aca="false">VLOOKUP(A104,Annuaire_roster!B:C,2,0)</f>
        <v>Google Leads</v>
      </c>
      <c r="G104" s="83"/>
      <c r="H104" s="83"/>
    </row>
    <row r="105" customFormat="false" ht="15" hidden="true" customHeight="true" outlineLevel="0" collapsed="false">
      <c r="A105" s="86" t="s">
        <v>59</v>
      </c>
      <c r="B105" s="86" t="n">
        <f aca="false">+B73+1</f>
        <v>44720</v>
      </c>
      <c r="C105" s="87" t="n">
        <v>0.291666666666667</v>
      </c>
      <c r="D105" s="87" t="n">
        <v>0.708333333333333</v>
      </c>
      <c r="E105" s="88" t="n">
        <f aca="false">WEEKNUM(Planning2[[#This Row],[Date]],21)</f>
        <v>24</v>
      </c>
      <c r="F105" s="89" t="str">
        <f aca="false">VLOOKUP(A105,Annuaire_roster!B:C,2,0)</f>
        <v>Google Leads</v>
      </c>
      <c r="G105" s="83"/>
      <c r="H105" s="83"/>
    </row>
    <row r="106" customFormat="false" ht="15" hidden="true" customHeight="true" outlineLevel="0" collapsed="false">
      <c r="A106" s="86" t="s">
        <v>60</v>
      </c>
      <c r="B106" s="86" t="n">
        <f aca="false">+B74+1</f>
        <v>44720</v>
      </c>
      <c r="C106" s="87" t="n">
        <v>0.291666666666667</v>
      </c>
      <c r="D106" s="87" t="n">
        <v>0.708333333333333</v>
      </c>
      <c r="E106" s="88" t="n">
        <f aca="false">WEEKNUM(Planning2[[#This Row],[Date]],21)</f>
        <v>24</v>
      </c>
      <c r="F106" s="89" t="str">
        <f aca="false">VLOOKUP(A106,Annuaire_roster!B:C,2,0)</f>
        <v>Google Leads</v>
      </c>
      <c r="G106" s="83"/>
      <c r="H106" s="83"/>
    </row>
    <row r="107" customFormat="false" ht="15" hidden="true" customHeight="true" outlineLevel="0" collapsed="false">
      <c r="A107" s="86" t="s">
        <v>44</v>
      </c>
      <c r="B107" s="86" t="n">
        <f aca="false">+B75+1</f>
        <v>44720</v>
      </c>
      <c r="C107" s="87" t="s">
        <v>111</v>
      </c>
      <c r="D107" s="87" t="s">
        <v>111</v>
      </c>
      <c r="E107" s="88" t="n">
        <f aca="false">WEEKNUM(Planning2[[#This Row],[Date]],21)</f>
        <v>24</v>
      </c>
      <c r="F107" s="89" t="str">
        <f aca="false">VLOOKUP(A107,Annuaire_roster!B:C,2,0)</f>
        <v>Google Leads</v>
      </c>
      <c r="G107" s="83"/>
      <c r="H107" s="83"/>
    </row>
    <row r="108" customFormat="false" ht="15" hidden="true" customHeight="true" outlineLevel="0" collapsed="false">
      <c r="A108" s="86" t="s">
        <v>50</v>
      </c>
      <c r="B108" s="86" t="n">
        <f aca="false">+B76+1</f>
        <v>44720</v>
      </c>
      <c r="C108" s="87" t="n">
        <v>0.416666666666667</v>
      </c>
      <c r="D108" s="87" t="n">
        <v>0.833333333333333</v>
      </c>
      <c r="E108" s="88" t="n">
        <f aca="false">WEEKNUM(Planning2[[#This Row],[Date]],21)</f>
        <v>24</v>
      </c>
      <c r="F108" s="89" t="str">
        <f aca="false">VLOOKUP(A108,Annuaire_roster!B:C,2,0)</f>
        <v>Google Leads</v>
      </c>
      <c r="G108" s="83"/>
      <c r="H108" s="83"/>
    </row>
    <row r="109" customFormat="false" ht="15" hidden="true" customHeight="true" outlineLevel="0" collapsed="false">
      <c r="A109" s="86" t="s">
        <v>61</v>
      </c>
      <c r="B109" s="86" t="n">
        <f aca="false">+B77+1</f>
        <v>44720</v>
      </c>
      <c r="C109" s="87" t="n">
        <v>0.291666666666667</v>
      </c>
      <c r="D109" s="87" t="n">
        <v>0.708333333333333</v>
      </c>
      <c r="E109" s="88" t="n">
        <f aca="false">WEEKNUM(Planning2[[#This Row],[Date]],21)</f>
        <v>24</v>
      </c>
      <c r="F109" s="89" t="str">
        <f aca="false">VLOOKUP(A109,Annuaire_roster!B:C,2,0)</f>
        <v>Google Leads</v>
      </c>
      <c r="G109" s="83"/>
      <c r="H109" s="83"/>
    </row>
    <row r="110" customFormat="false" ht="15" hidden="true" customHeight="true" outlineLevel="0" collapsed="false">
      <c r="A110" s="86" t="s">
        <v>56</v>
      </c>
      <c r="B110" s="86" t="n">
        <f aca="false">+B78+1</f>
        <v>44720</v>
      </c>
      <c r="C110" s="87" t="s">
        <v>110</v>
      </c>
      <c r="D110" s="87" t="s">
        <v>110</v>
      </c>
      <c r="E110" s="88" t="n">
        <f aca="false">WEEKNUM(Planning2[[#This Row],[Date]],21)</f>
        <v>24</v>
      </c>
      <c r="F110" s="89" t="str">
        <f aca="false">VLOOKUP(A110,Annuaire_roster!B:C,2,0)</f>
        <v>Google Leads</v>
      </c>
      <c r="G110" s="83"/>
      <c r="H110" s="83"/>
    </row>
    <row r="111" customFormat="false" ht="15" hidden="true" customHeight="true" outlineLevel="0" collapsed="false">
      <c r="A111" s="86" t="s">
        <v>52</v>
      </c>
      <c r="B111" s="86" t="n">
        <f aca="false">+B79+1</f>
        <v>44720</v>
      </c>
      <c r="C111" s="87" t="s">
        <v>111</v>
      </c>
      <c r="D111" s="87" t="s">
        <v>111</v>
      </c>
      <c r="E111" s="88" t="n">
        <f aca="false">WEEKNUM(Planning2[[#This Row],[Date]],21)</f>
        <v>24</v>
      </c>
      <c r="F111" s="89" t="str">
        <f aca="false">VLOOKUP(A111,Annuaire_roster!B:C,2,0)</f>
        <v>Google Leads</v>
      </c>
      <c r="G111" s="83"/>
      <c r="H111" s="83"/>
    </row>
    <row r="112" customFormat="false" ht="15" hidden="true" customHeight="true" outlineLevel="0" collapsed="false">
      <c r="A112" s="86" t="s">
        <v>64</v>
      </c>
      <c r="B112" s="86" t="n">
        <f aca="false">+B80+1</f>
        <v>44720</v>
      </c>
      <c r="C112" s="87" t="n">
        <v>0.333333333333333</v>
      </c>
      <c r="D112" s="87" t="n">
        <v>0.75</v>
      </c>
      <c r="E112" s="88" t="n">
        <f aca="false">WEEKNUM(Planning2[[#This Row],[Date]],21)</f>
        <v>24</v>
      </c>
      <c r="F112" s="89" t="str">
        <f aca="false">VLOOKUP(A112,Annuaire_roster!B:C,2,0)</f>
        <v>Google Leads</v>
      </c>
      <c r="G112" s="83"/>
      <c r="H112" s="83"/>
    </row>
    <row r="113" customFormat="false" ht="15" hidden="false" customHeight="true" outlineLevel="0" collapsed="false">
      <c r="A113" s="86" t="s">
        <v>53</v>
      </c>
      <c r="B113" s="86" t="n">
        <f aca="false">+B81+1</f>
        <v>44720</v>
      </c>
      <c r="C113" s="87" t="s">
        <v>111</v>
      </c>
      <c r="D113" s="87" t="s">
        <v>111</v>
      </c>
      <c r="E113" s="88" t="n">
        <f aca="false">WEEKNUM(Planning2[[#This Row],[Date]],21)</f>
        <v>24</v>
      </c>
      <c r="F113" s="89" t="str">
        <f aca="false">VLOOKUP(A113,Annuaire_roster!B:C,2,0)</f>
        <v>Google Leads</v>
      </c>
      <c r="G113" s="83"/>
      <c r="H113" s="83"/>
    </row>
    <row r="114" customFormat="false" ht="15" hidden="true" customHeight="true" outlineLevel="0" collapsed="false">
      <c r="A114" s="86" t="s">
        <v>55</v>
      </c>
      <c r="B114" s="86" t="n">
        <f aca="false">+B82+1</f>
        <v>44720</v>
      </c>
      <c r="C114" s="87" t="n">
        <v>0.416666666666667</v>
      </c>
      <c r="D114" s="87" t="n">
        <v>0.833333333333333</v>
      </c>
      <c r="E114" s="88" t="n">
        <f aca="false">WEEKNUM(Planning2[[#This Row],[Date]],21)</f>
        <v>24</v>
      </c>
      <c r="F114" s="89" t="str">
        <f aca="false">VLOOKUP(A114,Annuaire_roster!B:C,2,0)</f>
        <v>Google Leads</v>
      </c>
      <c r="G114" s="83"/>
      <c r="H114" s="83"/>
    </row>
    <row r="115" customFormat="false" ht="15" hidden="true" customHeight="true" outlineLevel="0" collapsed="false">
      <c r="A115" s="86" t="s">
        <v>54</v>
      </c>
      <c r="B115" s="86" t="n">
        <f aca="false">+B83+1</f>
        <v>44720</v>
      </c>
      <c r="C115" s="87" t="s">
        <v>111</v>
      </c>
      <c r="D115" s="87" t="s">
        <v>111</v>
      </c>
      <c r="E115" s="88" t="n">
        <f aca="false">WEEKNUM(Planning2[[#This Row],[Date]],21)</f>
        <v>24</v>
      </c>
      <c r="F115" s="89" t="str">
        <f aca="false">VLOOKUP(A115,Annuaire_roster!B:C,2,0)</f>
        <v>Google Leads</v>
      </c>
      <c r="G115" s="83"/>
      <c r="H115" s="83"/>
    </row>
    <row r="116" customFormat="false" ht="15" hidden="true" customHeight="true" outlineLevel="0" collapsed="false">
      <c r="A116" s="86" t="s">
        <v>40</v>
      </c>
      <c r="B116" s="86" t="n">
        <f aca="false">+B84+1</f>
        <v>44720</v>
      </c>
      <c r="C116" s="87" t="n">
        <v>0.416666666666667</v>
      </c>
      <c r="D116" s="87" t="n">
        <v>0.833333333333333</v>
      </c>
      <c r="E116" s="88" t="n">
        <f aca="false">WEEKNUM(Planning2[[#This Row],[Date]],21)</f>
        <v>24</v>
      </c>
      <c r="F116" s="89" t="str">
        <f aca="false">VLOOKUP(A116,Annuaire_roster!B:C,2,0)</f>
        <v>Google Leads</v>
      </c>
      <c r="G116" s="83"/>
      <c r="H116" s="83"/>
    </row>
    <row r="117" customFormat="false" ht="15" hidden="true" customHeight="true" outlineLevel="0" collapsed="false">
      <c r="A117" s="86" t="s">
        <v>41</v>
      </c>
      <c r="B117" s="86" t="n">
        <f aca="false">+B85+1</f>
        <v>44720</v>
      </c>
      <c r="C117" s="87" t="n">
        <v>0.291666666666667</v>
      </c>
      <c r="D117" s="87" t="n">
        <v>0.708333333333333</v>
      </c>
      <c r="E117" s="88" t="n">
        <f aca="false">WEEKNUM(Planning2[[#This Row],[Date]],21)</f>
        <v>24</v>
      </c>
      <c r="F117" s="89" t="str">
        <f aca="false">VLOOKUP(A117,Annuaire_roster!B:C,2,0)</f>
        <v>Google Leads</v>
      </c>
      <c r="G117" s="83"/>
      <c r="H117" s="83"/>
    </row>
    <row r="118" customFormat="false" ht="15" hidden="true" customHeight="true" outlineLevel="0" collapsed="false">
      <c r="A118" s="86" t="s">
        <v>34</v>
      </c>
      <c r="B118" s="86" t="n">
        <f aca="false">+B86+1</f>
        <v>44720</v>
      </c>
      <c r="C118" s="87" t="n">
        <v>0.291666666666667</v>
      </c>
      <c r="D118" s="87" t="n">
        <v>0.708333333333333</v>
      </c>
      <c r="E118" s="88" t="n">
        <f aca="false">WEEKNUM(Planning2[[#This Row],[Date]],21)</f>
        <v>24</v>
      </c>
      <c r="F118" s="89" t="str">
        <f aca="false">VLOOKUP(A118,Annuaire_roster!B:C,2,0)</f>
        <v>Google Leads</v>
      </c>
      <c r="G118" s="83"/>
      <c r="H118" s="83"/>
    </row>
    <row r="119" customFormat="false" ht="15" hidden="true" customHeight="true" outlineLevel="0" collapsed="false">
      <c r="A119" s="86" t="s">
        <v>45</v>
      </c>
      <c r="B119" s="86" t="n">
        <f aca="false">+B87+1</f>
        <v>44720</v>
      </c>
      <c r="C119" s="87" t="n">
        <v>0.291666666666667</v>
      </c>
      <c r="D119" s="87" t="n">
        <v>0.708333333333333</v>
      </c>
      <c r="E119" s="88" t="n">
        <f aca="false">WEEKNUM(Planning2[[#This Row],[Date]],21)</f>
        <v>24</v>
      </c>
      <c r="F119" s="89" t="str">
        <f aca="false">VLOOKUP(A119,Annuaire_roster!B:C,2,0)</f>
        <v>Google Leads</v>
      </c>
      <c r="G119" s="83"/>
      <c r="H119" s="83"/>
    </row>
    <row r="120" customFormat="false" ht="15" hidden="true" customHeight="true" outlineLevel="0" collapsed="false">
      <c r="A120" s="86" t="s">
        <v>35</v>
      </c>
      <c r="B120" s="86" t="n">
        <f aca="false">+B88+1</f>
        <v>44720</v>
      </c>
      <c r="C120" s="87" t="n">
        <v>0.291666666666667</v>
      </c>
      <c r="D120" s="87" t="n">
        <v>0.708333333333333</v>
      </c>
      <c r="E120" s="88" t="n">
        <f aca="false">WEEKNUM(Planning2[[#This Row],[Date]],21)</f>
        <v>24</v>
      </c>
      <c r="F120" s="89" t="str">
        <f aca="false">VLOOKUP(A120,Annuaire_roster!B:C,2,0)</f>
        <v>Google Leads</v>
      </c>
      <c r="G120" s="83"/>
      <c r="H120" s="83"/>
    </row>
    <row r="121" customFormat="false" ht="15" hidden="true" customHeight="true" outlineLevel="0" collapsed="false">
      <c r="A121" s="86" t="s">
        <v>46</v>
      </c>
      <c r="B121" s="86" t="n">
        <f aca="false">+B89+1</f>
        <v>44720</v>
      </c>
      <c r="C121" s="87" t="n">
        <v>0.291666666666667</v>
      </c>
      <c r="D121" s="87" t="n">
        <v>0.708333333333333</v>
      </c>
      <c r="E121" s="88" t="n">
        <f aca="false">WEEKNUM(Planning2[[#This Row],[Date]],21)</f>
        <v>24</v>
      </c>
      <c r="F121" s="89" t="str">
        <f aca="false">VLOOKUP(A121,Annuaire_roster!B:C,2,0)</f>
        <v>Google Leads</v>
      </c>
      <c r="G121" s="83"/>
      <c r="H121" s="83"/>
    </row>
    <row r="122" customFormat="false" ht="15" hidden="true" customHeight="true" outlineLevel="0" collapsed="false">
      <c r="A122" s="86" t="s">
        <v>36</v>
      </c>
      <c r="B122" s="86" t="n">
        <f aca="false">+B90+1</f>
        <v>44720</v>
      </c>
      <c r="C122" s="87" t="n">
        <v>0.291666666666667</v>
      </c>
      <c r="D122" s="87" t="n">
        <v>0.708333333333333</v>
      </c>
      <c r="E122" s="88" t="n">
        <f aca="false">WEEKNUM(Planning2[[#This Row],[Date]],21)</f>
        <v>24</v>
      </c>
      <c r="F122" s="89" t="str">
        <f aca="false">VLOOKUP(A122,Annuaire_roster!B:C,2,0)</f>
        <v>Google Leads</v>
      </c>
      <c r="G122" s="83"/>
      <c r="H122" s="83"/>
    </row>
    <row r="123" customFormat="false" ht="15" hidden="true" customHeight="true" outlineLevel="0" collapsed="false">
      <c r="A123" s="86" t="s">
        <v>42</v>
      </c>
      <c r="B123" s="86" t="n">
        <f aca="false">+B91+1</f>
        <v>44720</v>
      </c>
      <c r="C123" s="87" t="s">
        <v>111</v>
      </c>
      <c r="D123" s="87" t="s">
        <v>111</v>
      </c>
      <c r="E123" s="88" t="n">
        <f aca="false">WEEKNUM(Planning2[[#This Row],[Date]],21)</f>
        <v>24</v>
      </c>
      <c r="F123" s="89" t="str">
        <f aca="false">VLOOKUP(A123,Annuaire_roster!B:C,2,0)</f>
        <v>Google Leads</v>
      </c>
      <c r="G123" s="83"/>
      <c r="H123" s="83"/>
    </row>
    <row r="124" customFormat="false" ht="15" hidden="true" customHeight="true" outlineLevel="0" collapsed="false">
      <c r="A124" s="86" t="s">
        <v>49</v>
      </c>
      <c r="B124" s="86" t="n">
        <f aca="false">+B92+1</f>
        <v>44720</v>
      </c>
      <c r="C124" s="87" t="n">
        <v>0.291666666666667</v>
      </c>
      <c r="D124" s="87" t="n">
        <v>0.708333333333333</v>
      </c>
      <c r="E124" s="88" t="n">
        <f aca="false">WEEKNUM(Planning2[[#This Row],[Date]],21)</f>
        <v>24</v>
      </c>
      <c r="F124" s="89" t="str">
        <f aca="false">VLOOKUP(A124,Annuaire_roster!B:C,2,0)</f>
        <v>Google Leads</v>
      </c>
      <c r="G124" s="83"/>
      <c r="H124" s="83"/>
    </row>
    <row r="125" customFormat="false" ht="15" hidden="true" customHeight="true" outlineLevel="0" collapsed="false">
      <c r="A125" s="86" t="s">
        <v>51</v>
      </c>
      <c r="B125" s="86" t="n">
        <f aca="false">+B93+1</f>
        <v>44720</v>
      </c>
      <c r="C125" s="87" t="n">
        <v>0.416666666666667</v>
      </c>
      <c r="D125" s="87" t="n">
        <v>0.833333333333333</v>
      </c>
      <c r="E125" s="88" t="n">
        <f aca="false">WEEKNUM(Planning2[[#This Row],[Date]],21)</f>
        <v>24</v>
      </c>
      <c r="F125" s="89" t="str">
        <f aca="false">VLOOKUP(A125,Annuaire_roster!B:C,2,0)</f>
        <v>Google Leads</v>
      </c>
      <c r="G125" s="83"/>
      <c r="H125" s="83"/>
    </row>
    <row r="126" customFormat="false" ht="15" hidden="true" customHeight="true" outlineLevel="0" collapsed="false">
      <c r="A126" s="86" t="s">
        <v>39</v>
      </c>
      <c r="B126" s="86" t="n">
        <f aca="false">+B94+1</f>
        <v>44720</v>
      </c>
      <c r="C126" s="87" t="n">
        <v>0.416666666666667</v>
      </c>
      <c r="D126" s="87" t="n">
        <v>0.833333333333333</v>
      </c>
      <c r="E126" s="88" t="n">
        <f aca="false">WEEKNUM(Planning2[[#This Row],[Date]],21)</f>
        <v>24</v>
      </c>
      <c r="F126" s="89" t="str">
        <f aca="false">VLOOKUP(A126,Annuaire_roster!B:C,2,0)</f>
        <v>Google Leads</v>
      </c>
      <c r="G126" s="83"/>
      <c r="H126" s="83"/>
    </row>
    <row r="127" customFormat="false" ht="15" hidden="true" customHeight="true" outlineLevel="0" collapsed="false">
      <c r="A127" s="86" t="s">
        <v>37</v>
      </c>
      <c r="B127" s="86" t="n">
        <f aca="false">+B95+1</f>
        <v>44720</v>
      </c>
      <c r="C127" s="87" t="s">
        <v>111</v>
      </c>
      <c r="D127" s="87" t="s">
        <v>111</v>
      </c>
      <c r="E127" s="88" t="n">
        <f aca="false">WEEKNUM(Planning2[[#This Row],[Date]],21)</f>
        <v>24</v>
      </c>
      <c r="F127" s="89" t="str">
        <f aca="false">VLOOKUP(A127,Annuaire_roster!B:C,2,0)</f>
        <v>Google Leads</v>
      </c>
      <c r="G127" s="83"/>
      <c r="H127" s="83"/>
    </row>
    <row r="128" customFormat="false" ht="15" hidden="true" customHeight="true" outlineLevel="0" collapsed="false">
      <c r="A128" s="86" t="s">
        <v>62</v>
      </c>
      <c r="B128" s="86" t="n">
        <f aca="false">+B96+1</f>
        <v>44720</v>
      </c>
      <c r="C128" s="87" t="n">
        <v>0.416666666666667</v>
      </c>
      <c r="D128" s="87" t="n">
        <v>0.833333333333333</v>
      </c>
      <c r="E128" s="88" t="n">
        <f aca="false">WEEKNUM(Planning2[[#This Row],[Date]],21)</f>
        <v>24</v>
      </c>
      <c r="F128" s="89" t="str">
        <f aca="false">VLOOKUP(A128,Annuaire_roster!B:C,2,0)</f>
        <v>Google Leads</v>
      </c>
      <c r="G128" s="83"/>
      <c r="H128" s="83"/>
    </row>
    <row r="129" customFormat="false" ht="15" hidden="true" customHeight="true" outlineLevel="0" collapsed="false">
      <c r="A129" s="95" t="s">
        <v>47</v>
      </c>
      <c r="B129" s="86" t="n">
        <f aca="false">+B97+1</f>
        <v>44720</v>
      </c>
      <c r="C129" s="87" t="n">
        <v>0.416666666666667</v>
      </c>
      <c r="D129" s="87" t="n">
        <v>0.833333333333333</v>
      </c>
      <c r="E129" s="88" t="n">
        <f aca="false">WEEKNUM(Planning2[[#This Row],[Date]],21)</f>
        <v>24</v>
      </c>
      <c r="F129" s="89" t="str">
        <f aca="false">VLOOKUP(A129,Annuaire_roster!B:C,2,0)</f>
        <v>Google Leads</v>
      </c>
      <c r="G129" s="83"/>
      <c r="H129" s="83"/>
    </row>
    <row r="130" customFormat="false" ht="15" hidden="true" customHeight="true" outlineLevel="0" collapsed="false">
      <c r="A130" s="86" t="s">
        <v>43</v>
      </c>
      <c r="B130" s="86" t="n">
        <f aca="false">+B98+1</f>
        <v>44721</v>
      </c>
      <c r="C130" s="87" t="n">
        <v>0.291666666666667</v>
      </c>
      <c r="D130" s="87" t="n">
        <v>0.708333333333333</v>
      </c>
      <c r="E130" s="88" t="n">
        <f aca="false">WEEKNUM(Planning2[[#This Row],[Date]],21)</f>
        <v>24</v>
      </c>
      <c r="F130" s="89" t="str">
        <f aca="false">VLOOKUP(A130,Annuaire_roster!B:C,2,0)</f>
        <v>Google Leads</v>
      </c>
      <c r="G130" s="83"/>
      <c r="H130" s="83"/>
    </row>
    <row r="131" customFormat="false" ht="15" hidden="true" customHeight="true" outlineLevel="0" collapsed="false">
      <c r="A131" s="86" t="s">
        <v>57</v>
      </c>
      <c r="B131" s="86" t="n">
        <f aca="false">+B99+1</f>
        <v>44721</v>
      </c>
      <c r="C131" s="87" t="n">
        <v>0.416666666666667</v>
      </c>
      <c r="D131" s="87" t="n">
        <v>0.833333333333333</v>
      </c>
      <c r="E131" s="88" t="n">
        <f aca="false">WEEKNUM(Planning2[[#This Row],[Date]],21)</f>
        <v>24</v>
      </c>
      <c r="F131" s="89" t="str">
        <f aca="false">VLOOKUP(A131,Annuaire_roster!B:C,2,0)</f>
        <v>Google Leads</v>
      </c>
      <c r="G131" s="83"/>
      <c r="H131" s="83"/>
    </row>
    <row r="132" customFormat="false" ht="15" hidden="true" customHeight="true" outlineLevel="0" collapsed="false">
      <c r="A132" s="86" t="s">
        <v>38</v>
      </c>
      <c r="B132" s="86" t="n">
        <f aca="false">+B100+1</f>
        <v>44721</v>
      </c>
      <c r="C132" s="87" t="n">
        <v>0.291666666666667</v>
      </c>
      <c r="D132" s="87" t="n">
        <v>0.708333333333333</v>
      </c>
      <c r="E132" s="88" t="n">
        <f aca="false">WEEKNUM(Planning2[[#This Row],[Date]],21)</f>
        <v>24</v>
      </c>
      <c r="F132" s="89" t="str">
        <f aca="false">VLOOKUP(A132,Annuaire_roster!B:C,2,0)</f>
        <v>Google Leads</v>
      </c>
      <c r="G132" s="83"/>
      <c r="H132" s="83"/>
    </row>
    <row r="133" customFormat="false" ht="15" hidden="true" customHeight="true" outlineLevel="0" collapsed="false">
      <c r="A133" s="86" t="s">
        <v>33</v>
      </c>
      <c r="B133" s="86" t="n">
        <f aca="false">+B101+1</f>
        <v>44721</v>
      </c>
      <c r="C133" s="87" t="n">
        <v>0.291666666666667</v>
      </c>
      <c r="D133" s="87" t="n">
        <v>0.708333333333333</v>
      </c>
      <c r="E133" s="88" t="n">
        <f aca="false">WEEKNUM(Planning2[[#This Row],[Date]],21)</f>
        <v>24</v>
      </c>
      <c r="F133" s="89" t="str">
        <f aca="false">VLOOKUP(A133,Annuaire_roster!B:C,2,0)</f>
        <v>Google Leads</v>
      </c>
      <c r="G133" s="83"/>
      <c r="H133" s="83"/>
    </row>
    <row r="134" customFormat="false" ht="15" hidden="true" customHeight="true" outlineLevel="0" collapsed="false">
      <c r="A134" s="86" t="s">
        <v>58</v>
      </c>
      <c r="B134" s="86" t="n">
        <f aca="false">+B102+1</f>
        <v>44721</v>
      </c>
      <c r="C134" s="87" t="n">
        <v>0.458333333333333</v>
      </c>
      <c r="D134" s="87" t="n">
        <v>0.833333333333333</v>
      </c>
      <c r="E134" s="88" t="n">
        <f aca="false">WEEKNUM(Planning2[[#This Row],[Date]],21)</f>
        <v>24</v>
      </c>
      <c r="F134" s="89" t="str">
        <f aca="false">VLOOKUP(A134,Annuaire_roster!B:C,2,0)</f>
        <v>Google Leads</v>
      </c>
      <c r="G134" s="83"/>
      <c r="H134" s="83"/>
    </row>
    <row r="135" customFormat="false" ht="15" hidden="true" customHeight="true" outlineLevel="0" collapsed="false">
      <c r="A135" s="86" t="s">
        <v>63</v>
      </c>
      <c r="B135" s="86" t="n">
        <f aca="false">+B103+1</f>
        <v>44721</v>
      </c>
      <c r="C135" s="87" t="n">
        <v>0.458333333333333</v>
      </c>
      <c r="D135" s="87" t="n">
        <v>0.833333333333333</v>
      </c>
      <c r="E135" s="88" t="n">
        <f aca="false">WEEKNUM(Planning2[[#This Row],[Date]],21)</f>
        <v>24</v>
      </c>
      <c r="F135" s="89" t="str">
        <f aca="false">VLOOKUP(A135,Annuaire_roster!B:C,2,0)</f>
        <v>Google Leads</v>
      </c>
      <c r="G135" s="83"/>
      <c r="H135" s="83"/>
    </row>
    <row r="136" customFormat="false" ht="15" hidden="true" customHeight="true" outlineLevel="0" collapsed="false">
      <c r="A136" s="86" t="s">
        <v>48</v>
      </c>
      <c r="B136" s="86" t="n">
        <f aca="false">+B104+1</f>
        <v>44721</v>
      </c>
      <c r="C136" s="87" t="n">
        <v>0.291666666666667</v>
      </c>
      <c r="D136" s="87" t="n">
        <v>0.708333333333333</v>
      </c>
      <c r="E136" s="88" t="n">
        <f aca="false">WEEKNUM(Planning2[[#This Row],[Date]],21)</f>
        <v>24</v>
      </c>
      <c r="F136" s="89" t="str">
        <f aca="false">VLOOKUP(A136,Annuaire_roster!B:C,2,0)</f>
        <v>Google Leads</v>
      </c>
      <c r="G136" s="83"/>
      <c r="H136" s="83"/>
    </row>
    <row r="137" customFormat="false" ht="15" hidden="true" customHeight="true" outlineLevel="0" collapsed="false">
      <c r="A137" s="86" t="s">
        <v>59</v>
      </c>
      <c r="B137" s="86" t="n">
        <f aca="false">+B105+1</f>
        <v>44721</v>
      </c>
      <c r="C137" s="87" t="n">
        <v>0.291666666666667</v>
      </c>
      <c r="D137" s="87" t="n">
        <v>0.708333333333333</v>
      </c>
      <c r="E137" s="88" t="n">
        <f aca="false">WEEKNUM(Planning2[[#This Row],[Date]],21)</f>
        <v>24</v>
      </c>
      <c r="F137" s="89" t="str">
        <f aca="false">VLOOKUP(A137,Annuaire_roster!B:C,2,0)</f>
        <v>Google Leads</v>
      </c>
      <c r="G137" s="83"/>
      <c r="H137" s="83"/>
    </row>
    <row r="138" customFormat="false" ht="15" hidden="true" customHeight="true" outlineLevel="0" collapsed="false">
      <c r="A138" s="86" t="s">
        <v>60</v>
      </c>
      <c r="B138" s="86" t="n">
        <f aca="false">+B106+1</f>
        <v>44721</v>
      </c>
      <c r="C138" s="87" t="n">
        <v>0.291666666666667</v>
      </c>
      <c r="D138" s="87" t="n">
        <v>0.708333333333333</v>
      </c>
      <c r="E138" s="88" t="n">
        <f aca="false">WEEKNUM(Planning2[[#This Row],[Date]],21)</f>
        <v>24</v>
      </c>
      <c r="F138" s="89" t="str">
        <f aca="false">VLOOKUP(A138,Annuaire_roster!B:C,2,0)</f>
        <v>Google Leads</v>
      </c>
      <c r="G138" s="83"/>
      <c r="H138" s="83"/>
    </row>
    <row r="139" customFormat="false" ht="15" hidden="true" customHeight="true" outlineLevel="0" collapsed="false">
      <c r="A139" s="86" t="s">
        <v>44</v>
      </c>
      <c r="B139" s="86" t="n">
        <f aca="false">+B107+1</f>
        <v>44721</v>
      </c>
      <c r="C139" s="87" t="n">
        <v>0.291666666666667</v>
      </c>
      <c r="D139" s="87" t="n">
        <v>0.708333333333333</v>
      </c>
      <c r="E139" s="88" t="n">
        <f aca="false">WEEKNUM(Planning2[[#This Row],[Date]],21)</f>
        <v>24</v>
      </c>
      <c r="F139" s="89" t="str">
        <f aca="false">VLOOKUP(A139,Annuaire_roster!B:C,2,0)</f>
        <v>Google Leads</v>
      </c>
      <c r="G139" s="83"/>
      <c r="H139" s="83"/>
    </row>
    <row r="140" customFormat="false" ht="15" hidden="true" customHeight="true" outlineLevel="0" collapsed="false">
      <c r="A140" s="86" t="s">
        <v>50</v>
      </c>
      <c r="B140" s="86" t="n">
        <f aca="false">+B108+1</f>
        <v>44721</v>
      </c>
      <c r="C140" s="87" t="n">
        <v>0.458333333333333</v>
      </c>
      <c r="D140" s="87" t="n">
        <v>0.833333333333333</v>
      </c>
      <c r="E140" s="88" t="n">
        <f aca="false">WEEKNUM(Planning2[[#This Row],[Date]],21)</f>
        <v>24</v>
      </c>
      <c r="F140" s="89" t="str">
        <f aca="false">VLOOKUP(A140,Annuaire_roster!B:C,2,0)</f>
        <v>Google Leads</v>
      </c>
      <c r="G140" s="83"/>
      <c r="H140" s="83"/>
    </row>
    <row r="141" customFormat="false" ht="15" hidden="true" customHeight="true" outlineLevel="0" collapsed="false">
      <c r="A141" s="86" t="s">
        <v>61</v>
      </c>
      <c r="B141" s="86" t="n">
        <f aca="false">+B109+1</f>
        <v>44721</v>
      </c>
      <c r="C141" s="87" t="s">
        <v>111</v>
      </c>
      <c r="D141" s="87" t="s">
        <v>111</v>
      </c>
      <c r="E141" s="88" t="n">
        <f aca="false">WEEKNUM(Planning2[[#This Row],[Date]],21)</f>
        <v>24</v>
      </c>
      <c r="F141" s="89" t="str">
        <f aca="false">VLOOKUP(A141,Annuaire_roster!B:C,2,0)</f>
        <v>Google Leads</v>
      </c>
      <c r="G141" s="83"/>
      <c r="H141" s="83"/>
    </row>
    <row r="142" customFormat="false" ht="15" hidden="true" customHeight="true" outlineLevel="0" collapsed="false">
      <c r="A142" s="86" t="s">
        <v>56</v>
      </c>
      <c r="B142" s="86" t="n">
        <f aca="false">+B110+1</f>
        <v>44721</v>
      </c>
      <c r="C142" s="87" t="s">
        <v>110</v>
      </c>
      <c r="D142" s="87" t="s">
        <v>110</v>
      </c>
      <c r="E142" s="88" t="n">
        <f aca="false">WEEKNUM(Planning2[[#This Row],[Date]],21)</f>
        <v>24</v>
      </c>
      <c r="F142" s="89" t="str">
        <f aca="false">VLOOKUP(A142,Annuaire_roster!B:C,2,0)</f>
        <v>Google Leads</v>
      </c>
      <c r="G142" s="83"/>
      <c r="H142" s="83"/>
    </row>
    <row r="143" customFormat="false" ht="15" hidden="true" customHeight="true" outlineLevel="0" collapsed="false">
      <c r="A143" s="86" t="s">
        <v>52</v>
      </c>
      <c r="B143" s="86" t="n">
        <f aca="false">+B111+1</f>
        <v>44721</v>
      </c>
      <c r="C143" s="87" t="s">
        <v>111</v>
      </c>
      <c r="D143" s="87" t="s">
        <v>111</v>
      </c>
      <c r="E143" s="88" t="n">
        <f aca="false">WEEKNUM(Planning2[[#This Row],[Date]],21)</f>
        <v>24</v>
      </c>
      <c r="F143" s="89" t="str">
        <f aca="false">VLOOKUP(A143,Annuaire_roster!B:C,2,0)</f>
        <v>Google Leads</v>
      </c>
      <c r="G143" s="83"/>
      <c r="H143" s="83"/>
    </row>
    <row r="144" customFormat="false" ht="15" hidden="true" customHeight="true" outlineLevel="0" collapsed="false">
      <c r="A144" s="86" t="s">
        <v>64</v>
      </c>
      <c r="B144" s="86" t="n">
        <f aca="false">+B112+1</f>
        <v>44721</v>
      </c>
      <c r="C144" s="87" t="n">
        <v>0.333333333333333</v>
      </c>
      <c r="D144" s="87" t="n">
        <v>0.708333333333333</v>
      </c>
      <c r="E144" s="88" t="n">
        <f aca="false">WEEKNUM(Planning2[[#This Row],[Date]],21)</f>
        <v>24</v>
      </c>
      <c r="F144" s="89" t="str">
        <f aca="false">VLOOKUP(A144,Annuaire_roster!B:C,2,0)</f>
        <v>Google Leads</v>
      </c>
      <c r="G144" s="83"/>
      <c r="H144" s="83"/>
    </row>
    <row r="145" customFormat="false" ht="15" hidden="false" customHeight="true" outlineLevel="0" collapsed="false">
      <c r="A145" s="86" t="s">
        <v>53</v>
      </c>
      <c r="B145" s="86" t="n">
        <f aca="false">+B113+1</f>
        <v>44721</v>
      </c>
      <c r="C145" s="87" t="n">
        <v>0.291666666666667</v>
      </c>
      <c r="D145" s="87" t="n">
        <v>0.708333333333333</v>
      </c>
      <c r="E145" s="88" t="n">
        <f aca="false">WEEKNUM(Planning2[[#This Row],[Date]],21)</f>
        <v>24</v>
      </c>
      <c r="F145" s="89" t="str">
        <f aca="false">VLOOKUP(A145,Annuaire_roster!B:C,2,0)</f>
        <v>Google Leads</v>
      </c>
      <c r="G145" s="83"/>
      <c r="H145" s="83"/>
    </row>
    <row r="146" customFormat="false" ht="15" hidden="true" customHeight="true" outlineLevel="0" collapsed="false">
      <c r="A146" s="86" t="s">
        <v>55</v>
      </c>
      <c r="B146" s="86" t="n">
        <f aca="false">+B114+1</f>
        <v>44721</v>
      </c>
      <c r="C146" s="87" t="s">
        <v>111</v>
      </c>
      <c r="D146" s="87" t="s">
        <v>111</v>
      </c>
      <c r="E146" s="88" t="n">
        <f aca="false">WEEKNUM(Planning2[[#This Row],[Date]],21)</f>
        <v>24</v>
      </c>
      <c r="F146" s="89" t="str">
        <f aca="false">VLOOKUP(A146,Annuaire_roster!B:C,2,0)</f>
        <v>Google Leads</v>
      </c>
      <c r="G146" s="83"/>
      <c r="H146" s="83"/>
    </row>
    <row r="147" customFormat="false" ht="15" hidden="true" customHeight="true" outlineLevel="0" collapsed="false">
      <c r="A147" s="86" t="s">
        <v>54</v>
      </c>
      <c r="B147" s="86" t="n">
        <f aca="false">+B115+1</f>
        <v>44721</v>
      </c>
      <c r="C147" s="87" t="n">
        <v>0.291666666666667</v>
      </c>
      <c r="D147" s="87" t="n">
        <v>0.708333333333333</v>
      </c>
      <c r="E147" s="88" t="n">
        <f aca="false">WEEKNUM(Planning2[[#This Row],[Date]],21)</f>
        <v>24</v>
      </c>
      <c r="F147" s="89" t="str">
        <f aca="false">VLOOKUP(A147,Annuaire_roster!B:C,2,0)</f>
        <v>Google Leads</v>
      </c>
      <c r="G147" s="83"/>
      <c r="H147" s="83"/>
    </row>
    <row r="148" customFormat="false" ht="15" hidden="true" customHeight="true" outlineLevel="0" collapsed="false">
      <c r="A148" s="86" t="s">
        <v>40</v>
      </c>
      <c r="B148" s="86" t="n">
        <f aca="false">+B116+1</f>
        <v>44721</v>
      </c>
      <c r="C148" s="87" t="n">
        <v>0.458333333333333</v>
      </c>
      <c r="D148" s="87" t="n">
        <v>0.833333333333333</v>
      </c>
      <c r="E148" s="88" t="n">
        <f aca="false">WEEKNUM(Planning2[[#This Row],[Date]],21)</f>
        <v>24</v>
      </c>
      <c r="F148" s="89" t="str">
        <f aca="false">VLOOKUP(A148,Annuaire_roster!B:C,2,0)</f>
        <v>Google Leads</v>
      </c>
      <c r="G148" s="83"/>
      <c r="H148" s="83"/>
    </row>
    <row r="149" customFormat="false" ht="15" hidden="true" customHeight="true" outlineLevel="0" collapsed="false">
      <c r="A149" s="86" t="s">
        <v>41</v>
      </c>
      <c r="B149" s="86" t="n">
        <f aca="false">+B117+1</f>
        <v>44721</v>
      </c>
      <c r="C149" s="87" t="n">
        <v>0.291666666666667</v>
      </c>
      <c r="D149" s="87" t="n">
        <v>0.708333333333333</v>
      </c>
      <c r="E149" s="88" t="n">
        <f aca="false">WEEKNUM(Planning2[[#This Row],[Date]],21)</f>
        <v>24</v>
      </c>
      <c r="F149" s="89" t="str">
        <f aca="false">VLOOKUP(A149,Annuaire_roster!B:C,2,0)</f>
        <v>Google Leads</v>
      </c>
      <c r="G149" s="83"/>
      <c r="H149" s="83"/>
    </row>
    <row r="150" customFormat="false" ht="15" hidden="true" customHeight="true" outlineLevel="0" collapsed="false">
      <c r="A150" s="86" t="s">
        <v>34</v>
      </c>
      <c r="B150" s="86" t="n">
        <f aca="false">+B118+1</f>
        <v>44721</v>
      </c>
      <c r="C150" s="87" t="n">
        <v>0.291666666666667</v>
      </c>
      <c r="D150" s="87" t="n">
        <v>0.708333333333333</v>
      </c>
      <c r="E150" s="88" t="n">
        <f aca="false">WEEKNUM(Planning2[[#This Row],[Date]],21)</f>
        <v>24</v>
      </c>
      <c r="F150" s="89" t="str">
        <f aca="false">VLOOKUP(A150,Annuaire_roster!B:C,2,0)</f>
        <v>Google Leads</v>
      </c>
      <c r="G150" s="83"/>
      <c r="H150" s="83"/>
    </row>
    <row r="151" customFormat="false" ht="15" hidden="true" customHeight="true" outlineLevel="0" collapsed="false">
      <c r="A151" s="86" t="s">
        <v>45</v>
      </c>
      <c r="B151" s="86" t="n">
        <f aca="false">+B119+1</f>
        <v>44721</v>
      </c>
      <c r="C151" s="87" t="n">
        <v>0.458333333333333</v>
      </c>
      <c r="D151" s="87" t="n">
        <v>0.833333333333333</v>
      </c>
      <c r="E151" s="88" t="n">
        <f aca="false">WEEKNUM(Planning2[[#This Row],[Date]],21)</f>
        <v>24</v>
      </c>
      <c r="F151" s="89" t="str">
        <f aca="false">VLOOKUP(A151,Annuaire_roster!B:C,2,0)</f>
        <v>Google Leads</v>
      </c>
      <c r="G151" s="83"/>
      <c r="H151" s="83"/>
    </row>
    <row r="152" customFormat="false" ht="15" hidden="true" customHeight="true" outlineLevel="0" collapsed="false">
      <c r="A152" s="86" t="s">
        <v>35</v>
      </c>
      <c r="B152" s="86" t="n">
        <f aca="false">+B120+1</f>
        <v>44721</v>
      </c>
      <c r="C152" s="87" t="n">
        <v>0.291666666666667</v>
      </c>
      <c r="D152" s="87" t="n">
        <v>0.708333333333333</v>
      </c>
      <c r="E152" s="88" t="n">
        <f aca="false">WEEKNUM(Planning2[[#This Row],[Date]],21)</f>
        <v>24</v>
      </c>
      <c r="F152" s="89" t="str">
        <f aca="false">VLOOKUP(A152,Annuaire_roster!B:C,2,0)</f>
        <v>Google Leads</v>
      </c>
      <c r="G152" s="83"/>
      <c r="H152" s="83"/>
    </row>
    <row r="153" customFormat="false" ht="15" hidden="true" customHeight="true" outlineLevel="0" collapsed="false">
      <c r="A153" s="86" t="s">
        <v>46</v>
      </c>
      <c r="B153" s="86" t="n">
        <f aca="false">+B121+1</f>
        <v>44721</v>
      </c>
      <c r="C153" s="87" t="n">
        <v>0.291666666666667</v>
      </c>
      <c r="D153" s="87" t="n">
        <v>0.666666666666667</v>
      </c>
      <c r="E153" s="88" t="n">
        <f aca="false">WEEKNUM(Planning2[[#This Row],[Date]],21)</f>
        <v>24</v>
      </c>
      <c r="F153" s="89" t="str">
        <f aca="false">VLOOKUP(A153,Annuaire_roster!B:C,2,0)</f>
        <v>Google Leads</v>
      </c>
      <c r="G153" s="83"/>
      <c r="H153" s="83"/>
    </row>
    <row r="154" customFormat="false" ht="15" hidden="true" customHeight="true" outlineLevel="0" collapsed="false">
      <c r="A154" s="86" t="s">
        <v>36</v>
      </c>
      <c r="B154" s="86" t="n">
        <f aca="false">+B122+1</f>
        <v>44721</v>
      </c>
      <c r="C154" s="87" t="n">
        <v>0.291666666666667</v>
      </c>
      <c r="D154" s="87" t="n">
        <v>0.708333333333333</v>
      </c>
      <c r="E154" s="88" t="n">
        <f aca="false">WEEKNUM(Planning2[[#This Row],[Date]],21)</f>
        <v>24</v>
      </c>
      <c r="F154" s="89" t="str">
        <f aca="false">VLOOKUP(A154,Annuaire_roster!B:C,2,0)</f>
        <v>Google Leads</v>
      </c>
      <c r="G154" s="83"/>
      <c r="H154" s="83"/>
    </row>
    <row r="155" customFormat="false" ht="15" hidden="true" customHeight="true" outlineLevel="0" collapsed="false">
      <c r="A155" s="86" t="s">
        <v>42</v>
      </c>
      <c r="B155" s="86" t="n">
        <f aca="false">+B123+1</f>
        <v>44721</v>
      </c>
      <c r="C155" s="87" t="s">
        <v>111</v>
      </c>
      <c r="D155" s="87" t="s">
        <v>111</v>
      </c>
      <c r="E155" s="88" t="n">
        <f aca="false">WEEKNUM(Planning2[[#This Row],[Date]],21)</f>
        <v>24</v>
      </c>
      <c r="F155" s="89" t="str">
        <f aca="false">VLOOKUP(A155,Annuaire_roster!B:C,2,0)</f>
        <v>Google Leads</v>
      </c>
      <c r="G155" s="83"/>
      <c r="H155" s="83"/>
    </row>
    <row r="156" customFormat="false" ht="15" hidden="true" customHeight="true" outlineLevel="0" collapsed="false">
      <c r="A156" s="86" t="s">
        <v>49</v>
      </c>
      <c r="B156" s="86" t="n">
        <f aca="false">+B124+1</f>
        <v>44721</v>
      </c>
      <c r="C156" s="87" t="n">
        <v>0.458333333333333</v>
      </c>
      <c r="D156" s="87" t="n">
        <v>0.833333333333333</v>
      </c>
      <c r="E156" s="88" t="n">
        <f aca="false">WEEKNUM(Planning2[[#This Row],[Date]],21)</f>
        <v>24</v>
      </c>
      <c r="F156" s="89" t="str">
        <f aca="false">VLOOKUP(A156,Annuaire_roster!B:C,2,0)</f>
        <v>Google Leads</v>
      </c>
      <c r="G156" s="83"/>
      <c r="H156" s="83"/>
    </row>
    <row r="157" customFormat="false" ht="15" hidden="true" customHeight="true" outlineLevel="0" collapsed="false">
      <c r="A157" s="86" t="s">
        <v>51</v>
      </c>
      <c r="B157" s="86" t="n">
        <f aca="false">+B125+1</f>
        <v>44721</v>
      </c>
      <c r="C157" s="87" t="s">
        <v>111</v>
      </c>
      <c r="D157" s="87" t="s">
        <v>111</v>
      </c>
      <c r="E157" s="88" t="n">
        <f aca="false">WEEKNUM(Planning2[[#This Row],[Date]],21)</f>
        <v>24</v>
      </c>
      <c r="F157" s="89" t="str">
        <f aca="false">VLOOKUP(A157,Annuaire_roster!B:C,2,0)</f>
        <v>Google Leads</v>
      </c>
      <c r="G157" s="83"/>
      <c r="H157" s="83"/>
    </row>
    <row r="158" customFormat="false" ht="15" hidden="true" customHeight="true" outlineLevel="0" collapsed="false">
      <c r="A158" s="86" t="s">
        <v>39</v>
      </c>
      <c r="B158" s="86" t="n">
        <f aca="false">+B126+1</f>
        <v>44721</v>
      </c>
      <c r="C158" s="87" t="n">
        <v>0.458333333333333</v>
      </c>
      <c r="D158" s="87" t="n">
        <v>0.833333333333333</v>
      </c>
      <c r="E158" s="88" t="n">
        <f aca="false">WEEKNUM(Planning2[[#This Row],[Date]],21)</f>
        <v>24</v>
      </c>
      <c r="F158" s="89" t="str">
        <f aca="false">VLOOKUP(A158,Annuaire_roster!B:C,2,0)</f>
        <v>Google Leads</v>
      </c>
      <c r="G158" s="83"/>
      <c r="H158" s="83"/>
    </row>
    <row r="159" customFormat="false" ht="15" hidden="true" customHeight="true" outlineLevel="0" collapsed="false">
      <c r="A159" s="86" t="s">
        <v>37</v>
      </c>
      <c r="B159" s="86" t="n">
        <f aca="false">+B127+1</f>
        <v>44721</v>
      </c>
      <c r="C159" s="87" t="s">
        <v>111</v>
      </c>
      <c r="D159" s="87" t="s">
        <v>111</v>
      </c>
      <c r="E159" s="88" t="n">
        <f aca="false">WEEKNUM(Planning2[[#This Row],[Date]],21)</f>
        <v>24</v>
      </c>
      <c r="F159" s="89" t="str">
        <f aca="false">VLOOKUP(A159,Annuaire_roster!B:C,2,0)</f>
        <v>Google Leads</v>
      </c>
      <c r="G159" s="83"/>
      <c r="H159" s="83"/>
    </row>
    <row r="160" customFormat="false" ht="15" hidden="true" customHeight="true" outlineLevel="0" collapsed="false">
      <c r="A160" s="86" t="s">
        <v>62</v>
      </c>
      <c r="B160" s="86" t="n">
        <f aca="false">+B128+1</f>
        <v>44721</v>
      </c>
      <c r="C160" s="87" t="n">
        <v>0.458333333333333</v>
      </c>
      <c r="D160" s="87" t="n">
        <v>0.833333333333333</v>
      </c>
      <c r="E160" s="88" t="n">
        <f aca="false">WEEKNUM(Planning2[[#This Row],[Date]],21)</f>
        <v>24</v>
      </c>
      <c r="F160" s="89" t="str">
        <f aca="false">VLOOKUP(A160,Annuaire_roster!B:C,2,0)</f>
        <v>Google Leads</v>
      </c>
      <c r="G160" s="83"/>
      <c r="H160" s="83"/>
    </row>
    <row r="161" customFormat="false" ht="15" hidden="true" customHeight="true" outlineLevel="0" collapsed="false">
      <c r="A161" s="95" t="s">
        <v>47</v>
      </c>
      <c r="B161" s="86" t="n">
        <f aca="false">+B129+1</f>
        <v>44721</v>
      </c>
      <c r="C161" s="87" t="n">
        <v>0.458333333333333</v>
      </c>
      <c r="D161" s="87" t="n">
        <v>0.833333333333333</v>
      </c>
      <c r="E161" s="88" t="n">
        <f aca="false">WEEKNUM(Planning2[[#This Row],[Date]],21)</f>
        <v>24</v>
      </c>
      <c r="F161" s="89" t="str">
        <f aca="false">VLOOKUP(A161,Annuaire_roster!B:C,2,0)</f>
        <v>Google Leads</v>
      </c>
      <c r="G161" s="83"/>
      <c r="H161" s="83"/>
    </row>
    <row r="162" customFormat="false" ht="15" hidden="true" customHeight="true" outlineLevel="0" collapsed="false">
      <c r="A162" s="86" t="s">
        <v>43</v>
      </c>
      <c r="B162" s="86" t="n">
        <f aca="false">+B130+1</f>
        <v>44722</v>
      </c>
      <c r="C162" s="87" t="n">
        <v>0.291666666666667</v>
      </c>
      <c r="D162" s="87" t="n">
        <v>0.666666666666667</v>
      </c>
      <c r="E162" s="88" t="n">
        <f aca="false">WEEKNUM(Planning2[[#This Row],[Date]],21)</f>
        <v>24</v>
      </c>
      <c r="F162" s="89" t="str">
        <f aca="false">VLOOKUP(A162,Annuaire_roster!B:C,2,0)</f>
        <v>Google Leads</v>
      </c>
      <c r="G162" s="83"/>
      <c r="H162" s="83"/>
    </row>
    <row r="163" customFormat="false" ht="15" hidden="true" customHeight="true" outlineLevel="0" collapsed="false">
      <c r="A163" s="86" t="s">
        <v>57</v>
      </c>
      <c r="B163" s="86" t="n">
        <f aca="false">+B131+1</f>
        <v>44722</v>
      </c>
      <c r="C163" s="87" t="n">
        <v>0.416666666666667</v>
      </c>
      <c r="D163" s="87" t="n">
        <v>0.833333333333333</v>
      </c>
      <c r="E163" s="88" t="n">
        <f aca="false">WEEKNUM(Planning2[[#This Row],[Date]],21)</f>
        <v>24</v>
      </c>
      <c r="F163" s="89" t="str">
        <f aca="false">VLOOKUP(A163,Annuaire_roster!B:C,2,0)</f>
        <v>Google Leads</v>
      </c>
      <c r="G163" s="83"/>
      <c r="H163" s="83"/>
    </row>
    <row r="164" customFormat="false" ht="15" hidden="true" customHeight="true" outlineLevel="0" collapsed="false">
      <c r="A164" s="86" t="s">
        <v>38</v>
      </c>
      <c r="B164" s="86" t="n">
        <f aca="false">+B132+1</f>
        <v>44722</v>
      </c>
      <c r="C164" s="87" t="n">
        <v>0.291666666666667</v>
      </c>
      <c r="D164" s="87" t="n">
        <v>0.666666666666667</v>
      </c>
      <c r="E164" s="88" t="n">
        <f aca="false">WEEKNUM(Planning2[[#This Row],[Date]],21)</f>
        <v>24</v>
      </c>
      <c r="F164" s="89" t="str">
        <f aca="false">VLOOKUP(A164,Annuaire_roster!B:C,2,0)</f>
        <v>Google Leads</v>
      </c>
      <c r="G164" s="83"/>
      <c r="H164" s="83"/>
    </row>
    <row r="165" customFormat="false" ht="15" hidden="true" customHeight="true" outlineLevel="0" collapsed="false">
      <c r="A165" s="86" t="s">
        <v>33</v>
      </c>
      <c r="B165" s="86" t="n">
        <f aca="false">+B133+1</f>
        <v>44722</v>
      </c>
      <c r="C165" s="87" t="s">
        <v>111</v>
      </c>
      <c r="D165" s="87" t="s">
        <v>111</v>
      </c>
      <c r="E165" s="88" t="n">
        <f aca="false">WEEKNUM(Planning2[[#This Row],[Date]],21)</f>
        <v>24</v>
      </c>
      <c r="F165" s="89" t="str">
        <f aca="false">VLOOKUP(A165,Annuaire_roster!B:C,2,0)</f>
        <v>Google Leads</v>
      </c>
      <c r="G165" s="83"/>
      <c r="H165" s="83"/>
    </row>
    <row r="166" customFormat="false" ht="15" hidden="true" customHeight="true" outlineLevel="0" collapsed="false">
      <c r="A166" s="86" t="s">
        <v>58</v>
      </c>
      <c r="B166" s="86" t="n">
        <f aca="false">+B134+1</f>
        <v>44722</v>
      </c>
      <c r="C166" s="87" t="n">
        <v>0.416666666666667</v>
      </c>
      <c r="D166" s="87" t="n">
        <v>0.833333333333333</v>
      </c>
      <c r="E166" s="88" t="n">
        <f aca="false">WEEKNUM(Planning2[[#This Row],[Date]],21)</f>
        <v>24</v>
      </c>
      <c r="F166" s="89" t="str">
        <f aca="false">VLOOKUP(A166,Annuaire_roster!B:C,2,0)</f>
        <v>Google Leads</v>
      </c>
      <c r="G166" s="83"/>
      <c r="H166" s="83"/>
    </row>
    <row r="167" customFormat="false" ht="15" hidden="true" customHeight="true" outlineLevel="0" collapsed="false">
      <c r="A167" s="86" t="s">
        <v>63</v>
      </c>
      <c r="B167" s="86" t="n">
        <f aca="false">+B135+1</f>
        <v>44722</v>
      </c>
      <c r="C167" s="87" t="n">
        <v>0.416666666666667</v>
      </c>
      <c r="D167" s="87" t="n">
        <v>0.833333333333333</v>
      </c>
      <c r="E167" s="88" t="n">
        <f aca="false">WEEKNUM(Planning2[[#This Row],[Date]],21)</f>
        <v>24</v>
      </c>
      <c r="F167" s="89" t="str">
        <f aca="false">VLOOKUP(A167,Annuaire_roster!B:C,2,0)</f>
        <v>Google Leads</v>
      </c>
      <c r="G167" s="83"/>
      <c r="H167" s="83"/>
    </row>
    <row r="168" customFormat="false" ht="15" hidden="true" customHeight="true" outlineLevel="0" collapsed="false">
      <c r="A168" s="86" t="s">
        <v>48</v>
      </c>
      <c r="B168" s="86" t="n">
        <f aca="false">+B136+1</f>
        <v>44722</v>
      </c>
      <c r="C168" s="87" t="n">
        <v>0.291666666666667</v>
      </c>
      <c r="D168" s="87" t="n">
        <v>0.666666666666667</v>
      </c>
      <c r="E168" s="88" t="n">
        <f aca="false">WEEKNUM(Planning2[[#This Row],[Date]],21)</f>
        <v>24</v>
      </c>
      <c r="F168" s="89" t="str">
        <f aca="false">VLOOKUP(A168,Annuaire_roster!B:C,2,0)</f>
        <v>Google Leads</v>
      </c>
      <c r="G168" s="83"/>
      <c r="H168" s="83"/>
    </row>
    <row r="169" customFormat="false" ht="15" hidden="true" customHeight="true" outlineLevel="0" collapsed="false">
      <c r="A169" s="86" t="s">
        <v>59</v>
      </c>
      <c r="B169" s="86" t="n">
        <f aca="false">+B137+1</f>
        <v>44722</v>
      </c>
      <c r="C169" s="87" t="n">
        <v>0.291666666666667</v>
      </c>
      <c r="D169" s="87" t="n">
        <v>0.666666666666667</v>
      </c>
      <c r="E169" s="88" t="n">
        <f aca="false">WEEKNUM(Planning2[[#This Row],[Date]],21)</f>
        <v>24</v>
      </c>
      <c r="F169" s="89" t="str">
        <f aca="false">VLOOKUP(A169,Annuaire_roster!B:C,2,0)</f>
        <v>Google Leads</v>
      </c>
      <c r="G169" s="83"/>
      <c r="H169" s="83"/>
    </row>
    <row r="170" customFormat="false" ht="15" hidden="true" customHeight="true" outlineLevel="0" collapsed="false">
      <c r="A170" s="86" t="s">
        <v>60</v>
      </c>
      <c r="B170" s="86" t="n">
        <f aca="false">+B138+1</f>
        <v>44722</v>
      </c>
      <c r="C170" s="87" t="n">
        <v>0.291666666666667</v>
      </c>
      <c r="D170" s="87" t="n">
        <v>0.666666666666667</v>
      </c>
      <c r="E170" s="88" t="n">
        <f aca="false">WEEKNUM(Planning2[[#This Row],[Date]],21)</f>
        <v>24</v>
      </c>
      <c r="F170" s="89" t="str">
        <f aca="false">VLOOKUP(A170,Annuaire_roster!B:C,2,0)</f>
        <v>Google Leads</v>
      </c>
      <c r="G170" s="83"/>
      <c r="H170" s="83"/>
    </row>
    <row r="171" customFormat="false" ht="15" hidden="true" customHeight="true" outlineLevel="0" collapsed="false">
      <c r="A171" s="86" t="s">
        <v>44</v>
      </c>
      <c r="B171" s="86" t="n">
        <f aca="false">+B139+1</f>
        <v>44722</v>
      </c>
      <c r="C171" s="87" t="n">
        <v>0.291666666666667</v>
      </c>
      <c r="D171" s="87" t="n">
        <v>0.666666666666667</v>
      </c>
      <c r="E171" s="88" t="n">
        <f aca="false">WEEKNUM(Planning2[[#This Row],[Date]],21)</f>
        <v>24</v>
      </c>
      <c r="F171" s="89" t="str">
        <f aca="false">VLOOKUP(A171,Annuaire_roster!B:C,2,0)</f>
        <v>Google Leads</v>
      </c>
      <c r="G171" s="83"/>
      <c r="H171" s="83"/>
    </row>
    <row r="172" customFormat="false" ht="15" hidden="true" customHeight="true" outlineLevel="0" collapsed="false">
      <c r="A172" s="86" t="s">
        <v>50</v>
      </c>
      <c r="B172" s="86" t="n">
        <f aca="false">+B140+1</f>
        <v>44722</v>
      </c>
      <c r="C172" s="87" t="s">
        <v>111</v>
      </c>
      <c r="D172" s="87" t="s">
        <v>111</v>
      </c>
      <c r="E172" s="88" t="n">
        <f aca="false">WEEKNUM(Planning2[[#This Row],[Date]],21)</f>
        <v>24</v>
      </c>
      <c r="F172" s="89" t="str">
        <f aca="false">VLOOKUP(A172,Annuaire_roster!B:C,2,0)</f>
        <v>Google Leads</v>
      </c>
      <c r="G172" s="83"/>
      <c r="H172" s="83"/>
    </row>
    <row r="173" customFormat="false" ht="15" hidden="true" customHeight="true" outlineLevel="0" collapsed="false">
      <c r="A173" s="86" t="s">
        <v>61</v>
      </c>
      <c r="B173" s="86" t="n">
        <f aca="false">+B141+1</f>
        <v>44722</v>
      </c>
      <c r="C173" s="87" t="n">
        <v>0.416666666666667</v>
      </c>
      <c r="D173" s="87" t="n">
        <v>0.833333333333333</v>
      </c>
      <c r="E173" s="88" t="n">
        <f aca="false">WEEKNUM(Planning2[[#This Row],[Date]],21)</f>
        <v>24</v>
      </c>
      <c r="F173" s="89" t="str">
        <f aca="false">VLOOKUP(A173,Annuaire_roster!B:C,2,0)</f>
        <v>Google Leads</v>
      </c>
      <c r="G173" s="83"/>
      <c r="H173" s="83"/>
    </row>
    <row r="174" customFormat="false" ht="15" hidden="true" customHeight="true" outlineLevel="0" collapsed="false">
      <c r="A174" s="86" t="s">
        <v>56</v>
      </c>
      <c r="B174" s="86" t="n">
        <f aca="false">+B142+1</f>
        <v>44722</v>
      </c>
      <c r="C174" s="87" t="s">
        <v>111</v>
      </c>
      <c r="D174" s="87" t="s">
        <v>111</v>
      </c>
      <c r="E174" s="88" t="n">
        <f aca="false">WEEKNUM(Planning2[[#This Row],[Date]],21)</f>
        <v>24</v>
      </c>
      <c r="F174" s="89" t="str">
        <f aca="false">VLOOKUP(A174,Annuaire_roster!B:C,2,0)</f>
        <v>Google Leads</v>
      </c>
      <c r="G174" s="83"/>
      <c r="H174" s="83"/>
    </row>
    <row r="175" customFormat="false" ht="15" hidden="true" customHeight="true" outlineLevel="0" collapsed="false">
      <c r="A175" s="86" t="s">
        <v>52</v>
      </c>
      <c r="B175" s="86" t="n">
        <f aca="false">+B143+1</f>
        <v>44722</v>
      </c>
      <c r="C175" s="87" t="n">
        <v>0.416666666666667</v>
      </c>
      <c r="D175" s="87" t="n">
        <v>0.833333333333333</v>
      </c>
      <c r="E175" s="88" t="n">
        <f aca="false">WEEKNUM(Planning2[[#This Row],[Date]],21)</f>
        <v>24</v>
      </c>
      <c r="F175" s="89" t="str">
        <f aca="false">VLOOKUP(A175,Annuaire_roster!B:C,2,0)</f>
        <v>Google Leads</v>
      </c>
      <c r="G175" s="83"/>
      <c r="H175" s="83"/>
    </row>
    <row r="176" customFormat="false" ht="15" hidden="true" customHeight="true" outlineLevel="0" collapsed="false">
      <c r="A176" s="86" t="s">
        <v>64</v>
      </c>
      <c r="B176" s="86" t="n">
        <f aca="false">+B144+1</f>
        <v>44722</v>
      </c>
      <c r="C176" s="87" t="n">
        <v>0.333333333333333</v>
      </c>
      <c r="D176" s="87" t="n">
        <v>0.75</v>
      </c>
      <c r="E176" s="88" t="n">
        <f aca="false">WEEKNUM(Planning2[[#This Row],[Date]],21)</f>
        <v>24</v>
      </c>
      <c r="F176" s="89" t="str">
        <f aca="false">VLOOKUP(A176,Annuaire_roster!B:C,2,0)</f>
        <v>Google Leads</v>
      </c>
      <c r="G176" s="83"/>
      <c r="H176" s="83"/>
    </row>
    <row r="177" customFormat="false" ht="15" hidden="false" customHeight="true" outlineLevel="0" collapsed="false">
      <c r="A177" s="86" t="s">
        <v>53</v>
      </c>
      <c r="B177" s="86" t="n">
        <f aca="false">+B145+1</f>
        <v>44722</v>
      </c>
      <c r="C177" s="87" t="s">
        <v>110</v>
      </c>
      <c r="D177" s="87" t="s">
        <v>110</v>
      </c>
      <c r="E177" s="88" t="n">
        <f aca="false">WEEKNUM(Planning2[[#This Row],[Date]],21)</f>
        <v>24</v>
      </c>
      <c r="F177" s="89" t="str">
        <f aca="false">VLOOKUP(A177,Annuaire_roster!B:C,2,0)</f>
        <v>Google Leads</v>
      </c>
      <c r="G177" s="83"/>
      <c r="H177" s="83"/>
    </row>
    <row r="178" customFormat="false" ht="15" hidden="true" customHeight="true" outlineLevel="0" collapsed="false">
      <c r="A178" s="86" t="s">
        <v>55</v>
      </c>
      <c r="B178" s="86" t="n">
        <f aca="false">+B146+1</f>
        <v>44722</v>
      </c>
      <c r="C178" s="87" t="s">
        <v>111</v>
      </c>
      <c r="D178" s="87" t="s">
        <v>111</v>
      </c>
      <c r="E178" s="88" t="n">
        <f aca="false">WEEKNUM(Planning2[[#This Row],[Date]],21)</f>
        <v>24</v>
      </c>
      <c r="F178" s="89" t="str">
        <f aca="false">VLOOKUP(A178,Annuaire_roster!B:C,2,0)</f>
        <v>Google Leads</v>
      </c>
      <c r="G178" s="83"/>
      <c r="H178" s="83"/>
    </row>
    <row r="179" customFormat="false" ht="15" hidden="true" customHeight="true" outlineLevel="0" collapsed="false">
      <c r="A179" s="86" t="s">
        <v>54</v>
      </c>
      <c r="B179" s="86" t="n">
        <f aca="false">+B147+1</f>
        <v>44722</v>
      </c>
      <c r="C179" s="87" t="n">
        <v>0.291666666666667</v>
      </c>
      <c r="D179" s="87" t="n">
        <v>0.666666666666667</v>
      </c>
      <c r="E179" s="88" t="n">
        <f aca="false">WEEKNUM(Planning2[[#This Row],[Date]],21)</f>
        <v>24</v>
      </c>
      <c r="F179" s="89" t="str">
        <f aca="false">VLOOKUP(A179,Annuaire_roster!B:C,2,0)</f>
        <v>Google Leads</v>
      </c>
      <c r="G179" s="83"/>
      <c r="H179" s="83"/>
    </row>
    <row r="180" customFormat="false" ht="15" hidden="true" customHeight="true" outlineLevel="0" collapsed="false">
      <c r="A180" s="86" t="s">
        <v>40</v>
      </c>
      <c r="B180" s="86" t="n">
        <f aca="false">+B148+1</f>
        <v>44722</v>
      </c>
      <c r="C180" s="87" t="s">
        <v>111</v>
      </c>
      <c r="D180" s="87" t="s">
        <v>111</v>
      </c>
      <c r="E180" s="88" t="n">
        <f aca="false">WEEKNUM(Planning2[[#This Row],[Date]],21)</f>
        <v>24</v>
      </c>
      <c r="F180" s="89" t="str">
        <f aca="false">VLOOKUP(A180,Annuaire_roster!B:C,2,0)</f>
        <v>Google Leads</v>
      </c>
      <c r="G180" s="83"/>
      <c r="H180" s="83"/>
    </row>
    <row r="181" customFormat="false" ht="15" hidden="true" customHeight="true" outlineLevel="0" collapsed="false">
      <c r="A181" s="86" t="s">
        <v>41</v>
      </c>
      <c r="B181" s="86" t="n">
        <f aca="false">+B149+1</f>
        <v>44722</v>
      </c>
      <c r="C181" s="87" t="n">
        <v>0.291666666666667</v>
      </c>
      <c r="D181" s="87" t="n">
        <v>0.666666666666667</v>
      </c>
      <c r="E181" s="88" t="n">
        <f aca="false">WEEKNUM(Planning2[[#This Row],[Date]],21)</f>
        <v>24</v>
      </c>
      <c r="F181" s="89" t="str">
        <f aca="false">VLOOKUP(A181,Annuaire_roster!B:C,2,0)</f>
        <v>Google Leads</v>
      </c>
      <c r="G181" s="83"/>
      <c r="H181" s="83"/>
    </row>
    <row r="182" customFormat="false" ht="15" hidden="true" customHeight="true" outlineLevel="0" collapsed="false">
      <c r="A182" s="86" t="s">
        <v>34</v>
      </c>
      <c r="B182" s="86" t="n">
        <f aca="false">+B150+1</f>
        <v>44722</v>
      </c>
      <c r="C182" s="87" t="n">
        <v>0.291666666666667</v>
      </c>
      <c r="D182" s="87" t="n">
        <v>0.666666666666667</v>
      </c>
      <c r="E182" s="88" t="n">
        <f aca="false">WEEKNUM(Planning2[[#This Row],[Date]],21)</f>
        <v>24</v>
      </c>
      <c r="F182" s="89" t="str">
        <f aca="false">VLOOKUP(A182,Annuaire_roster!B:C,2,0)</f>
        <v>Google Leads</v>
      </c>
      <c r="G182" s="83"/>
      <c r="H182" s="83"/>
    </row>
    <row r="183" customFormat="false" ht="15" hidden="true" customHeight="true" outlineLevel="0" collapsed="false">
      <c r="A183" s="86" t="s">
        <v>45</v>
      </c>
      <c r="B183" s="86" t="n">
        <f aca="false">+B151+1</f>
        <v>44722</v>
      </c>
      <c r="C183" s="87" t="n">
        <v>0.416666666666667</v>
      </c>
      <c r="D183" s="87" t="n">
        <v>0.833333333333333</v>
      </c>
      <c r="E183" s="88" t="n">
        <f aca="false">WEEKNUM(Planning2[[#This Row],[Date]],21)</f>
        <v>24</v>
      </c>
      <c r="F183" s="89" t="str">
        <f aca="false">VLOOKUP(A183,Annuaire_roster!B:C,2,0)</f>
        <v>Google Leads</v>
      </c>
      <c r="G183" s="83"/>
      <c r="H183" s="83"/>
    </row>
    <row r="184" customFormat="false" ht="15" hidden="true" customHeight="true" outlineLevel="0" collapsed="false">
      <c r="A184" s="86" t="s">
        <v>35</v>
      </c>
      <c r="B184" s="86" t="n">
        <f aca="false">+B152+1</f>
        <v>44722</v>
      </c>
      <c r="C184" s="87" t="s">
        <v>111</v>
      </c>
      <c r="D184" s="87" t="s">
        <v>111</v>
      </c>
      <c r="E184" s="88" t="n">
        <f aca="false">WEEKNUM(Planning2[[#This Row],[Date]],21)</f>
        <v>24</v>
      </c>
      <c r="F184" s="89" t="str">
        <f aca="false">VLOOKUP(A184,Annuaire_roster!B:C,2,0)</f>
        <v>Google Leads</v>
      </c>
      <c r="G184" s="83"/>
      <c r="H184" s="83"/>
    </row>
    <row r="185" customFormat="false" ht="15" hidden="true" customHeight="true" outlineLevel="0" collapsed="false">
      <c r="A185" s="86" t="s">
        <v>46</v>
      </c>
      <c r="B185" s="86" t="n">
        <f aca="false">+B153+1</f>
        <v>44722</v>
      </c>
      <c r="C185" s="87" t="s">
        <v>111</v>
      </c>
      <c r="D185" s="87" t="s">
        <v>111</v>
      </c>
      <c r="E185" s="88" t="n">
        <f aca="false">WEEKNUM(Planning2[[#This Row],[Date]],21)</f>
        <v>24</v>
      </c>
      <c r="F185" s="89" t="str">
        <f aca="false">VLOOKUP(A185,Annuaire_roster!B:C,2,0)</f>
        <v>Google Leads</v>
      </c>
      <c r="G185" s="83"/>
      <c r="H185" s="83"/>
    </row>
    <row r="186" customFormat="false" ht="15" hidden="true" customHeight="true" outlineLevel="0" collapsed="false">
      <c r="A186" s="86" t="s">
        <v>36</v>
      </c>
      <c r="B186" s="86" t="n">
        <f aca="false">+B154+1</f>
        <v>44722</v>
      </c>
      <c r="C186" s="87" t="s">
        <v>111</v>
      </c>
      <c r="D186" s="87" t="s">
        <v>111</v>
      </c>
      <c r="E186" s="88" t="n">
        <f aca="false">WEEKNUM(Planning2[[#This Row],[Date]],21)</f>
        <v>24</v>
      </c>
      <c r="F186" s="89" t="str">
        <f aca="false">VLOOKUP(A186,Annuaire_roster!B:C,2,0)</f>
        <v>Google Leads</v>
      </c>
      <c r="G186" s="83"/>
      <c r="H186" s="83"/>
    </row>
    <row r="187" customFormat="false" ht="15" hidden="true" customHeight="true" outlineLevel="0" collapsed="false">
      <c r="A187" s="86" t="s">
        <v>42</v>
      </c>
      <c r="B187" s="86" t="n">
        <f aca="false">+B155+1</f>
        <v>44722</v>
      </c>
      <c r="C187" s="87" t="n">
        <v>0.291666666666667</v>
      </c>
      <c r="D187" s="87" t="n">
        <v>0.666666666666667</v>
      </c>
      <c r="E187" s="88" t="n">
        <f aca="false">WEEKNUM(Planning2[[#This Row],[Date]],21)</f>
        <v>24</v>
      </c>
      <c r="F187" s="89" t="str">
        <f aca="false">VLOOKUP(A187,Annuaire_roster!B:C,2,0)</f>
        <v>Google Leads</v>
      </c>
      <c r="G187" s="83"/>
      <c r="H187" s="83"/>
    </row>
    <row r="188" customFormat="false" ht="15" hidden="true" customHeight="true" outlineLevel="0" collapsed="false">
      <c r="A188" s="86" t="s">
        <v>49</v>
      </c>
      <c r="B188" s="86" t="n">
        <f aca="false">+B156+1</f>
        <v>44722</v>
      </c>
      <c r="C188" s="87" t="s">
        <v>111</v>
      </c>
      <c r="D188" s="87" t="s">
        <v>111</v>
      </c>
      <c r="E188" s="88" t="n">
        <f aca="false">WEEKNUM(Planning2[[#This Row],[Date]],21)</f>
        <v>24</v>
      </c>
      <c r="F188" s="89" t="str">
        <f aca="false">VLOOKUP(A188,Annuaire_roster!B:C,2,0)</f>
        <v>Google Leads</v>
      </c>
      <c r="G188" s="83"/>
      <c r="H188" s="83"/>
    </row>
    <row r="189" customFormat="false" ht="15" hidden="true" customHeight="true" outlineLevel="0" collapsed="false">
      <c r="A189" s="86" t="s">
        <v>51</v>
      </c>
      <c r="B189" s="86" t="n">
        <f aca="false">+B157+1</f>
        <v>44722</v>
      </c>
      <c r="C189" s="87" t="n">
        <v>0.458333333333333</v>
      </c>
      <c r="D189" s="87" t="n">
        <v>0.833333333333333</v>
      </c>
      <c r="E189" s="88" t="n">
        <f aca="false">WEEKNUM(Planning2[[#This Row],[Date]],21)</f>
        <v>24</v>
      </c>
      <c r="F189" s="89" t="str">
        <f aca="false">VLOOKUP(A189,Annuaire_roster!B:C,2,0)</f>
        <v>Google Leads</v>
      </c>
      <c r="G189" s="83"/>
      <c r="H189" s="83"/>
    </row>
    <row r="190" customFormat="false" ht="15" hidden="true" customHeight="true" outlineLevel="0" collapsed="false">
      <c r="A190" s="86" t="s">
        <v>39</v>
      </c>
      <c r="B190" s="86" t="n">
        <f aca="false">+B158+1</f>
        <v>44722</v>
      </c>
      <c r="C190" s="87" t="s">
        <v>111</v>
      </c>
      <c r="D190" s="87" t="s">
        <v>111</v>
      </c>
      <c r="E190" s="88" t="n">
        <f aca="false">WEEKNUM(Planning2[[#This Row],[Date]],21)</f>
        <v>24</v>
      </c>
      <c r="F190" s="89" t="str">
        <f aca="false">VLOOKUP(A190,Annuaire_roster!B:C,2,0)</f>
        <v>Google Leads</v>
      </c>
      <c r="G190" s="83"/>
      <c r="H190" s="83"/>
    </row>
    <row r="191" customFormat="false" ht="15" hidden="true" customHeight="true" outlineLevel="0" collapsed="false">
      <c r="A191" s="86" t="s">
        <v>37</v>
      </c>
      <c r="B191" s="86" t="n">
        <f aca="false">+B159+1</f>
        <v>44722</v>
      </c>
      <c r="C191" s="87" t="n">
        <v>0.416666666666667</v>
      </c>
      <c r="D191" s="87" t="n">
        <v>0.833333333333333</v>
      </c>
      <c r="E191" s="88" t="n">
        <f aca="false">WEEKNUM(Planning2[[#This Row],[Date]],21)</f>
        <v>24</v>
      </c>
      <c r="F191" s="89" t="str">
        <f aca="false">VLOOKUP(A191,Annuaire_roster!B:C,2,0)</f>
        <v>Google Leads</v>
      </c>
      <c r="G191" s="83"/>
      <c r="H191" s="83"/>
    </row>
    <row r="192" customFormat="false" ht="15" hidden="true" customHeight="true" outlineLevel="0" collapsed="false">
      <c r="A192" s="86" t="s">
        <v>62</v>
      </c>
      <c r="B192" s="86" t="n">
        <f aca="false">+B160+1</f>
        <v>44722</v>
      </c>
      <c r="C192" s="87" t="n">
        <v>0.416666666666667</v>
      </c>
      <c r="D192" s="87" t="n">
        <v>0.833333333333333</v>
      </c>
      <c r="E192" s="88" t="n">
        <f aca="false">WEEKNUM(Planning2[[#This Row],[Date]],21)</f>
        <v>24</v>
      </c>
      <c r="F192" s="89" t="str">
        <f aca="false">VLOOKUP(A192,Annuaire_roster!B:C,2,0)</f>
        <v>Google Leads</v>
      </c>
      <c r="G192" s="83"/>
      <c r="H192" s="83"/>
    </row>
    <row r="193" customFormat="false" ht="15" hidden="true" customHeight="true" outlineLevel="0" collapsed="false">
      <c r="A193" s="95" t="s">
        <v>47</v>
      </c>
      <c r="B193" s="86" t="n">
        <f aca="false">+B161+1</f>
        <v>44722</v>
      </c>
      <c r="C193" s="87" t="s">
        <v>111</v>
      </c>
      <c r="D193" s="87" t="s">
        <v>111</v>
      </c>
      <c r="E193" s="88" t="n">
        <f aca="false">WEEKNUM(Planning2[[#This Row],[Date]],21)</f>
        <v>24</v>
      </c>
      <c r="F193" s="89" t="str">
        <f aca="false">VLOOKUP(A193,Annuaire_roster!B:C,2,0)</f>
        <v>Google Leads</v>
      </c>
      <c r="G193" s="83"/>
      <c r="H193" s="83"/>
    </row>
    <row r="194" customFormat="false" ht="15" hidden="true" customHeight="true" outlineLevel="0" collapsed="false">
      <c r="A194" s="86" t="s">
        <v>43</v>
      </c>
      <c r="B194" s="86" t="n">
        <f aca="false">+B162+1</f>
        <v>44723</v>
      </c>
      <c r="C194" s="87" t="n">
        <v>0.416666666666667</v>
      </c>
      <c r="D194" s="87" t="n">
        <v>0.833333333333333</v>
      </c>
      <c r="E194" s="88" t="n">
        <f aca="false">WEEKNUM(Planning2[[#This Row],[Date]],21)</f>
        <v>24</v>
      </c>
      <c r="F194" s="89" t="str">
        <f aca="false">VLOOKUP(A194,Annuaire_roster!B:C,2,0)</f>
        <v>Google Leads</v>
      </c>
      <c r="G194" s="83"/>
      <c r="H194" s="83"/>
    </row>
    <row r="195" customFormat="false" ht="15" hidden="true" customHeight="true" outlineLevel="0" collapsed="false">
      <c r="A195" s="86" t="s">
        <v>57</v>
      </c>
      <c r="B195" s="86" t="n">
        <f aca="false">+B163+1</f>
        <v>44723</v>
      </c>
      <c r="C195" s="87" t="s">
        <v>109</v>
      </c>
      <c r="D195" s="87" t="s">
        <v>109</v>
      </c>
      <c r="E195" s="88" t="n">
        <f aca="false">WEEKNUM(Planning2[[#This Row],[Date]],21)</f>
        <v>24</v>
      </c>
      <c r="F195" s="89" t="str">
        <f aca="false">VLOOKUP(A195,Annuaire_roster!B:C,2,0)</f>
        <v>Google Leads</v>
      </c>
      <c r="G195" s="83"/>
      <c r="H195" s="83"/>
    </row>
    <row r="196" customFormat="false" ht="15" hidden="true" customHeight="true" outlineLevel="0" collapsed="false">
      <c r="A196" s="86" t="s">
        <v>38</v>
      </c>
      <c r="B196" s="86" t="n">
        <f aca="false">+B164+1</f>
        <v>44723</v>
      </c>
      <c r="C196" s="87" t="s">
        <v>111</v>
      </c>
      <c r="D196" s="87" t="s">
        <v>111</v>
      </c>
      <c r="E196" s="88" t="n">
        <f aca="false">WEEKNUM(Planning2[[#This Row],[Date]],21)</f>
        <v>24</v>
      </c>
      <c r="F196" s="89" t="str">
        <f aca="false">VLOOKUP(A196,Annuaire_roster!B:C,2,0)</f>
        <v>Google Leads</v>
      </c>
      <c r="G196" s="83"/>
      <c r="H196" s="83"/>
    </row>
    <row r="197" customFormat="false" ht="15" hidden="true" customHeight="true" outlineLevel="0" collapsed="false">
      <c r="A197" s="86" t="s">
        <v>33</v>
      </c>
      <c r="B197" s="86" t="n">
        <f aca="false">+B165+1</f>
        <v>44723</v>
      </c>
      <c r="C197" s="87" t="s">
        <v>111</v>
      </c>
      <c r="D197" s="87" t="s">
        <v>111</v>
      </c>
      <c r="E197" s="88" t="n">
        <f aca="false">WEEKNUM(Planning2[[#This Row],[Date]],21)</f>
        <v>24</v>
      </c>
      <c r="F197" s="89" t="str">
        <f aca="false">VLOOKUP(A197,Annuaire_roster!B:C,2,0)</f>
        <v>Google Leads</v>
      </c>
      <c r="G197" s="83"/>
      <c r="H197" s="83"/>
    </row>
    <row r="198" customFormat="false" ht="15" hidden="true" customHeight="true" outlineLevel="0" collapsed="false">
      <c r="A198" s="86" t="s">
        <v>58</v>
      </c>
      <c r="B198" s="86" t="n">
        <f aca="false">+B166+1</f>
        <v>44723</v>
      </c>
      <c r="C198" s="87" t="n">
        <v>0.416666666666667</v>
      </c>
      <c r="D198" s="87" t="n">
        <v>0.833333333333333</v>
      </c>
      <c r="E198" s="88" t="n">
        <f aca="false">WEEKNUM(Planning2[[#This Row],[Date]],21)</f>
        <v>24</v>
      </c>
      <c r="F198" s="89" t="str">
        <f aca="false">VLOOKUP(A198,Annuaire_roster!B:C,2,0)</f>
        <v>Google Leads</v>
      </c>
      <c r="G198" s="83"/>
      <c r="H198" s="83"/>
    </row>
    <row r="199" customFormat="false" ht="15" hidden="true" customHeight="true" outlineLevel="0" collapsed="false">
      <c r="A199" s="86" t="s">
        <v>63</v>
      </c>
      <c r="B199" s="86" t="n">
        <f aca="false">+B167+1</f>
        <v>44723</v>
      </c>
      <c r="C199" s="87" t="s">
        <v>111</v>
      </c>
      <c r="D199" s="87" t="s">
        <v>111</v>
      </c>
      <c r="E199" s="88" t="n">
        <f aca="false">WEEKNUM(Planning2[[#This Row],[Date]],21)</f>
        <v>24</v>
      </c>
      <c r="F199" s="89" t="str">
        <f aca="false">VLOOKUP(A199,Annuaire_roster!B:C,2,0)</f>
        <v>Google Leads</v>
      </c>
      <c r="G199" s="83"/>
      <c r="H199" s="83"/>
    </row>
    <row r="200" customFormat="false" ht="15" hidden="true" customHeight="true" outlineLevel="0" collapsed="false">
      <c r="A200" s="86" t="s">
        <v>48</v>
      </c>
      <c r="B200" s="86" t="n">
        <f aca="false">+B168+1</f>
        <v>44723</v>
      </c>
      <c r="C200" s="87" t="s">
        <v>111</v>
      </c>
      <c r="D200" s="87" t="s">
        <v>111</v>
      </c>
      <c r="E200" s="88" t="n">
        <f aca="false">WEEKNUM(Planning2[[#This Row],[Date]],21)</f>
        <v>24</v>
      </c>
      <c r="F200" s="89" t="str">
        <f aca="false">VLOOKUP(A200,Annuaire_roster!B:C,2,0)</f>
        <v>Google Leads</v>
      </c>
      <c r="G200" s="83"/>
      <c r="H200" s="83"/>
    </row>
    <row r="201" customFormat="false" ht="15" hidden="true" customHeight="true" outlineLevel="0" collapsed="false">
      <c r="A201" s="86" t="s">
        <v>59</v>
      </c>
      <c r="B201" s="86" t="n">
        <f aca="false">+B169+1</f>
        <v>44723</v>
      </c>
      <c r="C201" s="87" t="s">
        <v>111</v>
      </c>
      <c r="D201" s="87" t="s">
        <v>111</v>
      </c>
      <c r="E201" s="88" t="n">
        <f aca="false">WEEKNUM(Planning2[[#This Row],[Date]],21)</f>
        <v>24</v>
      </c>
      <c r="F201" s="89" t="str">
        <f aca="false">VLOOKUP(A201,Annuaire_roster!B:C,2,0)</f>
        <v>Google Leads</v>
      </c>
      <c r="G201" s="83"/>
      <c r="H201" s="83"/>
    </row>
    <row r="202" customFormat="false" ht="15" hidden="true" customHeight="true" outlineLevel="0" collapsed="false">
      <c r="A202" s="86" t="s">
        <v>60</v>
      </c>
      <c r="B202" s="86" t="n">
        <f aca="false">+B170+1</f>
        <v>44723</v>
      </c>
      <c r="C202" s="87" t="n">
        <v>0.291666666666667</v>
      </c>
      <c r="D202" s="87" t="n">
        <v>0.708333333333333</v>
      </c>
      <c r="E202" s="88" t="n">
        <f aca="false">WEEKNUM(Planning2[[#This Row],[Date]],21)</f>
        <v>24</v>
      </c>
      <c r="F202" s="89" t="str">
        <f aca="false">VLOOKUP(A202,Annuaire_roster!B:C,2,0)</f>
        <v>Google Leads</v>
      </c>
      <c r="G202" s="83"/>
      <c r="H202" s="83"/>
    </row>
    <row r="203" customFormat="false" ht="15" hidden="true" customHeight="true" outlineLevel="0" collapsed="false">
      <c r="A203" s="86" t="s">
        <v>44</v>
      </c>
      <c r="B203" s="86" t="n">
        <f aca="false">+B171+1</f>
        <v>44723</v>
      </c>
      <c r="C203" s="87" t="n">
        <v>0.416666666666667</v>
      </c>
      <c r="D203" s="87" t="n">
        <v>0.833333333333333</v>
      </c>
      <c r="E203" s="88" t="n">
        <f aca="false">WEEKNUM(Planning2[[#This Row],[Date]],21)</f>
        <v>24</v>
      </c>
      <c r="F203" s="89" t="str">
        <f aca="false">VLOOKUP(A203,Annuaire_roster!B:C,2,0)</f>
        <v>Google Leads</v>
      </c>
      <c r="G203" s="83"/>
      <c r="H203" s="83"/>
    </row>
    <row r="204" customFormat="false" ht="15" hidden="true" customHeight="true" outlineLevel="0" collapsed="false">
      <c r="A204" s="86" t="s">
        <v>50</v>
      </c>
      <c r="B204" s="86" t="n">
        <f aca="false">+B172+1</f>
        <v>44723</v>
      </c>
      <c r="C204" s="87" t="s">
        <v>111</v>
      </c>
      <c r="D204" s="87" t="s">
        <v>111</v>
      </c>
      <c r="E204" s="88" t="n">
        <f aca="false">WEEKNUM(Planning2[[#This Row],[Date]],21)</f>
        <v>24</v>
      </c>
      <c r="F204" s="89" t="str">
        <f aca="false">VLOOKUP(A204,Annuaire_roster!B:C,2,0)</f>
        <v>Google Leads</v>
      </c>
      <c r="G204" s="83"/>
      <c r="H204" s="83"/>
    </row>
    <row r="205" customFormat="false" ht="15" hidden="true" customHeight="true" outlineLevel="0" collapsed="false">
      <c r="A205" s="86" t="s">
        <v>61</v>
      </c>
      <c r="B205" s="86" t="n">
        <f aca="false">+B173+1</f>
        <v>44723</v>
      </c>
      <c r="C205" s="87" t="n">
        <v>0.416666666666667</v>
      </c>
      <c r="D205" s="87" t="n">
        <v>0.833333333333333</v>
      </c>
      <c r="E205" s="88" t="n">
        <f aca="false">WEEKNUM(Planning2[[#This Row],[Date]],21)</f>
        <v>24</v>
      </c>
      <c r="F205" s="89" t="str">
        <f aca="false">VLOOKUP(A205,Annuaire_roster!B:C,2,0)</f>
        <v>Google Leads</v>
      </c>
      <c r="G205" s="83"/>
      <c r="H205" s="83"/>
    </row>
    <row r="206" customFormat="false" ht="15" hidden="true" customHeight="true" outlineLevel="0" collapsed="false">
      <c r="A206" s="86" t="s">
        <v>56</v>
      </c>
      <c r="B206" s="86" t="n">
        <f aca="false">+B174+1</f>
        <v>44723</v>
      </c>
      <c r="C206" s="87" t="s">
        <v>111</v>
      </c>
      <c r="D206" s="87" t="s">
        <v>111</v>
      </c>
      <c r="E206" s="88" t="n">
        <f aca="false">WEEKNUM(Planning2[[#This Row],[Date]],21)</f>
        <v>24</v>
      </c>
      <c r="F206" s="89" t="str">
        <f aca="false">VLOOKUP(A206,Annuaire_roster!B:C,2,0)</f>
        <v>Google Leads</v>
      </c>
      <c r="G206" s="83"/>
      <c r="H206" s="83"/>
    </row>
    <row r="207" customFormat="false" ht="15" hidden="true" customHeight="true" outlineLevel="0" collapsed="false">
      <c r="A207" s="86" t="s">
        <v>52</v>
      </c>
      <c r="B207" s="86" t="n">
        <f aca="false">+B175+1</f>
        <v>44723</v>
      </c>
      <c r="C207" s="87" t="n">
        <v>0.416666666666667</v>
      </c>
      <c r="D207" s="87" t="n">
        <v>0.833333333333333</v>
      </c>
      <c r="E207" s="88" t="n">
        <f aca="false">WEEKNUM(Planning2[[#This Row],[Date]],21)</f>
        <v>24</v>
      </c>
      <c r="F207" s="89" t="str">
        <f aca="false">VLOOKUP(A207,Annuaire_roster!B:C,2,0)</f>
        <v>Google Leads</v>
      </c>
      <c r="G207" s="83"/>
      <c r="H207" s="83"/>
    </row>
    <row r="208" customFormat="false" ht="15" hidden="true" customHeight="true" outlineLevel="0" collapsed="false">
      <c r="A208" s="86" t="s">
        <v>64</v>
      </c>
      <c r="B208" s="86" t="n">
        <f aca="false">+B176+1</f>
        <v>44723</v>
      </c>
      <c r="C208" s="87" t="s">
        <v>111</v>
      </c>
      <c r="D208" s="87" t="s">
        <v>111</v>
      </c>
      <c r="E208" s="88" t="n">
        <f aca="false">WEEKNUM(Planning2[[#This Row],[Date]],21)</f>
        <v>24</v>
      </c>
      <c r="F208" s="89" t="str">
        <f aca="false">VLOOKUP(A208,Annuaire_roster!B:C,2,0)</f>
        <v>Google Leads</v>
      </c>
      <c r="G208" s="83"/>
      <c r="H208" s="83"/>
    </row>
    <row r="209" customFormat="false" ht="15" hidden="false" customHeight="true" outlineLevel="0" collapsed="false">
      <c r="A209" s="86" t="s">
        <v>53</v>
      </c>
      <c r="B209" s="86" t="n">
        <f aca="false">+B177+1</f>
        <v>44723</v>
      </c>
      <c r="C209" s="87" t="n">
        <v>0.291666666666667</v>
      </c>
      <c r="D209" s="87" t="n">
        <v>0.708333333333333</v>
      </c>
      <c r="E209" s="88" t="n">
        <f aca="false">WEEKNUM(Planning2[[#This Row],[Date]],21)</f>
        <v>24</v>
      </c>
      <c r="F209" s="89" t="str">
        <f aca="false">VLOOKUP(A209,Annuaire_roster!B:C,2,0)</f>
        <v>Google Leads</v>
      </c>
      <c r="G209" s="83"/>
      <c r="H209" s="83"/>
    </row>
    <row r="210" customFormat="false" ht="15" hidden="true" customHeight="true" outlineLevel="0" collapsed="false">
      <c r="A210" s="86" t="s">
        <v>55</v>
      </c>
      <c r="B210" s="86" t="n">
        <f aca="false">+B178+1</f>
        <v>44723</v>
      </c>
      <c r="C210" s="87" t="n">
        <v>0.291666666666667</v>
      </c>
      <c r="D210" s="87" t="n">
        <v>0.666666666666667</v>
      </c>
      <c r="E210" s="88" t="n">
        <f aca="false">WEEKNUM(Planning2[[#This Row],[Date]],21)</f>
        <v>24</v>
      </c>
      <c r="F210" s="89" t="str">
        <f aca="false">VLOOKUP(A210,Annuaire_roster!B:C,2,0)</f>
        <v>Google Leads</v>
      </c>
      <c r="G210" s="83"/>
      <c r="H210" s="83"/>
    </row>
    <row r="211" customFormat="false" ht="15" hidden="true" customHeight="true" outlineLevel="0" collapsed="false">
      <c r="A211" s="86" t="s">
        <v>54</v>
      </c>
      <c r="B211" s="86" t="n">
        <f aca="false">+B179+1</f>
        <v>44723</v>
      </c>
      <c r="C211" s="87" t="s">
        <v>111</v>
      </c>
      <c r="D211" s="87" t="s">
        <v>111</v>
      </c>
      <c r="E211" s="88" t="n">
        <f aca="false">WEEKNUM(Planning2[[#This Row],[Date]],21)</f>
        <v>24</v>
      </c>
      <c r="F211" s="89" t="str">
        <f aca="false">VLOOKUP(A211,Annuaire_roster!B:C,2,0)</f>
        <v>Google Leads</v>
      </c>
      <c r="G211" s="83"/>
      <c r="H211" s="83"/>
    </row>
    <row r="212" customFormat="false" ht="15" hidden="true" customHeight="true" outlineLevel="0" collapsed="false">
      <c r="A212" s="86" t="s">
        <v>40</v>
      </c>
      <c r="B212" s="86" t="n">
        <f aca="false">+B180+1</f>
        <v>44723</v>
      </c>
      <c r="C212" s="87" t="s">
        <v>111</v>
      </c>
      <c r="D212" s="87" t="s">
        <v>111</v>
      </c>
      <c r="E212" s="88" t="n">
        <f aca="false">WEEKNUM(Planning2[[#This Row],[Date]],21)</f>
        <v>24</v>
      </c>
      <c r="F212" s="89" t="str">
        <f aca="false">VLOOKUP(A212,Annuaire_roster!B:C,2,0)</f>
        <v>Google Leads</v>
      </c>
      <c r="G212" s="83"/>
      <c r="H212" s="83"/>
    </row>
    <row r="213" customFormat="false" ht="15" hidden="true" customHeight="true" outlineLevel="0" collapsed="false">
      <c r="A213" s="86" t="s">
        <v>41</v>
      </c>
      <c r="B213" s="86" t="n">
        <f aca="false">+B181+1</f>
        <v>44723</v>
      </c>
      <c r="C213" s="87" t="s">
        <v>111</v>
      </c>
      <c r="D213" s="87" t="s">
        <v>111</v>
      </c>
      <c r="E213" s="88" t="n">
        <f aca="false">WEEKNUM(Planning2[[#This Row],[Date]],21)</f>
        <v>24</v>
      </c>
      <c r="F213" s="89" t="str">
        <f aca="false">VLOOKUP(A213,Annuaire_roster!B:C,2,0)</f>
        <v>Google Leads</v>
      </c>
      <c r="G213" s="83"/>
      <c r="H213" s="83"/>
    </row>
    <row r="214" customFormat="false" ht="15" hidden="true" customHeight="true" outlineLevel="0" collapsed="false">
      <c r="A214" s="86" t="s">
        <v>34</v>
      </c>
      <c r="B214" s="86" t="n">
        <f aca="false">+B182+1</f>
        <v>44723</v>
      </c>
      <c r="C214" s="87" t="s">
        <v>111</v>
      </c>
      <c r="D214" s="87" t="s">
        <v>111</v>
      </c>
      <c r="E214" s="88" t="n">
        <f aca="false">WEEKNUM(Planning2[[#This Row],[Date]],21)</f>
        <v>24</v>
      </c>
      <c r="F214" s="89" t="str">
        <f aca="false">VLOOKUP(A214,Annuaire_roster!B:C,2,0)</f>
        <v>Google Leads</v>
      </c>
      <c r="G214" s="83"/>
      <c r="H214" s="83"/>
    </row>
    <row r="215" customFormat="false" ht="15" hidden="true" customHeight="true" outlineLevel="0" collapsed="false">
      <c r="A215" s="86" t="s">
        <v>45</v>
      </c>
      <c r="B215" s="86" t="n">
        <f aca="false">+B183+1</f>
        <v>44723</v>
      </c>
      <c r="C215" s="87" t="s">
        <v>111</v>
      </c>
      <c r="D215" s="87" t="s">
        <v>111</v>
      </c>
      <c r="E215" s="88" t="n">
        <f aca="false">WEEKNUM(Planning2[[#This Row],[Date]],21)</f>
        <v>24</v>
      </c>
      <c r="F215" s="89" t="str">
        <f aca="false">VLOOKUP(A215,Annuaire_roster!B:C,2,0)</f>
        <v>Google Leads</v>
      </c>
      <c r="G215" s="83"/>
      <c r="H215" s="83"/>
    </row>
    <row r="216" customFormat="false" ht="15" hidden="true" customHeight="true" outlineLevel="0" collapsed="false">
      <c r="A216" s="86" t="s">
        <v>35</v>
      </c>
      <c r="B216" s="86" t="n">
        <f aca="false">+B184+1</f>
        <v>44723</v>
      </c>
      <c r="C216" s="87" t="s">
        <v>111</v>
      </c>
      <c r="D216" s="87" t="s">
        <v>111</v>
      </c>
      <c r="E216" s="88" t="n">
        <f aca="false">WEEKNUM(Planning2[[#This Row],[Date]],21)</f>
        <v>24</v>
      </c>
      <c r="F216" s="89" t="str">
        <f aca="false">VLOOKUP(A216,Annuaire_roster!B:C,2,0)</f>
        <v>Google Leads</v>
      </c>
      <c r="G216" s="83"/>
      <c r="H216" s="83"/>
    </row>
    <row r="217" customFormat="false" ht="15" hidden="true" customHeight="true" outlineLevel="0" collapsed="false">
      <c r="A217" s="86" t="s">
        <v>46</v>
      </c>
      <c r="B217" s="86" t="n">
        <f aca="false">+B185+1</f>
        <v>44723</v>
      </c>
      <c r="C217" s="87" t="s">
        <v>111</v>
      </c>
      <c r="D217" s="87" t="s">
        <v>111</v>
      </c>
      <c r="E217" s="88" t="n">
        <f aca="false">WEEKNUM(Planning2[[#This Row],[Date]],21)</f>
        <v>24</v>
      </c>
      <c r="F217" s="89" t="str">
        <f aca="false">VLOOKUP(A217,Annuaire_roster!B:C,2,0)</f>
        <v>Google Leads</v>
      </c>
      <c r="G217" s="83"/>
      <c r="H217" s="83"/>
    </row>
    <row r="218" customFormat="false" ht="15" hidden="true" customHeight="true" outlineLevel="0" collapsed="false">
      <c r="A218" s="86" t="s">
        <v>36</v>
      </c>
      <c r="B218" s="86" t="n">
        <f aca="false">+B186+1</f>
        <v>44723</v>
      </c>
      <c r="C218" s="87" t="s">
        <v>111</v>
      </c>
      <c r="D218" s="87" t="s">
        <v>111</v>
      </c>
      <c r="E218" s="88" t="n">
        <f aca="false">WEEKNUM(Planning2[[#This Row],[Date]],21)</f>
        <v>24</v>
      </c>
      <c r="F218" s="89" t="str">
        <f aca="false">VLOOKUP(A218,Annuaire_roster!B:C,2,0)</f>
        <v>Google Leads</v>
      </c>
      <c r="G218" s="83"/>
      <c r="H218" s="83"/>
    </row>
    <row r="219" customFormat="false" ht="15" hidden="true" customHeight="true" outlineLevel="0" collapsed="false">
      <c r="A219" s="86" t="s">
        <v>42</v>
      </c>
      <c r="B219" s="86" t="n">
        <f aca="false">+B187+1</f>
        <v>44723</v>
      </c>
      <c r="C219" s="87" t="n">
        <v>0.291666666666667</v>
      </c>
      <c r="D219" s="87" t="n">
        <v>0.708333333333333</v>
      </c>
      <c r="E219" s="88" t="n">
        <f aca="false">WEEKNUM(Planning2[[#This Row],[Date]],21)</f>
        <v>24</v>
      </c>
      <c r="F219" s="89" t="str">
        <f aca="false">VLOOKUP(A219,Annuaire_roster!B:C,2,0)</f>
        <v>Google Leads</v>
      </c>
      <c r="G219" s="83"/>
      <c r="H219" s="83"/>
    </row>
    <row r="220" customFormat="false" ht="15" hidden="true" customHeight="true" outlineLevel="0" collapsed="false">
      <c r="A220" s="86" t="s">
        <v>49</v>
      </c>
      <c r="B220" s="86" t="n">
        <f aca="false">+B188+1</f>
        <v>44723</v>
      </c>
      <c r="C220" s="87" t="s">
        <v>111</v>
      </c>
      <c r="D220" s="87" t="s">
        <v>111</v>
      </c>
      <c r="E220" s="88" t="n">
        <f aca="false">WEEKNUM(Planning2[[#This Row],[Date]],21)</f>
        <v>24</v>
      </c>
      <c r="F220" s="89" t="str">
        <f aca="false">VLOOKUP(A220,Annuaire_roster!B:C,2,0)</f>
        <v>Google Leads</v>
      </c>
      <c r="G220" s="83"/>
      <c r="H220" s="83"/>
    </row>
    <row r="221" customFormat="false" ht="15" hidden="true" customHeight="true" outlineLevel="0" collapsed="false">
      <c r="A221" s="86" t="s">
        <v>51</v>
      </c>
      <c r="B221" s="86" t="n">
        <f aca="false">+B189+1</f>
        <v>44723</v>
      </c>
      <c r="C221" s="87" t="s">
        <v>111</v>
      </c>
      <c r="D221" s="87" t="s">
        <v>111</v>
      </c>
      <c r="E221" s="88" t="n">
        <f aca="false">WEEKNUM(Planning2[[#This Row],[Date]],21)</f>
        <v>24</v>
      </c>
      <c r="F221" s="89" t="str">
        <f aca="false">VLOOKUP(A221,Annuaire_roster!B:C,2,0)</f>
        <v>Google Leads</v>
      </c>
      <c r="G221" s="83"/>
      <c r="H221" s="83"/>
    </row>
    <row r="222" customFormat="false" ht="15" hidden="true" customHeight="true" outlineLevel="0" collapsed="false">
      <c r="A222" s="86" t="s">
        <v>39</v>
      </c>
      <c r="B222" s="86" t="n">
        <f aca="false">+B190+1</f>
        <v>44723</v>
      </c>
      <c r="C222" s="87" t="s">
        <v>111</v>
      </c>
      <c r="D222" s="87" t="s">
        <v>111</v>
      </c>
      <c r="E222" s="88" t="n">
        <f aca="false">WEEKNUM(Planning2[[#This Row],[Date]],21)</f>
        <v>24</v>
      </c>
      <c r="F222" s="89" t="str">
        <f aca="false">VLOOKUP(A222,Annuaire_roster!B:C,2,0)</f>
        <v>Google Leads</v>
      </c>
      <c r="G222" s="83"/>
      <c r="H222" s="83"/>
    </row>
    <row r="223" customFormat="false" ht="15" hidden="true" customHeight="true" outlineLevel="0" collapsed="false">
      <c r="A223" s="86" t="s">
        <v>37</v>
      </c>
      <c r="B223" s="86" t="n">
        <f aca="false">+B191+1</f>
        <v>44723</v>
      </c>
      <c r="C223" s="87" t="n">
        <v>0.291666666666667</v>
      </c>
      <c r="D223" s="87" t="n">
        <v>0.666666666666667</v>
      </c>
      <c r="E223" s="88" t="n">
        <f aca="false">WEEKNUM(Planning2[[#This Row],[Date]],21)</f>
        <v>24</v>
      </c>
      <c r="F223" s="89" t="str">
        <f aca="false">VLOOKUP(A223,Annuaire_roster!B:C,2,0)</f>
        <v>Google Leads</v>
      </c>
      <c r="G223" s="83"/>
      <c r="H223" s="83"/>
    </row>
    <row r="224" customFormat="false" ht="15" hidden="true" customHeight="true" outlineLevel="0" collapsed="false">
      <c r="A224" s="86" t="s">
        <v>62</v>
      </c>
      <c r="B224" s="86" t="n">
        <f aca="false">+B192+1</f>
        <v>44723</v>
      </c>
      <c r="C224" s="87" t="n">
        <v>0.416666666666667</v>
      </c>
      <c r="D224" s="87" t="n">
        <v>0.833333333333333</v>
      </c>
      <c r="E224" s="88" t="n">
        <f aca="false">WEEKNUM(Planning2[[#This Row],[Date]],21)</f>
        <v>24</v>
      </c>
      <c r="F224" s="89" t="str">
        <f aca="false">VLOOKUP(A224,Annuaire_roster!B:C,2,0)</f>
        <v>Google Leads</v>
      </c>
      <c r="G224" s="83"/>
      <c r="H224" s="83"/>
    </row>
    <row r="225" customFormat="false" ht="15" hidden="true" customHeight="true" outlineLevel="0" collapsed="false">
      <c r="A225" s="95" t="s">
        <v>47</v>
      </c>
      <c r="B225" s="86" t="n">
        <f aca="false">+B193+1</f>
        <v>44723</v>
      </c>
      <c r="C225" s="87" t="s">
        <v>111</v>
      </c>
      <c r="D225" s="87" t="s">
        <v>111</v>
      </c>
      <c r="E225" s="88" t="n">
        <f aca="false">WEEKNUM(Planning2[[#This Row],[Date]],21)</f>
        <v>24</v>
      </c>
      <c r="F225" s="89" t="str">
        <f aca="false">VLOOKUP(A225,Annuaire_roster!B:C,2,0)</f>
        <v>Google Leads</v>
      </c>
      <c r="G225" s="83"/>
      <c r="H225" s="83"/>
    </row>
  </sheetData>
  <mergeCells count="2">
    <mergeCell ref="K2:K3"/>
    <mergeCell ref="K6:K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10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6" activePane="bottomLeft" state="frozen"/>
      <selection pane="topLeft" activeCell="A1" activeCellId="0" sqref="A1"/>
      <selection pane="bottomLeft" activeCell="A92" activeCellId="0" sqref="A92"/>
    </sheetView>
  </sheetViews>
  <sheetFormatPr defaultColWidth="11.43359375" defaultRowHeight="15" zeroHeight="false" outlineLevelRow="0" outlineLevelCol="0"/>
  <cols>
    <col collapsed="false" customWidth="true" hidden="false" outlineLevel="0" max="1" min="1" style="54" width="10.42"/>
    <col collapsed="false" customWidth="true" hidden="false" outlineLevel="0" max="2" min="2" style="98" width="37.42"/>
    <col collapsed="false" customWidth="true" hidden="false" outlineLevel="0" max="3" min="3" style="54" width="23.29"/>
    <col collapsed="false" customWidth="true" hidden="false" outlineLevel="0" max="4" min="4" style="99" width="23.29"/>
    <col collapsed="false" customWidth="true" hidden="false" outlineLevel="0" max="5" min="5" style="54" width="28.42"/>
    <col collapsed="false" customWidth="true" hidden="false" outlineLevel="0" max="7" min="6" style="54" width="10.42"/>
    <col collapsed="false" customWidth="true" hidden="false" outlineLevel="0" max="8" min="8" style="100" width="17.42"/>
    <col collapsed="false" customWidth="true" hidden="false" outlineLevel="0" max="9" min="9" style="100" width="18.42"/>
    <col collapsed="false" customWidth="true" hidden="false" outlineLevel="0" max="10" min="10" style="54" width="24"/>
    <col collapsed="false" customWidth="false" hidden="false" outlineLevel="0" max="16384" min="11" style="54" width="11.43"/>
  </cols>
  <sheetData>
    <row r="1" customFormat="false" ht="15" hidden="false" customHeight="true" outlineLevel="0" collapsed="false">
      <c r="A1" s="101" t="s">
        <v>0</v>
      </c>
      <c r="B1" s="102" t="s">
        <v>130</v>
      </c>
      <c r="C1" s="101" t="s">
        <v>15</v>
      </c>
      <c r="D1" s="101" t="s">
        <v>25</v>
      </c>
      <c r="E1" s="101" t="s">
        <v>24</v>
      </c>
      <c r="F1" s="101" t="s">
        <v>0</v>
      </c>
      <c r="G1" s="103" t="s">
        <v>26</v>
      </c>
      <c r="H1" s="104" t="s">
        <v>131</v>
      </c>
      <c r="I1" s="105" t="s">
        <v>132</v>
      </c>
      <c r="J1" s="106" t="s">
        <v>133</v>
      </c>
    </row>
    <row r="2" customFormat="false" ht="15" hidden="false" customHeight="true" outlineLevel="0" collapsed="false">
      <c r="A2" s="107" t="n">
        <v>364</v>
      </c>
      <c r="B2" s="108" t="s">
        <v>43</v>
      </c>
      <c r="C2" s="59" t="s">
        <v>134</v>
      </c>
      <c r="D2" s="59" t="s">
        <v>134</v>
      </c>
      <c r="E2" s="109" t="s">
        <v>135</v>
      </c>
      <c r="F2" s="107" t="n">
        <v>364</v>
      </c>
      <c r="G2" s="110" t="s">
        <v>136</v>
      </c>
      <c r="H2" s="111"/>
      <c r="I2" s="98"/>
      <c r="J2" s="112"/>
    </row>
    <row r="3" customFormat="false" ht="15" hidden="false" customHeight="true" outlineLevel="0" collapsed="false">
      <c r="A3" s="107" t="n">
        <v>555</v>
      </c>
      <c r="B3" s="108" t="s">
        <v>137</v>
      </c>
      <c r="C3" s="59" t="s">
        <v>134</v>
      </c>
      <c r="D3" s="59" t="s">
        <v>134</v>
      </c>
      <c r="E3" s="109" t="s">
        <v>135</v>
      </c>
      <c r="F3" s="107" t="n">
        <v>555</v>
      </c>
      <c r="G3" s="110" t="s">
        <v>136</v>
      </c>
      <c r="H3" s="111"/>
      <c r="I3" s="98"/>
      <c r="J3" s="112"/>
    </row>
    <row r="4" customFormat="false" ht="15" hidden="false" customHeight="true" outlineLevel="0" collapsed="false">
      <c r="A4" s="107" t="n">
        <v>973</v>
      </c>
      <c r="B4" s="108" t="s">
        <v>138</v>
      </c>
      <c r="C4" s="59" t="s">
        <v>134</v>
      </c>
      <c r="D4" s="59" t="s">
        <v>134</v>
      </c>
      <c r="E4" s="113" t="s">
        <v>135</v>
      </c>
      <c r="F4" s="107" t="n">
        <v>973</v>
      </c>
      <c r="G4" s="110" t="s">
        <v>136</v>
      </c>
      <c r="H4" s="111"/>
      <c r="I4" s="98"/>
      <c r="J4" s="112"/>
    </row>
    <row r="5" customFormat="false" ht="15" hidden="false" customHeight="true" outlineLevel="0" collapsed="false">
      <c r="A5" s="107" t="n">
        <v>952</v>
      </c>
      <c r="B5" s="108" t="s">
        <v>115</v>
      </c>
      <c r="C5" s="59" t="s">
        <v>134</v>
      </c>
      <c r="D5" s="59" t="s">
        <v>134</v>
      </c>
      <c r="E5" s="109" t="s">
        <v>135</v>
      </c>
      <c r="F5" s="107" t="n">
        <v>952</v>
      </c>
      <c r="G5" s="110" t="s">
        <v>136</v>
      </c>
      <c r="H5" s="111"/>
      <c r="I5" s="98"/>
      <c r="J5" s="112"/>
    </row>
    <row r="6" customFormat="false" ht="15" hidden="false" customHeight="true" outlineLevel="0" collapsed="false">
      <c r="A6" s="107" t="n">
        <v>1009</v>
      </c>
      <c r="B6" s="108" t="s">
        <v>44</v>
      </c>
      <c r="C6" s="114" t="s">
        <v>134</v>
      </c>
      <c r="D6" s="114" t="s">
        <v>134</v>
      </c>
      <c r="E6" s="109" t="s">
        <v>135</v>
      </c>
      <c r="F6" s="107" t="n">
        <v>1009</v>
      </c>
      <c r="G6" s="110" t="s">
        <v>136</v>
      </c>
      <c r="H6" s="111"/>
      <c r="I6" s="98"/>
      <c r="J6" s="115" t="s">
        <v>139</v>
      </c>
    </row>
    <row r="7" customFormat="false" ht="15" hidden="false" customHeight="true" outlineLevel="0" collapsed="false">
      <c r="A7" s="107" t="n">
        <v>1007</v>
      </c>
      <c r="B7" s="108" t="s">
        <v>59</v>
      </c>
      <c r="C7" s="59" t="s">
        <v>134</v>
      </c>
      <c r="D7" s="59" t="s">
        <v>134</v>
      </c>
      <c r="E7" s="109" t="s">
        <v>135</v>
      </c>
      <c r="F7" s="107" t="n">
        <v>1007</v>
      </c>
      <c r="G7" s="110" t="s">
        <v>136</v>
      </c>
      <c r="H7" s="111"/>
      <c r="I7" s="98"/>
      <c r="J7" s="115" t="s">
        <v>140</v>
      </c>
    </row>
    <row r="8" customFormat="false" ht="15" hidden="false" customHeight="true" outlineLevel="0" collapsed="false">
      <c r="A8" s="107" t="n">
        <v>366</v>
      </c>
      <c r="B8" s="108" t="s">
        <v>141</v>
      </c>
      <c r="C8" s="59" t="s">
        <v>134</v>
      </c>
      <c r="D8" s="59" t="s">
        <v>134</v>
      </c>
      <c r="E8" s="109" t="s">
        <v>135</v>
      </c>
      <c r="F8" s="107" t="n">
        <v>366</v>
      </c>
      <c r="G8" s="110" t="s">
        <v>136</v>
      </c>
      <c r="H8" s="111"/>
      <c r="I8" s="98"/>
      <c r="J8" s="115" t="s">
        <v>142</v>
      </c>
    </row>
    <row r="9" customFormat="false" ht="15" hidden="false" customHeight="true" outlineLevel="0" collapsed="false">
      <c r="A9" s="107" t="n">
        <v>894</v>
      </c>
      <c r="B9" s="108" t="s">
        <v>57</v>
      </c>
      <c r="C9" s="59" t="s">
        <v>134</v>
      </c>
      <c r="D9" s="59" t="s">
        <v>134</v>
      </c>
      <c r="E9" s="109" t="s">
        <v>135</v>
      </c>
      <c r="F9" s="107" t="n">
        <v>894</v>
      </c>
      <c r="G9" s="110" t="s">
        <v>136</v>
      </c>
      <c r="H9" s="111"/>
      <c r="I9" s="98"/>
      <c r="J9" s="112"/>
    </row>
    <row r="10" customFormat="false" ht="15" hidden="false" customHeight="true" outlineLevel="0" collapsed="false">
      <c r="A10" s="107" t="n">
        <v>742</v>
      </c>
      <c r="B10" s="108" t="s">
        <v>103</v>
      </c>
      <c r="C10" s="59" t="s">
        <v>134</v>
      </c>
      <c r="D10" s="59" t="s">
        <v>134</v>
      </c>
      <c r="E10" s="109" t="s">
        <v>135</v>
      </c>
      <c r="F10" s="107" t="n">
        <v>742</v>
      </c>
      <c r="G10" s="110" t="s">
        <v>136</v>
      </c>
      <c r="H10" s="111"/>
      <c r="I10" s="98"/>
      <c r="J10" s="115" t="s">
        <v>143</v>
      </c>
      <c r="M10" s="116"/>
    </row>
    <row r="11" customFormat="false" ht="15" hidden="false" customHeight="true" outlineLevel="0" collapsed="false">
      <c r="A11" s="107" t="n">
        <v>397</v>
      </c>
      <c r="B11" s="108" t="s">
        <v>56</v>
      </c>
      <c r="C11" s="59" t="s">
        <v>134</v>
      </c>
      <c r="D11" s="59" t="s">
        <v>134</v>
      </c>
      <c r="E11" s="113" t="s">
        <v>135</v>
      </c>
      <c r="F11" s="107" t="n">
        <v>397</v>
      </c>
      <c r="G11" s="110" t="s">
        <v>136</v>
      </c>
      <c r="H11" s="111"/>
      <c r="I11" s="98"/>
      <c r="J11" s="112"/>
      <c r="M11" s="116"/>
    </row>
    <row r="12" customFormat="false" ht="15" hidden="false" customHeight="true" outlineLevel="0" collapsed="false">
      <c r="A12" s="107" t="n">
        <v>1141</v>
      </c>
      <c r="B12" s="108" t="s">
        <v>144</v>
      </c>
      <c r="C12" s="59" t="s">
        <v>134</v>
      </c>
      <c r="D12" s="59" t="s">
        <v>134</v>
      </c>
      <c r="E12" s="113" t="s">
        <v>135</v>
      </c>
      <c r="F12" s="107" t="n">
        <v>1141</v>
      </c>
      <c r="G12" s="110" t="s">
        <v>136</v>
      </c>
      <c r="H12" s="111"/>
      <c r="I12" s="98"/>
      <c r="J12" s="112"/>
      <c r="M12" s="116"/>
    </row>
    <row r="13" customFormat="false" ht="15" hidden="false" customHeight="true" outlineLevel="0" collapsed="false">
      <c r="A13" s="107" t="n">
        <v>1167</v>
      </c>
      <c r="B13" s="108" t="s">
        <v>55</v>
      </c>
      <c r="C13" s="59" t="s">
        <v>134</v>
      </c>
      <c r="D13" s="59" t="s">
        <v>134</v>
      </c>
      <c r="E13" s="113" t="s">
        <v>135</v>
      </c>
      <c r="F13" s="107" t="n">
        <v>1167</v>
      </c>
      <c r="G13" s="110" t="s">
        <v>136</v>
      </c>
      <c r="H13" s="111"/>
      <c r="I13" s="98"/>
      <c r="J13" s="115" t="s">
        <v>145</v>
      </c>
      <c r="M13" s="116"/>
    </row>
    <row r="14" customFormat="false" ht="15" hidden="false" customHeight="true" outlineLevel="0" collapsed="false">
      <c r="A14" s="107" t="n">
        <v>1161</v>
      </c>
      <c r="B14" s="108" t="s">
        <v>146</v>
      </c>
      <c r="C14" s="59" t="s">
        <v>134</v>
      </c>
      <c r="D14" s="59" t="s">
        <v>134</v>
      </c>
      <c r="E14" s="113" t="s">
        <v>135</v>
      </c>
      <c r="F14" s="107" t="n">
        <v>1161</v>
      </c>
      <c r="G14" s="110" t="s">
        <v>136</v>
      </c>
      <c r="H14" s="111"/>
      <c r="I14" s="98"/>
      <c r="J14" s="112"/>
      <c r="M14" s="116"/>
    </row>
    <row r="15" customFormat="false" ht="15" hidden="false" customHeight="true" outlineLevel="0" collapsed="false">
      <c r="A15" s="107" t="n">
        <v>1165</v>
      </c>
      <c r="B15" s="117" t="s">
        <v>40</v>
      </c>
      <c r="C15" s="59" t="s">
        <v>134</v>
      </c>
      <c r="D15" s="59" t="s">
        <v>134</v>
      </c>
      <c r="E15" s="113" t="s">
        <v>135</v>
      </c>
      <c r="F15" s="107" t="n">
        <v>1165</v>
      </c>
      <c r="G15" s="110" t="s">
        <v>136</v>
      </c>
      <c r="H15" s="111"/>
      <c r="I15" s="98"/>
      <c r="J15" s="115" t="s">
        <v>147</v>
      </c>
      <c r="M15" s="116"/>
    </row>
    <row r="16" customFormat="false" ht="15" hidden="false" customHeight="true" outlineLevel="0" collapsed="false">
      <c r="A16" s="107" t="n">
        <v>1274</v>
      </c>
      <c r="B16" s="117" t="s">
        <v>54</v>
      </c>
      <c r="C16" s="59" t="s">
        <v>134</v>
      </c>
      <c r="D16" s="59" t="s">
        <v>134</v>
      </c>
      <c r="E16" s="109" t="s">
        <v>135</v>
      </c>
      <c r="F16" s="107" t="n">
        <v>1274</v>
      </c>
      <c r="G16" s="110" t="s">
        <v>136</v>
      </c>
      <c r="H16" s="111"/>
      <c r="I16" s="98"/>
      <c r="J16" s="115" t="s">
        <v>148</v>
      </c>
    </row>
    <row r="17" customFormat="false" ht="15" hidden="false" customHeight="true" outlineLevel="0" collapsed="false">
      <c r="A17" s="107" t="n">
        <v>1309</v>
      </c>
      <c r="B17" s="117" t="s">
        <v>149</v>
      </c>
      <c r="C17" s="59" t="s">
        <v>134</v>
      </c>
      <c r="D17" s="59" t="s">
        <v>134</v>
      </c>
      <c r="E17" s="109" t="s">
        <v>135</v>
      </c>
      <c r="F17" s="107" t="n">
        <v>1309</v>
      </c>
      <c r="G17" s="110" t="s">
        <v>136</v>
      </c>
      <c r="H17" s="111"/>
      <c r="I17" s="98"/>
      <c r="J17" s="112"/>
    </row>
    <row r="18" customFormat="false" ht="15" hidden="false" customHeight="true" outlineLevel="0" collapsed="false">
      <c r="A18" s="107" t="n">
        <v>1169</v>
      </c>
      <c r="B18" s="117" t="s">
        <v>150</v>
      </c>
      <c r="C18" s="59" t="s">
        <v>134</v>
      </c>
      <c r="D18" s="59" t="s">
        <v>134</v>
      </c>
      <c r="E18" s="113" t="s">
        <v>135</v>
      </c>
      <c r="F18" s="107"/>
      <c r="G18" s="110" t="s">
        <v>136</v>
      </c>
      <c r="H18" s="111"/>
      <c r="I18" s="98"/>
      <c r="J18" s="112"/>
    </row>
    <row r="19" customFormat="false" ht="15" hidden="false" customHeight="true" outlineLevel="0" collapsed="false">
      <c r="A19" s="107" t="n">
        <v>1283</v>
      </c>
      <c r="B19" s="108" t="s">
        <v>151</v>
      </c>
      <c r="C19" s="59" t="s">
        <v>134</v>
      </c>
      <c r="D19" s="59" t="s">
        <v>134</v>
      </c>
      <c r="E19" s="109" t="s">
        <v>135</v>
      </c>
      <c r="F19" s="107" t="n">
        <v>1283</v>
      </c>
      <c r="G19" s="110" t="s">
        <v>136</v>
      </c>
      <c r="H19" s="111"/>
      <c r="I19" s="98"/>
      <c r="J19" s="112"/>
    </row>
    <row r="20" customFormat="false" ht="15" hidden="false" customHeight="true" outlineLevel="0" collapsed="false">
      <c r="A20" s="107" t="n">
        <v>1008</v>
      </c>
      <c r="B20" s="118" t="s">
        <v>60</v>
      </c>
      <c r="C20" s="59" t="s">
        <v>134</v>
      </c>
      <c r="D20" s="59" t="s">
        <v>134</v>
      </c>
      <c r="E20" s="119" t="s">
        <v>152</v>
      </c>
      <c r="F20" s="107" t="n">
        <v>1008</v>
      </c>
      <c r="G20" s="110" t="s">
        <v>136</v>
      </c>
      <c r="H20" s="111"/>
      <c r="I20" s="98"/>
      <c r="J20" s="115" t="s">
        <v>153</v>
      </c>
    </row>
    <row r="21" customFormat="false" ht="15" hidden="false" customHeight="true" outlineLevel="0" collapsed="false">
      <c r="A21" s="107" t="n">
        <v>633</v>
      </c>
      <c r="B21" s="118" t="s">
        <v>113</v>
      </c>
      <c r="C21" s="59" t="s">
        <v>134</v>
      </c>
      <c r="D21" s="59" t="s">
        <v>134</v>
      </c>
      <c r="E21" s="119" t="s">
        <v>152</v>
      </c>
      <c r="F21" s="107" t="n">
        <v>633</v>
      </c>
      <c r="G21" s="110" t="s">
        <v>136</v>
      </c>
      <c r="H21" s="111"/>
      <c r="I21" s="111"/>
      <c r="J21" s="112"/>
    </row>
    <row r="22" customFormat="false" ht="15" hidden="false" customHeight="true" outlineLevel="0" collapsed="false">
      <c r="A22" s="107" t="n">
        <v>949</v>
      </c>
      <c r="B22" s="118" t="s">
        <v>119</v>
      </c>
      <c r="C22" s="59" t="s">
        <v>134</v>
      </c>
      <c r="D22" s="59" t="s">
        <v>134</v>
      </c>
      <c r="E22" s="119" t="s">
        <v>152</v>
      </c>
      <c r="F22" s="107" t="n">
        <v>949</v>
      </c>
      <c r="G22" s="110" t="s">
        <v>136</v>
      </c>
      <c r="H22" s="111"/>
      <c r="I22" s="111"/>
      <c r="J22" s="115" t="s">
        <v>154</v>
      </c>
    </row>
    <row r="23" customFormat="false" ht="15" hidden="false" customHeight="true" outlineLevel="0" collapsed="false">
      <c r="A23" s="107" t="n">
        <v>971</v>
      </c>
      <c r="B23" s="118" t="s">
        <v>58</v>
      </c>
      <c r="C23" s="59" t="s">
        <v>134</v>
      </c>
      <c r="D23" s="59" t="s">
        <v>134</v>
      </c>
      <c r="E23" s="119" t="s">
        <v>152</v>
      </c>
      <c r="F23" s="107" t="n">
        <v>971</v>
      </c>
      <c r="G23" s="110" t="s">
        <v>136</v>
      </c>
      <c r="H23" s="111"/>
      <c r="I23" s="111"/>
      <c r="J23" s="112"/>
    </row>
    <row r="24" customFormat="false" ht="15" hidden="false" customHeight="true" outlineLevel="0" collapsed="false">
      <c r="A24" s="107" t="n">
        <v>669</v>
      </c>
      <c r="B24" s="118" t="s">
        <v>120</v>
      </c>
      <c r="C24" s="59" t="s">
        <v>134</v>
      </c>
      <c r="D24" s="59" t="s">
        <v>134</v>
      </c>
      <c r="E24" s="119" t="s">
        <v>152</v>
      </c>
      <c r="F24" s="107" t="n">
        <v>669</v>
      </c>
      <c r="G24" s="110" t="s">
        <v>136</v>
      </c>
      <c r="H24" s="111"/>
      <c r="I24" s="98"/>
      <c r="J24" s="112"/>
    </row>
    <row r="25" customFormat="false" ht="15" hidden="false" customHeight="true" outlineLevel="0" collapsed="false">
      <c r="A25" s="107" t="n">
        <v>1125</v>
      </c>
      <c r="B25" s="118" t="s">
        <v>155</v>
      </c>
      <c r="C25" s="59" t="s">
        <v>134</v>
      </c>
      <c r="D25" s="59" t="s">
        <v>134</v>
      </c>
      <c r="E25" s="119" t="s">
        <v>152</v>
      </c>
      <c r="F25" s="107" t="n">
        <v>1125</v>
      </c>
      <c r="G25" s="110" t="s">
        <v>136</v>
      </c>
      <c r="H25" s="111"/>
      <c r="I25" s="111"/>
      <c r="J25" s="112"/>
    </row>
    <row r="26" customFormat="false" ht="15" hidden="false" customHeight="true" outlineLevel="0" collapsed="false">
      <c r="A26" s="107" t="n">
        <v>1131</v>
      </c>
      <c r="B26" s="118" t="s">
        <v>50</v>
      </c>
      <c r="C26" s="59" t="s">
        <v>134</v>
      </c>
      <c r="D26" s="59" t="s">
        <v>134</v>
      </c>
      <c r="E26" s="119" t="s">
        <v>152</v>
      </c>
      <c r="F26" s="107" t="n">
        <v>1131</v>
      </c>
      <c r="G26" s="110" t="s">
        <v>136</v>
      </c>
      <c r="H26" s="111"/>
      <c r="I26" s="111"/>
      <c r="J26" s="115" t="s">
        <v>156</v>
      </c>
    </row>
    <row r="27" customFormat="false" ht="15" hidden="false" customHeight="true" outlineLevel="0" collapsed="false">
      <c r="A27" s="107" t="n">
        <v>1145</v>
      </c>
      <c r="B27" s="118" t="s">
        <v>61</v>
      </c>
      <c r="C27" s="59" t="s">
        <v>134</v>
      </c>
      <c r="D27" s="59" t="s">
        <v>134</v>
      </c>
      <c r="E27" s="120" t="s">
        <v>152</v>
      </c>
      <c r="F27" s="107" t="n">
        <v>1145</v>
      </c>
      <c r="G27" s="110" t="s">
        <v>136</v>
      </c>
      <c r="H27" s="111"/>
      <c r="I27" s="98"/>
      <c r="J27" s="115" t="s">
        <v>157</v>
      </c>
    </row>
    <row r="28" customFormat="false" ht="15" hidden="false" customHeight="true" outlineLevel="0" collapsed="false">
      <c r="A28" s="107" t="n">
        <v>1148</v>
      </c>
      <c r="B28" s="118" t="s">
        <v>116</v>
      </c>
      <c r="C28" s="59" t="s">
        <v>134</v>
      </c>
      <c r="D28" s="59" t="s">
        <v>134</v>
      </c>
      <c r="E28" s="119" t="s">
        <v>152</v>
      </c>
      <c r="F28" s="107" t="n">
        <v>1148</v>
      </c>
      <c r="G28" s="110" t="s">
        <v>136</v>
      </c>
      <c r="H28" s="111"/>
      <c r="I28" s="98"/>
      <c r="J28" s="112"/>
    </row>
    <row r="29" customFormat="false" ht="15" hidden="false" customHeight="true" outlineLevel="0" collapsed="false">
      <c r="A29" s="107" t="n">
        <v>1152</v>
      </c>
      <c r="B29" s="118" t="s">
        <v>158</v>
      </c>
      <c r="C29" s="59" t="s">
        <v>134</v>
      </c>
      <c r="D29" s="59" t="s">
        <v>134</v>
      </c>
      <c r="E29" s="119" t="s">
        <v>152</v>
      </c>
      <c r="F29" s="107" t="n">
        <v>1152</v>
      </c>
      <c r="G29" s="110" t="s">
        <v>136</v>
      </c>
      <c r="H29" s="111"/>
      <c r="I29" s="98"/>
      <c r="J29" s="112"/>
    </row>
    <row r="30" customFormat="false" ht="15" hidden="false" customHeight="true" outlineLevel="0" collapsed="false">
      <c r="A30" s="107" t="n">
        <v>1132</v>
      </c>
      <c r="B30" s="118" t="s">
        <v>52</v>
      </c>
      <c r="C30" s="59" t="s">
        <v>134</v>
      </c>
      <c r="D30" s="59" t="s">
        <v>134</v>
      </c>
      <c r="E30" s="119" t="s">
        <v>152</v>
      </c>
      <c r="F30" s="107" t="n">
        <v>1132</v>
      </c>
      <c r="G30" s="110" t="s">
        <v>136</v>
      </c>
      <c r="H30" s="111"/>
      <c r="I30" s="98"/>
      <c r="J30" s="115" t="s">
        <v>159</v>
      </c>
    </row>
    <row r="31" customFormat="false" ht="15" hidden="false" customHeight="true" outlineLevel="0" collapsed="false">
      <c r="A31" s="121" t="n">
        <v>1170</v>
      </c>
      <c r="B31" s="118" t="s">
        <v>64</v>
      </c>
      <c r="C31" s="59" t="s">
        <v>134</v>
      </c>
      <c r="D31" s="59" t="s">
        <v>134</v>
      </c>
      <c r="E31" s="120" t="s">
        <v>152</v>
      </c>
      <c r="F31" s="121" t="n">
        <v>1170</v>
      </c>
      <c r="G31" s="110" t="s">
        <v>136</v>
      </c>
      <c r="H31" s="111"/>
      <c r="I31" s="98"/>
      <c r="J31" s="115" t="s">
        <v>160</v>
      </c>
    </row>
    <row r="32" customFormat="false" ht="15" hidden="false" customHeight="true" outlineLevel="0" collapsed="false">
      <c r="A32" s="107" t="n">
        <v>1154</v>
      </c>
      <c r="B32" s="122" t="s">
        <v>53</v>
      </c>
      <c r="C32" s="59" t="s">
        <v>134</v>
      </c>
      <c r="D32" s="59" t="s">
        <v>134</v>
      </c>
      <c r="E32" s="119" t="s">
        <v>152</v>
      </c>
      <c r="F32" s="107" t="n">
        <v>1154</v>
      </c>
      <c r="G32" s="110" t="s">
        <v>136</v>
      </c>
      <c r="H32" s="111"/>
      <c r="I32" s="98"/>
      <c r="J32" s="115" t="s">
        <v>161</v>
      </c>
    </row>
    <row r="33" customFormat="false" ht="15" hidden="false" customHeight="true" outlineLevel="0" collapsed="false">
      <c r="A33" s="121" t="n">
        <v>1146</v>
      </c>
      <c r="B33" s="118" t="s">
        <v>162</v>
      </c>
      <c r="C33" s="59" t="s">
        <v>134</v>
      </c>
      <c r="D33" s="59" t="s">
        <v>134</v>
      </c>
      <c r="E33" s="119" t="s">
        <v>152</v>
      </c>
      <c r="F33" s="121" t="n">
        <v>1146</v>
      </c>
      <c r="G33" s="110" t="s">
        <v>136</v>
      </c>
      <c r="H33" s="111"/>
      <c r="I33" s="98"/>
      <c r="J33" s="112"/>
    </row>
    <row r="34" customFormat="false" ht="15" hidden="false" customHeight="true" outlineLevel="0" collapsed="false">
      <c r="A34" s="107" t="n">
        <v>1189</v>
      </c>
      <c r="B34" s="118" t="s">
        <v>163</v>
      </c>
      <c r="C34" s="59" t="s">
        <v>134</v>
      </c>
      <c r="D34" s="59" t="s">
        <v>134</v>
      </c>
      <c r="E34" s="119" t="s">
        <v>152</v>
      </c>
      <c r="F34" s="107" t="n">
        <v>1189</v>
      </c>
      <c r="G34" s="110" t="s">
        <v>136</v>
      </c>
      <c r="H34" s="111"/>
      <c r="I34" s="98"/>
      <c r="J34" s="112"/>
    </row>
    <row r="35" customFormat="false" ht="15" hidden="false" customHeight="true" outlineLevel="0" collapsed="false">
      <c r="A35" s="107"/>
      <c r="B35" s="123" t="s">
        <v>164</v>
      </c>
      <c r="C35" s="59" t="s">
        <v>134</v>
      </c>
      <c r="D35" s="59" t="s">
        <v>134</v>
      </c>
      <c r="E35" s="119" t="s">
        <v>152</v>
      </c>
      <c r="F35" s="107"/>
      <c r="G35" s="110" t="s">
        <v>136</v>
      </c>
      <c r="H35" s="111"/>
      <c r="I35" s="98"/>
      <c r="J35" s="112"/>
    </row>
    <row r="36" customFormat="false" ht="15" hidden="false" customHeight="true" outlineLevel="0" collapsed="false">
      <c r="A36" s="107" t="n">
        <v>1174</v>
      </c>
      <c r="B36" s="118" t="s">
        <v>165</v>
      </c>
      <c r="C36" s="59" t="s">
        <v>134</v>
      </c>
      <c r="D36" s="59" t="s">
        <v>134</v>
      </c>
      <c r="E36" s="119" t="s">
        <v>152</v>
      </c>
      <c r="F36" s="107"/>
      <c r="G36" s="110" t="s">
        <v>136</v>
      </c>
      <c r="H36" s="111"/>
      <c r="I36" s="111"/>
      <c r="J36" s="112"/>
    </row>
    <row r="37" customFormat="false" ht="15" hidden="false" customHeight="true" outlineLevel="0" collapsed="false">
      <c r="A37" s="107" t="n">
        <v>895</v>
      </c>
      <c r="B37" s="118" t="s">
        <v>166</v>
      </c>
      <c r="C37" s="59" t="s">
        <v>134</v>
      </c>
      <c r="D37" s="59" t="s">
        <v>134</v>
      </c>
      <c r="E37" s="119" t="s">
        <v>152</v>
      </c>
      <c r="F37" s="107" t="n">
        <v>895</v>
      </c>
      <c r="G37" s="110" t="s">
        <v>136</v>
      </c>
      <c r="H37" s="111"/>
      <c r="I37" s="111"/>
      <c r="J37" s="112"/>
    </row>
    <row r="38" customFormat="false" ht="15" hidden="false" customHeight="true" outlineLevel="0" collapsed="false">
      <c r="A38" s="107" t="n">
        <v>1192</v>
      </c>
      <c r="B38" s="118" t="s">
        <v>41</v>
      </c>
      <c r="C38" s="59" t="s">
        <v>134</v>
      </c>
      <c r="D38" s="59" t="s">
        <v>134</v>
      </c>
      <c r="E38" s="119" t="s">
        <v>152</v>
      </c>
      <c r="F38" s="107"/>
      <c r="G38" s="110" t="s">
        <v>136</v>
      </c>
      <c r="H38" s="111"/>
      <c r="I38" s="98"/>
      <c r="J38" s="112"/>
    </row>
    <row r="39" customFormat="false" ht="15" hidden="true" customHeight="true" outlineLevel="0" collapsed="false">
      <c r="A39" s="107" t="n">
        <v>86</v>
      </c>
      <c r="B39" s="124" t="s">
        <v>167</v>
      </c>
      <c r="C39" s="59" t="s">
        <v>168</v>
      </c>
      <c r="D39" s="59" t="s">
        <v>168</v>
      </c>
      <c r="E39" s="125" t="s">
        <v>169</v>
      </c>
      <c r="F39" s="107" t="n">
        <v>86</v>
      </c>
      <c r="G39" s="110" t="s">
        <v>136</v>
      </c>
      <c r="H39" s="111"/>
      <c r="I39" s="98"/>
    </row>
    <row r="40" customFormat="false" ht="15" hidden="true" customHeight="true" outlineLevel="0" collapsed="false">
      <c r="A40" s="107" t="n">
        <v>777</v>
      </c>
      <c r="B40" s="124" t="s">
        <v>170</v>
      </c>
      <c r="C40" s="59" t="s">
        <v>168</v>
      </c>
      <c r="D40" s="59" t="s">
        <v>168</v>
      </c>
      <c r="E40" s="125" t="s">
        <v>169</v>
      </c>
      <c r="F40" s="107" t="n">
        <v>777</v>
      </c>
      <c r="G40" s="110" t="s">
        <v>136</v>
      </c>
      <c r="H40" s="111"/>
      <c r="I40" s="98"/>
    </row>
    <row r="41" customFormat="false" ht="15" hidden="true" customHeight="true" outlineLevel="0" collapsed="false">
      <c r="A41" s="107" t="n">
        <v>1006</v>
      </c>
      <c r="B41" s="126" t="s">
        <v>171</v>
      </c>
      <c r="C41" s="114" t="s">
        <v>168</v>
      </c>
      <c r="D41" s="114" t="s">
        <v>168</v>
      </c>
      <c r="E41" s="125" t="s">
        <v>169</v>
      </c>
      <c r="F41" s="107" t="n">
        <v>1006</v>
      </c>
      <c r="G41" s="110" t="s">
        <v>136</v>
      </c>
      <c r="H41" s="111"/>
      <c r="I41" s="98"/>
    </row>
    <row r="42" customFormat="false" ht="15" hidden="true" customHeight="true" outlineLevel="0" collapsed="false">
      <c r="A42" s="107" t="n">
        <v>1183</v>
      </c>
      <c r="B42" s="124" t="s">
        <v>172</v>
      </c>
      <c r="C42" s="59" t="s">
        <v>168</v>
      </c>
      <c r="D42" s="59" t="s">
        <v>168</v>
      </c>
      <c r="E42" s="125" t="s">
        <v>169</v>
      </c>
      <c r="F42" s="107" t="n">
        <v>1183</v>
      </c>
      <c r="G42" s="110" t="s">
        <v>136</v>
      </c>
      <c r="H42" s="111"/>
      <c r="I42" s="98"/>
    </row>
    <row r="43" customFormat="false" ht="15" hidden="true" customHeight="true" outlineLevel="0" collapsed="false">
      <c r="A43" s="107" t="n">
        <v>1180</v>
      </c>
      <c r="B43" s="124" t="s">
        <v>173</v>
      </c>
      <c r="C43" s="59" t="s">
        <v>168</v>
      </c>
      <c r="D43" s="59" t="s">
        <v>168</v>
      </c>
      <c r="E43" s="127" t="s">
        <v>169</v>
      </c>
      <c r="F43" s="107" t="n">
        <v>1180</v>
      </c>
      <c r="G43" s="110" t="s">
        <v>136</v>
      </c>
      <c r="H43" s="111"/>
      <c r="I43" s="98"/>
    </row>
    <row r="44" customFormat="false" ht="15" hidden="true" customHeight="true" outlineLevel="0" collapsed="false">
      <c r="A44" s="107" t="n">
        <v>620</v>
      </c>
      <c r="B44" s="128" t="s">
        <v>174</v>
      </c>
      <c r="C44" s="59" t="s">
        <v>175</v>
      </c>
      <c r="D44" s="59" t="s">
        <v>175</v>
      </c>
      <c r="E44" s="129" t="s">
        <v>169</v>
      </c>
      <c r="F44" s="107" t="n">
        <v>620</v>
      </c>
      <c r="G44" s="110" t="s">
        <v>136</v>
      </c>
      <c r="H44" s="111"/>
      <c r="I44" s="98"/>
    </row>
    <row r="45" customFormat="false" ht="15" hidden="true" customHeight="true" outlineLevel="0" collapsed="false">
      <c r="A45" s="107" t="n">
        <v>1283</v>
      </c>
      <c r="B45" s="128" t="s">
        <v>176</v>
      </c>
      <c r="C45" s="98" t="s">
        <v>175</v>
      </c>
      <c r="D45" s="114" t="s">
        <v>175</v>
      </c>
      <c r="E45" s="129" t="s">
        <v>169</v>
      </c>
      <c r="F45" s="107" t="n">
        <v>1283</v>
      </c>
      <c r="G45" s="110" t="s">
        <v>136</v>
      </c>
      <c r="H45" s="111"/>
      <c r="I45" s="98"/>
    </row>
    <row r="46" customFormat="false" ht="15" hidden="true" customHeight="true" outlineLevel="0" collapsed="false">
      <c r="A46" s="107" t="n">
        <v>1252</v>
      </c>
      <c r="B46" s="128" t="s">
        <v>177</v>
      </c>
      <c r="C46" s="59" t="s">
        <v>175</v>
      </c>
      <c r="D46" s="59" t="s">
        <v>175</v>
      </c>
      <c r="E46" s="130" t="s">
        <v>169</v>
      </c>
      <c r="F46" s="107" t="n">
        <v>1252</v>
      </c>
      <c r="G46" s="110" t="s">
        <v>136</v>
      </c>
      <c r="H46" s="111"/>
      <c r="I46" s="98"/>
    </row>
    <row r="47" customFormat="false" ht="15" hidden="true" customHeight="true" outlineLevel="0" collapsed="false">
      <c r="A47" s="107" t="n">
        <v>1149</v>
      </c>
      <c r="B47" s="128" t="s">
        <v>178</v>
      </c>
      <c r="C47" s="59" t="s">
        <v>175</v>
      </c>
      <c r="D47" s="59" t="s">
        <v>175</v>
      </c>
      <c r="E47" s="129" t="s">
        <v>169</v>
      </c>
      <c r="F47" s="107" t="n">
        <v>1149</v>
      </c>
      <c r="G47" s="110" t="s">
        <v>136</v>
      </c>
      <c r="H47" s="111"/>
      <c r="I47" s="98"/>
    </row>
    <row r="48" customFormat="false" ht="15" hidden="false" customHeight="true" outlineLevel="0" collapsed="false">
      <c r="A48" s="107" t="n">
        <v>1155</v>
      </c>
      <c r="B48" s="128" t="s">
        <v>179</v>
      </c>
      <c r="C48" s="59" t="s">
        <v>134</v>
      </c>
      <c r="D48" s="59" t="s">
        <v>134</v>
      </c>
      <c r="E48" s="109" t="s">
        <v>135</v>
      </c>
      <c r="F48" s="107"/>
      <c r="G48" s="110" t="s">
        <v>136</v>
      </c>
      <c r="H48" s="111"/>
      <c r="I48" s="98"/>
      <c r="J48" s="112"/>
    </row>
    <row r="49" customFormat="false" ht="15" hidden="true" customHeight="true" outlineLevel="0" collapsed="false">
      <c r="A49" s="107" t="n">
        <v>1187</v>
      </c>
      <c r="B49" s="128" t="s">
        <v>180</v>
      </c>
      <c r="C49" s="94" t="s">
        <v>175</v>
      </c>
      <c r="D49" s="59" t="s">
        <v>175</v>
      </c>
      <c r="E49" s="129" t="s">
        <v>169</v>
      </c>
      <c r="F49" s="107" t="n">
        <v>1187</v>
      </c>
      <c r="G49" s="110" t="s">
        <v>136</v>
      </c>
      <c r="H49" s="111"/>
      <c r="I49" s="98"/>
    </row>
    <row r="50" customFormat="false" ht="15" hidden="true" customHeight="true" outlineLevel="0" collapsed="false">
      <c r="A50" s="107" t="n">
        <v>1012</v>
      </c>
      <c r="B50" s="131" t="s">
        <v>181</v>
      </c>
      <c r="C50" s="59" t="s">
        <v>182</v>
      </c>
      <c r="D50" s="59" t="s">
        <v>182</v>
      </c>
      <c r="E50" s="132" t="s">
        <v>183</v>
      </c>
      <c r="F50" s="107" t="n">
        <v>1012</v>
      </c>
      <c r="G50" s="110" t="s">
        <v>136</v>
      </c>
      <c r="H50" s="111"/>
      <c r="I50" s="98"/>
    </row>
    <row r="51" customFormat="false" ht="15" hidden="true" customHeight="true" outlineLevel="0" collapsed="false">
      <c r="A51" s="107" t="n">
        <v>987</v>
      </c>
      <c r="B51" s="131" t="s">
        <v>184</v>
      </c>
      <c r="C51" s="59" t="s">
        <v>182</v>
      </c>
      <c r="D51" s="59" t="s">
        <v>182</v>
      </c>
      <c r="E51" s="132" t="s">
        <v>183</v>
      </c>
      <c r="F51" s="107" t="n">
        <v>987</v>
      </c>
      <c r="G51" s="110" t="s">
        <v>136</v>
      </c>
      <c r="H51" s="111"/>
      <c r="I51" s="98"/>
    </row>
    <row r="52" customFormat="false" ht="15" hidden="true" customHeight="true" outlineLevel="0" collapsed="false">
      <c r="A52" s="107" t="n">
        <v>983</v>
      </c>
      <c r="B52" s="131" t="s">
        <v>185</v>
      </c>
      <c r="C52" s="59" t="s">
        <v>182</v>
      </c>
      <c r="D52" s="59" t="s">
        <v>182</v>
      </c>
      <c r="E52" s="133" t="s">
        <v>183</v>
      </c>
      <c r="F52" s="107" t="n">
        <v>983</v>
      </c>
      <c r="G52" s="110" t="s">
        <v>136</v>
      </c>
      <c r="H52" s="111"/>
      <c r="I52" s="111"/>
    </row>
    <row r="53" customFormat="false" ht="15" hidden="true" customHeight="true" outlineLevel="0" collapsed="false">
      <c r="A53" s="107" t="n">
        <v>1025</v>
      </c>
      <c r="B53" s="131" t="s">
        <v>186</v>
      </c>
      <c r="C53" s="59" t="s">
        <v>182</v>
      </c>
      <c r="D53" s="59" t="s">
        <v>182</v>
      </c>
      <c r="E53" s="132" t="s">
        <v>183</v>
      </c>
      <c r="F53" s="107" t="n">
        <v>1025</v>
      </c>
      <c r="G53" s="110" t="s">
        <v>136</v>
      </c>
      <c r="H53" s="111"/>
      <c r="I53" s="98"/>
    </row>
    <row r="54" customFormat="false" ht="15" hidden="true" customHeight="true" outlineLevel="0" collapsed="false">
      <c r="A54" s="107" t="n">
        <v>1070</v>
      </c>
      <c r="B54" s="134" t="s">
        <v>187</v>
      </c>
      <c r="C54" s="59" t="s">
        <v>188</v>
      </c>
      <c r="D54" s="59" t="s">
        <v>188</v>
      </c>
      <c r="E54" s="135" t="s">
        <v>183</v>
      </c>
      <c r="F54" s="107" t="n">
        <v>1070</v>
      </c>
      <c r="G54" s="110" t="s">
        <v>136</v>
      </c>
      <c r="H54" s="111"/>
      <c r="I54" s="98"/>
    </row>
    <row r="55" customFormat="false" ht="15" hidden="true" customHeight="true" outlineLevel="0" collapsed="false">
      <c r="A55" s="107" t="n">
        <v>1195</v>
      </c>
      <c r="B55" s="134" t="s">
        <v>189</v>
      </c>
      <c r="C55" s="59" t="s">
        <v>188</v>
      </c>
      <c r="D55" s="59" t="s">
        <v>188</v>
      </c>
      <c r="E55" s="135" t="s">
        <v>183</v>
      </c>
      <c r="F55" s="107" t="n">
        <v>1195</v>
      </c>
      <c r="G55" s="110" t="s">
        <v>136</v>
      </c>
      <c r="H55" s="111"/>
      <c r="I55" s="98"/>
    </row>
    <row r="56" customFormat="false" ht="15" hidden="true" customHeight="true" outlineLevel="0" collapsed="false">
      <c r="A56" s="107" t="n">
        <v>1197</v>
      </c>
      <c r="B56" s="134" t="s">
        <v>190</v>
      </c>
      <c r="C56" s="59" t="s">
        <v>188</v>
      </c>
      <c r="D56" s="59" t="s">
        <v>188</v>
      </c>
      <c r="E56" s="135" t="s">
        <v>183</v>
      </c>
      <c r="F56" s="107" t="n">
        <v>1197</v>
      </c>
      <c r="G56" s="110" t="s">
        <v>136</v>
      </c>
      <c r="H56" s="111"/>
      <c r="I56" s="98"/>
    </row>
    <row r="57" customFormat="false" ht="15" hidden="true" customHeight="true" outlineLevel="0" collapsed="false">
      <c r="A57" s="107" t="n">
        <v>1202</v>
      </c>
      <c r="B57" s="134" t="s">
        <v>191</v>
      </c>
      <c r="C57" s="59" t="s">
        <v>188</v>
      </c>
      <c r="D57" s="59" t="s">
        <v>188</v>
      </c>
      <c r="E57" s="135" t="s">
        <v>183</v>
      </c>
      <c r="F57" s="107" t="n">
        <v>1202</v>
      </c>
      <c r="G57" s="110" t="s">
        <v>136</v>
      </c>
      <c r="H57" s="111"/>
      <c r="I57" s="98"/>
    </row>
    <row r="58" customFormat="false" ht="15" hidden="true" customHeight="true" outlineLevel="0" collapsed="false">
      <c r="A58" s="107" t="n">
        <v>1201</v>
      </c>
      <c r="B58" s="136" t="s">
        <v>192</v>
      </c>
      <c r="C58" s="59" t="s">
        <v>188</v>
      </c>
      <c r="D58" s="59" t="s">
        <v>188</v>
      </c>
      <c r="E58" s="135" t="s">
        <v>183</v>
      </c>
      <c r="F58" s="107" t="n">
        <v>1201</v>
      </c>
      <c r="G58" s="110" t="s">
        <v>136</v>
      </c>
      <c r="H58" s="111"/>
      <c r="I58" s="98"/>
    </row>
    <row r="59" customFormat="false" ht="15" hidden="true" customHeight="true" outlineLevel="0" collapsed="false">
      <c r="A59" s="107" t="n">
        <v>1130</v>
      </c>
      <c r="B59" s="136" t="s">
        <v>193</v>
      </c>
      <c r="C59" s="98" t="s">
        <v>188</v>
      </c>
      <c r="D59" s="59" t="s">
        <v>188</v>
      </c>
      <c r="E59" s="135" t="s">
        <v>183</v>
      </c>
      <c r="F59" s="107" t="n">
        <v>1130</v>
      </c>
      <c r="G59" s="110" t="s">
        <v>136</v>
      </c>
      <c r="H59" s="111"/>
      <c r="I59" s="98"/>
    </row>
    <row r="60" customFormat="false" ht="15" hidden="true" customHeight="true" outlineLevel="0" collapsed="false">
      <c r="A60" s="107" t="n">
        <v>1227</v>
      </c>
      <c r="B60" s="134" t="s">
        <v>194</v>
      </c>
      <c r="C60" s="98" t="s">
        <v>188</v>
      </c>
      <c r="D60" s="59" t="s">
        <v>188</v>
      </c>
      <c r="E60" s="135" t="s">
        <v>183</v>
      </c>
      <c r="F60" s="107" t="n">
        <v>1227</v>
      </c>
      <c r="G60" s="110" t="s">
        <v>136</v>
      </c>
      <c r="H60" s="111"/>
      <c r="I60" s="98"/>
    </row>
    <row r="61" customFormat="false" ht="15" hidden="true" customHeight="true" outlineLevel="0" collapsed="false">
      <c r="A61" s="107" t="n">
        <v>1177</v>
      </c>
      <c r="B61" s="134" t="s">
        <v>195</v>
      </c>
      <c r="C61" s="59" t="s">
        <v>188</v>
      </c>
      <c r="D61" s="59" t="s">
        <v>188</v>
      </c>
      <c r="E61" s="135" t="s">
        <v>183</v>
      </c>
      <c r="F61" s="107" t="n">
        <v>1177</v>
      </c>
      <c r="G61" s="110" t="s">
        <v>136</v>
      </c>
      <c r="H61" s="111"/>
      <c r="I61" s="98"/>
    </row>
    <row r="62" customFormat="false" ht="15" hidden="true" customHeight="true" outlineLevel="0" collapsed="false">
      <c r="A62" s="107" t="n">
        <v>1085</v>
      </c>
      <c r="B62" s="134" t="s">
        <v>196</v>
      </c>
      <c r="C62" s="59" t="s">
        <v>188</v>
      </c>
      <c r="D62" s="59" t="s">
        <v>188</v>
      </c>
      <c r="E62" s="137" t="s">
        <v>183</v>
      </c>
      <c r="F62" s="107" t="n">
        <v>1085</v>
      </c>
      <c r="G62" s="110" t="s">
        <v>136</v>
      </c>
      <c r="H62" s="111"/>
      <c r="I62" s="111"/>
    </row>
    <row r="63" customFormat="false" ht="15" hidden="true" customHeight="true" outlineLevel="0" collapsed="false">
      <c r="A63" s="107" t="n">
        <v>1249</v>
      </c>
      <c r="B63" s="134" t="s">
        <v>197</v>
      </c>
      <c r="C63" s="59" t="s">
        <v>188</v>
      </c>
      <c r="D63" s="59" t="s">
        <v>188</v>
      </c>
      <c r="E63" s="135" t="s">
        <v>183</v>
      </c>
      <c r="F63" s="107" t="n">
        <v>1249</v>
      </c>
      <c r="G63" s="110" t="s">
        <v>136</v>
      </c>
      <c r="H63" s="111"/>
      <c r="I63" s="98"/>
    </row>
    <row r="64" customFormat="false" ht="15" hidden="true" customHeight="true" outlineLevel="0" collapsed="false">
      <c r="A64" s="107" t="n">
        <v>1245</v>
      </c>
      <c r="B64" s="134" t="s">
        <v>198</v>
      </c>
      <c r="C64" s="59" t="s">
        <v>188</v>
      </c>
      <c r="D64" s="114" t="s">
        <v>188</v>
      </c>
      <c r="E64" s="135" t="s">
        <v>183</v>
      </c>
      <c r="F64" s="107" t="n">
        <v>1245</v>
      </c>
      <c r="G64" s="110" t="s">
        <v>136</v>
      </c>
      <c r="H64" s="111"/>
      <c r="I64" s="98"/>
    </row>
    <row r="65" customFormat="false" ht="15" hidden="true" customHeight="true" outlineLevel="0" collapsed="false">
      <c r="A65" s="107" t="n">
        <v>1248</v>
      </c>
      <c r="B65" s="134" t="s">
        <v>199</v>
      </c>
      <c r="C65" s="59" t="s">
        <v>188</v>
      </c>
      <c r="D65" s="114" t="s">
        <v>188</v>
      </c>
      <c r="E65" s="135" t="s">
        <v>183</v>
      </c>
      <c r="F65" s="107" t="n">
        <v>1248</v>
      </c>
      <c r="G65" s="110" t="s">
        <v>136</v>
      </c>
      <c r="H65" s="111"/>
      <c r="I65" s="98"/>
    </row>
    <row r="66" customFormat="false" ht="15" hidden="true" customHeight="true" outlineLevel="0" collapsed="false">
      <c r="A66" s="107" t="n">
        <v>1244</v>
      </c>
      <c r="B66" s="134" t="s">
        <v>200</v>
      </c>
      <c r="C66" s="59" t="s">
        <v>188</v>
      </c>
      <c r="D66" s="114" t="s">
        <v>188</v>
      </c>
      <c r="E66" s="135" t="s">
        <v>183</v>
      </c>
      <c r="F66" s="107" t="n">
        <v>1244</v>
      </c>
      <c r="G66" s="110" t="s">
        <v>136</v>
      </c>
      <c r="H66" s="111"/>
      <c r="I66" s="98"/>
    </row>
    <row r="67" customFormat="false" ht="15" hidden="true" customHeight="true" outlineLevel="0" collapsed="false">
      <c r="A67" s="107" t="n">
        <v>948</v>
      </c>
      <c r="B67" s="138" t="s">
        <v>201</v>
      </c>
      <c r="C67" s="59" t="s">
        <v>202</v>
      </c>
      <c r="D67" s="114" t="s">
        <v>202</v>
      </c>
      <c r="E67" s="139" t="s">
        <v>203</v>
      </c>
      <c r="F67" s="107" t="n">
        <v>948</v>
      </c>
      <c r="G67" s="110" t="s">
        <v>136</v>
      </c>
      <c r="H67" s="111"/>
      <c r="I67" s="98"/>
    </row>
    <row r="68" customFormat="false" ht="15" hidden="true" customHeight="true" outlineLevel="0" collapsed="false">
      <c r="A68" s="107" t="n">
        <v>1013</v>
      </c>
      <c r="B68" s="138" t="s">
        <v>204</v>
      </c>
      <c r="C68" s="59" t="s">
        <v>202</v>
      </c>
      <c r="D68" s="59" t="s">
        <v>202</v>
      </c>
      <c r="E68" s="139" t="s">
        <v>203</v>
      </c>
      <c r="F68" s="107" t="n">
        <v>1013</v>
      </c>
      <c r="G68" s="110" t="s">
        <v>136</v>
      </c>
      <c r="H68" s="111"/>
      <c r="I68" s="98"/>
    </row>
    <row r="69" customFormat="false" ht="15" hidden="true" customHeight="true" outlineLevel="0" collapsed="false">
      <c r="A69" s="107" t="n">
        <v>1011</v>
      </c>
      <c r="B69" s="138" t="s">
        <v>205</v>
      </c>
      <c r="C69" s="59" t="s">
        <v>202</v>
      </c>
      <c r="D69" s="114" t="s">
        <v>202</v>
      </c>
      <c r="E69" s="139" t="s">
        <v>203</v>
      </c>
      <c r="F69" s="107" t="n">
        <v>1011</v>
      </c>
      <c r="G69" s="110" t="s">
        <v>136</v>
      </c>
      <c r="H69" s="111"/>
      <c r="I69" s="98"/>
    </row>
    <row r="70" customFormat="false" ht="15" hidden="true" customHeight="true" outlineLevel="0" collapsed="false">
      <c r="A70" s="107" t="n">
        <v>1068</v>
      </c>
      <c r="B70" s="138" t="s">
        <v>206</v>
      </c>
      <c r="C70" s="59" t="s">
        <v>202</v>
      </c>
      <c r="D70" s="59" t="s">
        <v>202</v>
      </c>
      <c r="E70" s="139" t="s">
        <v>203</v>
      </c>
      <c r="F70" s="107" t="n">
        <v>1068</v>
      </c>
      <c r="G70" s="110" t="s">
        <v>136</v>
      </c>
      <c r="H70" s="111"/>
      <c r="I70" s="98"/>
    </row>
    <row r="71" customFormat="false" ht="15" hidden="true" customHeight="true" outlineLevel="0" collapsed="false">
      <c r="A71" s="107" t="n">
        <v>1066</v>
      </c>
      <c r="B71" s="138" t="s">
        <v>207</v>
      </c>
      <c r="C71" s="98" t="s">
        <v>202</v>
      </c>
      <c r="D71" s="114" t="s">
        <v>202</v>
      </c>
      <c r="E71" s="139" t="s">
        <v>203</v>
      </c>
      <c r="F71" s="107" t="n">
        <v>1066</v>
      </c>
      <c r="G71" s="110" t="s">
        <v>136</v>
      </c>
      <c r="H71" s="111"/>
      <c r="I71" s="98"/>
    </row>
    <row r="72" customFormat="false" ht="15" hidden="true" customHeight="true" outlineLevel="0" collapsed="false">
      <c r="A72" s="107" t="n">
        <v>1004</v>
      </c>
      <c r="B72" s="138" t="s">
        <v>208</v>
      </c>
      <c r="C72" s="98" t="s">
        <v>202</v>
      </c>
      <c r="D72" s="114" t="s">
        <v>202</v>
      </c>
      <c r="E72" s="139" t="s">
        <v>203</v>
      </c>
      <c r="F72" s="107" t="n">
        <v>1004</v>
      </c>
      <c r="G72" s="110" t="s">
        <v>136</v>
      </c>
      <c r="H72" s="111"/>
      <c r="I72" s="98"/>
    </row>
    <row r="73" customFormat="false" ht="15" hidden="true" customHeight="true" outlineLevel="0" collapsed="false">
      <c r="A73" s="107" t="n">
        <v>1184</v>
      </c>
      <c r="B73" s="138" t="s">
        <v>209</v>
      </c>
      <c r="C73" s="98" t="s">
        <v>202</v>
      </c>
      <c r="D73" s="114" t="s">
        <v>202</v>
      </c>
      <c r="E73" s="139" t="s">
        <v>203</v>
      </c>
      <c r="F73" s="107" t="n">
        <v>1184</v>
      </c>
      <c r="G73" s="110" t="s">
        <v>136</v>
      </c>
      <c r="H73" s="111"/>
      <c r="I73" s="98"/>
    </row>
    <row r="74" customFormat="false" ht="15" hidden="true" customHeight="true" outlineLevel="0" collapsed="false">
      <c r="A74" s="107" t="n">
        <v>1151</v>
      </c>
      <c r="B74" s="138" t="s">
        <v>210</v>
      </c>
      <c r="C74" s="59" t="s">
        <v>202</v>
      </c>
      <c r="D74" s="114" t="s">
        <v>202</v>
      </c>
      <c r="E74" s="139" t="s">
        <v>203</v>
      </c>
      <c r="F74" s="107" t="n">
        <v>1151</v>
      </c>
      <c r="G74" s="110" t="s">
        <v>136</v>
      </c>
      <c r="H74" s="111"/>
      <c r="I74" s="98"/>
    </row>
    <row r="75" customFormat="false" ht="15" hidden="true" customHeight="true" outlineLevel="0" collapsed="false">
      <c r="A75" s="107" t="n">
        <v>1301</v>
      </c>
      <c r="B75" s="138" t="s">
        <v>211</v>
      </c>
      <c r="C75" s="98" t="s">
        <v>202</v>
      </c>
      <c r="D75" s="114" t="s">
        <v>202</v>
      </c>
      <c r="E75" s="139" t="s">
        <v>203</v>
      </c>
      <c r="F75" s="107" t="n">
        <v>1301</v>
      </c>
      <c r="G75" s="110" t="s">
        <v>136</v>
      </c>
      <c r="H75" s="111"/>
      <c r="I75" s="98"/>
    </row>
    <row r="76" customFormat="false" ht="15" hidden="true" customHeight="true" outlineLevel="0" collapsed="false">
      <c r="A76" s="107" t="n">
        <v>1300</v>
      </c>
      <c r="B76" s="138" t="s">
        <v>212</v>
      </c>
      <c r="C76" s="98" t="s">
        <v>202</v>
      </c>
      <c r="D76" s="59" t="s">
        <v>202</v>
      </c>
      <c r="E76" s="139" t="s">
        <v>203</v>
      </c>
      <c r="F76" s="107" t="n">
        <v>1300</v>
      </c>
      <c r="G76" s="110" t="s">
        <v>136</v>
      </c>
      <c r="H76" s="111"/>
      <c r="I76" s="98"/>
    </row>
    <row r="77" customFormat="false" ht="15" hidden="true" customHeight="true" outlineLevel="0" collapsed="false">
      <c r="A77" s="121" t="n">
        <v>1262</v>
      </c>
      <c r="B77" s="140" t="s">
        <v>213</v>
      </c>
      <c r="C77" s="82" t="s">
        <v>214</v>
      </c>
      <c r="D77" s="114" t="s">
        <v>214</v>
      </c>
      <c r="E77" s="141" t="s">
        <v>203</v>
      </c>
      <c r="F77" s="121" t="n">
        <v>1262</v>
      </c>
      <c r="G77" s="110" t="s">
        <v>136</v>
      </c>
      <c r="H77" s="111"/>
      <c r="I77" s="98"/>
    </row>
    <row r="78" customFormat="false" ht="15" hidden="true" customHeight="true" outlineLevel="0" collapsed="false">
      <c r="A78" s="121" t="n">
        <v>1317</v>
      </c>
      <c r="B78" s="140" t="s">
        <v>215</v>
      </c>
      <c r="C78" s="82" t="s">
        <v>214</v>
      </c>
      <c r="D78" s="59" t="s">
        <v>214</v>
      </c>
      <c r="E78" s="141" t="s">
        <v>203</v>
      </c>
      <c r="F78" s="121" t="n">
        <v>1317</v>
      </c>
      <c r="G78" s="110" t="s">
        <v>136</v>
      </c>
      <c r="H78" s="111"/>
      <c r="I78" s="98"/>
    </row>
    <row r="79" customFormat="false" ht="15" hidden="true" customHeight="true" outlineLevel="0" collapsed="false">
      <c r="A79" s="121" t="n">
        <v>1278</v>
      </c>
      <c r="B79" s="142" t="s">
        <v>216</v>
      </c>
      <c r="C79" s="82" t="s">
        <v>214</v>
      </c>
      <c r="D79" s="114" t="s">
        <v>214</v>
      </c>
      <c r="E79" s="141" t="s">
        <v>203</v>
      </c>
      <c r="F79" s="121" t="n">
        <v>1278</v>
      </c>
      <c r="G79" s="110" t="s">
        <v>136</v>
      </c>
      <c r="H79" s="111"/>
      <c r="I79" s="98"/>
    </row>
    <row r="80" customFormat="false" ht="15" hidden="true" customHeight="true" outlineLevel="0" collapsed="false">
      <c r="A80" s="121" t="n">
        <v>1265</v>
      </c>
      <c r="B80" s="140" t="s">
        <v>217</v>
      </c>
      <c r="C80" s="82" t="s">
        <v>214</v>
      </c>
      <c r="D80" s="114" t="s">
        <v>214</v>
      </c>
      <c r="E80" s="141" t="s">
        <v>203</v>
      </c>
      <c r="F80" s="121" t="n">
        <v>1265</v>
      </c>
      <c r="G80" s="110" t="s">
        <v>136</v>
      </c>
      <c r="H80" s="111"/>
      <c r="I80" s="98"/>
    </row>
    <row r="81" customFormat="false" ht="15" hidden="false" customHeight="true" outlineLevel="0" collapsed="false">
      <c r="A81" s="121"/>
      <c r="B81" s="143" t="s">
        <v>41</v>
      </c>
      <c r="C81" s="82" t="s">
        <v>134</v>
      </c>
      <c r="D81" s="82" t="s">
        <v>134</v>
      </c>
      <c r="E81" s="141"/>
      <c r="F81" s="121"/>
      <c r="G81" s="110"/>
      <c r="H81" s="111"/>
      <c r="I81" s="98"/>
      <c r="J81" s="112"/>
    </row>
    <row r="82" customFormat="false" ht="15" hidden="false" customHeight="true" outlineLevel="0" collapsed="false">
      <c r="A82" s="121"/>
      <c r="B82" s="143" t="s">
        <v>34</v>
      </c>
      <c r="C82" s="82" t="s">
        <v>134</v>
      </c>
      <c r="D82" s="82" t="s">
        <v>134</v>
      </c>
      <c r="E82" s="141"/>
      <c r="F82" s="121"/>
      <c r="G82" s="110"/>
      <c r="H82" s="111"/>
      <c r="I82" s="98"/>
      <c r="J82" s="112"/>
    </row>
    <row r="83" customFormat="false" ht="15" hidden="false" customHeight="true" outlineLevel="0" collapsed="false">
      <c r="A83" s="121"/>
      <c r="B83" s="143" t="s">
        <v>45</v>
      </c>
      <c r="C83" s="82" t="s">
        <v>134</v>
      </c>
      <c r="D83" s="82" t="s">
        <v>134</v>
      </c>
      <c r="E83" s="141"/>
      <c r="F83" s="121"/>
      <c r="G83" s="110"/>
      <c r="H83" s="111"/>
      <c r="I83" s="98"/>
      <c r="J83" s="112"/>
    </row>
    <row r="84" customFormat="false" ht="15" hidden="false" customHeight="true" outlineLevel="0" collapsed="false">
      <c r="A84" s="121"/>
      <c r="B84" s="143" t="s">
        <v>35</v>
      </c>
      <c r="C84" s="82" t="s">
        <v>134</v>
      </c>
      <c r="D84" s="82" t="s">
        <v>134</v>
      </c>
      <c r="E84" s="141"/>
      <c r="F84" s="121"/>
      <c r="G84" s="110"/>
      <c r="H84" s="111"/>
      <c r="I84" s="98"/>
      <c r="J84" s="115" t="s">
        <v>218</v>
      </c>
    </row>
    <row r="85" customFormat="false" ht="15" hidden="false" customHeight="true" outlineLevel="0" collapsed="false">
      <c r="A85" s="121"/>
      <c r="B85" s="143" t="s">
        <v>219</v>
      </c>
      <c r="C85" s="82" t="s">
        <v>134</v>
      </c>
      <c r="D85" s="82" t="s">
        <v>134</v>
      </c>
      <c r="E85" s="141"/>
      <c r="F85" s="121"/>
      <c r="G85" s="110"/>
      <c r="H85" s="111"/>
      <c r="I85" s="98"/>
      <c r="J85" s="112"/>
    </row>
    <row r="86" customFormat="false" ht="15" hidden="false" customHeight="true" outlineLevel="0" collapsed="false">
      <c r="A86" s="121"/>
      <c r="B86" s="143" t="s">
        <v>220</v>
      </c>
      <c r="C86" s="82" t="s">
        <v>134</v>
      </c>
      <c r="D86" s="82" t="s">
        <v>134</v>
      </c>
      <c r="E86" s="141"/>
      <c r="F86" s="121"/>
      <c r="G86" s="110"/>
      <c r="H86" s="111"/>
      <c r="I86" s="98"/>
      <c r="J86" s="112"/>
    </row>
    <row r="87" customFormat="false" ht="15" hidden="false" customHeight="true" outlineLevel="0" collapsed="false">
      <c r="A87" s="121"/>
      <c r="B87" s="143" t="s">
        <v>46</v>
      </c>
      <c r="C87" s="82" t="s">
        <v>134</v>
      </c>
      <c r="D87" s="82" t="s">
        <v>134</v>
      </c>
      <c r="E87" s="141"/>
      <c r="F87" s="121"/>
      <c r="G87" s="110"/>
      <c r="H87" s="111"/>
      <c r="I87" s="98"/>
      <c r="J87" s="112"/>
    </row>
    <row r="88" customFormat="false" ht="15" hidden="false" customHeight="true" outlineLevel="0" collapsed="false">
      <c r="A88" s="121"/>
      <c r="B88" s="143" t="s">
        <v>36</v>
      </c>
      <c r="C88" s="82" t="s">
        <v>134</v>
      </c>
      <c r="D88" s="82" t="s">
        <v>134</v>
      </c>
      <c r="E88" s="141"/>
      <c r="F88" s="121"/>
      <c r="G88" s="110"/>
      <c r="H88" s="111"/>
      <c r="I88" s="98"/>
      <c r="J88" s="115" t="s">
        <v>221</v>
      </c>
    </row>
    <row r="89" customFormat="false" ht="15" hidden="false" customHeight="true" outlineLevel="0" collapsed="false">
      <c r="A89" s="121"/>
      <c r="B89" s="143" t="s">
        <v>222</v>
      </c>
      <c r="C89" s="82" t="s">
        <v>134</v>
      </c>
      <c r="D89" s="82" t="s">
        <v>134</v>
      </c>
      <c r="E89" s="141"/>
      <c r="F89" s="121"/>
      <c r="G89" s="110"/>
      <c r="H89" s="111"/>
      <c r="I89" s="98"/>
      <c r="J89" s="112"/>
    </row>
    <row r="90" customFormat="false" ht="15" hidden="false" customHeight="true" outlineLevel="0" collapsed="false">
      <c r="A90" s="121"/>
      <c r="B90" s="143" t="s">
        <v>42</v>
      </c>
      <c r="C90" s="82" t="s">
        <v>134</v>
      </c>
      <c r="D90" s="82" t="s">
        <v>134</v>
      </c>
      <c r="E90" s="141"/>
      <c r="F90" s="121"/>
      <c r="G90" s="110"/>
      <c r="H90" s="111"/>
      <c r="I90" s="98"/>
      <c r="J90" s="115" t="s">
        <v>223</v>
      </c>
    </row>
    <row r="91" customFormat="false" ht="15" hidden="false" customHeight="true" outlineLevel="0" collapsed="false">
      <c r="A91" s="121"/>
      <c r="B91" s="143" t="s">
        <v>47</v>
      </c>
      <c r="C91" s="82" t="s">
        <v>134</v>
      </c>
      <c r="D91" s="82" t="s">
        <v>134</v>
      </c>
      <c r="E91" s="141"/>
      <c r="F91" s="121"/>
      <c r="G91" s="110"/>
      <c r="H91" s="111"/>
      <c r="I91" s="98"/>
      <c r="J91" s="115" t="s">
        <v>224</v>
      </c>
    </row>
    <row r="92" customFormat="false" ht="15" hidden="false" customHeight="true" outlineLevel="0" collapsed="false">
      <c r="A92" s="121"/>
      <c r="B92" s="143"/>
      <c r="C92" s="82"/>
      <c r="D92" s="82"/>
      <c r="E92" s="141"/>
      <c r="F92" s="121"/>
      <c r="G92" s="110"/>
      <c r="H92" s="111"/>
      <c r="I92" s="98"/>
    </row>
    <row r="93" customFormat="false" ht="15" hidden="false" customHeight="true" outlineLevel="0" collapsed="false">
      <c r="A93" s="121" t="n">
        <v>214</v>
      </c>
      <c r="B93" s="144" t="s">
        <v>183</v>
      </c>
      <c r="C93" s="82" t="s">
        <v>225</v>
      </c>
      <c r="D93" s="114" t="s">
        <v>225</v>
      </c>
      <c r="E93" s="141"/>
      <c r="F93" s="121" t="n">
        <v>214</v>
      </c>
      <c r="G93" s="110"/>
      <c r="H93" s="111"/>
      <c r="I93" s="98"/>
    </row>
    <row r="94" customFormat="false" ht="15" hidden="false" customHeight="true" outlineLevel="0" collapsed="false">
      <c r="A94" s="121" t="n">
        <v>369</v>
      </c>
      <c r="B94" s="98" t="s">
        <v>226</v>
      </c>
      <c r="C94" s="99" t="s">
        <v>227</v>
      </c>
      <c r="D94" s="99" t="s">
        <v>227</v>
      </c>
      <c r="E94" s="54" t="s">
        <v>228</v>
      </c>
      <c r="F94" s="121" t="n">
        <v>369</v>
      </c>
    </row>
    <row r="95" customFormat="false" ht="15" hidden="false" customHeight="true" outlineLevel="0" collapsed="false">
      <c r="A95" s="121" t="n">
        <v>355</v>
      </c>
      <c r="B95" s="98" t="s">
        <v>203</v>
      </c>
      <c r="C95" s="99" t="s">
        <v>229</v>
      </c>
      <c r="D95" s="99" t="s">
        <v>229</v>
      </c>
      <c r="E95" s="54" t="s">
        <v>228</v>
      </c>
      <c r="F95" s="121" t="n">
        <v>355</v>
      </c>
    </row>
    <row r="96" customFormat="false" ht="15" hidden="false" customHeight="true" outlineLevel="0" collapsed="false">
      <c r="A96" s="121" t="n">
        <v>164</v>
      </c>
      <c r="B96" s="98" t="s">
        <v>169</v>
      </c>
      <c r="C96" s="99" t="s">
        <v>229</v>
      </c>
      <c r="D96" s="99" t="s">
        <v>229</v>
      </c>
      <c r="E96" s="54" t="s">
        <v>228</v>
      </c>
      <c r="F96" s="121" t="n">
        <v>164</v>
      </c>
    </row>
    <row r="97" customFormat="false" ht="15" hidden="false" customHeight="true" outlineLevel="0" collapsed="false">
      <c r="A97" s="121" t="n">
        <v>157</v>
      </c>
      <c r="B97" s="98" t="s">
        <v>230</v>
      </c>
      <c r="C97" s="99" t="s">
        <v>229</v>
      </c>
      <c r="D97" s="99" t="s">
        <v>229</v>
      </c>
      <c r="E97" s="54" t="s">
        <v>228</v>
      </c>
      <c r="F97" s="121" t="n">
        <v>157</v>
      </c>
    </row>
    <row r="98" customFormat="false" ht="15" hidden="false" customHeight="true" outlineLevel="0" collapsed="false">
      <c r="A98" s="121" t="n">
        <v>1194</v>
      </c>
      <c r="B98" s="98" t="s">
        <v>231</v>
      </c>
      <c r="C98" s="99" t="s">
        <v>229</v>
      </c>
      <c r="D98" s="99" t="s">
        <v>229</v>
      </c>
      <c r="E98" s="54" t="s">
        <v>228</v>
      </c>
      <c r="F98" s="121" t="n">
        <v>1194</v>
      </c>
    </row>
    <row r="100" customFormat="false" ht="15" hidden="false" customHeight="true" outlineLevel="0" collapsed="false">
      <c r="B100" s="23" t="s">
        <v>49</v>
      </c>
      <c r="C100" s="82" t="s">
        <v>134</v>
      </c>
      <c r="D100" s="82" t="s">
        <v>134</v>
      </c>
    </row>
    <row r="101" customFormat="false" ht="15" hidden="false" customHeight="true" outlineLevel="0" collapsed="false">
      <c r="B101" s="23" t="s">
        <v>51</v>
      </c>
      <c r="C101" s="82" t="s">
        <v>134</v>
      </c>
      <c r="D101" s="82" t="s">
        <v>134</v>
      </c>
    </row>
    <row r="102" customFormat="false" ht="15" hidden="false" customHeight="true" outlineLevel="0" collapsed="false">
      <c r="B102" s="23" t="s">
        <v>232</v>
      </c>
      <c r="C102" s="82" t="s">
        <v>134</v>
      </c>
      <c r="D102" s="82" t="s">
        <v>134</v>
      </c>
    </row>
    <row r="103" customFormat="false" ht="15" hidden="false" customHeight="true" outlineLevel="0" collapsed="false">
      <c r="B103" s="23" t="s">
        <v>39</v>
      </c>
      <c r="C103" s="82" t="s">
        <v>134</v>
      </c>
      <c r="D103" s="82" t="s">
        <v>134</v>
      </c>
    </row>
    <row r="104" customFormat="false" ht="15" hidden="false" customHeight="true" outlineLevel="0" collapsed="false">
      <c r="B104" s="23" t="s">
        <v>37</v>
      </c>
      <c r="C104" s="82" t="s">
        <v>134</v>
      </c>
      <c r="D104" s="82" t="s">
        <v>134</v>
      </c>
    </row>
    <row r="105" customFormat="false" ht="15" hidden="false" customHeight="true" outlineLevel="0" collapsed="false">
      <c r="B105" s="23" t="s">
        <v>62</v>
      </c>
      <c r="C105" s="82" t="s">
        <v>134</v>
      </c>
      <c r="D105" s="82" t="s">
        <v>134</v>
      </c>
    </row>
    <row r="630" customFormat="false" ht="16.5" hidden="false" customHeight="true" outlineLevel="0" collapsed="false"/>
    <row r="1006" customFormat="false" ht="14.25" hidden="false" customHeight="true" outlineLevel="0" collapsed="false"/>
  </sheetData>
  <autoFilter ref="A1:I90">
    <filterColumn colId="2">
      <filters>
        <filter val="Google Leads"/>
      </filters>
    </filterColumn>
  </autoFilter>
  <conditionalFormatting sqref="B105">
    <cfRule type="cellIs" priority="2" operator="equal" aboveAverage="0" equalAverage="0" bottom="0" percent="0" rank="0" text="" dxfId="12">
      <formula>"OFF"</formula>
    </cfRule>
  </conditionalFormatting>
  <conditionalFormatting sqref="B100:B104">
    <cfRule type="cellIs" priority="3" operator="equal" aboveAverage="0" equalAverage="0" bottom="0" percent="0" rank="0" text="" dxfId="12">
      <formula>"OFF"</formula>
    </cfRule>
  </conditionalFormatting>
  <conditionalFormatting sqref="B26">
    <cfRule type="duplicateValues" priority="4" aboveAverage="0" equalAverage="0" bottom="0" percent="0" rank="0" text="" dxfId="22"/>
    <cfRule type="duplicateValues" priority="5" aboveAverage="0" equalAverage="0" bottom="0" percent="0" rank="0" text="" dxfId="22"/>
  </conditionalFormatting>
  <conditionalFormatting sqref="B11">
    <cfRule type="duplicateValues" priority="6" aboveAverage="0" equalAverage="0" bottom="0" percent="0" rank="0" text="" dxfId="22"/>
    <cfRule type="duplicateValues" priority="7" aboveAverage="0" equalAverage="0" bottom="0" percent="0" rank="0" text="" dxfId="22"/>
  </conditionalFormatting>
  <conditionalFormatting sqref="B2">
    <cfRule type="duplicateValues" priority="8" aboveAverage="0" equalAverage="0" bottom="0" percent="0" rank="0" text="" dxfId="22"/>
    <cfRule type="duplicateValues" priority="9" aboveAverage="0" equalAverage="0" bottom="0" percent="0" rank="0" text="" dxfId="22"/>
    <cfRule type="duplicateValues" priority="10" aboveAverage="0" equalAverage="0" bottom="0" percent="0" rank="0" text="" dxfId="22"/>
  </conditionalFormatting>
  <conditionalFormatting sqref="B16">
    <cfRule type="duplicateValues" priority="11" aboveAverage="0" equalAverage="0" bottom="0" percent="0" rank="0" text="" dxfId="22"/>
    <cfRule type="duplicateValues" priority="12" aboveAverage="0" equalAverage="0" bottom="0" percent="0" rank="0" text="" dxfId="22"/>
  </conditionalFormatting>
  <conditionalFormatting sqref="B59">
    <cfRule type="duplicateValues" priority="13" aboveAverage="0" equalAverage="0" bottom="0" percent="0" rank="0" text="" dxfId="22"/>
    <cfRule type="duplicateValues" priority="14" aboveAverage="0" equalAverage="0" bottom="0" percent="0" rank="0" text="" dxfId="22"/>
  </conditionalFormatting>
  <conditionalFormatting sqref="B57">
    <cfRule type="duplicateValues" priority="15" aboveAverage="0" equalAverage="0" bottom="0" percent="0" rank="0" text="" dxfId="22"/>
    <cfRule type="duplicateValues" priority="16" aboveAverage="0" equalAverage="0" bottom="0" percent="0" rank="0" text="" dxfId="22"/>
  </conditionalFormatting>
  <conditionalFormatting sqref="B58">
    <cfRule type="duplicateValues" priority="17" aboveAverage="0" equalAverage="0" bottom="0" percent="0" rank="0" text="" dxfId="22"/>
    <cfRule type="duplicateValues" priority="18" aboveAverage="0" equalAverage="0" bottom="0" percent="0" rank="0" text="" dxfId="22"/>
  </conditionalFormatting>
  <conditionalFormatting sqref="B37">
    <cfRule type="duplicateValues" priority="19" aboveAverage="0" equalAverage="0" bottom="0" percent="0" rank="0" text="" dxfId="22"/>
    <cfRule type="duplicateValues" priority="20" aboveAverage="0" equalAverage="0" bottom="0" percent="0" rank="0" text="" dxfId="22"/>
  </conditionalFormatting>
  <conditionalFormatting sqref="B18">
    <cfRule type="duplicateValues" priority="21" aboveAverage="0" equalAverage="0" bottom="0" percent="0" rank="0" text="" dxfId="22"/>
    <cfRule type="duplicateValues" priority="22" aboveAverage="0" equalAverage="0" bottom="0" percent="0" rank="0" text="" dxfId="22"/>
  </conditionalFormatting>
  <conditionalFormatting sqref="B35">
    <cfRule type="duplicateValues" priority="23" aboveAverage="0" equalAverage="0" bottom="0" percent="0" rank="0" text="" dxfId="22"/>
    <cfRule type="duplicateValues" priority="24" aboveAverage="0" equalAverage="0" bottom="0" percent="0" rank="0" text="" dxfId="22"/>
  </conditionalFormatting>
  <conditionalFormatting sqref="B36">
    <cfRule type="duplicateValues" priority="25" aboveAverage="0" equalAverage="0" bottom="0" percent="0" rank="0" text="" dxfId="22"/>
    <cfRule type="duplicateValues" priority="26" aboveAverage="0" equalAverage="0" bottom="0" percent="0" rank="0" text="" dxfId="22"/>
  </conditionalFormatting>
  <conditionalFormatting sqref="B20">
    <cfRule type="duplicateValues" priority="27" aboveAverage="0" equalAverage="0" bottom="0" percent="0" rank="0" text="" dxfId="22"/>
    <cfRule type="duplicateValues" priority="28" aboveAverage="0" equalAverage="0" bottom="0" percent="0" rank="0" text="" dxfId="22"/>
  </conditionalFormatting>
  <conditionalFormatting sqref="B38">
    <cfRule type="duplicateValues" priority="29" aboveAverage="0" equalAverage="0" bottom="0" percent="0" rank="0" text="" dxfId="22"/>
    <cfRule type="duplicateValues" priority="30" aboveAverage="0" equalAverage="0" bottom="0" percent="0" rank="0" text="" dxfId="22"/>
  </conditionalFormatting>
  <conditionalFormatting sqref="B53">
    <cfRule type="duplicateValues" priority="31" aboveAverage="0" equalAverage="0" bottom="0" percent="0" rank="0" text="" dxfId="22"/>
    <cfRule type="duplicateValues" priority="32" aboveAverage="0" equalAverage="0" bottom="0" percent="0" rank="0" text="" dxfId="22"/>
  </conditionalFormatting>
  <conditionalFormatting sqref="B50">
    <cfRule type="duplicateValues" priority="33" aboveAverage="0" equalAverage="0" bottom="0" percent="0" rank="0" text="" dxfId="22"/>
    <cfRule type="duplicateValues" priority="34" aboveAverage="0" equalAverage="0" bottom="0" percent="0" rank="0" text="" dxfId="22"/>
  </conditionalFormatting>
  <conditionalFormatting sqref="B7">
    <cfRule type="duplicateValues" priority="35" aboveAverage="0" equalAverage="0" bottom="0" percent="0" rank="0" text="" dxfId="22"/>
    <cfRule type="duplicateValues" priority="36" aboveAverage="0" equalAverage="0" bottom="0" percent="0" rank="0" text="" dxfId="22"/>
  </conditionalFormatting>
  <conditionalFormatting sqref="B41">
    <cfRule type="cellIs" priority="37" operator="equal" aboveAverage="0" equalAverage="0" bottom="0" percent="0" rank="0" text="" dxfId="12">
      <formula>"OFF"</formula>
    </cfRule>
  </conditionalFormatting>
  <conditionalFormatting sqref="F94:F98">
    <cfRule type="duplicateValues" priority="38" aboveAverage="0" equalAverage="0" bottom="0" percent="0" rank="0" text="" dxfId="22"/>
    <cfRule type="duplicateValues" priority="39" aboveAverage="0" equalAverage="0" bottom="0" percent="0" rank="0" text="" dxfId="22"/>
  </conditionalFormatting>
  <conditionalFormatting sqref="A94:A98">
    <cfRule type="duplicateValues" priority="40" aboveAverage="0" equalAverage="0" bottom="0" percent="0" rank="0" text="" dxfId="22"/>
    <cfRule type="duplicateValues" priority="41" aboveAverage="0" equalAverage="0" bottom="0" percent="0" rank="0" text="" dxfId="22"/>
  </conditionalFormatting>
  <conditionalFormatting sqref="B93">
    <cfRule type="duplicateValues" priority="42" aboveAverage="0" equalAverage="0" bottom="0" percent="0" rank="0" text="" dxfId="22"/>
  </conditionalFormatting>
  <conditionalFormatting sqref="F3:F8 F10:F15 F17:F21 F23:F28 F30:F35 F37">
    <cfRule type="duplicateValues" priority="43" aboveAverage="0" equalAverage="0" bottom="0" percent="0" rank="0" text="" dxfId="22"/>
  </conditionalFormatting>
  <conditionalFormatting sqref="F1">
    <cfRule type="duplicateValues" priority="44" aboveAverage="0" equalAverage="0" bottom="0" percent="0" rank="0" text="" dxfId="22"/>
    <cfRule type="duplicateValues" priority="45" aboveAverage="0" equalAverage="0" bottom="0" percent="0" rank="0" text="" dxfId="22"/>
    <cfRule type="duplicateValues" priority="46" aboveAverage="0" equalAverage="0" bottom="0" percent="0" rank="0" text="" dxfId="22"/>
    <cfRule type="duplicateValues" priority="47" aboveAverage="0" equalAverage="0" bottom="0" percent="0" rank="0" text="" dxfId="22"/>
  </conditionalFormatting>
  <conditionalFormatting sqref="M10:M15">
    <cfRule type="cellIs" priority="48" operator="equal" aboveAverage="0" equalAverage="0" bottom="0" percent="0" rank="0" text="" dxfId="12">
      <formula>"OFF"</formula>
    </cfRule>
  </conditionalFormatting>
  <conditionalFormatting sqref="B24">
    <cfRule type="duplicateValues" priority="49" aboveAverage="0" equalAverage="0" bottom="0" percent="0" rank="0" text="" dxfId="22"/>
  </conditionalFormatting>
  <conditionalFormatting sqref="E54">
    <cfRule type="duplicateValues" priority="50" aboveAverage="0" equalAverage="0" bottom="0" percent="0" rank="0" text="" dxfId="22"/>
  </conditionalFormatting>
  <conditionalFormatting sqref="B2 B9 B22 B29">
    <cfRule type="duplicateValues" priority="51" aboveAverage="0" equalAverage="0" bottom="0" percent="0" rank="0" text="" dxfId="22"/>
  </conditionalFormatting>
  <conditionalFormatting sqref="B3:B6 B8 B10 B12:B15 B17 B19 B21 B23 B25 B27:B28 B30:B34">
    <cfRule type="duplicateValues" priority="52" aboveAverage="0" equalAverage="0" bottom="0" percent="0" rank="0" text="" dxfId="22"/>
  </conditionalFormatting>
  <conditionalFormatting sqref="A3:A8 A10:A15 A17:A21 A23:A28 A30:A35 A37">
    <cfRule type="duplicateValues" priority="53" aboveAverage="0" equalAverage="0" bottom="0" percent="0" rank="0" text="" dxfId="22"/>
  </conditionalFormatting>
  <conditionalFormatting sqref="B2:B6 B8:B10 B12:B15 B17 B19 B21:B23 B25 B27:B34">
    <cfRule type="duplicateValues" priority="54" aboveAverage="0" equalAverage="0" bottom="0" percent="0" rank="0" text="" dxfId="22"/>
  </conditionalFormatting>
  <conditionalFormatting sqref="B1">
    <cfRule type="duplicateValues" priority="55" aboveAverage="0" equalAverage="0" bottom="0" percent="0" rank="0" text="" dxfId="22"/>
    <cfRule type="duplicateValues" priority="56" aboveAverage="0" equalAverage="0" bottom="0" percent="0" rank="0" text="" dxfId="22"/>
  </conditionalFormatting>
  <conditionalFormatting sqref="A1">
    <cfRule type="duplicateValues" priority="57" aboveAverage="0" equalAverage="0" bottom="0" percent="0" rank="0" text="" dxfId="22"/>
    <cfRule type="duplicateValues" priority="58" aboveAverage="0" equalAverage="0" bottom="0" percent="0" rank="0" text="" dxfId="22"/>
    <cfRule type="duplicateValues" priority="59" aboveAverage="0" equalAverage="0" bottom="0" percent="0" rank="0" text="" dxfId="22"/>
    <cfRule type="duplicateValues" priority="60" aboveAverage="0" equalAverage="0" bottom="0" percent="0" rank="0" text="" dxfId="22"/>
  </conditionalFormatting>
  <conditionalFormatting sqref="B94:B99 B106:B1048576">
    <cfRule type="duplicateValues" priority="61" aboveAverage="0" equalAverage="0" bottom="0" percent="0" rank="0" text="" dxfId="22"/>
  </conditionalFormatting>
  <conditionalFormatting sqref="A2:A37">
    <cfRule type="duplicateValues" priority="62" aboveAverage="0" equalAverage="0" bottom="0" percent="0" rank="0" text="" dxfId="22"/>
  </conditionalFormatting>
  <conditionalFormatting sqref="F2:F37">
    <cfRule type="duplicateValues" priority="63" aboveAverage="0" equalAverage="0" bottom="0" percent="0" rank="0" text="" dxfId="22"/>
  </conditionalFormatting>
  <conditionalFormatting sqref="A39:A93">
    <cfRule type="duplicateValues" priority="64" aboveAverage="0" equalAverage="0" bottom="0" percent="0" rank="0" text="" dxfId="22"/>
  </conditionalFormatting>
  <conditionalFormatting sqref="A38:A93">
    <cfRule type="duplicateValues" priority="65" aboveAverage="0" equalAverage="0" bottom="0" percent="0" rank="0" text="" dxfId="22"/>
  </conditionalFormatting>
  <conditionalFormatting sqref="B39:B40 B42:B49 B51:B52 B54:B56 B60:B92">
    <cfRule type="duplicateValues" priority="66" aboveAverage="0" equalAverage="0" bottom="0" percent="0" rank="0" text="" dxfId="22"/>
  </conditionalFormatting>
  <conditionalFormatting sqref="B39:B40">
    <cfRule type="duplicateValues" priority="67" aboveAverage="0" equalAverage="0" bottom="0" percent="0" rank="0" text="" dxfId="22"/>
  </conditionalFormatting>
  <conditionalFormatting sqref="F39:F93">
    <cfRule type="duplicateValues" priority="68" aboveAverage="0" equalAverage="0" bottom="0" percent="0" rank="0" text="" dxfId="22"/>
  </conditionalFormatting>
  <conditionalFormatting sqref="F38:F93">
    <cfRule type="duplicateValues" priority="69" aboveAverage="0" equalAverage="0" bottom="0" percent="0" rank="0" text="" dxfId="22"/>
  </conditionalFormatting>
  <dataValidations count="2">
    <dataValidation allowBlank="true" errorStyle="stop" operator="between" showDropDown="false" showErrorMessage="true" showInputMessage="true" sqref="C6:D6 C41:D41 D45 D64:D67 D69 D71:D75 D77 D79:D80 D93" type="list">
      <formula1>"Credit Mutuel,FLOA,COFIDIS"</formula1>
      <formula2>0</formula2>
    </dataValidation>
    <dataValidation allowBlank="true" errorStyle="stop" operator="between" showDropDown="false" showErrorMessage="true" showInputMessage="true" sqref="G2:G93" type="list">
      <formula1>"FT,PT,Mission,Forfaitaire,Sortie"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1:Q3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36" activeCellId="0" sqref="I36"/>
    </sheetView>
  </sheetViews>
  <sheetFormatPr defaultColWidth="10.6796875" defaultRowHeight="15" zeroHeight="false" outlineLevelRow="0" outlineLevelCol="0"/>
  <cols>
    <col collapsed="false" customWidth="true" hidden="false" outlineLevel="0" max="3" min="1" style="54" width="10.57"/>
    <col collapsed="false" customWidth="true" hidden="false" outlineLevel="0" max="4" min="4" style="54" width="9.57"/>
    <col collapsed="false" customWidth="true" hidden="false" outlineLevel="0" max="6" min="5" style="54" width="3.42"/>
    <col collapsed="false" customWidth="true" hidden="false" outlineLevel="0" max="7" min="7" style="54" width="32.42"/>
    <col collapsed="false" customWidth="true" hidden="false" outlineLevel="0" max="8" min="8" style="54" width="9.57"/>
    <col collapsed="false" customWidth="true" hidden="false" outlineLevel="0" max="9" min="9" style="54" width="20.14"/>
    <col collapsed="false" customWidth="true" hidden="false" outlineLevel="0" max="10" min="10" style="59" width="10.57"/>
    <col collapsed="false" customWidth="true" hidden="false" outlineLevel="0" max="13" min="11" style="54" width="10.57"/>
    <col collapsed="false" customWidth="true" hidden="false" outlineLevel="0" max="14" min="14" style="54" width="33.42"/>
    <col collapsed="false" customWidth="true" hidden="false" outlineLevel="0" max="15" min="15" style="54" width="11.57"/>
    <col collapsed="false" customWidth="true" hidden="false" outlineLevel="0" max="16" min="16" style="54" width="21.29"/>
    <col collapsed="false" customWidth="true" hidden="false" outlineLevel="0" max="17" min="17" style="54" width="76.42"/>
    <col collapsed="false" customWidth="true" hidden="false" outlineLevel="0" max="18" min="18" style="54" width="37.42"/>
  </cols>
  <sheetData>
    <row r="1" customFormat="false" ht="15" hidden="false" customHeight="true" outlineLevel="0" collapsed="false">
      <c r="G1" s="54" t="s">
        <v>26</v>
      </c>
      <c r="H1" s="54" t="s">
        <v>233</v>
      </c>
    </row>
    <row r="2" customFormat="false" ht="15" hidden="false" customHeight="true" outlineLevel="0" collapsed="false">
      <c r="G2" s="59" t="s">
        <v>24</v>
      </c>
      <c r="H2" s="54" t="s">
        <v>233</v>
      </c>
    </row>
    <row r="4" customFormat="false" ht="15" hidden="false" customHeight="true" outlineLevel="0" collapsed="false">
      <c r="G4" s="59" t="s">
        <v>1</v>
      </c>
      <c r="H4" s="54" t="s">
        <v>16</v>
      </c>
      <c r="I4" s="54" t="s">
        <v>234</v>
      </c>
    </row>
    <row r="5" customFormat="false" ht="15" hidden="false" customHeight="true" outlineLevel="0" collapsed="false">
      <c r="G5" s="54" t="s">
        <v>34</v>
      </c>
      <c r="I5" s="145" t="n">
        <v>1.83333333333333</v>
      </c>
      <c r="N5" s="114" t="s">
        <v>1</v>
      </c>
      <c r="O5" s="114" t="s">
        <v>16</v>
      </c>
      <c r="P5" s="114" t="s">
        <v>234</v>
      </c>
      <c r="Q5" s="114" t="s">
        <v>31</v>
      </c>
    </row>
    <row r="6" customFormat="false" ht="15" hidden="false" customHeight="true" outlineLevel="0" collapsed="false">
      <c r="G6" s="54" t="s">
        <v>51</v>
      </c>
      <c r="I6" s="145" t="n">
        <v>1.83333333333333</v>
      </c>
      <c r="O6" s="59"/>
      <c r="P6" s="80"/>
    </row>
    <row r="7" customFormat="false" ht="15" hidden="false" customHeight="true" outlineLevel="0" collapsed="false">
      <c r="G7" s="54" t="s">
        <v>42</v>
      </c>
      <c r="I7" s="145" t="n">
        <v>1.83333333333333</v>
      </c>
      <c r="P7" s="80"/>
    </row>
    <row r="8" customFormat="false" ht="15" hidden="false" customHeight="true" outlineLevel="0" collapsed="false">
      <c r="G8" s="54" t="s">
        <v>57</v>
      </c>
      <c r="I8" s="145" t="n">
        <v>1.83333333333333</v>
      </c>
      <c r="P8" s="80"/>
    </row>
    <row r="9" customFormat="false" ht="15" hidden="false" customHeight="true" outlineLevel="0" collapsed="false">
      <c r="G9" s="54" t="s">
        <v>62</v>
      </c>
      <c r="I9" s="145" t="n">
        <v>1.83333333333333</v>
      </c>
      <c r="P9" s="80"/>
    </row>
    <row r="10" customFormat="false" ht="15" hidden="false" customHeight="true" outlineLevel="0" collapsed="false">
      <c r="G10" s="54" t="s">
        <v>33</v>
      </c>
      <c r="I10" s="145" t="n">
        <v>1.83333333333333</v>
      </c>
      <c r="P10" s="80"/>
    </row>
    <row r="11" customFormat="false" ht="15" hidden="false" customHeight="true" outlineLevel="0" collapsed="false">
      <c r="G11" s="54" t="s">
        <v>46</v>
      </c>
      <c r="I11" s="145" t="n">
        <v>1.83333333333333</v>
      </c>
      <c r="O11" s="59"/>
      <c r="P11" s="80"/>
    </row>
    <row r="12" customFormat="false" ht="15" hidden="false" customHeight="true" outlineLevel="0" collapsed="false">
      <c r="G12" s="54" t="s">
        <v>58</v>
      </c>
      <c r="I12" s="145" t="n">
        <v>1.83333333333333</v>
      </c>
      <c r="O12" s="59"/>
      <c r="P12" s="80"/>
    </row>
    <row r="13" customFormat="false" ht="15" hidden="false" customHeight="true" outlineLevel="0" collapsed="false">
      <c r="G13" s="54" t="s">
        <v>56</v>
      </c>
      <c r="I13" s="145" t="n">
        <v>1.83333333333333</v>
      </c>
      <c r="O13" s="59"/>
      <c r="P13" s="80"/>
    </row>
    <row r="14" customFormat="false" ht="15" hidden="false" customHeight="true" outlineLevel="0" collapsed="false">
      <c r="G14" s="54" t="s">
        <v>63</v>
      </c>
      <c r="I14" s="145" t="n">
        <v>1.83333333333333</v>
      </c>
      <c r="P14" s="145"/>
    </row>
    <row r="15" customFormat="false" ht="15" hidden="false" customHeight="true" outlineLevel="0" collapsed="false">
      <c r="G15" s="54" t="s">
        <v>39</v>
      </c>
      <c r="I15" s="145" t="n">
        <v>1.83333333333333</v>
      </c>
      <c r="P15" s="145"/>
    </row>
    <row r="16" customFormat="false" ht="15" hidden="false" customHeight="true" outlineLevel="0" collapsed="false">
      <c r="G16" s="54" t="s">
        <v>48</v>
      </c>
      <c r="I16" s="145" t="n">
        <v>1.83333333333333</v>
      </c>
      <c r="P16" s="145"/>
    </row>
    <row r="17" customFormat="false" ht="15" hidden="false" customHeight="true" outlineLevel="0" collapsed="false">
      <c r="G17" s="54" t="s">
        <v>45</v>
      </c>
      <c r="I17" s="145" t="n">
        <v>1.83333333333333</v>
      </c>
    </row>
    <row r="18" customFormat="false" ht="15" hidden="false" customHeight="true" outlineLevel="0" collapsed="false">
      <c r="G18" s="54" t="s">
        <v>44</v>
      </c>
      <c r="I18" s="145" t="n">
        <v>1.83333333333333</v>
      </c>
    </row>
    <row r="19" customFormat="false" ht="15" hidden="false" customHeight="true" outlineLevel="0" collapsed="false">
      <c r="G19" s="54" t="s">
        <v>35</v>
      </c>
      <c r="I19" s="145" t="n">
        <v>1.83333333333333</v>
      </c>
    </row>
    <row r="20" customFormat="false" ht="15" hidden="false" customHeight="true" outlineLevel="0" collapsed="false">
      <c r="G20" s="54" t="s">
        <v>59</v>
      </c>
      <c r="I20" s="145" t="n">
        <v>1.83333333333333</v>
      </c>
    </row>
    <row r="21" customFormat="false" ht="15" hidden="false" customHeight="true" outlineLevel="0" collapsed="false">
      <c r="G21" s="54" t="s">
        <v>36</v>
      </c>
      <c r="I21" s="145" t="n">
        <v>1.83333333333333</v>
      </c>
    </row>
    <row r="22" customFormat="false" ht="15" hidden="false" customHeight="true" outlineLevel="0" collapsed="false">
      <c r="G22" s="54" t="s">
        <v>60</v>
      </c>
      <c r="I22" s="145" t="n">
        <v>1.83333333333333</v>
      </c>
    </row>
    <row r="23" customFormat="false" ht="15" hidden="false" customHeight="true" outlineLevel="0" collapsed="false">
      <c r="G23" s="54" t="s">
        <v>43</v>
      </c>
      <c r="I23" s="145" t="n">
        <v>1.83333333333333</v>
      </c>
    </row>
    <row r="24" customFormat="false" ht="15" hidden="false" customHeight="true" outlineLevel="0" collapsed="false">
      <c r="G24" s="54" t="s">
        <v>61</v>
      </c>
      <c r="I24" s="145" t="n">
        <v>1.83333333333333</v>
      </c>
    </row>
    <row r="25" customFormat="false" ht="15" hidden="false" customHeight="true" outlineLevel="0" collapsed="false">
      <c r="G25" s="54" t="s">
        <v>49</v>
      </c>
      <c r="I25" s="145" t="n">
        <v>1.83333333333333</v>
      </c>
    </row>
    <row r="26" customFormat="false" ht="15" hidden="false" customHeight="true" outlineLevel="0" collapsed="false">
      <c r="G26" s="54" t="s">
        <v>52</v>
      </c>
      <c r="I26" s="145" t="n">
        <v>1.83333333333333</v>
      </c>
    </row>
    <row r="27" customFormat="false" ht="15" hidden="false" customHeight="true" outlineLevel="0" collapsed="false">
      <c r="G27" s="54" t="s">
        <v>232</v>
      </c>
      <c r="I27" s="145" t="n">
        <v>1.83333333333333</v>
      </c>
    </row>
    <row r="28" customFormat="false" ht="15" hidden="false" customHeight="true" outlineLevel="0" collapsed="false">
      <c r="G28" s="54" t="s">
        <v>54</v>
      </c>
      <c r="I28" s="145" t="n">
        <v>1.83333333333333</v>
      </c>
    </row>
    <row r="29" customFormat="false" ht="15" hidden="false" customHeight="true" outlineLevel="0" collapsed="false">
      <c r="G29" s="54" t="s">
        <v>37</v>
      </c>
      <c r="I29" s="145" t="n">
        <v>1.83333333333333</v>
      </c>
    </row>
    <row r="30" customFormat="false" ht="15" hidden="false" customHeight="true" outlineLevel="0" collapsed="false">
      <c r="G30" s="54" t="s">
        <v>40</v>
      </c>
      <c r="I30" s="145" t="n">
        <v>1.83333333333333</v>
      </c>
    </row>
    <row r="31" customFormat="false" ht="15" hidden="false" customHeight="true" outlineLevel="0" collapsed="false">
      <c r="G31" s="54" t="s">
        <v>47</v>
      </c>
      <c r="I31" s="145" t="n">
        <v>1.83333333333333</v>
      </c>
    </row>
    <row r="32" customFormat="false" ht="15" hidden="false" customHeight="true" outlineLevel="0" collapsed="false">
      <c r="G32" s="54" t="s">
        <v>38</v>
      </c>
      <c r="I32" s="145" t="n">
        <v>1.83333333333333</v>
      </c>
    </row>
    <row r="33" customFormat="false" ht="15" hidden="false" customHeight="true" outlineLevel="0" collapsed="false">
      <c r="G33" s="54" t="s">
        <v>41</v>
      </c>
      <c r="I33" s="145" t="n">
        <v>1.83333333333333</v>
      </c>
    </row>
    <row r="34" customFormat="false" ht="15" hidden="false" customHeight="true" outlineLevel="0" collapsed="false">
      <c r="G34" s="54" t="s">
        <v>50</v>
      </c>
      <c r="I34" s="145" t="n">
        <v>1.66666666666667</v>
      </c>
    </row>
    <row r="35" customFormat="false" ht="15" hidden="false" customHeight="true" outlineLevel="0" collapsed="false">
      <c r="G35" s="54" t="s">
        <v>64</v>
      </c>
      <c r="I35" s="145" t="n">
        <v>1.66666666666667</v>
      </c>
    </row>
    <row r="36" customFormat="false" ht="15" hidden="false" customHeight="true" outlineLevel="0" collapsed="false">
      <c r="G36" s="54" t="s">
        <v>53</v>
      </c>
      <c r="I36" s="145" t="n">
        <v>1.54166666666667</v>
      </c>
    </row>
    <row r="37" customFormat="false" ht="15" hidden="false" customHeight="true" outlineLevel="0" collapsed="false">
      <c r="G37" s="54" t="s">
        <v>55</v>
      </c>
      <c r="I37" s="145" t="n">
        <v>1.25</v>
      </c>
    </row>
    <row r="38" customFormat="false" ht="15" hidden="false" customHeight="true" outlineLevel="0" collapsed="false">
      <c r="G38" s="54" t="s">
        <v>235</v>
      </c>
      <c r="I38" s="145" t="n">
        <v>59.2916666666667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1:DF4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P43" activeCellId="0" sqref="P43"/>
    </sheetView>
  </sheetViews>
  <sheetFormatPr defaultColWidth="10.5703125" defaultRowHeight="15" zeroHeight="false" outlineLevelRow="0" outlineLevelCol="0"/>
  <cols>
    <col collapsed="false" customWidth="false" hidden="false" outlineLevel="0" max="3" min="1" style="54" width="10.57"/>
    <col collapsed="false" customWidth="true" hidden="false" outlineLevel="0" max="4" min="4" style="54" width="4.57"/>
    <col collapsed="false" customWidth="true" hidden="false" outlineLevel="0" max="6" min="5" style="54" width="3.42"/>
    <col collapsed="false" customWidth="true" hidden="false" outlineLevel="0" max="7" min="7" style="54" width="28.71"/>
    <col collapsed="false" customWidth="true" hidden="false" outlineLevel="0" max="9" min="8" style="54" width="11.57"/>
    <col collapsed="false" customWidth="true" hidden="false" outlineLevel="0" max="10" min="10" style="59" width="11.57"/>
    <col collapsed="false" customWidth="true" hidden="false" outlineLevel="0" max="14" min="11" style="54" width="11.57"/>
    <col collapsed="false" customWidth="true" hidden="false" outlineLevel="0" max="15" min="15" style="146" width="12.86"/>
    <col collapsed="false" customWidth="true" hidden="false" outlineLevel="0" max="17" min="16" style="54" width="12.71"/>
    <col collapsed="false" customWidth="true" hidden="false" outlineLevel="0" max="20" min="18" style="54" width="11.57"/>
    <col collapsed="false" customWidth="true" hidden="false" outlineLevel="0" max="21" min="21" style="147" width="11.57"/>
    <col collapsed="false" customWidth="true" hidden="false" outlineLevel="0" max="22" min="22" style="54" width="11.57"/>
    <col collapsed="false" customWidth="true" hidden="false" outlineLevel="0" max="23" min="23" style="54" width="12.71"/>
    <col collapsed="false" customWidth="true" hidden="false" outlineLevel="0" max="28" min="24" style="54" width="11.57"/>
    <col collapsed="false" customWidth="true" hidden="false" outlineLevel="0" max="29" min="29" style="54" width="12.71"/>
    <col collapsed="false" customWidth="true" hidden="false" outlineLevel="0" max="37" min="30" style="54" width="11.57"/>
    <col collapsed="false" customWidth="true" hidden="false" outlineLevel="0" max="38" min="38" style="54" width="12.71"/>
    <col collapsed="false" customWidth="true" hidden="false" outlineLevel="0" max="97" min="39" style="54" width="11.57"/>
    <col collapsed="false" customWidth="true" hidden="false" outlineLevel="0" max="98" min="98" style="148" width="11.57"/>
    <col collapsed="false" customWidth="true" hidden="false" outlineLevel="0" max="129" min="99" style="54" width="11.57"/>
    <col collapsed="false" customWidth="true" hidden="false" outlineLevel="0" max="130" min="130" style="54" width="12.71"/>
    <col collapsed="false" customWidth="true" hidden="false" outlineLevel="0" max="160" min="131" style="54" width="11.57"/>
    <col collapsed="false" customWidth="true" hidden="false" outlineLevel="0" max="161" min="161" style="54" width="12.57"/>
    <col collapsed="false" customWidth="true" hidden="false" outlineLevel="0" max="340" min="162" style="54" width="11.57"/>
    <col collapsed="false" customWidth="true" hidden="false" outlineLevel="0" max="341" min="341" style="54" width="12.57"/>
    <col collapsed="false" customWidth="true" hidden="false" outlineLevel="0" max="342" min="342" style="54" width="10.42"/>
    <col collapsed="false" customWidth="true" hidden="false" outlineLevel="0" max="343" min="343" style="54" width="13.57"/>
    <col collapsed="false" customWidth="true" hidden="false" outlineLevel="0" max="344" min="344" style="54" width="10.42"/>
    <col collapsed="false" customWidth="true" hidden="false" outlineLevel="0" max="345" min="345" style="54" width="13.57"/>
    <col collapsed="false" customWidth="true" hidden="false" outlineLevel="0" max="346" min="346" style="54" width="10.42"/>
    <col collapsed="false" customWidth="true" hidden="false" outlineLevel="0" max="347" min="347" style="54" width="13.57"/>
    <col collapsed="false" customWidth="true" hidden="false" outlineLevel="0" max="348" min="348" style="54" width="10.42"/>
    <col collapsed="false" customWidth="true" hidden="false" outlineLevel="0" max="349" min="349" style="54" width="13.57"/>
    <col collapsed="false" customWidth="true" hidden="false" outlineLevel="0" max="350" min="350" style="54" width="10.42"/>
    <col collapsed="false" customWidth="true" hidden="false" outlineLevel="0" max="351" min="351" style="54" width="13.57"/>
    <col collapsed="false" customWidth="true" hidden="false" outlineLevel="0" max="352" min="352" style="54" width="10.42"/>
    <col collapsed="false" customWidth="true" hidden="false" outlineLevel="0" max="353" min="353" style="54" width="13.57"/>
    <col collapsed="false" customWidth="true" hidden="false" outlineLevel="0" max="354" min="354" style="54" width="10.42"/>
    <col collapsed="false" customWidth="true" hidden="false" outlineLevel="0" max="355" min="355" style="54" width="13.57"/>
    <col collapsed="false" customWidth="true" hidden="false" outlineLevel="0" max="356" min="356" style="54" width="10.42"/>
    <col collapsed="false" customWidth="true" hidden="false" outlineLevel="0" max="357" min="357" style="54" width="13.57"/>
    <col collapsed="false" customWidth="true" hidden="false" outlineLevel="0" max="358" min="358" style="54" width="10.42"/>
    <col collapsed="false" customWidth="true" hidden="false" outlineLevel="0" max="359" min="359" style="54" width="13.57"/>
    <col collapsed="false" customWidth="true" hidden="false" outlineLevel="0" max="360" min="360" style="54" width="10.42"/>
    <col collapsed="false" customWidth="true" hidden="false" outlineLevel="0" max="361" min="361" style="54" width="13.57"/>
    <col collapsed="false" customWidth="true" hidden="false" outlineLevel="0" max="362" min="362" style="54" width="10.42"/>
    <col collapsed="false" customWidth="true" hidden="false" outlineLevel="0" max="363" min="363" style="54" width="13.57"/>
    <col collapsed="false" customWidth="true" hidden="false" outlineLevel="0" max="364" min="364" style="54" width="10.42"/>
    <col collapsed="false" customWidth="true" hidden="false" outlineLevel="0" max="365" min="365" style="54" width="13.57"/>
    <col collapsed="false" customWidth="true" hidden="false" outlineLevel="0" max="366" min="366" style="54" width="10.42"/>
    <col collapsed="false" customWidth="true" hidden="false" outlineLevel="0" max="367" min="367" style="54" width="13.57"/>
    <col collapsed="false" customWidth="true" hidden="false" outlineLevel="0" max="368" min="368" style="54" width="10.42"/>
    <col collapsed="false" customWidth="true" hidden="false" outlineLevel="0" max="369" min="369" style="54" width="13.57"/>
    <col collapsed="false" customWidth="true" hidden="false" outlineLevel="0" max="370" min="370" style="54" width="10.42"/>
    <col collapsed="false" customWidth="true" hidden="false" outlineLevel="0" max="371" min="371" style="54" width="13.57"/>
    <col collapsed="false" customWidth="true" hidden="false" outlineLevel="0" max="372" min="372" style="54" width="10.42"/>
    <col collapsed="false" customWidth="true" hidden="false" outlineLevel="0" max="373" min="373" style="54" width="13.57"/>
    <col collapsed="false" customWidth="true" hidden="false" outlineLevel="0" max="421" min="374" style="54" width="8.57"/>
    <col collapsed="false" customWidth="false" hidden="false" outlineLevel="0" max="423" min="422" style="54" width="10.57"/>
    <col collapsed="false" customWidth="true" hidden="false" outlineLevel="0" max="424" min="424" style="54" width="13.57"/>
    <col collapsed="false" customWidth="true" hidden="false" outlineLevel="0" max="425" min="425" style="54" width="17.42"/>
    <col collapsed="false" customWidth="true" hidden="false" outlineLevel="0" max="426" min="426" style="54" width="12.42"/>
    <col collapsed="false" customWidth="true" hidden="false" outlineLevel="0" max="427" min="427" style="54" width="16.43"/>
    <col collapsed="false" customWidth="false" hidden="false" outlineLevel="0" max="16384" min="428" style="54" width="10.57"/>
  </cols>
  <sheetData>
    <row r="1" customFormat="false" ht="15" hidden="false" customHeight="true" outlineLevel="0" collapsed="false">
      <c r="I1" s="147" t="n">
        <v>43910</v>
      </c>
      <c r="J1" s="147" t="n">
        <v>44007</v>
      </c>
      <c r="CP1" s="147"/>
      <c r="CQ1" s="147"/>
    </row>
    <row r="2" customFormat="false" ht="15" hidden="false" customHeight="true" outlineLevel="0" collapsed="false">
      <c r="G2" s="54" t="s">
        <v>26</v>
      </c>
      <c r="H2" s="54" t="s">
        <v>233</v>
      </c>
      <c r="DF2" s="148"/>
    </row>
    <row r="3" customFormat="false" ht="15" hidden="false" customHeight="true" outlineLevel="0" collapsed="false">
      <c r="G3" s="54" t="s">
        <v>3</v>
      </c>
      <c r="H3" s="54" t="s">
        <v>233</v>
      </c>
      <c r="DF3" s="149"/>
    </row>
    <row r="4" customFormat="false" ht="15" hidden="false" customHeight="true" outlineLevel="0" collapsed="false">
      <c r="DF4" s="149"/>
    </row>
    <row r="5" customFormat="false" ht="15" hidden="false" customHeight="true" outlineLevel="0" collapsed="false">
      <c r="G5" s="54" t="s">
        <v>236</v>
      </c>
      <c r="H5" s="54" t="s">
        <v>16</v>
      </c>
    </row>
    <row r="6" customFormat="false" ht="15" hidden="false" customHeight="true" outlineLevel="0" collapsed="false">
      <c r="G6" s="59" t="s">
        <v>1</v>
      </c>
      <c r="H6" s="147" t="n">
        <v>44726</v>
      </c>
      <c r="I6" s="147" t="n">
        <v>44727</v>
      </c>
      <c r="J6" s="147" t="n">
        <v>44728</v>
      </c>
      <c r="K6" s="147" t="n">
        <v>44729</v>
      </c>
      <c r="L6" s="147" t="n">
        <v>44730</v>
      </c>
      <c r="M6" s="147" t="n">
        <v>44731</v>
      </c>
      <c r="N6" s="147" t="n">
        <v>44732</v>
      </c>
      <c r="O6" s="146" t="s">
        <v>235</v>
      </c>
    </row>
    <row r="7" customFormat="false" ht="15" hidden="false" customHeight="true" outlineLevel="0" collapsed="false">
      <c r="G7" s="150" t="s">
        <v>38</v>
      </c>
      <c r="H7" s="151" t="n">
        <v>1</v>
      </c>
      <c r="I7" s="151" t="n">
        <v>1</v>
      </c>
      <c r="J7" s="151" t="n">
        <v>1</v>
      </c>
      <c r="K7" s="151" t="n">
        <v>1</v>
      </c>
      <c r="L7" s="151" t="n">
        <v>1</v>
      </c>
      <c r="M7" s="151" t="n">
        <v>1</v>
      </c>
      <c r="N7" s="151" t="n">
        <v>1</v>
      </c>
      <c r="O7" s="151" t="n">
        <v>7</v>
      </c>
    </row>
    <row r="8" customFormat="false" ht="15" hidden="false" customHeight="true" outlineLevel="0" collapsed="false">
      <c r="G8" s="150" t="s">
        <v>57</v>
      </c>
      <c r="H8" s="151" t="n">
        <v>1</v>
      </c>
      <c r="I8" s="151" t="n">
        <v>1</v>
      </c>
      <c r="J8" s="151" t="n">
        <v>1</v>
      </c>
      <c r="K8" s="151" t="n">
        <v>1</v>
      </c>
      <c r="L8" s="151" t="n">
        <v>1</v>
      </c>
      <c r="M8" s="151" t="n">
        <v>1</v>
      </c>
      <c r="N8" s="151" t="n">
        <v>1</v>
      </c>
      <c r="O8" s="151" t="n">
        <v>7</v>
      </c>
    </row>
    <row r="9" customFormat="false" ht="15" hidden="false" customHeight="true" outlineLevel="0" collapsed="false">
      <c r="G9" s="150" t="s">
        <v>33</v>
      </c>
      <c r="H9" s="151" t="n">
        <v>1</v>
      </c>
      <c r="I9" s="151" t="n">
        <v>1</v>
      </c>
      <c r="J9" s="151" t="n">
        <v>1</v>
      </c>
      <c r="K9" s="151" t="n">
        <v>1</v>
      </c>
      <c r="L9" s="151" t="n">
        <v>1</v>
      </c>
      <c r="M9" s="151" t="n">
        <v>1</v>
      </c>
      <c r="N9" s="151" t="n">
        <v>1</v>
      </c>
      <c r="O9" s="151" t="n">
        <v>7</v>
      </c>
    </row>
    <row r="10" customFormat="false" ht="15" hidden="false" customHeight="true" outlineLevel="0" collapsed="false">
      <c r="G10" s="150" t="s">
        <v>58</v>
      </c>
      <c r="H10" s="151" t="n">
        <v>1</v>
      </c>
      <c r="I10" s="151" t="n">
        <v>1</v>
      </c>
      <c r="J10" s="151" t="n">
        <v>1</v>
      </c>
      <c r="K10" s="151" t="n">
        <v>1</v>
      </c>
      <c r="L10" s="151" t="n">
        <v>1</v>
      </c>
      <c r="M10" s="151" t="n">
        <v>1</v>
      </c>
      <c r="N10" s="151" t="n">
        <v>1</v>
      </c>
      <c r="O10" s="151" t="n">
        <v>7</v>
      </c>
    </row>
    <row r="11" customFormat="false" ht="15" hidden="false" customHeight="true" outlineLevel="0" collapsed="false">
      <c r="G11" s="150" t="s">
        <v>63</v>
      </c>
      <c r="H11" s="151" t="n">
        <v>1</v>
      </c>
      <c r="I11" s="151" t="n">
        <v>1</v>
      </c>
      <c r="J11" s="151" t="n">
        <v>1</v>
      </c>
      <c r="K11" s="151" t="n">
        <v>1</v>
      </c>
      <c r="L11" s="151" t="n">
        <v>1</v>
      </c>
      <c r="M11" s="151" t="n">
        <v>1</v>
      </c>
      <c r="N11" s="151" t="n">
        <v>1</v>
      </c>
      <c r="O11" s="151" t="n">
        <v>7</v>
      </c>
    </row>
    <row r="12" customFormat="false" ht="15" hidden="false" customHeight="true" outlineLevel="0" collapsed="false">
      <c r="G12" s="150" t="s">
        <v>48</v>
      </c>
      <c r="H12" s="151" t="n">
        <v>1</v>
      </c>
      <c r="I12" s="151" t="n">
        <v>1</v>
      </c>
      <c r="J12" s="151" t="n">
        <v>1</v>
      </c>
      <c r="K12" s="151" t="n">
        <v>1</v>
      </c>
      <c r="L12" s="151" t="n">
        <v>1</v>
      </c>
      <c r="M12" s="151" t="n">
        <v>1</v>
      </c>
      <c r="N12" s="151" t="n">
        <v>1</v>
      </c>
      <c r="O12" s="151" t="n">
        <v>7</v>
      </c>
    </row>
    <row r="13" customFormat="false" ht="15.75" hidden="false" customHeight="true" outlineLevel="0" collapsed="false">
      <c r="G13" s="150" t="s">
        <v>44</v>
      </c>
      <c r="H13" s="151" t="n">
        <v>1</v>
      </c>
      <c r="I13" s="151" t="n">
        <v>1</v>
      </c>
      <c r="J13" s="151" t="n">
        <v>1</v>
      </c>
      <c r="K13" s="151" t="n">
        <v>1</v>
      </c>
      <c r="L13" s="151" t="n">
        <v>1</v>
      </c>
      <c r="M13" s="151" t="n">
        <v>1</v>
      </c>
      <c r="N13" s="151" t="n">
        <v>1</v>
      </c>
      <c r="O13" s="151" t="n">
        <v>7</v>
      </c>
    </row>
    <row r="14" customFormat="false" ht="15" hidden="false" customHeight="true" outlineLevel="0" collapsed="false">
      <c r="G14" s="150" t="s">
        <v>59</v>
      </c>
      <c r="H14" s="151" t="n">
        <v>1</v>
      </c>
      <c r="I14" s="151" t="n">
        <v>1</v>
      </c>
      <c r="J14" s="151" t="n">
        <v>1</v>
      </c>
      <c r="K14" s="151" t="n">
        <v>1</v>
      </c>
      <c r="L14" s="151" t="n">
        <v>1</v>
      </c>
      <c r="M14" s="151" t="n">
        <v>1</v>
      </c>
      <c r="N14" s="151" t="n">
        <v>1</v>
      </c>
      <c r="O14" s="151" t="n">
        <v>7</v>
      </c>
    </row>
    <row r="15" customFormat="false" ht="15" hidden="false" customHeight="true" outlineLevel="0" collapsed="false">
      <c r="G15" s="150" t="s">
        <v>60</v>
      </c>
      <c r="H15" s="151" t="n">
        <v>1</v>
      </c>
      <c r="I15" s="151" t="n">
        <v>1</v>
      </c>
      <c r="J15" s="151" t="n">
        <v>1</v>
      </c>
      <c r="K15" s="151" t="n">
        <v>1</v>
      </c>
      <c r="L15" s="151" t="n">
        <v>1</v>
      </c>
      <c r="M15" s="151" t="n">
        <v>1</v>
      </c>
      <c r="N15" s="151" t="n">
        <v>1</v>
      </c>
      <c r="O15" s="151" t="n">
        <v>7</v>
      </c>
    </row>
    <row r="16" customFormat="false" ht="15" hidden="false" customHeight="true" outlineLevel="0" collapsed="false">
      <c r="G16" s="150" t="s">
        <v>61</v>
      </c>
      <c r="H16" s="151" t="n">
        <v>1</v>
      </c>
      <c r="I16" s="151" t="n">
        <v>1</v>
      </c>
      <c r="J16" s="151" t="n">
        <v>1</v>
      </c>
      <c r="K16" s="151" t="n">
        <v>1</v>
      </c>
      <c r="L16" s="151" t="n">
        <v>1</v>
      </c>
      <c r="M16" s="151" t="n">
        <v>1</v>
      </c>
      <c r="N16" s="151" t="n">
        <v>1</v>
      </c>
      <c r="O16" s="151" t="n">
        <v>7</v>
      </c>
    </row>
    <row r="17" customFormat="false" ht="15" hidden="false" customHeight="true" outlineLevel="0" collapsed="false">
      <c r="G17" s="150" t="s">
        <v>52</v>
      </c>
      <c r="H17" s="151" t="n">
        <v>1</v>
      </c>
      <c r="I17" s="151" t="n">
        <v>1</v>
      </c>
      <c r="J17" s="151" t="n">
        <v>1</v>
      </c>
      <c r="K17" s="151" t="n">
        <v>1</v>
      </c>
      <c r="L17" s="151" t="n">
        <v>1</v>
      </c>
      <c r="M17" s="151" t="n">
        <v>1</v>
      </c>
      <c r="N17" s="151" t="n">
        <v>1</v>
      </c>
      <c r="O17" s="151" t="n">
        <v>7</v>
      </c>
    </row>
    <row r="18" customFormat="false" ht="15" hidden="false" customHeight="true" outlineLevel="0" collapsed="false">
      <c r="G18" s="150" t="s">
        <v>64</v>
      </c>
      <c r="H18" s="151" t="n">
        <v>1</v>
      </c>
      <c r="I18" s="151" t="n">
        <v>1</v>
      </c>
      <c r="J18" s="151" t="n">
        <v>1</v>
      </c>
      <c r="K18" s="151" t="n">
        <v>1</v>
      </c>
      <c r="L18" s="151" t="n">
        <v>1</v>
      </c>
      <c r="M18" s="151" t="n">
        <v>1</v>
      </c>
      <c r="N18" s="151" t="n">
        <v>1</v>
      </c>
      <c r="O18" s="151" t="n">
        <v>7</v>
      </c>
    </row>
    <row r="19" customFormat="false" ht="15" hidden="false" customHeight="true" outlineLevel="0" collapsed="false">
      <c r="G19" s="150" t="s">
        <v>53</v>
      </c>
      <c r="H19" s="151" t="n">
        <v>1</v>
      </c>
      <c r="I19" s="151" t="n">
        <v>1</v>
      </c>
      <c r="J19" s="151" t="n">
        <v>1</v>
      </c>
      <c r="K19" s="151" t="n">
        <v>1</v>
      </c>
      <c r="L19" s="151" t="n">
        <v>1</v>
      </c>
      <c r="M19" s="151" t="n">
        <v>1</v>
      </c>
      <c r="N19" s="151" t="n">
        <v>1</v>
      </c>
      <c r="O19" s="151" t="n">
        <v>7</v>
      </c>
    </row>
    <row r="20" customFormat="false" ht="15" hidden="false" customHeight="true" outlineLevel="0" collapsed="false">
      <c r="G20" s="150" t="s">
        <v>55</v>
      </c>
      <c r="H20" s="151" t="n">
        <v>1</v>
      </c>
      <c r="I20" s="151" t="n">
        <v>1</v>
      </c>
      <c r="J20" s="151" t="n">
        <v>1</v>
      </c>
      <c r="K20" s="151" t="n">
        <v>1</v>
      </c>
      <c r="L20" s="151" t="n">
        <v>1</v>
      </c>
      <c r="M20" s="151" t="n">
        <v>1</v>
      </c>
      <c r="N20" s="151" t="n">
        <v>1</v>
      </c>
      <c r="O20" s="151" t="n">
        <v>7</v>
      </c>
    </row>
    <row r="21" customFormat="false" ht="15" hidden="false" customHeight="true" outlineLevel="0" collapsed="false">
      <c r="G21" s="150" t="s">
        <v>54</v>
      </c>
      <c r="H21" s="151" t="n">
        <v>1</v>
      </c>
      <c r="I21" s="151" t="n">
        <v>1</v>
      </c>
      <c r="J21" s="151" t="n">
        <v>1</v>
      </c>
      <c r="K21" s="151" t="n">
        <v>1</v>
      </c>
      <c r="L21" s="151" t="n">
        <v>1</v>
      </c>
      <c r="M21" s="151" t="n">
        <v>1</v>
      </c>
      <c r="N21" s="151" t="n">
        <v>1</v>
      </c>
      <c r="O21" s="151" t="n">
        <v>7</v>
      </c>
    </row>
    <row r="22" customFormat="false" ht="15" hidden="false" customHeight="true" outlineLevel="0" collapsed="false">
      <c r="G22" s="150" t="s">
        <v>40</v>
      </c>
      <c r="H22" s="151" t="n">
        <v>1</v>
      </c>
      <c r="I22" s="151" t="n">
        <v>1</v>
      </c>
      <c r="J22" s="151" t="n">
        <v>1</v>
      </c>
      <c r="K22" s="151" t="n">
        <v>1</v>
      </c>
      <c r="L22" s="151" t="n">
        <v>1</v>
      </c>
      <c r="M22" s="151" t="n">
        <v>1</v>
      </c>
      <c r="N22" s="151" t="n">
        <v>1</v>
      </c>
      <c r="O22" s="151" t="n">
        <v>7</v>
      </c>
    </row>
    <row r="23" customFormat="false" ht="15" hidden="false" customHeight="true" outlineLevel="0" collapsed="false">
      <c r="G23" s="150" t="s">
        <v>41</v>
      </c>
      <c r="H23" s="151" t="n">
        <v>1</v>
      </c>
      <c r="I23" s="151" t="n">
        <v>1</v>
      </c>
      <c r="J23" s="151" t="n">
        <v>1</v>
      </c>
      <c r="K23" s="151" t="n">
        <v>1</v>
      </c>
      <c r="L23" s="151" t="n">
        <v>1</v>
      </c>
      <c r="M23" s="151" t="n">
        <v>1</v>
      </c>
      <c r="N23" s="151" t="n">
        <v>1</v>
      </c>
      <c r="O23" s="151" t="n">
        <v>7</v>
      </c>
    </row>
    <row r="24" customFormat="false" ht="15" hidden="false" customHeight="true" outlineLevel="0" collapsed="false">
      <c r="G24" s="150" t="s">
        <v>45</v>
      </c>
      <c r="H24" s="151" t="n">
        <v>1</v>
      </c>
      <c r="I24" s="151" t="n">
        <v>1</v>
      </c>
      <c r="J24" s="151" t="n">
        <v>1</v>
      </c>
      <c r="K24" s="151" t="n">
        <v>1</v>
      </c>
      <c r="L24" s="151" t="n">
        <v>1</v>
      </c>
      <c r="M24" s="151" t="n">
        <v>1</v>
      </c>
      <c r="N24" s="151" t="n">
        <v>1</v>
      </c>
      <c r="O24" s="151" t="n">
        <v>7</v>
      </c>
    </row>
    <row r="25" customFormat="false" ht="15" hidden="false" customHeight="true" outlineLevel="0" collapsed="false">
      <c r="G25" s="150" t="s">
        <v>34</v>
      </c>
      <c r="H25" s="151" t="n">
        <v>1</v>
      </c>
      <c r="I25" s="151" t="n">
        <v>1</v>
      </c>
      <c r="J25" s="151" t="n">
        <v>1</v>
      </c>
      <c r="K25" s="151" t="n">
        <v>1</v>
      </c>
      <c r="L25" s="151" t="n">
        <v>1</v>
      </c>
      <c r="M25" s="151" t="n">
        <v>1</v>
      </c>
      <c r="N25" s="151" t="n">
        <v>1</v>
      </c>
      <c r="O25" s="151" t="n">
        <v>7</v>
      </c>
    </row>
    <row r="26" customFormat="false" ht="15" hidden="false" customHeight="true" outlineLevel="0" collapsed="false">
      <c r="G26" s="150" t="s">
        <v>35</v>
      </c>
      <c r="H26" s="151" t="n">
        <v>1</v>
      </c>
      <c r="I26" s="151" t="n">
        <v>1</v>
      </c>
      <c r="J26" s="151" t="n">
        <v>1</v>
      </c>
      <c r="K26" s="151" t="n">
        <v>1</v>
      </c>
      <c r="L26" s="151" t="n">
        <v>1</v>
      </c>
      <c r="M26" s="151" t="n">
        <v>1</v>
      </c>
      <c r="N26" s="151" t="n">
        <v>1</v>
      </c>
      <c r="O26" s="151" t="n">
        <v>7</v>
      </c>
    </row>
    <row r="27" customFormat="false" ht="15" hidden="false" customHeight="true" outlineLevel="0" collapsed="false">
      <c r="G27" s="54" t="s">
        <v>46</v>
      </c>
      <c r="H27" s="151" t="n">
        <v>1</v>
      </c>
      <c r="I27" s="151" t="n">
        <v>1</v>
      </c>
      <c r="J27" s="151" t="n">
        <v>1</v>
      </c>
      <c r="K27" s="151" t="n">
        <v>1</v>
      </c>
      <c r="L27" s="151" t="n">
        <v>1</v>
      </c>
      <c r="M27" s="151" t="n">
        <v>1</v>
      </c>
      <c r="N27" s="151" t="n">
        <v>1</v>
      </c>
      <c r="O27" s="151" t="n">
        <v>7</v>
      </c>
    </row>
    <row r="28" customFormat="false" ht="15" hidden="false" customHeight="true" outlineLevel="0" collapsed="false">
      <c r="G28" s="54" t="s">
        <v>36</v>
      </c>
      <c r="H28" s="151" t="n">
        <v>1</v>
      </c>
      <c r="I28" s="151" t="n">
        <v>1</v>
      </c>
      <c r="J28" s="151" t="n">
        <v>1</v>
      </c>
      <c r="K28" s="151" t="n">
        <v>1</v>
      </c>
      <c r="L28" s="151" t="n">
        <v>1</v>
      </c>
      <c r="M28" s="151" t="n">
        <v>1</v>
      </c>
      <c r="N28" s="151" t="n">
        <v>1</v>
      </c>
      <c r="O28" s="151" t="n">
        <v>7</v>
      </c>
    </row>
    <row r="29" customFormat="false" ht="15" hidden="false" customHeight="true" outlineLevel="0" collapsed="false">
      <c r="G29" s="54" t="s">
        <v>42</v>
      </c>
      <c r="H29" s="151" t="n">
        <v>1</v>
      </c>
      <c r="I29" s="151" t="n">
        <v>1</v>
      </c>
      <c r="J29" s="151" t="n">
        <v>1</v>
      </c>
      <c r="K29" s="151" t="n">
        <v>1</v>
      </c>
      <c r="L29" s="151" t="n">
        <v>1</v>
      </c>
      <c r="M29" s="151" t="n">
        <v>1</v>
      </c>
      <c r="N29" s="151" t="n">
        <v>1</v>
      </c>
      <c r="O29" s="151" t="n">
        <v>7</v>
      </c>
    </row>
    <row r="30" customFormat="false" ht="15" hidden="false" customHeight="true" outlineLevel="0" collapsed="false">
      <c r="G30" s="54" t="s">
        <v>43</v>
      </c>
      <c r="H30" s="151" t="n">
        <v>1</v>
      </c>
      <c r="I30" s="151" t="n">
        <v>1</v>
      </c>
      <c r="J30" s="151" t="n">
        <v>1</v>
      </c>
      <c r="K30" s="151" t="n">
        <v>1</v>
      </c>
      <c r="L30" s="151" t="n">
        <v>1</v>
      </c>
      <c r="M30" s="151" t="n">
        <v>1</v>
      </c>
      <c r="N30" s="151" t="n">
        <v>1</v>
      </c>
      <c r="O30" s="151" t="n">
        <v>7</v>
      </c>
    </row>
    <row r="31" customFormat="false" ht="15" hidden="false" customHeight="true" outlineLevel="0" collapsed="false">
      <c r="G31" s="54" t="s">
        <v>50</v>
      </c>
      <c r="H31" s="151" t="n">
        <v>1</v>
      </c>
      <c r="I31" s="151" t="n">
        <v>1</v>
      </c>
      <c r="J31" s="151" t="n">
        <v>1</v>
      </c>
      <c r="K31" s="151" t="n">
        <v>1</v>
      </c>
      <c r="L31" s="151" t="n">
        <v>1</v>
      </c>
      <c r="M31" s="151" t="n">
        <v>1</v>
      </c>
      <c r="N31" s="151" t="n">
        <v>1</v>
      </c>
      <c r="O31" s="151" t="n">
        <v>7</v>
      </c>
    </row>
    <row r="32" customFormat="false" ht="15" hidden="false" customHeight="true" outlineLevel="0" collapsed="false">
      <c r="G32" s="54" t="s">
        <v>56</v>
      </c>
      <c r="H32" s="151" t="n">
        <v>1</v>
      </c>
      <c r="I32" s="151" t="n">
        <v>1</v>
      </c>
      <c r="J32" s="151" t="n">
        <v>1</v>
      </c>
      <c r="K32" s="151" t="n">
        <v>1</v>
      </c>
      <c r="L32" s="151" t="n">
        <v>1</v>
      </c>
      <c r="M32" s="151" t="n">
        <v>1</v>
      </c>
      <c r="N32" s="151" t="n">
        <v>1</v>
      </c>
      <c r="O32" s="151" t="n">
        <v>7</v>
      </c>
    </row>
    <row r="33" customFormat="false" ht="15" hidden="false" customHeight="true" outlineLevel="0" collapsed="false">
      <c r="G33" s="54" t="s">
        <v>49</v>
      </c>
      <c r="H33" s="151" t="n">
        <v>1</v>
      </c>
      <c r="I33" s="151" t="n">
        <v>1</v>
      </c>
      <c r="J33" s="151" t="n">
        <v>1</v>
      </c>
      <c r="K33" s="151" t="n">
        <v>1</v>
      </c>
      <c r="L33" s="151" t="n">
        <v>1</v>
      </c>
      <c r="M33" s="151" t="n">
        <v>1</v>
      </c>
      <c r="N33" s="151" t="n">
        <v>1</v>
      </c>
      <c r="O33" s="151" t="n">
        <v>7</v>
      </c>
    </row>
    <row r="34" customFormat="false" ht="15" hidden="false" customHeight="true" outlineLevel="0" collapsed="false">
      <c r="G34" s="54" t="s">
        <v>51</v>
      </c>
      <c r="H34" s="151" t="n">
        <v>1</v>
      </c>
      <c r="I34" s="151" t="n">
        <v>1</v>
      </c>
      <c r="J34" s="151" t="n">
        <v>1</v>
      </c>
      <c r="K34" s="151" t="n">
        <v>1</v>
      </c>
      <c r="L34" s="151" t="n">
        <v>1</v>
      </c>
      <c r="M34" s="151" t="n">
        <v>1</v>
      </c>
      <c r="N34" s="151" t="n">
        <v>1</v>
      </c>
      <c r="O34" s="151" t="n">
        <v>7</v>
      </c>
    </row>
    <row r="35" customFormat="false" ht="15" hidden="false" customHeight="true" outlineLevel="0" collapsed="false">
      <c r="G35" s="54" t="s">
        <v>232</v>
      </c>
      <c r="H35" s="151" t="n">
        <v>1</v>
      </c>
      <c r="I35" s="151" t="n">
        <v>1</v>
      </c>
      <c r="J35" s="151" t="n">
        <v>1</v>
      </c>
      <c r="K35" s="151" t="n">
        <v>1</v>
      </c>
      <c r="L35" s="151" t="n">
        <v>1</v>
      </c>
      <c r="M35" s="151" t="n">
        <v>1</v>
      </c>
      <c r="N35" s="151" t="n">
        <v>1</v>
      </c>
      <c r="O35" s="151" t="n">
        <v>7</v>
      </c>
    </row>
    <row r="36" customFormat="false" ht="15" hidden="false" customHeight="true" outlineLevel="0" collapsed="false">
      <c r="G36" s="54" t="s">
        <v>39</v>
      </c>
      <c r="H36" s="151" t="n">
        <v>1</v>
      </c>
      <c r="I36" s="151" t="n">
        <v>1</v>
      </c>
      <c r="J36" s="151" t="n">
        <v>1</v>
      </c>
      <c r="K36" s="151" t="n">
        <v>1</v>
      </c>
      <c r="L36" s="151" t="n">
        <v>1</v>
      </c>
      <c r="M36" s="151" t="n">
        <v>1</v>
      </c>
      <c r="N36" s="151" t="n">
        <v>1</v>
      </c>
      <c r="O36" s="151" t="n">
        <v>7</v>
      </c>
    </row>
    <row r="37" customFormat="false" ht="15" hidden="false" customHeight="true" outlineLevel="0" collapsed="false">
      <c r="G37" s="54" t="s">
        <v>37</v>
      </c>
      <c r="H37" s="151" t="n">
        <v>1</v>
      </c>
      <c r="I37" s="151" t="n">
        <v>1</v>
      </c>
      <c r="J37" s="151" t="n">
        <v>1</v>
      </c>
      <c r="K37" s="151" t="n">
        <v>1</v>
      </c>
      <c r="L37" s="151" t="n">
        <v>1</v>
      </c>
      <c r="M37" s="151" t="n">
        <v>1</v>
      </c>
      <c r="N37" s="151" t="n">
        <v>1</v>
      </c>
      <c r="O37" s="151" t="n">
        <v>7</v>
      </c>
    </row>
    <row r="38" customFormat="false" ht="15" hidden="false" customHeight="true" outlineLevel="0" collapsed="false">
      <c r="G38" s="54" t="s">
        <v>62</v>
      </c>
      <c r="H38" s="151" t="n">
        <v>1</v>
      </c>
      <c r="I38" s="151" t="n">
        <v>1</v>
      </c>
      <c r="J38" s="151" t="n">
        <v>1</v>
      </c>
      <c r="K38" s="151" t="n">
        <v>1</v>
      </c>
      <c r="L38" s="151" t="n">
        <v>1</v>
      </c>
      <c r="M38" s="151" t="n">
        <v>1</v>
      </c>
      <c r="N38" s="151" t="n">
        <v>1</v>
      </c>
      <c r="O38" s="151" t="n">
        <v>7</v>
      </c>
    </row>
    <row r="39" customFormat="false" ht="15" hidden="false" customHeight="true" outlineLevel="0" collapsed="false">
      <c r="G39" s="54" t="s">
        <v>47</v>
      </c>
      <c r="H39" s="151" t="n">
        <v>1</v>
      </c>
      <c r="I39" s="151" t="n">
        <v>1</v>
      </c>
      <c r="J39" s="151" t="n">
        <v>1</v>
      </c>
      <c r="K39" s="151" t="n">
        <v>1</v>
      </c>
      <c r="L39" s="151" t="n">
        <v>1</v>
      </c>
      <c r="M39" s="151" t="n">
        <v>1</v>
      </c>
      <c r="N39" s="151" t="n">
        <v>1</v>
      </c>
      <c r="O39" s="151" t="n">
        <v>7</v>
      </c>
    </row>
    <row r="40" customFormat="false" ht="15" hidden="false" customHeight="true" outlineLevel="0" collapsed="false">
      <c r="G40" s="54" t="s">
        <v>235</v>
      </c>
      <c r="H40" s="151" t="n">
        <v>33</v>
      </c>
      <c r="I40" s="151" t="n">
        <v>33</v>
      </c>
      <c r="J40" s="151" t="n">
        <v>33</v>
      </c>
      <c r="K40" s="151" t="n">
        <v>33</v>
      </c>
      <c r="L40" s="151" t="n">
        <v>33</v>
      </c>
      <c r="M40" s="151" t="n">
        <v>33</v>
      </c>
      <c r="N40" s="151" t="n">
        <v>33</v>
      </c>
      <c r="O40" s="151" t="n">
        <v>231</v>
      </c>
    </row>
  </sheetData>
  <conditionalFormatting sqref="G7:G26">
    <cfRule type="duplicateValues" priority="2" aboveAverage="0" equalAverage="0" bottom="0" percent="0" rank="0" text="" dxfId="2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0.6796875" defaultRowHeight="15" zeroHeight="false" outlineLevelRow="0" outlineLevelCol="0"/>
  <cols>
    <col collapsed="false" customWidth="true" hidden="false" outlineLevel="0" max="2" min="2" style="54" width="16.14"/>
    <col collapsed="false" customWidth="true" hidden="false" outlineLevel="0" max="3" min="3" style="54" width="13.42"/>
    <col collapsed="false" customWidth="true" hidden="false" outlineLevel="0" max="5" min="5" style="54" width="17.86"/>
    <col collapsed="false" customWidth="true" hidden="false" outlineLevel="0" max="6" min="6" style="54" width="20.29"/>
    <col collapsed="false" customWidth="true" hidden="false" outlineLevel="0" max="7" min="7" style="54" width="14.42"/>
    <col collapsed="false" customWidth="true" hidden="false" outlineLevel="0" max="8" min="8" style="54" width="15.42"/>
    <col collapsed="false" customWidth="true" hidden="false" outlineLevel="0" max="9" min="9" style="54" width="15.71"/>
    <col collapsed="false" customWidth="true" hidden="false" outlineLevel="0" max="10" min="10" style="54" width="13.71"/>
    <col collapsed="false" customWidth="true" hidden="false" outlineLevel="0" max="11" min="11" style="54" width="12.29"/>
    <col collapsed="false" customWidth="true" hidden="false" outlineLevel="0" max="17" min="17" style="54" width="13.71"/>
  </cols>
  <sheetData>
    <row r="4" customFormat="false" ht="18.75" hidden="false" customHeight="true" outlineLevel="0" collapsed="false">
      <c r="E4" s="152" t="s">
        <v>237</v>
      </c>
      <c r="H4" s="152" t="s">
        <v>238</v>
      </c>
      <c r="K4" s="152" t="s">
        <v>239</v>
      </c>
      <c r="N4" s="152" t="s">
        <v>240</v>
      </c>
      <c r="Q4" s="152" t="s">
        <v>241</v>
      </c>
    </row>
    <row r="5" customFormat="false" ht="15.75" hidden="false" customHeight="true" outlineLevel="0" collapsed="false">
      <c r="E5" s="153" t="s">
        <v>242</v>
      </c>
      <c r="F5" s="154" t="s">
        <v>243</v>
      </c>
      <c r="H5" s="153" t="s">
        <v>242</v>
      </c>
      <c r="I5" s="154" t="s">
        <v>243</v>
      </c>
      <c r="K5" s="153" t="s">
        <v>242</v>
      </c>
      <c r="L5" s="154" t="s">
        <v>243</v>
      </c>
      <c r="N5" s="153" t="s">
        <v>242</v>
      </c>
      <c r="O5" s="154" t="s">
        <v>243</v>
      </c>
      <c r="Q5" s="153" t="s">
        <v>242</v>
      </c>
      <c r="R5" s="154" t="s">
        <v>243</v>
      </c>
    </row>
    <row r="6" customFormat="false" ht="15.75" hidden="false" customHeight="true" outlineLevel="0" collapsed="false">
      <c r="E6" s="155" t="s">
        <v>244</v>
      </c>
      <c r="F6" s="156" t="n">
        <v>0.0222</v>
      </c>
      <c r="H6" s="155" t="s">
        <v>244</v>
      </c>
      <c r="I6" s="156" t="n">
        <v>0.0578</v>
      </c>
      <c r="K6" s="155" t="s">
        <v>244</v>
      </c>
      <c r="L6" s="156"/>
      <c r="N6" s="155" t="s">
        <v>244</v>
      </c>
      <c r="O6" s="156"/>
      <c r="Q6" s="155" t="s">
        <v>244</v>
      </c>
      <c r="R6" s="156" t="n">
        <v>0.0144</v>
      </c>
    </row>
    <row r="7" customFormat="false" ht="15.75" hidden="false" customHeight="true" outlineLevel="0" collapsed="false">
      <c r="E7" s="155" t="s">
        <v>188</v>
      </c>
      <c r="F7" s="156" t="n">
        <v>0.0503</v>
      </c>
      <c r="H7" s="155" t="s">
        <v>188</v>
      </c>
      <c r="I7" s="156" t="n">
        <v>0.0248</v>
      </c>
      <c r="K7" s="155" t="s">
        <v>188</v>
      </c>
      <c r="L7" s="156" t="n">
        <v>0.0569</v>
      </c>
      <c r="N7" s="155" t="s">
        <v>188</v>
      </c>
      <c r="O7" s="156" t="n">
        <v>0.1198</v>
      </c>
      <c r="Q7" s="155" t="s">
        <v>188</v>
      </c>
      <c r="R7" s="156" t="n">
        <v>0.0162</v>
      </c>
    </row>
    <row r="8" customFormat="false" ht="15.75" hidden="false" customHeight="true" outlineLevel="0" collapsed="false">
      <c r="E8" s="155" t="s">
        <v>245</v>
      </c>
      <c r="F8" s="156" t="n">
        <v>0</v>
      </c>
      <c r="H8" s="155" t="s">
        <v>245</v>
      </c>
      <c r="I8" s="156" t="n">
        <v>0.0005</v>
      </c>
      <c r="K8" s="155" t="s">
        <v>245</v>
      </c>
      <c r="L8" s="156" t="n">
        <v>0.0034</v>
      </c>
      <c r="N8" s="155" t="s">
        <v>245</v>
      </c>
      <c r="O8" s="156" t="n">
        <v>0.0215</v>
      </c>
      <c r="Q8" s="155" t="s">
        <v>245</v>
      </c>
      <c r="R8" s="156" t="n">
        <v>0</v>
      </c>
    </row>
    <row r="9" customFormat="false" ht="15.75" hidden="false" customHeight="true" outlineLevel="0" collapsed="false">
      <c r="E9" s="155" t="s">
        <v>246</v>
      </c>
      <c r="F9" s="156" t="n">
        <v>0.0304</v>
      </c>
      <c r="H9" s="155" t="s">
        <v>246</v>
      </c>
      <c r="I9" s="156" t="n">
        <v>0.1068</v>
      </c>
      <c r="K9" s="155" t="s">
        <v>246</v>
      </c>
      <c r="L9" s="156" t="n">
        <v>0.1227</v>
      </c>
      <c r="N9" s="155" t="s">
        <v>246</v>
      </c>
      <c r="O9" s="156" t="n">
        <v>0</v>
      </c>
      <c r="Q9" s="155" t="s">
        <v>246</v>
      </c>
      <c r="R9" s="156" t="n">
        <v>0.1491</v>
      </c>
    </row>
    <row r="10" customFormat="false" ht="15.75" hidden="false" customHeight="true" outlineLevel="0" collapsed="false">
      <c r="E10" s="155" t="s">
        <v>168</v>
      </c>
      <c r="F10" s="156" t="n">
        <v>0.0323</v>
      </c>
      <c r="H10" s="155" t="s">
        <v>168</v>
      </c>
      <c r="I10" s="156" t="n">
        <v>0.0133</v>
      </c>
      <c r="K10" s="155" t="s">
        <v>168</v>
      </c>
      <c r="L10" s="156" t="n">
        <v>0.0718</v>
      </c>
      <c r="N10" s="155" t="s">
        <v>168</v>
      </c>
      <c r="O10" s="156" t="n">
        <v>0</v>
      </c>
      <c r="Q10" s="155" t="s">
        <v>168</v>
      </c>
      <c r="R10" s="156" t="n">
        <v>0</v>
      </c>
    </row>
    <row r="11" customFormat="false" ht="15.75" hidden="false" customHeight="true" outlineLevel="0" collapsed="false">
      <c r="E11" s="155" t="s">
        <v>182</v>
      </c>
      <c r="F11" s="156" t="n">
        <v>0.125</v>
      </c>
      <c r="H11" s="155" t="s">
        <v>182</v>
      </c>
      <c r="I11" s="156" t="n">
        <v>0.002</v>
      </c>
      <c r="K11" s="155" t="s">
        <v>182</v>
      </c>
      <c r="L11" s="156" t="n">
        <v>0</v>
      </c>
      <c r="N11" s="155" t="s">
        <v>182</v>
      </c>
      <c r="O11" s="156" t="n">
        <v>0</v>
      </c>
      <c r="Q11" s="155" t="s">
        <v>182</v>
      </c>
      <c r="R11" s="156" t="n">
        <v>0.025</v>
      </c>
    </row>
    <row r="12" customFormat="false" ht="15.75" hidden="false" customHeight="true" outlineLevel="0" collapsed="false">
      <c r="E12" s="155" t="s">
        <v>214</v>
      </c>
      <c r="F12" s="156" t="n">
        <v>0</v>
      </c>
      <c r="H12" s="155" t="s">
        <v>214</v>
      </c>
      <c r="I12" s="156" t="n">
        <v>0</v>
      </c>
      <c r="K12" s="155" t="s">
        <v>214</v>
      </c>
      <c r="L12" s="156" t="n">
        <v>0</v>
      </c>
      <c r="N12" s="155" t="s">
        <v>214</v>
      </c>
      <c r="O12" s="156" t="n">
        <v>0.0511</v>
      </c>
      <c r="Q12" s="155" t="s">
        <v>214</v>
      </c>
      <c r="R12" s="156" t="n">
        <v>0</v>
      </c>
    </row>
    <row r="13" customFormat="false" ht="15.75" hidden="false" customHeight="true" outlineLevel="0" collapsed="false">
      <c r="E13" s="155" t="s">
        <v>247</v>
      </c>
      <c r="F13" s="156" t="n">
        <v>0.0358</v>
      </c>
      <c r="H13" s="155" t="s">
        <v>247</v>
      </c>
      <c r="I13" s="156" t="n">
        <v>0.0184</v>
      </c>
      <c r="K13" s="155" t="s">
        <v>247</v>
      </c>
      <c r="L13" s="156" t="n">
        <v>0.0134</v>
      </c>
      <c r="N13" s="155" t="s">
        <v>247</v>
      </c>
      <c r="O13" s="156"/>
      <c r="Q13" s="155" t="s">
        <v>247</v>
      </c>
      <c r="R13" s="156" t="n">
        <v>0.0758</v>
      </c>
    </row>
    <row r="14" customFormat="false" ht="15.75" hidden="false" customHeight="true" outlineLevel="0" collapsed="false">
      <c r="E14" s="155" t="s">
        <v>248</v>
      </c>
      <c r="F14" s="156" t="n">
        <v>0</v>
      </c>
      <c r="H14" s="155" t="s">
        <v>248</v>
      </c>
      <c r="I14" s="156" t="n">
        <v>0</v>
      </c>
      <c r="K14" s="155" t="s">
        <v>248</v>
      </c>
      <c r="L14" s="156" t="n">
        <v>0</v>
      </c>
      <c r="N14" s="155" t="s">
        <v>248</v>
      </c>
      <c r="O14" s="156" t="n">
        <v>0.25</v>
      </c>
      <c r="Q14" s="155" t="s">
        <v>248</v>
      </c>
      <c r="R14" s="156" t="n">
        <v>0.0048</v>
      </c>
    </row>
    <row r="25" customFormat="false" ht="21" hidden="false" customHeight="true" outlineLevel="0" collapsed="false">
      <c r="B25" s="157" t="s">
        <v>242</v>
      </c>
      <c r="C25" s="154" t="s">
        <v>243</v>
      </c>
    </row>
    <row r="26" customFormat="false" ht="30.75" hidden="false" customHeight="true" outlineLevel="0" collapsed="false">
      <c r="B26" s="158" t="s">
        <v>244</v>
      </c>
      <c r="C26" s="159" t="n">
        <v>0.0144</v>
      </c>
      <c r="F26" s="160"/>
      <c r="G26" s="157" t="s">
        <v>249</v>
      </c>
      <c r="H26" s="157" t="s">
        <v>250</v>
      </c>
      <c r="I26" s="161" t="s">
        <v>251</v>
      </c>
      <c r="J26" s="161" t="s">
        <v>252</v>
      </c>
      <c r="K26" s="157" t="s">
        <v>253</v>
      </c>
    </row>
    <row r="27" customFormat="false" ht="23.25" hidden="false" customHeight="true" outlineLevel="0" collapsed="false">
      <c r="B27" s="158" t="s">
        <v>188</v>
      </c>
      <c r="C27" s="159" t="n">
        <v>0.0162</v>
      </c>
      <c r="F27" s="158" t="s">
        <v>254</v>
      </c>
      <c r="G27" s="162" t="n">
        <v>273</v>
      </c>
      <c r="H27" s="162" t="n">
        <v>270</v>
      </c>
      <c r="I27" s="162" t="n">
        <v>0</v>
      </c>
      <c r="J27" s="162" t="n">
        <v>3</v>
      </c>
      <c r="K27" s="163" t="n">
        <v>0.989</v>
      </c>
    </row>
    <row r="28" customFormat="false" ht="23.25" hidden="false" customHeight="true" outlineLevel="0" collapsed="false">
      <c r="B28" s="158" t="s">
        <v>245</v>
      </c>
      <c r="C28" s="159" t="n">
        <v>0</v>
      </c>
      <c r="F28" s="158" t="s">
        <v>255</v>
      </c>
      <c r="G28" s="162" t="n">
        <v>542</v>
      </c>
      <c r="H28" s="162" t="n">
        <v>533</v>
      </c>
      <c r="I28" s="162" t="n">
        <v>0</v>
      </c>
      <c r="J28" s="162" t="n">
        <v>9</v>
      </c>
      <c r="K28" s="163" t="n">
        <v>0.9834</v>
      </c>
    </row>
    <row r="29" customFormat="false" ht="18" hidden="false" customHeight="true" outlineLevel="0" collapsed="false">
      <c r="B29" s="158" t="s">
        <v>246</v>
      </c>
      <c r="C29" s="159" t="n">
        <v>0.1491</v>
      </c>
      <c r="F29" s="164"/>
    </row>
    <row r="30" customFormat="false" ht="18" hidden="false" customHeight="true" outlineLevel="0" collapsed="false">
      <c r="B30" s="158" t="s">
        <v>168</v>
      </c>
      <c r="C30" s="159" t="n">
        <v>0</v>
      </c>
    </row>
    <row r="31" customFormat="false" ht="18" hidden="false" customHeight="true" outlineLevel="0" collapsed="false">
      <c r="B31" s="158" t="s">
        <v>182</v>
      </c>
      <c r="C31" s="159" t="n">
        <v>0.025</v>
      </c>
    </row>
    <row r="32" customFormat="false" ht="18" hidden="false" customHeight="true" outlineLevel="0" collapsed="false">
      <c r="B32" s="158" t="s">
        <v>214</v>
      </c>
      <c r="C32" s="159" t="n">
        <v>0</v>
      </c>
    </row>
    <row r="33" customFormat="false" ht="18" hidden="false" customHeight="true" outlineLevel="0" collapsed="false">
      <c r="B33" s="158" t="s">
        <v>247</v>
      </c>
      <c r="C33" s="159" t="n">
        <v>0.0758</v>
      </c>
    </row>
    <row r="34" customFormat="false" ht="18" hidden="false" customHeight="true" outlineLevel="0" collapsed="false">
      <c r="B34" s="158" t="s">
        <v>248</v>
      </c>
      <c r="C34" s="159" t="n">
        <v>0.0048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7" activePane="bottomLeft" state="frozen"/>
      <selection pane="topLeft" activeCell="A1" activeCellId="0" sqref="A1"/>
      <selection pane="bottomLeft" activeCell="F43" activeCellId="0" sqref="F43"/>
    </sheetView>
  </sheetViews>
  <sheetFormatPr defaultColWidth="10.6796875" defaultRowHeight="15" zeroHeight="false" outlineLevelRow="0" outlineLevelCol="0"/>
  <cols>
    <col collapsed="false" customWidth="true" hidden="false" outlineLevel="0" max="3" min="3" style="165" width="16"/>
    <col collapsed="false" customWidth="true" hidden="false" outlineLevel="0" max="4" min="4" style="54" width="16"/>
    <col collapsed="false" customWidth="true" hidden="false" outlineLevel="0" max="5" min="5" style="54" width="34"/>
    <col collapsed="false" customWidth="true" hidden="false" outlineLevel="0" max="6" min="6" style="54" width="32.42"/>
    <col collapsed="false" customWidth="true" hidden="false" outlineLevel="0" max="7" min="7" style="54" width="19.57"/>
    <col collapsed="false" customWidth="true" hidden="false" outlineLevel="0" max="8" min="8" style="54" width="18.42"/>
    <col collapsed="false" customWidth="true" hidden="false" outlineLevel="0" max="9" min="9" style="54" width="25.42"/>
    <col collapsed="false" customWidth="true" hidden="false" outlineLevel="0" max="10" min="10" style="54" width="24.42"/>
  </cols>
  <sheetData>
    <row r="4" customFormat="false" ht="15.75" hidden="false" customHeight="true" outlineLevel="0" collapsed="false">
      <c r="C4" s="166" t="s">
        <v>0</v>
      </c>
      <c r="D4" s="167" t="s">
        <v>242</v>
      </c>
      <c r="E4" s="167" t="s">
        <v>256</v>
      </c>
      <c r="F4" s="167" t="s">
        <v>257</v>
      </c>
      <c r="G4" s="167" t="s">
        <v>258</v>
      </c>
      <c r="H4" s="167" t="s">
        <v>259</v>
      </c>
      <c r="I4" s="167" t="s">
        <v>260</v>
      </c>
      <c r="J4" s="167" t="s">
        <v>261</v>
      </c>
    </row>
    <row r="5" customFormat="false" ht="18.75" hidden="false" customHeight="true" outlineLevel="0" collapsed="false">
      <c r="B5" s="168" t="e">
        <f aca="true">TEXT(TODAY(),"jj/mm/aaaa")*1</f>
        <v>#VALUE!</v>
      </c>
      <c r="C5" s="169" t="e">
        <f aca="false">VLOOKUP(Tableau132[[#This Row],[Nom et Prénom du salarié]],Annuaire_roster!B:F,5,0)</f>
        <v>#N/A</v>
      </c>
      <c r="D5" s="170" t="s">
        <v>134</v>
      </c>
      <c r="E5" s="171" t="s">
        <v>262</v>
      </c>
      <c r="F5" s="171" t="s">
        <v>263</v>
      </c>
      <c r="G5" s="172" t="n">
        <v>43242</v>
      </c>
      <c r="H5" s="172" t="n">
        <v>43243</v>
      </c>
      <c r="I5" s="173" t="n">
        <v>43243</v>
      </c>
      <c r="J5" s="174" t="str">
        <f aca="false">Tableau132[[#This Row],[Date de reprise]]-Tableau132[[#This Row],[Date début de l''arrêt]] &amp; "j"</f>
        <v>1j</v>
      </c>
    </row>
    <row r="6" customFormat="false" ht="18.75" hidden="false" customHeight="true" outlineLevel="0" collapsed="false">
      <c r="C6" s="169" t="e">
        <f aca="false">VLOOKUP(Tableau132[[#This Row],[Nom et Prénom du salarié]],Annuaire_roster!B:F,5,0)</f>
        <v>#N/A</v>
      </c>
      <c r="D6" s="170" t="s">
        <v>134</v>
      </c>
      <c r="E6" s="171" t="s">
        <v>262</v>
      </c>
      <c r="F6" s="171" t="s">
        <v>264</v>
      </c>
      <c r="G6" s="172" t="n">
        <v>43242</v>
      </c>
      <c r="H6" s="172" t="n">
        <v>43251</v>
      </c>
      <c r="I6" s="173" t="n">
        <v>43243</v>
      </c>
      <c r="J6" s="174" t="str">
        <f aca="false">Tableau132[[#This Row],[Date de reprise]]-Tableau132[[#This Row],[Date début de l''arrêt]] &amp; "j"</f>
        <v>9j</v>
      </c>
    </row>
    <row r="7" customFormat="false" ht="18.75" hidden="false" customHeight="true" outlineLevel="0" collapsed="false">
      <c r="C7" s="169" t="e">
        <f aca="false">VLOOKUP(Tableau132[[#This Row],[Nom et Prénom du salarié]],Annuaire_roster!B:F,5,0)</f>
        <v>#N/A</v>
      </c>
      <c r="D7" s="170" t="s">
        <v>134</v>
      </c>
      <c r="E7" s="171" t="s">
        <v>262</v>
      </c>
      <c r="F7" s="171" t="s">
        <v>265</v>
      </c>
      <c r="G7" s="175" t="n">
        <v>43250</v>
      </c>
      <c r="H7" s="176" t="n">
        <v>43251</v>
      </c>
      <c r="I7" s="173" t="n">
        <v>43250</v>
      </c>
      <c r="J7" s="174" t="str">
        <f aca="false">Tableau132[[#This Row],[Date de reprise]]-Tableau132[[#This Row],[Date début de l''arrêt]] &amp; "j"</f>
        <v>1j</v>
      </c>
    </row>
    <row r="8" customFormat="false" ht="18.75" hidden="false" customHeight="true" outlineLevel="0" collapsed="false">
      <c r="C8" s="169" t="e">
        <f aca="false">VLOOKUP(Tableau132[[#This Row],[Nom et Prénom du salarié]],Annuaire_roster!B:F,5,0)</f>
        <v>#N/A</v>
      </c>
      <c r="D8" s="170" t="s">
        <v>134</v>
      </c>
      <c r="E8" s="171" t="s">
        <v>266</v>
      </c>
      <c r="F8" s="171" t="s">
        <v>267</v>
      </c>
      <c r="G8" s="175" t="n">
        <v>43250</v>
      </c>
      <c r="H8" s="176" t="n">
        <v>43254</v>
      </c>
      <c r="I8" s="173" t="n">
        <v>43250</v>
      </c>
      <c r="J8" s="174" t="str">
        <f aca="false">Tableau132[[#This Row],[Date de reprise]]-Tableau132[[#This Row],[Date début de l''arrêt]] &amp; "j"</f>
        <v>4j</v>
      </c>
    </row>
    <row r="9" customFormat="false" ht="18.75" hidden="false" customHeight="true" outlineLevel="0" collapsed="false">
      <c r="C9" s="169" t="e">
        <f aca="false">VLOOKUP(Tableau132[[#This Row],[Nom et Prénom du salarié]],Annuaire_roster!B:F,5,0)</f>
        <v>#N/A</v>
      </c>
      <c r="D9" s="170" t="s">
        <v>134</v>
      </c>
      <c r="E9" s="171" t="s">
        <v>266</v>
      </c>
      <c r="F9" s="171" t="s">
        <v>268</v>
      </c>
      <c r="G9" s="175" t="n">
        <v>43250</v>
      </c>
      <c r="H9" s="176" t="n">
        <v>43251</v>
      </c>
      <c r="I9" s="173" t="n">
        <v>43250</v>
      </c>
      <c r="J9" s="174" t="str">
        <f aca="false">Tableau132[[#This Row],[Date de reprise]]-Tableau132[[#This Row],[Date début de l''arrêt]] &amp; "j"</f>
        <v>1j</v>
      </c>
    </row>
    <row r="10" customFormat="false" ht="18.75" hidden="false" customHeight="true" outlineLevel="0" collapsed="false">
      <c r="C10" s="169" t="e">
        <f aca="false">VLOOKUP(Tableau132[[#This Row],[Nom et Prénom du salarié]],Annuaire_roster!B:F,5,0)</f>
        <v>#N/A</v>
      </c>
      <c r="D10" s="170" t="s">
        <v>134</v>
      </c>
      <c r="E10" s="171" t="s">
        <v>266</v>
      </c>
      <c r="F10" s="171" t="s">
        <v>269</v>
      </c>
      <c r="G10" s="175" t="n">
        <v>43250</v>
      </c>
      <c r="H10" s="176" t="n">
        <v>43251</v>
      </c>
      <c r="I10" s="173" t="n">
        <v>43250</v>
      </c>
      <c r="J10" s="174" t="str">
        <f aca="false">Tableau132[[#This Row],[Date de reprise]]-Tableau132[[#This Row],[Date début de l''arrêt]] &amp; "j"</f>
        <v>1j</v>
      </c>
    </row>
    <row r="11" customFormat="false" ht="18.75" hidden="false" customHeight="true" outlineLevel="0" collapsed="false">
      <c r="C11" s="169" t="e">
        <f aca="false">VLOOKUP(Tableau132[[#This Row],[Nom et Prénom du salarié]],Annuaire_roster!B:F,5,0)</f>
        <v>#N/A</v>
      </c>
      <c r="D11" s="170" t="s">
        <v>134</v>
      </c>
      <c r="E11" s="171" t="s">
        <v>266</v>
      </c>
      <c r="F11" s="171" t="s">
        <v>264</v>
      </c>
      <c r="G11" s="172" t="n">
        <v>43252</v>
      </c>
      <c r="H11" s="172" t="n">
        <v>43266</v>
      </c>
      <c r="I11" s="173" t="n">
        <v>43253</v>
      </c>
      <c r="J11" s="174" t="str">
        <f aca="false">Tableau132[[#This Row],[Date de reprise]]-Tableau132[[#This Row],[Date début de l''arrêt]] &amp; "j"</f>
        <v>14j</v>
      </c>
    </row>
    <row r="12" customFormat="false" ht="18.75" hidden="false" customHeight="true" outlineLevel="0" collapsed="false">
      <c r="C12" s="169" t="e">
        <f aca="false">VLOOKUP(Tableau132[[#This Row],[Nom et Prénom du salarié]],Annuaire_roster!B:F,5,0)</f>
        <v>#N/A</v>
      </c>
      <c r="D12" s="170" t="s">
        <v>134</v>
      </c>
      <c r="E12" s="171" t="s">
        <v>262</v>
      </c>
      <c r="F12" s="171" t="s">
        <v>268</v>
      </c>
      <c r="G12" s="175" t="n">
        <v>43270</v>
      </c>
      <c r="H12" s="176" t="n">
        <v>43271</v>
      </c>
      <c r="I12" s="173" t="n">
        <v>43271</v>
      </c>
      <c r="J12" s="174" t="str">
        <f aca="false">Tableau132[[#This Row],[Date de reprise]]-Tableau132[[#This Row],[Date début de l''arrêt]] &amp; "j"</f>
        <v>1j</v>
      </c>
    </row>
    <row r="13" customFormat="false" ht="18.75" hidden="false" customHeight="true" outlineLevel="0" collapsed="false">
      <c r="C13" s="169" t="e">
        <f aca="false">VLOOKUP(Tableau132[[#This Row],[Nom et Prénom du salarié]],Annuaire_roster!B:F,5,0)</f>
        <v>#N/A</v>
      </c>
      <c r="D13" s="170" t="s">
        <v>134</v>
      </c>
      <c r="E13" s="171" t="s">
        <v>262</v>
      </c>
      <c r="F13" s="171" t="s">
        <v>265</v>
      </c>
      <c r="G13" s="175" t="n">
        <v>43268</v>
      </c>
      <c r="H13" s="176" t="n">
        <v>43269</v>
      </c>
      <c r="I13" s="173" t="n">
        <v>43269</v>
      </c>
      <c r="J13" s="174" t="str">
        <f aca="false">Tableau132[[#This Row],[Date de reprise]]-Tableau132[[#This Row],[Date début de l''arrêt]] &amp; "j"</f>
        <v>1j</v>
      </c>
    </row>
    <row r="14" customFormat="false" ht="17.25" hidden="false" customHeight="true" outlineLevel="0" collapsed="false">
      <c r="C14" s="169" t="e">
        <f aca="false">VLOOKUP(Tableau132[[#This Row],[Nom et Prénom du salarié]],Annuaire_roster!B:F,5,0)</f>
        <v>#N/A</v>
      </c>
      <c r="D14" s="170" t="s">
        <v>134</v>
      </c>
      <c r="E14" s="177" t="s">
        <v>262</v>
      </c>
      <c r="F14" s="177" t="s">
        <v>270</v>
      </c>
      <c r="G14" s="176" t="n">
        <v>43268</v>
      </c>
      <c r="H14" s="176" t="n">
        <v>43273</v>
      </c>
      <c r="I14" s="177" t="s">
        <v>271</v>
      </c>
      <c r="J14" s="174" t="str">
        <f aca="false">Tableau132[[#This Row],[Date de reprise]]-Tableau132[[#This Row],[Date début de l''arrêt]] &amp; "j"</f>
        <v>5j</v>
      </c>
    </row>
    <row r="15" customFormat="false" ht="17.25" hidden="false" customHeight="true" outlineLevel="0" collapsed="false">
      <c r="C15" s="169" t="e">
        <f aca="false">VLOOKUP(Tableau132[[#This Row],[Nom et Prénom du salarié]],Annuaire_roster!B:F,5,0)</f>
        <v>#N/A</v>
      </c>
      <c r="D15" s="170" t="s">
        <v>134</v>
      </c>
      <c r="E15" s="177" t="s">
        <v>262</v>
      </c>
      <c r="F15" s="177" t="s">
        <v>267</v>
      </c>
      <c r="G15" s="178" t="n">
        <v>43272</v>
      </c>
      <c r="H15" s="176" t="n">
        <v>43273</v>
      </c>
      <c r="I15" s="178" t="n">
        <v>43272</v>
      </c>
      <c r="J15" s="174" t="str">
        <f aca="false">Tableau132[[#This Row],[Date de reprise]]-Tableau132[[#This Row],[Date début de l''arrêt]] &amp; "j"</f>
        <v>1j</v>
      </c>
    </row>
    <row r="16" customFormat="false" ht="17.25" hidden="false" customHeight="true" outlineLevel="0" collapsed="false">
      <c r="C16" s="169" t="e">
        <f aca="false">VLOOKUP(Tableau132[[#This Row],[Nom et Prénom du salarié]],Annuaire_roster!B:F,5,0)</f>
        <v>#N/A</v>
      </c>
      <c r="D16" s="170" t="s">
        <v>134</v>
      </c>
      <c r="E16" s="177" t="s">
        <v>262</v>
      </c>
      <c r="F16" s="171" t="s">
        <v>265</v>
      </c>
      <c r="G16" s="178" t="n">
        <v>43270</v>
      </c>
      <c r="H16" s="176" t="n">
        <v>43272</v>
      </c>
      <c r="I16" s="178" t="n">
        <v>43272</v>
      </c>
      <c r="J16" s="174" t="str">
        <f aca="false">Tableau132[[#This Row],[Date de reprise]]-Tableau132[[#This Row],[Date début de l''arrêt]] &amp; "j"</f>
        <v>2j</v>
      </c>
    </row>
    <row r="17" customFormat="false" ht="18.75" hidden="false" customHeight="true" outlineLevel="0" collapsed="false">
      <c r="C17" s="169" t="e">
        <f aca="false">VLOOKUP(Tableau132[[#This Row],[Nom et Prénom du salarié]],Annuaire_roster!B:F,5,0)</f>
        <v>#N/A</v>
      </c>
      <c r="D17" s="170" t="s">
        <v>134</v>
      </c>
      <c r="E17" s="177" t="s">
        <v>262</v>
      </c>
      <c r="F17" s="177" t="s">
        <v>272</v>
      </c>
      <c r="G17" s="179" t="n">
        <v>43273</v>
      </c>
      <c r="H17" s="179" t="n">
        <v>43274</v>
      </c>
      <c r="I17" s="178" t="n">
        <v>43273</v>
      </c>
      <c r="J17" s="174" t="str">
        <f aca="false">Tableau132[[#This Row],[Date de reprise]]-Tableau132[[#This Row],[Date début de l''arrêt]] &amp; "j"</f>
        <v>1j</v>
      </c>
    </row>
    <row r="18" customFormat="false" ht="18.75" hidden="false" customHeight="true" outlineLevel="0" collapsed="false">
      <c r="C18" s="169" t="e">
        <f aca="false">VLOOKUP(Tableau132[[#This Row],[Nom et Prénom du salarié]],Annuaire_roster!B:F,5,0)</f>
        <v>#N/A</v>
      </c>
      <c r="D18" s="170" t="s">
        <v>134</v>
      </c>
      <c r="E18" s="177" t="s">
        <v>262</v>
      </c>
      <c r="F18" s="171" t="s">
        <v>268</v>
      </c>
      <c r="G18" s="178" t="n">
        <v>43289</v>
      </c>
      <c r="H18" s="179" t="n">
        <v>43290</v>
      </c>
      <c r="I18" s="178" t="n">
        <v>43292</v>
      </c>
      <c r="J18" s="174" t="str">
        <f aca="false">Tableau132[[#This Row],[Date de reprise]]-Tableau132[[#This Row],[Date début de l''arrêt]] &amp; "j"</f>
        <v>1j</v>
      </c>
    </row>
    <row r="19" customFormat="false" ht="18.75" hidden="false" customHeight="true" outlineLevel="0" collapsed="false">
      <c r="C19" s="169" t="e">
        <f aca="false">VLOOKUP(Tableau132[[#This Row],[Nom et Prénom du salarié]],Annuaire_roster!B:F,5,0)</f>
        <v>#N/A</v>
      </c>
      <c r="D19" s="170" t="s">
        <v>134</v>
      </c>
      <c r="E19" s="177" t="s">
        <v>262</v>
      </c>
      <c r="F19" s="171" t="s">
        <v>273</v>
      </c>
      <c r="G19" s="178" t="n">
        <v>43291</v>
      </c>
      <c r="H19" s="179" t="n">
        <v>43292</v>
      </c>
      <c r="I19" s="178" t="n">
        <v>43292</v>
      </c>
      <c r="J19" s="174" t="str">
        <f aca="false">Tableau132[[#This Row],[Date de reprise]]-Tableau132[[#This Row],[Date début de l''arrêt]] &amp; "j"</f>
        <v>1j</v>
      </c>
    </row>
    <row r="20" customFormat="false" ht="18.75" hidden="false" customHeight="true" outlineLevel="0" collapsed="false">
      <c r="C20" s="169" t="e">
        <f aca="false">VLOOKUP(Tableau132[[#This Row],[Nom et Prénom du salarié]],Annuaire_roster!B:F,5,0)</f>
        <v>#N/A</v>
      </c>
      <c r="D20" s="170" t="s">
        <v>134</v>
      </c>
      <c r="E20" s="177" t="s">
        <v>262</v>
      </c>
      <c r="F20" s="171" t="s">
        <v>272</v>
      </c>
      <c r="G20" s="178" t="n">
        <v>43291</v>
      </c>
      <c r="H20" s="179" t="n">
        <v>43294</v>
      </c>
      <c r="I20" s="179" t="n">
        <v>43293</v>
      </c>
      <c r="J20" s="174" t="str">
        <f aca="false">Tableau132[[#This Row],[Date de reprise]]-Tableau132[[#This Row],[Date début de l''arrêt]] &amp; "j"</f>
        <v>3j</v>
      </c>
    </row>
    <row r="21" customFormat="false" ht="18.75" hidden="false" customHeight="true" outlineLevel="0" collapsed="false">
      <c r="C21" s="169" t="e">
        <f aca="false">VLOOKUP(Tableau132[[#This Row],[Nom et Prénom du salarié]],Annuaire_roster!B:F,5,0)</f>
        <v>#N/A</v>
      </c>
      <c r="D21" s="170" t="s">
        <v>134</v>
      </c>
      <c r="E21" s="177" t="s">
        <v>262</v>
      </c>
      <c r="F21" s="171" t="s">
        <v>264</v>
      </c>
      <c r="G21" s="180" t="n">
        <v>43293</v>
      </c>
      <c r="H21" s="179" t="n">
        <v>43294</v>
      </c>
      <c r="I21" s="179" t="n">
        <v>43293</v>
      </c>
      <c r="J21" s="174" t="str">
        <f aca="false">Tableau132[[#This Row],[Date de reprise]]-Tableau132[[#This Row],[Date début de l''arrêt]] &amp; "j"</f>
        <v>1j</v>
      </c>
    </row>
    <row r="22" customFormat="false" ht="18.75" hidden="false" customHeight="true" outlineLevel="0" collapsed="false">
      <c r="C22" s="169" t="e">
        <f aca="false">VLOOKUP(Tableau132[[#This Row],[Nom et Prénom du salarié]],Annuaire_roster!B:F,5,0)</f>
        <v>#N/A</v>
      </c>
      <c r="D22" s="181" t="s">
        <v>134</v>
      </c>
      <c r="E22" s="177" t="s">
        <v>274</v>
      </c>
      <c r="F22" s="171" t="s">
        <v>264</v>
      </c>
      <c r="G22" s="179" t="n">
        <v>43298</v>
      </c>
      <c r="H22" s="179" t="n">
        <v>43299</v>
      </c>
      <c r="I22" s="178" t="n">
        <v>43299</v>
      </c>
      <c r="J22" s="174" t="str">
        <f aca="false">Tableau132[[#This Row],[Date de reprise]]-Tableau132[[#This Row],[Date début de l''arrêt]] &amp; "j"</f>
        <v>1j</v>
      </c>
    </row>
    <row r="23" customFormat="false" ht="17.25" hidden="false" customHeight="true" outlineLevel="0" collapsed="false">
      <c r="C23" s="169" t="e">
        <f aca="false">VLOOKUP(Tableau132[[#This Row],[Nom et Prénom du salarié]],Annuaire_roster!B:F,5,0)</f>
        <v>#N/A</v>
      </c>
      <c r="D23" s="181" t="s">
        <v>134</v>
      </c>
      <c r="E23" s="177" t="s">
        <v>274</v>
      </c>
      <c r="F23" s="171" t="s">
        <v>263</v>
      </c>
      <c r="G23" s="178" t="n">
        <v>43299</v>
      </c>
      <c r="H23" s="178" t="n">
        <v>43300</v>
      </c>
      <c r="I23" s="178" t="n">
        <v>43300</v>
      </c>
      <c r="J23" s="174" t="str">
        <f aca="false">Tableau132[[#This Row],[Date de reprise]]-Tableau132[[#This Row],[Date début de l''arrêt]] &amp; "j"</f>
        <v>1j</v>
      </c>
    </row>
    <row r="24" customFormat="false" ht="17.25" hidden="false" customHeight="true" outlineLevel="0" collapsed="false">
      <c r="C24" s="169" t="e">
        <f aca="false">VLOOKUP(Tableau132[[#This Row],[Nom et Prénom du salarié]],Annuaire_roster!B:F,5,0)</f>
        <v>#N/A</v>
      </c>
      <c r="D24" s="181" t="s">
        <v>134</v>
      </c>
      <c r="E24" s="177" t="s">
        <v>274</v>
      </c>
      <c r="F24" s="171" t="s">
        <v>275</v>
      </c>
      <c r="G24" s="178" t="n">
        <v>43305</v>
      </c>
      <c r="H24" s="178" t="n">
        <v>43306</v>
      </c>
      <c r="I24" s="178" t="n">
        <v>43305</v>
      </c>
      <c r="J24" s="174" t="str">
        <f aca="false">Tableau132[[#This Row],[Date de reprise]]-Tableau132[[#This Row],[Date début de l''arrêt]] &amp; "j"</f>
        <v>1j</v>
      </c>
    </row>
    <row r="25" customFormat="false" ht="17.25" hidden="false" customHeight="true" outlineLevel="0" collapsed="false">
      <c r="C25" s="169" t="e">
        <f aca="false">VLOOKUP(Tableau132[[#This Row],[Nom et Prénom du salarié]],Annuaire_roster!B:F,5,0)</f>
        <v>#N/A</v>
      </c>
      <c r="D25" s="181" t="s">
        <v>134</v>
      </c>
      <c r="E25" s="177" t="s">
        <v>274</v>
      </c>
      <c r="F25" s="171" t="s">
        <v>276</v>
      </c>
      <c r="G25" s="178" t="n">
        <v>43305</v>
      </c>
      <c r="H25" s="178" t="n">
        <v>43306</v>
      </c>
      <c r="I25" s="178" t="n">
        <v>43306</v>
      </c>
      <c r="J25" s="174" t="str">
        <f aca="false">Tableau132[[#This Row],[Date de reprise]]-Tableau132[[#This Row],[Date début de l''arrêt]] &amp; "j"</f>
        <v>1j</v>
      </c>
    </row>
    <row r="26" customFormat="false" ht="17.25" hidden="false" customHeight="true" outlineLevel="0" collapsed="false">
      <c r="C26" s="169" t="e">
        <f aca="false">VLOOKUP(Tableau132[[#This Row],[Nom et Prénom du salarié]],Annuaire_roster!B:F,5,0)</f>
        <v>#N/A</v>
      </c>
      <c r="D26" s="181" t="s">
        <v>134</v>
      </c>
      <c r="E26" s="177" t="s">
        <v>274</v>
      </c>
      <c r="F26" s="177" t="s">
        <v>267</v>
      </c>
      <c r="G26" s="178" t="n">
        <v>43306</v>
      </c>
      <c r="H26" s="178" t="n">
        <v>43311</v>
      </c>
      <c r="I26" s="178" t="n">
        <v>43307</v>
      </c>
      <c r="J26" s="174" t="str">
        <f aca="false">Tableau132[[#This Row],[Date de reprise]]-Tableau132[[#This Row],[Date début de l''arrêt]] &amp; "j"</f>
        <v>5j</v>
      </c>
    </row>
    <row r="27" customFormat="false" ht="18.75" hidden="false" customHeight="true" outlineLevel="0" collapsed="false">
      <c r="C27" s="169" t="e">
        <f aca="false">VLOOKUP(Tableau132[[#This Row],[Nom et Prénom du salarié]],Annuaire_roster!B:F,5,0)</f>
        <v>#N/A</v>
      </c>
      <c r="D27" s="182" t="s">
        <v>134</v>
      </c>
      <c r="E27" s="171" t="s">
        <v>274</v>
      </c>
      <c r="F27" s="171" t="s">
        <v>269</v>
      </c>
      <c r="G27" s="179" t="n">
        <v>43316</v>
      </c>
      <c r="H27" s="172" t="n">
        <v>43317</v>
      </c>
      <c r="I27" s="183" t="n">
        <v>43319</v>
      </c>
      <c r="J27" s="174" t="str">
        <f aca="false">Tableau132[[#This Row],[Date de reprise]]-Tableau132[[#This Row],[Date début de l''arrêt]] &amp; "j"</f>
        <v>1j</v>
      </c>
    </row>
    <row r="28" customFormat="false" ht="18.75" hidden="false" customHeight="true" outlineLevel="0" collapsed="false">
      <c r="C28" s="169" t="e">
        <f aca="false">VLOOKUP(Tableau132[[#This Row],[Nom et Prénom du salarié]],Annuaire_roster!B:F,5,0)</f>
        <v>#N/A</v>
      </c>
      <c r="D28" s="181" t="s">
        <v>134</v>
      </c>
      <c r="E28" s="177" t="s">
        <v>274</v>
      </c>
      <c r="F28" s="184" t="s">
        <v>268</v>
      </c>
      <c r="G28" s="179" t="n">
        <v>43327</v>
      </c>
      <c r="H28" s="179" t="n">
        <v>43356</v>
      </c>
      <c r="I28" s="177" t="s">
        <v>277</v>
      </c>
      <c r="J28" s="174" t="str">
        <f aca="false">Tableau132[[#This Row],[Date de reprise]]-Tableau132[[#This Row],[Date début de l''arrêt]] &amp; "j"</f>
        <v>29j</v>
      </c>
    </row>
    <row r="29" customFormat="false" ht="17.25" hidden="false" customHeight="true" outlineLevel="0" collapsed="false">
      <c r="C29" s="169" t="e">
        <f aca="false">VLOOKUP(Tableau132[[#This Row],[Nom et Prénom du salarié]],Annuaire_roster!B:F,5,0)</f>
        <v>#N/A</v>
      </c>
      <c r="D29" s="181" t="s">
        <v>134</v>
      </c>
      <c r="E29" s="177" t="s">
        <v>274</v>
      </c>
      <c r="F29" s="171" t="s">
        <v>278</v>
      </c>
      <c r="G29" s="178" t="n">
        <v>43333</v>
      </c>
      <c r="H29" s="178" t="n">
        <v>43335</v>
      </c>
      <c r="I29" s="178" t="n">
        <v>43334</v>
      </c>
      <c r="J29" s="174" t="str">
        <f aca="false">Tableau132[[#This Row],[Date de reprise]]-Tableau132[[#This Row],[Date début de l''arrêt]] &amp; "j"</f>
        <v>2j</v>
      </c>
    </row>
    <row r="30" customFormat="false" ht="17.25" hidden="false" customHeight="true" outlineLevel="0" collapsed="false">
      <c r="C30" s="169" t="e">
        <f aca="false">VLOOKUP(Tableau132[[#This Row],[Nom et Prénom du salarié]],Annuaire_roster!B:F,5,0)</f>
        <v>#N/A</v>
      </c>
      <c r="D30" s="181" t="s">
        <v>134</v>
      </c>
      <c r="E30" s="177" t="s">
        <v>274</v>
      </c>
      <c r="F30" s="171" t="s">
        <v>273</v>
      </c>
      <c r="G30" s="178" t="n">
        <v>43345</v>
      </c>
      <c r="H30" s="178" t="n">
        <v>43347</v>
      </c>
      <c r="I30" s="178" t="n">
        <v>43347</v>
      </c>
      <c r="J30" s="174" t="str">
        <f aca="false">Tableau132[[#This Row],[Date de reprise]]-Tableau132[[#This Row],[Date début de l''arrêt]] &amp; "j"</f>
        <v>2j</v>
      </c>
    </row>
    <row r="31" customFormat="false" ht="17.25" hidden="false" customHeight="true" outlineLevel="0" collapsed="false">
      <c r="C31" s="169" t="e">
        <f aca="false">VLOOKUP(Tableau132[[#This Row],[Nom et Prénom du salarié]],Annuaire_roster!B:F,5,0)</f>
        <v>#N/A</v>
      </c>
      <c r="D31" s="181" t="s">
        <v>134</v>
      </c>
      <c r="E31" s="177" t="s">
        <v>274</v>
      </c>
      <c r="F31" s="171" t="s">
        <v>269</v>
      </c>
      <c r="G31" s="178" t="n">
        <v>43347</v>
      </c>
      <c r="H31" s="178" t="n">
        <v>43348</v>
      </c>
      <c r="I31" s="178" t="n">
        <v>43347</v>
      </c>
      <c r="J31" s="174" t="str">
        <f aca="false">Tableau132[[#This Row],[Date de reprise]]-Tableau132[[#This Row],[Date début de l''arrêt]] &amp; "j"</f>
        <v>1j</v>
      </c>
    </row>
    <row r="32" customFormat="false" ht="17.25" hidden="false" customHeight="true" outlineLevel="0" collapsed="false">
      <c r="C32" s="169" t="e">
        <f aca="false">VLOOKUP(Tableau132[[#This Row],[Nom et Prénom du salarié]],Annuaire_roster!B:F,5,0)</f>
        <v>#N/A</v>
      </c>
      <c r="D32" s="170" t="s">
        <v>134</v>
      </c>
      <c r="E32" s="177" t="s">
        <v>262</v>
      </c>
      <c r="F32" s="171" t="s">
        <v>268</v>
      </c>
      <c r="G32" s="178" t="n">
        <v>43357</v>
      </c>
      <c r="H32" s="178" t="n">
        <v>43387</v>
      </c>
      <c r="I32" s="178" t="n">
        <v>43357</v>
      </c>
      <c r="J32" s="174" t="str">
        <f aca="false">Tableau132[[#This Row],[Date de reprise]]-Tableau132[[#This Row],[Date début de l''arrêt]] &amp; "j"</f>
        <v>30j</v>
      </c>
    </row>
    <row r="33" customFormat="false" ht="17.25" hidden="false" customHeight="true" outlineLevel="0" collapsed="false">
      <c r="C33" s="169" t="e">
        <f aca="false">VLOOKUP(Tableau132[[#This Row],[Nom et Prénom du salarié]],Annuaire_roster!B:F,5,0)</f>
        <v>#N/A</v>
      </c>
      <c r="D33" s="170" t="s">
        <v>134</v>
      </c>
      <c r="E33" s="177" t="s">
        <v>262</v>
      </c>
      <c r="F33" s="171" t="s">
        <v>278</v>
      </c>
      <c r="G33" s="178" t="n">
        <v>43364</v>
      </c>
      <c r="H33" s="178" t="n">
        <v>43366</v>
      </c>
      <c r="I33" s="178" t="n">
        <v>43365</v>
      </c>
      <c r="J33" s="174" t="str">
        <f aca="false">Tableau132[[#This Row],[Date de reprise]]-Tableau132[[#This Row],[Date début de l''arrêt]] &amp; "j"</f>
        <v>2j</v>
      </c>
    </row>
    <row r="34" customFormat="false" ht="15" hidden="false" customHeight="true" outlineLevel="0" collapsed="false">
      <c r="C34" s="169" t="e">
        <f aca="false">VLOOKUP(Tableau132[[#This Row],[Nom et Prénom du salarié]],Annuaire_roster!B:F,5,0)</f>
        <v>#N/A</v>
      </c>
      <c r="D34" s="185"/>
      <c r="E34" s="185"/>
      <c r="F34" s="170"/>
      <c r="G34" s="178"/>
      <c r="H34" s="178"/>
      <c r="I34" s="178"/>
      <c r="J34" s="174" t="str">
        <f aca="false">Tableau132[[#This Row],[Date de reprise]]-Tableau132[[#This Row],[Date début de l''arrêt]] &amp; "j"</f>
        <v>0j</v>
      </c>
    </row>
    <row r="35" customFormat="false" ht="15" hidden="false" customHeight="true" outlineLevel="0" collapsed="false">
      <c r="C35" s="169" t="e">
        <f aca="false">VLOOKUP(Tableau132[[#This Row],[Nom et Prénom du salarié]],Annuaire_roster!B:F,5,0)</f>
        <v>#N/A</v>
      </c>
      <c r="D35" s="185"/>
      <c r="E35" s="185"/>
      <c r="F35" s="170"/>
      <c r="G35" s="178"/>
      <c r="H35" s="178"/>
      <c r="I35" s="178"/>
      <c r="J35" s="174" t="str">
        <f aca="false">Tableau132[[#This Row],[Date de reprise]]-Tableau132[[#This Row],[Date début de l''arrêt]] &amp; "j"</f>
        <v>0j</v>
      </c>
    </row>
    <row r="36" customFormat="false" ht="15" hidden="false" customHeight="true" outlineLevel="0" collapsed="false">
      <c r="C36" s="169" t="e">
        <f aca="false">VLOOKUP(Tableau132[[#This Row],[Nom et Prénom du salarié]],Annuaire_roster!B:F,5,0)</f>
        <v>#N/A</v>
      </c>
      <c r="D36" s="185"/>
      <c r="E36" s="185"/>
      <c r="F36" s="170"/>
      <c r="G36" s="178"/>
      <c r="H36" s="178"/>
      <c r="I36" s="178"/>
      <c r="J36" s="174" t="str">
        <f aca="false">Tableau132[[#This Row],[Date de reprise]]-Tableau132[[#This Row],[Date début de l''arrêt]] &amp; "j"</f>
        <v>0j</v>
      </c>
    </row>
    <row r="37" customFormat="false" ht="15" hidden="false" customHeight="true" outlineLevel="0" collapsed="false">
      <c r="C37" s="169" t="e">
        <f aca="false">VLOOKUP(Tableau132[[#This Row],[Nom et Prénom du salarié]],Annuaire_roster!B:F,5,0)</f>
        <v>#N/A</v>
      </c>
      <c r="D37" s="185"/>
      <c r="E37" s="185"/>
      <c r="F37" s="170"/>
      <c r="G37" s="178"/>
      <c r="H37" s="178"/>
      <c r="I37" s="178"/>
      <c r="J37" s="174" t="str">
        <f aca="false">Tableau132[[#This Row],[Date de reprise]]-Tableau132[[#This Row],[Date début de l''arrêt]] &amp; "j"</f>
        <v>0j</v>
      </c>
    </row>
    <row r="38" customFormat="false" ht="15" hidden="false" customHeight="true" outlineLevel="0" collapsed="false">
      <c r="C38" s="169" t="e">
        <f aca="false">VLOOKUP(Tableau132[[#This Row],[Nom et Prénom du salarié]],Annuaire_roster!B:F,5,0)</f>
        <v>#N/A</v>
      </c>
      <c r="D38" s="185"/>
      <c r="E38" s="185"/>
      <c r="F38" s="170"/>
      <c r="G38" s="178"/>
      <c r="H38" s="178"/>
      <c r="I38" s="178"/>
      <c r="J38" s="174" t="str">
        <f aca="false">Tableau132[[#This Row],[Date de reprise]]-Tableau132[[#This Row],[Date début de l''arrêt]] &amp; "j"</f>
        <v>0j</v>
      </c>
    </row>
    <row r="39" customFormat="false" ht="15" hidden="false" customHeight="true" outlineLevel="0" collapsed="false">
      <c r="C39" s="169" t="e">
        <f aca="false">VLOOKUP(Tableau132[[#This Row],[Nom et Prénom du salarié]],Annuaire_roster!B:F,5,0)</f>
        <v>#N/A</v>
      </c>
      <c r="D39" s="185"/>
      <c r="E39" s="185"/>
      <c r="F39" s="170"/>
      <c r="G39" s="178"/>
      <c r="H39" s="178"/>
      <c r="I39" s="178"/>
      <c r="J39" s="174" t="str">
        <f aca="false">Tableau132[[#This Row],[Date de reprise]]-Tableau132[[#This Row],[Date début de l''arrêt]] &amp; "j"</f>
        <v>0j</v>
      </c>
    </row>
    <row r="40" customFormat="false" ht="15" hidden="false" customHeight="true" outlineLevel="0" collapsed="false">
      <c r="C40" s="169" t="e">
        <f aca="false">VLOOKUP(Tableau132[[#This Row],[Nom et Prénom du salarié]],Annuaire_roster!B:F,5,0)</f>
        <v>#N/A</v>
      </c>
      <c r="D40" s="185"/>
      <c r="E40" s="185"/>
      <c r="F40" s="170"/>
      <c r="G40" s="178"/>
      <c r="H40" s="178"/>
      <c r="I40" s="178"/>
      <c r="J40" s="174" t="str">
        <f aca="false">Tableau132[[#This Row],[Date de reprise]]-Tableau132[[#This Row],[Date début de l''arrêt]] &amp; "j"</f>
        <v>0j</v>
      </c>
    </row>
    <row r="41" customFormat="false" ht="15" hidden="false" customHeight="true" outlineLevel="0" collapsed="false">
      <c r="C41" s="169" t="e">
        <f aca="false">VLOOKUP(Tableau132[[#This Row],[Nom et Prénom du salarié]],Annuaire_roster!B:F,5,0)</f>
        <v>#N/A</v>
      </c>
      <c r="D41" s="185"/>
      <c r="E41" s="185"/>
      <c r="F41" s="170"/>
      <c r="G41" s="178"/>
      <c r="H41" s="178"/>
      <c r="I41" s="178"/>
      <c r="J41" s="174" t="str">
        <f aca="false">Tableau132[[#This Row],[Date de reprise]]-Tableau132[[#This Row],[Date début de l''arrêt]] &amp; "j"</f>
        <v>0j</v>
      </c>
    </row>
    <row r="42" customFormat="false" ht="15" hidden="false" customHeight="true" outlineLevel="0" collapsed="false">
      <c r="C42" s="169" t="e">
        <f aca="false">VLOOKUP(Tableau132[[#This Row],[Nom et Prénom du salarié]],Annuaire_roster!B:F,5,0)</f>
        <v>#N/A</v>
      </c>
      <c r="D42" s="185"/>
      <c r="E42" s="185"/>
      <c r="F42" s="170"/>
      <c r="G42" s="178"/>
      <c r="H42" s="178"/>
      <c r="I42" s="178"/>
      <c r="J42" s="174" t="str">
        <f aca="false">Tableau132[[#This Row],[Date de reprise]]-Tableau132[[#This Row],[Date début de l''arrêt]] &amp; "j"</f>
        <v>0j</v>
      </c>
    </row>
    <row r="43" customFormat="false" ht="15" hidden="false" customHeight="true" outlineLevel="0" collapsed="false">
      <c r="C43" s="169" t="e">
        <f aca="false">VLOOKUP(Tableau132[[#This Row],[Nom et Prénom du salarié]],Annuaire_roster!B:F,5,0)</f>
        <v>#N/A</v>
      </c>
      <c r="D43" s="185"/>
      <c r="E43" s="185"/>
      <c r="F43" s="170"/>
      <c r="G43" s="178"/>
      <c r="H43" s="178"/>
      <c r="I43" s="178"/>
      <c r="J43" s="174" t="str">
        <f aca="false">Tableau132[[#This Row],[Date de reprise]]-Tableau132[[#This Row],[Date début de l''arrêt]] &amp; "j"</f>
        <v>0j</v>
      </c>
    </row>
    <row r="44" customFormat="false" ht="15" hidden="false" customHeight="true" outlineLevel="0" collapsed="false">
      <c r="C44" s="169" t="e">
        <f aca="false">VLOOKUP(Tableau132[[#This Row],[Nom et Prénom du salarié]],Annuaire_roster!B:F,5,0)</f>
        <v>#N/A</v>
      </c>
      <c r="D44" s="185"/>
      <c r="E44" s="185"/>
      <c r="F44" s="170"/>
      <c r="G44" s="178"/>
      <c r="H44" s="178"/>
      <c r="I44" s="178"/>
      <c r="J44" s="174" t="str">
        <f aca="false">Tableau132[[#This Row],[Date de reprise]]-Tableau132[[#This Row],[Date début de l''arrêt]] &amp; "j"</f>
        <v>0j</v>
      </c>
    </row>
    <row r="45" customFormat="false" ht="15" hidden="false" customHeight="true" outlineLevel="0" collapsed="false">
      <c r="C45" s="169" t="e">
        <f aca="false">VLOOKUP(Tableau132[[#This Row],[Nom et Prénom du salarié]],Annuaire_roster!B:F,5,0)</f>
        <v>#N/A</v>
      </c>
      <c r="D45" s="185"/>
      <c r="E45" s="185"/>
      <c r="F45" s="170"/>
      <c r="G45" s="178"/>
      <c r="H45" s="178"/>
      <c r="I45" s="178"/>
      <c r="J45" s="174" t="str">
        <f aca="false">Tableau132[[#This Row],[Date de reprise]]-Tableau132[[#This Row],[Date début de l''arrêt]] &amp; "j"</f>
        <v>0j</v>
      </c>
    </row>
    <row r="46" customFormat="false" ht="15" hidden="false" customHeight="true" outlineLevel="0" collapsed="false">
      <c r="C46" s="169" t="e">
        <f aca="false">VLOOKUP(Tableau132[[#This Row],[Nom et Prénom du salarié]],Annuaire_roster!B:F,5,0)</f>
        <v>#N/A</v>
      </c>
      <c r="D46" s="185"/>
      <c r="E46" s="185"/>
      <c r="F46" s="170"/>
      <c r="G46" s="178"/>
      <c r="H46" s="178"/>
      <c r="I46" s="178"/>
      <c r="J46" s="174" t="str">
        <f aca="false">Tableau132[[#This Row],[Date de reprise]]-Tableau132[[#This Row],[Date début de l''arrêt]] &amp; "j"</f>
        <v>0j</v>
      </c>
    </row>
    <row r="47" customFormat="false" ht="15" hidden="false" customHeight="true" outlineLevel="0" collapsed="false">
      <c r="C47" s="169" t="e">
        <f aca="false">VLOOKUP(Tableau132[[#This Row],[Nom et Prénom du salarié]],Annuaire_roster!B:F,5,0)</f>
        <v>#N/A</v>
      </c>
      <c r="D47" s="185"/>
      <c r="E47" s="185"/>
      <c r="F47" s="170"/>
      <c r="G47" s="178"/>
      <c r="H47" s="178"/>
      <c r="I47" s="178"/>
      <c r="J47" s="174" t="str">
        <f aca="false">Tableau132[[#This Row],[Date de reprise]]-Tableau132[[#This Row],[Date début de l''arrêt]] &amp; "j"</f>
        <v>0j</v>
      </c>
    </row>
    <row r="48" customFormat="false" ht="15" hidden="false" customHeight="true" outlineLevel="0" collapsed="false">
      <c r="C48" s="169" t="e">
        <f aca="false">VLOOKUP(Tableau132[[#This Row],[Nom et Prénom du salarié]],Annuaire_roster!B:F,5,0)</f>
        <v>#N/A</v>
      </c>
      <c r="D48" s="185"/>
      <c r="E48" s="185"/>
      <c r="F48" s="170"/>
      <c r="G48" s="178"/>
      <c r="H48" s="178"/>
      <c r="I48" s="178"/>
      <c r="J48" s="174" t="str">
        <f aca="false">Tableau132[[#This Row],[Date de reprise]]-Tableau132[[#This Row],[Date début de l''arrêt]] &amp; "j"</f>
        <v>0j</v>
      </c>
    </row>
    <row r="49" customFormat="false" ht="15" hidden="false" customHeight="true" outlineLevel="0" collapsed="false">
      <c r="C49" s="169" t="e">
        <f aca="false">VLOOKUP(Tableau132[[#This Row],[Nom et Prénom du salarié]],Annuaire_roster!B:F,5,0)</f>
        <v>#N/A</v>
      </c>
      <c r="D49" s="185"/>
      <c r="E49" s="185"/>
      <c r="F49" s="170"/>
      <c r="G49" s="178"/>
      <c r="H49" s="178"/>
      <c r="I49" s="178"/>
      <c r="J49" s="174" t="str">
        <f aca="false">Tableau132[[#This Row],[Date de reprise]]-Tableau132[[#This Row],[Date début de l''arrêt]] &amp; "j"</f>
        <v>0j</v>
      </c>
    </row>
    <row r="50" customFormat="false" ht="15" hidden="false" customHeight="true" outlineLevel="0" collapsed="false">
      <c r="C50" s="169" t="e">
        <f aca="false">VLOOKUP(Tableau132[[#This Row],[Nom et Prénom du salarié]],Annuaire_roster!B:F,5,0)</f>
        <v>#N/A</v>
      </c>
      <c r="D50" s="185"/>
      <c r="E50" s="185"/>
      <c r="F50" s="170"/>
      <c r="G50" s="178"/>
      <c r="H50" s="178"/>
      <c r="I50" s="178"/>
      <c r="J50" s="174" t="str">
        <f aca="false">Tableau132[[#This Row],[Date de reprise]]-Tableau132[[#This Row],[Date début de l''arrêt]] &amp; "j"</f>
        <v>0j</v>
      </c>
    </row>
    <row r="51" customFormat="false" ht="15" hidden="false" customHeight="true" outlineLevel="0" collapsed="false">
      <c r="C51" s="169" t="e">
        <f aca="false">VLOOKUP(Tableau132[[#This Row],[Nom et Prénom du salarié]],Annuaire_roster!B:F,5,0)</f>
        <v>#N/A</v>
      </c>
      <c r="D51" s="185"/>
      <c r="E51" s="185"/>
      <c r="F51" s="170"/>
      <c r="G51" s="178"/>
      <c r="H51" s="178"/>
      <c r="I51" s="178"/>
      <c r="J51" s="174" t="str">
        <f aca="false">Tableau132[[#This Row],[Date de reprise]]-Tableau132[[#This Row],[Date début de l''arrêt]] &amp; "j"</f>
        <v>0j</v>
      </c>
    </row>
    <row r="52" customFormat="false" ht="15" hidden="false" customHeight="true" outlineLevel="0" collapsed="false">
      <c r="C52" s="169" t="e">
        <f aca="false">VLOOKUP(Tableau132[[#This Row],[Nom et Prénom du salarié]],Annuaire_roster!B:F,5,0)</f>
        <v>#N/A</v>
      </c>
      <c r="D52" s="185"/>
      <c r="E52" s="185"/>
      <c r="F52" s="170"/>
      <c r="G52" s="178"/>
      <c r="H52" s="178"/>
      <c r="I52" s="178"/>
      <c r="J52" s="174" t="str">
        <f aca="false">Tableau132[[#This Row],[Date de reprise]]-Tableau132[[#This Row],[Date début de l''arrêt]] &amp; "j"</f>
        <v>0j</v>
      </c>
    </row>
    <row r="53" customFormat="false" ht="15" hidden="false" customHeight="true" outlineLevel="0" collapsed="false">
      <c r="C53" s="169" t="e">
        <f aca="false">VLOOKUP(Tableau132[[#This Row],[Nom et Prénom du salarié]],Annuaire_roster!B:F,5,0)</f>
        <v>#N/A</v>
      </c>
      <c r="D53" s="185"/>
      <c r="E53" s="185"/>
      <c r="F53" s="170"/>
      <c r="G53" s="178"/>
      <c r="H53" s="178"/>
      <c r="I53" s="178"/>
      <c r="J53" s="174" t="str">
        <f aca="false">Tableau132[[#This Row],[Date de reprise]]-Tableau132[[#This Row],[Date début de l''arrêt]] &amp; "j"</f>
        <v>0j</v>
      </c>
    </row>
    <row r="54" customFormat="false" ht="15" hidden="false" customHeight="true" outlineLevel="0" collapsed="false">
      <c r="C54" s="169" t="e">
        <f aca="false">VLOOKUP(Tableau132[[#This Row],[Nom et Prénom du salarié]],Annuaire_roster!B:F,5,0)</f>
        <v>#N/A</v>
      </c>
      <c r="D54" s="185"/>
      <c r="E54" s="185"/>
      <c r="F54" s="170"/>
      <c r="G54" s="178"/>
      <c r="H54" s="178"/>
      <c r="I54" s="178"/>
      <c r="J54" s="174" t="str">
        <f aca="false">Tableau132[[#This Row],[Date de reprise]]-Tableau132[[#This Row],[Date début de l''arrêt]] &amp; "j"</f>
        <v>0j</v>
      </c>
    </row>
    <row r="55" customFormat="false" ht="15" hidden="false" customHeight="true" outlineLevel="0" collapsed="false">
      <c r="C55" s="169" t="e">
        <f aca="false">VLOOKUP(Tableau132[[#This Row],[Nom et Prénom du salarié]],Annuaire_roster!B:F,5,0)</f>
        <v>#N/A</v>
      </c>
      <c r="D55" s="185"/>
      <c r="E55" s="185"/>
      <c r="F55" s="170"/>
      <c r="G55" s="178"/>
      <c r="H55" s="178"/>
      <c r="I55" s="178"/>
      <c r="J55" s="174" t="str">
        <f aca="false">Tableau132[[#This Row],[Date de reprise]]-Tableau132[[#This Row],[Date début de l''arrêt]] &amp; "j"</f>
        <v>0j</v>
      </c>
    </row>
    <row r="56" customFormat="false" ht="15" hidden="false" customHeight="true" outlineLevel="0" collapsed="false">
      <c r="C56" s="169" t="e">
        <f aca="false">VLOOKUP(Tableau132[[#This Row],[Nom et Prénom du salarié]],Annuaire_roster!B:F,5,0)</f>
        <v>#N/A</v>
      </c>
      <c r="D56" s="185"/>
      <c r="E56" s="185"/>
      <c r="F56" s="170"/>
      <c r="G56" s="178"/>
      <c r="H56" s="178"/>
      <c r="I56" s="178"/>
      <c r="J56" s="174" t="str">
        <f aca="false">Tableau132[[#This Row],[Date de reprise]]-Tableau132[[#This Row],[Date début de l''arrêt]] &amp; "j"</f>
        <v>0j</v>
      </c>
    </row>
    <row r="57" customFormat="false" ht="15" hidden="false" customHeight="true" outlineLevel="0" collapsed="false">
      <c r="C57" s="169" t="e">
        <f aca="false">VLOOKUP(Tableau132[[#This Row],[Nom et Prénom du salarié]],Annuaire_roster!B:F,5,0)</f>
        <v>#N/A</v>
      </c>
      <c r="D57" s="185"/>
      <c r="E57" s="185"/>
      <c r="F57" s="170"/>
      <c r="G57" s="178"/>
      <c r="H57" s="178"/>
      <c r="I57" s="178"/>
      <c r="J57" s="174" t="str">
        <f aca="false">Tableau132[[#This Row],[Date de reprise]]-Tableau132[[#This Row],[Date début de l''arrêt]] &amp; "j"</f>
        <v>0j</v>
      </c>
    </row>
    <row r="58" customFormat="false" ht="15" hidden="false" customHeight="true" outlineLevel="0" collapsed="false">
      <c r="C58" s="169" t="e">
        <f aca="false">VLOOKUP(Tableau132[[#This Row],[Nom et Prénom du salarié]],Annuaire_roster!B:F,5,0)</f>
        <v>#N/A</v>
      </c>
      <c r="D58" s="185"/>
      <c r="E58" s="185"/>
      <c r="F58" s="170"/>
      <c r="G58" s="178"/>
      <c r="H58" s="178"/>
      <c r="I58" s="178"/>
      <c r="J58" s="174" t="str">
        <f aca="false">Tableau132[[#This Row],[Date de reprise]]-Tableau132[[#This Row],[Date début de l''arrêt]] &amp; "j"</f>
        <v>0j</v>
      </c>
    </row>
    <row r="59" customFormat="false" ht="15" hidden="false" customHeight="true" outlineLevel="0" collapsed="false">
      <c r="C59" s="169" t="e">
        <f aca="false">VLOOKUP(Tableau132[[#This Row],[Nom et Prénom du salarié]],Annuaire_roster!B:F,5,0)</f>
        <v>#N/A</v>
      </c>
      <c r="D59" s="185"/>
      <c r="E59" s="185"/>
      <c r="F59" s="185"/>
      <c r="G59" s="178"/>
      <c r="H59" s="178"/>
      <c r="I59" s="178"/>
      <c r="J59" s="174" t="str">
        <f aca="false">Tableau132[[#This Row],[Date de reprise]]-Tableau132[[#This Row],[Date début de l''arrêt]] &amp; "j"</f>
        <v>0j</v>
      </c>
    </row>
    <row r="60" customFormat="false" ht="15" hidden="false" customHeight="true" outlineLevel="0" collapsed="false">
      <c r="C60" s="169" t="e">
        <f aca="false">VLOOKUP(Tableau132[[#This Row],[Nom et Prénom du salarié]],Annuaire_roster!B:F,5,0)</f>
        <v>#N/A</v>
      </c>
      <c r="D60" s="185"/>
      <c r="E60" s="185"/>
      <c r="F60" s="185"/>
      <c r="G60" s="178"/>
      <c r="H60" s="178"/>
      <c r="I60" s="178"/>
      <c r="J60" s="174" t="str">
        <f aca="false">Tableau132[[#This Row],[Date de reprise]]-Tableau132[[#This Row],[Date début de l''arrêt]] &amp; "j"</f>
        <v>0j</v>
      </c>
    </row>
    <row r="61" customFormat="false" ht="15" hidden="false" customHeight="true" outlineLevel="0" collapsed="false">
      <c r="C61" s="169" t="e">
        <f aca="false">VLOOKUP(Tableau132[[#This Row],[Nom et Prénom du salarié]],Annuaire_roster!B:F,5,0)</f>
        <v>#N/A</v>
      </c>
      <c r="D61" s="185"/>
      <c r="E61" s="185"/>
      <c r="F61" s="185"/>
      <c r="G61" s="178"/>
      <c r="H61" s="178"/>
      <c r="I61" s="178"/>
      <c r="J61" s="174" t="str">
        <f aca="false">Tableau132[[#This Row],[Date de reprise]]-Tableau132[[#This Row],[Date début de l''arrêt]] &amp; "j"</f>
        <v>0j</v>
      </c>
    </row>
    <row r="62" customFormat="false" ht="15" hidden="false" customHeight="true" outlineLevel="0" collapsed="false">
      <c r="C62" s="169" t="e">
        <f aca="false">VLOOKUP(Tableau132[[#This Row],[Nom et Prénom du salarié]],Annuaire_roster!B:F,5,0)</f>
        <v>#N/A</v>
      </c>
      <c r="D62" s="185"/>
      <c r="E62" s="185"/>
      <c r="F62" s="185"/>
      <c r="G62" s="178"/>
      <c r="H62" s="178"/>
      <c r="I62" s="178"/>
      <c r="J62" s="174" t="str">
        <f aca="false">Tableau132[[#This Row],[Date de reprise]]-Tableau132[[#This Row],[Date début de l''arrêt]] &amp; "j"</f>
        <v>0j</v>
      </c>
    </row>
    <row r="63" customFormat="false" ht="15" hidden="false" customHeight="true" outlineLevel="0" collapsed="false">
      <c r="C63" s="169" t="e">
        <f aca="false">VLOOKUP(Tableau132[[#This Row],[Nom et Prénom du salarié]],Annuaire_roster!B:F,5,0)</f>
        <v>#N/A</v>
      </c>
      <c r="D63" s="185"/>
      <c r="E63" s="185"/>
      <c r="F63" s="185"/>
      <c r="G63" s="178"/>
      <c r="H63" s="178"/>
      <c r="I63" s="178"/>
      <c r="J63" s="174" t="str">
        <f aca="false">Tableau132[[#This Row],[Date de reprise]]-Tableau132[[#This Row],[Date début de l''arrêt]] &amp; "j"</f>
        <v>0j</v>
      </c>
    </row>
    <row r="64" customFormat="false" ht="15" hidden="false" customHeight="true" outlineLevel="0" collapsed="false">
      <c r="C64" s="169" t="e">
        <f aca="false">VLOOKUP(Tableau132[[#This Row],[Nom et Prénom du salarié]],Annuaire_roster!B:F,5,0)</f>
        <v>#N/A</v>
      </c>
      <c r="D64" s="185"/>
      <c r="E64" s="185"/>
      <c r="F64" s="185"/>
      <c r="G64" s="178"/>
      <c r="H64" s="178"/>
      <c r="I64" s="178"/>
      <c r="J64" s="174" t="str">
        <f aca="false">Tableau132[[#This Row],[Date de reprise]]-Tableau132[[#This Row],[Date début de l''arrêt]] &amp; "j"</f>
        <v>0j</v>
      </c>
    </row>
    <row r="65" customFormat="false" ht="15" hidden="false" customHeight="false" outlineLevel="0" collapsed="false">
      <c r="H65" s="150"/>
    </row>
    <row r="66" customFormat="false" ht="15" hidden="false" customHeight="false" outlineLevel="0" collapsed="false">
      <c r="H66" s="150"/>
    </row>
    <row r="67" customFormat="false" ht="15" hidden="false" customHeight="false" outlineLevel="0" collapsed="false">
      <c r="H67" s="150"/>
    </row>
    <row r="68" customFormat="false" ht="15" hidden="false" customHeight="false" outlineLevel="0" collapsed="false">
      <c r="H68" s="150"/>
    </row>
    <row r="69" customFormat="false" ht="15" hidden="false" customHeight="false" outlineLevel="0" collapsed="false">
      <c r="H69" s="150"/>
    </row>
    <row r="70" customFormat="false" ht="15" hidden="false" customHeight="false" outlineLevel="0" collapsed="false">
      <c r="H70" s="150"/>
    </row>
    <row r="71" customFormat="false" ht="15" hidden="false" customHeight="false" outlineLevel="0" collapsed="false">
      <c r="H71" s="150"/>
    </row>
    <row r="72" customFormat="false" ht="15" hidden="false" customHeight="false" outlineLevel="0" collapsed="false">
      <c r="H72" s="150"/>
    </row>
    <row r="73" customFormat="false" ht="15" hidden="false" customHeight="false" outlineLevel="0" collapsed="false">
      <c r="H73" s="150"/>
    </row>
    <row r="74" customFormat="false" ht="15" hidden="false" customHeight="false" outlineLevel="0" collapsed="false">
      <c r="H74" s="150"/>
    </row>
    <row r="75" customFormat="false" ht="15" hidden="false" customHeight="false" outlineLevel="0" collapsed="false">
      <c r="H75" s="150"/>
    </row>
    <row r="76" customFormat="false" ht="15" hidden="false" customHeight="false" outlineLevel="0" collapsed="false">
      <c r="H76" s="150"/>
    </row>
    <row r="77" customFormat="false" ht="15" hidden="false" customHeight="false" outlineLevel="0" collapsed="false">
      <c r="H77" s="150"/>
    </row>
    <row r="78" customFormat="false" ht="15" hidden="false" customHeight="false" outlineLevel="0" collapsed="false">
      <c r="H78" s="150"/>
    </row>
    <row r="79" customFormat="false" ht="15" hidden="false" customHeight="false" outlineLevel="0" collapsed="false">
      <c r="H79" s="150"/>
    </row>
    <row r="80" customFormat="false" ht="15" hidden="false" customHeight="false" outlineLevel="0" collapsed="false">
      <c r="H80" s="150"/>
    </row>
    <row r="81" customFormat="false" ht="15" hidden="false" customHeight="false" outlineLevel="0" collapsed="false">
      <c r="H81" s="150"/>
    </row>
    <row r="82" customFormat="false" ht="15" hidden="false" customHeight="false" outlineLevel="0" collapsed="false">
      <c r="H82" s="150"/>
    </row>
    <row r="83" customFormat="false" ht="15" hidden="false" customHeight="false" outlineLevel="0" collapsed="false">
      <c r="H83" s="150"/>
    </row>
    <row r="84" customFormat="false" ht="15" hidden="false" customHeight="false" outlineLevel="0" collapsed="false">
      <c r="H84" s="150"/>
    </row>
    <row r="85" customFormat="false" ht="15" hidden="false" customHeight="false" outlineLevel="0" collapsed="false">
      <c r="H85" s="150"/>
    </row>
    <row r="86" customFormat="false" ht="15" hidden="false" customHeight="false" outlineLevel="0" collapsed="false">
      <c r="H86" s="150"/>
    </row>
    <row r="87" customFormat="false" ht="15" hidden="false" customHeight="false" outlineLevel="0" collapsed="false">
      <c r="H87" s="150"/>
    </row>
    <row r="88" customFormat="false" ht="15" hidden="false" customHeight="false" outlineLevel="0" collapsed="false">
      <c r="H88" s="150"/>
    </row>
    <row r="89" customFormat="false" ht="15" hidden="false" customHeight="false" outlineLevel="0" collapsed="false">
      <c r="H89" s="150"/>
    </row>
    <row r="90" customFormat="false" ht="15" hidden="false" customHeight="false" outlineLevel="0" collapsed="false">
      <c r="H90" s="150"/>
    </row>
    <row r="91" customFormat="false" ht="15" hidden="false" customHeight="false" outlineLevel="0" collapsed="false">
      <c r="H91" s="150"/>
    </row>
    <row r="92" customFormat="false" ht="15" hidden="false" customHeight="false" outlineLevel="0" collapsed="false">
      <c r="H92" s="150"/>
    </row>
    <row r="93" customFormat="false" ht="15" hidden="false" customHeight="false" outlineLevel="0" collapsed="false">
      <c r="H93" s="150"/>
    </row>
    <row r="94" customFormat="false" ht="15" hidden="false" customHeight="false" outlineLevel="0" collapsed="false">
      <c r="H94" s="150"/>
    </row>
    <row r="95" customFormat="false" ht="15" hidden="false" customHeight="false" outlineLevel="0" collapsed="false">
      <c r="H95" s="150"/>
    </row>
    <row r="96" customFormat="false" ht="15" hidden="false" customHeight="false" outlineLevel="0" collapsed="false">
      <c r="H96" s="150"/>
    </row>
    <row r="97" customFormat="false" ht="15" hidden="false" customHeight="false" outlineLevel="0" collapsed="false">
      <c r="H97" s="150"/>
    </row>
    <row r="98" customFormat="false" ht="15" hidden="false" customHeight="false" outlineLevel="0" collapsed="false">
      <c r="H98" s="150"/>
    </row>
    <row r="99" customFormat="false" ht="15" hidden="false" customHeight="false" outlineLevel="0" collapsed="false">
      <c r="H99" s="150"/>
    </row>
    <row r="100" customFormat="false" ht="15" hidden="false" customHeight="false" outlineLevel="0" collapsed="false">
      <c r="H100" s="150"/>
    </row>
    <row r="101" customFormat="false" ht="15" hidden="false" customHeight="false" outlineLevel="0" collapsed="false">
      <c r="H101" s="150"/>
    </row>
    <row r="102" customFormat="false" ht="15" hidden="false" customHeight="false" outlineLevel="0" collapsed="false">
      <c r="H102" s="150"/>
    </row>
    <row r="103" customFormat="false" ht="15" hidden="false" customHeight="false" outlineLevel="0" collapsed="false">
      <c r="H103" s="150"/>
    </row>
    <row r="104" customFormat="false" ht="15" hidden="false" customHeight="false" outlineLevel="0" collapsed="false">
      <c r="H104" s="150"/>
    </row>
    <row r="105" customFormat="false" ht="15" hidden="false" customHeight="false" outlineLevel="0" collapsed="false">
      <c r="H105" s="150"/>
    </row>
    <row r="106" customFormat="false" ht="15" hidden="false" customHeight="false" outlineLevel="0" collapsed="false">
      <c r="H106" s="150"/>
    </row>
    <row r="107" customFormat="false" ht="15" hidden="false" customHeight="false" outlineLevel="0" collapsed="false">
      <c r="H107" s="150"/>
    </row>
    <row r="108" customFormat="false" ht="15" hidden="false" customHeight="false" outlineLevel="0" collapsed="false">
      <c r="H108" s="150"/>
    </row>
    <row r="109" customFormat="false" ht="15" hidden="false" customHeight="false" outlineLevel="0" collapsed="false">
      <c r="H109" s="150"/>
    </row>
    <row r="110" customFormat="false" ht="15" hidden="false" customHeight="false" outlineLevel="0" collapsed="false">
      <c r="H110" s="150"/>
    </row>
    <row r="111" customFormat="false" ht="15" hidden="false" customHeight="false" outlineLevel="0" collapsed="false">
      <c r="H111" s="150"/>
    </row>
    <row r="112" customFormat="false" ht="15" hidden="false" customHeight="false" outlineLevel="0" collapsed="false">
      <c r="H112" s="150"/>
    </row>
    <row r="113" customFormat="false" ht="15" hidden="false" customHeight="false" outlineLevel="0" collapsed="false">
      <c r="H113" s="150"/>
    </row>
    <row r="114" customFormat="false" ht="15" hidden="false" customHeight="false" outlineLevel="0" collapsed="false">
      <c r="H114" s="150"/>
    </row>
    <row r="115" customFormat="false" ht="15" hidden="false" customHeight="false" outlineLevel="0" collapsed="false">
      <c r="H115" s="150"/>
    </row>
    <row r="116" customFormat="false" ht="15" hidden="false" customHeight="false" outlineLevel="0" collapsed="false">
      <c r="H116" s="150"/>
    </row>
    <row r="117" customFormat="false" ht="15" hidden="false" customHeight="false" outlineLevel="0" collapsed="false">
      <c r="H117" s="150"/>
    </row>
    <row r="118" customFormat="false" ht="15" hidden="false" customHeight="false" outlineLevel="0" collapsed="false">
      <c r="H118" s="150"/>
    </row>
    <row r="119" customFormat="false" ht="15" hidden="false" customHeight="false" outlineLevel="0" collapsed="false">
      <c r="H119" s="150"/>
    </row>
    <row r="120" customFormat="false" ht="15" hidden="false" customHeight="false" outlineLevel="0" collapsed="false">
      <c r="H120" s="150"/>
    </row>
    <row r="121" customFormat="false" ht="15" hidden="false" customHeight="false" outlineLevel="0" collapsed="false">
      <c r="H121" s="150"/>
    </row>
    <row r="122" customFormat="false" ht="15" hidden="false" customHeight="false" outlineLevel="0" collapsed="false">
      <c r="H122" s="150"/>
    </row>
    <row r="123" customFormat="false" ht="15" hidden="false" customHeight="false" outlineLevel="0" collapsed="false">
      <c r="H123" s="150"/>
    </row>
    <row r="124" customFormat="false" ht="15" hidden="false" customHeight="false" outlineLevel="0" collapsed="false">
      <c r="H124" s="150"/>
    </row>
    <row r="125" customFormat="false" ht="15" hidden="false" customHeight="false" outlineLevel="0" collapsed="false">
      <c r="H125" s="150"/>
    </row>
    <row r="126" customFormat="false" ht="15" hidden="false" customHeight="false" outlineLevel="0" collapsed="false">
      <c r="H126" s="150"/>
    </row>
    <row r="127" customFormat="false" ht="15" hidden="false" customHeight="false" outlineLevel="0" collapsed="false">
      <c r="H127" s="150"/>
    </row>
    <row r="128" customFormat="false" ht="15" hidden="false" customHeight="false" outlineLevel="0" collapsed="false">
      <c r="H128" s="150"/>
    </row>
    <row r="129" customFormat="false" ht="15" hidden="false" customHeight="false" outlineLevel="0" collapsed="false">
      <c r="H129" s="150"/>
    </row>
    <row r="130" customFormat="false" ht="15" hidden="false" customHeight="false" outlineLevel="0" collapsed="false">
      <c r="H130" s="150"/>
    </row>
    <row r="131" customFormat="false" ht="15" hidden="false" customHeight="false" outlineLevel="0" collapsed="false">
      <c r="H131" s="150"/>
    </row>
    <row r="132" customFormat="false" ht="15" hidden="false" customHeight="false" outlineLevel="0" collapsed="false">
      <c r="H132" s="150"/>
    </row>
    <row r="133" customFormat="false" ht="15" hidden="false" customHeight="false" outlineLevel="0" collapsed="false">
      <c r="H133" s="150"/>
    </row>
    <row r="134" customFormat="false" ht="15" hidden="false" customHeight="false" outlineLevel="0" collapsed="false">
      <c r="H134" s="150"/>
    </row>
    <row r="135" customFormat="false" ht="15" hidden="false" customHeight="false" outlineLevel="0" collapsed="false">
      <c r="H135" s="150"/>
    </row>
    <row r="136" customFormat="false" ht="15" hidden="false" customHeight="false" outlineLevel="0" collapsed="false">
      <c r="H136" s="150"/>
    </row>
    <row r="137" customFormat="false" ht="15" hidden="false" customHeight="false" outlineLevel="0" collapsed="false">
      <c r="H137" s="150"/>
    </row>
    <row r="138" customFormat="false" ht="15" hidden="false" customHeight="false" outlineLevel="0" collapsed="false">
      <c r="H138" s="150"/>
    </row>
    <row r="139" customFormat="false" ht="15" hidden="false" customHeight="false" outlineLevel="0" collapsed="false">
      <c r="H139" s="150"/>
    </row>
    <row r="140" customFormat="false" ht="15" hidden="false" customHeight="false" outlineLevel="0" collapsed="false">
      <c r="H140" s="150"/>
    </row>
    <row r="141" customFormat="false" ht="15" hidden="false" customHeight="false" outlineLevel="0" collapsed="false">
      <c r="H141" s="150"/>
    </row>
    <row r="142" customFormat="false" ht="15" hidden="false" customHeight="false" outlineLevel="0" collapsed="false">
      <c r="H142" s="150"/>
    </row>
    <row r="143" customFormat="false" ht="15" hidden="false" customHeight="false" outlineLevel="0" collapsed="false">
      <c r="H143" s="150"/>
    </row>
    <row r="144" customFormat="false" ht="15" hidden="false" customHeight="false" outlineLevel="0" collapsed="false">
      <c r="H144" s="150"/>
    </row>
    <row r="145" customFormat="false" ht="15" hidden="false" customHeight="false" outlineLevel="0" collapsed="false">
      <c r="H145" s="150"/>
    </row>
    <row r="146" customFormat="false" ht="15" hidden="false" customHeight="false" outlineLevel="0" collapsed="false">
      <c r="H146" s="150"/>
    </row>
    <row r="147" customFormat="false" ht="15" hidden="false" customHeight="false" outlineLevel="0" collapsed="false">
      <c r="H147" s="150"/>
    </row>
    <row r="148" customFormat="false" ht="15" hidden="false" customHeight="false" outlineLevel="0" collapsed="false">
      <c r="H148" s="150"/>
    </row>
    <row r="149" customFormat="false" ht="15" hidden="false" customHeight="false" outlineLevel="0" collapsed="false">
      <c r="H149" s="150"/>
    </row>
    <row r="150" customFormat="false" ht="15" hidden="false" customHeight="false" outlineLevel="0" collapsed="false">
      <c r="H150" s="150"/>
    </row>
    <row r="151" customFormat="false" ht="15" hidden="false" customHeight="false" outlineLevel="0" collapsed="false">
      <c r="H151" s="150"/>
    </row>
    <row r="152" customFormat="false" ht="15" hidden="false" customHeight="false" outlineLevel="0" collapsed="false">
      <c r="H152" s="150"/>
    </row>
    <row r="153" customFormat="false" ht="15" hidden="false" customHeight="false" outlineLevel="0" collapsed="false">
      <c r="H153" s="150"/>
    </row>
    <row r="154" customFormat="false" ht="15" hidden="false" customHeight="false" outlineLevel="0" collapsed="false">
      <c r="H154" s="150"/>
    </row>
    <row r="155" customFormat="false" ht="15" hidden="false" customHeight="false" outlineLevel="0" collapsed="false">
      <c r="H155" s="150"/>
    </row>
    <row r="156" customFormat="false" ht="15" hidden="false" customHeight="false" outlineLevel="0" collapsed="false">
      <c r="H156" s="150"/>
    </row>
    <row r="157" customFormat="false" ht="15" hidden="false" customHeight="false" outlineLevel="0" collapsed="false">
      <c r="H157" s="150"/>
    </row>
    <row r="158" customFormat="false" ht="15" hidden="false" customHeight="false" outlineLevel="0" collapsed="false">
      <c r="H158" s="150"/>
    </row>
    <row r="159" customFormat="false" ht="15" hidden="false" customHeight="false" outlineLevel="0" collapsed="false">
      <c r="H159" s="150"/>
    </row>
  </sheetData>
  <conditionalFormatting sqref="H23:H26 H29:H159">
    <cfRule type="expression" priority="2" aboveAverage="0" equalAverage="0" bottom="0" percent="0" rank="0" text="" dxfId="26">
      <formula>LEN(TRIM(H23))=0</formula>
    </cfRule>
    <cfRule type="cellIs" priority="3" operator="lessThanOrEqual" aboveAverage="0" equalAverage="0" bottom="0" percent="0" rank="0" text="" dxfId="22">
      <formula>$B$5</formula>
    </cfRule>
    <cfRule type="cellIs" priority="4" operator="greaterThan" aboveAverage="0" equalAverage="0" bottom="0" percent="0" rank="0" text="" dxfId="27">
      <formula>$B$5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54" width="16"/>
  </cols>
  <sheetData>
    <row r="1" customFormat="false" ht="15" hidden="false" customHeight="true" outlineLevel="0" collapsed="false">
      <c r="A1" s="106" t="s">
        <v>279</v>
      </c>
      <c r="B1" s="106" t="s">
        <v>280</v>
      </c>
      <c r="C1" s="106" t="s">
        <v>281</v>
      </c>
      <c r="D1" s="106" t="s">
        <v>282</v>
      </c>
      <c r="E1" s="106" t="s">
        <v>283</v>
      </c>
      <c r="F1" s="106" t="s">
        <v>284</v>
      </c>
      <c r="G1" s="106" t="s">
        <v>285</v>
      </c>
      <c r="H1" s="106" t="s">
        <v>286</v>
      </c>
      <c r="I1" s="106" t="s">
        <v>287</v>
      </c>
      <c r="J1" s="106" t="s">
        <v>288</v>
      </c>
    </row>
    <row r="2" customFormat="false" ht="15" hidden="false" customHeight="true" outlineLevel="0" collapsed="false">
      <c r="A2" s="54" t="n">
        <v>20260709</v>
      </c>
      <c r="B2" s="54" t="s">
        <v>289</v>
      </c>
      <c r="C2" s="54" t="s">
        <v>290</v>
      </c>
      <c r="D2" s="54" t="s">
        <v>291</v>
      </c>
      <c r="E2" s="54" t="s">
        <v>292</v>
      </c>
      <c r="F2" s="54" t="s">
        <v>293</v>
      </c>
      <c r="G2" s="54" t="s">
        <v>294</v>
      </c>
      <c r="H2" s="54" t="n">
        <v>5801</v>
      </c>
      <c r="I2" s="54" t="s">
        <v>295</v>
      </c>
      <c r="J2" s="54" t="s">
        <v>296</v>
      </c>
    </row>
    <row r="3" customFormat="false" ht="15" hidden="false" customHeight="true" outlineLevel="0" collapsed="false">
      <c r="A3" s="54" t="n">
        <v>20260709</v>
      </c>
      <c r="B3" s="54" t="s">
        <v>289</v>
      </c>
      <c r="C3" s="54" t="s">
        <v>290</v>
      </c>
      <c r="D3" s="54" t="s">
        <v>291</v>
      </c>
      <c r="E3" s="54" t="s">
        <v>292</v>
      </c>
      <c r="F3" s="54" t="s">
        <v>297</v>
      </c>
      <c r="G3" s="54" t="s">
        <v>298</v>
      </c>
      <c r="H3" s="54" t="n">
        <v>25997</v>
      </c>
      <c r="I3" s="54" t="s">
        <v>295</v>
      </c>
      <c r="J3" s="54" t="s">
        <v>296</v>
      </c>
    </row>
    <row r="4" customFormat="false" ht="15" hidden="false" customHeight="true" outlineLevel="0" collapsed="false">
      <c r="A4" s="54" t="n">
        <v>20260709</v>
      </c>
      <c r="B4" s="54" t="s">
        <v>289</v>
      </c>
      <c r="C4" s="54" t="s">
        <v>290</v>
      </c>
      <c r="D4" s="54" t="s">
        <v>299</v>
      </c>
      <c r="E4" s="54" t="s">
        <v>300</v>
      </c>
      <c r="F4" s="54" t="s">
        <v>301</v>
      </c>
      <c r="G4" s="54" t="s">
        <v>302</v>
      </c>
      <c r="H4" s="54" t="n">
        <v>14530</v>
      </c>
      <c r="I4" s="54" t="s">
        <v>295</v>
      </c>
      <c r="J4" s="54" t="s">
        <v>303</v>
      </c>
    </row>
    <row r="5" customFormat="false" ht="15" hidden="false" customHeight="true" outlineLevel="0" collapsed="false">
      <c r="A5" s="54" t="n">
        <v>20260709</v>
      </c>
      <c r="B5" s="54" t="s">
        <v>289</v>
      </c>
      <c r="C5" s="54" t="s">
        <v>290</v>
      </c>
      <c r="D5" s="54" t="s">
        <v>299</v>
      </c>
      <c r="E5" s="54" t="s">
        <v>300</v>
      </c>
      <c r="F5" s="54" t="s">
        <v>304</v>
      </c>
      <c r="G5" s="54" t="s">
        <v>305</v>
      </c>
      <c r="H5" s="54" t="n">
        <v>18187</v>
      </c>
      <c r="I5" s="54" t="s">
        <v>295</v>
      </c>
      <c r="J5" s="54" t="s">
        <v>303</v>
      </c>
    </row>
    <row r="6" customFormat="false" ht="15" hidden="false" customHeight="true" outlineLevel="0" collapsed="false">
      <c r="A6" s="54" t="n">
        <v>20260709</v>
      </c>
      <c r="B6" s="54" t="s">
        <v>306</v>
      </c>
      <c r="C6" s="54" t="s">
        <v>307</v>
      </c>
      <c r="D6" s="54" t="s">
        <v>308</v>
      </c>
      <c r="E6" s="54" t="s">
        <v>309</v>
      </c>
      <c r="F6" s="54" t="s">
        <v>310</v>
      </c>
      <c r="G6" s="54" t="s">
        <v>311</v>
      </c>
      <c r="H6" s="54" t="n">
        <v>2601</v>
      </c>
      <c r="I6" s="54" t="s">
        <v>295</v>
      </c>
      <c r="J6" s="54" t="s">
        <v>312</v>
      </c>
    </row>
    <row r="7" customFormat="false" ht="15" hidden="false" customHeight="true" outlineLevel="0" collapsed="false">
      <c r="A7" s="54" t="n">
        <v>20260709</v>
      </c>
      <c r="B7" s="54" t="s">
        <v>306</v>
      </c>
      <c r="C7" s="54" t="s">
        <v>307</v>
      </c>
      <c r="D7" s="54" t="s">
        <v>308</v>
      </c>
      <c r="E7" s="54" t="s">
        <v>309</v>
      </c>
      <c r="F7" s="54" t="s">
        <v>313</v>
      </c>
      <c r="G7" s="54" t="s">
        <v>314</v>
      </c>
      <c r="H7" s="54" t="n">
        <v>27967</v>
      </c>
      <c r="I7" s="54" t="s">
        <v>315</v>
      </c>
      <c r="J7" s="54" t="s">
        <v>312</v>
      </c>
    </row>
    <row r="8" customFormat="false" ht="15" hidden="false" customHeight="true" outlineLevel="0" collapsed="false">
      <c r="A8" s="54" t="n">
        <v>20260709</v>
      </c>
      <c r="B8" s="54" t="s">
        <v>306</v>
      </c>
      <c r="C8" s="54" t="s">
        <v>307</v>
      </c>
      <c r="D8" s="54" t="s">
        <v>308</v>
      </c>
      <c r="E8" s="54" t="s">
        <v>309</v>
      </c>
      <c r="F8" s="54" t="s">
        <v>313</v>
      </c>
      <c r="G8" s="54" t="s">
        <v>314</v>
      </c>
      <c r="H8" s="54" t="n">
        <v>27967</v>
      </c>
      <c r="I8" s="54" t="s">
        <v>295</v>
      </c>
      <c r="J8" s="54" t="s">
        <v>312</v>
      </c>
    </row>
    <row r="9" customFormat="false" ht="15" hidden="false" customHeight="true" outlineLevel="0" collapsed="false">
      <c r="A9" s="54" t="n">
        <v>20260709</v>
      </c>
      <c r="B9" s="54" t="s">
        <v>306</v>
      </c>
      <c r="C9" s="54" t="s">
        <v>307</v>
      </c>
      <c r="D9" s="54" t="s">
        <v>308</v>
      </c>
      <c r="E9" s="54" t="s">
        <v>309</v>
      </c>
      <c r="F9" s="54" t="s">
        <v>316</v>
      </c>
      <c r="G9" s="54" t="s">
        <v>317</v>
      </c>
      <c r="H9" s="54" t="n">
        <v>18</v>
      </c>
      <c r="I9" s="54" t="s">
        <v>315</v>
      </c>
      <c r="J9" s="54" t="s">
        <v>312</v>
      </c>
    </row>
    <row r="10" customFormat="false" ht="15" hidden="false" customHeight="true" outlineLevel="0" collapsed="false">
      <c r="A10" s="54" t="n">
        <v>20260709</v>
      </c>
      <c r="B10" s="54" t="s">
        <v>306</v>
      </c>
      <c r="C10" s="54" t="s">
        <v>307</v>
      </c>
      <c r="D10" s="54" t="s">
        <v>308</v>
      </c>
      <c r="E10" s="54" t="s">
        <v>309</v>
      </c>
      <c r="F10" s="54" t="s">
        <v>316</v>
      </c>
      <c r="G10" s="54" t="s">
        <v>317</v>
      </c>
      <c r="H10" s="54" t="n">
        <v>18</v>
      </c>
      <c r="I10" s="54" t="s">
        <v>295</v>
      </c>
      <c r="J10" s="54" t="s">
        <v>312</v>
      </c>
    </row>
    <row r="11" customFormat="false" ht="15" hidden="false" customHeight="true" outlineLevel="0" collapsed="false">
      <c r="A11" s="54" t="n">
        <v>20260709</v>
      </c>
      <c r="B11" s="54" t="s">
        <v>306</v>
      </c>
      <c r="C11" s="54" t="s">
        <v>307</v>
      </c>
      <c r="D11" s="54" t="s">
        <v>308</v>
      </c>
      <c r="E11" s="54" t="s">
        <v>309</v>
      </c>
      <c r="F11" s="54" t="s">
        <v>318</v>
      </c>
      <c r="G11" s="54" t="s">
        <v>319</v>
      </c>
      <c r="H11" s="54" t="n">
        <v>32566</v>
      </c>
      <c r="I11" s="54" t="s">
        <v>315</v>
      </c>
      <c r="J11" s="54" t="s">
        <v>312</v>
      </c>
    </row>
    <row r="12" customFormat="false" ht="15" hidden="false" customHeight="true" outlineLevel="0" collapsed="false">
      <c r="A12" s="54" t="n">
        <v>20260709</v>
      </c>
      <c r="B12" s="54" t="s">
        <v>306</v>
      </c>
      <c r="C12" s="54" t="s">
        <v>307</v>
      </c>
      <c r="D12" s="54" t="s">
        <v>308</v>
      </c>
      <c r="E12" s="54" t="s">
        <v>309</v>
      </c>
      <c r="F12" s="54" t="s">
        <v>320</v>
      </c>
      <c r="G12" s="54" t="s">
        <v>321</v>
      </c>
      <c r="H12" s="54" t="n">
        <v>31424</v>
      </c>
      <c r="I12" s="54" t="s">
        <v>295</v>
      </c>
      <c r="J12" s="54" t="s">
        <v>312</v>
      </c>
    </row>
    <row r="13" customFormat="false" ht="15" hidden="false" customHeight="true" outlineLevel="0" collapsed="false">
      <c r="A13" s="54" t="n">
        <v>20260709</v>
      </c>
      <c r="B13" s="54" t="s">
        <v>248</v>
      </c>
      <c r="C13" s="54" t="s">
        <v>307</v>
      </c>
      <c r="D13" s="54" t="s">
        <v>322</v>
      </c>
      <c r="E13" s="54" t="s">
        <v>323</v>
      </c>
      <c r="F13" s="54" t="s">
        <v>324</v>
      </c>
      <c r="G13" s="54" t="s">
        <v>325</v>
      </c>
      <c r="H13" s="54" t="n">
        <v>20141</v>
      </c>
      <c r="I13" s="54" t="s">
        <v>295</v>
      </c>
      <c r="J13" s="54" t="s">
        <v>326</v>
      </c>
    </row>
    <row r="14" customFormat="false" ht="15" hidden="false" customHeight="true" outlineLevel="0" collapsed="false">
      <c r="A14" s="54" t="n">
        <v>20260709</v>
      </c>
      <c r="B14" s="54" t="s">
        <v>248</v>
      </c>
      <c r="C14" s="54" t="s">
        <v>307</v>
      </c>
      <c r="D14" s="54" t="s">
        <v>322</v>
      </c>
      <c r="E14" s="54" t="s">
        <v>323</v>
      </c>
      <c r="F14" s="54" t="s">
        <v>327</v>
      </c>
      <c r="G14" s="54" t="s">
        <v>328</v>
      </c>
      <c r="H14" s="54" t="n">
        <v>5519</v>
      </c>
      <c r="I14" s="54" t="s">
        <v>295</v>
      </c>
      <c r="J14" s="54" t="s">
        <v>326</v>
      </c>
    </row>
    <row r="15" customFormat="false" ht="15" hidden="false" customHeight="true" outlineLevel="0" collapsed="false">
      <c r="A15" s="54" t="n">
        <v>20260709</v>
      </c>
      <c r="B15" s="54" t="s">
        <v>248</v>
      </c>
      <c r="C15" s="54" t="s">
        <v>307</v>
      </c>
      <c r="D15" s="54" t="s">
        <v>322</v>
      </c>
      <c r="E15" s="54" t="s">
        <v>323</v>
      </c>
      <c r="F15" s="54" t="s">
        <v>329</v>
      </c>
      <c r="G15" s="54" t="s">
        <v>330</v>
      </c>
      <c r="H15" s="54" t="n">
        <v>6979</v>
      </c>
      <c r="I15" s="54" t="s">
        <v>295</v>
      </c>
      <c r="J15" s="54" t="s">
        <v>326</v>
      </c>
    </row>
    <row r="16" customFormat="false" ht="15" hidden="false" customHeight="true" outlineLevel="0" collapsed="false">
      <c r="A16" s="54" t="n">
        <v>20260709</v>
      </c>
      <c r="B16" s="54" t="s">
        <v>306</v>
      </c>
      <c r="C16" s="54" t="s">
        <v>290</v>
      </c>
      <c r="D16" s="54" t="s">
        <v>331</v>
      </c>
      <c r="E16" s="54" t="s">
        <v>332</v>
      </c>
      <c r="F16" s="54" t="s">
        <v>333</v>
      </c>
      <c r="G16" s="54" t="s">
        <v>334</v>
      </c>
      <c r="H16" s="54" t="n">
        <v>13810</v>
      </c>
      <c r="I16" s="54" t="s">
        <v>295</v>
      </c>
      <c r="J16" s="54" t="s">
        <v>335</v>
      </c>
    </row>
    <row r="17" customFormat="false" ht="15" hidden="false" customHeight="true" outlineLevel="0" collapsed="false">
      <c r="A17" s="54" t="n">
        <v>20260709</v>
      </c>
      <c r="B17" s="54" t="s">
        <v>306</v>
      </c>
      <c r="C17" s="54" t="s">
        <v>290</v>
      </c>
      <c r="D17" s="54" t="s">
        <v>331</v>
      </c>
      <c r="E17" s="54" t="s">
        <v>332</v>
      </c>
      <c r="F17" s="54" t="s">
        <v>336</v>
      </c>
      <c r="G17" s="54" t="s">
        <v>337</v>
      </c>
      <c r="H17" s="54" t="n">
        <v>13810</v>
      </c>
      <c r="I17" s="54" t="s">
        <v>315</v>
      </c>
      <c r="J17" s="54" t="s">
        <v>335</v>
      </c>
    </row>
    <row r="18" customFormat="false" ht="15" hidden="false" customHeight="true" outlineLevel="0" collapsed="false">
      <c r="A18" s="54" t="n">
        <v>20260709</v>
      </c>
      <c r="B18" s="54" t="s">
        <v>306</v>
      </c>
      <c r="C18" s="54" t="s">
        <v>290</v>
      </c>
      <c r="D18" s="54" t="s">
        <v>331</v>
      </c>
      <c r="E18" s="54" t="s">
        <v>332</v>
      </c>
      <c r="F18" s="54" t="s">
        <v>338</v>
      </c>
      <c r="G18" s="54" t="s">
        <v>339</v>
      </c>
      <c r="H18" s="54" t="n">
        <v>16576</v>
      </c>
      <c r="I18" s="54" t="s">
        <v>295</v>
      </c>
      <c r="J18" s="54" t="s">
        <v>335</v>
      </c>
    </row>
    <row r="19" customFormat="false" ht="15" hidden="false" customHeight="true" outlineLevel="0" collapsed="false">
      <c r="A19" s="54" t="n">
        <v>20260709</v>
      </c>
      <c r="B19" s="54" t="s">
        <v>306</v>
      </c>
      <c r="C19" s="54" t="s">
        <v>290</v>
      </c>
      <c r="D19" s="54" t="s">
        <v>331</v>
      </c>
      <c r="E19" s="54" t="s">
        <v>332</v>
      </c>
      <c r="F19" s="54" t="s">
        <v>340</v>
      </c>
      <c r="G19" s="54" t="s">
        <v>341</v>
      </c>
      <c r="H19" s="54" t="n">
        <v>16577</v>
      </c>
      <c r="I19" s="54" t="s">
        <v>315</v>
      </c>
      <c r="J19" s="54" t="s">
        <v>335</v>
      </c>
    </row>
    <row r="20" customFormat="false" ht="15" hidden="false" customHeight="true" outlineLevel="0" collapsed="false">
      <c r="A20" s="54" t="n">
        <v>20260709</v>
      </c>
      <c r="B20" s="54" t="s">
        <v>289</v>
      </c>
      <c r="C20" s="54" t="s">
        <v>290</v>
      </c>
      <c r="D20" s="54" t="s">
        <v>342</v>
      </c>
      <c r="E20" s="54" t="s">
        <v>343</v>
      </c>
      <c r="F20" s="54" t="s">
        <v>344</v>
      </c>
      <c r="G20" s="54" t="s">
        <v>345</v>
      </c>
      <c r="H20" s="54" t="n">
        <v>14706</v>
      </c>
      <c r="I20" s="54" t="s">
        <v>295</v>
      </c>
      <c r="J20" s="54" t="s">
        <v>296</v>
      </c>
    </row>
    <row r="21" customFormat="false" ht="15" hidden="false" customHeight="true" outlineLevel="0" collapsed="false">
      <c r="A21" s="54" t="n">
        <v>20260709</v>
      </c>
      <c r="B21" s="54" t="s">
        <v>289</v>
      </c>
      <c r="C21" s="54" t="s">
        <v>290</v>
      </c>
      <c r="D21" s="54" t="s">
        <v>342</v>
      </c>
      <c r="E21" s="54" t="s">
        <v>343</v>
      </c>
      <c r="F21" s="54" t="s">
        <v>346</v>
      </c>
      <c r="G21" s="54" t="s">
        <v>347</v>
      </c>
      <c r="H21" s="54" t="n">
        <v>25414</v>
      </c>
      <c r="I21" s="54" t="s">
        <v>295</v>
      </c>
      <c r="J21" s="54" t="s">
        <v>296</v>
      </c>
    </row>
    <row r="22" customFormat="false" ht="15" hidden="false" customHeight="true" outlineLevel="0" collapsed="false">
      <c r="A22" s="54" t="n">
        <v>20260709</v>
      </c>
      <c r="B22" s="54" t="s">
        <v>306</v>
      </c>
      <c r="C22" s="54" t="s">
        <v>290</v>
      </c>
      <c r="D22" s="54" t="s">
        <v>348</v>
      </c>
      <c r="E22" s="54" t="s">
        <v>349</v>
      </c>
      <c r="F22" s="54" t="s">
        <v>350</v>
      </c>
      <c r="G22" s="54" t="s">
        <v>351</v>
      </c>
      <c r="H22" s="54" t="n">
        <v>18217</v>
      </c>
      <c r="I22" s="54" t="s">
        <v>295</v>
      </c>
      <c r="J22" s="54" t="s">
        <v>352</v>
      </c>
    </row>
    <row r="23" customFormat="false" ht="15" hidden="false" customHeight="true" outlineLevel="0" collapsed="false">
      <c r="A23" s="54" t="n">
        <v>20260709</v>
      </c>
      <c r="B23" s="54" t="s">
        <v>306</v>
      </c>
      <c r="C23" s="54" t="s">
        <v>290</v>
      </c>
      <c r="D23" s="54" t="s">
        <v>348</v>
      </c>
      <c r="E23" s="54" t="s">
        <v>349</v>
      </c>
      <c r="F23" s="54" t="s">
        <v>353</v>
      </c>
      <c r="G23" s="54" t="s">
        <v>351</v>
      </c>
      <c r="H23" s="54" t="n">
        <v>18216</v>
      </c>
      <c r="I23" s="54" t="s">
        <v>315</v>
      </c>
      <c r="J23" s="54" t="s">
        <v>352</v>
      </c>
    </row>
    <row r="24" customFormat="false" ht="15" hidden="false" customHeight="true" outlineLevel="0" collapsed="false">
      <c r="A24" s="54" t="n">
        <v>20260709</v>
      </c>
      <c r="B24" s="54" t="s">
        <v>306</v>
      </c>
      <c r="C24" s="54" t="s">
        <v>290</v>
      </c>
      <c r="D24" s="54" t="s">
        <v>348</v>
      </c>
      <c r="E24" s="54" t="s">
        <v>349</v>
      </c>
      <c r="F24" s="54" t="s">
        <v>354</v>
      </c>
      <c r="G24" s="54" t="s">
        <v>355</v>
      </c>
      <c r="H24" s="54" t="n">
        <v>11072</v>
      </c>
      <c r="I24" s="54" t="s">
        <v>315</v>
      </c>
      <c r="J24" s="54" t="s">
        <v>352</v>
      </c>
    </row>
    <row r="25" customFormat="false" ht="15" hidden="false" customHeight="true" outlineLevel="0" collapsed="false">
      <c r="A25" s="54" t="n">
        <v>20260709</v>
      </c>
      <c r="B25" s="54" t="s">
        <v>306</v>
      </c>
      <c r="C25" s="54" t="s">
        <v>290</v>
      </c>
      <c r="D25" s="54" t="s">
        <v>348</v>
      </c>
      <c r="E25" s="54" t="s">
        <v>349</v>
      </c>
      <c r="F25" s="54" t="s">
        <v>354</v>
      </c>
      <c r="G25" s="54" t="s">
        <v>355</v>
      </c>
      <c r="H25" s="54" t="n">
        <v>11072</v>
      </c>
      <c r="I25" s="54" t="s">
        <v>295</v>
      </c>
      <c r="J25" s="54" t="s">
        <v>352</v>
      </c>
    </row>
    <row r="26" customFormat="false" ht="15" hidden="false" customHeight="true" outlineLevel="0" collapsed="false">
      <c r="A26" s="54" t="n">
        <v>20260709</v>
      </c>
      <c r="B26" s="54" t="s">
        <v>289</v>
      </c>
      <c r="C26" s="54" t="s">
        <v>307</v>
      </c>
      <c r="D26" s="54" t="s">
        <v>356</v>
      </c>
      <c r="E26" s="54" t="s">
        <v>357</v>
      </c>
      <c r="F26" s="54" t="s">
        <v>358</v>
      </c>
      <c r="G26" s="54" t="s">
        <v>359</v>
      </c>
      <c r="H26" s="54" t="n">
        <v>14888</v>
      </c>
      <c r="I26" s="54" t="s">
        <v>360</v>
      </c>
      <c r="J26" s="54" t="s">
        <v>361</v>
      </c>
    </row>
    <row r="27" customFormat="false" ht="15" hidden="false" customHeight="true" outlineLevel="0" collapsed="false">
      <c r="A27" s="54" t="n">
        <v>20260709</v>
      </c>
      <c r="B27" s="54" t="s">
        <v>289</v>
      </c>
      <c r="C27" s="54" t="s">
        <v>307</v>
      </c>
      <c r="D27" s="54" t="s">
        <v>356</v>
      </c>
      <c r="E27" s="54" t="s">
        <v>357</v>
      </c>
      <c r="F27" s="54" t="s">
        <v>358</v>
      </c>
      <c r="G27" s="54" t="s">
        <v>359</v>
      </c>
      <c r="H27" s="54" t="n">
        <v>14888</v>
      </c>
      <c r="I27" s="54" t="s">
        <v>295</v>
      </c>
      <c r="J27" s="54" t="s">
        <v>361</v>
      </c>
    </row>
    <row r="28" customFormat="false" ht="15" hidden="false" customHeight="true" outlineLevel="0" collapsed="false">
      <c r="A28" s="54" t="n">
        <v>20260709</v>
      </c>
      <c r="B28" s="54" t="s">
        <v>289</v>
      </c>
      <c r="C28" s="54" t="s">
        <v>307</v>
      </c>
      <c r="D28" s="54" t="s">
        <v>356</v>
      </c>
      <c r="E28" s="54" t="s">
        <v>357</v>
      </c>
      <c r="F28" s="54" t="s">
        <v>362</v>
      </c>
      <c r="G28" s="54" t="s">
        <v>363</v>
      </c>
      <c r="H28" s="54" t="n">
        <v>17752</v>
      </c>
      <c r="I28" s="54" t="s">
        <v>360</v>
      </c>
      <c r="J28" s="54" t="s">
        <v>361</v>
      </c>
    </row>
    <row r="29" customFormat="false" ht="15" hidden="false" customHeight="true" outlineLevel="0" collapsed="false">
      <c r="A29" s="54" t="n">
        <v>20260709</v>
      </c>
      <c r="B29" s="54" t="s">
        <v>289</v>
      </c>
      <c r="C29" s="54" t="s">
        <v>307</v>
      </c>
      <c r="D29" s="54" t="s">
        <v>356</v>
      </c>
      <c r="E29" s="54" t="s">
        <v>357</v>
      </c>
      <c r="F29" s="54" t="s">
        <v>362</v>
      </c>
      <c r="G29" s="54" t="s">
        <v>363</v>
      </c>
      <c r="H29" s="54" t="n">
        <v>17752</v>
      </c>
      <c r="I29" s="54" t="s">
        <v>295</v>
      </c>
      <c r="J29" s="54" t="s">
        <v>361</v>
      </c>
    </row>
    <row r="30" customFormat="false" ht="15" hidden="false" customHeight="true" outlineLevel="0" collapsed="false">
      <c r="A30" s="54" t="n">
        <v>20260709</v>
      </c>
      <c r="B30" s="54" t="s">
        <v>306</v>
      </c>
      <c r="C30" s="54" t="s">
        <v>290</v>
      </c>
      <c r="D30" s="54" t="s">
        <v>364</v>
      </c>
      <c r="E30" s="54" t="s">
        <v>365</v>
      </c>
      <c r="F30" s="54" t="s">
        <v>366</v>
      </c>
      <c r="G30" s="54" t="s">
        <v>367</v>
      </c>
      <c r="H30" s="54" t="n">
        <v>21918</v>
      </c>
      <c r="I30" s="54" t="s">
        <v>295</v>
      </c>
      <c r="J30" s="54" t="s">
        <v>368</v>
      </c>
    </row>
    <row r="31" customFormat="false" ht="15" hidden="false" customHeight="true" outlineLevel="0" collapsed="false">
      <c r="A31" s="54" t="n">
        <v>20260709</v>
      </c>
      <c r="B31" s="54" t="s">
        <v>306</v>
      </c>
      <c r="C31" s="54" t="s">
        <v>290</v>
      </c>
      <c r="D31" s="54" t="s">
        <v>364</v>
      </c>
      <c r="E31" s="54" t="s">
        <v>365</v>
      </c>
      <c r="F31" s="54" t="s">
        <v>369</v>
      </c>
      <c r="G31" s="54" t="s">
        <v>367</v>
      </c>
      <c r="H31" s="54" t="n">
        <v>21917</v>
      </c>
      <c r="I31" s="54" t="s">
        <v>315</v>
      </c>
      <c r="J31" s="54" t="s">
        <v>368</v>
      </c>
    </row>
    <row r="32" customFormat="false" ht="15" hidden="false" customHeight="true" outlineLevel="0" collapsed="false">
      <c r="A32" s="54" t="n">
        <v>20260709</v>
      </c>
      <c r="B32" s="54" t="s">
        <v>306</v>
      </c>
      <c r="C32" s="54" t="s">
        <v>290</v>
      </c>
      <c r="D32" s="54" t="s">
        <v>364</v>
      </c>
      <c r="E32" s="54" t="s">
        <v>365</v>
      </c>
      <c r="F32" s="54" t="s">
        <v>370</v>
      </c>
      <c r="G32" s="54" t="s">
        <v>371</v>
      </c>
      <c r="H32" s="54" t="n">
        <v>7155</v>
      </c>
      <c r="I32" s="54" t="s">
        <v>315</v>
      </c>
      <c r="J32" s="54" t="s">
        <v>368</v>
      </c>
    </row>
    <row r="33" customFormat="false" ht="15" hidden="false" customHeight="true" outlineLevel="0" collapsed="false">
      <c r="A33" s="54" t="n">
        <v>20260709</v>
      </c>
      <c r="B33" s="54" t="s">
        <v>306</v>
      </c>
      <c r="C33" s="54" t="s">
        <v>290</v>
      </c>
      <c r="D33" s="54" t="s">
        <v>364</v>
      </c>
      <c r="E33" s="54" t="s">
        <v>365</v>
      </c>
      <c r="F33" s="54" t="s">
        <v>370</v>
      </c>
      <c r="G33" s="54" t="s">
        <v>371</v>
      </c>
      <c r="H33" s="54" t="n">
        <v>7155</v>
      </c>
      <c r="I33" s="54" t="s">
        <v>295</v>
      </c>
      <c r="J33" s="54" t="s">
        <v>368</v>
      </c>
    </row>
    <row r="34" customFormat="false" ht="15" hidden="false" customHeight="true" outlineLevel="0" collapsed="false">
      <c r="A34" s="54" t="n">
        <v>20260709</v>
      </c>
      <c r="B34" s="54" t="s">
        <v>306</v>
      </c>
      <c r="C34" s="54" t="s">
        <v>290</v>
      </c>
      <c r="D34" s="54" t="s">
        <v>372</v>
      </c>
      <c r="E34" s="54" t="s">
        <v>352</v>
      </c>
      <c r="F34" s="54" t="s">
        <v>373</v>
      </c>
      <c r="G34" s="54" t="s">
        <v>374</v>
      </c>
      <c r="H34" s="54" t="n">
        <v>1749</v>
      </c>
      <c r="I34" s="54" t="s">
        <v>315</v>
      </c>
      <c r="J34" s="54" t="s">
        <v>375</v>
      </c>
    </row>
    <row r="35" customFormat="false" ht="15" hidden="false" customHeight="true" outlineLevel="0" collapsed="false">
      <c r="A35" s="54" t="n">
        <v>20260709</v>
      </c>
      <c r="B35" s="54" t="s">
        <v>306</v>
      </c>
      <c r="C35" s="54" t="s">
        <v>290</v>
      </c>
      <c r="D35" s="54" t="s">
        <v>372</v>
      </c>
      <c r="E35" s="54" t="s">
        <v>352</v>
      </c>
      <c r="F35" s="54" t="s">
        <v>373</v>
      </c>
      <c r="G35" s="54" t="s">
        <v>374</v>
      </c>
      <c r="H35" s="54" t="n">
        <v>1749</v>
      </c>
      <c r="I35" s="54" t="s">
        <v>295</v>
      </c>
      <c r="J35" s="54" t="s">
        <v>375</v>
      </c>
    </row>
    <row r="36" customFormat="false" ht="15" hidden="false" customHeight="true" outlineLevel="0" collapsed="false">
      <c r="A36" s="54" t="n">
        <v>20260709</v>
      </c>
      <c r="B36" s="54" t="s">
        <v>306</v>
      </c>
      <c r="C36" s="54" t="s">
        <v>290</v>
      </c>
      <c r="D36" s="54" t="s">
        <v>372</v>
      </c>
      <c r="E36" s="54" t="s">
        <v>352</v>
      </c>
      <c r="F36" s="54" t="s">
        <v>376</v>
      </c>
      <c r="G36" s="54" t="s">
        <v>377</v>
      </c>
      <c r="H36" s="54" t="n">
        <v>15963</v>
      </c>
      <c r="I36" s="54" t="s">
        <v>295</v>
      </c>
      <c r="J36" s="54" t="s">
        <v>375</v>
      </c>
    </row>
    <row r="37" customFormat="false" ht="15" hidden="false" customHeight="true" outlineLevel="0" collapsed="false">
      <c r="A37" s="54" t="n">
        <v>20260709</v>
      </c>
      <c r="B37" s="54" t="s">
        <v>306</v>
      </c>
      <c r="C37" s="54" t="s">
        <v>290</v>
      </c>
      <c r="D37" s="54" t="s">
        <v>372</v>
      </c>
      <c r="E37" s="54" t="s">
        <v>352</v>
      </c>
      <c r="F37" s="54" t="s">
        <v>376</v>
      </c>
      <c r="G37" s="54" t="s">
        <v>378</v>
      </c>
      <c r="H37" s="54" t="n">
        <v>15964</v>
      </c>
      <c r="I37" s="54" t="s">
        <v>315</v>
      </c>
      <c r="J37" s="54" t="s">
        <v>375</v>
      </c>
    </row>
    <row r="38" customFormat="false" ht="15" hidden="false" customHeight="true" outlineLevel="0" collapsed="false">
      <c r="A38" s="54" t="n">
        <v>20260709</v>
      </c>
      <c r="B38" s="54" t="s">
        <v>306</v>
      </c>
      <c r="C38" s="54" t="s">
        <v>290</v>
      </c>
      <c r="D38" s="54" t="s">
        <v>379</v>
      </c>
      <c r="E38" s="54" t="s">
        <v>380</v>
      </c>
      <c r="F38" s="54" t="s">
        <v>381</v>
      </c>
      <c r="G38" s="54" t="s">
        <v>382</v>
      </c>
      <c r="H38" s="54" t="n">
        <v>14398</v>
      </c>
      <c r="I38" s="54" t="s">
        <v>315</v>
      </c>
      <c r="J38" s="54" t="s">
        <v>352</v>
      </c>
    </row>
    <row r="39" customFormat="false" ht="15" hidden="false" customHeight="true" outlineLevel="0" collapsed="false">
      <c r="A39" s="54" t="n">
        <v>20260709</v>
      </c>
      <c r="B39" s="54" t="s">
        <v>306</v>
      </c>
      <c r="C39" s="54" t="s">
        <v>290</v>
      </c>
      <c r="D39" s="54" t="s">
        <v>379</v>
      </c>
      <c r="E39" s="54" t="s">
        <v>380</v>
      </c>
      <c r="F39" s="54" t="s">
        <v>381</v>
      </c>
      <c r="G39" s="54" t="s">
        <v>382</v>
      </c>
      <c r="H39" s="54" t="n">
        <v>14398</v>
      </c>
      <c r="I39" s="54" t="s">
        <v>295</v>
      </c>
      <c r="J39" s="54" t="s">
        <v>352</v>
      </c>
    </row>
    <row r="40" customFormat="false" ht="15" hidden="false" customHeight="true" outlineLevel="0" collapsed="false">
      <c r="A40" s="54" t="n">
        <v>20260709</v>
      </c>
      <c r="B40" s="54" t="s">
        <v>306</v>
      </c>
      <c r="C40" s="54" t="s">
        <v>290</v>
      </c>
      <c r="D40" s="54" t="s">
        <v>379</v>
      </c>
      <c r="E40" s="54" t="s">
        <v>380</v>
      </c>
      <c r="F40" s="54" t="s">
        <v>383</v>
      </c>
      <c r="G40" s="54" t="s">
        <v>384</v>
      </c>
      <c r="H40" s="54" t="n">
        <v>6837</v>
      </c>
      <c r="I40" s="54" t="s">
        <v>315</v>
      </c>
      <c r="J40" s="54" t="s">
        <v>352</v>
      </c>
    </row>
    <row r="41" customFormat="false" ht="15" hidden="false" customHeight="true" outlineLevel="0" collapsed="false">
      <c r="A41" s="54" t="n">
        <v>20260709</v>
      </c>
      <c r="B41" s="54" t="s">
        <v>306</v>
      </c>
      <c r="C41" s="54" t="s">
        <v>290</v>
      </c>
      <c r="D41" s="54" t="s">
        <v>379</v>
      </c>
      <c r="E41" s="54" t="s">
        <v>380</v>
      </c>
      <c r="F41" s="54" t="s">
        <v>383</v>
      </c>
      <c r="G41" s="54" t="s">
        <v>385</v>
      </c>
      <c r="H41" s="54" t="n">
        <v>14526</v>
      </c>
      <c r="I41" s="54" t="s">
        <v>295</v>
      </c>
      <c r="J41" s="54" t="s">
        <v>352</v>
      </c>
    </row>
    <row r="42" customFormat="false" ht="15" hidden="false" customHeight="true" outlineLevel="0" collapsed="false">
      <c r="A42" s="54" t="n">
        <v>20260709</v>
      </c>
      <c r="B42" s="54" t="s">
        <v>306</v>
      </c>
      <c r="C42" s="54" t="s">
        <v>290</v>
      </c>
      <c r="D42" s="54" t="s">
        <v>379</v>
      </c>
      <c r="E42" s="54" t="s">
        <v>380</v>
      </c>
      <c r="F42" s="54" t="s">
        <v>386</v>
      </c>
      <c r="G42" s="54" t="s">
        <v>387</v>
      </c>
      <c r="H42" s="54" t="n">
        <v>7496</v>
      </c>
      <c r="I42" s="54" t="s">
        <v>315</v>
      </c>
      <c r="J42" s="54" t="s">
        <v>352</v>
      </c>
    </row>
    <row r="43" customFormat="false" ht="15" hidden="false" customHeight="true" outlineLevel="0" collapsed="false">
      <c r="A43" s="54" t="n">
        <v>20260709</v>
      </c>
      <c r="B43" s="54" t="s">
        <v>306</v>
      </c>
      <c r="C43" s="54" t="s">
        <v>307</v>
      </c>
      <c r="D43" s="54" t="s">
        <v>388</v>
      </c>
      <c r="E43" s="54" t="s">
        <v>389</v>
      </c>
      <c r="F43" s="54" t="s">
        <v>390</v>
      </c>
      <c r="G43" s="54" t="s">
        <v>391</v>
      </c>
      <c r="H43" s="54" t="n">
        <v>8423</v>
      </c>
      <c r="I43" s="54" t="s">
        <v>295</v>
      </c>
      <c r="J43" s="54" t="s">
        <v>392</v>
      </c>
    </row>
    <row r="44" customFormat="false" ht="15" hidden="false" customHeight="true" outlineLevel="0" collapsed="false">
      <c r="A44" s="54" t="n">
        <v>20260709</v>
      </c>
      <c r="B44" s="54" t="s">
        <v>306</v>
      </c>
      <c r="C44" s="54" t="s">
        <v>307</v>
      </c>
      <c r="D44" s="54" t="s">
        <v>388</v>
      </c>
      <c r="E44" s="54" t="s">
        <v>389</v>
      </c>
      <c r="F44" s="54" t="s">
        <v>393</v>
      </c>
      <c r="G44" s="54" t="s">
        <v>394</v>
      </c>
      <c r="H44" s="54" t="n">
        <v>8390</v>
      </c>
      <c r="I44" s="54" t="s">
        <v>315</v>
      </c>
      <c r="J44" s="54" t="s">
        <v>392</v>
      </c>
    </row>
    <row r="45" customFormat="false" ht="15" hidden="false" customHeight="true" outlineLevel="0" collapsed="false">
      <c r="A45" s="54" t="n">
        <v>20260709</v>
      </c>
      <c r="B45" s="54" t="s">
        <v>306</v>
      </c>
      <c r="C45" s="54" t="s">
        <v>307</v>
      </c>
      <c r="D45" s="54" t="s">
        <v>388</v>
      </c>
      <c r="E45" s="54" t="s">
        <v>389</v>
      </c>
      <c r="F45" s="54" t="s">
        <v>395</v>
      </c>
      <c r="G45" s="54" t="s">
        <v>396</v>
      </c>
      <c r="H45" s="54" t="n">
        <v>2</v>
      </c>
      <c r="I45" s="54" t="s">
        <v>295</v>
      </c>
      <c r="J45" s="54" t="s">
        <v>392</v>
      </c>
    </row>
    <row r="46" customFormat="false" ht="15" hidden="false" customHeight="true" outlineLevel="0" collapsed="false">
      <c r="A46" s="54" t="n">
        <v>20260709</v>
      </c>
      <c r="B46" s="54" t="s">
        <v>306</v>
      </c>
      <c r="C46" s="54" t="s">
        <v>307</v>
      </c>
      <c r="D46" s="54" t="s">
        <v>388</v>
      </c>
      <c r="E46" s="54" t="s">
        <v>389</v>
      </c>
      <c r="F46" s="54" t="s">
        <v>397</v>
      </c>
      <c r="G46" s="54" t="s">
        <v>398</v>
      </c>
      <c r="H46" s="54" t="n">
        <v>2829</v>
      </c>
      <c r="I46" s="54" t="s">
        <v>315</v>
      </c>
      <c r="J46" s="54" t="s">
        <v>392</v>
      </c>
    </row>
    <row r="47" customFormat="false" ht="15" hidden="false" customHeight="true" outlineLevel="0" collapsed="false">
      <c r="A47" s="54" t="n">
        <v>20260709</v>
      </c>
      <c r="B47" s="54" t="s">
        <v>306</v>
      </c>
      <c r="C47" s="54" t="s">
        <v>307</v>
      </c>
      <c r="D47" s="54" t="s">
        <v>388</v>
      </c>
      <c r="E47" s="54" t="s">
        <v>389</v>
      </c>
      <c r="F47" s="54" t="s">
        <v>397</v>
      </c>
      <c r="G47" s="54" t="s">
        <v>398</v>
      </c>
      <c r="H47" s="54" t="n">
        <v>2829</v>
      </c>
      <c r="I47" s="54" t="s">
        <v>295</v>
      </c>
      <c r="J47" s="54" t="s">
        <v>392</v>
      </c>
    </row>
    <row r="48" customFormat="false" ht="15" hidden="false" customHeight="true" outlineLevel="0" collapsed="false">
      <c r="A48" s="54" t="n">
        <v>20260709</v>
      </c>
      <c r="B48" s="54" t="s">
        <v>306</v>
      </c>
      <c r="C48" s="54" t="s">
        <v>307</v>
      </c>
      <c r="D48" s="54" t="s">
        <v>388</v>
      </c>
      <c r="E48" s="54" t="s">
        <v>389</v>
      </c>
      <c r="F48" s="54" t="s">
        <v>399</v>
      </c>
      <c r="G48" s="54" t="s">
        <v>400</v>
      </c>
      <c r="H48" s="54" t="n">
        <v>21905</v>
      </c>
      <c r="I48" s="54" t="s">
        <v>295</v>
      </c>
      <c r="J48" s="54" t="s">
        <v>392</v>
      </c>
    </row>
    <row r="49" customFormat="false" ht="15" hidden="false" customHeight="true" outlineLevel="0" collapsed="false">
      <c r="A49" s="54" t="n">
        <v>20260709</v>
      </c>
      <c r="B49" s="54" t="s">
        <v>306</v>
      </c>
      <c r="C49" s="54" t="s">
        <v>307</v>
      </c>
      <c r="D49" s="54" t="s">
        <v>388</v>
      </c>
      <c r="E49" s="54" t="s">
        <v>389</v>
      </c>
      <c r="F49" s="54" t="s">
        <v>401</v>
      </c>
      <c r="G49" s="54" t="s">
        <v>402</v>
      </c>
      <c r="H49" s="54" t="n">
        <v>21914</v>
      </c>
      <c r="I49" s="54" t="s">
        <v>315</v>
      </c>
      <c r="J49" s="54" t="s">
        <v>392</v>
      </c>
    </row>
    <row r="50" customFormat="false" ht="15" hidden="false" customHeight="true" outlineLevel="0" collapsed="false">
      <c r="A50" s="54" t="n">
        <v>20260709</v>
      </c>
      <c r="B50" s="54" t="s">
        <v>289</v>
      </c>
      <c r="C50" s="54" t="s">
        <v>290</v>
      </c>
      <c r="D50" s="54" t="s">
        <v>403</v>
      </c>
      <c r="E50" s="54" t="s">
        <v>404</v>
      </c>
      <c r="F50" s="54" t="s">
        <v>405</v>
      </c>
      <c r="G50" s="54" t="s">
        <v>406</v>
      </c>
      <c r="H50" s="54" t="n">
        <v>20464</v>
      </c>
      <c r="I50" s="54" t="s">
        <v>360</v>
      </c>
      <c r="J50" s="54" t="s">
        <v>407</v>
      </c>
    </row>
    <row r="51" customFormat="false" ht="15" hidden="false" customHeight="true" outlineLevel="0" collapsed="false">
      <c r="A51" s="54" t="n">
        <v>20260709</v>
      </c>
      <c r="B51" s="54" t="s">
        <v>289</v>
      </c>
      <c r="C51" s="54" t="s">
        <v>290</v>
      </c>
      <c r="D51" s="54" t="s">
        <v>403</v>
      </c>
      <c r="E51" s="54" t="s">
        <v>404</v>
      </c>
      <c r="F51" s="54" t="s">
        <v>405</v>
      </c>
      <c r="G51" s="54" t="s">
        <v>406</v>
      </c>
      <c r="H51" s="54" t="n">
        <v>20464</v>
      </c>
      <c r="I51" s="54" t="s">
        <v>295</v>
      </c>
      <c r="J51" s="54" t="s">
        <v>407</v>
      </c>
    </row>
    <row r="52" customFormat="false" ht="15" hidden="false" customHeight="true" outlineLevel="0" collapsed="false">
      <c r="A52" s="54" t="n">
        <v>20260709</v>
      </c>
      <c r="B52" s="54" t="s">
        <v>289</v>
      </c>
      <c r="C52" s="54" t="s">
        <v>290</v>
      </c>
      <c r="D52" s="54" t="s">
        <v>403</v>
      </c>
      <c r="E52" s="54" t="s">
        <v>404</v>
      </c>
      <c r="F52" s="54" t="s">
        <v>408</v>
      </c>
      <c r="G52" s="54" t="s">
        <v>409</v>
      </c>
      <c r="H52" s="54" t="n">
        <v>9049</v>
      </c>
      <c r="I52" s="54" t="s">
        <v>360</v>
      </c>
      <c r="J52" s="54" t="s">
        <v>407</v>
      </c>
    </row>
    <row r="53" customFormat="false" ht="15" hidden="false" customHeight="true" outlineLevel="0" collapsed="false">
      <c r="A53" s="54" t="n">
        <v>20260709</v>
      </c>
      <c r="B53" s="54" t="s">
        <v>289</v>
      </c>
      <c r="C53" s="54" t="s">
        <v>290</v>
      </c>
      <c r="D53" s="54" t="s">
        <v>403</v>
      </c>
      <c r="E53" s="54" t="s">
        <v>404</v>
      </c>
      <c r="F53" s="54" t="s">
        <v>408</v>
      </c>
      <c r="G53" s="54" t="s">
        <v>409</v>
      </c>
      <c r="H53" s="54" t="n">
        <v>9049</v>
      </c>
      <c r="I53" s="54" t="s">
        <v>295</v>
      </c>
      <c r="J53" s="54" t="s">
        <v>407</v>
      </c>
    </row>
    <row r="54" customFormat="false" ht="15" hidden="false" customHeight="true" outlineLevel="0" collapsed="false">
      <c r="A54" s="54" t="n">
        <v>20260709</v>
      </c>
      <c r="B54" s="54" t="s">
        <v>289</v>
      </c>
      <c r="C54" s="54" t="s">
        <v>290</v>
      </c>
      <c r="D54" s="54" t="s">
        <v>410</v>
      </c>
      <c r="E54" s="54" t="s">
        <v>411</v>
      </c>
      <c r="F54" s="54" t="s">
        <v>412</v>
      </c>
      <c r="G54" s="54" t="s">
        <v>413</v>
      </c>
      <c r="H54" s="54" t="n">
        <v>14709</v>
      </c>
      <c r="I54" s="54" t="s">
        <v>295</v>
      </c>
      <c r="J54" s="54" t="s">
        <v>414</v>
      </c>
    </row>
    <row r="55" customFormat="false" ht="15" hidden="false" customHeight="true" outlineLevel="0" collapsed="false">
      <c r="A55" s="54" t="n">
        <v>20260709</v>
      </c>
      <c r="B55" s="54" t="s">
        <v>289</v>
      </c>
      <c r="C55" s="54" t="s">
        <v>290</v>
      </c>
      <c r="D55" s="54" t="s">
        <v>410</v>
      </c>
      <c r="E55" s="54" t="s">
        <v>411</v>
      </c>
      <c r="F55" s="54" t="s">
        <v>415</v>
      </c>
      <c r="G55" s="54" t="s">
        <v>416</v>
      </c>
      <c r="H55" s="54" t="n">
        <v>8919</v>
      </c>
      <c r="I55" s="54" t="s">
        <v>295</v>
      </c>
      <c r="J55" s="54" t="s">
        <v>414</v>
      </c>
    </row>
    <row r="56" customFormat="false" ht="15" hidden="false" customHeight="true" outlineLevel="0" collapsed="false">
      <c r="A56" s="54" t="n">
        <v>20260709</v>
      </c>
      <c r="B56" s="54" t="s">
        <v>289</v>
      </c>
      <c r="C56" s="54" t="s">
        <v>290</v>
      </c>
      <c r="D56" s="54" t="s">
        <v>410</v>
      </c>
      <c r="E56" s="54" t="s">
        <v>411</v>
      </c>
      <c r="F56" s="54" t="s">
        <v>417</v>
      </c>
      <c r="G56" s="54" t="s">
        <v>418</v>
      </c>
      <c r="H56" s="54" t="n">
        <v>9145</v>
      </c>
      <c r="I56" s="54" t="s">
        <v>295</v>
      </c>
      <c r="J56" s="54" t="s">
        <v>414</v>
      </c>
    </row>
    <row r="57" customFormat="false" ht="15" hidden="false" customHeight="true" outlineLevel="0" collapsed="false">
      <c r="A57" s="54" t="n">
        <v>20260709</v>
      </c>
      <c r="B57" s="54" t="s">
        <v>289</v>
      </c>
      <c r="C57" s="54" t="s">
        <v>290</v>
      </c>
      <c r="D57" s="54" t="s">
        <v>419</v>
      </c>
      <c r="E57" s="54" t="s">
        <v>420</v>
      </c>
      <c r="F57" s="54" t="s">
        <v>421</v>
      </c>
      <c r="G57" s="54" t="s">
        <v>422</v>
      </c>
      <c r="H57" s="54" t="n">
        <v>1155</v>
      </c>
      <c r="I57" s="54" t="s">
        <v>295</v>
      </c>
      <c r="J57" s="54" t="s">
        <v>423</v>
      </c>
    </row>
    <row r="58" customFormat="false" ht="15" hidden="false" customHeight="true" outlineLevel="0" collapsed="false">
      <c r="A58" s="54" t="n">
        <v>20260709</v>
      </c>
      <c r="B58" s="54" t="s">
        <v>289</v>
      </c>
      <c r="C58" s="54" t="s">
        <v>290</v>
      </c>
      <c r="D58" s="54" t="s">
        <v>419</v>
      </c>
      <c r="E58" s="54" t="s">
        <v>420</v>
      </c>
      <c r="F58" s="54" t="s">
        <v>421</v>
      </c>
      <c r="G58" s="54" t="s">
        <v>424</v>
      </c>
      <c r="H58" s="54" t="n">
        <v>1157</v>
      </c>
      <c r="I58" s="54" t="s">
        <v>360</v>
      </c>
      <c r="J58" s="54" t="s">
        <v>423</v>
      </c>
    </row>
    <row r="59" customFormat="false" ht="15" hidden="false" customHeight="true" outlineLevel="0" collapsed="false">
      <c r="A59" s="54" t="n">
        <v>20260709</v>
      </c>
      <c r="B59" s="54" t="s">
        <v>289</v>
      </c>
      <c r="C59" s="54" t="s">
        <v>290</v>
      </c>
      <c r="D59" s="54" t="s">
        <v>419</v>
      </c>
      <c r="E59" s="54" t="s">
        <v>420</v>
      </c>
      <c r="F59" s="54" t="s">
        <v>425</v>
      </c>
      <c r="G59" s="54" t="s">
        <v>426</v>
      </c>
      <c r="H59" s="54" t="n">
        <v>13130</v>
      </c>
      <c r="I59" s="54" t="s">
        <v>360</v>
      </c>
      <c r="J59" s="54" t="s">
        <v>423</v>
      </c>
    </row>
    <row r="60" customFormat="false" ht="15" hidden="false" customHeight="true" outlineLevel="0" collapsed="false">
      <c r="A60" s="54" t="n">
        <v>20260709</v>
      </c>
      <c r="B60" s="54" t="s">
        <v>289</v>
      </c>
      <c r="C60" s="54" t="s">
        <v>290</v>
      </c>
      <c r="D60" s="54" t="s">
        <v>419</v>
      </c>
      <c r="E60" s="54" t="s">
        <v>420</v>
      </c>
      <c r="F60" s="54" t="s">
        <v>425</v>
      </c>
      <c r="G60" s="54" t="s">
        <v>426</v>
      </c>
      <c r="H60" s="54" t="n">
        <v>13130</v>
      </c>
      <c r="I60" s="54" t="s">
        <v>295</v>
      </c>
      <c r="J60" s="54" t="s">
        <v>423</v>
      </c>
    </row>
    <row r="61" customFormat="false" ht="15" hidden="false" customHeight="true" outlineLevel="0" collapsed="false">
      <c r="A61" s="54" t="n">
        <v>20260709</v>
      </c>
      <c r="B61" s="54" t="s">
        <v>289</v>
      </c>
      <c r="C61" s="54" t="s">
        <v>290</v>
      </c>
      <c r="D61" s="54" t="s">
        <v>419</v>
      </c>
      <c r="E61" s="54" t="s">
        <v>420</v>
      </c>
      <c r="F61" s="54" t="s">
        <v>427</v>
      </c>
      <c r="G61" s="54" t="s">
        <v>428</v>
      </c>
      <c r="H61" s="54" t="n">
        <v>14482</v>
      </c>
      <c r="I61" s="54" t="s">
        <v>360</v>
      </c>
      <c r="J61" s="54" t="s">
        <v>423</v>
      </c>
    </row>
    <row r="62" customFormat="false" ht="15" hidden="false" customHeight="true" outlineLevel="0" collapsed="false">
      <c r="A62" s="54" t="n">
        <v>20260709</v>
      </c>
      <c r="B62" s="54" t="s">
        <v>289</v>
      </c>
      <c r="C62" s="54" t="s">
        <v>290</v>
      </c>
      <c r="D62" s="54" t="s">
        <v>419</v>
      </c>
      <c r="E62" s="54" t="s">
        <v>420</v>
      </c>
      <c r="F62" s="54" t="s">
        <v>427</v>
      </c>
      <c r="G62" s="54" t="s">
        <v>428</v>
      </c>
      <c r="H62" s="54" t="n">
        <v>14482</v>
      </c>
      <c r="I62" s="54" t="s">
        <v>295</v>
      </c>
      <c r="J62" s="54" t="s">
        <v>423</v>
      </c>
    </row>
    <row r="63" customFormat="false" ht="15" hidden="false" customHeight="true" outlineLevel="0" collapsed="false">
      <c r="A63" s="54" t="n">
        <v>20260709</v>
      </c>
      <c r="B63" s="54" t="s">
        <v>306</v>
      </c>
      <c r="C63" s="54" t="s">
        <v>290</v>
      </c>
      <c r="D63" s="54" t="s">
        <v>429</v>
      </c>
      <c r="E63" s="54" t="s">
        <v>430</v>
      </c>
      <c r="F63" s="54" t="s">
        <v>431</v>
      </c>
      <c r="G63" s="54" t="s">
        <v>432</v>
      </c>
      <c r="H63" s="54" t="n">
        <v>14020</v>
      </c>
      <c r="I63" s="54" t="s">
        <v>315</v>
      </c>
      <c r="J63" s="54" t="s">
        <v>433</v>
      </c>
    </row>
    <row r="64" customFormat="false" ht="15" hidden="false" customHeight="true" outlineLevel="0" collapsed="false">
      <c r="A64" s="54" t="n">
        <v>20260709</v>
      </c>
      <c r="B64" s="54" t="s">
        <v>306</v>
      </c>
      <c r="C64" s="54" t="s">
        <v>290</v>
      </c>
      <c r="D64" s="54" t="s">
        <v>429</v>
      </c>
      <c r="E64" s="54" t="s">
        <v>430</v>
      </c>
      <c r="F64" s="54" t="s">
        <v>431</v>
      </c>
      <c r="G64" s="54" t="s">
        <v>432</v>
      </c>
      <c r="H64" s="54" t="n">
        <v>14020</v>
      </c>
      <c r="I64" s="54" t="s">
        <v>295</v>
      </c>
      <c r="J64" s="54" t="s">
        <v>433</v>
      </c>
    </row>
    <row r="65" customFormat="false" ht="15" hidden="false" customHeight="true" outlineLevel="0" collapsed="false">
      <c r="A65" s="54" t="n">
        <v>20260709</v>
      </c>
      <c r="B65" s="54" t="s">
        <v>306</v>
      </c>
      <c r="C65" s="54" t="s">
        <v>290</v>
      </c>
      <c r="D65" s="54" t="s">
        <v>429</v>
      </c>
      <c r="E65" s="54" t="s">
        <v>430</v>
      </c>
      <c r="F65" s="54" t="s">
        <v>434</v>
      </c>
      <c r="G65" s="54" t="s">
        <v>330</v>
      </c>
      <c r="H65" s="54" t="n">
        <v>14213</v>
      </c>
      <c r="I65" s="54" t="s">
        <v>315</v>
      </c>
      <c r="J65" s="54" t="s">
        <v>433</v>
      </c>
    </row>
    <row r="66" customFormat="false" ht="15" hidden="false" customHeight="true" outlineLevel="0" collapsed="false">
      <c r="A66" s="54" t="n">
        <v>20260709</v>
      </c>
      <c r="B66" s="54" t="s">
        <v>306</v>
      </c>
      <c r="C66" s="54" t="s">
        <v>290</v>
      </c>
      <c r="D66" s="54" t="s">
        <v>429</v>
      </c>
      <c r="E66" s="54" t="s">
        <v>430</v>
      </c>
      <c r="F66" s="54" t="s">
        <v>434</v>
      </c>
      <c r="G66" s="54" t="s">
        <v>330</v>
      </c>
      <c r="H66" s="54" t="n">
        <v>14213</v>
      </c>
      <c r="I66" s="54" t="s">
        <v>295</v>
      </c>
      <c r="J66" s="54" t="s">
        <v>433</v>
      </c>
    </row>
    <row r="67" customFormat="false" ht="15" hidden="false" customHeight="true" outlineLevel="0" collapsed="false">
      <c r="A67" s="54" t="n">
        <v>20260709</v>
      </c>
      <c r="B67" s="54" t="s">
        <v>289</v>
      </c>
      <c r="C67" s="54" t="s">
        <v>290</v>
      </c>
      <c r="D67" s="54" t="s">
        <v>435</v>
      </c>
      <c r="E67" s="54" t="s">
        <v>436</v>
      </c>
      <c r="F67" s="54" t="s">
        <v>437</v>
      </c>
      <c r="G67" s="54" t="s">
        <v>438</v>
      </c>
      <c r="H67" s="54" t="n">
        <v>14985</v>
      </c>
      <c r="I67" s="54" t="s">
        <v>315</v>
      </c>
      <c r="J67" s="54" t="s">
        <v>439</v>
      </c>
    </row>
    <row r="68" customFormat="false" ht="15" hidden="false" customHeight="true" outlineLevel="0" collapsed="false">
      <c r="A68" s="54" t="n">
        <v>20260709</v>
      </c>
      <c r="B68" s="54" t="s">
        <v>289</v>
      </c>
      <c r="C68" s="54" t="s">
        <v>290</v>
      </c>
      <c r="D68" s="54" t="s">
        <v>435</v>
      </c>
      <c r="E68" s="54" t="s">
        <v>436</v>
      </c>
      <c r="F68" s="54" t="s">
        <v>437</v>
      </c>
      <c r="G68" s="54" t="s">
        <v>438</v>
      </c>
      <c r="H68" s="54" t="n">
        <v>14985</v>
      </c>
      <c r="I68" s="54" t="s">
        <v>295</v>
      </c>
      <c r="J68" s="54" t="s">
        <v>439</v>
      </c>
    </row>
    <row r="69" customFormat="false" ht="15" hidden="false" customHeight="true" outlineLevel="0" collapsed="false">
      <c r="A69" s="54" t="n">
        <v>20260709</v>
      </c>
      <c r="B69" s="54" t="s">
        <v>289</v>
      </c>
      <c r="C69" s="54" t="s">
        <v>290</v>
      </c>
      <c r="D69" s="54" t="s">
        <v>435</v>
      </c>
      <c r="E69" s="54" t="s">
        <v>436</v>
      </c>
      <c r="F69" s="54" t="s">
        <v>440</v>
      </c>
      <c r="G69" s="54" t="s">
        <v>441</v>
      </c>
      <c r="H69" s="54" t="n">
        <v>13880</v>
      </c>
      <c r="I69" s="54" t="s">
        <v>315</v>
      </c>
      <c r="J69" s="54" t="s">
        <v>439</v>
      </c>
    </row>
    <row r="70" customFormat="false" ht="15" hidden="false" customHeight="true" outlineLevel="0" collapsed="false">
      <c r="A70" s="54" t="n">
        <v>20260709</v>
      </c>
      <c r="B70" s="54" t="s">
        <v>289</v>
      </c>
      <c r="C70" s="54" t="s">
        <v>290</v>
      </c>
      <c r="D70" s="54" t="s">
        <v>435</v>
      </c>
      <c r="E70" s="54" t="s">
        <v>436</v>
      </c>
      <c r="F70" s="54" t="s">
        <v>440</v>
      </c>
      <c r="G70" s="54" t="s">
        <v>441</v>
      </c>
      <c r="H70" s="54" t="n">
        <v>13880</v>
      </c>
      <c r="I70" s="54" t="s">
        <v>295</v>
      </c>
      <c r="J70" s="54" t="s">
        <v>439</v>
      </c>
    </row>
    <row r="71" customFormat="false" ht="15" hidden="false" customHeight="true" outlineLevel="0" collapsed="false">
      <c r="A71" s="54" t="n">
        <v>20260709</v>
      </c>
      <c r="B71" s="54" t="s">
        <v>306</v>
      </c>
      <c r="C71" s="54" t="s">
        <v>307</v>
      </c>
      <c r="D71" s="54" t="s">
        <v>442</v>
      </c>
      <c r="E71" s="54" t="s">
        <v>443</v>
      </c>
      <c r="F71" s="54" t="s">
        <v>444</v>
      </c>
      <c r="G71" s="54" t="s">
        <v>445</v>
      </c>
      <c r="H71" s="54" t="n">
        <v>7682</v>
      </c>
      <c r="I71" s="54" t="s">
        <v>295</v>
      </c>
      <c r="J71" s="54" t="s">
        <v>312</v>
      </c>
    </row>
    <row r="72" customFormat="false" ht="15" hidden="false" customHeight="true" outlineLevel="0" collapsed="false">
      <c r="A72" s="54" t="n">
        <v>20260709</v>
      </c>
      <c r="B72" s="54" t="s">
        <v>306</v>
      </c>
      <c r="C72" s="54" t="s">
        <v>307</v>
      </c>
      <c r="D72" s="54" t="s">
        <v>442</v>
      </c>
      <c r="E72" s="54" t="s">
        <v>443</v>
      </c>
      <c r="F72" s="54" t="s">
        <v>446</v>
      </c>
      <c r="G72" s="54" t="s">
        <v>445</v>
      </c>
      <c r="H72" s="54" t="n">
        <v>7679</v>
      </c>
      <c r="I72" s="54" t="s">
        <v>315</v>
      </c>
      <c r="J72" s="54" t="s">
        <v>312</v>
      </c>
    </row>
    <row r="73" customFormat="false" ht="15" hidden="false" customHeight="true" outlineLevel="0" collapsed="false">
      <c r="A73" s="54" t="n">
        <v>20260709</v>
      </c>
      <c r="B73" s="54" t="s">
        <v>306</v>
      </c>
      <c r="C73" s="54" t="s">
        <v>307</v>
      </c>
      <c r="D73" s="54" t="s">
        <v>442</v>
      </c>
      <c r="E73" s="54" t="s">
        <v>443</v>
      </c>
      <c r="F73" s="54" t="s">
        <v>447</v>
      </c>
      <c r="G73" s="54" t="s">
        <v>448</v>
      </c>
      <c r="H73" s="54" t="n">
        <v>11476</v>
      </c>
      <c r="I73" s="54" t="s">
        <v>295</v>
      </c>
      <c r="J73" s="54" t="s">
        <v>312</v>
      </c>
    </row>
    <row r="74" customFormat="false" ht="15" hidden="false" customHeight="true" outlineLevel="0" collapsed="false">
      <c r="A74" s="54" t="n">
        <v>20260709</v>
      </c>
      <c r="B74" s="54" t="s">
        <v>306</v>
      </c>
      <c r="C74" s="54" t="s">
        <v>307</v>
      </c>
      <c r="D74" s="54" t="s">
        <v>442</v>
      </c>
      <c r="E74" s="54" t="s">
        <v>443</v>
      </c>
      <c r="F74" s="54" t="s">
        <v>449</v>
      </c>
      <c r="G74" s="54" t="s">
        <v>450</v>
      </c>
      <c r="H74" s="54" t="n">
        <v>11497</v>
      </c>
      <c r="I74" s="54" t="s">
        <v>315</v>
      </c>
      <c r="J74" s="54" t="s">
        <v>312</v>
      </c>
    </row>
    <row r="75" customFormat="false" ht="15" hidden="false" customHeight="true" outlineLevel="0" collapsed="false">
      <c r="A75" s="54" t="n">
        <v>20260709</v>
      </c>
      <c r="B75" s="54" t="s">
        <v>306</v>
      </c>
      <c r="C75" s="54" t="s">
        <v>307</v>
      </c>
      <c r="D75" s="54" t="s">
        <v>442</v>
      </c>
      <c r="E75" s="54" t="s">
        <v>443</v>
      </c>
      <c r="F75" s="54" t="s">
        <v>451</v>
      </c>
      <c r="G75" s="54" t="s">
        <v>452</v>
      </c>
      <c r="H75" s="54" t="n">
        <v>10</v>
      </c>
      <c r="I75" s="54" t="s">
        <v>295</v>
      </c>
      <c r="J75" s="54" t="s">
        <v>312</v>
      </c>
    </row>
    <row r="76" customFormat="false" ht="15" hidden="false" customHeight="true" outlineLevel="0" collapsed="false">
      <c r="A76" s="54" t="n">
        <v>20260709</v>
      </c>
      <c r="B76" s="54" t="s">
        <v>306</v>
      </c>
      <c r="C76" s="54" t="s">
        <v>307</v>
      </c>
      <c r="D76" s="54" t="s">
        <v>442</v>
      </c>
      <c r="E76" s="54" t="s">
        <v>443</v>
      </c>
      <c r="F76" s="54" t="s">
        <v>453</v>
      </c>
      <c r="G76" s="54" t="s">
        <v>454</v>
      </c>
      <c r="H76" s="54" t="n">
        <v>10266</v>
      </c>
      <c r="I76" s="54" t="s">
        <v>315</v>
      </c>
      <c r="J76" s="54" t="s">
        <v>312</v>
      </c>
    </row>
    <row r="77" customFormat="false" ht="15" hidden="false" customHeight="true" outlineLevel="0" collapsed="false">
      <c r="A77" s="54" t="n">
        <v>20260709</v>
      </c>
      <c r="B77" s="54" t="s">
        <v>306</v>
      </c>
      <c r="C77" s="54" t="s">
        <v>307</v>
      </c>
      <c r="D77" s="54" t="s">
        <v>442</v>
      </c>
      <c r="E77" s="54" t="s">
        <v>443</v>
      </c>
      <c r="F77" s="54" t="s">
        <v>453</v>
      </c>
      <c r="G77" s="54" t="s">
        <v>454</v>
      </c>
      <c r="H77" s="54" t="n">
        <v>10266</v>
      </c>
      <c r="I77" s="54" t="s">
        <v>295</v>
      </c>
      <c r="J77" s="54" t="s">
        <v>312</v>
      </c>
    </row>
    <row r="78" customFormat="false" ht="15" hidden="false" customHeight="true" outlineLevel="0" collapsed="false">
      <c r="A78" s="54" t="n">
        <v>20260709</v>
      </c>
      <c r="B78" s="54" t="s">
        <v>289</v>
      </c>
      <c r="C78" s="54" t="s">
        <v>290</v>
      </c>
      <c r="D78" s="54" t="s">
        <v>455</v>
      </c>
      <c r="E78" s="54" t="s">
        <v>456</v>
      </c>
      <c r="F78" s="54" t="s">
        <v>457</v>
      </c>
      <c r="G78" s="54" t="s">
        <v>458</v>
      </c>
      <c r="H78" s="54" t="n">
        <v>16299</v>
      </c>
      <c r="I78" s="54" t="s">
        <v>360</v>
      </c>
      <c r="J78" s="54" t="s">
        <v>459</v>
      </c>
    </row>
    <row r="79" customFormat="false" ht="15" hidden="false" customHeight="true" outlineLevel="0" collapsed="false">
      <c r="A79" s="54" t="n">
        <v>20260709</v>
      </c>
      <c r="B79" s="54" t="s">
        <v>289</v>
      </c>
      <c r="C79" s="54" t="s">
        <v>290</v>
      </c>
      <c r="D79" s="54" t="s">
        <v>455</v>
      </c>
      <c r="E79" s="54" t="s">
        <v>456</v>
      </c>
      <c r="F79" s="54" t="s">
        <v>457</v>
      </c>
      <c r="G79" s="54" t="s">
        <v>458</v>
      </c>
      <c r="H79" s="54" t="n">
        <v>16299</v>
      </c>
      <c r="I79" s="54" t="s">
        <v>295</v>
      </c>
      <c r="J79" s="54" t="s">
        <v>459</v>
      </c>
    </row>
    <row r="80" customFormat="false" ht="15" hidden="false" customHeight="true" outlineLevel="0" collapsed="false">
      <c r="A80" s="54" t="n">
        <v>20260709</v>
      </c>
      <c r="B80" s="54" t="s">
        <v>289</v>
      </c>
      <c r="C80" s="54" t="s">
        <v>290</v>
      </c>
      <c r="D80" s="54" t="s">
        <v>455</v>
      </c>
      <c r="E80" s="54" t="s">
        <v>456</v>
      </c>
      <c r="F80" s="54" t="s">
        <v>460</v>
      </c>
      <c r="G80" s="54" t="s">
        <v>461</v>
      </c>
      <c r="H80" s="54" t="n">
        <v>13088</v>
      </c>
      <c r="I80" s="54" t="s">
        <v>360</v>
      </c>
      <c r="J80" s="54" t="s">
        <v>459</v>
      </c>
    </row>
    <row r="81" customFormat="false" ht="15" hidden="false" customHeight="true" outlineLevel="0" collapsed="false">
      <c r="A81" s="54" t="n">
        <v>20260709</v>
      </c>
      <c r="B81" s="54" t="s">
        <v>289</v>
      </c>
      <c r="C81" s="54" t="s">
        <v>290</v>
      </c>
      <c r="D81" s="54" t="s">
        <v>455</v>
      </c>
      <c r="E81" s="54" t="s">
        <v>456</v>
      </c>
      <c r="F81" s="54" t="s">
        <v>460</v>
      </c>
      <c r="G81" s="54" t="s">
        <v>461</v>
      </c>
      <c r="H81" s="54" t="n">
        <v>13088</v>
      </c>
      <c r="I81" s="54" t="s">
        <v>295</v>
      </c>
      <c r="J81" s="54" t="s">
        <v>459</v>
      </c>
    </row>
    <row r="82" customFormat="false" ht="15" hidden="false" customHeight="true" outlineLevel="0" collapsed="false">
      <c r="A82" s="54" t="n">
        <v>20260709</v>
      </c>
      <c r="B82" s="54" t="s">
        <v>306</v>
      </c>
      <c r="C82" s="54" t="s">
        <v>290</v>
      </c>
      <c r="D82" s="54" t="s">
        <v>462</v>
      </c>
      <c r="E82" s="54" t="s">
        <v>463</v>
      </c>
      <c r="F82" s="54" t="s">
        <v>464</v>
      </c>
      <c r="G82" s="54" t="s">
        <v>465</v>
      </c>
      <c r="H82" s="54" t="n">
        <v>14506</v>
      </c>
      <c r="I82" s="54" t="s">
        <v>315</v>
      </c>
      <c r="J82" s="54" t="s">
        <v>352</v>
      </c>
    </row>
    <row r="83" customFormat="false" ht="15" hidden="false" customHeight="true" outlineLevel="0" collapsed="false">
      <c r="A83" s="54" t="n">
        <v>20260709</v>
      </c>
      <c r="B83" s="54" t="s">
        <v>306</v>
      </c>
      <c r="C83" s="54" t="s">
        <v>290</v>
      </c>
      <c r="D83" s="54" t="s">
        <v>462</v>
      </c>
      <c r="E83" s="54" t="s">
        <v>463</v>
      </c>
      <c r="F83" s="54" t="s">
        <v>464</v>
      </c>
      <c r="G83" s="54" t="s">
        <v>466</v>
      </c>
      <c r="H83" s="54" t="n">
        <v>14507</v>
      </c>
      <c r="I83" s="54" t="s">
        <v>295</v>
      </c>
      <c r="J83" s="54" t="s">
        <v>352</v>
      </c>
    </row>
    <row r="84" customFormat="false" ht="15" hidden="false" customHeight="true" outlineLevel="0" collapsed="false">
      <c r="A84" s="54" t="n">
        <v>20260709</v>
      </c>
      <c r="B84" s="54" t="s">
        <v>306</v>
      </c>
      <c r="C84" s="54" t="s">
        <v>290</v>
      </c>
      <c r="D84" s="54" t="s">
        <v>462</v>
      </c>
      <c r="E84" s="54" t="s">
        <v>463</v>
      </c>
      <c r="F84" s="54" t="s">
        <v>467</v>
      </c>
      <c r="G84" s="54" t="s">
        <v>468</v>
      </c>
      <c r="H84" s="54" t="n">
        <v>13179</v>
      </c>
      <c r="I84" s="54" t="s">
        <v>315</v>
      </c>
      <c r="J84" s="54" t="s">
        <v>352</v>
      </c>
    </row>
    <row r="85" customFormat="false" ht="15" hidden="false" customHeight="true" outlineLevel="0" collapsed="false">
      <c r="A85" s="54" t="n">
        <v>20260709</v>
      </c>
      <c r="B85" s="54" t="s">
        <v>306</v>
      </c>
      <c r="C85" s="54" t="s">
        <v>290</v>
      </c>
      <c r="D85" s="54" t="s">
        <v>462</v>
      </c>
      <c r="E85" s="54" t="s">
        <v>463</v>
      </c>
      <c r="F85" s="54" t="s">
        <v>467</v>
      </c>
      <c r="G85" s="54" t="s">
        <v>468</v>
      </c>
      <c r="H85" s="54" t="n">
        <v>13179</v>
      </c>
      <c r="I85" s="54" t="s">
        <v>295</v>
      </c>
      <c r="J85" s="54" t="s">
        <v>352</v>
      </c>
    </row>
    <row r="86" customFormat="false" ht="15" hidden="false" customHeight="true" outlineLevel="0" collapsed="false">
      <c r="A86" s="54" t="n">
        <v>20260709</v>
      </c>
      <c r="B86" s="54" t="s">
        <v>306</v>
      </c>
      <c r="C86" s="54" t="s">
        <v>290</v>
      </c>
      <c r="D86" s="54" t="s">
        <v>469</v>
      </c>
      <c r="E86" s="54" t="s">
        <v>470</v>
      </c>
      <c r="F86" s="54" t="s">
        <v>471</v>
      </c>
      <c r="G86" s="54" t="s">
        <v>472</v>
      </c>
      <c r="H86" s="54" t="n">
        <v>10943</v>
      </c>
      <c r="I86" s="54" t="s">
        <v>315</v>
      </c>
      <c r="J86" s="54" t="s">
        <v>473</v>
      </c>
    </row>
    <row r="87" customFormat="false" ht="15" hidden="false" customHeight="true" outlineLevel="0" collapsed="false">
      <c r="A87" s="54" t="n">
        <v>20260709</v>
      </c>
      <c r="B87" s="54" t="s">
        <v>306</v>
      </c>
      <c r="C87" s="54" t="s">
        <v>290</v>
      </c>
      <c r="D87" s="54" t="s">
        <v>469</v>
      </c>
      <c r="E87" s="54" t="s">
        <v>470</v>
      </c>
      <c r="F87" s="54" t="s">
        <v>471</v>
      </c>
      <c r="G87" s="54" t="s">
        <v>472</v>
      </c>
      <c r="H87" s="54" t="n">
        <v>10943</v>
      </c>
      <c r="I87" s="54" t="s">
        <v>295</v>
      </c>
      <c r="J87" s="54" t="s">
        <v>473</v>
      </c>
    </row>
    <row r="88" customFormat="false" ht="15" hidden="false" customHeight="true" outlineLevel="0" collapsed="false">
      <c r="A88" s="54" t="n">
        <v>20260709</v>
      </c>
      <c r="B88" s="54" t="s">
        <v>306</v>
      </c>
      <c r="C88" s="54" t="s">
        <v>290</v>
      </c>
      <c r="D88" s="54" t="s">
        <v>469</v>
      </c>
      <c r="E88" s="54" t="s">
        <v>470</v>
      </c>
      <c r="F88" s="54" t="s">
        <v>474</v>
      </c>
      <c r="G88" s="54" t="s">
        <v>475</v>
      </c>
      <c r="H88" s="54" t="n">
        <v>15895</v>
      </c>
      <c r="I88" s="54" t="s">
        <v>315</v>
      </c>
      <c r="J88" s="54" t="s">
        <v>473</v>
      </c>
    </row>
    <row r="89" customFormat="false" ht="15" hidden="false" customHeight="true" outlineLevel="0" collapsed="false">
      <c r="A89" s="54" t="n">
        <v>20260709</v>
      </c>
      <c r="B89" s="54" t="s">
        <v>306</v>
      </c>
      <c r="C89" s="54" t="s">
        <v>290</v>
      </c>
      <c r="D89" s="54" t="s">
        <v>469</v>
      </c>
      <c r="E89" s="54" t="s">
        <v>470</v>
      </c>
      <c r="F89" s="54" t="s">
        <v>474</v>
      </c>
      <c r="G89" s="54" t="s">
        <v>475</v>
      </c>
      <c r="H89" s="54" t="n">
        <v>15895</v>
      </c>
      <c r="I89" s="54" t="s">
        <v>295</v>
      </c>
      <c r="J89" s="54" t="s">
        <v>473</v>
      </c>
    </row>
    <row r="90" customFormat="false" ht="15" hidden="false" customHeight="true" outlineLevel="0" collapsed="false">
      <c r="A90" s="54" t="n">
        <v>20260709</v>
      </c>
      <c r="B90" s="54" t="s">
        <v>306</v>
      </c>
      <c r="C90" s="54" t="s">
        <v>290</v>
      </c>
      <c r="D90" s="54" t="s">
        <v>469</v>
      </c>
      <c r="E90" s="54" t="s">
        <v>470</v>
      </c>
      <c r="F90" s="54" t="s">
        <v>476</v>
      </c>
      <c r="G90" s="54" t="s">
        <v>477</v>
      </c>
      <c r="H90" s="54" t="n">
        <v>6303</v>
      </c>
      <c r="I90" s="54" t="s">
        <v>295</v>
      </c>
      <c r="J90" s="54" t="s">
        <v>473</v>
      </c>
    </row>
    <row r="91" customFormat="false" ht="15" hidden="false" customHeight="true" outlineLevel="0" collapsed="false">
      <c r="A91" s="54" t="n">
        <v>20260709</v>
      </c>
      <c r="B91" s="54" t="s">
        <v>306</v>
      </c>
      <c r="C91" s="54" t="s">
        <v>290</v>
      </c>
      <c r="D91" s="54" t="s">
        <v>469</v>
      </c>
      <c r="E91" s="54" t="s">
        <v>470</v>
      </c>
      <c r="F91" s="54" t="s">
        <v>478</v>
      </c>
      <c r="G91" s="54" t="s">
        <v>479</v>
      </c>
      <c r="H91" s="54" t="n">
        <v>6305</v>
      </c>
      <c r="I91" s="54" t="s">
        <v>315</v>
      </c>
      <c r="J91" s="54" t="s">
        <v>473</v>
      </c>
    </row>
    <row r="92" customFormat="false" ht="15" hidden="false" customHeight="true" outlineLevel="0" collapsed="false">
      <c r="A92" s="54" t="n">
        <v>20260709</v>
      </c>
      <c r="B92" s="54" t="s">
        <v>289</v>
      </c>
      <c r="C92" s="54" t="s">
        <v>290</v>
      </c>
      <c r="D92" s="54" t="s">
        <v>480</v>
      </c>
      <c r="E92" s="54" t="s">
        <v>481</v>
      </c>
      <c r="F92" s="54" t="s">
        <v>482</v>
      </c>
      <c r="G92" s="54" t="s">
        <v>483</v>
      </c>
      <c r="H92" s="54" t="n">
        <v>10636</v>
      </c>
      <c r="I92" s="54" t="s">
        <v>360</v>
      </c>
      <c r="J92" s="54" t="s">
        <v>484</v>
      </c>
    </row>
    <row r="93" customFormat="false" ht="15" hidden="false" customHeight="true" outlineLevel="0" collapsed="false">
      <c r="A93" s="54" t="n">
        <v>20260709</v>
      </c>
      <c r="B93" s="54" t="s">
        <v>289</v>
      </c>
      <c r="C93" s="54" t="s">
        <v>290</v>
      </c>
      <c r="D93" s="54" t="s">
        <v>480</v>
      </c>
      <c r="E93" s="54" t="s">
        <v>481</v>
      </c>
      <c r="F93" s="54" t="s">
        <v>482</v>
      </c>
      <c r="G93" s="54" t="s">
        <v>483</v>
      </c>
      <c r="H93" s="54" t="n">
        <v>10636</v>
      </c>
      <c r="I93" s="54" t="s">
        <v>295</v>
      </c>
      <c r="J93" s="54" t="s">
        <v>484</v>
      </c>
    </row>
    <row r="94" customFormat="false" ht="15" hidden="false" customHeight="true" outlineLevel="0" collapsed="false">
      <c r="A94" s="54" t="n">
        <v>20260709</v>
      </c>
      <c r="B94" s="54" t="s">
        <v>289</v>
      </c>
      <c r="C94" s="54" t="s">
        <v>290</v>
      </c>
      <c r="D94" s="54" t="s">
        <v>480</v>
      </c>
      <c r="E94" s="54" t="s">
        <v>481</v>
      </c>
      <c r="F94" s="54" t="s">
        <v>485</v>
      </c>
      <c r="G94" s="54" t="s">
        <v>486</v>
      </c>
      <c r="H94" s="54" t="n">
        <v>4192</v>
      </c>
      <c r="I94" s="54" t="s">
        <v>295</v>
      </c>
      <c r="J94" s="54" t="s">
        <v>484</v>
      </c>
    </row>
    <row r="95" customFormat="false" ht="15" hidden="false" customHeight="true" outlineLevel="0" collapsed="false">
      <c r="A95" s="54" t="n">
        <v>20260709</v>
      </c>
      <c r="B95" s="54" t="s">
        <v>289</v>
      </c>
      <c r="C95" s="54" t="s">
        <v>290</v>
      </c>
      <c r="D95" s="54" t="s">
        <v>480</v>
      </c>
      <c r="E95" s="54" t="s">
        <v>481</v>
      </c>
      <c r="F95" s="54" t="s">
        <v>487</v>
      </c>
      <c r="G95" s="54" t="s">
        <v>488</v>
      </c>
      <c r="H95" s="54" t="n">
        <v>15059</v>
      </c>
      <c r="I95" s="54" t="s">
        <v>360</v>
      </c>
      <c r="J95" s="54" t="s">
        <v>484</v>
      </c>
    </row>
    <row r="96" customFormat="false" ht="15" hidden="false" customHeight="true" outlineLevel="0" collapsed="false">
      <c r="A96" s="54" t="n">
        <v>20260709</v>
      </c>
      <c r="B96" s="54" t="s">
        <v>289</v>
      </c>
      <c r="C96" s="54" t="s">
        <v>290</v>
      </c>
      <c r="D96" s="54" t="s">
        <v>480</v>
      </c>
      <c r="E96" s="54" t="s">
        <v>481</v>
      </c>
      <c r="F96" s="54" t="s">
        <v>487</v>
      </c>
      <c r="G96" s="54" t="s">
        <v>488</v>
      </c>
      <c r="H96" s="54" t="n">
        <v>15059</v>
      </c>
      <c r="I96" s="54" t="s">
        <v>295</v>
      </c>
      <c r="J96" s="54" t="s">
        <v>484</v>
      </c>
    </row>
    <row r="97" customFormat="false" ht="15" hidden="false" customHeight="true" outlineLevel="0" collapsed="false">
      <c r="A97" s="54" t="n">
        <v>20260709</v>
      </c>
      <c r="B97" s="54" t="s">
        <v>289</v>
      </c>
      <c r="C97" s="54" t="s">
        <v>290</v>
      </c>
      <c r="D97" s="54" t="s">
        <v>480</v>
      </c>
      <c r="E97" s="54" t="s">
        <v>481</v>
      </c>
      <c r="F97" s="54" t="s">
        <v>489</v>
      </c>
      <c r="G97" s="54" t="s">
        <v>490</v>
      </c>
      <c r="H97" s="54" t="n">
        <v>6624</v>
      </c>
      <c r="I97" s="54" t="s">
        <v>360</v>
      </c>
      <c r="J97" s="54" t="s">
        <v>484</v>
      </c>
    </row>
    <row r="98" customFormat="false" ht="15" hidden="false" customHeight="true" outlineLevel="0" collapsed="false">
      <c r="A98" s="54" t="n">
        <v>20260709</v>
      </c>
      <c r="B98" s="54" t="s">
        <v>289</v>
      </c>
      <c r="C98" s="54" t="s">
        <v>290</v>
      </c>
      <c r="D98" s="54" t="s">
        <v>491</v>
      </c>
      <c r="E98" s="54" t="s">
        <v>492</v>
      </c>
      <c r="F98" s="54" t="s">
        <v>493</v>
      </c>
      <c r="G98" s="54" t="s">
        <v>494</v>
      </c>
      <c r="H98" s="54" t="n">
        <v>18864</v>
      </c>
      <c r="I98" s="54" t="s">
        <v>295</v>
      </c>
      <c r="J98" s="54" t="s">
        <v>414</v>
      </c>
    </row>
    <row r="99" customFormat="false" ht="15" hidden="false" customHeight="true" outlineLevel="0" collapsed="false">
      <c r="A99" s="54" t="n">
        <v>20260709</v>
      </c>
      <c r="B99" s="54" t="s">
        <v>289</v>
      </c>
      <c r="C99" s="54" t="s">
        <v>290</v>
      </c>
      <c r="D99" s="54" t="s">
        <v>491</v>
      </c>
      <c r="E99" s="54" t="s">
        <v>492</v>
      </c>
      <c r="F99" s="54" t="s">
        <v>495</v>
      </c>
      <c r="G99" s="54" t="s">
        <v>496</v>
      </c>
      <c r="H99" s="54" t="n">
        <v>14620</v>
      </c>
      <c r="I99" s="54" t="s">
        <v>295</v>
      </c>
      <c r="J99" s="54" t="s">
        <v>414</v>
      </c>
    </row>
    <row r="100" customFormat="false" ht="15" hidden="false" customHeight="true" outlineLevel="0" collapsed="false">
      <c r="A100" s="54" t="n">
        <v>20260710</v>
      </c>
      <c r="B100" s="54" t="s">
        <v>497</v>
      </c>
      <c r="C100" s="54" t="s">
        <v>307</v>
      </c>
      <c r="D100" s="54" t="s">
        <v>498</v>
      </c>
      <c r="E100" s="54" t="s">
        <v>499</v>
      </c>
      <c r="F100" s="54" t="s">
        <v>500</v>
      </c>
      <c r="G100" s="54" t="s">
        <v>501</v>
      </c>
      <c r="H100" s="54" t="n">
        <v>17208</v>
      </c>
      <c r="I100" s="54" t="s">
        <v>295</v>
      </c>
      <c r="J100" s="54" t="s">
        <v>502</v>
      </c>
    </row>
    <row r="101" customFormat="false" ht="15" hidden="false" customHeight="true" outlineLevel="0" collapsed="false">
      <c r="A101" s="54" t="n">
        <v>20260710</v>
      </c>
      <c r="B101" s="54" t="s">
        <v>497</v>
      </c>
      <c r="C101" s="54" t="s">
        <v>307</v>
      </c>
      <c r="D101" s="54" t="s">
        <v>498</v>
      </c>
      <c r="E101" s="54" t="s">
        <v>499</v>
      </c>
      <c r="F101" s="54" t="s">
        <v>503</v>
      </c>
      <c r="G101" s="54" t="s">
        <v>504</v>
      </c>
      <c r="H101" s="54" t="n">
        <v>12821</v>
      </c>
      <c r="I101" s="54" t="s">
        <v>295</v>
      </c>
      <c r="J101" s="54" t="s">
        <v>502</v>
      </c>
    </row>
    <row r="102" customFormat="false" ht="15" hidden="false" customHeight="true" outlineLevel="0" collapsed="false">
      <c r="A102" s="54" t="n">
        <v>20260710</v>
      </c>
      <c r="B102" s="54" t="s">
        <v>289</v>
      </c>
      <c r="C102" s="54" t="s">
        <v>290</v>
      </c>
      <c r="D102" s="54" t="s">
        <v>505</v>
      </c>
      <c r="E102" s="54" t="s">
        <v>506</v>
      </c>
      <c r="F102" s="54" t="s">
        <v>507</v>
      </c>
      <c r="G102" s="54" t="s">
        <v>508</v>
      </c>
      <c r="H102" s="54" t="n">
        <v>15166</v>
      </c>
      <c r="I102" s="54" t="s">
        <v>295</v>
      </c>
      <c r="J102" s="54" t="s">
        <v>509</v>
      </c>
    </row>
    <row r="103" customFormat="false" ht="15" hidden="false" customHeight="true" outlineLevel="0" collapsed="false">
      <c r="A103" s="54" t="n">
        <v>20260710</v>
      </c>
      <c r="B103" s="54" t="s">
        <v>289</v>
      </c>
      <c r="C103" s="54" t="s">
        <v>290</v>
      </c>
      <c r="D103" s="54" t="s">
        <v>505</v>
      </c>
      <c r="E103" s="54" t="s">
        <v>506</v>
      </c>
      <c r="F103" s="54" t="s">
        <v>510</v>
      </c>
      <c r="G103" s="54" t="s">
        <v>511</v>
      </c>
      <c r="H103" s="54" t="n">
        <v>13681</v>
      </c>
      <c r="I103" s="54" t="s">
        <v>295</v>
      </c>
      <c r="J103" s="54" t="s">
        <v>509</v>
      </c>
    </row>
    <row r="104" customFormat="false" ht="15" hidden="false" customHeight="true" outlineLevel="0" collapsed="false">
      <c r="A104" s="54" t="n">
        <v>20260710</v>
      </c>
      <c r="B104" s="54" t="s">
        <v>168</v>
      </c>
      <c r="C104" s="54" t="s">
        <v>290</v>
      </c>
      <c r="D104" s="54" t="s">
        <v>512</v>
      </c>
      <c r="E104" s="54" t="s">
        <v>513</v>
      </c>
      <c r="F104" s="54" t="s">
        <v>514</v>
      </c>
      <c r="G104" s="54" t="s">
        <v>515</v>
      </c>
      <c r="H104" s="54" t="n">
        <v>28800</v>
      </c>
      <c r="I104" s="54" t="s">
        <v>295</v>
      </c>
      <c r="J104" s="54" t="s">
        <v>516</v>
      </c>
    </row>
    <row r="105" customFormat="false" ht="15" hidden="false" customHeight="true" outlineLevel="0" collapsed="false">
      <c r="A105" s="54" t="n">
        <v>20260710</v>
      </c>
      <c r="B105" s="54" t="s">
        <v>168</v>
      </c>
      <c r="C105" s="54" t="s">
        <v>290</v>
      </c>
      <c r="D105" s="54" t="s">
        <v>512</v>
      </c>
      <c r="E105" s="54" t="s">
        <v>513</v>
      </c>
      <c r="F105" s="54" t="s">
        <v>517</v>
      </c>
      <c r="G105" s="54" t="s">
        <v>518</v>
      </c>
      <c r="H105" s="54" t="n">
        <v>234</v>
      </c>
      <c r="I105" s="54" t="s">
        <v>295</v>
      </c>
      <c r="J105" s="54" t="s">
        <v>516</v>
      </c>
    </row>
    <row r="106" customFormat="false" ht="15" hidden="false" customHeight="true" outlineLevel="0" collapsed="false">
      <c r="A106" s="54" t="n">
        <v>20260710</v>
      </c>
      <c r="B106" s="54" t="s">
        <v>306</v>
      </c>
      <c r="C106" s="54" t="s">
        <v>307</v>
      </c>
      <c r="D106" s="54" t="s">
        <v>519</v>
      </c>
      <c r="E106" s="54" t="s">
        <v>520</v>
      </c>
      <c r="F106" s="54" t="s">
        <v>521</v>
      </c>
      <c r="G106" s="54" t="s">
        <v>522</v>
      </c>
      <c r="H106" s="54" t="n">
        <v>30</v>
      </c>
      <c r="I106" s="54" t="s">
        <v>315</v>
      </c>
      <c r="J106" s="54" t="s">
        <v>312</v>
      </c>
    </row>
    <row r="107" customFormat="false" ht="15" hidden="false" customHeight="true" outlineLevel="0" collapsed="false">
      <c r="A107" s="54" t="n">
        <v>20260710</v>
      </c>
      <c r="B107" s="54" t="s">
        <v>306</v>
      </c>
      <c r="C107" s="54" t="s">
        <v>307</v>
      </c>
      <c r="D107" s="54" t="s">
        <v>519</v>
      </c>
      <c r="E107" s="54" t="s">
        <v>520</v>
      </c>
      <c r="F107" s="54" t="s">
        <v>521</v>
      </c>
      <c r="G107" s="54" t="s">
        <v>522</v>
      </c>
      <c r="H107" s="54" t="n">
        <v>30</v>
      </c>
      <c r="I107" s="54" t="s">
        <v>295</v>
      </c>
      <c r="J107" s="54" t="s">
        <v>312</v>
      </c>
    </row>
    <row r="108" customFormat="false" ht="15" hidden="false" customHeight="true" outlineLevel="0" collapsed="false">
      <c r="A108" s="54" t="n">
        <v>20260710</v>
      </c>
      <c r="B108" s="54" t="s">
        <v>306</v>
      </c>
      <c r="C108" s="54" t="s">
        <v>307</v>
      </c>
      <c r="D108" s="54" t="s">
        <v>519</v>
      </c>
      <c r="E108" s="54" t="s">
        <v>520</v>
      </c>
      <c r="F108" s="54" t="s">
        <v>523</v>
      </c>
      <c r="G108" s="54" t="s">
        <v>524</v>
      </c>
      <c r="H108" s="54" t="n">
        <v>18356</v>
      </c>
      <c r="I108" s="54" t="s">
        <v>295</v>
      </c>
      <c r="J108" s="54" t="s">
        <v>312</v>
      </c>
    </row>
    <row r="109" customFormat="false" ht="15" hidden="false" customHeight="true" outlineLevel="0" collapsed="false">
      <c r="A109" s="54" t="n">
        <v>20260710</v>
      </c>
      <c r="B109" s="54" t="s">
        <v>306</v>
      </c>
      <c r="C109" s="54" t="s">
        <v>307</v>
      </c>
      <c r="D109" s="54" t="s">
        <v>519</v>
      </c>
      <c r="E109" s="54" t="s">
        <v>520</v>
      </c>
      <c r="F109" s="54" t="s">
        <v>523</v>
      </c>
      <c r="G109" s="54" t="s">
        <v>525</v>
      </c>
      <c r="H109" s="54" t="n">
        <v>18357</v>
      </c>
      <c r="I109" s="54" t="s">
        <v>315</v>
      </c>
      <c r="J109" s="54" t="s">
        <v>312</v>
      </c>
    </row>
    <row r="110" customFormat="false" ht="15" hidden="false" customHeight="true" outlineLevel="0" collapsed="false">
      <c r="A110" s="54" t="n">
        <v>20260710</v>
      </c>
      <c r="B110" s="54" t="s">
        <v>306</v>
      </c>
      <c r="C110" s="54" t="s">
        <v>307</v>
      </c>
      <c r="D110" s="54" t="s">
        <v>519</v>
      </c>
      <c r="E110" s="54" t="s">
        <v>520</v>
      </c>
      <c r="F110" s="54" t="s">
        <v>526</v>
      </c>
      <c r="G110" s="54" t="s">
        <v>527</v>
      </c>
      <c r="H110" s="54" t="n">
        <v>60</v>
      </c>
      <c r="I110" s="54" t="s">
        <v>295</v>
      </c>
      <c r="J110" s="54" t="s">
        <v>312</v>
      </c>
    </row>
    <row r="111" customFormat="false" ht="15" hidden="false" customHeight="true" outlineLevel="0" collapsed="false">
      <c r="A111" s="54" t="n">
        <v>20260710</v>
      </c>
      <c r="B111" s="54" t="s">
        <v>306</v>
      </c>
      <c r="C111" s="54" t="s">
        <v>307</v>
      </c>
      <c r="D111" s="54" t="s">
        <v>519</v>
      </c>
      <c r="E111" s="54" t="s">
        <v>520</v>
      </c>
      <c r="F111" s="54" t="s">
        <v>528</v>
      </c>
      <c r="G111" s="54" t="s">
        <v>527</v>
      </c>
      <c r="H111" s="54" t="n">
        <v>59</v>
      </c>
      <c r="I111" s="54" t="s">
        <v>315</v>
      </c>
      <c r="J111" s="54" t="s">
        <v>312</v>
      </c>
    </row>
    <row r="112" customFormat="false" ht="15" hidden="false" customHeight="true" outlineLevel="0" collapsed="false">
      <c r="A112" s="54" t="n">
        <v>20260710</v>
      </c>
      <c r="B112" s="54" t="s">
        <v>306</v>
      </c>
      <c r="C112" s="54" t="s">
        <v>307</v>
      </c>
      <c r="D112" s="54" t="s">
        <v>519</v>
      </c>
      <c r="E112" s="54" t="s">
        <v>520</v>
      </c>
      <c r="F112" s="54" t="s">
        <v>529</v>
      </c>
      <c r="G112" s="54" t="s">
        <v>530</v>
      </c>
      <c r="H112" s="54" t="n">
        <v>455</v>
      </c>
      <c r="I112" s="54" t="s">
        <v>295</v>
      </c>
      <c r="J112" s="54" t="s">
        <v>312</v>
      </c>
    </row>
    <row r="113" customFormat="false" ht="15" hidden="false" customHeight="true" outlineLevel="0" collapsed="false">
      <c r="A113" s="54" t="n">
        <v>20260710</v>
      </c>
      <c r="B113" s="54" t="s">
        <v>306</v>
      </c>
      <c r="C113" s="54" t="s">
        <v>307</v>
      </c>
      <c r="D113" s="54" t="s">
        <v>519</v>
      </c>
      <c r="E113" s="54" t="s">
        <v>520</v>
      </c>
      <c r="F113" s="54" t="s">
        <v>529</v>
      </c>
      <c r="G113" s="54" t="s">
        <v>531</v>
      </c>
      <c r="H113" s="54" t="n">
        <v>486</v>
      </c>
      <c r="I113" s="54" t="s">
        <v>315</v>
      </c>
      <c r="J113" s="54" t="s">
        <v>312</v>
      </c>
    </row>
    <row r="114" customFormat="false" ht="15" hidden="false" customHeight="true" outlineLevel="0" collapsed="false">
      <c r="A114" s="54" t="n">
        <v>20260710</v>
      </c>
      <c r="B114" s="54" t="s">
        <v>306</v>
      </c>
      <c r="C114" s="54" t="s">
        <v>307</v>
      </c>
      <c r="D114" s="54" t="s">
        <v>519</v>
      </c>
      <c r="E114" s="54" t="s">
        <v>520</v>
      </c>
      <c r="F114" s="54" t="s">
        <v>532</v>
      </c>
      <c r="G114" s="54" t="s">
        <v>533</v>
      </c>
      <c r="H114" s="54" t="n">
        <v>13685</v>
      </c>
      <c r="I114" s="54" t="s">
        <v>295</v>
      </c>
      <c r="J114" s="54" t="s">
        <v>312</v>
      </c>
    </row>
    <row r="115" customFormat="false" ht="15" hidden="false" customHeight="true" outlineLevel="0" collapsed="false">
      <c r="A115" s="54" t="n">
        <v>20260710</v>
      </c>
      <c r="B115" s="54" t="s">
        <v>306</v>
      </c>
      <c r="C115" s="54" t="s">
        <v>307</v>
      </c>
      <c r="D115" s="54" t="s">
        <v>519</v>
      </c>
      <c r="E115" s="54" t="s">
        <v>520</v>
      </c>
      <c r="F115" s="54" t="s">
        <v>534</v>
      </c>
      <c r="G115" s="54" t="s">
        <v>533</v>
      </c>
      <c r="H115" s="54" t="n">
        <v>13684</v>
      </c>
      <c r="I115" s="54" t="s">
        <v>315</v>
      </c>
      <c r="J115" s="54" t="s">
        <v>312</v>
      </c>
    </row>
    <row r="116" customFormat="false" ht="15" hidden="false" customHeight="true" outlineLevel="0" collapsed="false">
      <c r="A116" s="54" t="n">
        <v>20260710</v>
      </c>
      <c r="B116" s="54" t="s">
        <v>535</v>
      </c>
      <c r="C116" s="54" t="s">
        <v>307</v>
      </c>
      <c r="D116" s="54" t="s">
        <v>536</v>
      </c>
      <c r="E116" s="54" t="s">
        <v>537</v>
      </c>
      <c r="F116" s="54" t="s">
        <v>538</v>
      </c>
      <c r="G116" s="54" t="s">
        <v>539</v>
      </c>
      <c r="H116" s="54" t="n">
        <v>10832</v>
      </c>
      <c r="I116" s="54" t="s">
        <v>295</v>
      </c>
      <c r="J116" s="54" t="s">
        <v>540</v>
      </c>
    </row>
    <row r="117" customFormat="false" ht="15" hidden="false" customHeight="true" outlineLevel="0" collapsed="false">
      <c r="A117" s="54" t="n">
        <v>20260710</v>
      </c>
      <c r="B117" s="54" t="s">
        <v>535</v>
      </c>
      <c r="C117" s="54" t="s">
        <v>307</v>
      </c>
      <c r="D117" s="54" t="s">
        <v>536</v>
      </c>
      <c r="E117" s="54" t="s">
        <v>537</v>
      </c>
      <c r="F117" s="54" t="s">
        <v>541</v>
      </c>
      <c r="G117" s="54" t="s">
        <v>542</v>
      </c>
      <c r="H117" s="54" t="n">
        <v>15930</v>
      </c>
      <c r="I117" s="54" t="s">
        <v>295</v>
      </c>
      <c r="J117" s="54" t="s">
        <v>540</v>
      </c>
    </row>
    <row r="118" customFormat="false" ht="15" hidden="false" customHeight="true" outlineLevel="0" collapsed="false">
      <c r="A118" s="54" t="n">
        <v>20260710</v>
      </c>
      <c r="B118" s="54" t="s">
        <v>535</v>
      </c>
      <c r="C118" s="54" t="s">
        <v>307</v>
      </c>
      <c r="D118" s="54" t="s">
        <v>536</v>
      </c>
      <c r="E118" s="54" t="s">
        <v>537</v>
      </c>
      <c r="F118" s="54" t="s">
        <v>543</v>
      </c>
      <c r="G118" s="54" t="s">
        <v>544</v>
      </c>
      <c r="H118" s="54" t="n">
        <v>1382</v>
      </c>
      <c r="I118" s="54" t="s">
        <v>295</v>
      </c>
      <c r="J118" s="54" t="s">
        <v>540</v>
      </c>
    </row>
    <row r="119" customFormat="false" ht="15" hidden="false" customHeight="true" outlineLevel="0" collapsed="false">
      <c r="A119" s="54" t="n">
        <v>20260710</v>
      </c>
      <c r="B119" s="54" t="s">
        <v>289</v>
      </c>
      <c r="C119" s="54" t="s">
        <v>290</v>
      </c>
      <c r="D119" s="54" t="s">
        <v>291</v>
      </c>
      <c r="E119" s="54" t="s">
        <v>292</v>
      </c>
      <c r="F119" s="54" t="s">
        <v>545</v>
      </c>
      <c r="G119" s="54" t="s">
        <v>546</v>
      </c>
      <c r="H119" s="54" t="n">
        <v>7690</v>
      </c>
      <c r="I119" s="54" t="s">
        <v>295</v>
      </c>
      <c r="J119" s="54" t="s">
        <v>296</v>
      </c>
    </row>
    <row r="120" customFormat="false" ht="15" hidden="false" customHeight="true" outlineLevel="0" collapsed="false">
      <c r="A120" s="54" t="n">
        <v>20260710</v>
      </c>
      <c r="B120" s="54" t="s">
        <v>289</v>
      </c>
      <c r="C120" s="54" t="s">
        <v>290</v>
      </c>
      <c r="D120" s="54" t="s">
        <v>291</v>
      </c>
      <c r="E120" s="54" t="s">
        <v>292</v>
      </c>
      <c r="F120" s="54" t="s">
        <v>547</v>
      </c>
      <c r="G120" s="54" t="s">
        <v>548</v>
      </c>
      <c r="H120" s="54" t="n">
        <v>60</v>
      </c>
      <c r="I120" s="54" t="s">
        <v>295</v>
      </c>
      <c r="J120" s="54" t="s">
        <v>296</v>
      </c>
    </row>
    <row r="121" customFormat="false" ht="15" hidden="false" customHeight="true" outlineLevel="0" collapsed="false">
      <c r="A121" s="54" t="n">
        <v>20260710</v>
      </c>
      <c r="B121" s="54" t="s">
        <v>289</v>
      </c>
      <c r="C121" s="54" t="s">
        <v>290</v>
      </c>
      <c r="D121" s="54" t="s">
        <v>291</v>
      </c>
      <c r="E121" s="54" t="s">
        <v>292</v>
      </c>
      <c r="F121" s="54" t="s">
        <v>549</v>
      </c>
      <c r="G121" s="54" t="s">
        <v>550</v>
      </c>
      <c r="H121" s="54" t="n">
        <v>26476</v>
      </c>
      <c r="I121" s="54" t="s">
        <v>295</v>
      </c>
      <c r="J121" s="54" t="s">
        <v>296</v>
      </c>
    </row>
    <row r="122" customFormat="false" ht="15" hidden="false" customHeight="true" outlineLevel="0" collapsed="false">
      <c r="A122" s="54" t="n">
        <v>20260710</v>
      </c>
      <c r="B122" s="54" t="s">
        <v>306</v>
      </c>
      <c r="C122" s="54" t="s">
        <v>290</v>
      </c>
      <c r="D122" s="54" t="s">
        <v>551</v>
      </c>
      <c r="E122" s="54" t="s">
        <v>552</v>
      </c>
      <c r="F122" s="54" t="s">
        <v>553</v>
      </c>
      <c r="G122" s="54" t="s">
        <v>554</v>
      </c>
      <c r="H122" s="54" t="n">
        <v>460</v>
      </c>
      <c r="I122" s="54" t="s">
        <v>295</v>
      </c>
      <c r="J122" s="54" t="s">
        <v>368</v>
      </c>
    </row>
    <row r="123" customFormat="false" ht="15" hidden="false" customHeight="true" outlineLevel="0" collapsed="false">
      <c r="A123" s="54" t="n">
        <v>20260710</v>
      </c>
      <c r="B123" s="54" t="s">
        <v>306</v>
      </c>
      <c r="C123" s="54" t="s">
        <v>290</v>
      </c>
      <c r="D123" s="54" t="s">
        <v>551</v>
      </c>
      <c r="E123" s="54" t="s">
        <v>552</v>
      </c>
      <c r="F123" s="54" t="s">
        <v>555</v>
      </c>
      <c r="G123" s="54" t="s">
        <v>556</v>
      </c>
      <c r="H123" s="54" t="n">
        <v>322</v>
      </c>
      <c r="I123" s="54" t="s">
        <v>315</v>
      </c>
      <c r="J123" s="54" t="s">
        <v>368</v>
      </c>
    </row>
    <row r="124" customFormat="false" ht="15" hidden="false" customHeight="true" outlineLevel="0" collapsed="false">
      <c r="A124" s="54" t="n">
        <v>20260710</v>
      </c>
      <c r="B124" s="54" t="s">
        <v>306</v>
      </c>
      <c r="C124" s="54" t="s">
        <v>290</v>
      </c>
      <c r="D124" s="54" t="s">
        <v>551</v>
      </c>
      <c r="E124" s="54" t="s">
        <v>552</v>
      </c>
      <c r="F124" s="54" t="s">
        <v>557</v>
      </c>
      <c r="G124" s="54" t="s">
        <v>558</v>
      </c>
      <c r="H124" s="54" t="n">
        <v>35</v>
      </c>
      <c r="I124" s="54" t="s">
        <v>295</v>
      </c>
      <c r="J124" s="54" t="s">
        <v>368</v>
      </c>
    </row>
    <row r="125" customFormat="false" ht="15" hidden="false" customHeight="true" outlineLevel="0" collapsed="false">
      <c r="A125" s="54" t="n">
        <v>20260710</v>
      </c>
      <c r="B125" s="54" t="s">
        <v>306</v>
      </c>
      <c r="C125" s="54" t="s">
        <v>290</v>
      </c>
      <c r="D125" s="54" t="s">
        <v>551</v>
      </c>
      <c r="E125" s="54" t="s">
        <v>552</v>
      </c>
      <c r="F125" s="54" t="s">
        <v>559</v>
      </c>
      <c r="G125" s="54" t="s">
        <v>560</v>
      </c>
      <c r="H125" s="54" t="n">
        <v>24280</v>
      </c>
      <c r="I125" s="54" t="s">
        <v>295</v>
      </c>
      <c r="J125" s="54" t="s">
        <v>368</v>
      </c>
    </row>
    <row r="126" customFormat="false" ht="15" hidden="false" customHeight="true" outlineLevel="0" collapsed="false">
      <c r="A126" s="54" t="n">
        <v>20260710</v>
      </c>
      <c r="B126" s="54" t="s">
        <v>306</v>
      </c>
      <c r="C126" s="54" t="s">
        <v>290</v>
      </c>
      <c r="D126" s="54" t="s">
        <v>551</v>
      </c>
      <c r="E126" s="54" t="s">
        <v>552</v>
      </c>
      <c r="F126" s="54" t="s">
        <v>561</v>
      </c>
      <c r="G126" s="54" t="s">
        <v>560</v>
      </c>
      <c r="H126" s="54" t="n">
        <v>24279</v>
      </c>
      <c r="I126" s="54" t="s">
        <v>315</v>
      </c>
      <c r="J126" s="54" t="s">
        <v>368</v>
      </c>
    </row>
    <row r="127" customFormat="false" ht="15" hidden="false" customHeight="true" outlineLevel="0" collapsed="false">
      <c r="A127" s="54" t="n">
        <v>20260710</v>
      </c>
      <c r="B127" s="54" t="s">
        <v>306</v>
      </c>
      <c r="C127" s="54" t="s">
        <v>290</v>
      </c>
      <c r="D127" s="54" t="s">
        <v>551</v>
      </c>
      <c r="E127" s="54" t="s">
        <v>552</v>
      </c>
      <c r="F127" s="54" t="s">
        <v>562</v>
      </c>
      <c r="G127" s="54" t="s">
        <v>563</v>
      </c>
      <c r="H127" s="54" t="n">
        <v>3730</v>
      </c>
      <c r="I127" s="54" t="s">
        <v>295</v>
      </c>
      <c r="J127" s="54" t="s">
        <v>368</v>
      </c>
    </row>
    <row r="128" customFormat="false" ht="15" hidden="false" customHeight="true" outlineLevel="0" collapsed="false">
      <c r="A128" s="54" t="n">
        <v>20260710</v>
      </c>
      <c r="B128" s="54" t="s">
        <v>306</v>
      </c>
      <c r="C128" s="54" t="s">
        <v>290</v>
      </c>
      <c r="D128" s="54" t="s">
        <v>551</v>
      </c>
      <c r="E128" s="54" t="s">
        <v>552</v>
      </c>
      <c r="F128" s="54" t="s">
        <v>564</v>
      </c>
      <c r="G128" s="54" t="s">
        <v>563</v>
      </c>
      <c r="H128" s="54" t="n">
        <v>3729</v>
      </c>
      <c r="I128" s="54" t="s">
        <v>315</v>
      </c>
      <c r="J128" s="54" t="s">
        <v>368</v>
      </c>
    </row>
    <row r="129" customFormat="false" ht="15" hidden="false" customHeight="true" outlineLevel="0" collapsed="false">
      <c r="A129" s="54" t="n">
        <v>20260710</v>
      </c>
      <c r="B129" s="54" t="s">
        <v>289</v>
      </c>
      <c r="C129" s="54" t="s">
        <v>290</v>
      </c>
      <c r="D129" s="54" t="s">
        <v>565</v>
      </c>
      <c r="E129" s="54" t="s">
        <v>566</v>
      </c>
      <c r="F129" s="54" t="s">
        <v>567</v>
      </c>
      <c r="G129" s="54" t="s">
        <v>568</v>
      </c>
      <c r="H129" s="54" t="n">
        <v>18486</v>
      </c>
      <c r="I129" s="54" t="s">
        <v>295</v>
      </c>
      <c r="J129" s="54" t="s">
        <v>569</v>
      </c>
    </row>
    <row r="130" customFormat="false" ht="15" hidden="false" customHeight="true" outlineLevel="0" collapsed="false">
      <c r="A130" s="54" t="n">
        <v>20260710</v>
      </c>
      <c r="B130" s="54" t="s">
        <v>289</v>
      </c>
      <c r="C130" s="54" t="s">
        <v>290</v>
      </c>
      <c r="D130" s="54" t="s">
        <v>565</v>
      </c>
      <c r="E130" s="54" t="s">
        <v>566</v>
      </c>
      <c r="F130" s="54" t="s">
        <v>570</v>
      </c>
      <c r="G130" s="54" t="s">
        <v>571</v>
      </c>
      <c r="H130" s="54" t="n">
        <v>4104</v>
      </c>
      <c r="I130" s="54" t="s">
        <v>295</v>
      </c>
      <c r="J130" s="54" t="s">
        <v>569</v>
      </c>
    </row>
    <row r="131" customFormat="false" ht="15" hidden="false" customHeight="true" outlineLevel="0" collapsed="false">
      <c r="A131" s="54" t="n">
        <v>20260710</v>
      </c>
      <c r="B131" s="54" t="s">
        <v>289</v>
      </c>
      <c r="C131" s="54" t="s">
        <v>290</v>
      </c>
      <c r="D131" s="54" t="s">
        <v>565</v>
      </c>
      <c r="E131" s="54" t="s">
        <v>566</v>
      </c>
      <c r="F131" s="54" t="s">
        <v>572</v>
      </c>
      <c r="G131" s="54" t="s">
        <v>573</v>
      </c>
      <c r="H131" s="54" t="n">
        <v>6338</v>
      </c>
      <c r="I131" s="54" t="s">
        <v>295</v>
      </c>
      <c r="J131" s="54" t="s">
        <v>569</v>
      </c>
    </row>
    <row r="132" customFormat="false" ht="15" hidden="false" customHeight="true" outlineLevel="0" collapsed="false">
      <c r="A132" s="54" t="n">
        <v>20260710</v>
      </c>
      <c r="B132" s="54" t="s">
        <v>289</v>
      </c>
      <c r="C132" s="54" t="s">
        <v>290</v>
      </c>
      <c r="D132" s="54" t="s">
        <v>574</v>
      </c>
      <c r="E132" s="54" t="s">
        <v>575</v>
      </c>
      <c r="F132" s="54" t="s">
        <v>576</v>
      </c>
      <c r="G132" s="54" t="s">
        <v>577</v>
      </c>
      <c r="H132" s="54" t="n">
        <v>5</v>
      </c>
      <c r="I132" s="54" t="s">
        <v>295</v>
      </c>
      <c r="J132" s="54" t="s">
        <v>578</v>
      </c>
    </row>
    <row r="133" customFormat="false" ht="15" hidden="false" customHeight="true" outlineLevel="0" collapsed="false">
      <c r="A133" s="54" t="n">
        <v>20260710</v>
      </c>
      <c r="B133" s="54" t="s">
        <v>289</v>
      </c>
      <c r="C133" s="54" t="s">
        <v>290</v>
      </c>
      <c r="D133" s="54" t="s">
        <v>574</v>
      </c>
      <c r="E133" s="54" t="s">
        <v>575</v>
      </c>
      <c r="F133" s="54" t="s">
        <v>579</v>
      </c>
      <c r="G133" s="54" t="s">
        <v>580</v>
      </c>
      <c r="H133" s="54" t="n">
        <v>14424</v>
      </c>
      <c r="I133" s="54" t="s">
        <v>295</v>
      </c>
      <c r="J133" s="54" t="s">
        <v>578</v>
      </c>
    </row>
    <row r="134" customFormat="false" ht="15" hidden="false" customHeight="true" outlineLevel="0" collapsed="false">
      <c r="A134" s="54" t="n">
        <v>20260710</v>
      </c>
      <c r="B134" s="54" t="s">
        <v>289</v>
      </c>
      <c r="C134" s="54" t="s">
        <v>290</v>
      </c>
      <c r="D134" s="54" t="s">
        <v>574</v>
      </c>
      <c r="E134" s="54" t="s">
        <v>575</v>
      </c>
      <c r="F134" s="54" t="s">
        <v>581</v>
      </c>
      <c r="G134" s="54" t="s">
        <v>582</v>
      </c>
      <c r="H134" s="54" t="n">
        <v>14425</v>
      </c>
      <c r="I134" s="54" t="s">
        <v>295</v>
      </c>
      <c r="J134" s="54" t="s">
        <v>578</v>
      </c>
    </row>
    <row r="135" customFormat="false" ht="15" hidden="false" customHeight="true" outlineLevel="0" collapsed="false">
      <c r="A135" s="54" t="n">
        <v>20260710</v>
      </c>
      <c r="B135" s="54" t="s">
        <v>306</v>
      </c>
      <c r="C135" s="54" t="s">
        <v>290</v>
      </c>
      <c r="D135" s="54" t="s">
        <v>583</v>
      </c>
      <c r="E135" s="54" t="s">
        <v>584</v>
      </c>
      <c r="F135" s="54" t="s">
        <v>585</v>
      </c>
      <c r="G135" s="54" t="s">
        <v>586</v>
      </c>
      <c r="H135" s="54" t="n">
        <v>4532</v>
      </c>
      <c r="I135" s="54" t="s">
        <v>315</v>
      </c>
      <c r="J135" s="54" t="s">
        <v>368</v>
      </c>
    </row>
    <row r="136" customFormat="false" ht="15" hidden="false" customHeight="true" outlineLevel="0" collapsed="false">
      <c r="A136" s="54" t="n">
        <v>20260710</v>
      </c>
      <c r="B136" s="54" t="s">
        <v>306</v>
      </c>
      <c r="C136" s="54" t="s">
        <v>290</v>
      </c>
      <c r="D136" s="54" t="s">
        <v>583</v>
      </c>
      <c r="E136" s="54" t="s">
        <v>584</v>
      </c>
      <c r="F136" s="54" t="s">
        <v>585</v>
      </c>
      <c r="G136" s="54" t="s">
        <v>587</v>
      </c>
      <c r="H136" s="54" t="n">
        <v>4533</v>
      </c>
      <c r="I136" s="54" t="s">
        <v>295</v>
      </c>
      <c r="J136" s="54" t="s">
        <v>368</v>
      </c>
    </row>
    <row r="137" customFormat="false" ht="15" hidden="false" customHeight="true" outlineLevel="0" collapsed="false">
      <c r="A137" s="54" t="n">
        <v>20260710</v>
      </c>
      <c r="B137" s="54" t="s">
        <v>306</v>
      </c>
      <c r="C137" s="54" t="s">
        <v>290</v>
      </c>
      <c r="D137" s="54" t="s">
        <v>583</v>
      </c>
      <c r="E137" s="54" t="s">
        <v>584</v>
      </c>
      <c r="F137" s="54" t="s">
        <v>588</v>
      </c>
      <c r="G137" s="54" t="s">
        <v>589</v>
      </c>
      <c r="H137" s="54" t="n">
        <v>8787</v>
      </c>
      <c r="I137" s="54" t="s">
        <v>315</v>
      </c>
      <c r="J137" s="54" t="s">
        <v>368</v>
      </c>
    </row>
    <row r="138" customFormat="false" ht="15" hidden="false" customHeight="true" outlineLevel="0" collapsed="false">
      <c r="A138" s="54" t="n">
        <v>20260710</v>
      </c>
      <c r="B138" s="54" t="s">
        <v>306</v>
      </c>
      <c r="C138" s="54" t="s">
        <v>290</v>
      </c>
      <c r="D138" s="54" t="s">
        <v>583</v>
      </c>
      <c r="E138" s="54" t="s">
        <v>584</v>
      </c>
      <c r="F138" s="54" t="s">
        <v>588</v>
      </c>
      <c r="G138" s="54" t="s">
        <v>589</v>
      </c>
      <c r="H138" s="54" t="n">
        <v>8787</v>
      </c>
      <c r="I138" s="54" t="s">
        <v>295</v>
      </c>
      <c r="J138" s="54" t="s">
        <v>368</v>
      </c>
    </row>
    <row r="139" customFormat="false" ht="15" hidden="false" customHeight="true" outlineLevel="0" collapsed="false">
      <c r="A139" s="54" t="n">
        <v>20260710</v>
      </c>
      <c r="B139" s="54" t="s">
        <v>306</v>
      </c>
      <c r="C139" s="54" t="s">
        <v>290</v>
      </c>
      <c r="D139" s="54" t="s">
        <v>583</v>
      </c>
      <c r="E139" s="54" t="s">
        <v>584</v>
      </c>
      <c r="F139" s="54" t="s">
        <v>590</v>
      </c>
      <c r="G139" s="54" t="s">
        <v>591</v>
      </c>
      <c r="H139" s="54" t="n">
        <v>15855</v>
      </c>
      <c r="I139" s="54" t="s">
        <v>315</v>
      </c>
      <c r="J139" s="54" t="s">
        <v>368</v>
      </c>
    </row>
    <row r="140" customFormat="false" ht="15" hidden="false" customHeight="true" outlineLevel="0" collapsed="false">
      <c r="A140" s="54" t="n">
        <v>20260710</v>
      </c>
      <c r="B140" s="54" t="s">
        <v>306</v>
      </c>
      <c r="C140" s="54" t="s">
        <v>290</v>
      </c>
      <c r="D140" s="54" t="s">
        <v>583</v>
      </c>
      <c r="E140" s="54" t="s">
        <v>584</v>
      </c>
      <c r="F140" s="54" t="s">
        <v>590</v>
      </c>
      <c r="G140" s="54" t="s">
        <v>591</v>
      </c>
      <c r="H140" s="54" t="n">
        <v>15855</v>
      </c>
      <c r="I140" s="54" t="s">
        <v>295</v>
      </c>
      <c r="J140" s="54" t="s">
        <v>368</v>
      </c>
    </row>
    <row r="141" customFormat="false" ht="15" hidden="false" customHeight="true" outlineLevel="0" collapsed="false">
      <c r="A141" s="54" t="n">
        <v>20260710</v>
      </c>
      <c r="B141" s="54" t="s">
        <v>592</v>
      </c>
      <c r="C141" s="54" t="s">
        <v>290</v>
      </c>
      <c r="D141" s="54" t="s">
        <v>593</v>
      </c>
      <c r="E141" s="54" t="s">
        <v>594</v>
      </c>
      <c r="F141" s="54" t="s">
        <v>595</v>
      </c>
      <c r="G141" s="54" t="s">
        <v>596</v>
      </c>
      <c r="H141" s="54" t="n">
        <v>11939</v>
      </c>
      <c r="I141" s="54" t="s">
        <v>295</v>
      </c>
      <c r="J141" s="54" t="s">
        <v>597</v>
      </c>
    </row>
    <row r="142" customFormat="false" ht="15" hidden="false" customHeight="true" outlineLevel="0" collapsed="false">
      <c r="A142" s="54" t="n">
        <v>20260710</v>
      </c>
      <c r="B142" s="54" t="s">
        <v>592</v>
      </c>
      <c r="C142" s="54" t="s">
        <v>290</v>
      </c>
      <c r="D142" s="54" t="s">
        <v>593</v>
      </c>
      <c r="E142" s="54" t="s">
        <v>594</v>
      </c>
      <c r="F142" s="54" t="s">
        <v>598</v>
      </c>
      <c r="G142" s="54" t="s">
        <v>599</v>
      </c>
      <c r="H142" s="54" t="n">
        <v>18399</v>
      </c>
      <c r="I142" s="54" t="s">
        <v>295</v>
      </c>
      <c r="J142" s="54" t="s">
        <v>597</v>
      </c>
    </row>
    <row r="143" customFormat="false" ht="15" hidden="false" customHeight="true" outlineLevel="0" collapsed="false">
      <c r="A143" s="54" t="n">
        <v>20260710</v>
      </c>
      <c r="B143" s="54" t="s">
        <v>306</v>
      </c>
      <c r="C143" s="54" t="s">
        <v>290</v>
      </c>
      <c r="D143" s="54" t="s">
        <v>600</v>
      </c>
      <c r="E143" s="54" t="s">
        <v>601</v>
      </c>
      <c r="F143" s="54" t="s">
        <v>602</v>
      </c>
      <c r="G143" s="54" t="s">
        <v>603</v>
      </c>
      <c r="H143" s="54" t="n">
        <v>212</v>
      </c>
      <c r="I143" s="54" t="s">
        <v>295</v>
      </c>
      <c r="J143" s="54" t="s">
        <v>604</v>
      </c>
    </row>
    <row r="144" customFormat="false" ht="15" hidden="false" customHeight="true" outlineLevel="0" collapsed="false">
      <c r="A144" s="54" t="n">
        <v>20260710</v>
      </c>
      <c r="B144" s="54" t="s">
        <v>306</v>
      </c>
      <c r="C144" s="54" t="s">
        <v>290</v>
      </c>
      <c r="D144" s="54" t="s">
        <v>600</v>
      </c>
      <c r="E144" s="54" t="s">
        <v>601</v>
      </c>
      <c r="F144" s="54" t="s">
        <v>605</v>
      </c>
      <c r="G144" s="54" t="s">
        <v>606</v>
      </c>
      <c r="H144" s="54" t="n">
        <v>213</v>
      </c>
      <c r="I144" s="54" t="s">
        <v>315</v>
      </c>
      <c r="J144" s="54" t="s">
        <v>604</v>
      </c>
    </row>
    <row r="145" customFormat="false" ht="15" hidden="false" customHeight="true" outlineLevel="0" collapsed="false">
      <c r="A145" s="54" t="n">
        <v>20260710</v>
      </c>
      <c r="B145" s="54" t="s">
        <v>306</v>
      </c>
      <c r="C145" s="54" t="s">
        <v>290</v>
      </c>
      <c r="D145" s="54" t="s">
        <v>600</v>
      </c>
      <c r="E145" s="54" t="s">
        <v>601</v>
      </c>
      <c r="F145" s="54" t="s">
        <v>607</v>
      </c>
      <c r="G145" s="54" t="s">
        <v>608</v>
      </c>
      <c r="H145" s="54" t="n">
        <v>4343</v>
      </c>
      <c r="I145" s="54" t="s">
        <v>295</v>
      </c>
      <c r="J145" s="54" t="s">
        <v>604</v>
      </c>
    </row>
    <row r="146" customFormat="false" ht="15" hidden="false" customHeight="true" outlineLevel="0" collapsed="false">
      <c r="A146" s="54" t="n">
        <v>20260710</v>
      </c>
      <c r="B146" s="54" t="s">
        <v>306</v>
      </c>
      <c r="C146" s="54" t="s">
        <v>290</v>
      </c>
      <c r="D146" s="54" t="s">
        <v>600</v>
      </c>
      <c r="E146" s="54" t="s">
        <v>601</v>
      </c>
      <c r="F146" s="54" t="s">
        <v>609</v>
      </c>
      <c r="G146" s="54" t="s">
        <v>608</v>
      </c>
      <c r="H146" s="54" t="n">
        <v>4342</v>
      </c>
      <c r="I146" s="54" t="s">
        <v>315</v>
      </c>
      <c r="J146" s="54" t="s">
        <v>604</v>
      </c>
    </row>
    <row r="147" customFormat="false" ht="15" hidden="false" customHeight="true" outlineLevel="0" collapsed="false">
      <c r="A147" s="54" t="n">
        <v>20260710</v>
      </c>
      <c r="B147" s="54" t="s">
        <v>306</v>
      </c>
      <c r="C147" s="54" t="s">
        <v>290</v>
      </c>
      <c r="D147" s="54" t="s">
        <v>600</v>
      </c>
      <c r="E147" s="54" t="s">
        <v>601</v>
      </c>
      <c r="F147" s="54" t="s">
        <v>610</v>
      </c>
      <c r="G147" s="54" t="s">
        <v>611</v>
      </c>
      <c r="H147" s="54" t="n">
        <v>327</v>
      </c>
      <c r="I147" s="54" t="s">
        <v>295</v>
      </c>
      <c r="J147" s="54" t="s">
        <v>604</v>
      </c>
    </row>
    <row r="148" customFormat="false" ht="15" hidden="false" customHeight="true" outlineLevel="0" collapsed="false">
      <c r="A148" s="54" t="n">
        <v>20260710</v>
      </c>
      <c r="B148" s="54" t="s">
        <v>306</v>
      </c>
      <c r="C148" s="54" t="s">
        <v>290</v>
      </c>
      <c r="D148" s="54" t="s">
        <v>600</v>
      </c>
      <c r="E148" s="54" t="s">
        <v>601</v>
      </c>
      <c r="F148" s="54" t="s">
        <v>612</v>
      </c>
      <c r="G148" s="54" t="s">
        <v>613</v>
      </c>
      <c r="H148" s="54" t="n">
        <v>20002</v>
      </c>
      <c r="I148" s="54" t="s">
        <v>295</v>
      </c>
      <c r="J148" s="54" t="s">
        <v>604</v>
      </c>
    </row>
    <row r="149" customFormat="false" ht="15" hidden="false" customHeight="true" outlineLevel="0" collapsed="false">
      <c r="A149" s="54" t="n">
        <v>20260710</v>
      </c>
      <c r="B149" s="54" t="s">
        <v>306</v>
      </c>
      <c r="C149" s="54" t="s">
        <v>290</v>
      </c>
      <c r="D149" s="54" t="s">
        <v>600</v>
      </c>
      <c r="E149" s="54" t="s">
        <v>601</v>
      </c>
      <c r="F149" s="54" t="s">
        <v>614</v>
      </c>
      <c r="G149" s="54" t="s">
        <v>615</v>
      </c>
      <c r="H149" s="54" t="n">
        <v>4102</v>
      </c>
      <c r="I149" s="54" t="s">
        <v>295</v>
      </c>
      <c r="J149" s="54" t="s">
        <v>604</v>
      </c>
    </row>
    <row r="150" customFormat="false" ht="15" hidden="false" customHeight="true" outlineLevel="0" collapsed="false">
      <c r="A150" s="54" t="n">
        <v>20260710</v>
      </c>
      <c r="B150" s="54" t="s">
        <v>306</v>
      </c>
      <c r="C150" s="54" t="s">
        <v>290</v>
      </c>
      <c r="D150" s="54" t="s">
        <v>600</v>
      </c>
      <c r="E150" s="54" t="s">
        <v>601</v>
      </c>
      <c r="F150" s="54" t="s">
        <v>616</v>
      </c>
      <c r="G150" s="54" t="s">
        <v>617</v>
      </c>
      <c r="H150" s="54" t="n">
        <v>4106</v>
      </c>
      <c r="I150" s="54" t="s">
        <v>315</v>
      </c>
      <c r="J150" s="54" t="s">
        <v>604</v>
      </c>
    </row>
    <row r="151" customFormat="false" ht="15" hidden="false" customHeight="true" outlineLevel="0" collapsed="false">
      <c r="A151" s="54" t="n">
        <v>20260710</v>
      </c>
      <c r="B151" s="54" t="s">
        <v>306</v>
      </c>
      <c r="C151" s="54" t="s">
        <v>290</v>
      </c>
      <c r="D151" s="54" t="s">
        <v>618</v>
      </c>
      <c r="E151" s="54" t="s">
        <v>619</v>
      </c>
      <c r="F151" s="54" t="s">
        <v>620</v>
      </c>
      <c r="G151" s="54" t="s">
        <v>621</v>
      </c>
      <c r="H151" s="54" t="n">
        <v>16762</v>
      </c>
      <c r="I151" s="54" t="s">
        <v>295</v>
      </c>
      <c r="J151" s="54" t="s">
        <v>622</v>
      </c>
    </row>
    <row r="152" customFormat="false" ht="15" hidden="false" customHeight="true" outlineLevel="0" collapsed="false">
      <c r="A152" s="54" t="n">
        <v>20260710</v>
      </c>
      <c r="B152" s="54" t="s">
        <v>306</v>
      </c>
      <c r="C152" s="54" t="s">
        <v>290</v>
      </c>
      <c r="D152" s="54" t="s">
        <v>618</v>
      </c>
      <c r="E152" s="54" t="s">
        <v>619</v>
      </c>
      <c r="F152" s="54" t="s">
        <v>623</v>
      </c>
      <c r="G152" s="54" t="s">
        <v>624</v>
      </c>
      <c r="H152" s="54" t="n">
        <v>2045</v>
      </c>
      <c r="I152" s="54" t="s">
        <v>295</v>
      </c>
      <c r="J152" s="54" t="s">
        <v>622</v>
      </c>
    </row>
    <row r="153" customFormat="false" ht="15" hidden="false" customHeight="true" outlineLevel="0" collapsed="false">
      <c r="A153" s="54" t="n">
        <v>20260710</v>
      </c>
      <c r="B153" s="54" t="s">
        <v>306</v>
      </c>
      <c r="C153" s="54" t="s">
        <v>290</v>
      </c>
      <c r="D153" s="54" t="s">
        <v>618</v>
      </c>
      <c r="E153" s="54" t="s">
        <v>619</v>
      </c>
      <c r="F153" s="54" t="s">
        <v>625</v>
      </c>
      <c r="G153" s="54" t="s">
        <v>626</v>
      </c>
      <c r="H153" s="54" t="n">
        <v>8880</v>
      </c>
      <c r="I153" s="54" t="s">
        <v>295</v>
      </c>
      <c r="J153" s="54" t="s">
        <v>622</v>
      </c>
    </row>
    <row r="154" customFormat="false" ht="15" hidden="false" customHeight="true" outlineLevel="0" collapsed="false">
      <c r="A154" s="54" t="n">
        <v>20260710</v>
      </c>
      <c r="B154" s="54" t="s">
        <v>289</v>
      </c>
      <c r="C154" s="54" t="s">
        <v>290</v>
      </c>
      <c r="D154" s="54" t="s">
        <v>627</v>
      </c>
      <c r="E154" s="54" t="s">
        <v>628</v>
      </c>
      <c r="F154" s="54" t="s">
        <v>629</v>
      </c>
      <c r="G154" s="54" t="s">
        <v>630</v>
      </c>
      <c r="H154" s="54" t="n">
        <v>19934</v>
      </c>
      <c r="I154" s="54" t="s">
        <v>295</v>
      </c>
      <c r="J154" s="54" t="s">
        <v>631</v>
      </c>
    </row>
    <row r="155" customFormat="false" ht="15" hidden="false" customHeight="true" outlineLevel="0" collapsed="false">
      <c r="A155" s="54" t="n">
        <v>20260710</v>
      </c>
      <c r="B155" s="54" t="s">
        <v>289</v>
      </c>
      <c r="C155" s="54" t="s">
        <v>290</v>
      </c>
      <c r="D155" s="54" t="s">
        <v>627</v>
      </c>
      <c r="E155" s="54" t="s">
        <v>628</v>
      </c>
      <c r="F155" s="54" t="s">
        <v>632</v>
      </c>
      <c r="G155" s="54" t="s">
        <v>633</v>
      </c>
      <c r="H155" s="54" t="n">
        <v>2275</v>
      </c>
      <c r="I155" s="54" t="s">
        <v>295</v>
      </c>
      <c r="J155" s="54" t="s">
        <v>631</v>
      </c>
    </row>
    <row r="156" customFormat="false" ht="15" hidden="false" customHeight="true" outlineLevel="0" collapsed="false">
      <c r="A156" s="54" t="n">
        <v>20260710</v>
      </c>
      <c r="B156" s="54" t="s">
        <v>289</v>
      </c>
      <c r="C156" s="54" t="s">
        <v>290</v>
      </c>
      <c r="D156" s="54" t="s">
        <v>627</v>
      </c>
      <c r="E156" s="54" t="s">
        <v>628</v>
      </c>
      <c r="F156" s="54" t="s">
        <v>634</v>
      </c>
      <c r="G156" s="54" t="s">
        <v>635</v>
      </c>
      <c r="H156" s="54" t="n">
        <v>6763</v>
      </c>
      <c r="I156" s="54" t="s">
        <v>295</v>
      </c>
      <c r="J156" s="54" t="s">
        <v>631</v>
      </c>
    </row>
    <row r="157" customFormat="false" ht="15" hidden="false" customHeight="true" outlineLevel="0" collapsed="false">
      <c r="A157" s="54" t="n">
        <v>20260710</v>
      </c>
      <c r="B157" s="54" t="s">
        <v>592</v>
      </c>
      <c r="C157" s="54" t="s">
        <v>290</v>
      </c>
      <c r="D157" s="54" t="s">
        <v>636</v>
      </c>
      <c r="E157" s="54" t="s">
        <v>637</v>
      </c>
      <c r="F157" s="54" t="s">
        <v>638</v>
      </c>
      <c r="G157" s="54" t="s">
        <v>639</v>
      </c>
      <c r="H157" s="54" t="n">
        <v>20830</v>
      </c>
      <c r="I157" s="54" t="s">
        <v>295</v>
      </c>
      <c r="J157" s="54" t="s">
        <v>597</v>
      </c>
    </row>
    <row r="158" customFormat="false" ht="15" hidden="false" customHeight="true" outlineLevel="0" collapsed="false">
      <c r="A158" s="54" t="n">
        <v>20260710</v>
      </c>
      <c r="B158" s="54" t="s">
        <v>592</v>
      </c>
      <c r="C158" s="54" t="s">
        <v>290</v>
      </c>
      <c r="D158" s="54" t="s">
        <v>636</v>
      </c>
      <c r="E158" s="54" t="s">
        <v>637</v>
      </c>
      <c r="F158" s="54" t="s">
        <v>640</v>
      </c>
      <c r="G158" s="54" t="s">
        <v>641</v>
      </c>
      <c r="H158" s="54" t="n">
        <v>2735</v>
      </c>
      <c r="I158" s="54" t="s">
        <v>295</v>
      </c>
      <c r="J158" s="54" t="s">
        <v>597</v>
      </c>
    </row>
    <row r="159" customFormat="false" ht="15" hidden="false" customHeight="true" outlineLevel="0" collapsed="false">
      <c r="A159" s="54" t="n">
        <v>20260710</v>
      </c>
      <c r="B159" s="54" t="s">
        <v>592</v>
      </c>
      <c r="C159" s="54" t="s">
        <v>290</v>
      </c>
      <c r="D159" s="54" t="s">
        <v>636</v>
      </c>
      <c r="E159" s="54" t="s">
        <v>637</v>
      </c>
      <c r="F159" s="54" t="s">
        <v>642</v>
      </c>
      <c r="G159" s="54" t="s">
        <v>643</v>
      </c>
      <c r="H159" s="54" t="n">
        <v>558</v>
      </c>
      <c r="I159" s="54" t="s">
        <v>295</v>
      </c>
      <c r="J159" s="54" t="s">
        <v>597</v>
      </c>
    </row>
    <row r="160" customFormat="false" ht="15" hidden="false" customHeight="true" outlineLevel="0" collapsed="false">
      <c r="A160" s="54" t="n">
        <v>20260710</v>
      </c>
      <c r="B160" s="54" t="s">
        <v>592</v>
      </c>
      <c r="C160" s="54" t="s">
        <v>290</v>
      </c>
      <c r="D160" s="54" t="s">
        <v>636</v>
      </c>
      <c r="E160" s="54" t="s">
        <v>637</v>
      </c>
      <c r="F160" s="54" t="s">
        <v>644</v>
      </c>
      <c r="G160" s="54" t="s">
        <v>645</v>
      </c>
      <c r="H160" s="54" t="n">
        <v>13</v>
      </c>
      <c r="I160" s="54" t="s">
        <v>295</v>
      </c>
      <c r="J160" s="54" t="s">
        <v>597</v>
      </c>
    </row>
    <row r="161" customFormat="false" ht="15" hidden="false" customHeight="true" outlineLevel="0" collapsed="false">
      <c r="A161" s="54" t="n">
        <v>20260710</v>
      </c>
      <c r="B161" s="54" t="s">
        <v>592</v>
      </c>
      <c r="C161" s="54" t="s">
        <v>290</v>
      </c>
      <c r="D161" s="54" t="s">
        <v>636</v>
      </c>
      <c r="E161" s="54" t="s">
        <v>637</v>
      </c>
      <c r="F161" s="54" t="s">
        <v>646</v>
      </c>
      <c r="G161" s="54" t="s">
        <v>647</v>
      </c>
      <c r="H161" s="54" t="n">
        <v>1</v>
      </c>
      <c r="I161" s="54" t="s">
        <v>295</v>
      </c>
      <c r="J161" s="54" t="s">
        <v>597</v>
      </c>
    </row>
    <row r="162" customFormat="false" ht="15" hidden="false" customHeight="true" outlineLevel="0" collapsed="false">
      <c r="A162" s="54" t="n">
        <v>20260710</v>
      </c>
      <c r="B162" s="54" t="s">
        <v>592</v>
      </c>
      <c r="C162" s="54" t="s">
        <v>290</v>
      </c>
      <c r="D162" s="54" t="s">
        <v>636</v>
      </c>
      <c r="E162" s="54" t="s">
        <v>637</v>
      </c>
      <c r="F162" s="54" t="s">
        <v>648</v>
      </c>
      <c r="G162" s="54" t="s">
        <v>649</v>
      </c>
      <c r="H162" s="54" t="n">
        <v>327</v>
      </c>
      <c r="I162" s="54" t="s">
        <v>295</v>
      </c>
      <c r="J162" s="54" t="s">
        <v>597</v>
      </c>
    </row>
    <row r="163" customFormat="false" ht="15" hidden="false" customHeight="true" outlineLevel="0" collapsed="false">
      <c r="A163" s="54" t="n">
        <v>20260710</v>
      </c>
      <c r="B163" s="54" t="s">
        <v>592</v>
      </c>
      <c r="C163" s="54" t="s">
        <v>290</v>
      </c>
      <c r="D163" s="54" t="s">
        <v>636</v>
      </c>
      <c r="E163" s="54" t="s">
        <v>637</v>
      </c>
      <c r="F163" s="54" t="s">
        <v>650</v>
      </c>
      <c r="G163" s="54" t="s">
        <v>651</v>
      </c>
      <c r="H163" s="54" t="n">
        <v>31</v>
      </c>
      <c r="I163" s="54" t="s">
        <v>295</v>
      </c>
      <c r="J163" s="54" t="s">
        <v>597</v>
      </c>
    </row>
    <row r="164" customFormat="false" ht="15" hidden="false" customHeight="true" outlineLevel="0" collapsed="false">
      <c r="A164" s="54" t="n">
        <v>20260710</v>
      </c>
      <c r="B164" s="54" t="s">
        <v>592</v>
      </c>
      <c r="C164" s="54" t="s">
        <v>290</v>
      </c>
      <c r="D164" s="54" t="s">
        <v>636</v>
      </c>
      <c r="E164" s="54" t="s">
        <v>637</v>
      </c>
      <c r="F164" s="54" t="s">
        <v>652</v>
      </c>
      <c r="G164" s="54" t="s">
        <v>653</v>
      </c>
      <c r="H164" s="54" t="n">
        <v>7197</v>
      </c>
      <c r="I164" s="54" t="s">
        <v>295</v>
      </c>
      <c r="J164" s="54" t="s">
        <v>597</v>
      </c>
    </row>
    <row r="165" customFormat="false" ht="15" hidden="false" customHeight="true" outlineLevel="0" collapsed="false">
      <c r="A165" s="54" t="n">
        <v>20260710</v>
      </c>
      <c r="B165" s="54" t="s">
        <v>535</v>
      </c>
      <c r="C165" s="54" t="s">
        <v>290</v>
      </c>
      <c r="D165" s="54" t="s">
        <v>654</v>
      </c>
      <c r="E165" s="54" t="s">
        <v>655</v>
      </c>
      <c r="F165" s="54" t="s">
        <v>656</v>
      </c>
      <c r="G165" s="54" t="s">
        <v>657</v>
      </c>
      <c r="H165" s="54" t="n">
        <v>1308</v>
      </c>
      <c r="I165" s="54" t="s">
        <v>295</v>
      </c>
      <c r="J165" s="54" t="s">
        <v>658</v>
      </c>
    </row>
    <row r="166" customFormat="false" ht="15" hidden="false" customHeight="true" outlineLevel="0" collapsed="false">
      <c r="A166" s="54" t="n">
        <v>20260710</v>
      </c>
      <c r="B166" s="54" t="s">
        <v>535</v>
      </c>
      <c r="C166" s="54" t="s">
        <v>290</v>
      </c>
      <c r="D166" s="54" t="s">
        <v>654</v>
      </c>
      <c r="E166" s="54" t="s">
        <v>655</v>
      </c>
      <c r="F166" s="54" t="s">
        <v>659</v>
      </c>
      <c r="G166" s="54" t="s">
        <v>660</v>
      </c>
      <c r="H166" s="54" t="n">
        <v>2285</v>
      </c>
      <c r="I166" s="54" t="s">
        <v>295</v>
      </c>
      <c r="J166" s="54" t="s">
        <v>658</v>
      </c>
    </row>
    <row r="167" customFormat="false" ht="15" hidden="false" customHeight="true" outlineLevel="0" collapsed="false">
      <c r="A167" s="54" t="n">
        <v>20260710</v>
      </c>
      <c r="B167" s="54" t="s">
        <v>535</v>
      </c>
      <c r="C167" s="54" t="s">
        <v>290</v>
      </c>
      <c r="D167" s="54" t="s">
        <v>654</v>
      </c>
      <c r="E167" s="54" t="s">
        <v>655</v>
      </c>
      <c r="F167" s="54" t="s">
        <v>661</v>
      </c>
      <c r="G167" s="54" t="s">
        <v>662</v>
      </c>
      <c r="H167" s="54" t="n">
        <v>4007</v>
      </c>
      <c r="I167" s="54" t="s">
        <v>295</v>
      </c>
      <c r="J167" s="54" t="s">
        <v>658</v>
      </c>
    </row>
    <row r="168" customFormat="false" ht="15" hidden="false" customHeight="true" outlineLevel="0" collapsed="false">
      <c r="A168" s="54" t="n">
        <v>20260710</v>
      </c>
      <c r="B168" s="54" t="s">
        <v>535</v>
      </c>
      <c r="C168" s="54" t="s">
        <v>290</v>
      </c>
      <c r="D168" s="54" t="s">
        <v>654</v>
      </c>
      <c r="E168" s="54" t="s">
        <v>655</v>
      </c>
      <c r="F168" s="54" t="s">
        <v>663</v>
      </c>
      <c r="G168" s="54" t="s">
        <v>664</v>
      </c>
      <c r="H168" s="54" t="n">
        <v>2697</v>
      </c>
      <c r="I168" s="54" t="s">
        <v>295</v>
      </c>
      <c r="J168" s="54" t="s">
        <v>658</v>
      </c>
    </row>
    <row r="169" customFormat="false" ht="15" hidden="false" customHeight="true" outlineLevel="0" collapsed="false">
      <c r="A169" s="54" t="n">
        <v>20260710</v>
      </c>
      <c r="B169" s="54" t="s">
        <v>535</v>
      </c>
      <c r="C169" s="54" t="s">
        <v>290</v>
      </c>
      <c r="D169" s="54" t="s">
        <v>654</v>
      </c>
      <c r="E169" s="54" t="s">
        <v>655</v>
      </c>
      <c r="F169" s="54" t="s">
        <v>665</v>
      </c>
      <c r="G169" s="54" t="s">
        <v>666</v>
      </c>
      <c r="H169" s="54" t="n">
        <v>4928</v>
      </c>
      <c r="I169" s="54" t="s">
        <v>295</v>
      </c>
      <c r="J169" s="54" t="s">
        <v>658</v>
      </c>
    </row>
    <row r="170" customFormat="false" ht="15" hidden="false" customHeight="true" outlineLevel="0" collapsed="false">
      <c r="A170" s="54" t="n">
        <v>20260710</v>
      </c>
      <c r="B170" s="54" t="s">
        <v>535</v>
      </c>
      <c r="C170" s="54" t="s">
        <v>290</v>
      </c>
      <c r="D170" s="54" t="s">
        <v>654</v>
      </c>
      <c r="E170" s="54" t="s">
        <v>655</v>
      </c>
      <c r="F170" s="54" t="s">
        <v>667</v>
      </c>
      <c r="G170" s="54" t="s">
        <v>668</v>
      </c>
      <c r="H170" s="54" t="n">
        <v>1461</v>
      </c>
      <c r="I170" s="54" t="s">
        <v>295</v>
      </c>
      <c r="J170" s="54" t="s">
        <v>658</v>
      </c>
    </row>
    <row r="171" customFormat="false" ht="15" hidden="false" customHeight="true" outlineLevel="0" collapsed="false">
      <c r="A171" s="54" t="n">
        <v>20260710</v>
      </c>
      <c r="B171" s="54" t="s">
        <v>535</v>
      </c>
      <c r="C171" s="54" t="s">
        <v>290</v>
      </c>
      <c r="D171" s="54" t="s">
        <v>654</v>
      </c>
      <c r="E171" s="54" t="s">
        <v>655</v>
      </c>
      <c r="F171" s="54" t="s">
        <v>669</v>
      </c>
      <c r="G171" s="54" t="s">
        <v>670</v>
      </c>
      <c r="H171" s="54" t="n">
        <v>76</v>
      </c>
      <c r="I171" s="54" t="s">
        <v>295</v>
      </c>
      <c r="J171" s="54" t="s">
        <v>658</v>
      </c>
    </row>
    <row r="172" customFormat="false" ht="15" hidden="false" customHeight="true" outlineLevel="0" collapsed="false">
      <c r="A172" s="54" t="n">
        <v>20260710</v>
      </c>
      <c r="B172" s="54" t="s">
        <v>535</v>
      </c>
      <c r="C172" s="54" t="s">
        <v>290</v>
      </c>
      <c r="D172" s="54" t="s">
        <v>654</v>
      </c>
      <c r="E172" s="54" t="s">
        <v>655</v>
      </c>
      <c r="F172" s="54" t="s">
        <v>671</v>
      </c>
      <c r="G172" s="54" t="s">
        <v>672</v>
      </c>
      <c r="H172" s="54" t="n">
        <v>10509</v>
      </c>
      <c r="I172" s="54" t="s">
        <v>295</v>
      </c>
      <c r="J172" s="54" t="s">
        <v>658</v>
      </c>
    </row>
    <row r="173" customFormat="false" ht="15" hidden="false" customHeight="true" outlineLevel="0" collapsed="false">
      <c r="A173" s="54" t="n">
        <v>20260710</v>
      </c>
      <c r="B173" s="54" t="s">
        <v>535</v>
      </c>
      <c r="C173" s="54" t="s">
        <v>290</v>
      </c>
      <c r="D173" s="54" t="s">
        <v>673</v>
      </c>
      <c r="E173" s="54" t="s">
        <v>674</v>
      </c>
      <c r="F173" s="54" t="s">
        <v>675</v>
      </c>
      <c r="G173" s="54" t="s">
        <v>676</v>
      </c>
      <c r="H173" s="54" t="n">
        <v>4721</v>
      </c>
      <c r="I173" s="54" t="s">
        <v>295</v>
      </c>
      <c r="J173" s="54" t="s">
        <v>677</v>
      </c>
    </row>
    <row r="174" customFormat="false" ht="15" hidden="false" customHeight="true" outlineLevel="0" collapsed="false">
      <c r="A174" s="54" t="n">
        <v>20260710</v>
      </c>
      <c r="B174" s="54" t="s">
        <v>535</v>
      </c>
      <c r="C174" s="54" t="s">
        <v>290</v>
      </c>
      <c r="D174" s="54" t="s">
        <v>673</v>
      </c>
      <c r="E174" s="54" t="s">
        <v>674</v>
      </c>
      <c r="F174" s="54" t="s">
        <v>678</v>
      </c>
      <c r="G174" s="54" t="s">
        <v>679</v>
      </c>
      <c r="H174" s="54" t="n">
        <v>1636</v>
      </c>
      <c r="I174" s="54" t="s">
        <v>295</v>
      </c>
      <c r="J174" s="54" t="s">
        <v>677</v>
      </c>
    </row>
    <row r="175" customFormat="false" ht="15" hidden="false" customHeight="true" outlineLevel="0" collapsed="false">
      <c r="A175" s="54" t="n">
        <v>20260710</v>
      </c>
      <c r="B175" s="54" t="s">
        <v>535</v>
      </c>
      <c r="C175" s="54" t="s">
        <v>290</v>
      </c>
      <c r="D175" s="54" t="s">
        <v>673</v>
      </c>
      <c r="E175" s="54" t="s">
        <v>674</v>
      </c>
      <c r="F175" s="54" t="s">
        <v>680</v>
      </c>
      <c r="G175" s="54" t="s">
        <v>681</v>
      </c>
      <c r="H175" s="54" t="n">
        <v>11498</v>
      </c>
      <c r="I175" s="54" t="s">
        <v>295</v>
      </c>
      <c r="J175" s="54" t="s">
        <v>677</v>
      </c>
    </row>
    <row r="176" customFormat="false" ht="15" hidden="false" customHeight="true" outlineLevel="0" collapsed="false">
      <c r="A176" s="54" t="n">
        <v>20260710</v>
      </c>
      <c r="B176" s="54" t="s">
        <v>535</v>
      </c>
      <c r="C176" s="54" t="s">
        <v>290</v>
      </c>
      <c r="D176" s="54" t="s">
        <v>673</v>
      </c>
      <c r="E176" s="54" t="s">
        <v>674</v>
      </c>
      <c r="F176" s="54" t="s">
        <v>682</v>
      </c>
      <c r="G176" s="54" t="s">
        <v>683</v>
      </c>
      <c r="H176" s="54" t="n">
        <v>34</v>
      </c>
      <c r="I176" s="54" t="s">
        <v>295</v>
      </c>
      <c r="J176" s="54" t="s">
        <v>677</v>
      </c>
    </row>
    <row r="177" customFormat="false" ht="15" hidden="false" customHeight="true" outlineLevel="0" collapsed="false">
      <c r="A177" s="54" t="n">
        <v>20260710</v>
      </c>
      <c r="B177" s="54" t="s">
        <v>535</v>
      </c>
      <c r="C177" s="54" t="s">
        <v>290</v>
      </c>
      <c r="D177" s="54" t="s">
        <v>673</v>
      </c>
      <c r="E177" s="54" t="s">
        <v>674</v>
      </c>
      <c r="F177" s="54" t="s">
        <v>684</v>
      </c>
      <c r="G177" s="54" t="s">
        <v>685</v>
      </c>
      <c r="H177" s="54" t="n">
        <v>2156</v>
      </c>
      <c r="I177" s="54" t="s">
        <v>295</v>
      </c>
      <c r="J177" s="54" t="s">
        <v>677</v>
      </c>
    </row>
    <row r="178" customFormat="false" ht="15" hidden="false" customHeight="true" outlineLevel="0" collapsed="false">
      <c r="A178" s="54" t="n">
        <v>20260710</v>
      </c>
      <c r="B178" s="54" t="s">
        <v>535</v>
      </c>
      <c r="C178" s="54" t="s">
        <v>290</v>
      </c>
      <c r="D178" s="54" t="s">
        <v>673</v>
      </c>
      <c r="E178" s="54" t="s">
        <v>674</v>
      </c>
      <c r="F178" s="54" t="s">
        <v>686</v>
      </c>
      <c r="G178" s="54" t="s">
        <v>687</v>
      </c>
      <c r="H178" s="54" t="n">
        <v>8108</v>
      </c>
      <c r="I178" s="54" t="s">
        <v>295</v>
      </c>
      <c r="J178" s="54" t="s">
        <v>677</v>
      </c>
    </row>
    <row r="179" customFormat="false" ht="15" hidden="false" customHeight="true" outlineLevel="0" collapsed="false">
      <c r="A179" s="54" t="n">
        <v>20260710</v>
      </c>
      <c r="B179" s="54" t="s">
        <v>688</v>
      </c>
      <c r="C179" s="54" t="s">
        <v>307</v>
      </c>
      <c r="D179" s="54" t="s">
        <v>689</v>
      </c>
      <c r="E179" s="54" t="s">
        <v>690</v>
      </c>
      <c r="F179" s="54" t="s">
        <v>691</v>
      </c>
      <c r="G179" s="54" t="s">
        <v>692</v>
      </c>
      <c r="H179" s="54" t="n">
        <v>18013</v>
      </c>
      <c r="I179" s="54" t="s">
        <v>295</v>
      </c>
      <c r="J179" s="54" t="s">
        <v>693</v>
      </c>
    </row>
    <row r="180" customFormat="false" ht="15" hidden="false" customHeight="true" outlineLevel="0" collapsed="false">
      <c r="A180" s="54" t="n">
        <v>20260710</v>
      </c>
      <c r="B180" s="54" t="s">
        <v>688</v>
      </c>
      <c r="C180" s="54" t="s">
        <v>307</v>
      </c>
      <c r="D180" s="54" t="s">
        <v>689</v>
      </c>
      <c r="E180" s="54" t="s">
        <v>690</v>
      </c>
      <c r="F180" s="54" t="s">
        <v>694</v>
      </c>
      <c r="G180" s="54" t="s">
        <v>695</v>
      </c>
      <c r="H180" s="54" t="n">
        <v>14372</v>
      </c>
      <c r="I180" s="54" t="s">
        <v>295</v>
      </c>
      <c r="J180" s="54" t="s">
        <v>693</v>
      </c>
    </row>
    <row r="181" customFormat="false" ht="15" hidden="false" customHeight="true" outlineLevel="0" collapsed="false">
      <c r="A181" s="54" t="n">
        <v>20260710</v>
      </c>
      <c r="B181" s="54" t="s">
        <v>289</v>
      </c>
      <c r="C181" s="54" t="s">
        <v>290</v>
      </c>
      <c r="D181" s="54" t="s">
        <v>696</v>
      </c>
      <c r="E181" s="54" t="s">
        <v>697</v>
      </c>
      <c r="F181" s="54" t="s">
        <v>698</v>
      </c>
      <c r="G181" s="54" t="s">
        <v>699</v>
      </c>
      <c r="H181" s="54" t="n">
        <v>15988</v>
      </c>
      <c r="I181" s="54" t="s">
        <v>295</v>
      </c>
      <c r="J181" s="54" t="s">
        <v>407</v>
      </c>
    </row>
    <row r="182" customFormat="false" ht="15" hidden="false" customHeight="true" outlineLevel="0" collapsed="false">
      <c r="A182" s="54" t="n">
        <v>20260710</v>
      </c>
      <c r="B182" s="54" t="s">
        <v>289</v>
      </c>
      <c r="C182" s="54" t="s">
        <v>290</v>
      </c>
      <c r="D182" s="54" t="s">
        <v>696</v>
      </c>
      <c r="E182" s="54" t="s">
        <v>697</v>
      </c>
      <c r="F182" s="54" t="s">
        <v>700</v>
      </c>
      <c r="G182" s="54" t="s">
        <v>699</v>
      </c>
      <c r="H182" s="54" t="n">
        <v>15987</v>
      </c>
      <c r="I182" s="54" t="s">
        <v>360</v>
      </c>
      <c r="J182" s="54" t="s">
        <v>407</v>
      </c>
    </row>
    <row r="183" customFormat="false" ht="15" hidden="false" customHeight="true" outlineLevel="0" collapsed="false">
      <c r="A183" s="54" t="n">
        <v>20260710</v>
      </c>
      <c r="B183" s="54" t="s">
        <v>289</v>
      </c>
      <c r="C183" s="54" t="s">
        <v>290</v>
      </c>
      <c r="D183" s="54" t="s">
        <v>696</v>
      </c>
      <c r="E183" s="54" t="s">
        <v>697</v>
      </c>
      <c r="F183" s="54" t="s">
        <v>701</v>
      </c>
      <c r="G183" s="54" t="s">
        <v>702</v>
      </c>
      <c r="H183" s="54" t="n">
        <v>13687</v>
      </c>
      <c r="I183" s="54" t="s">
        <v>360</v>
      </c>
      <c r="J183" s="54" t="s">
        <v>407</v>
      </c>
    </row>
    <row r="184" customFormat="false" ht="15" hidden="false" customHeight="true" outlineLevel="0" collapsed="false">
      <c r="A184" s="54" t="n">
        <v>20260710</v>
      </c>
      <c r="B184" s="54" t="s">
        <v>289</v>
      </c>
      <c r="C184" s="54" t="s">
        <v>290</v>
      </c>
      <c r="D184" s="54" t="s">
        <v>696</v>
      </c>
      <c r="E184" s="54" t="s">
        <v>697</v>
      </c>
      <c r="F184" s="54" t="s">
        <v>701</v>
      </c>
      <c r="G184" s="54" t="s">
        <v>702</v>
      </c>
      <c r="H184" s="54" t="n">
        <v>13687</v>
      </c>
      <c r="I184" s="54" t="s">
        <v>295</v>
      </c>
      <c r="J184" s="54" t="s">
        <v>407</v>
      </c>
    </row>
    <row r="185" customFormat="false" ht="15" hidden="false" customHeight="true" outlineLevel="0" collapsed="false">
      <c r="A185" s="54" t="n">
        <v>20260710</v>
      </c>
      <c r="B185" s="54" t="s">
        <v>289</v>
      </c>
      <c r="C185" s="54" t="s">
        <v>307</v>
      </c>
      <c r="D185" s="54" t="s">
        <v>703</v>
      </c>
      <c r="E185" s="54" t="s">
        <v>704</v>
      </c>
      <c r="F185" s="54" t="s">
        <v>705</v>
      </c>
      <c r="G185" s="54" t="s">
        <v>706</v>
      </c>
      <c r="H185" s="54" t="n">
        <v>19134</v>
      </c>
      <c r="I185" s="54" t="s">
        <v>295</v>
      </c>
      <c r="J185" s="54" t="s">
        <v>707</v>
      </c>
    </row>
    <row r="186" customFormat="false" ht="15" hidden="false" customHeight="true" outlineLevel="0" collapsed="false">
      <c r="A186" s="54" t="n">
        <v>20260710</v>
      </c>
      <c r="B186" s="54" t="s">
        <v>289</v>
      </c>
      <c r="C186" s="54" t="s">
        <v>307</v>
      </c>
      <c r="D186" s="54" t="s">
        <v>703</v>
      </c>
      <c r="E186" s="54" t="s">
        <v>704</v>
      </c>
      <c r="F186" s="54" t="s">
        <v>708</v>
      </c>
      <c r="G186" s="54" t="s">
        <v>709</v>
      </c>
      <c r="H186" s="54" t="n">
        <v>13205</v>
      </c>
      <c r="I186" s="54" t="s">
        <v>295</v>
      </c>
      <c r="J186" s="54" t="s">
        <v>707</v>
      </c>
    </row>
    <row r="187" customFormat="false" ht="15" hidden="false" customHeight="true" outlineLevel="0" collapsed="false">
      <c r="A187" s="54" t="n">
        <v>20260710</v>
      </c>
      <c r="B187" s="54" t="s">
        <v>306</v>
      </c>
      <c r="C187" s="54" t="s">
        <v>307</v>
      </c>
      <c r="D187" s="54" t="s">
        <v>710</v>
      </c>
      <c r="E187" s="54" t="s">
        <v>711</v>
      </c>
      <c r="F187" s="54" t="s">
        <v>712</v>
      </c>
      <c r="G187" s="54" t="s">
        <v>713</v>
      </c>
      <c r="H187" s="54" t="n">
        <v>18962</v>
      </c>
      <c r="I187" s="54" t="s">
        <v>295</v>
      </c>
      <c r="J187" s="54" t="s">
        <v>312</v>
      </c>
    </row>
    <row r="188" customFormat="false" ht="15" hidden="false" customHeight="true" outlineLevel="0" collapsed="false">
      <c r="A188" s="54" t="n">
        <v>20260710</v>
      </c>
      <c r="B188" s="54" t="s">
        <v>306</v>
      </c>
      <c r="C188" s="54" t="s">
        <v>307</v>
      </c>
      <c r="D188" s="54" t="s">
        <v>710</v>
      </c>
      <c r="E188" s="54" t="s">
        <v>711</v>
      </c>
      <c r="F188" s="54" t="s">
        <v>714</v>
      </c>
      <c r="G188" s="54" t="s">
        <v>715</v>
      </c>
      <c r="H188" s="54" t="n">
        <v>18973</v>
      </c>
      <c r="I188" s="54" t="s">
        <v>315</v>
      </c>
      <c r="J188" s="54" t="s">
        <v>312</v>
      </c>
    </row>
    <row r="189" customFormat="false" ht="15" hidden="false" customHeight="true" outlineLevel="0" collapsed="false">
      <c r="A189" s="54" t="n">
        <v>20260710</v>
      </c>
      <c r="B189" s="54" t="s">
        <v>306</v>
      </c>
      <c r="C189" s="54" t="s">
        <v>307</v>
      </c>
      <c r="D189" s="54" t="s">
        <v>710</v>
      </c>
      <c r="E189" s="54" t="s">
        <v>711</v>
      </c>
      <c r="F189" s="54" t="s">
        <v>716</v>
      </c>
      <c r="G189" s="54" t="s">
        <v>717</v>
      </c>
      <c r="H189" s="54" t="n">
        <v>2725</v>
      </c>
      <c r="I189" s="54" t="s">
        <v>295</v>
      </c>
      <c r="J189" s="54" t="s">
        <v>312</v>
      </c>
    </row>
    <row r="190" customFormat="false" ht="15" hidden="false" customHeight="true" outlineLevel="0" collapsed="false">
      <c r="A190" s="54" t="n">
        <v>20260710</v>
      </c>
      <c r="B190" s="54" t="s">
        <v>306</v>
      </c>
      <c r="C190" s="54" t="s">
        <v>307</v>
      </c>
      <c r="D190" s="54" t="s">
        <v>710</v>
      </c>
      <c r="E190" s="54" t="s">
        <v>711</v>
      </c>
      <c r="F190" s="54" t="s">
        <v>718</v>
      </c>
      <c r="G190" s="54" t="s">
        <v>719</v>
      </c>
      <c r="H190" s="54" t="n">
        <v>2725</v>
      </c>
      <c r="I190" s="54" t="s">
        <v>315</v>
      </c>
      <c r="J190" s="54" t="s">
        <v>312</v>
      </c>
    </row>
    <row r="191" customFormat="false" ht="15" hidden="false" customHeight="true" outlineLevel="0" collapsed="false">
      <c r="A191" s="54" t="n">
        <v>20260710</v>
      </c>
      <c r="B191" s="54" t="s">
        <v>306</v>
      </c>
      <c r="C191" s="54" t="s">
        <v>307</v>
      </c>
      <c r="D191" s="54" t="s">
        <v>710</v>
      </c>
      <c r="E191" s="54" t="s">
        <v>711</v>
      </c>
      <c r="F191" s="54" t="s">
        <v>720</v>
      </c>
      <c r="G191" s="54" t="s">
        <v>721</v>
      </c>
      <c r="H191" s="54" t="n">
        <v>10891</v>
      </c>
      <c r="I191" s="54" t="s">
        <v>295</v>
      </c>
      <c r="J191" s="54" t="s">
        <v>312</v>
      </c>
    </row>
    <row r="192" customFormat="false" ht="15" hidden="false" customHeight="true" outlineLevel="0" collapsed="false">
      <c r="A192" s="54" t="n">
        <v>20260710</v>
      </c>
      <c r="B192" s="54" t="s">
        <v>306</v>
      </c>
      <c r="C192" s="54" t="s">
        <v>307</v>
      </c>
      <c r="D192" s="54" t="s">
        <v>710</v>
      </c>
      <c r="E192" s="54" t="s">
        <v>711</v>
      </c>
      <c r="F192" s="54" t="s">
        <v>720</v>
      </c>
      <c r="G192" s="54" t="s">
        <v>722</v>
      </c>
      <c r="H192" s="54" t="n">
        <v>10897</v>
      </c>
      <c r="I192" s="54" t="s">
        <v>315</v>
      </c>
      <c r="J192" s="54" t="s">
        <v>312</v>
      </c>
    </row>
    <row r="193" customFormat="false" ht="15" hidden="false" customHeight="true" outlineLevel="0" collapsed="false">
      <c r="A193" s="54" t="n">
        <v>20260710</v>
      </c>
      <c r="B193" s="54" t="s">
        <v>306</v>
      </c>
      <c r="C193" s="54" t="s">
        <v>307</v>
      </c>
      <c r="D193" s="54" t="s">
        <v>723</v>
      </c>
      <c r="E193" s="54" t="s">
        <v>724</v>
      </c>
      <c r="F193" s="54" t="s">
        <v>725</v>
      </c>
      <c r="G193" s="54" t="s">
        <v>726</v>
      </c>
      <c r="H193" s="54" t="n">
        <v>23634</v>
      </c>
      <c r="I193" s="54" t="s">
        <v>295</v>
      </c>
      <c r="J193" s="54" t="s">
        <v>727</v>
      </c>
    </row>
    <row r="194" customFormat="false" ht="15" hidden="false" customHeight="true" outlineLevel="0" collapsed="false">
      <c r="A194" s="54" t="n">
        <v>20260710</v>
      </c>
      <c r="B194" s="54" t="s">
        <v>306</v>
      </c>
      <c r="C194" s="54" t="s">
        <v>307</v>
      </c>
      <c r="D194" s="54" t="s">
        <v>723</v>
      </c>
      <c r="E194" s="54" t="s">
        <v>724</v>
      </c>
      <c r="F194" s="54" t="s">
        <v>728</v>
      </c>
      <c r="G194" s="54" t="s">
        <v>729</v>
      </c>
      <c r="H194" s="54" t="n">
        <v>7363</v>
      </c>
      <c r="I194" s="54" t="s">
        <v>295</v>
      </c>
      <c r="J194" s="54" t="s">
        <v>727</v>
      </c>
    </row>
    <row r="195" customFormat="false" ht="15" hidden="false" customHeight="true" outlineLevel="0" collapsed="false">
      <c r="A195" s="54" t="n">
        <v>20260710</v>
      </c>
      <c r="B195" s="54" t="s">
        <v>535</v>
      </c>
      <c r="C195" s="54" t="s">
        <v>290</v>
      </c>
      <c r="D195" s="54" t="s">
        <v>730</v>
      </c>
      <c r="E195" s="54" t="s">
        <v>731</v>
      </c>
      <c r="F195" s="54" t="s">
        <v>732</v>
      </c>
      <c r="G195" s="54" t="s">
        <v>733</v>
      </c>
      <c r="H195" s="54" t="n">
        <v>11134</v>
      </c>
      <c r="I195" s="54" t="s">
        <v>295</v>
      </c>
      <c r="J195" s="54" t="s">
        <v>734</v>
      </c>
    </row>
    <row r="196" customFormat="false" ht="15" hidden="false" customHeight="true" outlineLevel="0" collapsed="false">
      <c r="A196" s="54" t="n">
        <v>20260710</v>
      </c>
      <c r="B196" s="54" t="s">
        <v>535</v>
      </c>
      <c r="C196" s="54" t="s">
        <v>290</v>
      </c>
      <c r="D196" s="54" t="s">
        <v>730</v>
      </c>
      <c r="E196" s="54" t="s">
        <v>731</v>
      </c>
      <c r="F196" s="54" t="s">
        <v>735</v>
      </c>
      <c r="G196" s="54" t="s">
        <v>736</v>
      </c>
      <c r="H196" s="54" t="n">
        <v>1927</v>
      </c>
      <c r="I196" s="54" t="s">
        <v>295</v>
      </c>
      <c r="J196" s="54" t="s">
        <v>734</v>
      </c>
    </row>
    <row r="197" customFormat="false" ht="15" hidden="false" customHeight="true" outlineLevel="0" collapsed="false">
      <c r="A197" s="54" t="n">
        <v>20260710</v>
      </c>
      <c r="B197" s="54" t="s">
        <v>535</v>
      </c>
      <c r="C197" s="54" t="s">
        <v>290</v>
      </c>
      <c r="D197" s="54" t="s">
        <v>730</v>
      </c>
      <c r="E197" s="54" t="s">
        <v>731</v>
      </c>
      <c r="F197" s="54" t="s">
        <v>737</v>
      </c>
      <c r="G197" s="54" t="s">
        <v>738</v>
      </c>
      <c r="H197" s="54" t="n">
        <v>626</v>
      </c>
      <c r="I197" s="54" t="s">
        <v>295</v>
      </c>
      <c r="J197" s="54" t="s">
        <v>734</v>
      </c>
    </row>
    <row r="198" customFormat="false" ht="15" hidden="false" customHeight="true" outlineLevel="0" collapsed="false">
      <c r="A198" s="54" t="n">
        <v>20260710</v>
      </c>
      <c r="B198" s="54" t="s">
        <v>535</v>
      </c>
      <c r="C198" s="54" t="s">
        <v>290</v>
      </c>
      <c r="D198" s="54" t="s">
        <v>730</v>
      </c>
      <c r="E198" s="54" t="s">
        <v>731</v>
      </c>
      <c r="F198" s="54" t="s">
        <v>739</v>
      </c>
      <c r="G198" s="54" t="s">
        <v>740</v>
      </c>
      <c r="H198" s="54" t="n">
        <v>3919</v>
      </c>
      <c r="I198" s="54" t="s">
        <v>295</v>
      </c>
      <c r="J198" s="54" t="s">
        <v>734</v>
      </c>
    </row>
    <row r="199" customFormat="false" ht="15" hidden="false" customHeight="true" outlineLevel="0" collapsed="false">
      <c r="A199" s="54" t="n">
        <v>20260710</v>
      </c>
      <c r="B199" s="54" t="s">
        <v>535</v>
      </c>
      <c r="C199" s="54" t="s">
        <v>290</v>
      </c>
      <c r="D199" s="54" t="s">
        <v>730</v>
      </c>
      <c r="E199" s="54" t="s">
        <v>731</v>
      </c>
      <c r="F199" s="54" t="s">
        <v>741</v>
      </c>
      <c r="G199" s="54" t="s">
        <v>533</v>
      </c>
      <c r="H199" s="54" t="n">
        <v>9450</v>
      </c>
      <c r="I199" s="54" t="s">
        <v>295</v>
      </c>
      <c r="J199" s="54" t="s">
        <v>734</v>
      </c>
    </row>
    <row r="200" customFormat="false" ht="15" hidden="false" customHeight="true" outlineLevel="0" collapsed="false">
      <c r="A200" s="54" t="n">
        <v>20260710</v>
      </c>
      <c r="B200" s="54" t="s">
        <v>688</v>
      </c>
      <c r="C200" s="54" t="s">
        <v>307</v>
      </c>
      <c r="D200" s="54" t="s">
        <v>742</v>
      </c>
      <c r="E200" s="54" t="s">
        <v>148</v>
      </c>
      <c r="F200" s="54" t="s">
        <v>743</v>
      </c>
      <c r="G200" s="54" t="s">
        <v>744</v>
      </c>
      <c r="H200" s="54" t="n">
        <v>18552</v>
      </c>
      <c r="I200" s="54" t="s">
        <v>295</v>
      </c>
      <c r="J200" s="54" t="s">
        <v>745</v>
      </c>
    </row>
    <row r="201" customFormat="false" ht="15" hidden="false" customHeight="true" outlineLevel="0" collapsed="false">
      <c r="A201" s="54" t="n">
        <v>20260710</v>
      </c>
      <c r="B201" s="54" t="s">
        <v>688</v>
      </c>
      <c r="C201" s="54" t="s">
        <v>307</v>
      </c>
      <c r="D201" s="54" t="s">
        <v>742</v>
      </c>
      <c r="E201" s="54" t="s">
        <v>148</v>
      </c>
      <c r="F201" s="54" t="s">
        <v>746</v>
      </c>
      <c r="G201" s="54" t="s">
        <v>747</v>
      </c>
      <c r="H201" s="54" t="n">
        <v>14357</v>
      </c>
      <c r="I201" s="54" t="s">
        <v>295</v>
      </c>
      <c r="J201" s="54" t="s">
        <v>745</v>
      </c>
    </row>
    <row r="202" customFormat="false" ht="15" hidden="false" customHeight="true" outlineLevel="0" collapsed="false">
      <c r="A202" s="54" t="n">
        <v>20260710</v>
      </c>
      <c r="B202" s="54" t="s">
        <v>306</v>
      </c>
      <c r="C202" s="54" t="s">
        <v>307</v>
      </c>
      <c r="D202" s="54" t="s">
        <v>748</v>
      </c>
      <c r="E202" s="54" t="s">
        <v>749</v>
      </c>
      <c r="F202" s="54" t="s">
        <v>750</v>
      </c>
      <c r="G202" s="54" t="s">
        <v>751</v>
      </c>
      <c r="H202" s="54" t="n">
        <v>10890</v>
      </c>
      <c r="I202" s="54" t="s">
        <v>295</v>
      </c>
      <c r="J202" s="54" t="s">
        <v>752</v>
      </c>
    </row>
    <row r="203" customFormat="false" ht="15" hidden="false" customHeight="true" outlineLevel="0" collapsed="false">
      <c r="A203" s="54" t="n">
        <v>20260710</v>
      </c>
      <c r="B203" s="54" t="s">
        <v>306</v>
      </c>
      <c r="C203" s="54" t="s">
        <v>307</v>
      </c>
      <c r="D203" s="54" t="s">
        <v>748</v>
      </c>
      <c r="E203" s="54" t="s">
        <v>749</v>
      </c>
      <c r="F203" s="54" t="s">
        <v>753</v>
      </c>
      <c r="G203" s="54" t="s">
        <v>754</v>
      </c>
      <c r="H203" s="54" t="n">
        <v>157</v>
      </c>
      <c r="I203" s="54" t="s">
        <v>295</v>
      </c>
      <c r="J203" s="54" t="s">
        <v>752</v>
      </c>
    </row>
    <row r="204" customFormat="false" ht="15" hidden="false" customHeight="true" outlineLevel="0" collapsed="false">
      <c r="A204" s="54" t="n">
        <v>20260710</v>
      </c>
      <c r="B204" s="54" t="s">
        <v>306</v>
      </c>
      <c r="C204" s="54" t="s">
        <v>307</v>
      </c>
      <c r="D204" s="54" t="s">
        <v>748</v>
      </c>
      <c r="E204" s="54" t="s">
        <v>749</v>
      </c>
      <c r="F204" s="54" t="s">
        <v>755</v>
      </c>
      <c r="G204" s="54" t="s">
        <v>756</v>
      </c>
      <c r="H204" s="54" t="n">
        <v>17716</v>
      </c>
      <c r="I204" s="54" t="s">
        <v>295</v>
      </c>
      <c r="J204" s="54" t="s">
        <v>752</v>
      </c>
    </row>
    <row r="205" customFormat="false" ht="15" hidden="false" customHeight="true" outlineLevel="0" collapsed="false">
      <c r="A205" s="54" t="n">
        <v>20260710</v>
      </c>
      <c r="B205" s="54" t="s">
        <v>757</v>
      </c>
      <c r="C205" s="54" t="s">
        <v>307</v>
      </c>
      <c r="D205" s="54" t="s">
        <v>758</v>
      </c>
      <c r="E205" s="54" t="s">
        <v>759</v>
      </c>
      <c r="F205" s="54" t="s">
        <v>760</v>
      </c>
      <c r="G205" s="54" t="s">
        <v>761</v>
      </c>
      <c r="H205" s="54" t="n">
        <v>18167</v>
      </c>
      <c r="I205" s="54" t="s">
        <v>295</v>
      </c>
      <c r="J205" s="54" t="s">
        <v>762</v>
      </c>
    </row>
    <row r="206" customFormat="false" ht="15" hidden="false" customHeight="true" outlineLevel="0" collapsed="false">
      <c r="A206" s="54" t="n">
        <v>20260710</v>
      </c>
      <c r="B206" s="54" t="s">
        <v>757</v>
      </c>
      <c r="C206" s="54" t="s">
        <v>307</v>
      </c>
      <c r="D206" s="54" t="s">
        <v>758</v>
      </c>
      <c r="E206" s="54" t="s">
        <v>759</v>
      </c>
      <c r="F206" s="54" t="s">
        <v>763</v>
      </c>
      <c r="G206" s="54" t="s">
        <v>764</v>
      </c>
      <c r="H206" s="54" t="n">
        <v>2</v>
      </c>
      <c r="I206" s="54" t="s">
        <v>295</v>
      </c>
      <c r="J206" s="54" t="s">
        <v>762</v>
      </c>
    </row>
    <row r="207" customFormat="false" ht="15" hidden="false" customHeight="true" outlineLevel="0" collapsed="false">
      <c r="A207" s="54" t="n">
        <v>20260710</v>
      </c>
      <c r="B207" s="54" t="s">
        <v>757</v>
      </c>
      <c r="C207" s="54" t="s">
        <v>307</v>
      </c>
      <c r="D207" s="54" t="s">
        <v>758</v>
      </c>
      <c r="E207" s="54" t="s">
        <v>759</v>
      </c>
      <c r="F207" s="54" t="s">
        <v>765</v>
      </c>
      <c r="G207" s="54" t="s">
        <v>766</v>
      </c>
      <c r="H207" s="54" t="n">
        <v>10900</v>
      </c>
      <c r="I207" s="54" t="s">
        <v>295</v>
      </c>
      <c r="J207" s="54" t="s">
        <v>762</v>
      </c>
    </row>
    <row r="208" customFormat="false" ht="15" hidden="false" customHeight="true" outlineLevel="0" collapsed="false">
      <c r="A208" s="54" t="n">
        <v>20260710</v>
      </c>
      <c r="B208" s="54" t="s">
        <v>688</v>
      </c>
      <c r="C208" s="54" t="s">
        <v>307</v>
      </c>
      <c r="D208" s="54" t="s">
        <v>767</v>
      </c>
      <c r="E208" s="54" t="s">
        <v>768</v>
      </c>
      <c r="F208" s="54" t="s">
        <v>769</v>
      </c>
      <c r="G208" s="54" t="s">
        <v>770</v>
      </c>
      <c r="H208" s="54" t="n">
        <v>8001</v>
      </c>
      <c r="I208" s="54" t="s">
        <v>295</v>
      </c>
      <c r="J208" s="54" t="s">
        <v>693</v>
      </c>
    </row>
    <row r="209" customFormat="false" ht="15" hidden="false" customHeight="true" outlineLevel="0" collapsed="false">
      <c r="A209" s="54" t="n">
        <v>20260710</v>
      </c>
      <c r="B209" s="54" t="s">
        <v>688</v>
      </c>
      <c r="C209" s="54" t="s">
        <v>307</v>
      </c>
      <c r="D209" s="54" t="s">
        <v>767</v>
      </c>
      <c r="E209" s="54" t="s">
        <v>768</v>
      </c>
      <c r="F209" s="54" t="s">
        <v>771</v>
      </c>
      <c r="G209" s="54" t="s">
        <v>772</v>
      </c>
      <c r="H209" s="54" t="n">
        <v>9992</v>
      </c>
      <c r="I209" s="54" t="s">
        <v>295</v>
      </c>
      <c r="J209" s="54" t="s">
        <v>693</v>
      </c>
    </row>
    <row r="210" customFormat="false" ht="15" hidden="false" customHeight="true" outlineLevel="0" collapsed="false">
      <c r="A210" s="54" t="n">
        <v>20260710</v>
      </c>
      <c r="B210" s="54" t="s">
        <v>688</v>
      </c>
      <c r="C210" s="54" t="s">
        <v>307</v>
      </c>
      <c r="D210" s="54" t="s">
        <v>767</v>
      </c>
      <c r="E210" s="54" t="s">
        <v>768</v>
      </c>
      <c r="F210" s="54" t="s">
        <v>773</v>
      </c>
      <c r="G210" s="54" t="s">
        <v>774</v>
      </c>
      <c r="H210" s="54" t="n">
        <v>14680</v>
      </c>
      <c r="I210" s="54" t="s">
        <v>295</v>
      </c>
      <c r="J210" s="54" t="s">
        <v>693</v>
      </c>
    </row>
    <row r="211" customFormat="false" ht="15" hidden="false" customHeight="true" outlineLevel="0" collapsed="false">
      <c r="A211" s="54" t="n">
        <v>20260710</v>
      </c>
      <c r="B211" s="54" t="s">
        <v>535</v>
      </c>
      <c r="C211" s="54" t="s">
        <v>290</v>
      </c>
      <c r="D211" s="54" t="s">
        <v>775</v>
      </c>
      <c r="E211" s="54" t="s">
        <v>776</v>
      </c>
      <c r="F211" s="54" t="s">
        <v>777</v>
      </c>
      <c r="G211" s="54" t="s">
        <v>778</v>
      </c>
      <c r="H211" s="54" t="n">
        <v>14437</v>
      </c>
      <c r="I211" s="54" t="s">
        <v>295</v>
      </c>
      <c r="J211" s="54" t="s">
        <v>779</v>
      </c>
    </row>
    <row r="212" customFormat="false" ht="15" hidden="false" customHeight="true" outlineLevel="0" collapsed="false">
      <c r="A212" s="54" t="n">
        <v>20260710</v>
      </c>
      <c r="B212" s="54" t="s">
        <v>535</v>
      </c>
      <c r="C212" s="54" t="s">
        <v>290</v>
      </c>
      <c r="D212" s="54" t="s">
        <v>775</v>
      </c>
      <c r="E212" s="54" t="s">
        <v>776</v>
      </c>
      <c r="F212" s="54" t="s">
        <v>780</v>
      </c>
      <c r="G212" s="54" t="s">
        <v>781</v>
      </c>
      <c r="H212" s="54" t="n">
        <v>14422</v>
      </c>
      <c r="I212" s="54" t="s">
        <v>295</v>
      </c>
      <c r="J212" s="54" t="s">
        <v>779</v>
      </c>
    </row>
    <row r="213" customFormat="false" ht="15" hidden="false" customHeight="true" outlineLevel="0" collapsed="false">
      <c r="A213" s="54" t="n">
        <v>20260710</v>
      </c>
      <c r="B213" s="54" t="s">
        <v>757</v>
      </c>
      <c r="C213" s="54" t="s">
        <v>307</v>
      </c>
      <c r="D213" s="54" t="s">
        <v>782</v>
      </c>
      <c r="E213" s="54" t="s">
        <v>783</v>
      </c>
      <c r="F213" s="54" t="s">
        <v>784</v>
      </c>
      <c r="G213" s="54" t="s">
        <v>785</v>
      </c>
      <c r="H213" s="54" t="n">
        <v>15107</v>
      </c>
      <c r="I213" s="54" t="s">
        <v>295</v>
      </c>
      <c r="J213" s="54" t="s">
        <v>762</v>
      </c>
    </row>
    <row r="214" customFormat="false" ht="15" hidden="false" customHeight="true" outlineLevel="0" collapsed="false">
      <c r="A214" s="54" t="n">
        <v>20260710</v>
      </c>
      <c r="B214" s="54" t="s">
        <v>757</v>
      </c>
      <c r="C214" s="54" t="s">
        <v>307</v>
      </c>
      <c r="D214" s="54" t="s">
        <v>782</v>
      </c>
      <c r="E214" s="54" t="s">
        <v>783</v>
      </c>
      <c r="F214" s="54" t="s">
        <v>786</v>
      </c>
      <c r="G214" s="54" t="s">
        <v>787</v>
      </c>
      <c r="H214" s="54" t="n">
        <v>2846</v>
      </c>
      <c r="I214" s="54" t="s">
        <v>295</v>
      </c>
      <c r="J214" s="54" t="s">
        <v>762</v>
      </c>
    </row>
    <row r="215" customFormat="false" ht="15" hidden="false" customHeight="true" outlineLevel="0" collapsed="false">
      <c r="A215" s="54" t="n">
        <v>20260710</v>
      </c>
      <c r="B215" s="54" t="s">
        <v>757</v>
      </c>
      <c r="C215" s="54" t="s">
        <v>307</v>
      </c>
      <c r="D215" s="54" t="s">
        <v>782</v>
      </c>
      <c r="E215" s="54" t="s">
        <v>783</v>
      </c>
      <c r="F215" s="54" t="s">
        <v>788</v>
      </c>
      <c r="G215" s="54" t="s">
        <v>789</v>
      </c>
      <c r="H215" s="54" t="n">
        <v>10918</v>
      </c>
      <c r="I215" s="54" t="s">
        <v>295</v>
      </c>
      <c r="J215" s="54" t="s">
        <v>762</v>
      </c>
    </row>
    <row r="216" customFormat="false" ht="15" hidden="false" customHeight="true" outlineLevel="0" collapsed="false">
      <c r="A216" s="54" t="n">
        <v>20260710</v>
      </c>
      <c r="B216" s="54" t="s">
        <v>535</v>
      </c>
      <c r="C216" s="54" t="s">
        <v>307</v>
      </c>
      <c r="D216" s="54" t="s">
        <v>790</v>
      </c>
      <c r="E216" s="54" t="s">
        <v>791</v>
      </c>
      <c r="F216" s="54" t="s">
        <v>792</v>
      </c>
      <c r="G216" s="54" t="s">
        <v>793</v>
      </c>
      <c r="H216" s="54" t="n">
        <v>2692</v>
      </c>
      <c r="I216" s="54" t="s">
        <v>295</v>
      </c>
      <c r="J216" s="54" t="s">
        <v>326</v>
      </c>
    </row>
    <row r="217" customFormat="false" ht="15" hidden="false" customHeight="true" outlineLevel="0" collapsed="false">
      <c r="A217" s="54" t="n">
        <v>20260710</v>
      </c>
      <c r="B217" s="54" t="s">
        <v>535</v>
      </c>
      <c r="C217" s="54" t="s">
        <v>307</v>
      </c>
      <c r="D217" s="54" t="s">
        <v>790</v>
      </c>
      <c r="E217" s="54" t="s">
        <v>791</v>
      </c>
      <c r="F217" s="54" t="s">
        <v>794</v>
      </c>
      <c r="G217" s="54" t="s">
        <v>795</v>
      </c>
      <c r="H217" s="54" t="n">
        <v>2397</v>
      </c>
      <c r="I217" s="54" t="s">
        <v>295</v>
      </c>
      <c r="J217" s="54" t="s">
        <v>326</v>
      </c>
    </row>
    <row r="218" customFormat="false" ht="15" hidden="false" customHeight="true" outlineLevel="0" collapsed="false">
      <c r="A218" s="54" t="n">
        <v>20260710</v>
      </c>
      <c r="B218" s="54" t="s">
        <v>535</v>
      </c>
      <c r="C218" s="54" t="s">
        <v>307</v>
      </c>
      <c r="D218" s="54" t="s">
        <v>790</v>
      </c>
      <c r="E218" s="54" t="s">
        <v>791</v>
      </c>
      <c r="F218" s="54" t="s">
        <v>796</v>
      </c>
      <c r="G218" s="54" t="s">
        <v>797</v>
      </c>
      <c r="H218" s="54" t="n">
        <v>12854</v>
      </c>
      <c r="I218" s="54" t="s">
        <v>295</v>
      </c>
      <c r="J218" s="54" t="s">
        <v>326</v>
      </c>
    </row>
    <row r="219" customFormat="false" ht="15" hidden="false" customHeight="true" outlineLevel="0" collapsed="false">
      <c r="A219" s="54" t="n">
        <v>20260710</v>
      </c>
      <c r="B219" s="54" t="s">
        <v>535</v>
      </c>
      <c r="C219" s="54" t="s">
        <v>307</v>
      </c>
      <c r="D219" s="54" t="s">
        <v>790</v>
      </c>
      <c r="E219" s="54" t="s">
        <v>791</v>
      </c>
      <c r="F219" s="54" t="s">
        <v>798</v>
      </c>
      <c r="G219" s="54" t="s">
        <v>721</v>
      </c>
      <c r="H219" s="54" t="n">
        <v>13611</v>
      </c>
      <c r="I219" s="54" t="s">
        <v>295</v>
      </c>
      <c r="J219" s="54" t="s">
        <v>326</v>
      </c>
    </row>
    <row r="220" customFormat="false" ht="15" hidden="false" customHeight="true" outlineLevel="0" collapsed="false">
      <c r="A220" s="54" t="n">
        <v>20260710</v>
      </c>
      <c r="B220" s="54" t="s">
        <v>688</v>
      </c>
      <c r="C220" s="54" t="s">
        <v>307</v>
      </c>
      <c r="D220" s="54" t="s">
        <v>799</v>
      </c>
      <c r="E220" s="54" t="s">
        <v>800</v>
      </c>
      <c r="F220" s="54" t="s">
        <v>801</v>
      </c>
      <c r="G220" s="54" t="s">
        <v>802</v>
      </c>
      <c r="H220" s="54" t="n">
        <v>14762</v>
      </c>
      <c r="I220" s="54" t="s">
        <v>295</v>
      </c>
      <c r="J220" s="54" t="s">
        <v>745</v>
      </c>
    </row>
    <row r="221" customFormat="false" ht="15" hidden="false" customHeight="true" outlineLevel="0" collapsed="false">
      <c r="A221" s="54" t="n">
        <v>20260710</v>
      </c>
      <c r="B221" s="54" t="s">
        <v>688</v>
      </c>
      <c r="C221" s="54" t="s">
        <v>307</v>
      </c>
      <c r="D221" s="54" t="s">
        <v>799</v>
      </c>
      <c r="E221" s="54" t="s">
        <v>800</v>
      </c>
      <c r="F221" s="54" t="s">
        <v>803</v>
      </c>
      <c r="G221" s="54" t="s">
        <v>804</v>
      </c>
      <c r="H221" s="54" t="n">
        <v>3312</v>
      </c>
      <c r="I221" s="54" t="s">
        <v>295</v>
      </c>
      <c r="J221" s="54" t="s">
        <v>745</v>
      </c>
    </row>
    <row r="222" customFormat="false" ht="15" hidden="false" customHeight="true" outlineLevel="0" collapsed="false">
      <c r="A222" s="54" t="n">
        <v>20260710</v>
      </c>
      <c r="B222" s="54" t="s">
        <v>688</v>
      </c>
      <c r="C222" s="54" t="s">
        <v>307</v>
      </c>
      <c r="D222" s="54" t="s">
        <v>799</v>
      </c>
      <c r="E222" s="54" t="s">
        <v>800</v>
      </c>
      <c r="F222" s="54" t="s">
        <v>805</v>
      </c>
      <c r="G222" s="54" t="s">
        <v>806</v>
      </c>
      <c r="H222" s="54" t="n">
        <v>14461</v>
      </c>
      <c r="I222" s="54" t="s">
        <v>295</v>
      </c>
      <c r="J222" s="54" t="s">
        <v>745</v>
      </c>
    </row>
    <row r="223" customFormat="false" ht="15" hidden="false" customHeight="true" outlineLevel="0" collapsed="false">
      <c r="A223" s="54" t="n">
        <v>20260710</v>
      </c>
      <c r="B223" s="54" t="s">
        <v>497</v>
      </c>
      <c r="C223" s="54" t="s">
        <v>290</v>
      </c>
      <c r="D223" s="54" t="s">
        <v>807</v>
      </c>
      <c r="E223" s="54" t="s">
        <v>808</v>
      </c>
      <c r="F223" s="54" t="s">
        <v>809</v>
      </c>
      <c r="G223" s="54" t="s">
        <v>810</v>
      </c>
      <c r="H223" s="54" t="n">
        <v>17941</v>
      </c>
      <c r="I223" s="54" t="s">
        <v>295</v>
      </c>
      <c r="J223" s="54" t="s">
        <v>811</v>
      </c>
    </row>
    <row r="224" customFormat="false" ht="15" hidden="false" customHeight="true" outlineLevel="0" collapsed="false">
      <c r="A224" s="54" t="n">
        <v>20260710</v>
      </c>
      <c r="B224" s="54" t="s">
        <v>497</v>
      </c>
      <c r="C224" s="54" t="s">
        <v>290</v>
      </c>
      <c r="D224" s="54" t="s">
        <v>807</v>
      </c>
      <c r="E224" s="54" t="s">
        <v>808</v>
      </c>
      <c r="F224" s="54" t="s">
        <v>812</v>
      </c>
      <c r="G224" s="54" t="s">
        <v>813</v>
      </c>
      <c r="H224" s="54" t="n">
        <v>7820</v>
      </c>
      <c r="I224" s="54" t="s">
        <v>295</v>
      </c>
      <c r="J224" s="54" t="s">
        <v>811</v>
      </c>
    </row>
    <row r="225" customFormat="false" ht="15" hidden="false" customHeight="true" outlineLevel="0" collapsed="false">
      <c r="A225" s="54" t="n">
        <v>20260710</v>
      </c>
      <c r="B225" s="54" t="s">
        <v>168</v>
      </c>
      <c r="C225" s="54" t="s">
        <v>290</v>
      </c>
      <c r="D225" s="54" t="s">
        <v>814</v>
      </c>
      <c r="E225" s="54" t="s">
        <v>815</v>
      </c>
      <c r="F225" s="54" t="s">
        <v>816</v>
      </c>
      <c r="G225" s="54" t="s">
        <v>817</v>
      </c>
      <c r="H225" s="54" t="n">
        <v>5</v>
      </c>
      <c r="I225" s="54" t="s">
        <v>295</v>
      </c>
      <c r="J225" s="54" t="s">
        <v>818</v>
      </c>
    </row>
    <row r="226" customFormat="false" ht="15" hidden="false" customHeight="true" outlineLevel="0" collapsed="false">
      <c r="A226" s="54" t="n">
        <v>20260710</v>
      </c>
      <c r="B226" s="54" t="s">
        <v>168</v>
      </c>
      <c r="C226" s="54" t="s">
        <v>290</v>
      </c>
      <c r="D226" s="54" t="s">
        <v>814</v>
      </c>
      <c r="E226" s="54" t="s">
        <v>815</v>
      </c>
      <c r="F226" s="54" t="s">
        <v>819</v>
      </c>
      <c r="G226" s="54" t="s">
        <v>820</v>
      </c>
      <c r="H226" s="54" t="n">
        <v>11633</v>
      </c>
      <c r="I226" s="54" t="s">
        <v>295</v>
      </c>
      <c r="J226" s="54" t="s">
        <v>818</v>
      </c>
    </row>
    <row r="227" customFormat="false" ht="15" hidden="false" customHeight="true" outlineLevel="0" collapsed="false">
      <c r="A227" s="54" t="n">
        <v>20260710</v>
      </c>
      <c r="B227" s="54" t="s">
        <v>168</v>
      </c>
      <c r="C227" s="54" t="s">
        <v>290</v>
      </c>
      <c r="D227" s="54" t="s">
        <v>814</v>
      </c>
      <c r="E227" s="54" t="s">
        <v>815</v>
      </c>
      <c r="F227" s="54" t="s">
        <v>821</v>
      </c>
      <c r="G227" s="54" t="s">
        <v>822</v>
      </c>
      <c r="H227" s="54" t="n">
        <v>32</v>
      </c>
      <c r="I227" s="54" t="s">
        <v>295</v>
      </c>
      <c r="J227" s="54" t="s">
        <v>818</v>
      </c>
    </row>
    <row r="228" customFormat="false" ht="15" hidden="false" customHeight="true" outlineLevel="0" collapsed="false">
      <c r="A228" s="54" t="n">
        <v>20260710</v>
      </c>
      <c r="B228" s="54" t="s">
        <v>168</v>
      </c>
      <c r="C228" s="54" t="s">
        <v>290</v>
      </c>
      <c r="D228" s="54" t="s">
        <v>814</v>
      </c>
      <c r="E228" s="54" t="s">
        <v>815</v>
      </c>
      <c r="F228" s="54" t="s">
        <v>823</v>
      </c>
      <c r="G228" s="54" t="s">
        <v>824</v>
      </c>
      <c r="H228" s="54" t="n">
        <v>2788</v>
      </c>
      <c r="I228" s="54" t="s">
        <v>295</v>
      </c>
      <c r="J228" s="54" t="s">
        <v>818</v>
      </c>
    </row>
    <row r="229" customFormat="false" ht="15" hidden="false" customHeight="true" outlineLevel="0" collapsed="false">
      <c r="A229" s="54" t="n">
        <v>20260710</v>
      </c>
      <c r="B229" s="54" t="s">
        <v>168</v>
      </c>
      <c r="C229" s="54" t="s">
        <v>290</v>
      </c>
      <c r="D229" s="54" t="s">
        <v>814</v>
      </c>
      <c r="E229" s="54" t="s">
        <v>815</v>
      </c>
      <c r="F229" s="54" t="s">
        <v>825</v>
      </c>
      <c r="G229" s="54" t="s">
        <v>826</v>
      </c>
      <c r="H229" s="54" t="n">
        <v>13</v>
      </c>
      <c r="I229" s="54" t="s">
        <v>295</v>
      </c>
      <c r="J229" s="54" t="s">
        <v>818</v>
      </c>
    </row>
    <row r="230" customFormat="false" ht="15" hidden="false" customHeight="true" outlineLevel="0" collapsed="false">
      <c r="A230" s="54" t="n">
        <v>20260710</v>
      </c>
      <c r="B230" s="54" t="s">
        <v>168</v>
      </c>
      <c r="C230" s="54" t="s">
        <v>290</v>
      </c>
      <c r="D230" s="54" t="s">
        <v>814</v>
      </c>
      <c r="E230" s="54" t="s">
        <v>815</v>
      </c>
      <c r="F230" s="54" t="s">
        <v>827</v>
      </c>
      <c r="G230" s="54" t="s">
        <v>828</v>
      </c>
      <c r="H230" s="54" t="n">
        <v>14303</v>
      </c>
      <c r="I230" s="54" t="s">
        <v>295</v>
      </c>
      <c r="J230" s="54" t="s">
        <v>818</v>
      </c>
    </row>
    <row r="231" customFormat="false" ht="15" hidden="false" customHeight="true" outlineLevel="0" collapsed="false">
      <c r="A231" s="54" t="n">
        <v>20260710</v>
      </c>
      <c r="B231" s="54" t="s">
        <v>306</v>
      </c>
      <c r="C231" s="54" t="s">
        <v>290</v>
      </c>
      <c r="D231" s="54" t="s">
        <v>829</v>
      </c>
      <c r="E231" s="54" t="s">
        <v>830</v>
      </c>
      <c r="F231" s="54" t="s">
        <v>712</v>
      </c>
      <c r="G231" s="54" t="s">
        <v>831</v>
      </c>
      <c r="H231" s="54" t="n">
        <v>3</v>
      </c>
      <c r="I231" s="54" t="s">
        <v>295</v>
      </c>
      <c r="J231" s="54" t="s">
        <v>375</v>
      </c>
    </row>
    <row r="232" customFormat="false" ht="15" hidden="false" customHeight="true" outlineLevel="0" collapsed="false">
      <c r="A232" s="54" t="n">
        <v>20260710</v>
      </c>
      <c r="B232" s="54" t="s">
        <v>306</v>
      </c>
      <c r="C232" s="54" t="s">
        <v>290</v>
      </c>
      <c r="D232" s="54" t="s">
        <v>829</v>
      </c>
      <c r="E232" s="54" t="s">
        <v>830</v>
      </c>
      <c r="F232" s="54" t="s">
        <v>832</v>
      </c>
      <c r="G232" s="54" t="s">
        <v>833</v>
      </c>
      <c r="H232" s="54" t="n">
        <v>16069</v>
      </c>
      <c r="I232" s="54" t="s">
        <v>295</v>
      </c>
      <c r="J232" s="54" t="s">
        <v>375</v>
      </c>
    </row>
    <row r="233" customFormat="false" ht="15" hidden="false" customHeight="true" outlineLevel="0" collapsed="false">
      <c r="A233" s="54" t="n">
        <v>20260710</v>
      </c>
      <c r="B233" s="54" t="s">
        <v>306</v>
      </c>
      <c r="C233" s="54" t="s">
        <v>290</v>
      </c>
      <c r="D233" s="54" t="s">
        <v>829</v>
      </c>
      <c r="E233" s="54" t="s">
        <v>830</v>
      </c>
      <c r="F233" s="54" t="s">
        <v>834</v>
      </c>
      <c r="G233" s="54" t="s">
        <v>835</v>
      </c>
      <c r="H233" s="54" t="n">
        <v>13002</v>
      </c>
      <c r="I233" s="54" t="s">
        <v>295</v>
      </c>
      <c r="J233" s="54" t="s">
        <v>375</v>
      </c>
    </row>
    <row r="234" customFormat="false" ht="15" hidden="false" customHeight="true" outlineLevel="0" collapsed="false">
      <c r="A234" s="54" t="n">
        <v>20260710</v>
      </c>
      <c r="B234" s="54" t="s">
        <v>289</v>
      </c>
      <c r="C234" s="54" t="s">
        <v>290</v>
      </c>
      <c r="D234" s="54" t="s">
        <v>299</v>
      </c>
      <c r="E234" s="54" t="s">
        <v>300</v>
      </c>
      <c r="F234" s="54" t="s">
        <v>836</v>
      </c>
      <c r="G234" s="54" t="s">
        <v>837</v>
      </c>
      <c r="H234" s="54" t="n">
        <v>14660</v>
      </c>
      <c r="I234" s="54" t="s">
        <v>295</v>
      </c>
      <c r="J234" s="54" t="s">
        <v>303</v>
      </c>
    </row>
    <row r="235" customFormat="false" ht="15" hidden="false" customHeight="true" outlineLevel="0" collapsed="false">
      <c r="A235" s="54" t="n">
        <v>20260710</v>
      </c>
      <c r="B235" s="54" t="s">
        <v>289</v>
      </c>
      <c r="C235" s="54" t="s">
        <v>290</v>
      </c>
      <c r="D235" s="54" t="s">
        <v>299</v>
      </c>
      <c r="E235" s="54" t="s">
        <v>300</v>
      </c>
      <c r="F235" s="54" t="s">
        <v>838</v>
      </c>
      <c r="G235" s="54" t="s">
        <v>839</v>
      </c>
      <c r="H235" s="54" t="n">
        <v>18248</v>
      </c>
      <c r="I235" s="54" t="s">
        <v>295</v>
      </c>
      <c r="J235" s="54" t="s">
        <v>303</v>
      </c>
    </row>
    <row r="236" customFormat="false" ht="15" hidden="false" customHeight="true" outlineLevel="0" collapsed="false">
      <c r="A236" s="54" t="n">
        <v>20260710</v>
      </c>
      <c r="B236" s="54" t="s">
        <v>289</v>
      </c>
      <c r="C236" s="54" t="s">
        <v>290</v>
      </c>
      <c r="D236" s="54" t="s">
        <v>840</v>
      </c>
      <c r="E236" s="54" t="s">
        <v>841</v>
      </c>
      <c r="F236" s="54" t="s">
        <v>842</v>
      </c>
      <c r="G236" s="54" t="s">
        <v>843</v>
      </c>
      <c r="H236" s="54" t="n">
        <v>3731</v>
      </c>
      <c r="I236" s="54" t="s">
        <v>295</v>
      </c>
      <c r="J236" s="54" t="s">
        <v>569</v>
      </c>
    </row>
    <row r="237" customFormat="false" ht="15" hidden="false" customHeight="true" outlineLevel="0" collapsed="false">
      <c r="A237" s="54" t="n">
        <v>20260710</v>
      </c>
      <c r="B237" s="54" t="s">
        <v>289</v>
      </c>
      <c r="C237" s="54" t="s">
        <v>290</v>
      </c>
      <c r="D237" s="54" t="s">
        <v>840</v>
      </c>
      <c r="E237" s="54" t="s">
        <v>841</v>
      </c>
      <c r="F237" s="54" t="s">
        <v>844</v>
      </c>
      <c r="G237" s="54" t="s">
        <v>845</v>
      </c>
      <c r="H237" s="54" t="n">
        <v>19686</v>
      </c>
      <c r="I237" s="54" t="s">
        <v>295</v>
      </c>
      <c r="J237" s="54" t="s">
        <v>569</v>
      </c>
    </row>
    <row r="238" customFormat="false" ht="15" hidden="false" customHeight="true" outlineLevel="0" collapsed="false">
      <c r="A238" s="54" t="n">
        <v>20260710</v>
      </c>
      <c r="B238" s="54" t="s">
        <v>289</v>
      </c>
      <c r="C238" s="54" t="s">
        <v>290</v>
      </c>
      <c r="D238" s="54" t="s">
        <v>840</v>
      </c>
      <c r="E238" s="54" t="s">
        <v>841</v>
      </c>
      <c r="F238" s="54" t="s">
        <v>846</v>
      </c>
      <c r="G238" s="54" t="s">
        <v>847</v>
      </c>
      <c r="H238" s="54" t="n">
        <v>5477</v>
      </c>
      <c r="I238" s="54" t="s">
        <v>295</v>
      </c>
      <c r="J238" s="54" t="s">
        <v>569</v>
      </c>
    </row>
    <row r="239" customFormat="false" ht="15" hidden="false" customHeight="true" outlineLevel="0" collapsed="false">
      <c r="A239" s="54" t="n">
        <v>20260710</v>
      </c>
      <c r="B239" s="54" t="s">
        <v>289</v>
      </c>
      <c r="C239" s="54" t="s">
        <v>290</v>
      </c>
      <c r="D239" s="54" t="s">
        <v>848</v>
      </c>
      <c r="E239" s="54" t="s">
        <v>849</v>
      </c>
      <c r="F239" s="54" t="s">
        <v>850</v>
      </c>
      <c r="G239" s="54" t="s">
        <v>851</v>
      </c>
      <c r="H239" s="54" t="n">
        <v>18605</v>
      </c>
      <c r="I239" s="54" t="s">
        <v>360</v>
      </c>
      <c r="J239" s="54" t="s">
        <v>852</v>
      </c>
    </row>
    <row r="240" customFormat="false" ht="15" hidden="false" customHeight="true" outlineLevel="0" collapsed="false">
      <c r="A240" s="54" t="n">
        <v>20260710</v>
      </c>
      <c r="B240" s="54" t="s">
        <v>289</v>
      </c>
      <c r="C240" s="54" t="s">
        <v>290</v>
      </c>
      <c r="D240" s="54" t="s">
        <v>848</v>
      </c>
      <c r="E240" s="54" t="s">
        <v>849</v>
      </c>
      <c r="F240" s="54" t="s">
        <v>850</v>
      </c>
      <c r="G240" s="54" t="s">
        <v>851</v>
      </c>
      <c r="H240" s="54" t="n">
        <v>18605</v>
      </c>
      <c r="I240" s="54" t="s">
        <v>295</v>
      </c>
      <c r="J240" s="54" t="s">
        <v>852</v>
      </c>
    </row>
    <row r="241" customFormat="false" ht="15" hidden="false" customHeight="true" outlineLevel="0" collapsed="false">
      <c r="A241" s="54" t="n">
        <v>20260710</v>
      </c>
      <c r="B241" s="54" t="s">
        <v>289</v>
      </c>
      <c r="C241" s="54" t="s">
        <v>290</v>
      </c>
      <c r="D241" s="54" t="s">
        <v>848</v>
      </c>
      <c r="E241" s="54" t="s">
        <v>849</v>
      </c>
      <c r="F241" s="54" t="s">
        <v>853</v>
      </c>
      <c r="G241" s="54" t="s">
        <v>854</v>
      </c>
      <c r="H241" s="54" t="n">
        <v>11218</v>
      </c>
      <c r="I241" s="54" t="s">
        <v>360</v>
      </c>
      <c r="J241" s="54" t="s">
        <v>852</v>
      </c>
    </row>
    <row r="242" customFormat="false" ht="15" hidden="false" customHeight="true" outlineLevel="0" collapsed="false">
      <c r="A242" s="54" t="n">
        <v>20260710</v>
      </c>
      <c r="B242" s="54" t="s">
        <v>289</v>
      </c>
      <c r="C242" s="54" t="s">
        <v>290</v>
      </c>
      <c r="D242" s="54" t="s">
        <v>848</v>
      </c>
      <c r="E242" s="54" t="s">
        <v>849</v>
      </c>
      <c r="F242" s="54" t="s">
        <v>853</v>
      </c>
      <c r="G242" s="54" t="s">
        <v>854</v>
      </c>
      <c r="H242" s="54" t="n">
        <v>11218</v>
      </c>
      <c r="I242" s="54" t="s">
        <v>295</v>
      </c>
      <c r="J242" s="54" t="s">
        <v>852</v>
      </c>
    </row>
    <row r="243" customFormat="false" ht="15" hidden="false" customHeight="true" outlineLevel="0" collapsed="false">
      <c r="A243" s="54" t="n">
        <v>20260710</v>
      </c>
      <c r="B243" s="54" t="s">
        <v>535</v>
      </c>
      <c r="C243" s="54" t="s">
        <v>290</v>
      </c>
      <c r="D243" s="54" t="s">
        <v>855</v>
      </c>
      <c r="E243" s="54" t="s">
        <v>856</v>
      </c>
      <c r="F243" s="54" t="s">
        <v>857</v>
      </c>
      <c r="G243" s="54" t="s">
        <v>858</v>
      </c>
      <c r="H243" s="54" t="n">
        <v>19</v>
      </c>
      <c r="I243" s="54" t="s">
        <v>295</v>
      </c>
      <c r="J243" s="54" t="s">
        <v>677</v>
      </c>
    </row>
    <row r="244" customFormat="false" ht="15" hidden="false" customHeight="true" outlineLevel="0" collapsed="false">
      <c r="A244" s="54" t="n">
        <v>20260710</v>
      </c>
      <c r="B244" s="54" t="s">
        <v>535</v>
      </c>
      <c r="C244" s="54" t="s">
        <v>290</v>
      </c>
      <c r="D244" s="54" t="s">
        <v>855</v>
      </c>
      <c r="E244" s="54" t="s">
        <v>856</v>
      </c>
      <c r="F244" s="54" t="s">
        <v>859</v>
      </c>
      <c r="G244" s="54" t="s">
        <v>860</v>
      </c>
      <c r="H244" s="54" t="n">
        <v>18277</v>
      </c>
      <c r="I244" s="54" t="s">
        <v>295</v>
      </c>
      <c r="J244" s="54" t="s">
        <v>677</v>
      </c>
    </row>
    <row r="245" customFormat="false" ht="15" hidden="false" customHeight="true" outlineLevel="0" collapsed="false">
      <c r="A245" s="54" t="n">
        <v>20260710</v>
      </c>
      <c r="B245" s="54" t="s">
        <v>535</v>
      </c>
      <c r="C245" s="54" t="s">
        <v>290</v>
      </c>
      <c r="D245" s="54" t="s">
        <v>855</v>
      </c>
      <c r="E245" s="54" t="s">
        <v>856</v>
      </c>
      <c r="F245" s="54" t="s">
        <v>861</v>
      </c>
      <c r="G245" s="54" t="s">
        <v>862</v>
      </c>
      <c r="H245" s="54" t="n">
        <v>3852</v>
      </c>
      <c r="I245" s="54" t="s">
        <v>295</v>
      </c>
      <c r="J245" s="54" t="s">
        <v>677</v>
      </c>
    </row>
    <row r="246" customFormat="false" ht="15" hidden="false" customHeight="true" outlineLevel="0" collapsed="false">
      <c r="A246" s="54" t="n">
        <v>20260710</v>
      </c>
      <c r="B246" s="54" t="s">
        <v>535</v>
      </c>
      <c r="C246" s="54" t="s">
        <v>290</v>
      </c>
      <c r="D246" s="54" t="s">
        <v>855</v>
      </c>
      <c r="E246" s="54" t="s">
        <v>856</v>
      </c>
      <c r="F246" s="54" t="s">
        <v>863</v>
      </c>
      <c r="G246" s="54" t="s">
        <v>864</v>
      </c>
      <c r="H246" s="54" t="n">
        <v>7234</v>
      </c>
      <c r="I246" s="54" t="s">
        <v>295</v>
      </c>
      <c r="J246" s="54" t="s">
        <v>677</v>
      </c>
    </row>
    <row r="247" customFormat="false" ht="15" hidden="false" customHeight="true" outlineLevel="0" collapsed="false">
      <c r="A247" s="54" t="n">
        <v>20260710</v>
      </c>
      <c r="B247" s="54" t="s">
        <v>497</v>
      </c>
      <c r="C247" s="54" t="s">
        <v>307</v>
      </c>
      <c r="D247" s="54" t="s">
        <v>865</v>
      </c>
      <c r="E247" s="54" t="s">
        <v>866</v>
      </c>
      <c r="F247" s="54" t="s">
        <v>867</v>
      </c>
      <c r="G247" s="54" t="s">
        <v>868</v>
      </c>
      <c r="H247" s="54" t="n">
        <v>985</v>
      </c>
      <c r="I247" s="54" t="s">
        <v>295</v>
      </c>
      <c r="J247" s="54" t="s">
        <v>502</v>
      </c>
    </row>
    <row r="248" customFormat="false" ht="15" hidden="false" customHeight="true" outlineLevel="0" collapsed="false">
      <c r="A248" s="54" t="n">
        <v>20260710</v>
      </c>
      <c r="B248" s="54" t="s">
        <v>497</v>
      </c>
      <c r="C248" s="54" t="s">
        <v>307</v>
      </c>
      <c r="D248" s="54" t="s">
        <v>865</v>
      </c>
      <c r="E248" s="54" t="s">
        <v>866</v>
      </c>
      <c r="F248" s="54" t="s">
        <v>869</v>
      </c>
      <c r="G248" s="54" t="s">
        <v>870</v>
      </c>
      <c r="H248" s="54" t="n">
        <v>17810</v>
      </c>
      <c r="I248" s="54" t="s">
        <v>295</v>
      </c>
      <c r="J248" s="54" t="s">
        <v>502</v>
      </c>
    </row>
    <row r="249" customFormat="false" ht="15" hidden="false" customHeight="true" outlineLevel="0" collapsed="false">
      <c r="A249" s="54" t="n">
        <v>20260710</v>
      </c>
      <c r="B249" s="54" t="s">
        <v>497</v>
      </c>
      <c r="C249" s="54" t="s">
        <v>307</v>
      </c>
      <c r="D249" s="54" t="s">
        <v>865</v>
      </c>
      <c r="E249" s="54" t="s">
        <v>866</v>
      </c>
      <c r="F249" s="54" t="s">
        <v>871</v>
      </c>
      <c r="G249" s="54" t="s">
        <v>872</v>
      </c>
      <c r="H249" s="54" t="n">
        <v>10784</v>
      </c>
      <c r="I249" s="54" t="s">
        <v>295</v>
      </c>
      <c r="J249" s="54" t="s">
        <v>502</v>
      </c>
    </row>
    <row r="250" customFormat="false" ht="15" hidden="false" customHeight="true" outlineLevel="0" collapsed="false">
      <c r="A250" s="54" t="n">
        <v>20260710</v>
      </c>
      <c r="B250" s="54" t="s">
        <v>289</v>
      </c>
      <c r="C250" s="54" t="s">
        <v>290</v>
      </c>
      <c r="D250" s="54" t="s">
        <v>873</v>
      </c>
      <c r="E250" s="54" t="s">
        <v>874</v>
      </c>
      <c r="F250" s="54" t="s">
        <v>875</v>
      </c>
      <c r="G250" s="54" t="s">
        <v>876</v>
      </c>
      <c r="H250" s="54" t="n">
        <v>11476</v>
      </c>
      <c r="I250" s="54" t="s">
        <v>295</v>
      </c>
      <c r="J250" s="54" t="s">
        <v>877</v>
      </c>
    </row>
    <row r="251" customFormat="false" ht="15" hidden="false" customHeight="true" outlineLevel="0" collapsed="false">
      <c r="A251" s="54" t="n">
        <v>20260710</v>
      </c>
      <c r="B251" s="54" t="s">
        <v>592</v>
      </c>
      <c r="C251" s="54" t="s">
        <v>290</v>
      </c>
      <c r="D251" s="54" t="s">
        <v>878</v>
      </c>
      <c r="E251" s="54" t="s">
        <v>879</v>
      </c>
      <c r="F251" s="54" t="s">
        <v>880</v>
      </c>
      <c r="G251" s="54" t="s">
        <v>881</v>
      </c>
      <c r="H251" s="54" t="n">
        <v>14538</v>
      </c>
      <c r="I251" s="54" t="s">
        <v>295</v>
      </c>
      <c r="J251" s="54" t="s">
        <v>597</v>
      </c>
    </row>
    <row r="252" customFormat="false" ht="15" hidden="false" customHeight="true" outlineLevel="0" collapsed="false">
      <c r="A252" s="54" t="n">
        <v>20260710</v>
      </c>
      <c r="B252" s="54" t="s">
        <v>592</v>
      </c>
      <c r="C252" s="54" t="s">
        <v>290</v>
      </c>
      <c r="D252" s="54" t="s">
        <v>878</v>
      </c>
      <c r="E252" s="54" t="s">
        <v>879</v>
      </c>
      <c r="F252" s="54" t="s">
        <v>882</v>
      </c>
      <c r="G252" s="54" t="s">
        <v>883</v>
      </c>
      <c r="H252" s="54" t="n">
        <v>14786</v>
      </c>
      <c r="I252" s="54" t="s">
        <v>295</v>
      </c>
      <c r="J252" s="54" t="s">
        <v>597</v>
      </c>
    </row>
    <row r="253" customFormat="false" ht="15" hidden="false" customHeight="true" outlineLevel="0" collapsed="false">
      <c r="A253" s="54" t="n">
        <v>20260710</v>
      </c>
      <c r="B253" s="54" t="s">
        <v>688</v>
      </c>
      <c r="C253" s="54" t="s">
        <v>290</v>
      </c>
      <c r="D253" s="54" t="s">
        <v>884</v>
      </c>
      <c r="E253" s="54" t="s">
        <v>885</v>
      </c>
      <c r="F253" s="54" t="s">
        <v>886</v>
      </c>
      <c r="G253" s="54" t="s">
        <v>887</v>
      </c>
      <c r="H253" s="54" t="n">
        <v>18966</v>
      </c>
      <c r="I253" s="54" t="s">
        <v>295</v>
      </c>
      <c r="J253" s="54" t="s">
        <v>779</v>
      </c>
    </row>
    <row r="254" customFormat="false" ht="15" hidden="false" customHeight="true" outlineLevel="0" collapsed="false">
      <c r="A254" s="54" t="n">
        <v>20260710</v>
      </c>
      <c r="B254" s="54" t="s">
        <v>688</v>
      </c>
      <c r="C254" s="54" t="s">
        <v>290</v>
      </c>
      <c r="D254" s="54" t="s">
        <v>884</v>
      </c>
      <c r="E254" s="54" t="s">
        <v>885</v>
      </c>
      <c r="F254" s="54" t="s">
        <v>888</v>
      </c>
      <c r="G254" s="54" t="s">
        <v>889</v>
      </c>
      <c r="H254" s="54" t="n">
        <v>10071</v>
      </c>
      <c r="I254" s="54" t="s">
        <v>295</v>
      </c>
      <c r="J254" s="54" t="s">
        <v>779</v>
      </c>
    </row>
    <row r="255" customFormat="false" ht="15" hidden="false" customHeight="true" outlineLevel="0" collapsed="false">
      <c r="A255" s="54" t="n">
        <v>20260710</v>
      </c>
      <c r="B255" s="54" t="s">
        <v>497</v>
      </c>
      <c r="C255" s="54" t="s">
        <v>307</v>
      </c>
      <c r="D255" s="54" t="s">
        <v>890</v>
      </c>
      <c r="E255" s="54" t="s">
        <v>891</v>
      </c>
      <c r="F255" s="54" t="s">
        <v>892</v>
      </c>
      <c r="G255" s="54" t="s">
        <v>893</v>
      </c>
      <c r="H255" s="54" t="n">
        <v>16918</v>
      </c>
      <c r="I255" s="54" t="s">
        <v>295</v>
      </c>
      <c r="J255" s="54" t="s">
        <v>894</v>
      </c>
    </row>
    <row r="256" customFormat="false" ht="15" hidden="false" customHeight="true" outlineLevel="0" collapsed="false">
      <c r="A256" s="54" t="n">
        <v>20260710</v>
      </c>
      <c r="B256" s="54" t="s">
        <v>688</v>
      </c>
      <c r="C256" s="54" t="s">
        <v>307</v>
      </c>
      <c r="D256" s="54" t="s">
        <v>895</v>
      </c>
      <c r="E256" s="54" t="s">
        <v>896</v>
      </c>
      <c r="F256" s="54" t="s">
        <v>897</v>
      </c>
      <c r="G256" s="54" t="s">
        <v>721</v>
      </c>
      <c r="H256" s="54" t="n">
        <v>36054</v>
      </c>
      <c r="I256" s="54" t="s">
        <v>295</v>
      </c>
      <c r="J256" s="54" t="s">
        <v>693</v>
      </c>
    </row>
    <row r="257" customFormat="false" ht="15" hidden="false" customHeight="true" outlineLevel="0" collapsed="false">
      <c r="A257" s="54" t="n">
        <v>20260710</v>
      </c>
      <c r="B257" s="54" t="s">
        <v>535</v>
      </c>
      <c r="C257" s="54" t="s">
        <v>290</v>
      </c>
      <c r="D257" s="54" t="s">
        <v>898</v>
      </c>
      <c r="E257" s="54" t="s">
        <v>899</v>
      </c>
      <c r="F257" s="54" t="s">
        <v>900</v>
      </c>
      <c r="G257" s="54" t="s">
        <v>901</v>
      </c>
      <c r="H257" s="54" t="n">
        <v>3022</v>
      </c>
      <c r="I257" s="54" t="s">
        <v>295</v>
      </c>
      <c r="J257" s="54" t="s">
        <v>677</v>
      </c>
    </row>
    <row r="258" customFormat="false" ht="15" hidden="false" customHeight="true" outlineLevel="0" collapsed="false">
      <c r="A258" s="54" t="n">
        <v>20260710</v>
      </c>
      <c r="B258" s="54" t="s">
        <v>535</v>
      </c>
      <c r="C258" s="54" t="s">
        <v>290</v>
      </c>
      <c r="D258" s="54" t="s">
        <v>898</v>
      </c>
      <c r="E258" s="54" t="s">
        <v>899</v>
      </c>
      <c r="F258" s="54" t="s">
        <v>902</v>
      </c>
      <c r="G258" s="54" t="s">
        <v>903</v>
      </c>
      <c r="H258" s="54" t="n">
        <v>14611</v>
      </c>
      <c r="I258" s="54" t="s">
        <v>295</v>
      </c>
      <c r="J258" s="54" t="s">
        <v>677</v>
      </c>
    </row>
    <row r="259" customFormat="false" ht="15" hidden="false" customHeight="true" outlineLevel="0" collapsed="false">
      <c r="A259" s="54" t="n">
        <v>20260710</v>
      </c>
      <c r="B259" s="54" t="s">
        <v>535</v>
      </c>
      <c r="C259" s="54" t="s">
        <v>290</v>
      </c>
      <c r="D259" s="54" t="s">
        <v>898</v>
      </c>
      <c r="E259" s="54" t="s">
        <v>899</v>
      </c>
      <c r="F259" s="54" t="s">
        <v>904</v>
      </c>
      <c r="G259" s="54" t="s">
        <v>905</v>
      </c>
      <c r="H259" s="54" t="n">
        <v>10755</v>
      </c>
      <c r="I259" s="54" t="s">
        <v>295</v>
      </c>
      <c r="J259" s="54" t="s">
        <v>677</v>
      </c>
    </row>
    <row r="260" customFormat="false" ht="15" hidden="false" customHeight="true" outlineLevel="0" collapsed="false">
      <c r="A260" s="54" t="n">
        <v>20260710</v>
      </c>
      <c r="B260" s="54" t="s">
        <v>592</v>
      </c>
      <c r="C260" s="54" t="s">
        <v>290</v>
      </c>
      <c r="D260" s="54" t="s">
        <v>906</v>
      </c>
      <c r="E260" s="54" t="s">
        <v>907</v>
      </c>
      <c r="F260" s="54" t="s">
        <v>908</v>
      </c>
      <c r="G260" s="54" t="s">
        <v>909</v>
      </c>
      <c r="H260" s="54" t="n">
        <v>24126</v>
      </c>
      <c r="I260" s="54" t="s">
        <v>295</v>
      </c>
      <c r="J260" s="54" t="s">
        <v>597</v>
      </c>
    </row>
    <row r="261" customFormat="false" ht="15" hidden="false" customHeight="true" outlineLevel="0" collapsed="false">
      <c r="A261" s="54" t="n">
        <v>20260710</v>
      </c>
      <c r="B261" s="54" t="s">
        <v>592</v>
      </c>
      <c r="C261" s="54" t="s">
        <v>290</v>
      </c>
      <c r="D261" s="54" t="s">
        <v>906</v>
      </c>
      <c r="E261" s="54" t="s">
        <v>907</v>
      </c>
      <c r="F261" s="54" t="s">
        <v>910</v>
      </c>
      <c r="G261" s="54" t="s">
        <v>911</v>
      </c>
      <c r="H261" s="54" t="n">
        <v>6366</v>
      </c>
      <c r="I261" s="54" t="s">
        <v>295</v>
      </c>
      <c r="J261" s="54" t="s">
        <v>597</v>
      </c>
    </row>
    <row r="262" customFormat="false" ht="15" hidden="false" customHeight="true" outlineLevel="0" collapsed="false">
      <c r="A262" s="54" t="n">
        <v>20260710</v>
      </c>
      <c r="B262" s="54" t="s">
        <v>306</v>
      </c>
      <c r="C262" s="54" t="s">
        <v>290</v>
      </c>
      <c r="D262" s="54" t="s">
        <v>912</v>
      </c>
      <c r="E262" s="54" t="s">
        <v>913</v>
      </c>
      <c r="F262" s="54" t="s">
        <v>914</v>
      </c>
      <c r="G262" s="54" t="s">
        <v>915</v>
      </c>
      <c r="H262" s="54" t="n">
        <v>16245</v>
      </c>
      <c r="I262" s="54" t="s">
        <v>295</v>
      </c>
      <c r="J262" s="54" t="s">
        <v>375</v>
      </c>
    </row>
    <row r="263" customFormat="false" ht="15" hidden="false" customHeight="true" outlineLevel="0" collapsed="false">
      <c r="A263" s="54" t="n">
        <v>20260710</v>
      </c>
      <c r="B263" s="54" t="s">
        <v>306</v>
      </c>
      <c r="C263" s="54" t="s">
        <v>290</v>
      </c>
      <c r="D263" s="54" t="s">
        <v>912</v>
      </c>
      <c r="E263" s="54" t="s">
        <v>913</v>
      </c>
      <c r="F263" s="54" t="s">
        <v>845</v>
      </c>
      <c r="G263" s="54" t="s">
        <v>916</v>
      </c>
      <c r="H263" s="54" t="n">
        <v>14477</v>
      </c>
      <c r="I263" s="54" t="s">
        <v>295</v>
      </c>
      <c r="J263" s="54" t="s">
        <v>375</v>
      </c>
    </row>
    <row r="264" customFormat="false" ht="15" hidden="false" customHeight="true" outlineLevel="0" collapsed="false">
      <c r="A264" s="54" t="n">
        <v>20260710</v>
      </c>
      <c r="B264" s="54" t="s">
        <v>289</v>
      </c>
      <c r="C264" s="54" t="s">
        <v>290</v>
      </c>
      <c r="D264" s="54" t="s">
        <v>917</v>
      </c>
      <c r="E264" s="54" t="s">
        <v>918</v>
      </c>
      <c r="F264" s="54" t="s">
        <v>919</v>
      </c>
      <c r="G264" s="54" t="s">
        <v>920</v>
      </c>
      <c r="H264" s="54" t="n">
        <v>17970</v>
      </c>
      <c r="I264" s="54" t="s">
        <v>295</v>
      </c>
      <c r="J264" s="54" t="s">
        <v>874</v>
      </c>
    </row>
    <row r="265" customFormat="false" ht="15" hidden="false" customHeight="true" outlineLevel="0" collapsed="false">
      <c r="A265" s="54" t="n">
        <v>20260710</v>
      </c>
      <c r="B265" s="54" t="s">
        <v>289</v>
      </c>
      <c r="C265" s="54" t="s">
        <v>290</v>
      </c>
      <c r="D265" s="54" t="s">
        <v>917</v>
      </c>
      <c r="E265" s="54" t="s">
        <v>918</v>
      </c>
      <c r="F265" s="54" t="s">
        <v>921</v>
      </c>
      <c r="G265" s="54" t="s">
        <v>922</v>
      </c>
      <c r="H265" s="54" t="n">
        <v>10927</v>
      </c>
      <c r="I265" s="54" t="s">
        <v>295</v>
      </c>
      <c r="J265" s="54" t="s">
        <v>874</v>
      </c>
    </row>
    <row r="266" customFormat="false" ht="15" hidden="false" customHeight="true" outlineLevel="0" collapsed="false">
      <c r="A266" s="54" t="n">
        <v>20260710</v>
      </c>
      <c r="B266" s="54" t="s">
        <v>535</v>
      </c>
      <c r="C266" s="54" t="s">
        <v>290</v>
      </c>
      <c r="D266" s="54" t="s">
        <v>923</v>
      </c>
      <c r="E266" s="54" t="s">
        <v>924</v>
      </c>
      <c r="F266" s="54" t="s">
        <v>925</v>
      </c>
      <c r="G266" s="54" t="s">
        <v>926</v>
      </c>
      <c r="H266" s="54" t="n">
        <v>2</v>
      </c>
      <c r="I266" s="54" t="s">
        <v>295</v>
      </c>
      <c r="J266" s="54" t="s">
        <v>734</v>
      </c>
    </row>
    <row r="267" customFormat="false" ht="15" hidden="false" customHeight="true" outlineLevel="0" collapsed="false">
      <c r="A267" s="54" t="n">
        <v>20260710</v>
      </c>
      <c r="B267" s="54" t="s">
        <v>535</v>
      </c>
      <c r="C267" s="54" t="s">
        <v>290</v>
      </c>
      <c r="D267" s="54" t="s">
        <v>923</v>
      </c>
      <c r="E267" s="54" t="s">
        <v>924</v>
      </c>
      <c r="F267" s="54" t="s">
        <v>927</v>
      </c>
      <c r="G267" s="54" t="s">
        <v>804</v>
      </c>
      <c r="H267" s="54" t="n">
        <v>14682</v>
      </c>
      <c r="I267" s="54" t="s">
        <v>295</v>
      </c>
      <c r="J267" s="54" t="s">
        <v>734</v>
      </c>
    </row>
    <row r="268" customFormat="false" ht="15" hidden="false" customHeight="true" outlineLevel="0" collapsed="false">
      <c r="A268" s="54" t="n">
        <v>20260710</v>
      </c>
      <c r="B268" s="54" t="s">
        <v>535</v>
      </c>
      <c r="C268" s="54" t="s">
        <v>290</v>
      </c>
      <c r="D268" s="54" t="s">
        <v>923</v>
      </c>
      <c r="E268" s="54" t="s">
        <v>924</v>
      </c>
      <c r="F268" s="54" t="s">
        <v>928</v>
      </c>
      <c r="G268" s="54" t="s">
        <v>929</v>
      </c>
      <c r="H268" s="54" t="n">
        <v>14484</v>
      </c>
      <c r="I268" s="54" t="s">
        <v>295</v>
      </c>
      <c r="J268" s="54" t="s">
        <v>734</v>
      </c>
    </row>
    <row r="269" customFormat="false" ht="15" hidden="false" customHeight="true" outlineLevel="0" collapsed="false">
      <c r="A269" s="54" t="n">
        <v>20260710</v>
      </c>
      <c r="B269" s="54" t="s">
        <v>289</v>
      </c>
      <c r="C269" s="54" t="s">
        <v>290</v>
      </c>
      <c r="D269" s="54" t="s">
        <v>930</v>
      </c>
      <c r="E269" s="54" t="s">
        <v>931</v>
      </c>
      <c r="F269" s="54" t="s">
        <v>932</v>
      </c>
      <c r="G269" s="54" t="s">
        <v>933</v>
      </c>
      <c r="H269" s="54" t="n">
        <v>937</v>
      </c>
      <c r="I269" s="54" t="s">
        <v>360</v>
      </c>
      <c r="J269" s="54" t="s">
        <v>569</v>
      </c>
    </row>
    <row r="270" customFormat="false" ht="15" hidden="false" customHeight="true" outlineLevel="0" collapsed="false">
      <c r="A270" s="54" t="n">
        <v>20260710</v>
      </c>
      <c r="B270" s="54" t="s">
        <v>289</v>
      </c>
      <c r="C270" s="54" t="s">
        <v>290</v>
      </c>
      <c r="D270" s="54" t="s">
        <v>930</v>
      </c>
      <c r="E270" s="54" t="s">
        <v>931</v>
      </c>
      <c r="F270" s="54" t="s">
        <v>934</v>
      </c>
      <c r="G270" s="54" t="s">
        <v>935</v>
      </c>
      <c r="H270" s="54" t="n">
        <v>21666</v>
      </c>
      <c r="I270" s="54" t="s">
        <v>360</v>
      </c>
      <c r="J270" s="54" t="s">
        <v>569</v>
      </c>
    </row>
    <row r="271" customFormat="false" ht="15" hidden="false" customHeight="true" outlineLevel="0" collapsed="false">
      <c r="A271" s="54" t="n">
        <v>20260710</v>
      </c>
      <c r="B271" s="54" t="s">
        <v>289</v>
      </c>
      <c r="C271" s="54" t="s">
        <v>290</v>
      </c>
      <c r="D271" s="54" t="s">
        <v>930</v>
      </c>
      <c r="E271" s="54" t="s">
        <v>931</v>
      </c>
      <c r="F271" s="54" t="s">
        <v>936</v>
      </c>
      <c r="G271" s="54" t="s">
        <v>935</v>
      </c>
      <c r="H271" s="54" t="n">
        <v>21637</v>
      </c>
      <c r="I271" s="54" t="s">
        <v>295</v>
      </c>
      <c r="J271" s="54" t="s">
        <v>569</v>
      </c>
    </row>
    <row r="272" customFormat="false" ht="15" hidden="false" customHeight="true" outlineLevel="0" collapsed="false">
      <c r="A272" s="54" t="n">
        <v>20260710</v>
      </c>
      <c r="B272" s="54" t="s">
        <v>289</v>
      </c>
      <c r="C272" s="54" t="s">
        <v>290</v>
      </c>
      <c r="D272" s="54" t="s">
        <v>930</v>
      </c>
      <c r="E272" s="54" t="s">
        <v>931</v>
      </c>
      <c r="F272" s="54" t="s">
        <v>834</v>
      </c>
      <c r="G272" s="54" t="s">
        <v>937</v>
      </c>
      <c r="H272" s="54" t="n">
        <v>1837</v>
      </c>
      <c r="I272" s="54" t="s">
        <v>360</v>
      </c>
      <c r="J272" s="54" t="s">
        <v>569</v>
      </c>
    </row>
    <row r="273" customFormat="false" ht="15" hidden="false" customHeight="true" outlineLevel="0" collapsed="false">
      <c r="A273" s="54" t="n">
        <v>20260710</v>
      </c>
      <c r="B273" s="54" t="s">
        <v>289</v>
      </c>
      <c r="C273" s="54" t="s">
        <v>290</v>
      </c>
      <c r="D273" s="54" t="s">
        <v>930</v>
      </c>
      <c r="E273" s="54" t="s">
        <v>931</v>
      </c>
      <c r="F273" s="54" t="s">
        <v>938</v>
      </c>
      <c r="G273" s="54" t="s">
        <v>937</v>
      </c>
      <c r="H273" s="54" t="n">
        <v>1821</v>
      </c>
      <c r="I273" s="54" t="s">
        <v>295</v>
      </c>
      <c r="J273" s="54" t="s">
        <v>569</v>
      </c>
    </row>
    <row r="274" customFormat="false" ht="15" hidden="false" customHeight="true" outlineLevel="0" collapsed="false">
      <c r="A274" s="54" t="n">
        <v>20260710</v>
      </c>
      <c r="B274" s="54" t="s">
        <v>289</v>
      </c>
      <c r="C274" s="54" t="s">
        <v>290</v>
      </c>
      <c r="D274" s="54" t="s">
        <v>930</v>
      </c>
      <c r="E274" s="54" t="s">
        <v>931</v>
      </c>
      <c r="F274" s="54" t="s">
        <v>939</v>
      </c>
      <c r="G274" s="54" t="s">
        <v>940</v>
      </c>
      <c r="H274" s="54" t="n">
        <v>1676</v>
      </c>
      <c r="I274" s="54" t="s">
        <v>360</v>
      </c>
      <c r="J274" s="54" t="s">
        <v>569</v>
      </c>
    </row>
    <row r="275" customFormat="false" ht="15" hidden="false" customHeight="true" outlineLevel="0" collapsed="false">
      <c r="A275" s="54" t="n">
        <v>20260710</v>
      </c>
      <c r="B275" s="54" t="s">
        <v>289</v>
      </c>
      <c r="C275" s="54" t="s">
        <v>290</v>
      </c>
      <c r="D275" s="54" t="s">
        <v>930</v>
      </c>
      <c r="E275" s="54" t="s">
        <v>931</v>
      </c>
      <c r="F275" s="54" t="s">
        <v>939</v>
      </c>
      <c r="G275" s="54" t="s">
        <v>940</v>
      </c>
      <c r="H275" s="54" t="n">
        <v>1676</v>
      </c>
      <c r="I275" s="54" t="s">
        <v>295</v>
      </c>
      <c r="J275" s="54" t="s">
        <v>569</v>
      </c>
    </row>
    <row r="276" customFormat="false" ht="15" hidden="false" customHeight="true" outlineLevel="0" collapsed="false">
      <c r="A276" s="54" t="n">
        <v>20260710</v>
      </c>
      <c r="B276" s="54" t="s">
        <v>289</v>
      </c>
      <c r="C276" s="54" t="s">
        <v>290</v>
      </c>
      <c r="D276" s="54" t="s">
        <v>930</v>
      </c>
      <c r="E276" s="54" t="s">
        <v>931</v>
      </c>
      <c r="F276" s="54" t="s">
        <v>941</v>
      </c>
      <c r="G276" s="54" t="s">
        <v>942</v>
      </c>
      <c r="H276" s="54" t="n">
        <v>1698</v>
      </c>
      <c r="I276" s="54" t="s">
        <v>295</v>
      </c>
      <c r="J276" s="54" t="s">
        <v>569</v>
      </c>
    </row>
    <row r="277" customFormat="false" ht="15" hidden="false" customHeight="true" outlineLevel="0" collapsed="false">
      <c r="A277" s="54" t="n">
        <v>20260710</v>
      </c>
      <c r="B277" s="54" t="s">
        <v>289</v>
      </c>
      <c r="C277" s="54" t="s">
        <v>290</v>
      </c>
      <c r="D277" s="54" t="s">
        <v>930</v>
      </c>
      <c r="E277" s="54" t="s">
        <v>931</v>
      </c>
      <c r="F277" s="54" t="s">
        <v>943</v>
      </c>
      <c r="G277" s="54" t="s">
        <v>942</v>
      </c>
      <c r="H277" s="54" t="n">
        <v>1696</v>
      </c>
      <c r="I277" s="54" t="s">
        <v>360</v>
      </c>
      <c r="J277" s="54" t="s">
        <v>569</v>
      </c>
    </row>
    <row r="278" customFormat="false" ht="15" hidden="false" customHeight="true" outlineLevel="0" collapsed="false">
      <c r="A278" s="54" t="n">
        <v>20260710</v>
      </c>
      <c r="B278" s="54" t="s">
        <v>306</v>
      </c>
      <c r="C278" s="54" t="s">
        <v>290</v>
      </c>
      <c r="D278" s="54" t="s">
        <v>944</v>
      </c>
      <c r="E278" s="54" t="s">
        <v>945</v>
      </c>
      <c r="F278" s="54" t="s">
        <v>946</v>
      </c>
      <c r="G278" s="54" t="s">
        <v>947</v>
      </c>
      <c r="H278" s="54" t="n">
        <v>15530</v>
      </c>
      <c r="I278" s="54" t="s">
        <v>315</v>
      </c>
      <c r="J278" s="54" t="s">
        <v>948</v>
      </c>
    </row>
    <row r="279" customFormat="false" ht="15" hidden="false" customHeight="true" outlineLevel="0" collapsed="false">
      <c r="A279" s="54" t="n">
        <v>20260710</v>
      </c>
      <c r="B279" s="54" t="s">
        <v>306</v>
      </c>
      <c r="C279" s="54" t="s">
        <v>290</v>
      </c>
      <c r="D279" s="54" t="s">
        <v>944</v>
      </c>
      <c r="E279" s="54" t="s">
        <v>945</v>
      </c>
      <c r="F279" s="54" t="s">
        <v>949</v>
      </c>
      <c r="G279" s="54" t="s">
        <v>950</v>
      </c>
      <c r="H279" s="54" t="n">
        <v>15502</v>
      </c>
      <c r="I279" s="54" t="s">
        <v>295</v>
      </c>
      <c r="J279" s="54" t="s">
        <v>948</v>
      </c>
    </row>
    <row r="280" customFormat="false" ht="15" hidden="false" customHeight="true" outlineLevel="0" collapsed="false">
      <c r="A280" s="54" t="n">
        <v>20260710</v>
      </c>
      <c r="B280" s="54" t="s">
        <v>306</v>
      </c>
      <c r="C280" s="54" t="s">
        <v>290</v>
      </c>
      <c r="D280" s="54" t="s">
        <v>944</v>
      </c>
      <c r="E280" s="54" t="s">
        <v>945</v>
      </c>
      <c r="F280" s="54" t="s">
        <v>951</v>
      </c>
      <c r="G280" s="54" t="s">
        <v>952</v>
      </c>
      <c r="H280" s="54" t="n">
        <v>14350</v>
      </c>
      <c r="I280" s="54" t="s">
        <v>315</v>
      </c>
      <c r="J280" s="54" t="s">
        <v>948</v>
      </c>
    </row>
    <row r="281" customFormat="false" ht="15" hidden="false" customHeight="true" outlineLevel="0" collapsed="false">
      <c r="A281" s="54" t="n">
        <v>20260710</v>
      </c>
      <c r="B281" s="54" t="s">
        <v>306</v>
      </c>
      <c r="C281" s="54" t="s">
        <v>290</v>
      </c>
      <c r="D281" s="54" t="s">
        <v>944</v>
      </c>
      <c r="E281" s="54" t="s">
        <v>945</v>
      </c>
      <c r="F281" s="54" t="s">
        <v>953</v>
      </c>
      <c r="G281" s="54" t="s">
        <v>954</v>
      </c>
      <c r="H281" s="54" t="n">
        <v>14329</v>
      </c>
      <c r="I281" s="54" t="s">
        <v>295</v>
      </c>
      <c r="J281" s="54" t="s">
        <v>948</v>
      </c>
    </row>
    <row r="282" customFormat="false" ht="15" hidden="false" customHeight="true" outlineLevel="0" collapsed="false">
      <c r="A282" s="54" t="n">
        <v>20260710</v>
      </c>
      <c r="B282" s="54" t="s">
        <v>535</v>
      </c>
      <c r="C282" s="54" t="s">
        <v>290</v>
      </c>
      <c r="D282" s="54" t="s">
        <v>955</v>
      </c>
      <c r="E282" s="54" t="s">
        <v>956</v>
      </c>
      <c r="F282" s="54" t="s">
        <v>957</v>
      </c>
      <c r="G282" s="54" t="s">
        <v>958</v>
      </c>
      <c r="H282" s="54" t="n">
        <v>729</v>
      </c>
      <c r="I282" s="54" t="s">
        <v>295</v>
      </c>
      <c r="J282" s="54" t="s">
        <v>677</v>
      </c>
    </row>
    <row r="283" customFormat="false" ht="15" hidden="false" customHeight="true" outlineLevel="0" collapsed="false">
      <c r="A283" s="54" t="n">
        <v>20260710</v>
      </c>
      <c r="B283" s="54" t="s">
        <v>535</v>
      </c>
      <c r="C283" s="54" t="s">
        <v>290</v>
      </c>
      <c r="D283" s="54" t="s">
        <v>955</v>
      </c>
      <c r="E283" s="54" t="s">
        <v>956</v>
      </c>
      <c r="F283" s="54" t="s">
        <v>959</v>
      </c>
      <c r="G283" s="54" t="s">
        <v>960</v>
      </c>
      <c r="H283" s="54" t="n">
        <v>14120</v>
      </c>
      <c r="I283" s="54" t="s">
        <v>295</v>
      </c>
      <c r="J283" s="54" t="s">
        <v>677</v>
      </c>
    </row>
    <row r="284" customFormat="false" ht="15" hidden="false" customHeight="true" outlineLevel="0" collapsed="false">
      <c r="A284" s="54" t="n">
        <v>20260710</v>
      </c>
      <c r="B284" s="54" t="s">
        <v>535</v>
      </c>
      <c r="C284" s="54" t="s">
        <v>290</v>
      </c>
      <c r="D284" s="54" t="s">
        <v>955</v>
      </c>
      <c r="E284" s="54" t="s">
        <v>956</v>
      </c>
      <c r="F284" s="54" t="s">
        <v>961</v>
      </c>
      <c r="G284" s="54" t="s">
        <v>962</v>
      </c>
      <c r="H284" s="54" t="n">
        <v>3136</v>
      </c>
      <c r="I284" s="54" t="s">
        <v>295</v>
      </c>
      <c r="J284" s="54" t="s">
        <v>677</v>
      </c>
    </row>
    <row r="285" customFormat="false" ht="15" hidden="false" customHeight="true" outlineLevel="0" collapsed="false">
      <c r="A285" s="54" t="n">
        <v>20260710</v>
      </c>
      <c r="B285" s="54" t="s">
        <v>535</v>
      </c>
      <c r="C285" s="54" t="s">
        <v>290</v>
      </c>
      <c r="D285" s="54" t="s">
        <v>955</v>
      </c>
      <c r="E285" s="54" t="s">
        <v>956</v>
      </c>
      <c r="F285" s="54" t="s">
        <v>963</v>
      </c>
      <c r="G285" s="54" t="s">
        <v>964</v>
      </c>
      <c r="H285" s="54" t="n">
        <v>10809</v>
      </c>
      <c r="I285" s="54" t="s">
        <v>295</v>
      </c>
      <c r="J285" s="54" t="s">
        <v>677</v>
      </c>
    </row>
    <row r="286" customFormat="false" ht="15" hidden="false" customHeight="true" outlineLevel="0" collapsed="false">
      <c r="A286" s="54" t="n">
        <v>20260710</v>
      </c>
      <c r="B286" s="54" t="s">
        <v>289</v>
      </c>
      <c r="C286" s="54" t="s">
        <v>290</v>
      </c>
      <c r="D286" s="54" t="s">
        <v>965</v>
      </c>
      <c r="E286" s="54" t="s">
        <v>966</v>
      </c>
      <c r="F286" s="54" t="s">
        <v>967</v>
      </c>
      <c r="G286" s="54" t="s">
        <v>968</v>
      </c>
      <c r="H286" s="54" t="n">
        <v>2273</v>
      </c>
      <c r="I286" s="54" t="s">
        <v>295</v>
      </c>
      <c r="J286" s="54" t="s">
        <v>569</v>
      </c>
    </row>
    <row r="287" customFormat="false" ht="15" hidden="false" customHeight="true" outlineLevel="0" collapsed="false">
      <c r="A287" s="54" t="n">
        <v>20260710</v>
      </c>
      <c r="B287" s="54" t="s">
        <v>289</v>
      </c>
      <c r="C287" s="54" t="s">
        <v>290</v>
      </c>
      <c r="D287" s="54" t="s">
        <v>965</v>
      </c>
      <c r="E287" s="54" t="s">
        <v>966</v>
      </c>
      <c r="F287" s="54" t="s">
        <v>969</v>
      </c>
      <c r="G287" s="54" t="s">
        <v>970</v>
      </c>
      <c r="H287" s="54" t="n">
        <v>2294</v>
      </c>
      <c r="I287" s="54" t="s">
        <v>360</v>
      </c>
      <c r="J287" s="54" t="s">
        <v>569</v>
      </c>
    </row>
    <row r="288" customFormat="false" ht="15" hidden="false" customHeight="true" outlineLevel="0" collapsed="false">
      <c r="A288" s="54" t="n">
        <v>20260710</v>
      </c>
      <c r="B288" s="54" t="s">
        <v>289</v>
      </c>
      <c r="C288" s="54" t="s">
        <v>290</v>
      </c>
      <c r="D288" s="54" t="s">
        <v>965</v>
      </c>
      <c r="E288" s="54" t="s">
        <v>966</v>
      </c>
      <c r="F288" s="54" t="s">
        <v>971</v>
      </c>
      <c r="G288" s="54" t="s">
        <v>972</v>
      </c>
      <c r="H288" s="54" t="n">
        <v>9877</v>
      </c>
      <c r="I288" s="54" t="s">
        <v>295</v>
      </c>
      <c r="J288" s="54" t="s">
        <v>569</v>
      </c>
    </row>
    <row r="289" customFormat="false" ht="15" hidden="false" customHeight="true" outlineLevel="0" collapsed="false">
      <c r="A289" s="54" t="n">
        <v>20260710</v>
      </c>
      <c r="B289" s="54" t="s">
        <v>289</v>
      </c>
      <c r="C289" s="54" t="s">
        <v>290</v>
      </c>
      <c r="D289" s="54" t="s">
        <v>965</v>
      </c>
      <c r="E289" s="54" t="s">
        <v>966</v>
      </c>
      <c r="F289" s="54" t="s">
        <v>973</v>
      </c>
      <c r="G289" s="54" t="s">
        <v>974</v>
      </c>
      <c r="H289" s="54" t="n">
        <v>5758</v>
      </c>
      <c r="I289" s="54" t="s">
        <v>295</v>
      </c>
      <c r="J289" s="54" t="s">
        <v>569</v>
      </c>
    </row>
    <row r="290" customFormat="false" ht="15" hidden="false" customHeight="true" outlineLevel="0" collapsed="false">
      <c r="A290" s="54" t="n">
        <v>20260710</v>
      </c>
      <c r="B290" s="54" t="s">
        <v>289</v>
      </c>
      <c r="C290" s="54" t="s">
        <v>290</v>
      </c>
      <c r="D290" s="54" t="s">
        <v>965</v>
      </c>
      <c r="E290" s="54" t="s">
        <v>966</v>
      </c>
      <c r="F290" s="54" t="s">
        <v>975</v>
      </c>
      <c r="G290" s="54" t="s">
        <v>976</v>
      </c>
      <c r="H290" s="54" t="n">
        <v>9491</v>
      </c>
      <c r="I290" s="54" t="s">
        <v>360</v>
      </c>
      <c r="J290" s="54" t="s">
        <v>569</v>
      </c>
    </row>
    <row r="291" customFormat="false" ht="15" hidden="false" customHeight="true" outlineLevel="0" collapsed="false">
      <c r="A291" s="54" t="n">
        <v>20260710</v>
      </c>
      <c r="B291" s="54" t="s">
        <v>289</v>
      </c>
      <c r="C291" s="54" t="s">
        <v>290</v>
      </c>
      <c r="D291" s="54" t="s">
        <v>965</v>
      </c>
      <c r="E291" s="54" t="s">
        <v>966</v>
      </c>
      <c r="F291" s="54" t="s">
        <v>975</v>
      </c>
      <c r="G291" s="54" t="s">
        <v>976</v>
      </c>
      <c r="H291" s="54" t="n">
        <v>9491</v>
      </c>
      <c r="I291" s="54" t="s">
        <v>295</v>
      </c>
      <c r="J291" s="54" t="s">
        <v>569</v>
      </c>
    </row>
    <row r="292" customFormat="false" ht="15" hidden="false" customHeight="true" outlineLevel="0" collapsed="false">
      <c r="A292" s="54" t="n">
        <v>20260710</v>
      </c>
      <c r="B292" s="54" t="s">
        <v>289</v>
      </c>
      <c r="C292" s="54" t="s">
        <v>290</v>
      </c>
      <c r="D292" s="54" t="s">
        <v>965</v>
      </c>
      <c r="E292" s="54" t="s">
        <v>966</v>
      </c>
      <c r="F292" s="54" t="s">
        <v>977</v>
      </c>
      <c r="G292" s="54" t="s">
        <v>978</v>
      </c>
      <c r="H292" s="54" t="n">
        <v>710</v>
      </c>
      <c r="I292" s="54" t="s">
        <v>360</v>
      </c>
      <c r="J292" s="54" t="s">
        <v>569</v>
      </c>
    </row>
    <row r="293" customFormat="false" ht="15" hidden="false" customHeight="true" outlineLevel="0" collapsed="false">
      <c r="A293" s="54" t="n">
        <v>20260710</v>
      </c>
      <c r="B293" s="54" t="s">
        <v>289</v>
      </c>
      <c r="C293" s="54" t="s">
        <v>290</v>
      </c>
      <c r="D293" s="54" t="s">
        <v>965</v>
      </c>
      <c r="E293" s="54" t="s">
        <v>966</v>
      </c>
      <c r="F293" s="54" t="s">
        <v>977</v>
      </c>
      <c r="G293" s="54" t="s">
        <v>978</v>
      </c>
      <c r="H293" s="54" t="n">
        <v>710</v>
      </c>
      <c r="I293" s="54" t="s">
        <v>295</v>
      </c>
      <c r="J293" s="54" t="s">
        <v>569</v>
      </c>
    </row>
    <row r="294" customFormat="false" ht="15" hidden="false" customHeight="true" outlineLevel="0" collapsed="false">
      <c r="A294" s="54" t="n">
        <v>20260710</v>
      </c>
      <c r="B294" s="54" t="s">
        <v>289</v>
      </c>
      <c r="C294" s="54" t="s">
        <v>290</v>
      </c>
      <c r="D294" s="54" t="s">
        <v>979</v>
      </c>
      <c r="E294" s="54" t="s">
        <v>980</v>
      </c>
      <c r="F294" s="54" t="s">
        <v>981</v>
      </c>
      <c r="G294" s="54" t="s">
        <v>982</v>
      </c>
      <c r="H294" s="54" t="n">
        <v>15182</v>
      </c>
      <c r="I294" s="54" t="s">
        <v>295</v>
      </c>
      <c r="J294" s="54" t="s">
        <v>874</v>
      </c>
    </row>
    <row r="295" customFormat="false" ht="15" hidden="false" customHeight="true" outlineLevel="0" collapsed="false">
      <c r="A295" s="54" t="n">
        <v>20260710</v>
      </c>
      <c r="B295" s="54" t="s">
        <v>289</v>
      </c>
      <c r="C295" s="54" t="s">
        <v>290</v>
      </c>
      <c r="D295" s="54" t="s">
        <v>979</v>
      </c>
      <c r="E295" s="54" t="s">
        <v>980</v>
      </c>
      <c r="F295" s="54" t="s">
        <v>983</v>
      </c>
      <c r="G295" s="54" t="s">
        <v>984</v>
      </c>
      <c r="H295" s="54" t="n">
        <v>14756</v>
      </c>
      <c r="I295" s="54" t="s">
        <v>295</v>
      </c>
      <c r="J295" s="54" t="s">
        <v>874</v>
      </c>
    </row>
    <row r="296" customFormat="false" ht="15" hidden="false" customHeight="true" outlineLevel="0" collapsed="false">
      <c r="A296" s="54" t="n">
        <v>20260710</v>
      </c>
      <c r="B296" s="54" t="s">
        <v>306</v>
      </c>
      <c r="C296" s="54" t="s">
        <v>290</v>
      </c>
      <c r="D296" s="54" t="s">
        <v>985</v>
      </c>
      <c r="E296" s="54" t="s">
        <v>986</v>
      </c>
      <c r="F296" s="54" t="s">
        <v>987</v>
      </c>
      <c r="G296" s="54" t="s">
        <v>988</v>
      </c>
      <c r="H296" s="54" t="n">
        <v>28800</v>
      </c>
      <c r="I296" s="54" t="s">
        <v>315</v>
      </c>
      <c r="J296" s="54" t="s">
        <v>989</v>
      </c>
    </row>
    <row r="297" customFormat="false" ht="15" hidden="false" customHeight="true" outlineLevel="0" collapsed="false">
      <c r="A297" s="54" t="n">
        <v>20260710</v>
      </c>
      <c r="B297" s="54" t="s">
        <v>306</v>
      </c>
      <c r="C297" s="54" t="s">
        <v>290</v>
      </c>
      <c r="D297" s="54" t="s">
        <v>985</v>
      </c>
      <c r="E297" s="54" t="s">
        <v>986</v>
      </c>
      <c r="F297" s="54" t="s">
        <v>987</v>
      </c>
      <c r="G297" s="54" t="s">
        <v>988</v>
      </c>
      <c r="H297" s="54" t="n">
        <v>28800</v>
      </c>
      <c r="I297" s="54" t="s">
        <v>295</v>
      </c>
      <c r="J297" s="54" t="s">
        <v>989</v>
      </c>
    </row>
    <row r="298" customFormat="false" ht="15" hidden="false" customHeight="true" outlineLevel="0" collapsed="false">
      <c r="A298" s="54" t="n">
        <v>20260710</v>
      </c>
      <c r="B298" s="54" t="s">
        <v>306</v>
      </c>
      <c r="C298" s="54" t="s">
        <v>290</v>
      </c>
      <c r="D298" s="54" t="s">
        <v>985</v>
      </c>
      <c r="E298" s="54" t="s">
        <v>986</v>
      </c>
      <c r="F298" s="54" t="s">
        <v>990</v>
      </c>
      <c r="G298" s="54" t="s">
        <v>991</v>
      </c>
      <c r="H298" s="54" t="n">
        <v>2793</v>
      </c>
      <c r="I298" s="54" t="s">
        <v>295</v>
      </c>
      <c r="J298" s="54" t="s">
        <v>989</v>
      </c>
    </row>
    <row r="299" customFormat="false" ht="15" hidden="false" customHeight="true" outlineLevel="0" collapsed="false">
      <c r="A299" s="54" t="n">
        <v>20260710</v>
      </c>
      <c r="B299" s="54" t="s">
        <v>306</v>
      </c>
      <c r="C299" s="54" t="s">
        <v>290</v>
      </c>
      <c r="D299" s="54" t="s">
        <v>985</v>
      </c>
      <c r="E299" s="54" t="s">
        <v>986</v>
      </c>
      <c r="F299" s="54" t="s">
        <v>992</v>
      </c>
      <c r="G299" s="54" t="s">
        <v>991</v>
      </c>
      <c r="H299" s="54" t="n">
        <v>2792</v>
      </c>
      <c r="I299" s="54" t="s">
        <v>315</v>
      </c>
      <c r="J299" s="54" t="s">
        <v>989</v>
      </c>
    </row>
    <row r="300" customFormat="false" ht="15" hidden="false" customHeight="true" outlineLevel="0" collapsed="false">
      <c r="A300" s="54" t="n">
        <v>20260710</v>
      </c>
      <c r="B300" s="54" t="s">
        <v>688</v>
      </c>
      <c r="C300" s="54" t="s">
        <v>290</v>
      </c>
      <c r="D300" s="54" t="s">
        <v>993</v>
      </c>
      <c r="E300" s="54" t="s">
        <v>994</v>
      </c>
      <c r="F300" s="54" t="s">
        <v>995</v>
      </c>
      <c r="G300" s="54" t="s">
        <v>996</v>
      </c>
      <c r="H300" s="54" t="n">
        <v>18192</v>
      </c>
      <c r="I300" s="54" t="s">
        <v>295</v>
      </c>
      <c r="J300" s="54" t="s">
        <v>997</v>
      </c>
    </row>
    <row r="301" customFormat="false" ht="15" hidden="false" customHeight="true" outlineLevel="0" collapsed="false">
      <c r="A301" s="54" t="n">
        <v>20260710</v>
      </c>
      <c r="B301" s="54" t="s">
        <v>289</v>
      </c>
      <c r="C301" s="54" t="s">
        <v>290</v>
      </c>
      <c r="D301" s="54" t="s">
        <v>998</v>
      </c>
      <c r="E301" s="54" t="s">
        <v>999</v>
      </c>
      <c r="F301" s="54" t="s">
        <v>1000</v>
      </c>
      <c r="G301" s="54" t="s">
        <v>1001</v>
      </c>
      <c r="H301" s="54" t="n">
        <v>19643</v>
      </c>
      <c r="I301" s="54" t="s">
        <v>295</v>
      </c>
      <c r="J301" s="54" t="s">
        <v>852</v>
      </c>
    </row>
    <row r="302" customFormat="false" ht="15" hidden="false" customHeight="true" outlineLevel="0" collapsed="false">
      <c r="A302" s="54" t="n">
        <v>20260710</v>
      </c>
      <c r="B302" s="54" t="s">
        <v>289</v>
      </c>
      <c r="C302" s="54" t="s">
        <v>290</v>
      </c>
      <c r="D302" s="54" t="s">
        <v>998</v>
      </c>
      <c r="E302" s="54" t="s">
        <v>999</v>
      </c>
      <c r="F302" s="54" t="s">
        <v>1002</v>
      </c>
      <c r="G302" s="54" t="s">
        <v>1001</v>
      </c>
      <c r="H302" s="54" t="n">
        <v>19641</v>
      </c>
      <c r="I302" s="54" t="s">
        <v>360</v>
      </c>
      <c r="J302" s="54" t="s">
        <v>852</v>
      </c>
    </row>
    <row r="303" customFormat="false" ht="15" hidden="false" customHeight="true" outlineLevel="0" collapsed="false">
      <c r="A303" s="54" t="n">
        <v>20260710</v>
      </c>
      <c r="B303" s="54" t="s">
        <v>289</v>
      </c>
      <c r="C303" s="54" t="s">
        <v>290</v>
      </c>
      <c r="D303" s="54" t="s">
        <v>998</v>
      </c>
      <c r="E303" s="54" t="s">
        <v>999</v>
      </c>
      <c r="F303" s="54" t="s">
        <v>1003</v>
      </c>
      <c r="G303" s="54" t="s">
        <v>1004</v>
      </c>
      <c r="H303" s="54" t="n">
        <v>6923</v>
      </c>
      <c r="I303" s="54" t="s">
        <v>360</v>
      </c>
      <c r="J303" s="54" t="s">
        <v>852</v>
      </c>
    </row>
    <row r="304" customFormat="false" ht="15" hidden="false" customHeight="true" outlineLevel="0" collapsed="false">
      <c r="A304" s="54" t="n">
        <v>20260710</v>
      </c>
      <c r="B304" s="54" t="s">
        <v>289</v>
      </c>
      <c r="C304" s="54" t="s">
        <v>290</v>
      </c>
      <c r="D304" s="54" t="s">
        <v>998</v>
      </c>
      <c r="E304" s="54" t="s">
        <v>999</v>
      </c>
      <c r="F304" s="54" t="s">
        <v>1003</v>
      </c>
      <c r="G304" s="54" t="s">
        <v>1005</v>
      </c>
      <c r="H304" s="54" t="n">
        <v>6924</v>
      </c>
      <c r="I304" s="54" t="s">
        <v>295</v>
      </c>
      <c r="J304" s="54" t="s">
        <v>852</v>
      </c>
    </row>
    <row r="305" customFormat="false" ht="15" hidden="false" customHeight="true" outlineLevel="0" collapsed="false">
      <c r="A305" s="54" t="n">
        <v>20260710</v>
      </c>
      <c r="B305" s="54" t="s">
        <v>592</v>
      </c>
      <c r="C305" s="54" t="s">
        <v>290</v>
      </c>
      <c r="D305" s="54" t="s">
        <v>1006</v>
      </c>
      <c r="E305" s="54" t="s">
        <v>1007</v>
      </c>
      <c r="F305" s="54" t="s">
        <v>1008</v>
      </c>
      <c r="G305" s="54" t="s">
        <v>1009</v>
      </c>
      <c r="H305" s="54" t="n">
        <v>17406</v>
      </c>
      <c r="I305" s="54" t="s">
        <v>295</v>
      </c>
      <c r="J305" s="54" t="s">
        <v>597</v>
      </c>
    </row>
    <row r="306" customFormat="false" ht="15" hidden="false" customHeight="true" outlineLevel="0" collapsed="false">
      <c r="A306" s="54" t="n">
        <v>20260710</v>
      </c>
      <c r="B306" s="54" t="s">
        <v>592</v>
      </c>
      <c r="C306" s="54" t="s">
        <v>290</v>
      </c>
      <c r="D306" s="54" t="s">
        <v>1006</v>
      </c>
      <c r="E306" s="54" t="s">
        <v>1007</v>
      </c>
      <c r="F306" s="54" t="s">
        <v>1010</v>
      </c>
      <c r="G306" s="54" t="s">
        <v>1011</v>
      </c>
      <c r="H306" s="54" t="n">
        <v>11203</v>
      </c>
      <c r="I306" s="54" t="s">
        <v>295</v>
      </c>
      <c r="J306" s="54" t="s">
        <v>597</v>
      </c>
    </row>
    <row r="307" customFormat="false" ht="15" hidden="false" customHeight="true" outlineLevel="0" collapsed="false">
      <c r="A307" s="54" t="n">
        <v>20260710</v>
      </c>
      <c r="B307" s="54" t="s">
        <v>289</v>
      </c>
      <c r="C307" s="54" t="s">
        <v>290</v>
      </c>
      <c r="D307" s="54" t="s">
        <v>1012</v>
      </c>
      <c r="E307" s="54" t="s">
        <v>1013</v>
      </c>
      <c r="F307" s="54" t="s">
        <v>1014</v>
      </c>
      <c r="G307" s="54" t="s">
        <v>1015</v>
      </c>
      <c r="H307" s="54" t="n">
        <v>11664</v>
      </c>
      <c r="I307" s="54" t="s">
        <v>295</v>
      </c>
      <c r="J307" s="54" t="s">
        <v>1016</v>
      </c>
    </row>
    <row r="308" customFormat="false" ht="15" hidden="false" customHeight="true" outlineLevel="0" collapsed="false">
      <c r="A308" s="54" t="n">
        <v>20260710</v>
      </c>
      <c r="B308" s="54" t="s">
        <v>289</v>
      </c>
      <c r="C308" s="54" t="s">
        <v>290</v>
      </c>
      <c r="D308" s="54" t="s">
        <v>1012</v>
      </c>
      <c r="E308" s="54" t="s">
        <v>1013</v>
      </c>
      <c r="F308" s="54" t="s">
        <v>1017</v>
      </c>
      <c r="G308" s="54" t="s">
        <v>1018</v>
      </c>
      <c r="H308" s="54" t="n">
        <v>3482</v>
      </c>
      <c r="I308" s="54" t="s">
        <v>295</v>
      </c>
      <c r="J308" s="54" t="s">
        <v>1016</v>
      </c>
    </row>
    <row r="309" customFormat="false" ht="15" hidden="false" customHeight="true" outlineLevel="0" collapsed="false">
      <c r="A309" s="54" t="n">
        <v>20260710</v>
      </c>
      <c r="B309" s="54" t="s">
        <v>289</v>
      </c>
      <c r="C309" s="54" t="s">
        <v>290</v>
      </c>
      <c r="D309" s="54" t="s">
        <v>1012</v>
      </c>
      <c r="E309" s="54" t="s">
        <v>1013</v>
      </c>
      <c r="F309" s="54" t="s">
        <v>1019</v>
      </c>
      <c r="G309" s="54" t="s">
        <v>1020</v>
      </c>
      <c r="H309" s="54" t="n">
        <v>1230</v>
      </c>
      <c r="I309" s="54" t="s">
        <v>295</v>
      </c>
      <c r="J309" s="54" t="s">
        <v>1016</v>
      </c>
    </row>
    <row r="310" customFormat="false" ht="15" hidden="false" customHeight="true" outlineLevel="0" collapsed="false">
      <c r="A310" s="54" t="n">
        <v>20260710</v>
      </c>
      <c r="B310" s="54" t="s">
        <v>289</v>
      </c>
      <c r="C310" s="54" t="s">
        <v>290</v>
      </c>
      <c r="D310" s="54" t="s">
        <v>1012</v>
      </c>
      <c r="E310" s="54" t="s">
        <v>1013</v>
      </c>
      <c r="F310" s="54" t="s">
        <v>1021</v>
      </c>
      <c r="G310" s="54" t="s">
        <v>1022</v>
      </c>
      <c r="H310" s="54" t="n">
        <v>13581</v>
      </c>
      <c r="I310" s="54" t="s">
        <v>295</v>
      </c>
      <c r="J310" s="54" t="s">
        <v>1016</v>
      </c>
    </row>
    <row r="311" customFormat="false" ht="15" hidden="false" customHeight="true" outlineLevel="0" collapsed="false">
      <c r="A311" s="54" t="n">
        <v>20260710</v>
      </c>
      <c r="B311" s="54" t="s">
        <v>306</v>
      </c>
      <c r="C311" s="54" t="s">
        <v>290</v>
      </c>
      <c r="D311" s="54" t="s">
        <v>1023</v>
      </c>
      <c r="E311" s="54" t="s">
        <v>1024</v>
      </c>
      <c r="F311" s="54" t="s">
        <v>1025</v>
      </c>
      <c r="G311" s="54" t="s">
        <v>1026</v>
      </c>
      <c r="H311" s="54" t="n">
        <v>14871</v>
      </c>
      <c r="I311" s="54" t="s">
        <v>295</v>
      </c>
      <c r="J311" s="54" t="s">
        <v>1027</v>
      </c>
    </row>
    <row r="312" customFormat="false" ht="15" hidden="false" customHeight="true" outlineLevel="0" collapsed="false">
      <c r="A312" s="54" t="n">
        <v>20260710</v>
      </c>
      <c r="B312" s="54" t="s">
        <v>306</v>
      </c>
      <c r="C312" s="54" t="s">
        <v>290</v>
      </c>
      <c r="D312" s="54" t="s">
        <v>1023</v>
      </c>
      <c r="E312" s="54" t="s">
        <v>1024</v>
      </c>
      <c r="F312" s="54" t="s">
        <v>1028</v>
      </c>
      <c r="G312" s="54" t="s">
        <v>1029</v>
      </c>
      <c r="H312" s="54" t="n">
        <v>13936</v>
      </c>
      <c r="I312" s="54" t="s">
        <v>295</v>
      </c>
      <c r="J312" s="54" t="s">
        <v>1027</v>
      </c>
    </row>
    <row r="313" customFormat="false" ht="15" hidden="false" customHeight="true" outlineLevel="0" collapsed="false">
      <c r="A313" s="54" t="n">
        <v>20260710</v>
      </c>
      <c r="B313" s="54" t="s">
        <v>289</v>
      </c>
      <c r="C313" s="54" t="s">
        <v>290</v>
      </c>
      <c r="D313" s="54" t="s">
        <v>1030</v>
      </c>
      <c r="E313" s="54" t="s">
        <v>1031</v>
      </c>
      <c r="F313" s="54" t="s">
        <v>1032</v>
      </c>
      <c r="G313" s="54" t="s">
        <v>1033</v>
      </c>
      <c r="H313" s="54" t="n">
        <v>9</v>
      </c>
      <c r="I313" s="54" t="s">
        <v>295</v>
      </c>
      <c r="J313" s="54" t="s">
        <v>303</v>
      </c>
    </row>
    <row r="314" customFormat="false" ht="15" hidden="false" customHeight="true" outlineLevel="0" collapsed="false">
      <c r="A314" s="54" t="n">
        <v>20260710</v>
      </c>
      <c r="B314" s="54" t="s">
        <v>289</v>
      </c>
      <c r="C314" s="54" t="s">
        <v>290</v>
      </c>
      <c r="D314" s="54" t="s">
        <v>1030</v>
      </c>
      <c r="E314" s="54" t="s">
        <v>1031</v>
      </c>
      <c r="F314" s="54" t="s">
        <v>1034</v>
      </c>
      <c r="G314" s="54" t="s">
        <v>1035</v>
      </c>
      <c r="H314" s="54" t="n">
        <v>18213</v>
      </c>
      <c r="I314" s="54" t="s">
        <v>295</v>
      </c>
      <c r="J314" s="54" t="s">
        <v>303</v>
      </c>
    </row>
    <row r="315" customFormat="false" ht="15" hidden="false" customHeight="true" outlineLevel="0" collapsed="false">
      <c r="A315" s="54" t="n">
        <v>20260710</v>
      </c>
      <c r="B315" s="54" t="s">
        <v>289</v>
      </c>
      <c r="C315" s="54" t="s">
        <v>290</v>
      </c>
      <c r="D315" s="54" t="s">
        <v>1030</v>
      </c>
      <c r="E315" s="54" t="s">
        <v>1031</v>
      </c>
      <c r="F315" s="54" t="s">
        <v>1036</v>
      </c>
      <c r="G315" s="54" t="s">
        <v>1037</v>
      </c>
      <c r="H315" s="54" t="n">
        <v>14468</v>
      </c>
      <c r="I315" s="54" t="s">
        <v>295</v>
      </c>
      <c r="J315" s="54" t="s">
        <v>303</v>
      </c>
    </row>
    <row r="316" customFormat="false" ht="15" hidden="false" customHeight="true" outlineLevel="0" collapsed="false">
      <c r="A316" s="54" t="n">
        <v>20260710</v>
      </c>
      <c r="B316" s="54" t="s">
        <v>688</v>
      </c>
      <c r="C316" s="54" t="s">
        <v>307</v>
      </c>
      <c r="D316" s="54" t="s">
        <v>1038</v>
      </c>
      <c r="E316" s="54" t="s">
        <v>1039</v>
      </c>
      <c r="F316" s="54" t="s">
        <v>1040</v>
      </c>
      <c r="G316" s="54" t="s">
        <v>1041</v>
      </c>
      <c r="H316" s="54" t="n">
        <v>17637</v>
      </c>
      <c r="I316" s="54" t="s">
        <v>295</v>
      </c>
      <c r="J316" s="54" t="s">
        <v>142</v>
      </c>
    </row>
    <row r="317" customFormat="false" ht="15" hidden="false" customHeight="true" outlineLevel="0" collapsed="false">
      <c r="A317" s="54" t="n">
        <v>20260710</v>
      </c>
      <c r="B317" s="54" t="s">
        <v>688</v>
      </c>
      <c r="C317" s="54" t="s">
        <v>307</v>
      </c>
      <c r="D317" s="54" t="s">
        <v>1038</v>
      </c>
      <c r="E317" s="54" t="s">
        <v>1039</v>
      </c>
      <c r="F317" s="54" t="s">
        <v>1042</v>
      </c>
      <c r="G317" s="54" t="s">
        <v>1043</v>
      </c>
      <c r="H317" s="54" t="n">
        <v>14219</v>
      </c>
      <c r="I317" s="54" t="s">
        <v>295</v>
      </c>
      <c r="J317" s="54" t="s">
        <v>142</v>
      </c>
    </row>
    <row r="318" customFormat="false" ht="15" hidden="false" customHeight="true" outlineLevel="0" collapsed="false">
      <c r="A318" s="54" t="n">
        <v>20260710</v>
      </c>
      <c r="B318" s="54" t="s">
        <v>688</v>
      </c>
      <c r="C318" s="54" t="s">
        <v>307</v>
      </c>
      <c r="D318" s="54" t="s">
        <v>1038</v>
      </c>
      <c r="E318" s="54" t="s">
        <v>1039</v>
      </c>
      <c r="F318" s="54" t="s">
        <v>1044</v>
      </c>
      <c r="G318" s="54" t="s">
        <v>573</v>
      </c>
      <c r="H318" s="54" t="n">
        <v>2</v>
      </c>
      <c r="I318" s="54" t="s">
        <v>295</v>
      </c>
      <c r="J318" s="54" t="s">
        <v>142</v>
      </c>
    </row>
    <row r="319" customFormat="false" ht="15" hidden="false" customHeight="true" outlineLevel="0" collapsed="false">
      <c r="A319" s="54" t="n">
        <v>20260710</v>
      </c>
      <c r="B319" s="54" t="s">
        <v>535</v>
      </c>
      <c r="C319" s="54" t="s">
        <v>307</v>
      </c>
      <c r="D319" s="54" t="s">
        <v>1045</v>
      </c>
      <c r="E319" s="54" t="s">
        <v>1046</v>
      </c>
      <c r="F319" s="54" t="s">
        <v>1047</v>
      </c>
      <c r="G319" s="54" t="s">
        <v>1048</v>
      </c>
      <c r="H319" s="54" t="n">
        <v>14536</v>
      </c>
      <c r="I319" s="54" t="s">
        <v>295</v>
      </c>
      <c r="J319" s="54" t="s">
        <v>540</v>
      </c>
    </row>
    <row r="320" customFormat="false" ht="15" hidden="false" customHeight="true" outlineLevel="0" collapsed="false">
      <c r="A320" s="54" t="n">
        <v>20260710</v>
      </c>
      <c r="B320" s="54" t="s">
        <v>535</v>
      </c>
      <c r="C320" s="54" t="s">
        <v>307</v>
      </c>
      <c r="D320" s="54" t="s">
        <v>1045</v>
      </c>
      <c r="E320" s="54" t="s">
        <v>1046</v>
      </c>
      <c r="F320" s="54" t="s">
        <v>812</v>
      </c>
      <c r="G320" s="54" t="s">
        <v>1049</v>
      </c>
      <c r="H320" s="54" t="n">
        <v>10941</v>
      </c>
      <c r="I320" s="54" t="s">
        <v>295</v>
      </c>
      <c r="J320" s="54" t="s">
        <v>540</v>
      </c>
    </row>
    <row r="321" customFormat="false" ht="15" hidden="false" customHeight="true" outlineLevel="0" collapsed="false">
      <c r="A321" s="54" t="n">
        <v>20260710</v>
      </c>
      <c r="B321" s="54" t="s">
        <v>168</v>
      </c>
      <c r="C321" s="54" t="s">
        <v>290</v>
      </c>
      <c r="D321" s="54" t="s">
        <v>1050</v>
      </c>
      <c r="E321" s="54" t="s">
        <v>1051</v>
      </c>
      <c r="F321" s="54" t="s">
        <v>1052</v>
      </c>
      <c r="G321" s="54" t="s">
        <v>1053</v>
      </c>
      <c r="H321" s="54" t="n">
        <v>23230</v>
      </c>
      <c r="I321" s="54" t="s">
        <v>295</v>
      </c>
      <c r="J321" s="54" t="s">
        <v>818</v>
      </c>
    </row>
    <row r="322" customFormat="false" ht="15" hidden="false" customHeight="true" outlineLevel="0" collapsed="false">
      <c r="A322" s="54" t="n">
        <v>20260710</v>
      </c>
      <c r="B322" s="54" t="s">
        <v>168</v>
      </c>
      <c r="C322" s="54" t="s">
        <v>290</v>
      </c>
      <c r="D322" s="54" t="s">
        <v>1050</v>
      </c>
      <c r="E322" s="54" t="s">
        <v>1051</v>
      </c>
      <c r="F322" s="54" t="s">
        <v>1054</v>
      </c>
      <c r="G322" s="54" t="s">
        <v>1055</v>
      </c>
      <c r="H322" s="54" t="n">
        <v>7107</v>
      </c>
      <c r="I322" s="54" t="s">
        <v>295</v>
      </c>
      <c r="J322" s="54" t="s">
        <v>818</v>
      </c>
    </row>
    <row r="323" customFormat="false" ht="15" hidden="false" customHeight="true" outlineLevel="0" collapsed="false">
      <c r="A323" s="54" t="n">
        <v>20260710</v>
      </c>
      <c r="B323" s="54" t="s">
        <v>306</v>
      </c>
      <c r="C323" s="54" t="s">
        <v>290</v>
      </c>
      <c r="D323" s="54" t="s">
        <v>1056</v>
      </c>
      <c r="E323" s="54" t="s">
        <v>1057</v>
      </c>
      <c r="F323" s="54" t="s">
        <v>1058</v>
      </c>
      <c r="G323" s="54" t="s">
        <v>1059</v>
      </c>
      <c r="H323" s="54" t="n">
        <v>18625</v>
      </c>
      <c r="I323" s="54" t="s">
        <v>315</v>
      </c>
      <c r="J323" s="54" t="s">
        <v>948</v>
      </c>
    </row>
    <row r="324" customFormat="false" ht="15" hidden="false" customHeight="true" outlineLevel="0" collapsed="false">
      <c r="A324" s="54" t="n">
        <v>20260710</v>
      </c>
      <c r="B324" s="54" t="s">
        <v>306</v>
      </c>
      <c r="C324" s="54" t="s">
        <v>290</v>
      </c>
      <c r="D324" s="54" t="s">
        <v>1056</v>
      </c>
      <c r="E324" s="54" t="s">
        <v>1057</v>
      </c>
      <c r="F324" s="54" t="s">
        <v>1060</v>
      </c>
      <c r="G324" s="54" t="s">
        <v>1059</v>
      </c>
      <c r="H324" s="54" t="n">
        <v>18195</v>
      </c>
      <c r="I324" s="54" t="s">
        <v>295</v>
      </c>
      <c r="J324" s="54" t="s">
        <v>948</v>
      </c>
    </row>
    <row r="325" customFormat="false" ht="15" hidden="false" customHeight="true" outlineLevel="0" collapsed="false">
      <c r="A325" s="54" t="n">
        <v>20260710</v>
      </c>
      <c r="B325" s="54" t="s">
        <v>306</v>
      </c>
      <c r="C325" s="54" t="s">
        <v>290</v>
      </c>
      <c r="D325" s="54" t="s">
        <v>1056</v>
      </c>
      <c r="E325" s="54" t="s">
        <v>1057</v>
      </c>
      <c r="F325" s="54" t="s">
        <v>1061</v>
      </c>
      <c r="G325" s="54" t="s">
        <v>1062</v>
      </c>
      <c r="H325" s="54" t="n">
        <v>10865</v>
      </c>
      <c r="I325" s="54" t="s">
        <v>315</v>
      </c>
      <c r="J325" s="54" t="s">
        <v>948</v>
      </c>
    </row>
    <row r="326" customFormat="false" ht="15" hidden="false" customHeight="true" outlineLevel="0" collapsed="false">
      <c r="A326" s="54" t="n">
        <v>20260710</v>
      </c>
      <c r="B326" s="54" t="s">
        <v>306</v>
      </c>
      <c r="C326" s="54" t="s">
        <v>290</v>
      </c>
      <c r="D326" s="54" t="s">
        <v>1056</v>
      </c>
      <c r="E326" s="54" t="s">
        <v>1057</v>
      </c>
      <c r="F326" s="54" t="s">
        <v>1061</v>
      </c>
      <c r="G326" s="54" t="s">
        <v>1062</v>
      </c>
      <c r="H326" s="54" t="n">
        <v>10865</v>
      </c>
      <c r="I326" s="54" t="s">
        <v>295</v>
      </c>
      <c r="J326" s="54" t="s">
        <v>948</v>
      </c>
    </row>
    <row r="327" customFormat="false" ht="15" hidden="false" customHeight="true" outlineLevel="0" collapsed="false">
      <c r="A327" s="54" t="n">
        <v>20260710</v>
      </c>
      <c r="B327" s="54" t="s">
        <v>306</v>
      </c>
      <c r="C327" s="54" t="s">
        <v>290</v>
      </c>
      <c r="D327" s="54" t="s">
        <v>1063</v>
      </c>
      <c r="E327" s="54" t="s">
        <v>1064</v>
      </c>
      <c r="F327" s="54" t="s">
        <v>1065</v>
      </c>
      <c r="G327" s="54" t="s">
        <v>1066</v>
      </c>
      <c r="H327" s="54" t="n">
        <v>21012</v>
      </c>
      <c r="I327" s="54" t="s">
        <v>295</v>
      </c>
      <c r="J327" s="54" t="s">
        <v>1067</v>
      </c>
    </row>
    <row r="328" customFormat="false" ht="15" hidden="false" customHeight="true" outlineLevel="0" collapsed="false">
      <c r="A328" s="54" t="n">
        <v>20260710</v>
      </c>
      <c r="B328" s="54" t="s">
        <v>306</v>
      </c>
      <c r="C328" s="54" t="s">
        <v>290</v>
      </c>
      <c r="D328" s="54" t="s">
        <v>1063</v>
      </c>
      <c r="E328" s="54" t="s">
        <v>1064</v>
      </c>
      <c r="F328" s="54" t="s">
        <v>1068</v>
      </c>
      <c r="G328" s="54" t="s">
        <v>1069</v>
      </c>
      <c r="H328" s="54" t="n">
        <v>9599</v>
      </c>
      <c r="I328" s="54" t="s">
        <v>295</v>
      </c>
      <c r="J328" s="54" t="s">
        <v>1067</v>
      </c>
    </row>
    <row r="329" customFormat="false" ht="15" hidden="false" customHeight="true" outlineLevel="0" collapsed="false">
      <c r="A329" s="54" t="n">
        <v>20260710</v>
      </c>
      <c r="B329" s="54" t="s">
        <v>289</v>
      </c>
      <c r="C329" s="54" t="s">
        <v>307</v>
      </c>
      <c r="D329" s="54" t="s">
        <v>1070</v>
      </c>
      <c r="E329" s="54" t="s">
        <v>1071</v>
      </c>
      <c r="F329" s="54" t="s">
        <v>1072</v>
      </c>
      <c r="G329" s="54" t="s">
        <v>1073</v>
      </c>
      <c r="H329" s="54" t="n">
        <v>50</v>
      </c>
      <c r="I329" s="54" t="s">
        <v>360</v>
      </c>
      <c r="J329" s="54" t="s">
        <v>1074</v>
      </c>
    </row>
    <row r="330" customFormat="false" ht="15" hidden="false" customHeight="true" outlineLevel="0" collapsed="false">
      <c r="A330" s="54" t="n">
        <v>20260710</v>
      </c>
      <c r="B330" s="54" t="s">
        <v>289</v>
      </c>
      <c r="C330" s="54" t="s">
        <v>307</v>
      </c>
      <c r="D330" s="54" t="s">
        <v>1070</v>
      </c>
      <c r="E330" s="54" t="s">
        <v>1071</v>
      </c>
      <c r="F330" s="54" t="s">
        <v>1072</v>
      </c>
      <c r="G330" s="54" t="s">
        <v>1073</v>
      </c>
      <c r="H330" s="54" t="n">
        <v>50</v>
      </c>
      <c r="I330" s="54" t="s">
        <v>295</v>
      </c>
      <c r="J330" s="54" t="s">
        <v>1074</v>
      </c>
    </row>
    <row r="331" customFormat="false" ht="15" hidden="false" customHeight="true" outlineLevel="0" collapsed="false">
      <c r="A331" s="54" t="n">
        <v>20260710</v>
      </c>
      <c r="B331" s="54" t="s">
        <v>289</v>
      </c>
      <c r="C331" s="54" t="s">
        <v>307</v>
      </c>
      <c r="D331" s="54" t="s">
        <v>1070</v>
      </c>
      <c r="E331" s="54" t="s">
        <v>1071</v>
      </c>
      <c r="F331" s="54" t="s">
        <v>1075</v>
      </c>
      <c r="G331" s="54" t="s">
        <v>1076</v>
      </c>
      <c r="H331" s="54" t="n">
        <v>15568</v>
      </c>
      <c r="I331" s="54" t="s">
        <v>360</v>
      </c>
      <c r="J331" s="54" t="s">
        <v>1074</v>
      </c>
    </row>
    <row r="332" customFormat="false" ht="15" hidden="false" customHeight="true" outlineLevel="0" collapsed="false">
      <c r="A332" s="54" t="n">
        <v>20260710</v>
      </c>
      <c r="B332" s="54" t="s">
        <v>289</v>
      </c>
      <c r="C332" s="54" t="s">
        <v>307</v>
      </c>
      <c r="D332" s="54" t="s">
        <v>1070</v>
      </c>
      <c r="E332" s="54" t="s">
        <v>1071</v>
      </c>
      <c r="F332" s="54" t="s">
        <v>1075</v>
      </c>
      <c r="G332" s="54" t="s">
        <v>1076</v>
      </c>
      <c r="H332" s="54" t="n">
        <v>15568</v>
      </c>
      <c r="I332" s="54" t="s">
        <v>295</v>
      </c>
      <c r="J332" s="54" t="s">
        <v>1074</v>
      </c>
    </row>
    <row r="333" customFormat="false" ht="15" hidden="false" customHeight="true" outlineLevel="0" collapsed="false">
      <c r="A333" s="54" t="n">
        <v>20260710</v>
      </c>
      <c r="B333" s="54" t="s">
        <v>289</v>
      </c>
      <c r="C333" s="54" t="s">
        <v>307</v>
      </c>
      <c r="D333" s="54" t="s">
        <v>1070</v>
      </c>
      <c r="E333" s="54" t="s">
        <v>1071</v>
      </c>
      <c r="F333" s="54" t="s">
        <v>1077</v>
      </c>
      <c r="G333" s="54" t="s">
        <v>1078</v>
      </c>
      <c r="H333" s="54" t="n">
        <v>13470</v>
      </c>
      <c r="I333" s="54" t="s">
        <v>360</v>
      </c>
      <c r="J333" s="54" t="s">
        <v>1074</v>
      </c>
    </row>
    <row r="334" customFormat="false" ht="15" hidden="false" customHeight="true" outlineLevel="0" collapsed="false">
      <c r="A334" s="54" t="n">
        <v>20260710</v>
      </c>
      <c r="B334" s="54" t="s">
        <v>289</v>
      </c>
      <c r="C334" s="54" t="s">
        <v>307</v>
      </c>
      <c r="D334" s="54" t="s">
        <v>1070</v>
      </c>
      <c r="E334" s="54" t="s">
        <v>1071</v>
      </c>
      <c r="F334" s="54" t="s">
        <v>1077</v>
      </c>
      <c r="G334" s="54" t="s">
        <v>1078</v>
      </c>
      <c r="H334" s="54" t="n">
        <v>13470</v>
      </c>
      <c r="I334" s="54" t="s">
        <v>295</v>
      </c>
      <c r="J334" s="54" t="s">
        <v>1074</v>
      </c>
    </row>
    <row r="335" customFormat="false" ht="15" hidden="false" customHeight="true" outlineLevel="0" collapsed="false">
      <c r="A335" s="54" t="n">
        <v>20260710</v>
      </c>
      <c r="B335" s="54" t="s">
        <v>306</v>
      </c>
      <c r="C335" s="54" t="s">
        <v>290</v>
      </c>
      <c r="D335" s="54" t="s">
        <v>1079</v>
      </c>
      <c r="E335" s="54" t="s">
        <v>1080</v>
      </c>
      <c r="F335" s="54" t="s">
        <v>1081</v>
      </c>
      <c r="G335" s="54" t="s">
        <v>1082</v>
      </c>
      <c r="H335" s="54" t="n">
        <v>10730</v>
      </c>
      <c r="I335" s="54" t="s">
        <v>295</v>
      </c>
      <c r="J335" s="54" t="s">
        <v>433</v>
      </c>
    </row>
    <row r="336" customFormat="false" ht="15" hidden="false" customHeight="true" outlineLevel="0" collapsed="false">
      <c r="A336" s="54" t="n">
        <v>20260710</v>
      </c>
      <c r="B336" s="54" t="s">
        <v>306</v>
      </c>
      <c r="C336" s="54" t="s">
        <v>290</v>
      </c>
      <c r="D336" s="54" t="s">
        <v>1079</v>
      </c>
      <c r="E336" s="54" t="s">
        <v>1080</v>
      </c>
      <c r="F336" s="54" t="s">
        <v>1083</v>
      </c>
      <c r="G336" s="54" t="s">
        <v>851</v>
      </c>
      <c r="H336" s="54" t="n">
        <v>7263</v>
      </c>
      <c r="I336" s="54" t="s">
        <v>295</v>
      </c>
      <c r="J336" s="54" t="s">
        <v>433</v>
      </c>
    </row>
    <row r="337" customFormat="false" ht="15" hidden="false" customHeight="true" outlineLevel="0" collapsed="false">
      <c r="A337" s="54" t="n">
        <v>20260710</v>
      </c>
      <c r="B337" s="54" t="s">
        <v>306</v>
      </c>
      <c r="C337" s="54" t="s">
        <v>290</v>
      </c>
      <c r="D337" s="54" t="s">
        <v>1079</v>
      </c>
      <c r="E337" s="54" t="s">
        <v>1080</v>
      </c>
      <c r="F337" s="54" t="s">
        <v>1084</v>
      </c>
      <c r="G337" s="54" t="s">
        <v>1085</v>
      </c>
      <c r="H337" s="54" t="n">
        <v>11023</v>
      </c>
      <c r="I337" s="54" t="s">
        <v>295</v>
      </c>
      <c r="J337" s="54" t="s">
        <v>433</v>
      </c>
    </row>
    <row r="338" customFormat="false" ht="15" hidden="false" customHeight="true" outlineLevel="0" collapsed="false">
      <c r="A338" s="54" t="n">
        <v>20260710</v>
      </c>
      <c r="B338" s="54" t="s">
        <v>306</v>
      </c>
      <c r="C338" s="54" t="s">
        <v>307</v>
      </c>
      <c r="D338" s="54" t="s">
        <v>1086</v>
      </c>
      <c r="E338" s="54" t="s">
        <v>1087</v>
      </c>
      <c r="F338" s="54" t="s">
        <v>1088</v>
      </c>
      <c r="G338" s="54" t="s">
        <v>903</v>
      </c>
      <c r="H338" s="54" t="n">
        <v>17952</v>
      </c>
      <c r="I338" s="54" t="s">
        <v>295</v>
      </c>
      <c r="J338" s="54" t="s">
        <v>312</v>
      </c>
    </row>
    <row r="339" customFormat="false" ht="15" hidden="false" customHeight="true" outlineLevel="0" collapsed="false">
      <c r="A339" s="54" t="n">
        <v>20260710</v>
      </c>
      <c r="B339" s="54" t="s">
        <v>306</v>
      </c>
      <c r="C339" s="54" t="s">
        <v>307</v>
      </c>
      <c r="D339" s="54" t="s">
        <v>1086</v>
      </c>
      <c r="E339" s="54" t="s">
        <v>1087</v>
      </c>
      <c r="F339" s="54" t="s">
        <v>1089</v>
      </c>
      <c r="G339" s="54" t="s">
        <v>1090</v>
      </c>
      <c r="H339" s="54" t="n">
        <v>14402</v>
      </c>
      <c r="I339" s="54" t="s">
        <v>295</v>
      </c>
      <c r="J339" s="54" t="s">
        <v>312</v>
      </c>
    </row>
    <row r="340" customFormat="false" ht="15" hidden="false" customHeight="true" outlineLevel="0" collapsed="false">
      <c r="A340" s="54" t="n">
        <v>20260710</v>
      </c>
      <c r="B340" s="54" t="s">
        <v>497</v>
      </c>
      <c r="C340" s="54" t="s">
        <v>290</v>
      </c>
      <c r="D340" s="54" t="s">
        <v>1091</v>
      </c>
      <c r="E340" s="54" t="s">
        <v>1092</v>
      </c>
      <c r="F340" s="54" t="s">
        <v>1093</v>
      </c>
      <c r="G340" s="54" t="s">
        <v>1094</v>
      </c>
      <c r="H340" s="54" t="n">
        <v>7757</v>
      </c>
      <c r="I340" s="54" t="s">
        <v>295</v>
      </c>
      <c r="J340" s="54" t="s">
        <v>1095</v>
      </c>
    </row>
    <row r="341" customFormat="false" ht="15" hidden="false" customHeight="true" outlineLevel="0" collapsed="false">
      <c r="A341" s="54" t="n">
        <v>20260710</v>
      </c>
      <c r="B341" s="54" t="s">
        <v>497</v>
      </c>
      <c r="C341" s="54" t="s">
        <v>290</v>
      </c>
      <c r="D341" s="54" t="s">
        <v>1091</v>
      </c>
      <c r="E341" s="54" t="s">
        <v>1092</v>
      </c>
      <c r="F341" s="54" t="s">
        <v>1096</v>
      </c>
      <c r="G341" s="54" t="s">
        <v>1097</v>
      </c>
      <c r="H341" s="54" t="n">
        <v>6846</v>
      </c>
      <c r="I341" s="54" t="s">
        <v>295</v>
      </c>
      <c r="J341" s="54" t="s">
        <v>1095</v>
      </c>
    </row>
    <row r="342" customFormat="false" ht="15" hidden="false" customHeight="true" outlineLevel="0" collapsed="false">
      <c r="A342" s="54" t="n">
        <v>20260710</v>
      </c>
      <c r="B342" s="54" t="s">
        <v>497</v>
      </c>
      <c r="C342" s="54" t="s">
        <v>290</v>
      </c>
      <c r="D342" s="54" t="s">
        <v>1091</v>
      </c>
      <c r="E342" s="54" t="s">
        <v>1092</v>
      </c>
      <c r="F342" s="54" t="s">
        <v>1098</v>
      </c>
      <c r="G342" s="54" t="s">
        <v>1099</v>
      </c>
      <c r="H342" s="54" t="n">
        <v>10836</v>
      </c>
      <c r="I342" s="54" t="s">
        <v>295</v>
      </c>
      <c r="J342" s="54" t="s">
        <v>1095</v>
      </c>
    </row>
    <row r="343" customFormat="false" ht="15" hidden="false" customHeight="true" outlineLevel="0" collapsed="false">
      <c r="A343" s="54" t="n">
        <v>20260710</v>
      </c>
      <c r="B343" s="54" t="s">
        <v>168</v>
      </c>
      <c r="C343" s="54" t="s">
        <v>290</v>
      </c>
      <c r="D343" s="54" t="s">
        <v>1100</v>
      </c>
      <c r="E343" s="54" t="s">
        <v>1101</v>
      </c>
      <c r="F343" s="54" t="s">
        <v>1102</v>
      </c>
      <c r="G343" s="54" t="s">
        <v>1103</v>
      </c>
      <c r="H343" s="54" t="n">
        <v>16633</v>
      </c>
      <c r="I343" s="54" t="s">
        <v>295</v>
      </c>
      <c r="J343" s="54" t="s">
        <v>818</v>
      </c>
    </row>
    <row r="344" customFormat="false" ht="15" hidden="false" customHeight="true" outlineLevel="0" collapsed="false">
      <c r="A344" s="54" t="n">
        <v>20260710</v>
      </c>
      <c r="B344" s="54" t="s">
        <v>168</v>
      </c>
      <c r="C344" s="54" t="s">
        <v>290</v>
      </c>
      <c r="D344" s="54" t="s">
        <v>1100</v>
      </c>
      <c r="E344" s="54" t="s">
        <v>1101</v>
      </c>
      <c r="F344" s="54" t="s">
        <v>1104</v>
      </c>
      <c r="G344" s="54" t="s">
        <v>1105</v>
      </c>
      <c r="H344" s="54" t="n">
        <v>9611</v>
      </c>
      <c r="I344" s="54" t="s">
        <v>295</v>
      </c>
      <c r="J344" s="54" t="s">
        <v>818</v>
      </c>
    </row>
    <row r="345" customFormat="false" ht="15" hidden="false" customHeight="true" outlineLevel="0" collapsed="false">
      <c r="A345" s="54" t="n">
        <v>20260710</v>
      </c>
      <c r="B345" s="54" t="s">
        <v>168</v>
      </c>
      <c r="C345" s="54" t="s">
        <v>290</v>
      </c>
      <c r="D345" s="54" t="s">
        <v>1100</v>
      </c>
      <c r="E345" s="54" t="s">
        <v>1101</v>
      </c>
      <c r="F345" s="54" t="s">
        <v>1106</v>
      </c>
      <c r="G345" s="54" t="s">
        <v>789</v>
      </c>
      <c r="H345" s="54" t="n">
        <v>2230</v>
      </c>
      <c r="I345" s="54" t="s">
        <v>295</v>
      </c>
      <c r="J345" s="54" t="s">
        <v>818</v>
      </c>
    </row>
    <row r="346" customFormat="false" ht="15" hidden="false" customHeight="true" outlineLevel="0" collapsed="false">
      <c r="A346" s="54" t="n">
        <v>20260710</v>
      </c>
      <c r="B346" s="54" t="s">
        <v>306</v>
      </c>
      <c r="C346" s="54" t="s">
        <v>307</v>
      </c>
      <c r="D346" s="54" t="s">
        <v>1107</v>
      </c>
      <c r="E346" s="54" t="s">
        <v>1108</v>
      </c>
      <c r="F346" s="54" t="s">
        <v>1109</v>
      </c>
      <c r="G346" s="54" t="s">
        <v>1110</v>
      </c>
      <c r="H346" s="54" t="n">
        <v>18029</v>
      </c>
      <c r="I346" s="54" t="s">
        <v>295</v>
      </c>
      <c r="J346" s="54" t="s">
        <v>312</v>
      </c>
    </row>
    <row r="347" customFormat="false" ht="15" hidden="false" customHeight="true" outlineLevel="0" collapsed="false">
      <c r="A347" s="54" t="n">
        <v>20260710</v>
      </c>
      <c r="B347" s="54" t="s">
        <v>306</v>
      </c>
      <c r="C347" s="54" t="s">
        <v>307</v>
      </c>
      <c r="D347" s="54" t="s">
        <v>1107</v>
      </c>
      <c r="E347" s="54" t="s">
        <v>1108</v>
      </c>
      <c r="F347" s="54" t="s">
        <v>1111</v>
      </c>
      <c r="G347" s="54" t="s">
        <v>1112</v>
      </c>
      <c r="H347" s="54" t="n">
        <v>14641</v>
      </c>
      <c r="I347" s="54" t="s">
        <v>295</v>
      </c>
      <c r="J347" s="54" t="s">
        <v>312</v>
      </c>
    </row>
    <row r="348" customFormat="false" ht="15" hidden="false" customHeight="true" outlineLevel="0" collapsed="false">
      <c r="A348" s="54" t="n">
        <v>20260710</v>
      </c>
      <c r="B348" s="54" t="s">
        <v>248</v>
      </c>
      <c r="C348" s="54" t="s">
        <v>307</v>
      </c>
      <c r="D348" s="54" t="s">
        <v>322</v>
      </c>
      <c r="E348" s="54" t="s">
        <v>323</v>
      </c>
      <c r="F348" s="54" t="s">
        <v>1113</v>
      </c>
      <c r="G348" s="54" t="s">
        <v>1114</v>
      </c>
      <c r="H348" s="54" t="n">
        <v>20013</v>
      </c>
      <c r="I348" s="54" t="s">
        <v>295</v>
      </c>
      <c r="J348" s="54" t="s">
        <v>326</v>
      </c>
    </row>
    <row r="349" customFormat="false" ht="15" hidden="false" customHeight="true" outlineLevel="0" collapsed="false">
      <c r="A349" s="54" t="n">
        <v>20260710</v>
      </c>
      <c r="B349" s="54" t="s">
        <v>248</v>
      </c>
      <c r="C349" s="54" t="s">
        <v>307</v>
      </c>
      <c r="D349" s="54" t="s">
        <v>322</v>
      </c>
      <c r="E349" s="54" t="s">
        <v>323</v>
      </c>
      <c r="F349" s="54" t="s">
        <v>1115</v>
      </c>
      <c r="G349" s="54" t="s">
        <v>1116</v>
      </c>
      <c r="H349" s="54" t="n">
        <v>39859</v>
      </c>
      <c r="I349" s="54" t="s">
        <v>295</v>
      </c>
      <c r="J349" s="54" t="s">
        <v>326</v>
      </c>
    </row>
    <row r="350" customFormat="false" ht="15" hidden="false" customHeight="true" outlineLevel="0" collapsed="false">
      <c r="A350" s="54" t="n">
        <v>20260710</v>
      </c>
      <c r="B350" s="54" t="s">
        <v>289</v>
      </c>
      <c r="C350" s="54" t="s">
        <v>290</v>
      </c>
      <c r="D350" s="54" t="s">
        <v>1117</v>
      </c>
      <c r="E350" s="54" t="s">
        <v>1118</v>
      </c>
      <c r="F350" s="54" t="s">
        <v>1119</v>
      </c>
      <c r="G350" s="54" t="s">
        <v>1120</v>
      </c>
      <c r="H350" s="54" t="n">
        <v>2124</v>
      </c>
      <c r="I350" s="54" t="s">
        <v>295</v>
      </c>
      <c r="J350" s="54" t="s">
        <v>578</v>
      </c>
    </row>
    <row r="351" customFormat="false" ht="15" hidden="false" customHeight="true" outlineLevel="0" collapsed="false">
      <c r="A351" s="54" t="n">
        <v>20260710</v>
      </c>
      <c r="B351" s="54" t="s">
        <v>289</v>
      </c>
      <c r="C351" s="54" t="s">
        <v>290</v>
      </c>
      <c r="D351" s="54" t="s">
        <v>1117</v>
      </c>
      <c r="E351" s="54" t="s">
        <v>1118</v>
      </c>
      <c r="F351" s="54" t="s">
        <v>1121</v>
      </c>
      <c r="G351" s="54" t="s">
        <v>1122</v>
      </c>
      <c r="H351" s="54" t="n">
        <v>2325</v>
      </c>
      <c r="I351" s="54" t="s">
        <v>295</v>
      </c>
      <c r="J351" s="54" t="s">
        <v>578</v>
      </c>
    </row>
    <row r="352" customFormat="false" ht="15" hidden="false" customHeight="true" outlineLevel="0" collapsed="false">
      <c r="A352" s="54" t="n">
        <v>20260710</v>
      </c>
      <c r="B352" s="54" t="s">
        <v>289</v>
      </c>
      <c r="C352" s="54" t="s">
        <v>290</v>
      </c>
      <c r="D352" s="54" t="s">
        <v>1117</v>
      </c>
      <c r="E352" s="54" t="s">
        <v>1118</v>
      </c>
      <c r="F352" s="54" t="s">
        <v>1123</v>
      </c>
      <c r="G352" s="54" t="s">
        <v>1124</v>
      </c>
      <c r="H352" s="54" t="n">
        <v>8535</v>
      </c>
      <c r="I352" s="54" t="s">
        <v>295</v>
      </c>
      <c r="J352" s="54" t="s">
        <v>578</v>
      </c>
    </row>
    <row r="353" customFormat="false" ht="15" hidden="false" customHeight="true" outlineLevel="0" collapsed="false">
      <c r="A353" s="54" t="n">
        <v>20260710</v>
      </c>
      <c r="B353" s="54" t="s">
        <v>289</v>
      </c>
      <c r="C353" s="54" t="s">
        <v>290</v>
      </c>
      <c r="D353" s="54" t="s">
        <v>1117</v>
      </c>
      <c r="E353" s="54" t="s">
        <v>1118</v>
      </c>
      <c r="F353" s="54" t="s">
        <v>1125</v>
      </c>
      <c r="G353" s="54" t="s">
        <v>1126</v>
      </c>
      <c r="H353" s="54" t="n">
        <v>1717</v>
      </c>
      <c r="I353" s="54" t="s">
        <v>295</v>
      </c>
      <c r="J353" s="54" t="s">
        <v>578</v>
      </c>
    </row>
    <row r="354" customFormat="false" ht="15" hidden="false" customHeight="true" outlineLevel="0" collapsed="false">
      <c r="A354" s="54" t="n">
        <v>20260710</v>
      </c>
      <c r="B354" s="54" t="s">
        <v>289</v>
      </c>
      <c r="C354" s="54" t="s">
        <v>290</v>
      </c>
      <c r="D354" s="54" t="s">
        <v>1117</v>
      </c>
      <c r="E354" s="54" t="s">
        <v>1118</v>
      </c>
      <c r="F354" s="54" t="s">
        <v>1127</v>
      </c>
      <c r="G354" s="54" t="s">
        <v>1128</v>
      </c>
      <c r="H354" s="54" t="n">
        <v>14044</v>
      </c>
      <c r="I354" s="54" t="s">
        <v>295</v>
      </c>
      <c r="J354" s="54" t="s">
        <v>578</v>
      </c>
    </row>
    <row r="355" customFormat="false" ht="15" hidden="false" customHeight="true" outlineLevel="0" collapsed="false">
      <c r="A355" s="54" t="n">
        <v>20260710</v>
      </c>
      <c r="B355" s="54" t="s">
        <v>289</v>
      </c>
      <c r="C355" s="54" t="s">
        <v>307</v>
      </c>
      <c r="D355" s="54" t="s">
        <v>1129</v>
      </c>
      <c r="E355" s="54" t="s">
        <v>1130</v>
      </c>
      <c r="F355" s="54" t="s">
        <v>1131</v>
      </c>
      <c r="G355" s="54" t="s">
        <v>1132</v>
      </c>
      <c r="H355" s="54" t="n">
        <v>15384</v>
      </c>
      <c r="I355" s="54" t="s">
        <v>295</v>
      </c>
      <c r="J355" s="54" t="s">
        <v>1133</v>
      </c>
    </row>
    <row r="356" customFormat="false" ht="15" hidden="false" customHeight="true" outlineLevel="0" collapsed="false">
      <c r="A356" s="54" t="n">
        <v>20260710</v>
      </c>
      <c r="B356" s="54" t="s">
        <v>289</v>
      </c>
      <c r="C356" s="54" t="s">
        <v>307</v>
      </c>
      <c r="D356" s="54" t="s">
        <v>1129</v>
      </c>
      <c r="E356" s="54" t="s">
        <v>1130</v>
      </c>
      <c r="F356" s="54" t="s">
        <v>1134</v>
      </c>
      <c r="G356" s="54" t="s">
        <v>1078</v>
      </c>
      <c r="H356" s="54" t="n">
        <v>13463</v>
      </c>
      <c r="I356" s="54" t="s">
        <v>295</v>
      </c>
      <c r="J356" s="54" t="s">
        <v>1133</v>
      </c>
    </row>
    <row r="357" customFormat="false" ht="15" hidden="false" customHeight="true" outlineLevel="0" collapsed="false">
      <c r="A357" s="54" t="n">
        <v>20260710</v>
      </c>
      <c r="B357" s="54" t="s">
        <v>497</v>
      </c>
      <c r="C357" s="54" t="s">
        <v>290</v>
      </c>
      <c r="D357" s="54" t="s">
        <v>1135</v>
      </c>
      <c r="E357" s="54" t="s">
        <v>1136</v>
      </c>
      <c r="F357" s="54" t="s">
        <v>1137</v>
      </c>
      <c r="G357" s="54" t="s">
        <v>1026</v>
      </c>
      <c r="H357" s="54" t="n">
        <v>14541</v>
      </c>
      <c r="I357" s="54" t="s">
        <v>295</v>
      </c>
      <c r="J357" s="54" t="s">
        <v>1095</v>
      </c>
    </row>
    <row r="358" customFormat="false" ht="15" hidden="false" customHeight="true" outlineLevel="0" collapsed="false">
      <c r="A358" s="54" t="n">
        <v>20260710</v>
      </c>
      <c r="B358" s="54" t="s">
        <v>497</v>
      </c>
      <c r="C358" s="54" t="s">
        <v>290</v>
      </c>
      <c r="D358" s="54" t="s">
        <v>1135</v>
      </c>
      <c r="E358" s="54" t="s">
        <v>1136</v>
      </c>
      <c r="F358" s="54" t="s">
        <v>1138</v>
      </c>
      <c r="G358" s="54" t="s">
        <v>1139</v>
      </c>
      <c r="H358" s="54" t="n">
        <v>10625</v>
      </c>
      <c r="I358" s="54" t="s">
        <v>295</v>
      </c>
      <c r="J358" s="54" t="s">
        <v>1095</v>
      </c>
    </row>
    <row r="359" customFormat="false" ht="15" hidden="false" customHeight="true" outlineLevel="0" collapsed="false">
      <c r="A359" s="54" t="n">
        <v>20260710</v>
      </c>
      <c r="B359" s="54" t="s">
        <v>306</v>
      </c>
      <c r="C359" s="54" t="s">
        <v>307</v>
      </c>
      <c r="D359" s="54" t="s">
        <v>1140</v>
      </c>
      <c r="E359" s="54" t="s">
        <v>1141</v>
      </c>
      <c r="F359" s="54" t="s">
        <v>1142</v>
      </c>
      <c r="G359" s="54" t="s">
        <v>1143</v>
      </c>
      <c r="H359" s="54" t="n">
        <v>19625</v>
      </c>
      <c r="I359" s="54" t="s">
        <v>295</v>
      </c>
      <c r="J359" s="54" t="s">
        <v>312</v>
      </c>
    </row>
    <row r="360" customFormat="false" ht="15" hidden="false" customHeight="true" outlineLevel="0" collapsed="false">
      <c r="A360" s="54" t="n">
        <v>20260710</v>
      </c>
      <c r="B360" s="54" t="s">
        <v>306</v>
      </c>
      <c r="C360" s="54" t="s">
        <v>307</v>
      </c>
      <c r="D360" s="54" t="s">
        <v>1140</v>
      </c>
      <c r="E360" s="54" t="s">
        <v>1141</v>
      </c>
      <c r="F360" s="54" t="s">
        <v>1119</v>
      </c>
      <c r="G360" s="54" t="s">
        <v>1143</v>
      </c>
      <c r="H360" s="54" t="n">
        <v>19624</v>
      </c>
      <c r="I360" s="54" t="s">
        <v>315</v>
      </c>
      <c r="J360" s="54" t="s">
        <v>312</v>
      </c>
    </row>
    <row r="361" customFormat="false" ht="15" hidden="false" customHeight="true" outlineLevel="0" collapsed="false">
      <c r="A361" s="54" t="n">
        <v>20260710</v>
      </c>
      <c r="B361" s="54" t="s">
        <v>306</v>
      </c>
      <c r="C361" s="54" t="s">
        <v>307</v>
      </c>
      <c r="D361" s="54" t="s">
        <v>1140</v>
      </c>
      <c r="E361" s="54" t="s">
        <v>1141</v>
      </c>
      <c r="F361" s="54" t="s">
        <v>1144</v>
      </c>
      <c r="G361" s="54" t="s">
        <v>978</v>
      </c>
      <c r="H361" s="54" t="n">
        <v>12922</v>
      </c>
      <c r="I361" s="54" t="s">
        <v>315</v>
      </c>
      <c r="J361" s="54" t="s">
        <v>312</v>
      </c>
    </row>
    <row r="362" customFormat="false" ht="15" hidden="false" customHeight="true" outlineLevel="0" collapsed="false">
      <c r="A362" s="54" t="n">
        <v>20260710</v>
      </c>
      <c r="B362" s="54" t="s">
        <v>306</v>
      </c>
      <c r="C362" s="54" t="s">
        <v>307</v>
      </c>
      <c r="D362" s="54" t="s">
        <v>1140</v>
      </c>
      <c r="E362" s="54" t="s">
        <v>1141</v>
      </c>
      <c r="F362" s="54" t="s">
        <v>1144</v>
      </c>
      <c r="G362" s="54" t="s">
        <v>978</v>
      </c>
      <c r="H362" s="54" t="n">
        <v>12922</v>
      </c>
      <c r="I362" s="54" t="s">
        <v>295</v>
      </c>
      <c r="J362" s="54" t="s">
        <v>312</v>
      </c>
    </row>
    <row r="363" customFormat="false" ht="15" hidden="false" customHeight="true" outlineLevel="0" collapsed="false">
      <c r="A363" s="54" t="n">
        <v>20260710</v>
      </c>
      <c r="B363" s="54" t="s">
        <v>535</v>
      </c>
      <c r="C363" s="54" t="s">
        <v>290</v>
      </c>
      <c r="D363" s="54" t="s">
        <v>1145</v>
      </c>
      <c r="E363" s="54" t="s">
        <v>1146</v>
      </c>
      <c r="F363" s="54" t="s">
        <v>1147</v>
      </c>
      <c r="G363" s="54" t="s">
        <v>1148</v>
      </c>
      <c r="H363" s="54" t="n">
        <v>18323</v>
      </c>
      <c r="I363" s="54" t="s">
        <v>295</v>
      </c>
      <c r="J363" s="54" t="s">
        <v>1095</v>
      </c>
    </row>
    <row r="364" customFormat="false" ht="15" hidden="false" customHeight="true" outlineLevel="0" collapsed="false">
      <c r="A364" s="54" t="n">
        <v>20260710</v>
      </c>
      <c r="B364" s="54" t="s">
        <v>535</v>
      </c>
      <c r="C364" s="54" t="s">
        <v>290</v>
      </c>
      <c r="D364" s="54" t="s">
        <v>1145</v>
      </c>
      <c r="E364" s="54" t="s">
        <v>1146</v>
      </c>
      <c r="F364" s="54" t="s">
        <v>1149</v>
      </c>
      <c r="G364" s="54" t="s">
        <v>1150</v>
      </c>
      <c r="H364" s="54" t="n">
        <v>10994</v>
      </c>
      <c r="I364" s="54" t="s">
        <v>295</v>
      </c>
      <c r="J364" s="54" t="s">
        <v>1095</v>
      </c>
    </row>
    <row r="365" customFormat="false" ht="15" hidden="false" customHeight="true" outlineLevel="0" collapsed="false">
      <c r="A365" s="54" t="n">
        <v>20260710</v>
      </c>
      <c r="B365" s="54" t="s">
        <v>497</v>
      </c>
      <c r="C365" s="54" t="s">
        <v>290</v>
      </c>
      <c r="D365" s="54" t="s">
        <v>1151</v>
      </c>
      <c r="E365" s="54" t="s">
        <v>1152</v>
      </c>
      <c r="F365" s="54" t="s">
        <v>1153</v>
      </c>
      <c r="G365" s="54" t="s">
        <v>1154</v>
      </c>
      <c r="H365" s="54" t="n">
        <v>17997</v>
      </c>
      <c r="I365" s="54" t="s">
        <v>295</v>
      </c>
      <c r="J365" s="54" t="s">
        <v>1095</v>
      </c>
    </row>
    <row r="366" customFormat="false" ht="15" hidden="false" customHeight="true" outlineLevel="0" collapsed="false">
      <c r="A366" s="54" t="n">
        <v>20260710</v>
      </c>
      <c r="B366" s="54" t="s">
        <v>497</v>
      </c>
      <c r="C366" s="54" t="s">
        <v>290</v>
      </c>
      <c r="D366" s="54" t="s">
        <v>1151</v>
      </c>
      <c r="E366" s="54" t="s">
        <v>1152</v>
      </c>
      <c r="F366" s="54" t="s">
        <v>1155</v>
      </c>
      <c r="G366" s="54" t="s">
        <v>1156</v>
      </c>
      <c r="H366" s="54" t="n">
        <v>7038</v>
      </c>
      <c r="I366" s="54" t="s">
        <v>295</v>
      </c>
      <c r="J366" s="54" t="s">
        <v>1095</v>
      </c>
    </row>
    <row r="367" customFormat="false" ht="15" hidden="false" customHeight="true" outlineLevel="0" collapsed="false">
      <c r="A367" s="54" t="n">
        <v>20260710</v>
      </c>
      <c r="B367" s="54" t="s">
        <v>168</v>
      </c>
      <c r="C367" s="54" t="s">
        <v>290</v>
      </c>
      <c r="D367" s="54" t="s">
        <v>1157</v>
      </c>
      <c r="E367" s="54" t="s">
        <v>1158</v>
      </c>
      <c r="F367" s="54" t="s">
        <v>1159</v>
      </c>
      <c r="G367" s="54" t="s">
        <v>1160</v>
      </c>
      <c r="H367" s="54" t="n">
        <v>843</v>
      </c>
      <c r="I367" s="54" t="s">
        <v>295</v>
      </c>
      <c r="J367" s="54" t="s">
        <v>818</v>
      </c>
    </row>
    <row r="368" customFormat="false" ht="15" hidden="false" customHeight="true" outlineLevel="0" collapsed="false">
      <c r="A368" s="54" t="n">
        <v>20260710</v>
      </c>
      <c r="B368" s="54" t="s">
        <v>168</v>
      </c>
      <c r="C368" s="54" t="s">
        <v>290</v>
      </c>
      <c r="D368" s="54" t="s">
        <v>1157</v>
      </c>
      <c r="E368" s="54" t="s">
        <v>1158</v>
      </c>
      <c r="F368" s="54" t="s">
        <v>1161</v>
      </c>
      <c r="G368" s="54" t="s">
        <v>1162</v>
      </c>
      <c r="H368" s="54" t="n">
        <v>11</v>
      </c>
      <c r="I368" s="54" t="s">
        <v>295</v>
      </c>
      <c r="J368" s="54" t="s">
        <v>818</v>
      </c>
    </row>
    <row r="369" customFormat="false" ht="15" hidden="false" customHeight="true" outlineLevel="0" collapsed="false">
      <c r="A369" s="54" t="n">
        <v>20260710</v>
      </c>
      <c r="B369" s="54" t="s">
        <v>168</v>
      </c>
      <c r="C369" s="54" t="s">
        <v>290</v>
      </c>
      <c r="D369" s="54" t="s">
        <v>1157</v>
      </c>
      <c r="E369" s="54" t="s">
        <v>1158</v>
      </c>
      <c r="F369" s="54" t="s">
        <v>587</v>
      </c>
      <c r="G369" s="54" t="s">
        <v>1163</v>
      </c>
      <c r="H369" s="54" t="n">
        <v>13293</v>
      </c>
      <c r="I369" s="54" t="s">
        <v>295</v>
      </c>
      <c r="J369" s="54" t="s">
        <v>818</v>
      </c>
    </row>
    <row r="370" customFormat="false" ht="15" hidden="false" customHeight="true" outlineLevel="0" collapsed="false">
      <c r="A370" s="54" t="n">
        <v>20260710</v>
      </c>
      <c r="B370" s="54" t="s">
        <v>168</v>
      </c>
      <c r="C370" s="54" t="s">
        <v>290</v>
      </c>
      <c r="D370" s="54" t="s">
        <v>1157</v>
      </c>
      <c r="E370" s="54" t="s">
        <v>1158</v>
      </c>
      <c r="F370" s="54" t="s">
        <v>1164</v>
      </c>
      <c r="G370" s="54" t="s">
        <v>984</v>
      </c>
      <c r="H370" s="54" t="n">
        <v>14468</v>
      </c>
      <c r="I370" s="54" t="s">
        <v>295</v>
      </c>
      <c r="J370" s="54" t="s">
        <v>818</v>
      </c>
    </row>
    <row r="371" customFormat="false" ht="15" hidden="false" customHeight="true" outlineLevel="0" collapsed="false">
      <c r="A371" s="54" t="n">
        <v>20260710</v>
      </c>
      <c r="B371" s="54" t="s">
        <v>306</v>
      </c>
      <c r="C371" s="54" t="s">
        <v>290</v>
      </c>
      <c r="D371" s="54" t="s">
        <v>1165</v>
      </c>
      <c r="E371" s="54" t="s">
        <v>1166</v>
      </c>
      <c r="F371" s="54" t="s">
        <v>1167</v>
      </c>
      <c r="G371" s="54" t="s">
        <v>1168</v>
      </c>
      <c r="H371" s="54" t="n">
        <v>21645</v>
      </c>
      <c r="I371" s="54" t="s">
        <v>315</v>
      </c>
      <c r="J371" s="54" t="s">
        <v>352</v>
      </c>
    </row>
    <row r="372" customFormat="false" ht="15" hidden="false" customHeight="true" outlineLevel="0" collapsed="false">
      <c r="A372" s="54" t="n">
        <v>20260710</v>
      </c>
      <c r="B372" s="54" t="s">
        <v>306</v>
      </c>
      <c r="C372" s="54" t="s">
        <v>290</v>
      </c>
      <c r="D372" s="54" t="s">
        <v>1165</v>
      </c>
      <c r="E372" s="54" t="s">
        <v>1166</v>
      </c>
      <c r="F372" s="54" t="s">
        <v>1167</v>
      </c>
      <c r="G372" s="54" t="s">
        <v>1168</v>
      </c>
      <c r="H372" s="54" t="n">
        <v>21645</v>
      </c>
      <c r="I372" s="54" t="s">
        <v>295</v>
      </c>
      <c r="J372" s="54" t="s">
        <v>352</v>
      </c>
    </row>
    <row r="373" customFormat="false" ht="15" hidden="false" customHeight="true" outlineLevel="0" collapsed="false">
      <c r="A373" s="54" t="n">
        <v>20260710</v>
      </c>
      <c r="B373" s="54" t="s">
        <v>306</v>
      </c>
      <c r="C373" s="54" t="s">
        <v>290</v>
      </c>
      <c r="D373" s="54" t="s">
        <v>1165</v>
      </c>
      <c r="E373" s="54" t="s">
        <v>1166</v>
      </c>
      <c r="F373" s="54" t="s">
        <v>1169</v>
      </c>
      <c r="G373" s="54" t="s">
        <v>1170</v>
      </c>
      <c r="H373" s="54" t="n">
        <v>574</v>
      </c>
      <c r="I373" s="54" t="s">
        <v>315</v>
      </c>
      <c r="J373" s="54" t="s">
        <v>352</v>
      </c>
    </row>
    <row r="374" customFormat="false" ht="15" hidden="false" customHeight="true" outlineLevel="0" collapsed="false">
      <c r="A374" s="54" t="n">
        <v>20260710</v>
      </c>
      <c r="B374" s="54" t="s">
        <v>306</v>
      </c>
      <c r="C374" s="54" t="s">
        <v>290</v>
      </c>
      <c r="D374" s="54" t="s">
        <v>1165</v>
      </c>
      <c r="E374" s="54" t="s">
        <v>1166</v>
      </c>
      <c r="F374" s="54" t="s">
        <v>1169</v>
      </c>
      <c r="G374" s="54" t="s">
        <v>1170</v>
      </c>
      <c r="H374" s="54" t="n">
        <v>574</v>
      </c>
      <c r="I374" s="54" t="s">
        <v>295</v>
      </c>
      <c r="J374" s="54" t="s">
        <v>352</v>
      </c>
    </row>
    <row r="375" customFormat="false" ht="15" hidden="false" customHeight="true" outlineLevel="0" collapsed="false">
      <c r="A375" s="54" t="n">
        <v>20260710</v>
      </c>
      <c r="B375" s="54" t="s">
        <v>306</v>
      </c>
      <c r="C375" s="54" t="s">
        <v>290</v>
      </c>
      <c r="D375" s="54" t="s">
        <v>1165</v>
      </c>
      <c r="E375" s="54" t="s">
        <v>1166</v>
      </c>
      <c r="F375" s="54" t="s">
        <v>1171</v>
      </c>
      <c r="G375" s="54" t="s">
        <v>1172</v>
      </c>
      <c r="H375" s="54" t="n">
        <v>6681</v>
      </c>
      <c r="I375" s="54" t="s">
        <v>315</v>
      </c>
      <c r="J375" s="54" t="s">
        <v>352</v>
      </c>
    </row>
    <row r="376" customFormat="false" ht="15" hidden="false" customHeight="true" outlineLevel="0" collapsed="false">
      <c r="A376" s="54" t="n">
        <v>20260710</v>
      </c>
      <c r="B376" s="54" t="s">
        <v>306</v>
      </c>
      <c r="C376" s="54" t="s">
        <v>290</v>
      </c>
      <c r="D376" s="54" t="s">
        <v>1165</v>
      </c>
      <c r="E376" s="54" t="s">
        <v>1166</v>
      </c>
      <c r="F376" s="54" t="s">
        <v>1171</v>
      </c>
      <c r="G376" s="54" t="s">
        <v>1172</v>
      </c>
      <c r="H376" s="54" t="n">
        <v>6681</v>
      </c>
      <c r="I376" s="54" t="s">
        <v>295</v>
      </c>
      <c r="J376" s="54" t="s">
        <v>352</v>
      </c>
    </row>
    <row r="377" customFormat="false" ht="15" hidden="false" customHeight="true" outlineLevel="0" collapsed="false">
      <c r="A377" s="54" t="n">
        <v>20260710</v>
      </c>
      <c r="B377" s="54" t="s">
        <v>289</v>
      </c>
      <c r="C377" s="54" t="s">
        <v>290</v>
      </c>
      <c r="D377" s="54" t="s">
        <v>1173</v>
      </c>
      <c r="E377" s="54" t="s">
        <v>1174</v>
      </c>
      <c r="F377" s="54" t="s">
        <v>1175</v>
      </c>
      <c r="G377" s="54" t="s">
        <v>1176</v>
      </c>
      <c r="H377" s="54" t="n">
        <v>3733</v>
      </c>
      <c r="I377" s="54" t="s">
        <v>295</v>
      </c>
      <c r="J377" s="54" t="s">
        <v>459</v>
      </c>
    </row>
    <row r="378" customFormat="false" ht="15" hidden="false" customHeight="true" outlineLevel="0" collapsed="false">
      <c r="A378" s="54" t="n">
        <v>20260710</v>
      </c>
      <c r="B378" s="54" t="s">
        <v>289</v>
      </c>
      <c r="C378" s="54" t="s">
        <v>290</v>
      </c>
      <c r="D378" s="54" t="s">
        <v>1173</v>
      </c>
      <c r="E378" s="54" t="s">
        <v>1174</v>
      </c>
      <c r="F378" s="54" t="s">
        <v>1177</v>
      </c>
      <c r="G378" s="54" t="s">
        <v>539</v>
      </c>
      <c r="H378" s="54" t="n">
        <v>10453</v>
      </c>
      <c r="I378" s="54" t="s">
        <v>295</v>
      </c>
      <c r="J378" s="54" t="s">
        <v>459</v>
      </c>
    </row>
    <row r="379" customFormat="false" ht="15" hidden="false" customHeight="true" outlineLevel="0" collapsed="false">
      <c r="A379" s="54" t="n">
        <v>20260710</v>
      </c>
      <c r="B379" s="54" t="s">
        <v>289</v>
      </c>
      <c r="C379" s="54" t="s">
        <v>290</v>
      </c>
      <c r="D379" s="54" t="s">
        <v>1173</v>
      </c>
      <c r="E379" s="54" t="s">
        <v>1174</v>
      </c>
      <c r="F379" s="54" t="s">
        <v>1178</v>
      </c>
      <c r="G379" s="54" t="s">
        <v>1179</v>
      </c>
      <c r="H379" s="54" t="n">
        <v>14423</v>
      </c>
      <c r="I379" s="54" t="s">
        <v>295</v>
      </c>
      <c r="J379" s="54" t="s">
        <v>459</v>
      </c>
    </row>
    <row r="380" customFormat="false" ht="15" hidden="false" customHeight="true" outlineLevel="0" collapsed="false">
      <c r="A380" s="54" t="n">
        <v>20260710</v>
      </c>
      <c r="B380" s="54" t="s">
        <v>289</v>
      </c>
      <c r="C380" s="54" t="s">
        <v>290</v>
      </c>
      <c r="D380" s="54" t="s">
        <v>1180</v>
      </c>
      <c r="E380" s="54" t="s">
        <v>1181</v>
      </c>
      <c r="F380" s="54" t="s">
        <v>1182</v>
      </c>
      <c r="G380" s="54" t="s">
        <v>1183</v>
      </c>
      <c r="H380" s="54" t="n">
        <v>4</v>
      </c>
      <c r="I380" s="54" t="s">
        <v>295</v>
      </c>
      <c r="J380" s="54" t="s">
        <v>1016</v>
      </c>
    </row>
    <row r="381" customFormat="false" ht="15" hidden="false" customHeight="true" outlineLevel="0" collapsed="false">
      <c r="A381" s="54" t="n">
        <v>20260710</v>
      </c>
      <c r="B381" s="54" t="s">
        <v>289</v>
      </c>
      <c r="C381" s="54" t="s">
        <v>290</v>
      </c>
      <c r="D381" s="54" t="s">
        <v>1180</v>
      </c>
      <c r="E381" s="54" t="s">
        <v>1181</v>
      </c>
      <c r="F381" s="54" t="s">
        <v>1184</v>
      </c>
      <c r="G381" s="54" t="s">
        <v>903</v>
      </c>
      <c r="H381" s="54" t="n">
        <v>21695</v>
      </c>
      <c r="I381" s="54" t="s">
        <v>295</v>
      </c>
      <c r="J381" s="54" t="s">
        <v>1016</v>
      </c>
    </row>
    <row r="382" customFormat="false" ht="15" hidden="false" customHeight="true" outlineLevel="0" collapsed="false">
      <c r="A382" s="54" t="n">
        <v>20260710</v>
      </c>
      <c r="B382" s="54" t="s">
        <v>289</v>
      </c>
      <c r="C382" s="54" t="s">
        <v>290</v>
      </c>
      <c r="D382" s="54" t="s">
        <v>1180</v>
      </c>
      <c r="E382" s="54" t="s">
        <v>1181</v>
      </c>
      <c r="F382" s="54" t="s">
        <v>1185</v>
      </c>
      <c r="G382" s="54" t="s">
        <v>1186</v>
      </c>
      <c r="H382" s="54" t="n">
        <v>7328</v>
      </c>
      <c r="I382" s="54" t="s">
        <v>295</v>
      </c>
      <c r="J382" s="54" t="s">
        <v>1016</v>
      </c>
    </row>
    <row r="383" customFormat="false" ht="15" hidden="false" customHeight="true" outlineLevel="0" collapsed="false">
      <c r="A383" s="54" t="n">
        <v>20260710</v>
      </c>
      <c r="B383" s="54" t="s">
        <v>289</v>
      </c>
      <c r="C383" s="54" t="s">
        <v>307</v>
      </c>
      <c r="D383" s="54" t="s">
        <v>1187</v>
      </c>
      <c r="E383" s="54" t="s">
        <v>1188</v>
      </c>
      <c r="F383" s="54" t="s">
        <v>1189</v>
      </c>
      <c r="G383" s="54" t="s">
        <v>1190</v>
      </c>
      <c r="H383" s="54" t="n">
        <v>18794</v>
      </c>
      <c r="I383" s="54" t="s">
        <v>295</v>
      </c>
      <c r="J383" s="54" t="s">
        <v>1191</v>
      </c>
    </row>
    <row r="384" customFormat="false" ht="15" hidden="false" customHeight="true" outlineLevel="0" collapsed="false">
      <c r="A384" s="54" t="n">
        <v>20260710</v>
      </c>
      <c r="B384" s="54" t="s">
        <v>289</v>
      </c>
      <c r="C384" s="54" t="s">
        <v>307</v>
      </c>
      <c r="D384" s="54" t="s">
        <v>1187</v>
      </c>
      <c r="E384" s="54" t="s">
        <v>1188</v>
      </c>
      <c r="F384" s="54" t="s">
        <v>1192</v>
      </c>
      <c r="G384" s="54" t="s">
        <v>1193</v>
      </c>
      <c r="H384" s="54" t="n">
        <v>1640</v>
      </c>
      <c r="I384" s="54" t="s">
        <v>295</v>
      </c>
      <c r="J384" s="54" t="s">
        <v>1191</v>
      </c>
    </row>
    <row r="385" customFormat="false" ht="15" hidden="false" customHeight="true" outlineLevel="0" collapsed="false">
      <c r="A385" s="54" t="n">
        <v>20260710</v>
      </c>
      <c r="B385" s="54" t="s">
        <v>289</v>
      </c>
      <c r="C385" s="54" t="s">
        <v>307</v>
      </c>
      <c r="D385" s="54" t="s">
        <v>1187</v>
      </c>
      <c r="E385" s="54" t="s">
        <v>1188</v>
      </c>
      <c r="F385" s="54" t="s">
        <v>1194</v>
      </c>
      <c r="G385" s="54" t="s">
        <v>1195</v>
      </c>
      <c r="H385" s="54" t="n">
        <v>11509</v>
      </c>
      <c r="I385" s="54" t="s">
        <v>295</v>
      </c>
      <c r="J385" s="54" t="s">
        <v>1191</v>
      </c>
    </row>
    <row r="386" customFormat="false" ht="15" hidden="false" customHeight="true" outlineLevel="0" collapsed="false">
      <c r="A386" s="54" t="n">
        <v>20260710</v>
      </c>
      <c r="B386" s="54" t="s">
        <v>168</v>
      </c>
      <c r="C386" s="54" t="s">
        <v>290</v>
      </c>
      <c r="D386" s="54" t="s">
        <v>1196</v>
      </c>
      <c r="E386" s="54" t="s">
        <v>1197</v>
      </c>
      <c r="F386" s="54" t="s">
        <v>1198</v>
      </c>
      <c r="G386" s="54" t="s">
        <v>1199</v>
      </c>
      <c r="H386" s="54" t="n">
        <v>13419</v>
      </c>
      <c r="I386" s="54" t="s">
        <v>295</v>
      </c>
      <c r="J386" s="54" t="s">
        <v>818</v>
      </c>
    </row>
    <row r="387" customFormat="false" ht="15" hidden="false" customHeight="true" outlineLevel="0" collapsed="false">
      <c r="A387" s="54" t="n">
        <v>20260710</v>
      </c>
      <c r="B387" s="54" t="s">
        <v>168</v>
      </c>
      <c r="C387" s="54" t="s">
        <v>290</v>
      </c>
      <c r="D387" s="54" t="s">
        <v>1196</v>
      </c>
      <c r="E387" s="54" t="s">
        <v>1197</v>
      </c>
      <c r="F387" s="54" t="s">
        <v>1200</v>
      </c>
      <c r="G387" s="54" t="s">
        <v>1201</v>
      </c>
      <c r="H387" s="54" t="n">
        <v>6290</v>
      </c>
      <c r="I387" s="54" t="s">
        <v>295</v>
      </c>
      <c r="J387" s="54" t="s">
        <v>818</v>
      </c>
    </row>
    <row r="388" customFormat="false" ht="15" hidden="false" customHeight="true" outlineLevel="0" collapsed="false">
      <c r="A388" s="54" t="n">
        <v>20260710</v>
      </c>
      <c r="B388" s="54" t="s">
        <v>168</v>
      </c>
      <c r="C388" s="54" t="s">
        <v>290</v>
      </c>
      <c r="D388" s="54" t="s">
        <v>1196</v>
      </c>
      <c r="E388" s="54" t="s">
        <v>1197</v>
      </c>
      <c r="F388" s="54" t="s">
        <v>1202</v>
      </c>
      <c r="G388" s="54" t="s">
        <v>1069</v>
      </c>
      <c r="H388" s="54" t="n">
        <v>9608</v>
      </c>
      <c r="I388" s="54" t="s">
        <v>295</v>
      </c>
      <c r="J388" s="54" t="s">
        <v>818</v>
      </c>
    </row>
    <row r="389" customFormat="false" ht="15" hidden="false" customHeight="true" outlineLevel="0" collapsed="false">
      <c r="A389" s="54" t="n">
        <v>20260710</v>
      </c>
      <c r="B389" s="54" t="s">
        <v>168</v>
      </c>
      <c r="C389" s="54" t="s">
        <v>290</v>
      </c>
      <c r="D389" s="54" t="s">
        <v>1203</v>
      </c>
      <c r="E389" s="54" t="s">
        <v>1204</v>
      </c>
      <c r="F389" s="54" t="s">
        <v>1205</v>
      </c>
      <c r="G389" s="54" t="s">
        <v>1206</v>
      </c>
      <c r="H389" s="54" t="n">
        <v>7368</v>
      </c>
      <c r="I389" s="54" t="s">
        <v>295</v>
      </c>
      <c r="J389" s="54" t="s">
        <v>516</v>
      </c>
    </row>
    <row r="390" customFormat="false" ht="15" hidden="false" customHeight="true" outlineLevel="0" collapsed="false">
      <c r="A390" s="54" t="n">
        <v>20260710</v>
      </c>
      <c r="B390" s="54" t="s">
        <v>168</v>
      </c>
      <c r="C390" s="54" t="s">
        <v>290</v>
      </c>
      <c r="D390" s="54" t="s">
        <v>1203</v>
      </c>
      <c r="E390" s="54" t="s">
        <v>1204</v>
      </c>
      <c r="F390" s="54" t="s">
        <v>1207</v>
      </c>
      <c r="G390" s="54" t="s">
        <v>1208</v>
      </c>
      <c r="H390" s="54" t="n">
        <v>12815</v>
      </c>
      <c r="I390" s="54" t="s">
        <v>295</v>
      </c>
      <c r="J390" s="54" t="s">
        <v>516</v>
      </c>
    </row>
    <row r="391" customFormat="false" ht="15" hidden="false" customHeight="true" outlineLevel="0" collapsed="false">
      <c r="A391" s="54" t="n">
        <v>20260710</v>
      </c>
      <c r="B391" s="54" t="s">
        <v>168</v>
      </c>
      <c r="C391" s="54" t="s">
        <v>290</v>
      </c>
      <c r="D391" s="54" t="s">
        <v>1203</v>
      </c>
      <c r="E391" s="54" t="s">
        <v>1204</v>
      </c>
      <c r="F391" s="54" t="s">
        <v>1209</v>
      </c>
      <c r="G391" s="54" t="s">
        <v>1210</v>
      </c>
      <c r="H391" s="54" t="n">
        <v>5</v>
      </c>
      <c r="I391" s="54" t="s">
        <v>295</v>
      </c>
      <c r="J391" s="54" t="s">
        <v>516</v>
      </c>
    </row>
    <row r="392" customFormat="false" ht="15" hidden="false" customHeight="true" outlineLevel="0" collapsed="false">
      <c r="A392" s="54" t="n">
        <v>20260710</v>
      </c>
      <c r="B392" s="54" t="s">
        <v>168</v>
      </c>
      <c r="C392" s="54" t="s">
        <v>290</v>
      </c>
      <c r="D392" s="54" t="s">
        <v>1203</v>
      </c>
      <c r="E392" s="54" t="s">
        <v>1204</v>
      </c>
      <c r="F392" s="54" t="s">
        <v>1211</v>
      </c>
      <c r="G392" s="54" t="s">
        <v>1212</v>
      </c>
      <c r="H392" s="54" t="n">
        <v>9001</v>
      </c>
      <c r="I392" s="54" t="s">
        <v>295</v>
      </c>
      <c r="J392" s="54" t="s">
        <v>516</v>
      </c>
    </row>
    <row r="393" customFormat="false" ht="15" hidden="false" customHeight="true" outlineLevel="0" collapsed="false">
      <c r="A393" s="54" t="n">
        <v>20260710</v>
      </c>
      <c r="B393" s="54" t="s">
        <v>289</v>
      </c>
      <c r="C393" s="54" t="s">
        <v>290</v>
      </c>
      <c r="D393" s="54" t="s">
        <v>1213</v>
      </c>
      <c r="E393" s="54" t="s">
        <v>1214</v>
      </c>
      <c r="F393" s="54" t="s">
        <v>1215</v>
      </c>
      <c r="G393" s="54" t="s">
        <v>1216</v>
      </c>
      <c r="H393" s="54" t="n">
        <v>3325</v>
      </c>
      <c r="I393" s="54" t="s">
        <v>295</v>
      </c>
      <c r="J393" s="54" t="s">
        <v>1016</v>
      </c>
    </row>
    <row r="394" customFormat="false" ht="15" hidden="false" customHeight="true" outlineLevel="0" collapsed="false">
      <c r="A394" s="54" t="n">
        <v>20260710</v>
      </c>
      <c r="B394" s="54" t="s">
        <v>289</v>
      </c>
      <c r="C394" s="54" t="s">
        <v>290</v>
      </c>
      <c r="D394" s="54" t="s">
        <v>1213</v>
      </c>
      <c r="E394" s="54" t="s">
        <v>1214</v>
      </c>
      <c r="F394" s="54" t="s">
        <v>1217</v>
      </c>
      <c r="G394" s="54" t="s">
        <v>1218</v>
      </c>
      <c r="H394" s="54" t="n">
        <v>832</v>
      </c>
      <c r="I394" s="54" t="s">
        <v>295</v>
      </c>
      <c r="J394" s="54" t="s">
        <v>1016</v>
      </c>
    </row>
    <row r="395" customFormat="false" ht="15" hidden="false" customHeight="true" outlineLevel="0" collapsed="false">
      <c r="A395" s="54" t="n">
        <v>20260710</v>
      </c>
      <c r="B395" s="54" t="s">
        <v>289</v>
      </c>
      <c r="C395" s="54" t="s">
        <v>290</v>
      </c>
      <c r="D395" s="54" t="s">
        <v>1213</v>
      </c>
      <c r="E395" s="54" t="s">
        <v>1214</v>
      </c>
      <c r="F395" s="54" t="s">
        <v>1219</v>
      </c>
      <c r="G395" s="54" t="s">
        <v>1220</v>
      </c>
      <c r="H395" s="54" t="n">
        <v>14519</v>
      </c>
      <c r="I395" s="54" t="s">
        <v>295</v>
      </c>
      <c r="J395" s="54" t="s">
        <v>1016</v>
      </c>
    </row>
    <row r="396" customFormat="false" ht="15" hidden="false" customHeight="true" outlineLevel="0" collapsed="false">
      <c r="A396" s="54" t="n">
        <v>20260710</v>
      </c>
      <c r="B396" s="54" t="s">
        <v>289</v>
      </c>
      <c r="C396" s="54" t="s">
        <v>290</v>
      </c>
      <c r="D396" s="54" t="s">
        <v>1213</v>
      </c>
      <c r="E396" s="54" t="s">
        <v>1214</v>
      </c>
      <c r="F396" s="54" t="s">
        <v>1221</v>
      </c>
      <c r="G396" s="54" t="s">
        <v>1222</v>
      </c>
      <c r="H396" s="54" t="n">
        <v>3881</v>
      </c>
      <c r="I396" s="54" t="s">
        <v>295</v>
      </c>
      <c r="J396" s="54" t="s">
        <v>1016</v>
      </c>
    </row>
    <row r="397" customFormat="false" ht="15" hidden="false" customHeight="true" outlineLevel="0" collapsed="false">
      <c r="A397" s="54" t="n">
        <v>20260710</v>
      </c>
      <c r="B397" s="54" t="s">
        <v>289</v>
      </c>
      <c r="C397" s="54" t="s">
        <v>290</v>
      </c>
      <c r="D397" s="54" t="s">
        <v>1213</v>
      </c>
      <c r="E397" s="54" t="s">
        <v>1214</v>
      </c>
      <c r="F397" s="54" t="s">
        <v>1223</v>
      </c>
      <c r="G397" s="54" t="s">
        <v>1224</v>
      </c>
      <c r="H397" s="54" t="n">
        <v>7330</v>
      </c>
      <c r="I397" s="54" t="s">
        <v>295</v>
      </c>
      <c r="J397" s="54" t="s">
        <v>1016</v>
      </c>
    </row>
    <row r="398" customFormat="false" ht="15" hidden="false" customHeight="true" outlineLevel="0" collapsed="false">
      <c r="A398" s="54" t="n">
        <v>20260710</v>
      </c>
      <c r="B398" s="54" t="s">
        <v>306</v>
      </c>
      <c r="C398" s="54" t="s">
        <v>290</v>
      </c>
      <c r="D398" s="54" t="s">
        <v>1225</v>
      </c>
      <c r="E398" s="54" t="s">
        <v>1226</v>
      </c>
      <c r="F398" s="54" t="s">
        <v>1227</v>
      </c>
      <c r="G398" s="54" t="s">
        <v>1228</v>
      </c>
      <c r="H398" s="54" t="n">
        <v>27486</v>
      </c>
      <c r="I398" s="54" t="s">
        <v>295</v>
      </c>
      <c r="J398" s="54" t="s">
        <v>989</v>
      </c>
    </row>
    <row r="399" customFormat="false" ht="15" hidden="false" customHeight="true" outlineLevel="0" collapsed="false">
      <c r="A399" s="54" t="n">
        <v>20260710</v>
      </c>
      <c r="B399" s="54" t="s">
        <v>306</v>
      </c>
      <c r="C399" s="54" t="s">
        <v>290</v>
      </c>
      <c r="D399" s="54" t="s">
        <v>1225</v>
      </c>
      <c r="E399" s="54" t="s">
        <v>1226</v>
      </c>
      <c r="F399" s="54" t="s">
        <v>1229</v>
      </c>
      <c r="G399" s="54" t="s">
        <v>1230</v>
      </c>
      <c r="H399" s="54" t="n">
        <v>7297</v>
      </c>
      <c r="I399" s="54" t="s">
        <v>295</v>
      </c>
      <c r="J399" s="54" t="s">
        <v>989</v>
      </c>
    </row>
    <row r="400" customFormat="false" ht="15" hidden="false" customHeight="true" outlineLevel="0" collapsed="false">
      <c r="A400" s="54" t="n">
        <v>20260710</v>
      </c>
      <c r="B400" s="54" t="s">
        <v>306</v>
      </c>
      <c r="C400" s="54" t="s">
        <v>290</v>
      </c>
      <c r="D400" s="54" t="s">
        <v>1231</v>
      </c>
      <c r="E400" s="54" t="s">
        <v>1232</v>
      </c>
      <c r="F400" s="54" t="s">
        <v>1233</v>
      </c>
      <c r="G400" s="54" t="s">
        <v>1234</v>
      </c>
      <c r="H400" s="54" t="n">
        <v>18361</v>
      </c>
      <c r="I400" s="54" t="s">
        <v>315</v>
      </c>
      <c r="J400" s="54" t="s">
        <v>948</v>
      </c>
    </row>
    <row r="401" customFormat="false" ht="15" hidden="false" customHeight="true" outlineLevel="0" collapsed="false">
      <c r="A401" s="54" t="n">
        <v>20260710</v>
      </c>
      <c r="B401" s="54" t="s">
        <v>306</v>
      </c>
      <c r="C401" s="54" t="s">
        <v>290</v>
      </c>
      <c r="D401" s="54" t="s">
        <v>1231</v>
      </c>
      <c r="E401" s="54" t="s">
        <v>1232</v>
      </c>
      <c r="F401" s="54" t="s">
        <v>1119</v>
      </c>
      <c r="G401" s="54" t="s">
        <v>1234</v>
      </c>
      <c r="H401" s="54" t="n">
        <v>18112</v>
      </c>
      <c r="I401" s="54" t="s">
        <v>295</v>
      </c>
      <c r="J401" s="54" t="s">
        <v>948</v>
      </c>
    </row>
    <row r="402" customFormat="false" ht="15" hidden="false" customHeight="true" outlineLevel="0" collapsed="false">
      <c r="A402" s="54" t="n">
        <v>20260710</v>
      </c>
      <c r="B402" s="54" t="s">
        <v>306</v>
      </c>
      <c r="C402" s="54" t="s">
        <v>290</v>
      </c>
      <c r="D402" s="54" t="s">
        <v>1231</v>
      </c>
      <c r="E402" s="54" t="s">
        <v>1232</v>
      </c>
      <c r="F402" s="54" t="s">
        <v>1235</v>
      </c>
      <c r="G402" s="54" t="s">
        <v>789</v>
      </c>
      <c r="H402" s="54" t="n">
        <v>10928</v>
      </c>
      <c r="I402" s="54" t="s">
        <v>315</v>
      </c>
      <c r="J402" s="54" t="s">
        <v>948</v>
      </c>
    </row>
    <row r="403" customFormat="false" ht="15" hidden="false" customHeight="true" outlineLevel="0" collapsed="false">
      <c r="A403" s="54" t="n">
        <v>20260710</v>
      </c>
      <c r="B403" s="54" t="s">
        <v>306</v>
      </c>
      <c r="C403" s="54" t="s">
        <v>290</v>
      </c>
      <c r="D403" s="54" t="s">
        <v>1231</v>
      </c>
      <c r="E403" s="54" t="s">
        <v>1232</v>
      </c>
      <c r="F403" s="54" t="s">
        <v>1235</v>
      </c>
      <c r="G403" s="54" t="s">
        <v>789</v>
      </c>
      <c r="H403" s="54" t="n">
        <v>10928</v>
      </c>
      <c r="I403" s="54" t="s">
        <v>295</v>
      </c>
      <c r="J403" s="54" t="s">
        <v>948</v>
      </c>
    </row>
    <row r="404" customFormat="false" ht="15" hidden="false" customHeight="true" outlineLevel="0" collapsed="false">
      <c r="A404" s="54" t="n">
        <v>20260710</v>
      </c>
      <c r="B404" s="54" t="s">
        <v>688</v>
      </c>
      <c r="C404" s="54" t="s">
        <v>290</v>
      </c>
      <c r="D404" s="54" t="s">
        <v>1236</v>
      </c>
      <c r="E404" s="54" t="s">
        <v>1237</v>
      </c>
      <c r="F404" s="54" t="s">
        <v>1238</v>
      </c>
      <c r="G404" s="54" t="s">
        <v>1239</v>
      </c>
      <c r="H404" s="54" t="n">
        <v>18781</v>
      </c>
      <c r="I404" s="54" t="s">
        <v>295</v>
      </c>
      <c r="J404" s="54" t="s">
        <v>779</v>
      </c>
    </row>
    <row r="405" customFormat="false" ht="15" hidden="false" customHeight="true" outlineLevel="0" collapsed="false">
      <c r="A405" s="54" t="n">
        <v>20260710</v>
      </c>
      <c r="B405" s="54" t="s">
        <v>688</v>
      </c>
      <c r="C405" s="54" t="s">
        <v>290</v>
      </c>
      <c r="D405" s="54" t="s">
        <v>1236</v>
      </c>
      <c r="E405" s="54" t="s">
        <v>1237</v>
      </c>
      <c r="F405" s="54" t="s">
        <v>1240</v>
      </c>
      <c r="G405" s="54" t="s">
        <v>1241</v>
      </c>
      <c r="H405" s="54" t="n">
        <v>10072</v>
      </c>
      <c r="I405" s="54" t="s">
        <v>295</v>
      </c>
      <c r="J405" s="54" t="s">
        <v>779</v>
      </c>
    </row>
    <row r="406" customFormat="false" ht="15" hidden="false" customHeight="true" outlineLevel="0" collapsed="false">
      <c r="A406" s="54" t="n">
        <v>20260710</v>
      </c>
      <c r="B406" s="54" t="s">
        <v>289</v>
      </c>
      <c r="C406" s="54" t="s">
        <v>290</v>
      </c>
      <c r="D406" s="54" t="s">
        <v>1242</v>
      </c>
      <c r="E406" s="54" t="s">
        <v>1243</v>
      </c>
      <c r="F406" s="54" t="s">
        <v>1244</v>
      </c>
      <c r="G406" s="54" t="s">
        <v>1245</v>
      </c>
      <c r="H406" s="54" t="n">
        <v>14460</v>
      </c>
      <c r="I406" s="54" t="s">
        <v>295</v>
      </c>
      <c r="J406" s="54" t="s">
        <v>459</v>
      </c>
    </row>
    <row r="407" customFormat="false" ht="15" hidden="false" customHeight="true" outlineLevel="0" collapsed="false">
      <c r="A407" s="54" t="n">
        <v>20260710</v>
      </c>
      <c r="B407" s="54" t="s">
        <v>289</v>
      </c>
      <c r="C407" s="54" t="s">
        <v>290</v>
      </c>
      <c r="D407" s="54" t="s">
        <v>1242</v>
      </c>
      <c r="E407" s="54" t="s">
        <v>1243</v>
      </c>
      <c r="F407" s="54" t="s">
        <v>1246</v>
      </c>
      <c r="G407" s="54" t="s">
        <v>1247</v>
      </c>
      <c r="H407" s="54" t="n">
        <v>14464</v>
      </c>
      <c r="I407" s="54" t="s">
        <v>295</v>
      </c>
      <c r="J407" s="54" t="s">
        <v>459</v>
      </c>
    </row>
    <row r="408" customFormat="false" ht="15" hidden="false" customHeight="true" outlineLevel="0" collapsed="false">
      <c r="A408" s="54" t="n">
        <v>20260710</v>
      </c>
      <c r="B408" s="54" t="s">
        <v>306</v>
      </c>
      <c r="C408" s="54" t="s">
        <v>307</v>
      </c>
      <c r="D408" s="54" t="s">
        <v>1248</v>
      </c>
      <c r="E408" s="54" t="s">
        <v>1249</v>
      </c>
      <c r="F408" s="54" t="s">
        <v>1250</v>
      </c>
      <c r="G408" s="54" t="s">
        <v>1251</v>
      </c>
      <c r="H408" s="54" t="n">
        <v>8839</v>
      </c>
      <c r="I408" s="54" t="s">
        <v>295</v>
      </c>
      <c r="J408" s="54" t="s">
        <v>392</v>
      </c>
    </row>
    <row r="409" customFormat="false" ht="15" hidden="false" customHeight="true" outlineLevel="0" collapsed="false">
      <c r="A409" s="54" t="n">
        <v>20260710</v>
      </c>
      <c r="B409" s="54" t="s">
        <v>306</v>
      </c>
      <c r="C409" s="54" t="s">
        <v>307</v>
      </c>
      <c r="D409" s="54" t="s">
        <v>1248</v>
      </c>
      <c r="E409" s="54" t="s">
        <v>1249</v>
      </c>
      <c r="F409" s="54" t="s">
        <v>1252</v>
      </c>
      <c r="G409" s="54" t="s">
        <v>1253</v>
      </c>
      <c r="H409" s="54" t="n">
        <v>273</v>
      </c>
      <c r="I409" s="54" t="s">
        <v>295</v>
      </c>
      <c r="J409" s="54" t="s">
        <v>392</v>
      </c>
    </row>
    <row r="410" customFormat="false" ht="15" hidden="false" customHeight="true" outlineLevel="0" collapsed="false">
      <c r="A410" s="54" t="n">
        <v>20260710</v>
      </c>
      <c r="B410" s="54" t="s">
        <v>306</v>
      </c>
      <c r="C410" s="54" t="s">
        <v>307</v>
      </c>
      <c r="D410" s="54" t="s">
        <v>1248</v>
      </c>
      <c r="E410" s="54" t="s">
        <v>1249</v>
      </c>
      <c r="F410" s="54" t="s">
        <v>1254</v>
      </c>
      <c r="G410" s="54" t="s">
        <v>1255</v>
      </c>
      <c r="H410" s="54" t="n">
        <v>3984</v>
      </c>
      <c r="I410" s="54" t="s">
        <v>295</v>
      </c>
      <c r="J410" s="54" t="s">
        <v>392</v>
      </c>
    </row>
    <row r="411" customFormat="false" ht="15" hidden="false" customHeight="true" outlineLevel="0" collapsed="false">
      <c r="A411" s="54" t="n">
        <v>20260710</v>
      </c>
      <c r="B411" s="54" t="s">
        <v>306</v>
      </c>
      <c r="C411" s="54" t="s">
        <v>307</v>
      </c>
      <c r="D411" s="54" t="s">
        <v>1248</v>
      </c>
      <c r="E411" s="54" t="s">
        <v>1249</v>
      </c>
      <c r="F411" s="54" t="s">
        <v>1256</v>
      </c>
      <c r="G411" s="54" t="s">
        <v>1257</v>
      </c>
      <c r="H411" s="54" t="n">
        <v>5371</v>
      </c>
      <c r="I411" s="54" t="s">
        <v>295</v>
      </c>
      <c r="J411" s="54" t="s">
        <v>392</v>
      </c>
    </row>
    <row r="412" customFormat="false" ht="15" hidden="false" customHeight="true" outlineLevel="0" collapsed="false">
      <c r="A412" s="54" t="n">
        <v>20260710</v>
      </c>
      <c r="B412" s="54" t="s">
        <v>306</v>
      </c>
      <c r="C412" s="54" t="s">
        <v>307</v>
      </c>
      <c r="D412" s="54" t="s">
        <v>1248</v>
      </c>
      <c r="E412" s="54" t="s">
        <v>1249</v>
      </c>
      <c r="F412" s="54" t="s">
        <v>1258</v>
      </c>
      <c r="G412" s="54" t="s">
        <v>1259</v>
      </c>
      <c r="H412" s="54" t="n">
        <v>1781</v>
      </c>
      <c r="I412" s="54" t="s">
        <v>295</v>
      </c>
      <c r="J412" s="54" t="s">
        <v>392</v>
      </c>
    </row>
    <row r="413" customFormat="false" ht="15" hidden="false" customHeight="true" outlineLevel="0" collapsed="false">
      <c r="A413" s="54" t="n">
        <v>20260710</v>
      </c>
      <c r="B413" s="54" t="s">
        <v>306</v>
      </c>
      <c r="C413" s="54" t="s">
        <v>307</v>
      </c>
      <c r="D413" s="54" t="s">
        <v>1248</v>
      </c>
      <c r="E413" s="54" t="s">
        <v>1249</v>
      </c>
      <c r="F413" s="54" t="s">
        <v>1260</v>
      </c>
      <c r="G413" s="54" t="s">
        <v>709</v>
      </c>
      <c r="H413" s="54" t="n">
        <v>10932</v>
      </c>
      <c r="I413" s="54" t="s">
        <v>295</v>
      </c>
      <c r="J413" s="54" t="s">
        <v>392</v>
      </c>
    </row>
    <row r="414" customFormat="false" ht="15" hidden="false" customHeight="true" outlineLevel="0" collapsed="false">
      <c r="A414" s="54" t="n">
        <v>20260710</v>
      </c>
      <c r="B414" s="54" t="s">
        <v>306</v>
      </c>
      <c r="C414" s="54" t="s">
        <v>290</v>
      </c>
      <c r="D414" s="54" t="s">
        <v>1261</v>
      </c>
      <c r="E414" s="54" t="s">
        <v>1262</v>
      </c>
      <c r="F414" s="54" t="s">
        <v>1263</v>
      </c>
      <c r="G414" s="54" t="s">
        <v>1264</v>
      </c>
      <c r="H414" s="54" t="n">
        <v>18660</v>
      </c>
      <c r="I414" s="54" t="s">
        <v>295</v>
      </c>
      <c r="J414" s="54" t="s">
        <v>1265</v>
      </c>
    </row>
    <row r="415" customFormat="false" ht="15" hidden="false" customHeight="true" outlineLevel="0" collapsed="false">
      <c r="A415" s="54" t="n">
        <v>20260710</v>
      </c>
      <c r="B415" s="54" t="s">
        <v>306</v>
      </c>
      <c r="C415" s="54" t="s">
        <v>290</v>
      </c>
      <c r="D415" s="54" t="s">
        <v>1261</v>
      </c>
      <c r="E415" s="54" t="s">
        <v>1262</v>
      </c>
      <c r="F415" s="54" t="s">
        <v>1266</v>
      </c>
      <c r="G415" s="54" t="s">
        <v>1267</v>
      </c>
      <c r="H415" s="54" t="n">
        <v>11362</v>
      </c>
      <c r="I415" s="54" t="s">
        <v>295</v>
      </c>
      <c r="J415" s="54" t="s">
        <v>1265</v>
      </c>
    </row>
    <row r="416" customFormat="false" ht="15" hidden="false" customHeight="true" outlineLevel="0" collapsed="false">
      <c r="A416" s="54" t="n">
        <v>20260710</v>
      </c>
      <c r="B416" s="54" t="s">
        <v>535</v>
      </c>
      <c r="C416" s="54" t="s">
        <v>307</v>
      </c>
      <c r="D416" s="54" t="s">
        <v>1268</v>
      </c>
      <c r="E416" s="54" t="s">
        <v>1269</v>
      </c>
      <c r="F416" s="54" t="s">
        <v>1270</v>
      </c>
      <c r="G416" s="54" t="s">
        <v>1271</v>
      </c>
      <c r="H416" s="54" t="n">
        <v>162</v>
      </c>
      <c r="I416" s="54" t="s">
        <v>295</v>
      </c>
      <c r="J416" s="54" t="s">
        <v>540</v>
      </c>
    </row>
    <row r="417" customFormat="false" ht="15" hidden="false" customHeight="true" outlineLevel="0" collapsed="false">
      <c r="A417" s="54" t="n">
        <v>20260710</v>
      </c>
      <c r="B417" s="54" t="s">
        <v>535</v>
      </c>
      <c r="C417" s="54" t="s">
        <v>307</v>
      </c>
      <c r="D417" s="54" t="s">
        <v>1268</v>
      </c>
      <c r="E417" s="54" t="s">
        <v>1269</v>
      </c>
      <c r="F417" s="54" t="s">
        <v>1270</v>
      </c>
      <c r="G417" s="54" t="s">
        <v>1272</v>
      </c>
      <c r="H417" s="54" t="n">
        <v>173</v>
      </c>
      <c r="I417" s="54" t="s">
        <v>315</v>
      </c>
      <c r="J417" s="54" t="s">
        <v>540</v>
      </c>
    </row>
    <row r="418" customFormat="false" ht="15" hidden="false" customHeight="true" outlineLevel="0" collapsed="false">
      <c r="A418" s="54" t="n">
        <v>20260710</v>
      </c>
      <c r="B418" s="54" t="s">
        <v>535</v>
      </c>
      <c r="C418" s="54" t="s">
        <v>307</v>
      </c>
      <c r="D418" s="54" t="s">
        <v>1268</v>
      </c>
      <c r="E418" s="54" t="s">
        <v>1269</v>
      </c>
      <c r="F418" s="54" t="s">
        <v>1273</v>
      </c>
      <c r="G418" s="54" t="s">
        <v>1274</v>
      </c>
      <c r="H418" s="54" t="n">
        <v>7717</v>
      </c>
      <c r="I418" s="54" t="s">
        <v>315</v>
      </c>
      <c r="J418" s="54" t="s">
        <v>540</v>
      </c>
    </row>
    <row r="419" customFormat="false" ht="15" hidden="false" customHeight="true" outlineLevel="0" collapsed="false">
      <c r="A419" s="54" t="n">
        <v>20260710</v>
      </c>
      <c r="B419" s="54" t="s">
        <v>535</v>
      </c>
      <c r="C419" s="54" t="s">
        <v>307</v>
      </c>
      <c r="D419" s="54" t="s">
        <v>1268</v>
      </c>
      <c r="E419" s="54" t="s">
        <v>1269</v>
      </c>
      <c r="F419" s="54" t="s">
        <v>1275</v>
      </c>
      <c r="G419" s="54" t="s">
        <v>1276</v>
      </c>
      <c r="H419" s="54" t="n">
        <v>7638</v>
      </c>
      <c r="I419" s="54" t="s">
        <v>295</v>
      </c>
      <c r="J419" s="54" t="s">
        <v>540</v>
      </c>
    </row>
    <row r="420" customFormat="false" ht="15" hidden="false" customHeight="true" outlineLevel="0" collapsed="false">
      <c r="A420" s="54" t="n">
        <v>20260710</v>
      </c>
      <c r="B420" s="54" t="s">
        <v>535</v>
      </c>
      <c r="C420" s="54" t="s">
        <v>307</v>
      </c>
      <c r="D420" s="54" t="s">
        <v>1268</v>
      </c>
      <c r="E420" s="54" t="s">
        <v>1269</v>
      </c>
      <c r="F420" s="54" t="s">
        <v>1277</v>
      </c>
      <c r="G420" s="54" t="s">
        <v>1278</v>
      </c>
      <c r="H420" s="54" t="n">
        <v>439</v>
      </c>
      <c r="I420" s="54" t="s">
        <v>295</v>
      </c>
      <c r="J420" s="54" t="s">
        <v>540</v>
      </c>
    </row>
    <row r="421" customFormat="false" ht="15" hidden="false" customHeight="true" outlineLevel="0" collapsed="false">
      <c r="A421" s="54" t="n">
        <v>20260710</v>
      </c>
      <c r="B421" s="54" t="s">
        <v>535</v>
      </c>
      <c r="C421" s="54" t="s">
        <v>307</v>
      </c>
      <c r="D421" s="54" t="s">
        <v>1268</v>
      </c>
      <c r="E421" s="54" t="s">
        <v>1269</v>
      </c>
      <c r="F421" s="54" t="s">
        <v>1279</v>
      </c>
      <c r="G421" s="54" t="s">
        <v>1280</v>
      </c>
      <c r="H421" s="54" t="n">
        <v>9447</v>
      </c>
      <c r="I421" s="54" t="s">
        <v>295</v>
      </c>
      <c r="J421" s="54" t="s">
        <v>540</v>
      </c>
    </row>
    <row r="422" customFormat="false" ht="15" hidden="false" customHeight="true" outlineLevel="0" collapsed="false">
      <c r="A422" s="54" t="n">
        <v>20260710</v>
      </c>
      <c r="B422" s="54" t="s">
        <v>535</v>
      </c>
      <c r="C422" s="54" t="s">
        <v>307</v>
      </c>
      <c r="D422" s="54" t="s">
        <v>1268</v>
      </c>
      <c r="E422" s="54" t="s">
        <v>1269</v>
      </c>
      <c r="F422" s="54" t="s">
        <v>1279</v>
      </c>
      <c r="G422" s="54" t="s">
        <v>1281</v>
      </c>
      <c r="H422" s="54" t="n">
        <v>9559</v>
      </c>
      <c r="I422" s="54" t="s">
        <v>315</v>
      </c>
      <c r="J422" s="54" t="s">
        <v>540</v>
      </c>
    </row>
    <row r="423" customFormat="false" ht="15" hidden="false" customHeight="true" outlineLevel="0" collapsed="false">
      <c r="A423" s="54" t="n">
        <v>20260710</v>
      </c>
      <c r="B423" s="54" t="s">
        <v>535</v>
      </c>
      <c r="C423" s="54" t="s">
        <v>307</v>
      </c>
      <c r="D423" s="54" t="s">
        <v>1268</v>
      </c>
      <c r="E423" s="54" t="s">
        <v>1269</v>
      </c>
      <c r="F423" s="54" t="s">
        <v>1282</v>
      </c>
      <c r="G423" s="54" t="s">
        <v>1049</v>
      </c>
      <c r="H423" s="54" t="n">
        <v>3</v>
      </c>
      <c r="I423" s="54" t="s">
        <v>295</v>
      </c>
      <c r="J423" s="54" t="s">
        <v>540</v>
      </c>
    </row>
    <row r="424" customFormat="false" ht="15" hidden="false" customHeight="true" outlineLevel="0" collapsed="false">
      <c r="A424" s="54" t="n">
        <v>20260710</v>
      </c>
      <c r="B424" s="54" t="s">
        <v>535</v>
      </c>
      <c r="C424" s="54" t="s">
        <v>307</v>
      </c>
      <c r="D424" s="54" t="s">
        <v>1268</v>
      </c>
      <c r="E424" s="54" t="s">
        <v>1269</v>
      </c>
      <c r="F424" s="54" t="s">
        <v>1049</v>
      </c>
      <c r="G424" s="54" t="s">
        <v>1283</v>
      </c>
      <c r="H424" s="54" t="n">
        <v>14624</v>
      </c>
      <c r="I424" s="54" t="s">
        <v>315</v>
      </c>
      <c r="J424" s="54" t="s">
        <v>540</v>
      </c>
    </row>
    <row r="425" customFormat="false" ht="15" hidden="false" customHeight="true" outlineLevel="0" collapsed="false">
      <c r="A425" s="54" t="n">
        <v>20260710</v>
      </c>
      <c r="B425" s="54" t="s">
        <v>535</v>
      </c>
      <c r="C425" s="54" t="s">
        <v>307</v>
      </c>
      <c r="D425" s="54" t="s">
        <v>1268</v>
      </c>
      <c r="E425" s="54" t="s">
        <v>1269</v>
      </c>
      <c r="F425" s="54" t="s">
        <v>1284</v>
      </c>
      <c r="G425" s="54" t="s">
        <v>1285</v>
      </c>
      <c r="H425" s="54" t="n">
        <v>20</v>
      </c>
      <c r="I425" s="54" t="s">
        <v>295</v>
      </c>
      <c r="J425" s="54" t="s">
        <v>540</v>
      </c>
    </row>
    <row r="426" customFormat="false" ht="15" hidden="false" customHeight="true" outlineLevel="0" collapsed="false">
      <c r="A426" s="54" t="n">
        <v>20260710</v>
      </c>
      <c r="B426" s="54" t="s">
        <v>535</v>
      </c>
      <c r="C426" s="54" t="s">
        <v>307</v>
      </c>
      <c r="D426" s="54" t="s">
        <v>1268</v>
      </c>
      <c r="E426" s="54" t="s">
        <v>1269</v>
      </c>
      <c r="F426" s="54" t="s">
        <v>1286</v>
      </c>
      <c r="G426" s="54" t="s">
        <v>1287</v>
      </c>
      <c r="H426" s="54" t="n">
        <v>14476</v>
      </c>
      <c r="I426" s="54" t="s">
        <v>295</v>
      </c>
      <c r="J426" s="54" t="s">
        <v>540</v>
      </c>
    </row>
    <row r="427" customFormat="false" ht="15" hidden="false" customHeight="true" outlineLevel="0" collapsed="false">
      <c r="A427" s="54" t="n">
        <v>20260710</v>
      </c>
      <c r="B427" s="54" t="s">
        <v>535</v>
      </c>
      <c r="C427" s="54" t="s">
        <v>290</v>
      </c>
      <c r="D427" s="54" t="s">
        <v>1288</v>
      </c>
      <c r="E427" s="54" t="s">
        <v>1289</v>
      </c>
      <c r="F427" s="54" t="s">
        <v>1290</v>
      </c>
      <c r="G427" s="54" t="s">
        <v>1291</v>
      </c>
      <c r="H427" s="54" t="n">
        <v>6</v>
      </c>
      <c r="I427" s="54" t="s">
        <v>295</v>
      </c>
      <c r="J427" s="54" t="s">
        <v>677</v>
      </c>
    </row>
    <row r="428" customFormat="false" ht="15" hidden="false" customHeight="true" outlineLevel="0" collapsed="false">
      <c r="A428" s="54" t="n">
        <v>20260710</v>
      </c>
      <c r="B428" s="54" t="s">
        <v>535</v>
      </c>
      <c r="C428" s="54" t="s">
        <v>290</v>
      </c>
      <c r="D428" s="54" t="s">
        <v>1288</v>
      </c>
      <c r="E428" s="54" t="s">
        <v>1289</v>
      </c>
      <c r="F428" s="54" t="s">
        <v>1292</v>
      </c>
      <c r="G428" s="54" t="s">
        <v>1293</v>
      </c>
      <c r="H428" s="54" t="n">
        <v>17998</v>
      </c>
      <c r="I428" s="54" t="s">
        <v>360</v>
      </c>
      <c r="J428" s="54" t="s">
        <v>677</v>
      </c>
    </row>
    <row r="429" customFormat="false" ht="15" hidden="false" customHeight="true" outlineLevel="0" collapsed="false">
      <c r="A429" s="54" t="n">
        <v>20260710</v>
      </c>
      <c r="B429" s="54" t="s">
        <v>535</v>
      </c>
      <c r="C429" s="54" t="s">
        <v>290</v>
      </c>
      <c r="D429" s="54" t="s">
        <v>1288</v>
      </c>
      <c r="E429" s="54" t="s">
        <v>1289</v>
      </c>
      <c r="F429" s="54" t="s">
        <v>1294</v>
      </c>
      <c r="G429" s="54" t="s">
        <v>1110</v>
      </c>
      <c r="H429" s="54" t="n">
        <v>17984</v>
      </c>
      <c r="I429" s="54" t="s">
        <v>295</v>
      </c>
      <c r="J429" s="54" t="s">
        <v>677</v>
      </c>
    </row>
    <row r="430" customFormat="false" ht="15" hidden="false" customHeight="true" outlineLevel="0" collapsed="false">
      <c r="A430" s="54" t="n">
        <v>20260710</v>
      </c>
      <c r="B430" s="54" t="s">
        <v>535</v>
      </c>
      <c r="C430" s="54" t="s">
        <v>290</v>
      </c>
      <c r="D430" s="54" t="s">
        <v>1288</v>
      </c>
      <c r="E430" s="54" t="s">
        <v>1289</v>
      </c>
      <c r="F430" s="54" t="s">
        <v>1295</v>
      </c>
      <c r="G430" s="54" t="s">
        <v>789</v>
      </c>
      <c r="H430" s="54" t="n">
        <v>10861</v>
      </c>
      <c r="I430" s="54" t="s">
        <v>295</v>
      </c>
      <c r="J430" s="54" t="s">
        <v>677</v>
      </c>
    </row>
    <row r="431" customFormat="false" ht="15" hidden="false" customHeight="true" outlineLevel="0" collapsed="false">
      <c r="A431" s="54" t="n">
        <v>20260710</v>
      </c>
      <c r="B431" s="54" t="s">
        <v>535</v>
      </c>
      <c r="C431" s="54" t="s">
        <v>290</v>
      </c>
      <c r="D431" s="54" t="s">
        <v>1288</v>
      </c>
      <c r="E431" s="54" t="s">
        <v>1289</v>
      </c>
      <c r="F431" s="54" t="s">
        <v>1296</v>
      </c>
      <c r="G431" s="54" t="s">
        <v>1044</v>
      </c>
      <c r="H431" s="54" t="n">
        <v>10869</v>
      </c>
      <c r="I431" s="54" t="s">
        <v>360</v>
      </c>
      <c r="J431" s="54" t="s">
        <v>677</v>
      </c>
    </row>
    <row r="432" customFormat="false" ht="15" hidden="false" customHeight="true" outlineLevel="0" collapsed="false">
      <c r="A432" s="54" t="n">
        <v>20260710</v>
      </c>
      <c r="B432" s="54" t="s">
        <v>289</v>
      </c>
      <c r="C432" s="54" t="s">
        <v>290</v>
      </c>
      <c r="D432" s="54" t="s">
        <v>1297</v>
      </c>
      <c r="E432" s="54" t="s">
        <v>1298</v>
      </c>
      <c r="F432" s="54" t="s">
        <v>1299</v>
      </c>
      <c r="G432" s="54" t="s">
        <v>1300</v>
      </c>
      <c r="H432" s="54" t="n">
        <v>15</v>
      </c>
      <c r="I432" s="54" t="s">
        <v>295</v>
      </c>
      <c r="J432" s="54" t="s">
        <v>423</v>
      </c>
    </row>
    <row r="433" customFormat="false" ht="15" hidden="false" customHeight="true" outlineLevel="0" collapsed="false">
      <c r="A433" s="54" t="n">
        <v>20260710</v>
      </c>
      <c r="B433" s="54" t="s">
        <v>289</v>
      </c>
      <c r="C433" s="54" t="s">
        <v>290</v>
      </c>
      <c r="D433" s="54" t="s">
        <v>1297</v>
      </c>
      <c r="E433" s="54" t="s">
        <v>1298</v>
      </c>
      <c r="F433" s="54" t="s">
        <v>1301</v>
      </c>
      <c r="G433" s="54" t="s">
        <v>1300</v>
      </c>
      <c r="H433" s="54" t="n">
        <v>14</v>
      </c>
      <c r="I433" s="54" t="s">
        <v>360</v>
      </c>
      <c r="J433" s="54" t="s">
        <v>423</v>
      </c>
    </row>
    <row r="434" customFormat="false" ht="15" hidden="false" customHeight="true" outlineLevel="0" collapsed="false">
      <c r="A434" s="54" t="n">
        <v>20260710</v>
      </c>
      <c r="B434" s="54" t="s">
        <v>289</v>
      </c>
      <c r="C434" s="54" t="s">
        <v>290</v>
      </c>
      <c r="D434" s="54" t="s">
        <v>1297</v>
      </c>
      <c r="E434" s="54" t="s">
        <v>1298</v>
      </c>
      <c r="F434" s="54" t="s">
        <v>1302</v>
      </c>
      <c r="G434" s="54" t="s">
        <v>1303</v>
      </c>
      <c r="H434" s="54" t="n">
        <v>3095</v>
      </c>
      <c r="I434" s="54" t="s">
        <v>360</v>
      </c>
      <c r="J434" s="54" t="s">
        <v>423</v>
      </c>
    </row>
    <row r="435" customFormat="false" ht="15" hidden="false" customHeight="true" outlineLevel="0" collapsed="false">
      <c r="A435" s="54" t="n">
        <v>20260710</v>
      </c>
      <c r="B435" s="54" t="s">
        <v>289</v>
      </c>
      <c r="C435" s="54" t="s">
        <v>290</v>
      </c>
      <c r="D435" s="54" t="s">
        <v>1297</v>
      </c>
      <c r="E435" s="54" t="s">
        <v>1298</v>
      </c>
      <c r="F435" s="54" t="s">
        <v>1302</v>
      </c>
      <c r="G435" s="54" t="s">
        <v>1303</v>
      </c>
      <c r="H435" s="54" t="n">
        <v>3095</v>
      </c>
      <c r="I435" s="54" t="s">
        <v>295</v>
      </c>
      <c r="J435" s="54" t="s">
        <v>423</v>
      </c>
    </row>
    <row r="436" customFormat="false" ht="15" hidden="false" customHeight="true" outlineLevel="0" collapsed="false">
      <c r="A436" s="54" t="n">
        <v>20260710</v>
      </c>
      <c r="B436" s="54" t="s">
        <v>289</v>
      </c>
      <c r="C436" s="54" t="s">
        <v>290</v>
      </c>
      <c r="D436" s="54" t="s">
        <v>1297</v>
      </c>
      <c r="E436" s="54" t="s">
        <v>1298</v>
      </c>
      <c r="F436" s="54" t="s">
        <v>1304</v>
      </c>
      <c r="G436" s="54" t="s">
        <v>1305</v>
      </c>
      <c r="H436" s="54" t="n">
        <v>15542</v>
      </c>
      <c r="I436" s="54" t="s">
        <v>360</v>
      </c>
      <c r="J436" s="54" t="s">
        <v>423</v>
      </c>
    </row>
    <row r="437" customFormat="false" ht="15" hidden="false" customHeight="true" outlineLevel="0" collapsed="false">
      <c r="A437" s="54" t="n">
        <v>20260710</v>
      </c>
      <c r="B437" s="54" t="s">
        <v>289</v>
      </c>
      <c r="C437" s="54" t="s">
        <v>290</v>
      </c>
      <c r="D437" s="54" t="s">
        <v>1297</v>
      </c>
      <c r="E437" s="54" t="s">
        <v>1298</v>
      </c>
      <c r="F437" s="54" t="s">
        <v>1304</v>
      </c>
      <c r="G437" s="54" t="s">
        <v>1305</v>
      </c>
      <c r="H437" s="54" t="n">
        <v>15542</v>
      </c>
      <c r="I437" s="54" t="s">
        <v>295</v>
      </c>
      <c r="J437" s="54" t="s">
        <v>423</v>
      </c>
    </row>
    <row r="438" customFormat="false" ht="15" hidden="false" customHeight="true" outlineLevel="0" collapsed="false">
      <c r="A438" s="54" t="n">
        <v>20260710</v>
      </c>
      <c r="B438" s="54" t="s">
        <v>289</v>
      </c>
      <c r="C438" s="54" t="s">
        <v>290</v>
      </c>
      <c r="D438" s="54" t="s">
        <v>1297</v>
      </c>
      <c r="E438" s="54" t="s">
        <v>1298</v>
      </c>
      <c r="F438" s="54" t="s">
        <v>1306</v>
      </c>
      <c r="G438" s="54" t="s">
        <v>1307</v>
      </c>
      <c r="H438" s="54" t="n">
        <v>10486</v>
      </c>
      <c r="I438" s="54" t="s">
        <v>360</v>
      </c>
      <c r="J438" s="54" t="s">
        <v>423</v>
      </c>
    </row>
    <row r="439" customFormat="false" ht="15" hidden="false" customHeight="true" outlineLevel="0" collapsed="false">
      <c r="A439" s="54" t="n">
        <v>20260710</v>
      </c>
      <c r="B439" s="54" t="s">
        <v>289</v>
      </c>
      <c r="C439" s="54" t="s">
        <v>290</v>
      </c>
      <c r="D439" s="54" t="s">
        <v>1297</v>
      </c>
      <c r="E439" s="54" t="s">
        <v>1298</v>
      </c>
      <c r="F439" s="54" t="s">
        <v>1306</v>
      </c>
      <c r="G439" s="54" t="s">
        <v>1307</v>
      </c>
      <c r="H439" s="54" t="n">
        <v>10486</v>
      </c>
      <c r="I439" s="54" t="s">
        <v>295</v>
      </c>
      <c r="J439" s="54" t="s">
        <v>423</v>
      </c>
    </row>
    <row r="440" customFormat="false" ht="15" hidden="false" customHeight="true" outlineLevel="0" collapsed="false">
      <c r="A440" s="54" t="n">
        <v>20260710</v>
      </c>
      <c r="B440" s="54" t="s">
        <v>535</v>
      </c>
      <c r="C440" s="54" t="s">
        <v>290</v>
      </c>
      <c r="D440" s="54" t="s">
        <v>1308</v>
      </c>
      <c r="E440" s="54" t="s">
        <v>1309</v>
      </c>
      <c r="F440" s="54" t="s">
        <v>1310</v>
      </c>
      <c r="G440" s="54" t="s">
        <v>1311</v>
      </c>
      <c r="H440" s="54" t="n">
        <v>3150</v>
      </c>
      <c r="I440" s="54" t="s">
        <v>295</v>
      </c>
      <c r="J440" s="54" t="s">
        <v>677</v>
      </c>
    </row>
    <row r="441" customFormat="false" ht="15" hidden="false" customHeight="true" outlineLevel="0" collapsed="false">
      <c r="A441" s="54" t="n">
        <v>20260710</v>
      </c>
      <c r="B441" s="54" t="s">
        <v>535</v>
      </c>
      <c r="C441" s="54" t="s">
        <v>290</v>
      </c>
      <c r="D441" s="54" t="s">
        <v>1308</v>
      </c>
      <c r="E441" s="54" t="s">
        <v>1309</v>
      </c>
      <c r="F441" s="54" t="s">
        <v>1312</v>
      </c>
      <c r="G441" s="54" t="s">
        <v>1313</v>
      </c>
      <c r="H441" s="54" t="n">
        <v>2381</v>
      </c>
      <c r="I441" s="54" t="s">
        <v>295</v>
      </c>
      <c r="J441" s="54" t="s">
        <v>677</v>
      </c>
    </row>
    <row r="442" customFormat="false" ht="15" hidden="false" customHeight="true" outlineLevel="0" collapsed="false">
      <c r="A442" s="54" t="n">
        <v>20260710</v>
      </c>
      <c r="B442" s="54" t="s">
        <v>535</v>
      </c>
      <c r="C442" s="54" t="s">
        <v>290</v>
      </c>
      <c r="D442" s="54" t="s">
        <v>1308</v>
      </c>
      <c r="E442" s="54" t="s">
        <v>1309</v>
      </c>
      <c r="F442" s="54" t="s">
        <v>1314</v>
      </c>
      <c r="G442" s="54" t="s">
        <v>1315</v>
      </c>
      <c r="H442" s="54" t="n">
        <v>3044</v>
      </c>
      <c r="I442" s="54" t="s">
        <v>295</v>
      </c>
      <c r="J442" s="54" t="s">
        <v>677</v>
      </c>
    </row>
    <row r="443" customFormat="false" ht="15" hidden="false" customHeight="true" outlineLevel="0" collapsed="false">
      <c r="A443" s="54" t="n">
        <v>20260710</v>
      </c>
      <c r="B443" s="54" t="s">
        <v>535</v>
      </c>
      <c r="C443" s="54" t="s">
        <v>290</v>
      </c>
      <c r="D443" s="54" t="s">
        <v>1308</v>
      </c>
      <c r="E443" s="54" t="s">
        <v>1309</v>
      </c>
      <c r="F443" s="54" t="s">
        <v>1316</v>
      </c>
      <c r="G443" s="54" t="s">
        <v>1317</v>
      </c>
      <c r="H443" s="54" t="n">
        <v>9432</v>
      </c>
      <c r="I443" s="54" t="s">
        <v>295</v>
      </c>
      <c r="J443" s="54" t="s">
        <v>677</v>
      </c>
    </row>
    <row r="444" customFormat="false" ht="15" hidden="false" customHeight="true" outlineLevel="0" collapsed="false">
      <c r="A444" s="54" t="n">
        <v>20260710</v>
      </c>
      <c r="B444" s="54" t="s">
        <v>535</v>
      </c>
      <c r="C444" s="54" t="s">
        <v>290</v>
      </c>
      <c r="D444" s="54" t="s">
        <v>1308</v>
      </c>
      <c r="E444" s="54" t="s">
        <v>1309</v>
      </c>
      <c r="F444" s="54" t="s">
        <v>1318</v>
      </c>
      <c r="G444" s="54" t="s">
        <v>1319</v>
      </c>
      <c r="H444" s="54" t="n">
        <v>3</v>
      </c>
      <c r="I444" s="54" t="s">
        <v>295</v>
      </c>
      <c r="J444" s="54" t="s">
        <v>677</v>
      </c>
    </row>
    <row r="445" customFormat="false" ht="15" hidden="false" customHeight="true" outlineLevel="0" collapsed="false">
      <c r="A445" s="54" t="n">
        <v>20260710</v>
      </c>
      <c r="B445" s="54" t="s">
        <v>535</v>
      </c>
      <c r="C445" s="54" t="s">
        <v>290</v>
      </c>
      <c r="D445" s="54" t="s">
        <v>1308</v>
      </c>
      <c r="E445" s="54" t="s">
        <v>1309</v>
      </c>
      <c r="F445" s="54" t="s">
        <v>1320</v>
      </c>
      <c r="G445" s="54" t="s">
        <v>1321</v>
      </c>
      <c r="H445" s="54" t="n">
        <v>584</v>
      </c>
      <c r="I445" s="54" t="s">
        <v>295</v>
      </c>
      <c r="J445" s="54" t="s">
        <v>677</v>
      </c>
    </row>
    <row r="446" customFormat="false" ht="15" hidden="false" customHeight="true" outlineLevel="0" collapsed="false">
      <c r="A446" s="54" t="n">
        <v>20260710</v>
      </c>
      <c r="B446" s="54" t="s">
        <v>535</v>
      </c>
      <c r="C446" s="54" t="s">
        <v>290</v>
      </c>
      <c r="D446" s="54" t="s">
        <v>1308</v>
      </c>
      <c r="E446" s="54" t="s">
        <v>1309</v>
      </c>
      <c r="F446" s="54" t="s">
        <v>1322</v>
      </c>
      <c r="G446" s="54" t="s">
        <v>1323</v>
      </c>
      <c r="H446" s="54" t="n">
        <v>2912</v>
      </c>
      <c r="I446" s="54" t="s">
        <v>295</v>
      </c>
      <c r="J446" s="54" t="s">
        <v>677</v>
      </c>
    </row>
    <row r="447" customFormat="false" ht="15" hidden="false" customHeight="true" outlineLevel="0" collapsed="false">
      <c r="A447" s="54" t="n">
        <v>20260710</v>
      </c>
      <c r="B447" s="54" t="s">
        <v>535</v>
      </c>
      <c r="C447" s="54" t="s">
        <v>290</v>
      </c>
      <c r="D447" s="54" t="s">
        <v>1308</v>
      </c>
      <c r="E447" s="54" t="s">
        <v>1309</v>
      </c>
      <c r="F447" s="54" t="s">
        <v>1324</v>
      </c>
      <c r="G447" s="54" t="s">
        <v>1325</v>
      </c>
      <c r="H447" s="54" t="n">
        <v>2131</v>
      </c>
      <c r="I447" s="54" t="s">
        <v>295</v>
      </c>
      <c r="J447" s="54" t="s">
        <v>677</v>
      </c>
    </row>
    <row r="448" customFormat="false" ht="15" hidden="false" customHeight="true" outlineLevel="0" collapsed="false">
      <c r="A448" s="54" t="n">
        <v>20260710</v>
      </c>
      <c r="B448" s="54" t="s">
        <v>535</v>
      </c>
      <c r="C448" s="54" t="s">
        <v>290</v>
      </c>
      <c r="D448" s="54" t="s">
        <v>1308</v>
      </c>
      <c r="E448" s="54" t="s">
        <v>1309</v>
      </c>
      <c r="F448" s="54" t="s">
        <v>1326</v>
      </c>
      <c r="G448" s="54" t="s">
        <v>1327</v>
      </c>
      <c r="H448" s="54" t="n">
        <v>1738</v>
      </c>
      <c r="I448" s="54" t="s">
        <v>295</v>
      </c>
      <c r="J448" s="54" t="s">
        <v>677</v>
      </c>
    </row>
    <row r="449" customFormat="false" ht="15" hidden="false" customHeight="true" outlineLevel="0" collapsed="false">
      <c r="A449" s="54" t="n">
        <v>20260710</v>
      </c>
      <c r="B449" s="54" t="s">
        <v>535</v>
      </c>
      <c r="C449" s="54" t="s">
        <v>290</v>
      </c>
      <c r="D449" s="54" t="s">
        <v>1308</v>
      </c>
      <c r="E449" s="54" t="s">
        <v>1309</v>
      </c>
      <c r="F449" s="54" t="s">
        <v>1328</v>
      </c>
      <c r="G449" s="54" t="s">
        <v>1329</v>
      </c>
      <c r="H449" s="54" t="n">
        <v>3195</v>
      </c>
      <c r="I449" s="54" t="s">
        <v>295</v>
      </c>
      <c r="J449" s="54" t="s">
        <v>677</v>
      </c>
    </row>
    <row r="450" customFormat="false" ht="15" hidden="false" customHeight="true" outlineLevel="0" collapsed="false">
      <c r="A450" s="54" t="n">
        <v>20260710</v>
      </c>
      <c r="B450" s="54" t="s">
        <v>289</v>
      </c>
      <c r="C450" s="54" t="s">
        <v>290</v>
      </c>
      <c r="D450" s="54" t="s">
        <v>1330</v>
      </c>
      <c r="E450" s="54" t="s">
        <v>1331</v>
      </c>
      <c r="F450" s="54" t="s">
        <v>1332</v>
      </c>
      <c r="G450" s="54" t="s">
        <v>1333</v>
      </c>
      <c r="H450" s="54" t="n">
        <v>291</v>
      </c>
      <c r="I450" s="54" t="s">
        <v>295</v>
      </c>
      <c r="J450" s="54" t="s">
        <v>1016</v>
      </c>
    </row>
    <row r="451" customFormat="false" ht="15" hidden="false" customHeight="true" outlineLevel="0" collapsed="false">
      <c r="A451" s="54" t="n">
        <v>20260710</v>
      </c>
      <c r="B451" s="54" t="s">
        <v>289</v>
      </c>
      <c r="C451" s="54" t="s">
        <v>290</v>
      </c>
      <c r="D451" s="54" t="s">
        <v>1330</v>
      </c>
      <c r="E451" s="54" t="s">
        <v>1331</v>
      </c>
      <c r="F451" s="54" t="s">
        <v>1334</v>
      </c>
      <c r="G451" s="54" t="s">
        <v>1335</v>
      </c>
      <c r="H451" s="54" t="n">
        <v>12035</v>
      </c>
      <c r="I451" s="54" t="s">
        <v>295</v>
      </c>
      <c r="J451" s="54" t="s">
        <v>1016</v>
      </c>
    </row>
    <row r="452" customFormat="false" ht="15" hidden="false" customHeight="true" outlineLevel="0" collapsed="false">
      <c r="A452" s="54" t="n">
        <v>20260710</v>
      </c>
      <c r="B452" s="54" t="s">
        <v>289</v>
      </c>
      <c r="C452" s="54" t="s">
        <v>290</v>
      </c>
      <c r="D452" s="54" t="s">
        <v>1330</v>
      </c>
      <c r="E452" s="54" t="s">
        <v>1331</v>
      </c>
      <c r="F452" s="54" t="s">
        <v>1336</v>
      </c>
      <c r="G452" s="54" t="s">
        <v>1337</v>
      </c>
      <c r="H452" s="54" t="n">
        <v>3228</v>
      </c>
      <c r="I452" s="54" t="s">
        <v>295</v>
      </c>
      <c r="J452" s="54" t="s">
        <v>1016</v>
      </c>
    </row>
    <row r="453" customFormat="false" ht="15" hidden="false" customHeight="true" outlineLevel="0" collapsed="false">
      <c r="A453" s="54" t="n">
        <v>20260710</v>
      </c>
      <c r="B453" s="54" t="s">
        <v>289</v>
      </c>
      <c r="C453" s="54" t="s">
        <v>290</v>
      </c>
      <c r="D453" s="54" t="s">
        <v>1330</v>
      </c>
      <c r="E453" s="54" t="s">
        <v>1331</v>
      </c>
      <c r="F453" s="54" t="s">
        <v>1338</v>
      </c>
      <c r="G453" s="54" t="s">
        <v>1339</v>
      </c>
      <c r="H453" s="54" t="n">
        <v>14102</v>
      </c>
      <c r="I453" s="54" t="s">
        <v>295</v>
      </c>
      <c r="J453" s="54" t="s">
        <v>1016</v>
      </c>
    </row>
    <row r="454" customFormat="false" ht="15" hidden="false" customHeight="true" outlineLevel="0" collapsed="false">
      <c r="A454" s="54" t="n">
        <v>20260710</v>
      </c>
      <c r="B454" s="54" t="s">
        <v>289</v>
      </c>
      <c r="C454" s="54" t="s">
        <v>290</v>
      </c>
      <c r="D454" s="54" t="s">
        <v>342</v>
      </c>
      <c r="E454" s="54" t="s">
        <v>343</v>
      </c>
      <c r="F454" s="54" t="s">
        <v>1340</v>
      </c>
      <c r="G454" s="54" t="s">
        <v>1341</v>
      </c>
      <c r="H454" s="54" t="n">
        <v>11225</v>
      </c>
      <c r="I454" s="54" t="s">
        <v>295</v>
      </c>
      <c r="J454" s="54" t="s">
        <v>296</v>
      </c>
    </row>
    <row r="455" customFormat="false" ht="15" hidden="false" customHeight="true" outlineLevel="0" collapsed="false">
      <c r="A455" s="54" t="n">
        <v>20260710</v>
      </c>
      <c r="B455" s="54" t="s">
        <v>289</v>
      </c>
      <c r="C455" s="54" t="s">
        <v>290</v>
      </c>
      <c r="D455" s="54" t="s">
        <v>342</v>
      </c>
      <c r="E455" s="54" t="s">
        <v>343</v>
      </c>
      <c r="F455" s="54" t="s">
        <v>1342</v>
      </c>
      <c r="G455" s="54" t="s">
        <v>1343</v>
      </c>
      <c r="H455" s="54" t="n">
        <v>2585</v>
      </c>
      <c r="I455" s="54" t="s">
        <v>295</v>
      </c>
      <c r="J455" s="54" t="s">
        <v>296</v>
      </c>
    </row>
    <row r="456" customFormat="false" ht="15" hidden="false" customHeight="true" outlineLevel="0" collapsed="false">
      <c r="A456" s="54" t="n">
        <v>20260710</v>
      </c>
      <c r="B456" s="54" t="s">
        <v>289</v>
      </c>
      <c r="C456" s="54" t="s">
        <v>290</v>
      </c>
      <c r="D456" s="54" t="s">
        <v>342</v>
      </c>
      <c r="E456" s="54" t="s">
        <v>343</v>
      </c>
      <c r="F456" s="54" t="s">
        <v>1344</v>
      </c>
      <c r="G456" s="54" t="s">
        <v>1345</v>
      </c>
      <c r="H456" s="54" t="n">
        <v>19709</v>
      </c>
      <c r="I456" s="54" t="s">
        <v>295</v>
      </c>
      <c r="J456" s="54" t="s">
        <v>296</v>
      </c>
    </row>
    <row r="457" customFormat="false" ht="15" hidden="false" customHeight="true" outlineLevel="0" collapsed="false">
      <c r="A457" s="54" t="n">
        <v>20260710</v>
      </c>
      <c r="B457" s="54" t="s">
        <v>535</v>
      </c>
      <c r="C457" s="54" t="s">
        <v>290</v>
      </c>
      <c r="D457" s="54" t="s">
        <v>1346</v>
      </c>
      <c r="E457" s="54" t="s">
        <v>1347</v>
      </c>
      <c r="F457" s="54" t="s">
        <v>1348</v>
      </c>
      <c r="G457" s="54" t="s">
        <v>903</v>
      </c>
      <c r="H457" s="54" t="n">
        <v>17980</v>
      </c>
      <c r="I457" s="54" t="s">
        <v>295</v>
      </c>
      <c r="J457" s="54" t="s">
        <v>677</v>
      </c>
    </row>
    <row r="458" customFormat="false" ht="15" hidden="false" customHeight="true" outlineLevel="0" collapsed="false">
      <c r="A458" s="54" t="n">
        <v>20260710</v>
      </c>
      <c r="B458" s="54" t="s">
        <v>535</v>
      </c>
      <c r="C458" s="54" t="s">
        <v>290</v>
      </c>
      <c r="D458" s="54" t="s">
        <v>1346</v>
      </c>
      <c r="E458" s="54" t="s">
        <v>1347</v>
      </c>
      <c r="F458" s="54" t="s">
        <v>1349</v>
      </c>
      <c r="G458" s="54" t="s">
        <v>1350</v>
      </c>
      <c r="H458" s="54" t="n">
        <v>10737</v>
      </c>
      <c r="I458" s="54" t="s">
        <v>295</v>
      </c>
      <c r="J458" s="54" t="s">
        <v>677</v>
      </c>
    </row>
    <row r="459" customFormat="false" ht="15" hidden="false" customHeight="true" outlineLevel="0" collapsed="false">
      <c r="A459" s="54" t="n">
        <v>20260710</v>
      </c>
      <c r="B459" s="54" t="s">
        <v>289</v>
      </c>
      <c r="C459" s="54" t="s">
        <v>290</v>
      </c>
      <c r="D459" s="54" t="s">
        <v>1351</v>
      </c>
      <c r="E459" s="54" t="s">
        <v>1352</v>
      </c>
      <c r="F459" s="54" t="s">
        <v>1353</v>
      </c>
      <c r="G459" s="54" t="s">
        <v>1354</v>
      </c>
      <c r="H459" s="54" t="n">
        <v>76</v>
      </c>
      <c r="I459" s="54" t="s">
        <v>295</v>
      </c>
      <c r="J459" s="54" t="s">
        <v>1355</v>
      </c>
    </row>
    <row r="460" customFormat="false" ht="15" hidden="false" customHeight="true" outlineLevel="0" collapsed="false">
      <c r="A460" s="54" t="n">
        <v>20260710</v>
      </c>
      <c r="B460" s="54" t="s">
        <v>289</v>
      </c>
      <c r="C460" s="54" t="s">
        <v>290</v>
      </c>
      <c r="D460" s="54" t="s">
        <v>1351</v>
      </c>
      <c r="E460" s="54" t="s">
        <v>1352</v>
      </c>
      <c r="F460" s="54" t="s">
        <v>1356</v>
      </c>
      <c r="G460" s="54" t="s">
        <v>1357</v>
      </c>
      <c r="H460" s="54" t="n">
        <v>18129</v>
      </c>
      <c r="I460" s="54" t="s">
        <v>295</v>
      </c>
      <c r="J460" s="54" t="s">
        <v>1355</v>
      </c>
    </row>
    <row r="461" customFormat="false" ht="15" hidden="false" customHeight="true" outlineLevel="0" collapsed="false">
      <c r="A461" s="54" t="n">
        <v>20260710</v>
      </c>
      <c r="B461" s="54" t="s">
        <v>289</v>
      </c>
      <c r="C461" s="54" t="s">
        <v>290</v>
      </c>
      <c r="D461" s="54" t="s">
        <v>1351</v>
      </c>
      <c r="E461" s="54" t="s">
        <v>1352</v>
      </c>
      <c r="F461" s="54" t="s">
        <v>1358</v>
      </c>
      <c r="G461" s="54" t="s">
        <v>1359</v>
      </c>
      <c r="H461" s="54" t="n">
        <v>11017</v>
      </c>
      <c r="I461" s="54" t="s">
        <v>295</v>
      </c>
      <c r="J461" s="54" t="s">
        <v>1355</v>
      </c>
    </row>
    <row r="462" customFormat="false" ht="15" hidden="false" customHeight="true" outlineLevel="0" collapsed="false">
      <c r="A462" s="54" t="n">
        <v>20260710</v>
      </c>
      <c r="B462" s="54" t="s">
        <v>306</v>
      </c>
      <c r="C462" s="54" t="s">
        <v>290</v>
      </c>
      <c r="D462" s="54" t="s">
        <v>1360</v>
      </c>
      <c r="E462" s="54" t="s">
        <v>1361</v>
      </c>
      <c r="F462" s="54" t="s">
        <v>1362</v>
      </c>
      <c r="G462" s="54" t="s">
        <v>1363</v>
      </c>
      <c r="H462" s="54" t="n">
        <v>28800</v>
      </c>
      <c r="I462" s="54" t="s">
        <v>295</v>
      </c>
      <c r="J462" s="54" t="s">
        <v>1067</v>
      </c>
    </row>
    <row r="463" customFormat="false" ht="15" hidden="false" customHeight="true" outlineLevel="0" collapsed="false">
      <c r="A463" s="54" t="n">
        <v>20260710</v>
      </c>
      <c r="B463" s="54" t="s">
        <v>306</v>
      </c>
      <c r="C463" s="54" t="s">
        <v>290</v>
      </c>
      <c r="D463" s="54" t="s">
        <v>1360</v>
      </c>
      <c r="E463" s="54" t="s">
        <v>1361</v>
      </c>
      <c r="F463" s="54" t="s">
        <v>1364</v>
      </c>
      <c r="G463" s="54" t="s">
        <v>1365</v>
      </c>
      <c r="H463" s="54" t="n">
        <v>7</v>
      </c>
      <c r="I463" s="54" t="s">
        <v>295</v>
      </c>
      <c r="J463" s="54" t="s">
        <v>1067</v>
      </c>
    </row>
    <row r="464" customFormat="false" ht="15" hidden="false" customHeight="true" outlineLevel="0" collapsed="false">
      <c r="A464" s="54" t="n">
        <v>20260710</v>
      </c>
      <c r="B464" s="54" t="s">
        <v>306</v>
      </c>
      <c r="C464" s="54" t="s">
        <v>290</v>
      </c>
      <c r="D464" s="54" t="s">
        <v>1366</v>
      </c>
      <c r="E464" s="54" t="s">
        <v>1367</v>
      </c>
      <c r="F464" s="54" t="s">
        <v>1368</v>
      </c>
      <c r="G464" s="54" t="s">
        <v>1369</v>
      </c>
      <c r="H464" s="54" t="n">
        <v>2</v>
      </c>
      <c r="I464" s="54" t="s">
        <v>295</v>
      </c>
      <c r="J464" s="54" t="s">
        <v>1370</v>
      </c>
    </row>
    <row r="465" customFormat="false" ht="15" hidden="false" customHeight="true" outlineLevel="0" collapsed="false">
      <c r="A465" s="54" t="n">
        <v>20260710</v>
      </c>
      <c r="B465" s="54" t="s">
        <v>306</v>
      </c>
      <c r="C465" s="54" t="s">
        <v>290</v>
      </c>
      <c r="D465" s="54" t="s">
        <v>1366</v>
      </c>
      <c r="E465" s="54" t="s">
        <v>1367</v>
      </c>
      <c r="F465" s="54" t="s">
        <v>1371</v>
      </c>
      <c r="G465" s="54" t="s">
        <v>1372</v>
      </c>
      <c r="H465" s="54" t="n">
        <v>18009</v>
      </c>
      <c r="I465" s="54" t="s">
        <v>295</v>
      </c>
      <c r="J465" s="54" t="s">
        <v>1370</v>
      </c>
    </row>
    <row r="466" customFormat="false" ht="15" hidden="false" customHeight="true" outlineLevel="0" collapsed="false">
      <c r="A466" s="54" t="n">
        <v>20260710</v>
      </c>
      <c r="B466" s="54" t="s">
        <v>306</v>
      </c>
      <c r="C466" s="54" t="s">
        <v>290</v>
      </c>
      <c r="D466" s="54" t="s">
        <v>1366</v>
      </c>
      <c r="E466" s="54" t="s">
        <v>1367</v>
      </c>
      <c r="F466" s="54" t="s">
        <v>1373</v>
      </c>
      <c r="G466" s="54" t="s">
        <v>1374</v>
      </c>
      <c r="H466" s="54" t="n">
        <v>2</v>
      </c>
      <c r="I466" s="54" t="s">
        <v>295</v>
      </c>
      <c r="J466" s="54" t="s">
        <v>1370</v>
      </c>
    </row>
    <row r="467" customFormat="false" ht="15" hidden="false" customHeight="true" outlineLevel="0" collapsed="false">
      <c r="A467" s="54" t="n">
        <v>20260710</v>
      </c>
      <c r="B467" s="54" t="s">
        <v>306</v>
      </c>
      <c r="C467" s="54" t="s">
        <v>290</v>
      </c>
      <c r="D467" s="54" t="s">
        <v>1366</v>
      </c>
      <c r="E467" s="54" t="s">
        <v>1367</v>
      </c>
      <c r="F467" s="54" t="s">
        <v>1375</v>
      </c>
      <c r="G467" s="54" t="s">
        <v>1376</v>
      </c>
      <c r="H467" s="54" t="n">
        <v>12810</v>
      </c>
      <c r="I467" s="54" t="s">
        <v>295</v>
      </c>
      <c r="J467" s="54" t="s">
        <v>1370</v>
      </c>
    </row>
    <row r="468" customFormat="false" ht="15" hidden="false" customHeight="true" outlineLevel="0" collapsed="false">
      <c r="A468" s="54" t="n">
        <v>20260710</v>
      </c>
      <c r="B468" s="54" t="s">
        <v>592</v>
      </c>
      <c r="C468" s="54" t="s">
        <v>290</v>
      </c>
      <c r="D468" s="54" t="s">
        <v>1377</v>
      </c>
      <c r="E468" s="54" t="s">
        <v>1378</v>
      </c>
      <c r="F468" s="54" t="s">
        <v>1379</v>
      </c>
      <c r="G468" s="54" t="s">
        <v>1380</v>
      </c>
      <c r="H468" s="54" t="n">
        <v>11245</v>
      </c>
      <c r="I468" s="54" t="s">
        <v>295</v>
      </c>
      <c r="J468" s="54" t="s">
        <v>1381</v>
      </c>
    </row>
    <row r="469" customFormat="false" ht="15" hidden="false" customHeight="true" outlineLevel="0" collapsed="false">
      <c r="A469" s="54" t="n">
        <v>20260710</v>
      </c>
      <c r="B469" s="54" t="s">
        <v>592</v>
      </c>
      <c r="C469" s="54" t="s">
        <v>290</v>
      </c>
      <c r="D469" s="54" t="s">
        <v>1377</v>
      </c>
      <c r="E469" s="54" t="s">
        <v>1378</v>
      </c>
      <c r="F469" s="54" t="s">
        <v>1382</v>
      </c>
      <c r="G469" s="54" t="s">
        <v>1383</v>
      </c>
      <c r="H469" s="54" t="n">
        <v>4928</v>
      </c>
      <c r="I469" s="54" t="s">
        <v>295</v>
      </c>
      <c r="J469" s="54" t="s">
        <v>1381</v>
      </c>
    </row>
    <row r="470" customFormat="false" ht="15" hidden="false" customHeight="true" outlineLevel="0" collapsed="false">
      <c r="A470" s="54" t="n">
        <v>20260710</v>
      </c>
      <c r="B470" s="54" t="s">
        <v>592</v>
      </c>
      <c r="C470" s="54" t="s">
        <v>290</v>
      </c>
      <c r="D470" s="54" t="s">
        <v>1377</v>
      </c>
      <c r="E470" s="54" t="s">
        <v>1378</v>
      </c>
      <c r="F470" s="54" t="s">
        <v>1384</v>
      </c>
      <c r="G470" s="54" t="s">
        <v>533</v>
      </c>
      <c r="H470" s="54" t="n">
        <v>12245</v>
      </c>
      <c r="I470" s="54" t="s">
        <v>295</v>
      </c>
      <c r="J470" s="54" t="s">
        <v>1381</v>
      </c>
    </row>
    <row r="471" customFormat="false" ht="15" hidden="false" customHeight="true" outlineLevel="0" collapsed="false">
      <c r="A471" s="54" t="n">
        <v>20260710</v>
      </c>
      <c r="B471" s="54" t="s">
        <v>306</v>
      </c>
      <c r="C471" s="54" t="s">
        <v>290</v>
      </c>
      <c r="D471" s="54" t="s">
        <v>1385</v>
      </c>
      <c r="E471" s="54" t="s">
        <v>1386</v>
      </c>
      <c r="F471" s="54" t="s">
        <v>1387</v>
      </c>
      <c r="G471" s="54" t="s">
        <v>1388</v>
      </c>
      <c r="H471" s="54" t="n">
        <v>28800</v>
      </c>
      <c r="I471" s="54" t="s">
        <v>295</v>
      </c>
      <c r="J471" s="54" t="s">
        <v>1265</v>
      </c>
    </row>
    <row r="472" customFormat="false" ht="15" hidden="false" customHeight="true" outlineLevel="0" collapsed="false">
      <c r="A472" s="54" t="n">
        <v>20260710</v>
      </c>
      <c r="B472" s="54" t="s">
        <v>306</v>
      </c>
      <c r="C472" s="54" t="s">
        <v>290</v>
      </c>
      <c r="D472" s="54" t="s">
        <v>1385</v>
      </c>
      <c r="E472" s="54" t="s">
        <v>1386</v>
      </c>
      <c r="F472" s="54" t="s">
        <v>1389</v>
      </c>
      <c r="G472" s="54" t="s">
        <v>1390</v>
      </c>
      <c r="H472" s="54" t="n">
        <v>2138</v>
      </c>
      <c r="I472" s="54" t="s">
        <v>295</v>
      </c>
      <c r="J472" s="54" t="s">
        <v>1265</v>
      </c>
    </row>
    <row r="473" customFormat="false" ht="15" hidden="false" customHeight="true" outlineLevel="0" collapsed="false">
      <c r="A473" s="54" t="n">
        <v>20260710</v>
      </c>
      <c r="B473" s="54" t="s">
        <v>168</v>
      </c>
      <c r="C473" s="54" t="s">
        <v>290</v>
      </c>
      <c r="D473" s="54" t="s">
        <v>1391</v>
      </c>
      <c r="E473" s="54" t="s">
        <v>1392</v>
      </c>
      <c r="F473" s="54" t="s">
        <v>1393</v>
      </c>
      <c r="G473" s="54" t="s">
        <v>1394</v>
      </c>
      <c r="H473" s="54" t="n">
        <v>12691</v>
      </c>
      <c r="I473" s="54" t="s">
        <v>295</v>
      </c>
      <c r="J473" s="54" t="s">
        <v>818</v>
      </c>
    </row>
    <row r="474" customFormat="false" ht="15" hidden="false" customHeight="true" outlineLevel="0" collapsed="false">
      <c r="A474" s="54" t="n">
        <v>20260710</v>
      </c>
      <c r="B474" s="54" t="s">
        <v>168</v>
      </c>
      <c r="C474" s="54" t="s">
        <v>290</v>
      </c>
      <c r="D474" s="54" t="s">
        <v>1391</v>
      </c>
      <c r="E474" s="54" t="s">
        <v>1392</v>
      </c>
      <c r="F474" s="54" t="s">
        <v>1395</v>
      </c>
      <c r="G474" s="54" t="s">
        <v>1396</v>
      </c>
      <c r="H474" s="54" t="n">
        <v>1002</v>
      </c>
      <c r="I474" s="54" t="s">
        <v>295</v>
      </c>
      <c r="J474" s="54" t="s">
        <v>818</v>
      </c>
    </row>
    <row r="475" customFormat="false" ht="15" hidden="false" customHeight="true" outlineLevel="0" collapsed="false">
      <c r="A475" s="54" t="n">
        <v>20260710</v>
      </c>
      <c r="B475" s="54" t="s">
        <v>168</v>
      </c>
      <c r="C475" s="54" t="s">
        <v>290</v>
      </c>
      <c r="D475" s="54" t="s">
        <v>1391</v>
      </c>
      <c r="E475" s="54" t="s">
        <v>1392</v>
      </c>
      <c r="F475" s="54" t="s">
        <v>1397</v>
      </c>
      <c r="G475" s="54" t="s">
        <v>942</v>
      </c>
      <c r="H475" s="54" t="n">
        <v>15082</v>
      </c>
      <c r="I475" s="54" t="s">
        <v>295</v>
      </c>
      <c r="J475" s="54" t="s">
        <v>818</v>
      </c>
    </row>
    <row r="476" customFormat="false" ht="15" hidden="false" customHeight="true" outlineLevel="0" collapsed="false">
      <c r="A476" s="54" t="n">
        <v>20260710</v>
      </c>
      <c r="B476" s="54" t="s">
        <v>535</v>
      </c>
      <c r="C476" s="54" t="s">
        <v>290</v>
      </c>
      <c r="D476" s="54" t="s">
        <v>1398</v>
      </c>
      <c r="E476" s="54" t="s">
        <v>1399</v>
      </c>
      <c r="F476" s="54" t="s">
        <v>784</v>
      </c>
      <c r="G476" s="54" t="s">
        <v>1400</v>
      </c>
      <c r="H476" s="54" t="n">
        <v>17947</v>
      </c>
      <c r="I476" s="54" t="s">
        <v>295</v>
      </c>
      <c r="J476" s="54" t="s">
        <v>811</v>
      </c>
    </row>
    <row r="477" customFormat="false" ht="15" hidden="false" customHeight="true" outlineLevel="0" collapsed="false">
      <c r="A477" s="54" t="n">
        <v>20260710</v>
      </c>
      <c r="B477" s="54" t="s">
        <v>535</v>
      </c>
      <c r="C477" s="54" t="s">
        <v>290</v>
      </c>
      <c r="D477" s="54" t="s">
        <v>1398</v>
      </c>
      <c r="E477" s="54" t="s">
        <v>1399</v>
      </c>
      <c r="F477" s="54" t="s">
        <v>1401</v>
      </c>
      <c r="G477" s="54" t="s">
        <v>1195</v>
      </c>
      <c r="H477" s="54" t="n">
        <v>10809</v>
      </c>
      <c r="I477" s="54" t="s">
        <v>295</v>
      </c>
      <c r="J477" s="54" t="s">
        <v>811</v>
      </c>
    </row>
    <row r="478" customFormat="false" ht="15" hidden="false" customHeight="true" outlineLevel="0" collapsed="false">
      <c r="A478" s="54" t="n">
        <v>20260710</v>
      </c>
      <c r="B478" s="54" t="s">
        <v>289</v>
      </c>
      <c r="C478" s="54" t="s">
        <v>290</v>
      </c>
      <c r="D478" s="54" t="s">
        <v>1402</v>
      </c>
      <c r="E478" s="54" t="s">
        <v>1403</v>
      </c>
      <c r="F478" s="54" t="s">
        <v>1404</v>
      </c>
      <c r="G478" s="54" t="s">
        <v>1405</v>
      </c>
      <c r="H478" s="54" t="n">
        <v>4</v>
      </c>
      <c r="I478" s="54" t="s">
        <v>295</v>
      </c>
      <c r="J478" s="54" t="s">
        <v>874</v>
      </c>
    </row>
    <row r="479" customFormat="false" ht="15" hidden="false" customHeight="true" outlineLevel="0" collapsed="false">
      <c r="A479" s="54" t="n">
        <v>20260710</v>
      </c>
      <c r="B479" s="54" t="s">
        <v>289</v>
      </c>
      <c r="C479" s="54" t="s">
        <v>290</v>
      </c>
      <c r="D479" s="54" t="s">
        <v>1402</v>
      </c>
      <c r="E479" s="54" t="s">
        <v>1403</v>
      </c>
      <c r="F479" s="54" t="s">
        <v>567</v>
      </c>
      <c r="G479" s="54" t="s">
        <v>1406</v>
      </c>
      <c r="H479" s="54" t="n">
        <v>14565</v>
      </c>
      <c r="I479" s="54" t="s">
        <v>295</v>
      </c>
      <c r="J479" s="54" t="s">
        <v>874</v>
      </c>
    </row>
    <row r="480" customFormat="false" ht="15" hidden="false" customHeight="true" outlineLevel="0" collapsed="false">
      <c r="A480" s="54" t="n">
        <v>20260710</v>
      </c>
      <c r="B480" s="54" t="s">
        <v>289</v>
      </c>
      <c r="C480" s="54" t="s">
        <v>290</v>
      </c>
      <c r="D480" s="54" t="s">
        <v>1402</v>
      </c>
      <c r="E480" s="54" t="s">
        <v>1403</v>
      </c>
      <c r="F480" s="54" t="s">
        <v>1407</v>
      </c>
      <c r="G480" s="54" t="s">
        <v>1408</v>
      </c>
      <c r="H480" s="54" t="n">
        <v>14327</v>
      </c>
      <c r="I480" s="54" t="s">
        <v>295</v>
      </c>
      <c r="J480" s="54" t="s">
        <v>874</v>
      </c>
    </row>
    <row r="481" customFormat="false" ht="15" hidden="false" customHeight="true" outlineLevel="0" collapsed="false">
      <c r="A481" s="54" t="n">
        <v>20260710</v>
      </c>
      <c r="B481" s="54" t="s">
        <v>535</v>
      </c>
      <c r="C481" s="54" t="s">
        <v>290</v>
      </c>
      <c r="D481" s="54" t="s">
        <v>1409</v>
      </c>
      <c r="E481" s="54" t="s">
        <v>1410</v>
      </c>
      <c r="F481" s="54" t="s">
        <v>1411</v>
      </c>
      <c r="G481" s="54" t="s">
        <v>1412</v>
      </c>
      <c r="H481" s="54" t="n">
        <v>15299</v>
      </c>
      <c r="I481" s="54" t="s">
        <v>295</v>
      </c>
      <c r="J481" s="54" t="s">
        <v>677</v>
      </c>
    </row>
    <row r="482" customFormat="false" ht="15" hidden="false" customHeight="true" outlineLevel="0" collapsed="false">
      <c r="A482" s="54" t="n">
        <v>20260710</v>
      </c>
      <c r="B482" s="54" t="s">
        <v>535</v>
      </c>
      <c r="C482" s="54" t="s">
        <v>290</v>
      </c>
      <c r="D482" s="54" t="s">
        <v>1409</v>
      </c>
      <c r="E482" s="54" t="s">
        <v>1410</v>
      </c>
      <c r="F482" s="54" t="s">
        <v>1413</v>
      </c>
      <c r="G482" s="54" t="s">
        <v>1414</v>
      </c>
      <c r="H482" s="54" t="n">
        <v>2824</v>
      </c>
      <c r="I482" s="54" t="s">
        <v>295</v>
      </c>
      <c r="J482" s="54" t="s">
        <v>677</v>
      </c>
    </row>
    <row r="483" customFormat="false" ht="15" hidden="false" customHeight="true" outlineLevel="0" collapsed="false">
      <c r="A483" s="54" t="n">
        <v>20260710</v>
      </c>
      <c r="B483" s="54" t="s">
        <v>535</v>
      </c>
      <c r="C483" s="54" t="s">
        <v>290</v>
      </c>
      <c r="D483" s="54" t="s">
        <v>1409</v>
      </c>
      <c r="E483" s="54" t="s">
        <v>1410</v>
      </c>
      <c r="F483" s="54" t="s">
        <v>1415</v>
      </c>
      <c r="G483" s="54" t="s">
        <v>1416</v>
      </c>
      <c r="H483" s="54" t="n">
        <v>24</v>
      </c>
      <c r="I483" s="54" t="s">
        <v>295</v>
      </c>
      <c r="J483" s="54" t="s">
        <v>677</v>
      </c>
    </row>
    <row r="484" customFormat="false" ht="15" hidden="false" customHeight="true" outlineLevel="0" collapsed="false">
      <c r="A484" s="54" t="n">
        <v>20260710</v>
      </c>
      <c r="B484" s="54" t="s">
        <v>535</v>
      </c>
      <c r="C484" s="54" t="s">
        <v>290</v>
      </c>
      <c r="D484" s="54" t="s">
        <v>1409</v>
      </c>
      <c r="E484" s="54" t="s">
        <v>1410</v>
      </c>
      <c r="F484" s="54" t="s">
        <v>1417</v>
      </c>
      <c r="G484" s="54" t="s">
        <v>709</v>
      </c>
      <c r="H484" s="54" t="n">
        <v>10748</v>
      </c>
      <c r="I484" s="54" t="s">
        <v>295</v>
      </c>
      <c r="J484" s="54" t="s">
        <v>677</v>
      </c>
    </row>
    <row r="485" customFormat="false" ht="15" hidden="false" customHeight="true" outlineLevel="0" collapsed="false">
      <c r="A485" s="54" t="n">
        <v>20260710</v>
      </c>
      <c r="B485" s="54" t="s">
        <v>306</v>
      </c>
      <c r="C485" s="54" t="s">
        <v>290</v>
      </c>
      <c r="D485" s="54" t="s">
        <v>1418</v>
      </c>
      <c r="E485" s="54" t="s">
        <v>1419</v>
      </c>
      <c r="F485" s="54" t="s">
        <v>1420</v>
      </c>
      <c r="G485" s="54" t="s">
        <v>1421</v>
      </c>
      <c r="H485" s="54" t="n">
        <v>21966</v>
      </c>
      <c r="I485" s="54" t="s">
        <v>295</v>
      </c>
      <c r="J485" s="54" t="s">
        <v>368</v>
      </c>
    </row>
    <row r="486" customFormat="false" ht="15" hidden="false" customHeight="true" outlineLevel="0" collapsed="false">
      <c r="A486" s="54" t="n">
        <v>20260710</v>
      </c>
      <c r="B486" s="54" t="s">
        <v>306</v>
      </c>
      <c r="C486" s="54" t="s">
        <v>290</v>
      </c>
      <c r="D486" s="54" t="s">
        <v>1418</v>
      </c>
      <c r="E486" s="54" t="s">
        <v>1419</v>
      </c>
      <c r="F486" s="54" t="s">
        <v>1422</v>
      </c>
      <c r="G486" s="54" t="s">
        <v>1423</v>
      </c>
      <c r="H486" s="54" t="n">
        <v>21968</v>
      </c>
      <c r="I486" s="54" t="s">
        <v>315</v>
      </c>
      <c r="J486" s="54" t="s">
        <v>368</v>
      </c>
    </row>
    <row r="487" customFormat="false" ht="15" hidden="false" customHeight="true" outlineLevel="0" collapsed="false">
      <c r="A487" s="54" t="n">
        <v>20260710</v>
      </c>
      <c r="B487" s="54" t="s">
        <v>306</v>
      </c>
      <c r="C487" s="54" t="s">
        <v>290</v>
      </c>
      <c r="D487" s="54" t="s">
        <v>1418</v>
      </c>
      <c r="E487" s="54" t="s">
        <v>1419</v>
      </c>
      <c r="F487" s="54" t="s">
        <v>1424</v>
      </c>
      <c r="G487" s="54" t="s">
        <v>1425</v>
      </c>
      <c r="H487" s="54" t="n">
        <v>6933</v>
      </c>
      <c r="I487" s="54" t="s">
        <v>295</v>
      </c>
      <c r="J487" s="54" t="s">
        <v>368</v>
      </c>
    </row>
    <row r="488" customFormat="false" ht="15" hidden="false" customHeight="true" outlineLevel="0" collapsed="false">
      <c r="A488" s="54" t="n">
        <v>20260710</v>
      </c>
      <c r="B488" s="54" t="s">
        <v>306</v>
      </c>
      <c r="C488" s="54" t="s">
        <v>290</v>
      </c>
      <c r="D488" s="54" t="s">
        <v>1418</v>
      </c>
      <c r="E488" s="54" t="s">
        <v>1419</v>
      </c>
      <c r="F488" s="54" t="s">
        <v>1424</v>
      </c>
      <c r="G488" s="54" t="s">
        <v>1426</v>
      </c>
      <c r="H488" s="54" t="n">
        <v>6935</v>
      </c>
      <c r="I488" s="54" t="s">
        <v>315</v>
      </c>
      <c r="J488" s="54" t="s">
        <v>368</v>
      </c>
    </row>
    <row r="489" customFormat="false" ht="15" hidden="false" customHeight="true" outlineLevel="0" collapsed="false">
      <c r="A489" s="54" t="n">
        <v>20260710</v>
      </c>
      <c r="B489" s="54" t="s">
        <v>289</v>
      </c>
      <c r="C489" s="54" t="s">
        <v>290</v>
      </c>
      <c r="D489" s="54" t="s">
        <v>1427</v>
      </c>
      <c r="E489" s="54" t="s">
        <v>1428</v>
      </c>
      <c r="F489" s="54" t="s">
        <v>1429</v>
      </c>
      <c r="G489" s="54" t="s">
        <v>1430</v>
      </c>
      <c r="H489" s="54" t="n">
        <v>16088</v>
      </c>
      <c r="I489" s="54" t="s">
        <v>295</v>
      </c>
      <c r="J489" s="54" t="s">
        <v>1431</v>
      </c>
    </row>
    <row r="490" customFormat="false" ht="15" hidden="false" customHeight="true" outlineLevel="0" collapsed="false">
      <c r="A490" s="54" t="n">
        <v>20260710</v>
      </c>
      <c r="B490" s="54" t="s">
        <v>289</v>
      </c>
      <c r="C490" s="54" t="s">
        <v>290</v>
      </c>
      <c r="D490" s="54" t="s">
        <v>1427</v>
      </c>
      <c r="E490" s="54" t="s">
        <v>1428</v>
      </c>
      <c r="F490" s="54" t="s">
        <v>1432</v>
      </c>
      <c r="G490" s="54" t="s">
        <v>1433</v>
      </c>
      <c r="H490" s="54" t="n">
        <v>2367</v>
      </c>
      <c r="I490" s="54" t="s">
        <v>295</v>
      </c>
      <c r="J490" s="54" t="s">
        <v>1431</v>
      </c>
    </row>
    <row r="491" customFormat="false" ht="15" hidden="false" customHeight="true" outlineLevel="0" collapsed="false">
      <c r="A491" s="54" t="n">
        <v>20260710</v>
      </c>
      <c r="B491" s="54" t="s">
        <v>289</v>
      </c>
      <c r="C491" s="54" t="s">
        <v>290</v>
      </c>
      <c r="D491" s="54" t="s">
        <v>1427</v>
      </c>
      <c r="E491" s="54" t="s">
        <v>1428</v>
      </c>
      <c r="F491" s="54" t="s">
        <v>1434</v>
      </c>
      <c r="G491" s="54" t="s">
        <v>1435</v>
      </c>
      <c r="H491" s="54" t="n">
        <v>358</v>
      </c>
      <c r="I491" s="54" t="s">
        <v>295</v>
      </c>
      <c r="J491" s="54" t="s">
        <v>1431</v>
      </c>
    </row>
    <row r="492" customFormat="false" ht="15" hidden="false" customHeight="true" outlineLevel="0" collapsed="false">
      <c r="A492" s="54" t="n">
        <v>20260710</v>
      </c>
      <c r="B492" s="54" t="s">
        <v>289</v>
      </c>
      <c r="C492" s="54" t="s">
        <v>290</v>
      </c>
      <c r="D492" s="54" t="s">
        <v>1427</v>
      </c>
      <c r="E492" s="54" t="s">
        <v>1428</v>
      </c>
      <c r="F492" s="54" t="s">
        <v>1436</v>
      </c>
      <c r="G492" s="54" t="s">
        <v>766</v>
      </c>
      <c r="H492" s="54" t="n">
        <v>9309</v>
      </c>
      <c r="I492" s="54" t="s">
        <v>295</v>
      </c>
      <c r="J492" s="54" t="s">
        <v>1431</v>
      </c>
    </row>
    <row r="493" customFormat="false" ht="15" hidden="false" customHeight="true" outlineLevel="0" collapsed="false">
      <c r="A493" s="54" t="n">
        <v>20260710</v>
      </c>
      <c r="B493" s="54" t="s">
        <v>289</v>
      </c>
      <c r="C493" s="54" t="s">
        <v>307</v>
      </c>
      <c r="D493" s="54" t="s">
        <v>1437</v>
      </c>
      <c r="E493" s="54" t="s">
        <v>1438</v>
      </c>
      <c r="F493" s="54" t="s">
        <v>1439</v>
      </c>
      <c r="G493" s="54" t="s">
        <v>1440</v>
      </c>
      <c r="H493" s="54" t="n">
        <v>17234</v>
      </c>
      <c r="I493" s="54" t="s">
        <v>295</v>
      </c>
      <c r="J493" s="54" t="s">
        <v>1441</v>
      </c>
    </row>
    <row r="494" customFormat="false" ht="15" hidden="false" customHeight="true" outlineLevel="0" collapsed="false">
      <c r="A494" s="54" t="n">
        <v>20260710</v>
      </c>
      <c r="B494" s="54" t="s">
        <v>289</v>
      </c>
      <c r="C494" s="54" t="s">
        <v>307</v>
      </c>
      <c r="D494" s="54" t="s">
        <v>1437</v>
      </c>
      <c r="E494" s="54" t="s">
        <v>1438</v>
      </c>
      <c r="F494" s="54" t="s">
        <v>1442</v>
      </c>
      <c r="G494" s="54" t="s">
        <v>905</v>
      </c>
      <c r="H494" s="54" t="n">
        <v>6487</v>
      </c>
      <c r="I494" s="54" t="s">
        <v>295</v>
      </c>
      <c r="J494" s="54" t="s">
        <v>1441</v>
      </c>
    </row>
    <row r="495" customFormat="false" ht="15" hidden="false" customHeight="true" outlineLevel="0" collapsed="false">
      <c r="A495" s="54" t="n">
        <v>20260710</v>
      </c>
      <c r="B495" s="54" t="s">
        <v>289</v>
      </c>
      <c r="C495" s="54" t="s">
        <v>290</v>
      </c>
      <c r="D495" s="54" t="s">
        <v>1443</v>
      </c>
      <c r="E495" s="54" t="s">
        <v>1444</v>
      </c>
      <c r="F495" s="54" t="s">
        <v>1445</v>
      </c>
      <c r="G495" s="54" t="s">
        <v>1446</v>
      </c>
      <c r="H495" s="54" t="n">
        <v>18194</v>
      </c>
      <c r="I495" s="54" t="s">
        <v>295</v>
      </c>
      <c r="J495" s="54" t="s">
        <v>509</v>
      </c>
    </row>
    <row r="496" customFormat="false" ht="15" hidden="false" customHeight="true" outlineLevel="0" collapsed="false">
      <c r="A496" s="54" t="n">
        <v>20260710</v>
      </c>
      <c r="B496" s="54" t="s">
        <v>289</v>
      </c>
      <c r="C496" s="54" t="s">
        <v>290</v>
      </c>
      <c r="D496" s="54" t="s">
        <v>1443</v>
      </c>
      <c r="E496" s="54" t="s">
        <v>1444</v>
      </c>
      <c r="F496" s="54" t="s">
        <v>1447</v>
      </c>
      <c r="G496" s="54" t="s">
        <v>1448</v>
      </c>
      <c r="H496" s="54" t="n">
        <v>10469</v>
      </c>
      <c r="I496" s="54" t="s">
        <v>295</v>
      </c>
      <c r="J496" s="54" t="s">
        <v>509</v>
      </c>
    </row>
    <row r="497" customFormat="false" ht="15" hidden="false" customHeight="true" outlineLevel="0" collapsed="false">
      <c r="A497" s="54" t="n">
        <v>20260710</v>
      </c>
      <c r="B497" s="54" t="s">
        <v>535</v>
      </c>
      <c r="C497" s="54" t="s">
        <v>290</v>
      </c>
      <c r="D497" s="54" t="s">
        <v>1449</v>
      </c>
      <c r="E497" s="54" t="s">
        <v>1450</v>
      </c>
      <c r="F497" s="54" t="s">
        <v>1451</v>
      </c>
      <c r="G497" s="54" t="s">
        <v>903</v>
      </c>
      <c r="H497" s="54" t="n">
        <v>18002</v>
      </c>
      <c r="I497" s="54" t="s">
        <v>295</v>
      </c>
      <c r="J497" s="54" t="s">
        <v>1452</v>
      </c>
    </row>
    <row r="498" customFormat="false" ht="15" hidden="false" customHeight="true" outlineLevel="0" collapsed="false">
      <c r="A498" s="54" t="n">
        <v>20260710</v>
      </c>
      <c r="B498" s="54" t="s">
        <v>535</v>
      </c>
      <c r="C498" s="54" t="s">
        <v>290</v>
      </c>
      <c r="D498" s="54" t="s">
        <v>1449</v>
      </c>
      <c r="E498" s="54" t="s">
        <v>1450</v>
      </c>
      <c r="F498" s="54" t="s">
        <v>1453</v>
      </c>
      <c r="G498" s="54" t="s">
        <v>1350</v>
      </c>
      <c r="H498" s="54" t="n">
        <v>10800</v>
      </c>
      <c r="I498" s="54" t="s">
        <v>295</v>
      </c>
      <c r="J498" s="54" t="s">
        <v>1452</v>
      </c>
    </row>
    <row r="499" customFormat="false" ht="15" hidden="false" customHeight="true" outlineLevel="0" collapsed="false">
      <c r="A499" s="54" t="n">
        <v>20260710</v>
      </c>
      <c r="B499" s="54" t="s">
        <v>289</v>
      </c>
      <c r="C499" s="54" t="s">
        <v>290</v>
      </c>
      <c r="D499" s="54" t="s">
        <v>1454</v>
      </c>
      <c r="E499" s="54" t="s">
        <v>1455</v>
      </c>
      <c r="F499" s="54" t="s">
        <v>1014</v>
      </c>
      <c r="G499" s="54" t="s">
        <v>1456</v>
      </c>
      <c r="H499" s="54" t="n">
        <v>18962</v>
      </c>
      <c r="I499" s="54" t="s">
        <v>295</v>
      </c>
      <c r="J499" s="54" t="s">
        <v>407</v>
      </c>
    </row>
    <row r="500" customFormat="false" ht="15" hidden="false" customHeight="true" outlineLevel="0" collapsed="false">
      <c r="A500" s="54" t="n">
        <v>20260710</v>
      </c>
      <c r="B500" s="54" t="s">
        <v>289</v>
      </c>
      <c r="C500" s="54" t="s">
        <v>290</v>
      </c>
      <c r="D500" s="54" t="s">
        <v>1454</v>
      </c>
      <c r="E500" s="54" t="s">
        <v>1455</v>
      </c>
      <c r="F500" s="54" t="s">
        <v>1457</v>
      </c>
      <c r="G500" s="54" t="s">
        <v>1458</v>
      </c>
      <c r="H500" s="54" t="n">
        <v>10450</v>
      </c>
      <c r="I500" s="54" t="s">
        <v>295</v>
      </c>
      <c r="J500" s="54" t="s">
        <v>407</v>
      </c>
    </row>
    <row r="501" customFormat="false" ht="15" hidden="false" customHeight="true" outlineLevel="0" collapsed="false">
      <c r="A501" s="54" t="n">
        <v>20260710</v>
      </c>
      <c r="B501" s="54" t="s">
        <v>289</v>
      </c>
      <c r="C501" s="54" t="s">
        <v>290</v>
      </c>
      <c r="D501" s="54" t="s">
        <v>1459</v>
      </c>
      <c r="E501" s="54" t="s">
        <v>1460</v>
      </c>
      <c r="F501" s="54" t="s">
        <v>1461</v>
      </c>
      <c r="G501" s="54" t="s">
        <v>1462</v>
      </c>
      <c r="H501" s="54" t="n">
        <v>852</v>
      </c>
      <c r="I501" s="54" t="s">
        <v>295</v>
      </c>
      <c r="J501" s="54" t="s">
        <v>1463</v>
      </c>
    </row>
    <row r="502" customFormat="false" ht="15" hidden="false" customHeight="true" outlineLevel="0" collapsed="false">
      <c r="A502" s="54" t="n">
        <v>20260710</v>
      </c>
      <c r="B502" s="54" t="s">
        <v>289</v>
      </c>
      <c r="C502" s="54" t="s">
        <v>290</v>
      </c>
      <c r="D502" s="54" t="s">
        <v>1459</v>
      </c>
      <c r="E502" s="54" t="s">
        <v>1460</v>
      </c>
      <c r="F502" s="54" t="s">
        <v>1464</v>
      </c>
      <c r="G502" s="54" t="s">
        <v>1465</v>
      </c>
      <c r="H502" s="54" t="n">
        <v>13552</v>
      </c>
      <c r="I502" s="54" t="s">
        <v>295</v>
      </c>
      <c r="J502" s="54" t="s">
        <v>1463</v>
      </c>
    </row>
    <row r="503" customFormat="false" ht="15" hidden="false" customHeight="true" outlineLevel="0" collapsed="false">
      <c r="A503" s="54" t="n">
        <v>20260710</v>
      </c>
      <c r="B503" s="54" t="s">
        <v>289</v>
      </c>
      <c r="C503" s="54" t="s">
        <v>290</v>
      </c>
      <c r="D503" s="54" t="s">
        <v>1459</v>
      </c>
      <c r="E503" s="54" t="s">
        <v>1460</v>
      </c>
      <c r="F503" s="54" t="s">
        <v>1466</v>
      </c>
      <c r="G503" s="54" t="s">
        <v>905</v>
      </c>
      <c r="H503" s="54" t="n">
        <v>14436</v>
      </c>
      <c r="I503" s="54" t="s">
        <v>295</v>
      </c>
      <c r="J503" s="54" t="s">
        <v>1463</v>
      </c>
    </row>
    <row r="504" customFormat="false" ht="15" hidden="false" customHeight="true" outlineLevel="0" collapsed="false">
      <c r="A504" s="54" t="n">
        <v>20260710</v>
      </c>
      <c r="B504" s="54" t="s">
        <v>289</v>
      </c>
      <c r="C504" s="54" t="s">
        <v>290</v>
      </c>
      <c r="D504" s="54" t="s">
        <v>1467</v>
      </c>
      <c r="E504" s="54" t="s">
        <v>1468</v>
      </c>
      <c r="F504" s="54" t="s">
        <v>957</v>
      </c>
      <c r="G504" s="54" t="s">
        <v>1469</v>
      </c>
      <c r="H504" s="54" t="n">
        <v>14536</v>
      </c>
      <c r="I504" s="54" t="s">
        <v>295</v>
      </c>
      <c r="J504" s="54" t="s">
        <v>1463</v>
      </c>
    </row>
    <row r="505" customFormat="false" ht="15" hidden="false" customHeight="true" outlineLevel="0" collapsed="false">
      <c r="A505" s="54" t="n">
        <v>20260710</v>
      </c>
      <c r="B505" s="54" t="s">
        <v>289</v>
      </c>
      <c r="C505" s="54" t="s">
        <v>290</v>
      </c>
      <c r="D505" s="54" t="s">
        <v>1467</v>
      </c>
      <c r="E505" s="54" t="s">
        <v>1468</v>
      </c>
      <c r="F505" s="54" t="s">
        <v>1470</v>
      </c>
      <c r="G505" s="54" t="s">
        <v>1471</v>
      </c>
      <c r="H505" s="54" t="n">
        <v>14790</v>
      </c>
      <c r="I505" s="54" t="s">
        <v>295</v>
      </c>
      <c r="J505" s="54" t="s">
        <v>1463</v>
      </c>
    </row>
    <row r="506" customFormat="false" ht="15" hidden="false" customHeight="true" outlineLevel="0" collapsed="false">
      <c r="A506" s="54" t="n">
        <v>20260710</v>
      </c>
      <c r="B506" s="54" t="s">
        <v>289</v>
      </c>
      <c r="C506" s="54" t="s">
        <v>307</v>
      </c>
      <c r="D506" s="54" t="s">
        <v>1472</v>
      </c>
      <c r="E506" s="54" t="s">
        <v>1473</v>
      </c>
      <c r="F506" s="54" t="s">
        <v>1474</v>
      </c>
      <c r="G506" s="54" t="s">
        <v>1475</v>
      </c>
      <c r="H506" s="54" t="n">
        <v>8009</v>
      </c>
      <c r="I506" s="54" t="s">
        <v>295</v>
      </c>
      <c r="J506" s="54" t="s">
        <v>707</v>
      </c>
    </row>
    <row r="507" customFormat="false" ht="15" hidden="false" customHeight="true" outlineLevel="0" collapsed="false">
      <c r="A507" s="54" t="n">
        <v>20260710</v>
      </c>
      <c r="B507" s="54" t="s">
        <v>289</v>
      </c>
      <c r="C507" s="54" t="s">
        <v>307</v>
      </c>
      <c r="D507" s="54" t="s">
        <v>1472</v>
      </c>
      <c r="E507" s="54" t="s">
        <v>1473</v>
      </c>
      <c r="F507" s="54" t="s">
        <v>1476</v>
      </c>
      <c r="G507" s="54" t="s">
        <v>1477</v>
      </c>
      <c r="H507" s="54" t="n">
        <v>6834</v>
      </c>
      <c r="I507" s="54" t="s">
        <v>295</v>
      </c>
      <c r="J507" s="54" t="s">
        <v>707</v>
      </c>
    </row>
    <row r="508" customFormat="false" ht="15" hidden="false" customHeight="true" outlineLevel="0" collapsed="false">
      <c r="A508" s="54" t="n">
        <v>20260710</v>
      </c>
      <c r="B508" s="54" t="s">
        <v>289</v>
      </c>
      <c r="C508" s="54" t="s">
        <v>307</v>
      </c>
      <c r="D508" s="54" t="s">
        <v>1472</v>
      </c>
      <c r="E508" s="54" t="s">
        <v>1473</v>
      </c>
      <c r="F508" s="54" t="s">
        <v>1478</v>
      </c>
      <c r="G508" s="54" t="s">
        <v>1479</v>
      </c>
      <c r="H508" s="54" t="n">
        <v>13999</v>
      </c>
      <c r="I508" s="54" t="s">
        <v>295</v>
      </c>
      <c r="J508" s="54" t="s">
        <v>707</v>
      </c>
    </row>
    <row r="509" customFormat="false" ht="15" hidden="false" customHeight="true" outlineLevel="0" collapsed="false">
      <c r="A509" s="54" t="n">
        <v>20260710</v>
      </c>
      <c r="B509" s="54" t="s">
        <v>289</v>
      </c>
      <c r="C509" s="54" t="s">
        <v>290</v>
      </c>
      <c r="D509" s="54" t="s">
        <v>1480</v>
      </c>
      <c r="E509" s="54" t="s">
        <v>1481</v>
      </c>
      <c r="F509" s="54" t="s">
        <v>1482</v>
      </c>
      <c r="G509" s="54" t="s">
        <v>1483</v>
      </c>
      <c r="H509" s="54" t="n">
        <v>17982</v>
      </c>
      <c r="I509" s="54" t="s">
        <v>360</v>
      </c>
      <c r="J509" s="54" t="s">
        <v>569</v>
      </c>
    </row>
    <row r="510" customFormat="false" ht="15" hidden="false" customHeight="true" outlineLevel="0" collapsed="false">
      <c r="A510" s="54" t="n">
        <v>20260710</v>
      </c>
      <c r="B510" s="54" t="s">
        <v>289</v>
      </c>
      <c r="C510" s="54" t="s">
        <v>290</v>
      </c>
      <c r="D510" s="54" t="s">
        <v>1480</v>
      </c>
      <c r="E510" s="54" t="s">
        <v>1481</v>
      </c>
      <c r="F510" s="54" t="s">
        <v>1482</v>
      </c>
      <c r="G510" s="54" t="s">
        <v>1483</v>
      </c>
      <c r="H510" s="54" t="n">
        <v>17982</v>
      </c>
      <c r="I510" s="54" t="s">
        <v>295</v>
      </c>
      <c r="J510" s="54" t="s">
        <v>569</v>
      </c>
    </row>
    <row r="511" customFormat="false" ht="15" hidden="false" customHeight="true" outlineLevel="0" collapsed="false">
      <c r="A511" s="54" t="n">
        <v>20260710</v>
      </c>
      <c r="B511" s="54" t="s">
        <v>289</v>
      </c>
      <c r="C511" s="54" t="s">
        <v>290</v>
      </c>
      <c r="D511" s="54" t="s">
        <v>1480</v>
      </c>
      <c r="E511" s="54" t="s">
        <v>1481</v>
      </c>
      <c r="F511" s="54" t="s">
        <v>1484</v>
      </c>
      <c r="G511" s="54" t="s">
        <v>1485</v>
      </c>
      <c r="H511" s="54" t="n">
        <v>10795</v>
      </c>
      <c r="I511" s="54" t="s">
        <v>360</v>
      </c>
      <c r="J511" s="54" t="s">
        <v>569</v>
      </c>
    </row>
    <row r="512" customFormat="false" ht="15" hidden="false" customHeight="true" outlineLevel="0" collapsed="false">
      <c r="A512" s="54" t="n">
        <v>20260710</v>
      </c>
      <c r="B512" s="54" t="s">
        <v>289</v>
      </c>
      <c r="C512" s="54" t="s">
        <v>290</v>
      </c>
      <c r="D512" s="54" t="s">
        <v>1480</v>
      </c>
      <c r="E512" s="54" t="s">
        <v>1481</v>
      </c>
      <c r="F512" s="54" t="s">
        <v>1484</v>
      </c>
      <c r="G512" s="54" t="s">
        <v>1485</v>
      </c>
      <c r="H512" s="54" t="n">
        <v>10795</v>
      </c>
      <c r="I512" s="54" t="s">
        <v>295</v>
      </c>
      <c r="J512" s="54" t="s">
        <v>569</v>
      </c>
    </row>
    <row r="513" customFormat="false" ht="15" hidden="false" customHeight="true" outlineLevel="0" collapsed="false">
      <c r="A513" s="54" t="n">
        <v>20260710</v>
      </c>
      <c r="B513" s="54" t="s">
        <v>289</v>
      </c>
      <c r="C513" s="54" t="s">
        <v>290</v>
      </c>
      <c r="D513" s="54" t="s">
        <v>1486</v>
      </c>
      <c r="E513" s="54" t="s">
        <v>1487</v>
      </c>
      <c r="F513" s="54" t="s">
        <v>1488</v>
      </c>
      <c r="G513" s="54" t="s">
        <v>1489</v>
      </c>
      <c r="H513" s="54" t="n">
        <v>2987</v>
      </c>
      <c r="I513" s="54" t="s">
        <v>295</v>
      </c>
      <c r="J513" s="54" t="s">
        <v>303</v>
      </c>
    </row>
    <row r="514" customFormat="false" ht="15" hidden="false" customHeight="true" outlineLevel="0" collapsed="false">
      <c r="A514" s="54" t="n">
        <v>20260710</v>
      </c>
      <c r="B514" s="54" t="s">
        <v>289</v>
      </c>
      <c r="C514" s="54" t="s">
        <v>290</v>
      </c>
      <c r="D514" s="54" t="s">
        <v>1486</v>
      </c>
      <c r="E514" s="54" t="s">
        <v>1487</v>
      </c>
      <c r="F514" s="54" t="s">
        <v>1490</v>
      </c>
      <c r="G514" s="54" t="s">
        <v>1491</v>
      </c>
      <c r="H514" s="54" t="n">
        <v>13</v>
      </c>
      <c r="I514" s="54" t="s">
        <v>295</v>
      </c>
      <c r="J514" s="54" t="s">
        <v>303</v>
      </c>
    </row>
    <row r="515" customFormat="false" ht="15" hidden="false" customHeight="true" outlineLevel="0" collapsed="false">
      <c r="A515" s="54" t="n">
        <v>20260710</v>
      </c>
      <c r="B515" s="54" t="s">
        <v>289</v>
      </c>
      <c r="C515" s="54" t="s">
        <v>290</v>
      </c>
      <c r="D515" s="54" t="s">
        <v>1486</v>
      </c>
      <c r="E515" s="54" t="s">
        <v>1487</v>
      </c>
      <c r="F515" s="54" t="s">
        <v>1492</v>
      </c>
      <c r="G515" s="54" t="s">
        <v>1493</v>
      </c>
      <c r="H515" s="54" t="n">
        <v>19034</v>
      </c>
      <c r="I515" s="54" t="s">
        <v>295</v>
      </c>
      <c r="J515" s="54" t="s">
        <v>303</v>
      </c>
    </row>
    <row r="516" customFormat="false" ht="15" hidden="false" customHeight="true" outlineLevel="0" collapsed="false">
      <c r="A516" s="54" t="n">
        <v>20260710</v>
      </c>
      <c r="B516" s="54" t="s">
        <v>289</v>
      </c>
      <c r="C516" s="54" t="s">
        <v>290</v>
      </c>
      <c r="D516" s="54" t="s">
        <v>1486</v>
      </c>
      <c r="E516" s="54" t="s">
        <v>1487</v>
      </c>
      <c r="F516" s="54" t="s">
        <v>787</v>
      </c>
      <c r="G516" s="54" t="s">
        <v>1494</v>
      </c>
      <c r="H516" s="54" t="n">
        <v>10921</v>
      </c>
      <c r="I516" s="54" t="s">
        <v>295</v>
      </c>
      <c r="J516" s="54" t="s">
        <v>303</v>
      </c>
    </row>
    <row r="517" customFormat="false" ht="15" hidden="false" customHeight="true" outlineLevel="0" collapsed="false">
      <c r="A517" s="54" t="n">
        <v>20260710</v>
      </c>
      <c r="B517" s="54" t="s">
        <v>592</v>
      </c>
      <c r="C517" s="54" t="s">
        <v>290</v>
      </c>
      <c r="D517" s="54" t="s">
        <v>1495</v>
      </c>
      <c r="E517" s="54" t="s">
        <v>1496</v>
      </c>
      <c r="F517" s="54" t="s">
        <v>1497</v>
      </c>
      <c r="G517" s="54" t="s">
        <v>1498</v>
      </c>
      <c r="H517" s="54" t="n">
        <v>11</v>
      </c>
      <c r="I517" s="54" t="s">
        <v>295</v>
      </c>
      <c r="J517" s="54" t="s">
        <v>597</v>
      </c>
    </row>
    <row r="518" customFormat="false" ht="15" hidden="false" customHeight="true" outlineLevel="0" collapsed="false">
      <c r="A518" s="54" t="n">
        <v>20260710</v>
      </c>
      <c r="B518" s="54" t="s">
        <v>592</v>
      </c>
      <c r="C518" s="54" t="s">
        <v>290</v>
      </c>
      <c r="D518" s="54" t="s">
        <v>1495</v>
      </c>
      <c r="E518" s="54" t="s">
        <v>1496</v>
      </c>
      <c r="F518" s="54" t="s">
        <v>1499</v>
      </c>
      <c r="G518" s="54" t="s">
        <v>1500</v>
      </c>
      <c r="H518" s="54" t="n">
        <v>18157</v>
      </c>
      <c r="I518" s="54" t="s">
        <v>295</v>
      </c>
      <c r="J518" s="54" t="s">
        <v>597</v>
      </c>
    </row>
    <row r="519" customFormat="false" ht="15" hidden="false" customHeight="true" outlineLevel="0" collapsed="false">
      <c r="A519" s="54" t="n">
        <v>20260710</v>
      </c>
      <c r="B519" s="54" t="s">
        <v>592</v>
      </c>
      <c r="C519" s="54" t="s">
        <v>290</v>
      </c>
      <c r="D519" s="54" t="s">
        <v>1495</v>
      </c>
      <c r="E519" s="54" t="s">
        <v>1496</v>
      </c>
      <c r="F519" s="54" t="s">
        <v>1501</v>
      </c>
      <c r="G519" s="54" t="s">
        <v>1502</v>
      </c>
      <c r="H519" s="54" t="n">
        <v>10747</v>
      </c>
      <c r="I519" s="54" t="s">
        <v>295</v>
      </c>
      <c r="J519" s="54" t="s">
        <v>597</v>
      </c>
    </row>
    <row r="520" customFormat="false" ht="15" hidden="false" customHeight="true" outlineLevel="0" collapsed="false">
      <c r="A520" s="54" t="n">
        <v>20260710</v>
      </c>
      <c r="B520" s="54" t="s">
        <v>289</v>
      </c>
      <c r="C520" s="54" t="s">
        <v>290</v>
      </c>
      <c r="D520" s="54" t="s">
        <v>1503</v>
      </c>
      <c r="E520" s="54" t="s">
        <v>1504</v>
      </c>
      <c r="F520" s="54" t="s">
        <v>1505</v>
      </c>
      <c r="G520" s="54" t="s">
        <v>1506</v>
      </c>
      <c r="H520" s="54" t="n">
        <v>15105</v>
      </c>
      <c r="I520" s="54" t="s">
        <v>295</v>
      </c>
      <c r="J520" s="54" t="s">
        <v>1463</v>
      </c>
    </row>
    <row r="521" customFormat="false" ht="15" hidden="false" customHeight="true" outlineLevel="0" collapsed="false">
      <c r="A521" s="54" t="n">
        <v>20260710</v>
      </c>
      <c r="B521" s="54" t="s">
        <v>289</v>
      </c>
      <c r="C521" s="54" t="s">
        <v>290</v>
      </c>
      <c r="D521" s="54" t="s">
        <v>1503</v>
      </c>
      <c r="E521" s="54" t="s">
        <v>1504</v>
      </c>
      <c r="F521" s="54" t="s">
        <v>1507</v>
      </c>
      <c r="G521" s="54" t="s">
        <v>1508</v>
      </c>
      <c r="H521" s="54" t="n">
        <v>149</v>
      </c>
      <c r="I521" s="54" t="s">
        <v>295</v>
      </c>
      <c r="J521" s="54" t="s">
        <v>1463</v>
      </c>
    </row>
    <row r="522" customFormat="false" ht="15" hidden="false" customHeight="true" outlineLevel="0" collapsed="false">
      <c r="A522" s="54" t="n">
        <v>20260710</v>
      </c>
      <c r="B522" s="54" t="s">
        <v>289</v>
      </c>
      <c r="C522" s="54" t="s">
        <v>290</v>
      </c>
      <c r="D522" s="54" t="s">
        <v>1503</v>
      </c>
      <c r="E522" s="54" t="s">
        <v>1504</v>
      </c>
      <c r="F522" s="54" t="s">
        <v>1509</v>
      </c>
      <c r="G522" s="54" t="s">
        <v>781</v>
      </c>
      <c r="H522" s="54" t="n">
        <v>13800</v>
      </c>
      <c r="I522" s="54" t="s">
        <v>295</v>
      </c>
      <c r="J522" s="54" t="s">
        <v>1463</v>
      </c>
    </row>
    <row r="523" customFormat="false" ht="15" hidden="false" customHeight="true" outlineLevel="0" collapsed="false">
      <c r="A523" s="54" t="n">
        <v>20260710</v>
      </c>
      <c r="B523" s="54" t="s">
        <v>688</v>
      </c>
      <c r="C523" s="54" t="s">
        <v>290</v>
      </c>
      <c r="D523" s="54" t="s">
        <v>1510</v>
      </c>
      <c r="E523" s="54" t="s">
        <v>1511</v>
      </c>
      <c r="F523" s="54" t="s">
        <v>1512</v>
      </c>
      <c r="G523" s="54" t="s">
        <v>1513</v>
      </c>
      <c r="H523" s="54" t="n">
        <v>10598</v>
      </c>
      <c r="I523" s="54" t="s">
        <v>295</v>
      </c>
      <c r="J523" s="54" t="s">
        <v>997</v>
      </c>
    </row>
    <row r="524" customFormat="false" ht="15" hidden="false" customHeight="true" outlineLevel="0" collapsed="false">
      <c r="A524" s="54" t="n">
        <v>20260710</v>
      </c>
      <c r="B524" s="54" t="s">
        <v>688</v>
      </c>
      <c r="C524" s="54" t="s">
        <v>290</v>
      </c>
      <c r="D524" s="54" t="s">
        <v>1510</v>
      </c>
      <c r="E524" s="54" t="s">
        <v>1511</v>
      </c>
      <c r="F524" s="54" t="s">
        <v>1514</v>
      </c>
      <c r="G524" s="54" t="s">
        <v>1515</v>
      </c>
      <c r="H524" s="54" t="n">
        <v>3833</v>
      </c>
      <c r="I524" s="54" t="s">
        <v>295</v>
      </c>
      <c r="J524" s="54" t="s">
        <v>997</v>
      </c>
    </row>
    <row r="525" customFormat="false" ht="15" hidden="false" customHeight="true" outlineLevel="0" collapsed="false">
      <c r="A525" s="54" t="n">
        <v>20260710</v>
      </c>
      <c r="B525" s="54" t="s">
        <v>688</v>
      </c>
      <c r="C525" s="54" t="s">
        <v>290</v>
      </c>
      <c r="D525" s="54" t="s">
        <v>1510</v>
      </c>
      <c r="E525" s="54" t="s">
        <v>1511</v>
      </c>
      <c r="F525" s="54" t="s">
        <v>1516</v>
      </c>
      <c r="G525" s="54" t="s">
        <v>1517</v>
      </c>
      <c r="H525" s="54" t="n">
        <v>14804</v>
      </c>
      <c r="I525" s="54" t="s">
        <v>295</v>
      </c>
      <c r="J525" s="54" t="s">
        <v>997</v>
      </c>
    </row>
    <row r="526" customFormat="false" ht="15" hidden="false" customHeight="true" outlineLevel="0" collapsed="false">
      <c r="A526" s="54" t="n">
        <v>20260710</v>
      </c>
      <c r="B526" s="54" t="s">
        <v>688</v>
      </c>
      <c r="C526" s="54" t="s">
        <v>307</v>
      </c>
      <c r="D526" s="54" t="s">
        <v>1518</v>
      </c>
      <c r="E526" s="54" t="s">
        <v>1519</v>
      </c>
      <c r="F526" s="54" t="s">
        <v>1520</v>
      </c>
      <c r="G526" s="54" t="s">
        <v>1521</v>
      </c>
      <c r="H526" s="54" t="n">
        <v>1130</v>
      </c>
      <c r="I526" s="54" t="s">
        <v>295</v>
      </c>
      <c r="J526" s="54" t="s">
        <v>693</v>
      </c>
    </row>
    <row r="527" customFormat="false" ht="15" hidden="false" customHeight="true" outlineLevel="0" collapsed="false">
      <c r="A527" s="54" t="n">
        <v>20260710</v>
      </c>
      <c r="B527" s="54" t="s">
        <v>688</v>
      </c>
      <c r="C527" s="54" t="s">
        <v>307</v>
      </c>
      <c r="D527" s="54" t="s">
        <v>1518</v>
      </c>
      <c r="E527" s="54" t="s">
        <v>1519</v>
      </c>
      <c r="F527" s="54" t="s">
        <v>1522</v>
      </c>
      <c r="G527" s="54" t="s">
        <v>1523</v>
      </c>
      <c r="H527" s="54" t="n">
        <v>16906</v>
      </c>
      <c r="I527" s="54" t="s">
        <v>295</v>
      </c>
      <c r="J527" s="54" t="s">
        <v>693</v>
      </c>
    </row>
    <row r="528" customFormat="false" ht="15" hidden="false" customHeight="true" outlineLevel="0" collapsed="false">
      <c r="A528" s="54" t="n">
        <v>20260710</v>
      </c>
      <c r="B528" s="54" t="s">
        <v>688</v>
      </c>
      <c r="C528" s="54" t="s">
        <v>307</v>
      </c>
      <c r="D528" s="54" t="s">
        <v>1518</v>
      </c>
      <c r="E528" s="54" t="s">
        <v>1519</v>
      </c>
      <c r="F528" s="54" t="s">
        <v>1524</v>
      </c>
      <c r="G528" s="54" t="s">
        <v>1525</v>
      </c>
      <c r="H528" s="54" t="n">
        <v>14345</v>
      </c>
      <c r="I528" s="54" t="s">
        <v>295</v>
      </c>
      <c r="J528" s="54" t="s">
        <v>693</v>
      </c>
    </row>
    <row r="529" customFormat="false" ht="15" hidden="false" customHeight="true" outlineLevel="0" collapsed="false">
      <c r="A529" s="54" t="n">
        <v>20260710</v>
      </c>
      <c r="B529" s="54" t="s">
        <v>688</v>
      </c>
      <c r="C529" s="54" t="s">
        <v>307</v>
      </c>
      <c r="D529" s="54" t="s">
        <v>1526</v>
      </c>
      <c r="E529" s="54" t="s">
        <v>1527</v>
      </c>
      <c r="F529" s="54" t="s">
        <v>1528</v>
      </c>
      <c r="G529" s="54" t="s">
        <v>721</v>
      </c>
      <c r="H529" s="54" t="n">
        <v>35963</v>
      </c>
      <c r="I529" s="54" t="s">
        <v>295</v>
      </c>
      <c r="J529" s="54" t="s">
        <v>693</v>
      </c>
    </row>
    <row r="530" customFormat="false" ht="15" hidden="false" customHeight="true" outlineLevel="0" collapsed="false">
      <c r="A530" s="54" t="n">
        <v>20260710</v>
      </c>
      <c r="B530" s="54" t="s">
        <v>168</v>
      </c>
      <c r="C530" s="54" t="s">
        <v>307</v>
      </c>
      <c r="D530" s="54" t="s">
        <v>1529</v>
      </c>
      <c r="E530" s="54" t="s">
        <v>1530</v>
      </c>
      <c r="F530" s="54" t="s">
        <v>714</v>
      </c>
      <c r="G530" s="54" t="s">
        <v>1531</v>
      </c>
      <c r="H530" s="54" t="n">
        <v>14528</v>
      </c>
      <c r="I530" s="54" t="s">
        <v>295</v>
      </c>
      <c r="J530" s="54" t="s">
        <v>326</v>
      </c>
    </row>
    <row r="531" customFormat="false" ht="15" hidden="false" customHeight="true" outlineLevel="0" collapsed="false">
      <c r="A531" s="54" t="n">
        <v>20260710</v>
      </c>
      <c r="B531" s="54" t="s">
        <v>168</v>
      </c>
      <c r="C531" s="54" t="s">
        <v>307</v>
      </c>
      <c r="D531" s="54" t="s">
        <v>1529</v>
      </c>
      <c r="E531" s="54" t="s">
        <v>1530</v>
      </c>
      <c r="F531" s="54" t="s">
        <v>1532</v>
      </c>
      <c r="G531" s="54" t="s">
        <v>1533</v>
      </c>
      <c r="H531" s="54" t="n">
        <v>326</v>
      </c>
      <c r="I531" s="54" t="s">
        <v>295</v>
      </c>
      <c r="J531" s="54" t="s">
        <v>326</v>
      </c>
    </row>
    <row r="532" customFormat="false" ht="15" hidden="false" customHeight="true" outlineLevel="0" collapsed="false">
      <c r="A532" s="54" t="n">
        <v>20260710</v>
      </c>
      <c r="B532" s="54" t="s">
        <v>168</v>
      </c>
      <c r="C532" s="54" t="s">
        <v>307</v>
      </c>
      <c r="D532" s="54" t="s">
        <v>1529</v>
      </c>
      <c r="E532" s="54" t="s">
        <v>1530</v>
      </c>
      <c r="F532" s="54" t="s">
        <v>1534</v>
      </c>
      <c r="G532" s="54" t="s">
        <v>1535</v>
      </c>
      <c r="H532" s="54" t="n">
        <v>2827</v>
      </c>
      <c r="I532" s="54" t="s">
        <v>295</v>
      </c>
      <c r="J532" s="54" t="s">
        <v>326</v>
      </c>
    </row>
    <row r="533" customFormat="false" ht="15" hidden="false" customHeight="true" outlineLevel="0" collapsed="false">
      <c r="A533" s="54" t="n">
        <v>20260710</v>
      </c>
      <c r="B533" s="54" t="s">
        <v>168</v>
      </c>
      <c r="C533" s="54" t="s">
        <v>307</v>
      </c>
      <c r="D533" s="54" t="s">
        <v>1529</v>
      </c>
      <c r="E533" s="54" t="s">
        <v>1530</v>
      </c>
      <c r="F533" s="54" t="s">
        <v>1536</v>
      </c>
      <c r="G533" s="54" t="s">
        <v>766</v>
      </c>
      <c r="H533" s="54" t="n">
        <v>10919</v>
      </c>
      <c r="I533" s="54" t="s">
        <v>295</v>
      </c>
      <c r="J533" s="54" t="s">
        <v>326</v>
      </c>
    </row>
    <row r="534" customFormat="false" ht="15" hidden="false" customHeight="true" outlineLevel="0" collapsed="false">
      <c r="A534" s="54" t="n">
        <v>20260710</v>
      </c>
      <c r="B534" s="54" t="s">
        <v>592</v>
      </c>
      <c r="C534" s="54" t="s">
        <v>290</v>
      </c>
      <c r="D534" s="54" t="s">
        <v>1537</v>
      </c>
      <c r="E534" s="54" t="s">
        <v>1538</v>
      </c>
      <c r="F534" s="54" t="s">
        <v>1539</v>
      </c>
      <c r="G534" s="54" t="s">
        <v>1540</v>
      </c>
      <c r="H534" s="54" t="n">
        <v>14436</v>
      </c>
      <c r="I534" s="54" t="s">
        <v>295</v>
      </c>
      <c r="J534" s="54" t="s">
        <v>597</v>
      </c>
    </row>
    <row r="535" customFormat="false" ht="15" hidden="false" customHeight="true" outlineLevel="0" collapsed="false">
      <c r="A535" s="54" t="n">
        <v>20260710</v>
      </c>
      <c r="B535" s="54" t="s">
        <v>592</v>
      </c>
      <c r="C535" s="54" t="s">
        <v>290</v>
      </c>
      <c r="D535" s="54" t="s">
        <v>1537</v>
      </c>
      <c r="E535" s="54" t="s">
        <v>1538</v>
      </c>
      <c r="F535" s="54" t="s">
        <v>1541</v>
      </c>
      <c r="G535" s="54" t="s">
        <v>1542</v>
      </c>
      <c r="H535" s="54" t="n">
        <v>9</v>
      </c>
      <c r="I535" s="54" t="s">
        <v>295</v>
      </c>
      <c r="J535" s="54" t="s">
        <v>597</v>
      </c>
    </row>
    <row r="536" customFormat="false" ht="15" hidden="false" customHeight="true" outlineLevel="0" collapsed="false">
      <c r="A536" s="54" t="n">
        <v>20260710</v>
      </c>
      <c r="B536" s="54" t="s">
        <v>592</v>
      </c>
      <c r="C536" s="54" t="s">
        <v>290</v>
      </c>
      <c r="D536" s="54" t="s">
        <v>1537</v>
      </c>
      <c r="E536" s="54" t="s">
        <v>1538</v>
      </c>
      <c r="F536" s="54" t="s">
        <v>1535</v>
      </c>
      <c r="G536" s="54" t="s">
        <v>1543</v>
      </c>
      <c r="H536" s="54" t="n">
        <v>14419</v>
      </c>
      <c r="I536" s="54" t="s">
        <v>295</v>
      </c>
      <c r="J536" s="54" t="s">
        <v>597</v>
      </c>
    </row>
    <row r="537" customFormat="false" ht="15" hidden="false" customHeight="true" outlineLevel="0" collapsed="false">
      <c r="A537" s="54" t="n">
        <v>20260710</v>
      </c>
      <c r="B537" s="54" t="s">
        <v>306</v>
      </c>
      <c r="C537" s="54" t="s">
        <v>307</v>
      </c>
      <c r="D537" s="54" t="s">
        <v>1544</v>
      </c>
      <c r="E537" s="54" t="s">
        <v>1545</v>
      </c>
      <c r="F537" s="54" t="s">
        <v>1546</v>
      </c>
      <c r="G537" s="54" t="s">
        <v>1547</v>
      </c>
      <c r="H537" s="54" t="n">
        <v>14335</v>
      </c>
      <c r="I537" s="54" t="s">
        <v>295</v>
      </c>
      <c r="J537" s="54" t="s">
        <v>312</v>
      </c>
    </row>
    <row r="538" customFormat="false" ht="15" hidden="false" customHeight="true" outlineLevel="0" collapsed="false">
      <c r="A538" s="54" t="n">
        <v>20260710</v>
      </c>
      <c r="B538" s="54" t="s">
        <v>306</v>
      </c>
      <c r="C538" s="54" t="s">
        <v>307</v>
      </c>
      <c r="D538" s="54" t="s">
        <v>1544</v>
      </c>
      <c r="E538" s="54" t="s">
        <v>1545</v>
      </c>
      <c r="F538" s="54" t="s">
        <v>1548</v>
      </c>
      <c r="G538" s="54" t="s">
        <v>964</v>
      </c>
      <c r="H538" s="54" t="n">
        <v>18105</v>
      </c>
      <c r="I538" s="54" t="s">
        <v>295</v>
      </c>
      <c r="J538" s="54" t="s">
        <v>312</v>
      </c>
    </row>
    <row r="539" customFormat="false" ht="15" hidden="false" customHeight="true" outlineLevel="0" collapsed="false">
      <c r="A539" s="54" t="n">
        <v>20260710</v>
      </c>
      <c r="B539" s="54" t="s">
        <v>535</v>
      </c>
      <c r="C539" s="54" t="s">
        <v>290</v>
      </c>
      <c r="D539" s="54" t="s">
        <v>1549</v>
      </c>
      <c r="E539" s="54" t="s">
        <v>1550</v>
      </c>
      <c r="F539" s="54" t="s">
        <v>1551</v>
      </c>
      <c r="G539" s="54" t="s">
        <v>1372</v>
      </c>
      <c r="H539" s="54" t="n">
        <v>14314</v>
      </c>
      <c r="I539" s="54" t="s">
        <v>295</v>
      </c>
      <c r="J539" s="54" t="s">
        <v>1370</v>
      </c>
    </row>
    <row r="540" customFormat="false" ht="15" hidden="false" customHeight="true" outlineLevel="0" collapsed="false">
      <c r="A540" s="54" t="n">
        <v>20260710</v>
      </c>
      <c r="B540" s="54" t="s">
        <v>535</v>
      </c>
      <c r="C540" s="54" t="s">
        <v>290</v>
      </c>
      <c r="D540" s="54" t="s">
        <v>1549</v>
      </c>
      <c r="E540" s="54" t="s">
        <v>1550</v>
      </c>
      <c r="F540" s="54" t="s">
        <v>1552</v>
      </c>
      <c r="G540" s="54" t="s">
        <v>1553</v>
      </c>
      <c r="H540" s="54" t="n">
        <v>14332</v>
      </c>
      <c r="I540" s="54" t="s">
        <v>295</v>
      </c>
      <c r="J540" s="54" t="s">
        <v>1370</v>
      </c>
    </row>
    <row r="541" customFormat="false" ht="15" hidden="false" customHeight="true" outlineLevel="0" collapsed="false">
      <c r="A541" s="54" t="n">
        <v>20260710</v>
      </c>
      <c r="B541" s="54" t="s">
        <v>306</v>
      </c>
      <c r="C541" s="54" t="s">
        <v>290</v>
      </c>
      <c r="D541" s="54" t="s">
        <v>1554</v>
      </c>
      <c r="E541" s="54" t="s">
        <v>1555</v>
      </c>
      <c r="F541" s="54" t="s">
        <v>1556</v>
      </c>
      <c r="G541" s="54" t="s">
        <v>1557</v>
      </c>
      <c r="H541" s="54" t="n">
        <v>15191</v>
      </c>
      <c r="I541" s="54" t="s">
        <v>295</v>
      </c>
      <c r="J541" s="54" t="s">
        <v>1027</v>
      </c>
    </row>
    <row r="542" customFormat="false" ht="15" hidden="false" customHeight="true" outlineLevel="0" collapsed="false">
      <c r="A542" s="54" t="n">
        <v>20260710</v>
      </c>
      <c r="B542" s="54" t="s">
        <v>306</v>
      </c>
      <c r="C542" s="54" t="s">
        <v>290</v>
      </c>
      <c r="D542" s="54" t="s">
        <v>1554</v>
      </c>
      <c r="E542" s="54" t="s">
        <v>1555</v>
      </c>
      <c r="F542" s="54" t="s">
        <v>1558</v>
      </c>
      <c r="G542" s="54" t="s">
        <v>1559</v>
      </c>
      <c r="H542" s="54" t="n">
        <v>13690</v>
      </c>
      <c r="I542" s="54" t="s">
        <v>295</v>
      </c>
      <c r="J542" s="54" t="s">
        <v>1027</v>
      </c>
    </row>
    <row r="543" customFormat="false" ht="15" hidden="false" customHeight="true" outlineLevel="0" collapsed="false">
      <c r="A543" s="54" t="n">
        <v>20260710</v>
      </c>
      <c r="B543" s="54" t="s">
        <v>168</v>
      </c>
      <c r="C543" s="54" t="s">
        <v>290</v>
      </c>
      <c r="D543" s="54" t="s">
        <v>1560</v>
      </c>
      <c r="E543" s="54" t="s">
        <v>1561</v>
      </c>
      <c r="F543" s="54" t="s">
        <v>1562</v>
      </c>
      <c r="G543" s="54" t="s">
        <v>1563</v>
      </c>
      <c r="H543" s="54" t="n">
        <v>2942</v>
      </c>
      <c r="I543" s="54" t="s">
        <v>295</v>
      </c>
      <c r="J543" s="54" t="s">
        <v>818</v>
      </c>
    </row>
    <row r="544" customFormat="false" ht="15" hidden="false" customHeight="true" outlineLevel="0" collapsed="false">
      <c r="A544" s="54" t="n">
        <v>20260710</v>
      </c>
      <c r="B544" s="54" t="s">
        <v>168</v>
      </c>
      <c r="C544" s="54" t="s">
        <v>290</v>
      </c>
      <c r="D544" s="54" t="s">
        <v>1560</v>
      </c>
      <c r="E544" s="54" t="s">
        <v>1561</v>
      </c>
      <c r="F544" s="54" t="s">
        <v>1564</v>
      </c>
      <c r="G544" s="54" t="s">
        <v>1565</v>
      </c>
      <c r="H544" s="54" t="n">
        <v>4474</v>
      </c>
      <c r="I544" s="54" t="s">
        <v>295</v>
      </c>
      <c r="J544" s="54" t="s">
        <v>818</v>
      </c>
    </row>
    <row r="545" customFormat="false" ht="15" hidden="false" customHeight="true" outlineLevel="0" collapsed="false">
      <c r="A545" s="54" t="n">
        <v>20260710</v>
      </c>
      <c r="B545" s="54" t="s">
        <v>168</v>
      </c>
      <c r="C545" s="54" t="s">
        <v>290</v>
      </c>
      <c r="D545" s="54" t="s">
        <v>1560</v>
      </c>
      <c r="E545" s="54" t="s">
        <v>1561</v>
      </c>
      <c r="F545" s="54" t="s">
        <v>1566</v>
      </c>
      <c r="G545" s="54" t="s">
        <v>1567</v>
      </c>
      <c r="H545" s="54" t="n">
        <v>43</v>
      </c>
      <c r="I545" s="54" t="s">
        <v>295</v>
      </c>
      <c r="J545" s="54" t="s">
        <v>818</v>
      </c>
    </row>
    <row r="546" customFormat="false" ht="15" hidden="false" customHeight="true" outlineLevel="0" collapsed="false">
      <c r="A546" s="54" t="n">
        <v>20260710</v>
      </c>
      <c r="B546" s="54" t="s">
        <v>168</v>
      </c>
      <c r="C546" s="54" t="s">
        <v>290</v>
      </c>
      <c r="D546" s="54" t="s">
        <v>1560</v>
      </c>
      <c r="E546" s="54" t="s">
        <v>1561</v>
      </c>
      <c r="F546" s="54" t="s">
        <v>1568</v>
      </c>
      <c r="G546" s="54" t="s">
        <v>1569</v>
      </c>
      <c r="H546" s="54" t="n">
        <v>3311</v>
      </c>
      <c r="I546" s="54" t="s">
        <v>295</v>
      </c>
      <c r="J546" s="54" t="s">
        <v>818</v>
      </c>
    </row>
    <row r="547" customFormat="false" ht="15" hidden="false" customHeight="true" outlineLevel="0" collapsed="false">
      <c r="A547" s="54" t="n">
        <v>20260710</v>
      </c>
      <c r="B547" s="54" t="s">
        <v>168</v>
      </c>
      <c r="C547" s="54" t="s">
        <v>290</v>
      </c>
      <c r="D547" s="54" t="s">
        <v>1560</v>
      </c>
      <c r="E547" s="54" t="s">
        <v>1561</v>
      </c>
      <c r="F547" s="54" t="s">
        <v>1570</v>
      </c>
      <c r="G547" s="54" t="s">
        <v>803</v>
      </c>
      <c r="H547" s="54" t="n">
        <v>56</v>
      </c>
      <c r="I547" s="54" t="s">
        <v>295</v>
      </c>
      <c r="J547" s="54" t="s">
        <v>818</v>
      </c>
    </row>
    <row r="548" customFormat="false" ht="15" hidden="false" customHeight="true" outlineLevel="0" collapsed="false">
      <c r="A548" s="54" t="n">
        <v>20260710</v>
      </c>
      <c r="B548" s="54" t="s">
        <v>168</v>
      </c>
      <c r="C548" s="54" t="s">
        <v>290</v>
      </c>
      <c r="D548" s="54" t="s">
        <v>1560</v>
      </c>
      <c r="E548" s="54" t="s">
        <v>1561</v>
      </c>
      <c r="F548" s="54" t="s">
        <v>1571</v>
      </c>
      <c r="G548" s="54" t="s">
        <v>1572</v>
      </c>
      <c r="H548" s="54" t="n">
        <v>2555</v>
      </c>
      <c r="I548" s="54" t="s">
        <v>295</v>
      </c>
      <c r="J548" s="54" t="s">
        <v>818</v>
      </c>
    </row>
    <row r="549" customFormat="false" ht="15" hidden="false" customHeight="true" outlineLevel="0" collapsed="false">
      <c r="A549" s="54" t="n">
        <v>20260710</v>
      </c>
      <c r="B549" s="54" t="s">
        <v>168</v>
      </c>
      <c r="C549" s="54" t="s">
        <v>290</v>
      </c>
      <c r="D549" s="54" t="s">
        <v>1560</v>
      </c>
      <c r="E549" s="54" t="s">
        <v>1561</v>
      </c>
      <c r="F549" s="54" t="s">
        <v>1573</v>
      </c>
      <c r="G549" s="54" t="s">
        <v>984</v>
      </c>
      <c r="H549" s="54" t="n">
        <v>15151</v>
      </c>
      <c r="I549" s="54" t="s">
        <v>295</v>
      </c>
      <c r="J549" s="54" t="s">
        <v>818</v>
      </c>
    </row>
    <row r="550" customFormat="false" ht="15" hidden="false" customHeight="true" outlineLevel="0" collapsed="false">
      <c r="A550" s="54" t="n">
        <v>20260710</v>
      </c>
      <c r="B550" s="54" t="s">
        <v>289</v>
      </c>
      <c r="C550" s="54" t="s">
        <v>290</v>
      </c>
      <c r="D550" s="54" t="s">
        <v>1574</v>
      </c>
      <c r="E550" s="54" t="s">
        <v>1575</v>
      </c>
      <c r="F550" s="54" t="s">
        <v>1576</v>
      </c>
      <c r="G550" s="54" t="s">
        <v>1577</v>
      </c>
      <c r="H550" s="54" t="n">
        <v>13</v>
      </c>
      <c r="I550" s="54" t="s">
        <v>360</v>
      </c>
      <c r="J550" s="54" t="s">
        <v>569</v>
      </c>
    </row>
    <row r="551" customFormat="false" ht="15" hidden="false" customHeight="true" outlineLevel="0" collapsed="false">
      <c r="A551" s="54" t="n">
        <v>20260710</v>
      </c>
      <c r="B551" s="54" t="s">
        <v>289</v>
      </c>
      <c r="C551" s="54" t="s">
        <v>290</v>
      </c>
      <c r="D551" s="54" t="s">
        <v>1574</v>
      </c>
      <c r="E551" s="54" t="s">
        <v>1575</v>
      </c>
      <c r="F551" s="54" t="s">
        <v>1576</v>
      </c>
      <c r="G551" s="54" t="s">
        <v>1577</v>
      </c>
      <c r="H551" s="54" t="n">
        <v>13</v>
      </c>
      <c r="I551" s="54" t="s">
        <v>295</v>
      </c>
      <c r="J551" s="54" t="s">
        <v>569</v>
      </c>
    </row>
    <row r="552" customFormat="false" ht="15" hidden="false" customHeight="true" outlineLevel="0" collapsed="false">
      <c r="A552" s="54" t="n">
        <v>20260710</v>
      </c>
      <c r="B552" s="54" t="s">
        <v>289</v>
      </c>
      <c r="C552" s="54" t="s">
        <v>290</v>
      </c>
      <c r="D552" s="54" t="s">
        <v>1574</v>
      </c>
      <c r="E552" s="54" t="s">
        <v>1575</v>
      </c>
      <c r="F552" s="54" t="s">
        <v>1578</v>
      </c>
      <c r="G552" s="54" t="s">
        <v>1579</v>
      </c>
      <c r="H552" s="54" t="n">
        <v>18699</v>
      </c>
      <c r="I552" s="54" t="s">
        <v>360</v>
      </c>
      <c r="J552" s="54" t="s">
        <v>569</v>
      </c>
    </row>
    <row r="553" customFormat="false" ht="15" hidden="false" customHeight="true" outlineLevel="0" collapsed="false">
      <c r="A553" s="54" t="n">
        <v>20260710</v>
      </c>
      <c r="B553" s="54" t="s">
        <v>289</v>
      </c>
      <c r="C553" s="54" t="s">
        <v>290</v>
      </c>
      <c r="D553" s="54" t="s">
        <v>1574</v>
      </c>
      <c r="E553" s="54" t="s">
        <v>1575</v>
      </c>
      <c r="F553" s="54" t="s">
        <v>1578</v>
      </c>
      <c r="G553" s="54" t="s">
        <v>1579</v>
      </c>
      <c r="H553" s="54" t="n">
        <v>18699</v>
      </c>
      <c r="I553" s="54" t="s">
        <v>295</v>
      </c>
      <c r="J553" s="54" t="s">
        <v>569</v>
      </c>
    </row>
    <row r="554" customFormat="false" ht="15" hidden="false" customHeight="true" outlineLevel="0" collapsed="false">
      <c r="A554" s="54" t="n">
        <v>20260710</v>
      </c>
      <c r="B554" s="54" t="s">
        <v>289</v>
      </c>
      <c r="C554" s="54" t="s">
        <v>290</v>
      </c>
      <c r="D554" s="54" t="s">
        <v>1574</v>
      </c>
      <c r="E554" s="54" t="s">
        <v>1575</v>
      </c>
      <c r="F554" s="54" t="s">
        <v>1580</v>
      </c>
      <c r="G554" s="54" t="s">
        <v>1581</v>
      </c>
      <c r="H554" s="54" t="n">
        <v>3958</v>
      </c>
      <c r="I554" s="54" t="s">
        <v>360</v>
      </c>
      <c r="J554" s="54" t="s">
        <v>569</v>
      </c>
    </row>
    <row r="555" customFormat="false" ht="15" hidden="false" customHeight="true" outlineLevel="0" collapsed="false">
      <c r="A555" s="54" t="n">
        <v>20260710</v>
      </c>
      <c r="B555" s="54" t="s">
        <v>289</v>
      </c>
      <c r="C555" s="54" t="s">
        <v>290</v>
      </c>
      <c r="D555" s="54" t="s">
        <v>1574</v>
      </c>
      <c r="E555" s="54" t="s">
        <v>1575</v>
      </c>
      <c r="F555" s="54" t="s">
        <v>1580</v>
      </c>
      <c r="G555" s="54" t="s">
        <v>1582</v>
      </c>
      <c r="H555" s="54" t="n">
        <v>3959</v>
      </c>
      <c r="I555" s="54" t="s">
        <v>295</v>
      </c>
      <c r="J555" s="54" t="s">
        <v>569</v>
      </c>
    </row>
    <row r="556" customFormat="false" ht="15" hidden="false" customHeight="true" outlineLevel="0" collapsed="false">
      <c r="A556" s="54" t="n">
        <v>20260710</v>
      </c>
      <c r="B556" s="54" t="s">
        <v>289</v>
      </c>
      <c r="C556" s="54" t="s">
        <v>290</v>
      </c>
      <c r="D556" s="54" t="s">
        <v>1574</v>
      </c>
      <c r="E556" s="54" t="s">
        <v>1575</v>
      </c>
      <c r="F556" s="54" t="s">
        <v>1583</v>
      </c>
      <c r="G556" s="54" t="s">
        <v>1584</v>
      </c>
      <c r="H556" s="54" t="n">
        <v>5060</v>
      </c>
      <c r="I556" s="54" t="s">
        <v>295</v>
      </c>
      <c r="J556" s="54" t="s">
        <v>569</v>
      </c>
    </row>
    <row r="557" customFormat="false" ht="15" hidden="false" customHeight="true" outlineLevel="0" collapsed="false">
      <c r="A557" s="54" t="n">
        <v>20260710</v>
      </c>
      <c r="B557" s="54" t="s">
        <v>289</v>
      </c>
      <c r="C557" s="54" t="s">
        <v>290</v>
      </c>
      <c r="D557" s="54" t="s">
        <v>1574</v>
      </c>
      <c r="E557" s="54" t="s">
        <v>1575</v>
      </c>
      <c r="F557" s="54" t="s">
        <v>1585</v>
      </c>
      <c r="G557" s="54" t="s">
        <v>1584</v>
      </c>
      <c r="H557" s="54" t="n">
        <v>5059</v>
      </c>
      <c r="I557" s="54" t="s">
        <v>360</v>
      </c>
      <c r="J557" s="54" t="s">
        <v>569</v>
      </c>
    </row>
    <row r="558" customFormat="false" ht="15" hidden="false" customHeight="true" outlineLevel="0" collapsed="false">
      <c r="A558" s="54" t="n">
        <v>20260710</v>
      </c>
      <c r="B558" s="54" t="s">
        <v>306</v>
      </c>
      <c r="C558" s="54" t="s">
        <v>290</v>
      </c>
      <c r="D558" s="54" t="s">
        <v>1586</v>
      </c>
      <c r="E558" s="54" t="s">
        <v>1587</v>
      </c>
      <c r="F558" s="54" t="s">
        <v>1588</v>
      </c>
      <c r="G558" s="54" t="s">
        <v>1589</v>
      </c>
      <c r="H558" s="54" t="n">
        <v>18019</v>
      </c>
      <c r="I558" s="54" t="s">
        <v>295</v>
      </c>
      <c r="J558" s="54" t="s">
        <v>368</v>
      </c>
    </row>
    <row r="559" customFormat="false" ht="15" hidden="false" customHeight="true" outlineLevel="0" collapsed="false">
      <c r="A559" s="54" t="n">
        <v>20260710</v>
      </c>
      <c r="B559" s="54" t="s">
        <v>306</v>
      </c>
      <c r="C559" s="54" t="s">
        <v>290</v>
      </c>
      <c r="D559" s="54" t="s">
        <v>1586</v>
      </c>
      <c r="E559" s="54" t="s">
        <v>1587</v>
      </c>
      <c r="F559" s="54" t="s">
        <v>1590</v>
      </c>
      <c r="G559" s="54" t="s">
        <v>1589</v>
      </c>
      <c r="H559" s="54" t="n">
        <v>18018</v>
      </c>
      <c r="I559" s="54" t="s">
        <v>315</v>
      </c>
      <c r="J559" s="54" t="s">
        <v>368</v>
      </c>
    </row>
    <row r="560" customFormat="false" ht="15" hidden="false" customHeight="true" outlineLevel="0" collapsed="false">
      <c r="A560" s="54" t="n">
        <v>20260710</v>
      </c>
      <c r="B560" s="54" t="s">
        <v>306</v>
      </c>
      <c r="C560" s="54" t="s">
        <v>290</v>
      </c>
      <c r="D560" s="54" t="s">
        <v>1586</v>
      </c>
      <c r="E560" s="54" t="s">
        <v>1587</v>
      </c>
      <c r="F560" s="54" t="s">
        <v>1591</v>
      </c>
      <c r="G560" s="54" t="s">
        <v>1592</v>
      </c>
      <c r="H560" s="54" t="n">
        <v>17990</v>
      </c>
      <c r="I560" s="54" t="s">
        <v>295</v>
      </c>
      <c r="J560" s="54" t="s">
        <v>368</v>
      </c>
    </row>
    <row r="561" customFormat="false" ht="15" hidden="false" customHeight="true" outlineLevel="0" collapsed="false">
      <c r="A561" s="54" t="n">
        <v>20260710</v>
      </c>
      <c r="B561" s="54" t="s">
        <v>306</v>
      </c>
      <c r="C561" s="54" t="s">
        <v>290</v>
      </c>
      <c r="D561" s="54" t="s">
        <v>1586</v>
      </c>
      <c r="E561" s="54" t="s">
        <v>1587</v>
      </c>
      <c r="F561" s="54" t="s">
        <v>1593</v>
      </c>
      <c r="G561" s="54" t="s">
        <v>1592</v>
      </c>
      <c r="H561" s="54" t="n">
        <v>17988</v>
      </c>
      <c r="I561" s="54" t="s">
        <v>315</v>
      </c>
      <c r="J561" s="54" t="s">
        <v>368</v>
      </c>
    </row>
    <row r="562" customFormat="false" ht="15" hidden="false" customHeight="true" outlineLevel="0" collapsed="false">
      <c r="A562" s="54" t="n">
        <v>20260710</v>
      </c>
      <c r="B562" s="54" t="s">
        <v>306</v>
      </c>
      <c r="C562" s="54" t="s">
        <v>290</v>
      </c>
      <c r="D562" s="54" t="s">
        <v>1594</v>
      </c>
      <c r="E562" s="54" t="s">
        <v>1595</v>
      </c>
      <c r="F562" s="54" t="s">
        <v>1371</v>
      </c>
      <c r="G562" s="54" t="s">
        <v>1596</v>
      </c>
      <c r="H562" s="54" t="n">
        <v>3</v>
      </c>
      <c r="I562" s="54" t="s">
        <v>295</v>
      </c>
      <c r="J562" s="54" t="s">
        <v>375</v>
      </c>
    </row>
    <row r="563" customFormat="false" ht="15" hidden="false" customHeight="true" outlineLevel="0" collapsed="false">
      <c r="A563" s="54" t="n">
        <v>20260710</v>
      </c>
      <c r="B563" s="54" t="s">
        <v>306</v>
      </c>
      <c r="C563" s="54" t="s">
        <v>290</v>
      </c>
      <c r="D563" s="54" t="s">
        <v>1594</v>
      </c>
      <c r="E563" s="54" t="s">
        <v>1595</v>
      </c>
      <c r="F563" s="54" t="s">
        <v>1597</v>
      </c>
      <c r="G563" s="54" t="s">
        <v>1598</v>
      </c>
      <c r="H563" s="54" t="n">
        <v>18007</v>
      </c>
      <c r="I563" s="54" t="s">
        <v>295</v>
      </c>
      <c r="J563" s="54" t="s">
        <v>375</v>
      </c>
    </row>
    <row r="564" customFormat="false" ht="15" hidden="false" customHeight="true" outlineLevel="0" collapsed="false">
      <c r="A564" s="54" t="n">
        <v>20260710</v>
      </c>
      <c r="B564" s="54" t="s">
        <v>306</v>
      </c>
      <c r="C564" s="54" t="s">
        <v>290</v>
      </c>
      <c r="D564" s="54" t="s">
        <v>1594</v>
      </c>
      <c r="E564" s="54" t="s">
        <v>1595</v>
      </c>
      <c r="F564" s="54" t="s">
        <v>1599</v>
      </c>
      <c r="G564" s="54" t="s">
        <v>1600</v>
      </c>
      <c r="H564" s="54" t="n">
        <v>12691</v>
      </c>
      <c r="I564" s="54" t="s">
        <v>295</v>
      </c>
      <c r="J564" s="54" t="s">
        <v>375</v>
      </c>
    </row>
    <row r="565" customFormat="false" ht="15" hidden="false" customHeight="true" outlineLevel="0" collapsed="false">
      <c r="A565" s="54" t="n">
        <v>20260710</v>
      </c>
      <c r="B565" s="54" t="s">
        <v>306</v>
      </c>
      <c r="C565" s="54" t="s">
        <v>290</v>
      </c>
      <c r="D565" s="54" t="s">
        <v>1601</v>
      </c>
      <c r="E565" s="54" t="s">
        <v>1602</v>
      </c>
      <c r="F565" s="54" t="s">
        <v>1603</v>
      </c>
      <c r="G565" s="54" t="s">
        <v>1604</v>
      </c>
      <c r="H565" s="54" t="n">
        <v>14648</v>
      </c>
      <c r="I565" s="54" t="s">
        <v>295</v>
      </c>
      <c r="J565" s="54" t="s">
        <v>779</v>
      </c>
    </row>
    <row r="566" customFormat="false" ht="15" hidden="false" customHeight="true" outlineLevel="0" collapsed="false">
      <c r="A566" s="54" t="n">
        <v>20260710</v>
      </c>
      <c r="B566" s="54" t="s">
        <v>306</v>
      </c>
      <c r="C566" s="54" t="s">
        <v>290</v>
      </c>
      <c r="D566" s="54" t="s">
        <v>1601</v>
      </c>
      <c r="E566" s="54" t="s">
        <v>1602</v>
      </c>
      <c r="F566" s="54" t="s">
        <v>1605</v>
      </c>
      <c r="G566" s="54" t="s">
        <v>1606</v>
      </c>
      <c r="H566" s="54" t="n">
        <v>30</v>
      </c>
      <c r="I566" s="54" t="s">
        <v>295</v>
      </c>
      <c r="J566" s="54" t="s">
        <v>779</v>
      </c>
    </row>
    <row r="567" customFormat="false" ht="15" hidden="false" customHeight="true" outlineLevel="0" collapsed="false">
      <c r="A567" s="54" t="n">
        <v>20260710</v>
      </c>
      <c r="B567" s="54" t="s">
        <v>306</v>
      </c>
      <c r="C567" s="54" t="s">
        <v>290</v>
      </c>
      <c r="D567" s="54" t="s">
        <v>1601</v>
      </c>
      <c r="E567" s="54" t="s">
        <v>1602</v>
      </c>
      <c r="F567" s="54" t="s">
        <v>1607</v>
      </c>
      <c r="G567" s="54" t="s">
        <v>1608</v>
      </c>
      <c r="H567" s="54" t="n">
        <v>20003</v>
      </c>
      <c r="I567" s="54" t="s">
        <v>295</v>
      </c>
      <c r="J567" s="54" t="s">
        <v>779</v>
      </c>
    </row>
    <row r="568" customFormat="false" ht="15" hidden="false" customHeight="true" outlineLevel="0" collapsed="false">
      <c r="A568" s="54" t="n">
        <v>20260710</v>
      </c>
      <c r="B568" s="54" t="s">
        <v>289</v>
      </c>
      <c r="C568" s="54" t="s">
        <v>290</v>
      </c>
      <c r="D568" s="54" t="s">
        <v>1609</v>
      </c>
      <c r="E568" s="54" t="s">
        <v>1610</v>
      </c>
      <c r="F568" s="54" t="s">
        <v>1611</v>
      </c>
      <c r="G568" s="54" t="s">
        <v>1612</v>
      </c>
      <c r="H568" s="54" t="n">
        <v>15362</v>
      </c>
      <c r="I568" s="54" t="s">
        <v>295</v>
      </c>
      <c r="J568" s="54" t="s">
        <v>578</v>
      </c>
    </row>
    <row r="569" customFormat="false" ht="15" hidden="false" customHeight="true" outlineLevel="0" collapsed="false">
      <c r="A569" s="54" t="n">
        <v>20260710</v>
      </c>
      <c r="B569" s="54" t="s">
        <v>289</v>
      </c>
      <c r="C569" s="54" t="s">
        <v>290</v>
      </c>
      <c r="D569" s="54" t="s">
        <v>1609</v>
      </c>
      <c r="E569" s="54" t="s">
        <v>1610</v>
      </c>
      <c r="F569" s="54" t="s">
        <v>1432</v>
      </c>
      <c r="G569" s="54" t="s">
        <v>1613</v>
      </c>
      <c r="H569" s="54" t="n">
        <v>15313</v>
      </c>
      <c r="I569" s="54" t="s">
        <v>295</v>
      </c>
      <c r="J569" s="54" t="s">
        <v>578</v>
      </c>
    </row>
    <row r="570" customFormat="false" ht="15" hidden="false" customHeight="true" outlineLevel="0" collapsed="false">
      <c r="A570" s="54" t="n">
        <v>20260710</v>
      </c>
      <c r="B570" s="54" t="s">
        <v>306</v>
      </c>
      <c r="C570" s="54" t="s">
        <v>290</v>
      </c>
      <c r="D570" s="54" t="s">
        <v>1614</v>
      </c>
      <c r="E570" s="54" t="s">
        <v>1615</v>
      </c>
      <c r="F570" s="54" t="s">
        <v>1616</v>
      </c>
      <c r="G570" s="54" t="s">
        <v>1617</v>
      </c>
      <c r="H570" s="54" t="n">
        <v>5513</v>
      </c>
      <c r="I570" s="54" t="s">
        <v>295</v>
      </c>
      <c r="J570" s="54" t="s">
        <v>368</v>
      </c>
    </row>
    <row r="571" customFormat="false" ht="15" hidden="false" customHeight="true" outlineLevel="0" collapsed="false">
      <c r="A571" s="54" t="n">
        <v>20260710</v>
      </c>
      <c r="B571" s="54" t="s">
        <v>306</v>
      </c>
      <c r="C571" s="54" t="s">
        <v>290</v>
      </c>
      <c r="D571" s="54" t="s">
        <v>1614</v>
      </c>
      <c r="E571" s="54" t="s">
        <v>1615</v>
      </c>
      <c r="F571" s="54" t="s">
        <v>1618</v>
      </c>
      <c r="G571" s="54" t="s">
        <v>1619</v>
      </c>
      <c r="H571" s="54" t="n">
        <v>4885</v>
      </c>
      <c r="I571" s="54" t="s">
        <v>295</v>
      </c>
      <c r="J571" s="54" t="s">
        <v>368</v>
      </c>
    </row>
    <row r="572" customFormat="false" ht="15" hidden="false" customHeight="true" outlineLevel="0" collapsed="false">
      <c r="A572" s="54" t="n">
        <v>20260710</v>
      </c>
      <c r="B572" s="54" t="s">
        <v>306</v>
      </c>
      <c r="C572" s="54" t="s">
        <v>290</v>
      </c>
      <c r="D572" s="54" t="s">
        <v>1614</v>
      </c>
      <c r="E572" s="54" t="s">
        <v>1615</v>
      </c>
      <c r="F572" s="54" t="s">
        <v>1620</v>
      </c>
      <c r="G572" s="54" t="s">
        <v>1621</v>
      </c>
      <c r="H572" s="54" t="n">
        <v>31</v>
      </c>
      <c r="I572" s="54" t="s">
        <v>295</v>
      </c>
      <c r="J572" s="54" t="s">
        <v>368</v>
      </c>
    </row>
    <row r="573" customFormat="false" ht="15" hidden="false" customHeight="true" outlineLevel="0" collapsed="false">
      <c r="A573" s="54" t="n">
        <v>20260710</v>
      </c>
      <c r="B573" s="54" t="s">
        <v>306</v>
      </c>
      <c r="C573" s="54" t="s">
        <v>290</v>
      </c>
      <c r="D573" s="54" t="s">
        <v>1614</v>
      </c>
      <c r="E573" s="54" t="s">
        <v>1615</v>
      </c>
      <c r="F573" s="54" t="s">
        <v>1622</v>
      </c>
      <c r="G573" s="54" t="s">
        <v>1623</v>
      </c>
      <c r="H573" s="54" t="n">
        <v>9998</v>
      </c>
      <c r="I573" s="54" t="s">
        <v>295</v>
      </c>
      <c r="J573" s="54" t="s">
        <v>368</v>
      </c>
    </row>
    <row r="574" customFormat="false" ht="15" hidden="false" customHeight="true" outlineLevel="0" collapsed="false">
      <c r="A574" s="54" t="n">
        <v>20260710</v>
      </c>
      <c r="B574" s="54" t="s">
        <v>306</v>
      </c>
      <c r="C574" s="54" t="s">
        <v>290</v>
      </c>
      <c r="D574" s="54" t="s">
        <v>1614</v>
      </c>
      <c r="E574" s="54" t="s">
        <v>1615</v>
      </c>
      <c r="F574" s="54" t="s">
        <v>1624</v>
      </c>
      <c r="G574" s="54" t="s">
        <v>1625</v>
      </c>
      <c r="H574" s="54" t="n">
        <v>4783</v>
      </c>
      <c r="I574" s="54" t="s">
        <v>295</v>
      </c>
      <c r="J574" s="54" t="s">
        <v>368</v>
      </c>
    </row>
    <row r="575" customFormat="false" ht="15" hidden="false" customHeight="true" outlineLevel="0" collapsed="false">
      <c r="A575" s="54" t="n">
        <v>20260710</v>
      </c>
      <c r="B575" s="54" t="s">
        <v>306</v>
      </c>
      <c r="C575" s="54" t="s">
        <v>290</v>
      </c>
      <c r="D575" s="54" t="s">
        <v>1614</v>
      </c>
      <c r="E575" s="54" t="s">
        <v>1615</v>
      </c>
      <c r="F575" s="54" t="s">
        <v>1626</v>
      </c>
      <c r="G575" s="54" t="s">
        <v>1627</v>
      </c>
      <c r="H575" s="54" t="n">
        <v>3406</v>
      </c>
      <c r="I575" s="54" t="s">
        <v>295</v>
      </c>
      <c r="J575" s="54" t="s">
        <v>368</v>
      </c>
    </row>
    <row r="576" customFormat="false" ht="15" hidden="false" customHeight="true" outlineLevel="0" collapsed="false">
      <c r="A576" s="54" t="n">
        <v>20260710</v>
      </c>
      <c r="B576" s="54" t="s">
        <v>306</v>
      </c>
      <c r="C576" s="54" t="s">
        <v>290</v>
      </c>
      <c r="D576" s="54" t="s">
        <v>1614</v>
      </c>
      <c r="E576" s="54" t="s">
        <v>1615</v>
      </c>
      <c r="F576" s="54" t="s">
        <v>1628</v>
      </c>
      <c r="G576" s="54" t="s">
        <v>1629</v>
      </c>
      <c r="H576" s="54" t="n">
        <v>367</v>
      </c>
      <c r="I576" s="54" t="s">
        <v>295</v>
      </c>
      <c r="J576" s="54" t="s">
        <v>368</v>
      </c>
    </row>
    <row r="577" customFormat="false" ht="15" hidden="false" customHeight="true" outlineLevel="0" collapsed="false">
      <c r="A577" s="54" t="n">
        <v>20260710</v>
      </c>
      <c r="B577" s="54" t="s">
        <v>592</v>
      </c>
      <c r="C577" s="54" t="s">
        <v>290</v>
      </c>
      <c r="D577" s="54" t="s">
        <v>1630</v>
      </c>
      <c r="E577" s="54" t="s">
        <v>1631</v>
      </c>
      <c r="F577" s="54" t="s">
        <v>1632</v>
      </c>
      <c r="G577" s="54" t="s">
        <v>1633</v>
      </c>
      <c r="H577" s="54" t="n">
        <v>12586</v>
      </c>
      <c r="I577" s="54" t="s">
        <v>295</v>
      </c>
      <c r="J577" s="54" t="s">
        <v>1381</v>
      </c>
    </row>
    <row r="578" customFormat="false" ht="15" hidden="false" customHeight="true" outlineLevel="0" collapsed="false">
      <c r="A578" s="54" t="n">
        <v>20260710</v>
      </c>
      <c r="B578" s="54" t="s">
        <v>592</v>
      </c>
      <c r="C578" s="54" t="s">
        <v>290</v>
      </c>
      <c r="D578" s="54" t="s">
        <v>1630</v>
      </c>
      <c r="E578" s="54" t="s">
        <v>1631</v>
      </c>
      <c r="F578" s="54" t="s">
        <v>1634</v>
      </c>
      <c r="G578" s="54" t="s">
        <v>1635</v>
      </c>
      <c r="H578" s="54" t="n">
        <v>16349</v>
      </c>
      <c r="I578" s="54" t="s">
        <v>295</v>
      </c>
      <c r="J578" s="54" t="s">
        <v>1381</v>
      </c>
    </row>
    <row r="579" customFormat="false" ht="15" hidden="false" customHeight="true" outlineLevel="0" collapsed="false">
      <c r="A579" s="54" t="n">
        <v>20260710</v>
      </c>
      <c r="B579" s="54" t="s">
        <v>306</v>
      </c>
      <c r="C579" s="54" t="s">
        <v>290</v>
      </c>
      <c r="D579" s="54" t="s">
        <v>1636</v>
      </c>
      <c r="E579" s="54" t="s">
        <v>1637</v>
      </c>
      <c r="F579" s="54" t="s">
        <v>1638</v>
      </c>
      <c r="G579" s="54" t="s">
        <v>1639</v>
      </c>
      <c r="H579" s="54" t="n">
        <v>21623</v>
      </c>
      <c r="I579" s="54" t="s">
        <v>295</v>
      </c>
      <c r="J579" s="54" t="s">
        <v>1067</v>
      </c>
    </row>
    <row r="580" customFormat="false" ht="15" hidden="false" customHeight="true" outlineLevel="0" collapsed="false">
      <c r="A580" s="54" t="n">
        <v>20260710</v>
      </c>
      <c r="B580" s="54" t="s">
        <v>306</v>
      </c>
      <c r="C580" s="54" t="s">
        <v>290</v>
      </c>
      <c r="D580" s="54" t="s">
        <v>1636</v>
      </c>
      <c r="E580" s="54" t="s">
        <v>1637</v>
      </c>
      <c r="F580" s="54" t="s">
        <v>1640</v>
      </c>
      <c r="G580" s="54" t="s">
        <v>1641</v>
      </c>
      <c r="H580" s="54" t="n">
        <v>3</v>
      </c>
      <c r="I580" s="54" t="s">
        <v>1642</v>
      </c>
      <c r="J580" s="54" t="s">
        <v>1067</v>
      </c>
    </row>
    <row r="581" customFormat="false" ht="15" hidden="false" customHeight="true" outlineLevel="0" collapsed="false">
      <c r="A581" s="54" t="n">
        <v>20260710</v>
      </c>
      <c r="B581" s="54" t="s">
        <v>306</v>
      </c>
      <c r="C581" s="54" t="s">
        <v>290</v>
      </c>
      <c r="D581" s="54" t="s">
        <v>1636</v>
      </c>
      <c r="E581" s="54" t="s">
        <v>1637</v>
      </c>
      <c r="F581" s="54" t="s">
        <v>1643</v>
      </c>
      <c r="G581" s="54" t="s">
        <v>1644</v>
      </c>
      <c r="H581" s="54" t="n">
        <v>2</v>
      </c>
      <c r="I581" s="54" t="s">
        <v>1642</v>
      </c>
      <c r="J581" s="54" t="s">
        <v>1067</v>
      </c>
    </row>
    <row r="582" customFormat="false" ht="15" hidden="false" customHeight="true" outlineLevel="0" collapsed="false">
      <c r="A582" s="54" t="n">
        <v>20260710</v>
      </c>
      <c r="B582" s="54" t="s">
        <v>306</v>
      </c>
      <c r="C582" s="54" t="s">
        <v>290</v>
      </c>
      <c r="D582" s="54" t="s">
        <v>1636</v>
      </c>
      <c r="E582" s="54" t="s">
        <v>1637</v>
      </c>
      <c r="F582" s="54" t="s">
        <v>1643</v>
      </c>
      <c r="G582" s="54" t="s">
        <v>1645</v>
      </c>
      <c r="H582" s="54" t="n">
        <v>7108</v>
      </c>
      <c r="I582" s="54" t="s">
        <v>295</v>
      </c>
      <c r="J582" s="54" t="s">
        <v>1067</v>
      </c>
    </row>
    <row r="583" customFormat="false" ht="15" hidden="false" customHeight="true" outlineLevel="0" collapsed="false">
      <c r="A583" s="54" t="n">
        <v>20260710</v>
      </c>
      <c r="B583" s="54" t="s">
        <v>592</v>
      </c>
      <c r="C583" s="54" t="s">
        <v>290</v>
      </c>
      <c r="D583" s="54" t="s">
        <v>1646</v>
      </c>
      <c r="E583" s="54" t="s">
        <v>1647</v>
      </c>
      <c r="F583" s="54" t="s">
        <v>1648</v>
      </c>
      <c r="G583" s="54" t="s">
        <v>1649</v>
      </c>
      <c r="H583" s="54" t="n">
        <v>15137</v>
      </c>
      <c r="I583" s="54" t="s">
        <v>295</v>
      </c>
      <c r="J583" s="54" t="s">
        <v>1650</v>
      </c>
    </row>
    <row r="584" customFormat="false" ht="15" hidden="false" customHeight="true" outlineLevel="0" collapsed="false">
      <c r="A584" s="54" t="n">
        <v>20260710</v>
      </c>
      <c r="B584" s="54" t="s">
        <v>592</v>
      </c>
      <c r="C584" s="54" t="s">
        <v>290</v>
      </c>
      <c r="D584" s="54" t="s">
        <v>1646</v>
      </c>
      <c r="E584" s="54" t="s">
        <v>1647</v>
      </c>
      <c r="F584" s="54" t="s">
        <v>1651</v>
      </c>
      <c r="G584" s="54" t="s">
        <v>1652</v>
      </c>
      <c r="H584" s="54" t="n">
        <v>10499</v>
      </c>
      <c r="I584" s="54" t="s">
        <v>295</v>
      </c>
      <c r="J584" s="54" t="s">
        <v>1650</v>
      </c>
    </row>
    <row r="585" customFormat="false" ht="15" hidden="false" customHeight="true" outlineLevel="0" collapsed="false">
      <c r="A585" s="54" t="n">
        <v>20260710</v>
      </c>
      <c r="B585" s="54" t="s">
        <v>592</v>
      </c>
      <c r="C585" s="54" t="s">
        <v>290</v>
      </c>
      <c r="D585" s="54" t="s">
        <v>1646</v>
      </c>
      <c r="E585" s="54" t="s">
        <v>1647</v>
      </c>
      <c r="F585" s="54" t="s">
        <v>1653</v>
      </c>
      <c r="G585" s="54" t="s">
        <v>1654</v>
      </c>
      <c r="H585" s="54" t="n">
        <v>3170</v>
      </c>
      <c r="I585" s="54" t="s">
        <v>295</v>
      </c>
      <c r="J585" s="54" t="s">
        <v>1650</v>
      </c>
    </row>
    <row r="586" customFormat="false" ht="15" hidden="false" customHeight="true" outlineLevel="0" collapsed="false">
      <c r="A586" s="54" t="n">
        <v>20260710</v>
      </c>
      <c r="B586" s="54" t="s">
        <v>289</v>
      </c>
      <c r="C586" s="54" t="s">
        <v>307</v>
      </c>
      <c r="D586" s="54" t="s">
        <v>1655</v>
      </c>
      <c r="E586" s="54" t="s">
        <v>1656</v>
      </c>
      <c r="F586" s="54" t="s">
        <v>1657</v>
      </c>
      <c r="G586" s="54" t="s">
        <v>1658</v>
      </c>
      <c r="H586" s="54" t="n">
        <v>23959</v>
      </c>
      <c r="I586" s="54" t="s">
        <v>295</v>
      </c>
      <c r="J586" s="54" t="s">
        <v>1659</v>
      </c>
    </row>
    <row r="587" customFormat="false" ht="15" hidden="false" customHeight="true" outlineLevel="0" collapsed="false">
      <c r="A587" s="54" t="n">
        <v>20260710</v>
      </c>
      <c r="B587" s="54" t="s">
        <v>289</v>
      </c>
      <c r="C587" s="54" t="s">
        <v>307</v>
      </c>
      <c r="D587" s="54" t="s">
        <v>1655</v>
      </c>
      <c r="E587" s="54" t="s">
        <v>1656</v>
      </c>
      <c r="F587" s="54" t="s">
        <v>1660</v>
      </c>
      <c r="G587" s="54" t="s">
        <v>1661</v>
      </c>
      <c r="H587" s="54" t="n">
        <v>4536</v>
      </c>
      <c r="I587" s="54" t="s">
        <v>295</v>
      </c>
      <c r="J587" s="54" t="s">
        <v>1659</v>
      </c>
    </row>
    <row r="588" customFormat="false" ht="15" hidden="false" customHeight="true" outlineLevel="0" collapsed="false">
      <c r="A588" s="54" t="n">
        <v>20260710</v>
      </c>
      <c r="B588" s="54" t="s">
        <v>289</v>
      </c>
      <c r="C588" s="54" t="s">
        <v>290</v>
      </c>
      <c r="D588" s="54" t="s">
        <v>1662</v>
      </c>
      <c r="E588" s="54" t="s">
        <v>1663</v>
      </c>
      <c r="F588" s="54" t="s">
        <v>1664</v>
      </c>
      <c r="G588" s="54" t="s">
        <v>1665</v>
      </c>
      <c r="H588" s="54" t="n">
        <v>18190</v>
      </c>
      <c r="I588" s="54" t="s">
        <v>360</v>
      </c>
      <c r="J588" s="54" t="s">
        <v>569</v>
      </c>
    </row>
    <row r="589" customFormat="false" ht="15" hidden="false" customHeight="true" outlineLevel="0" collapsed="false">
      <c r="A589" s="54" t="n">
        <v>20260710</v>
      </c>
      <c r="B589" s="54" t="s">
        <v>289</v>
      </c>
      <c r="C589" s="54" t="s">
        <v>290</v>
      </c>
      <c r="D589" s="54" t="s">
        <v>1662</v>
      </c>
      <c r="E589" s="54" t="s">
        <v>1663</v>
      </c>
      <c r="F589" s="54" t="s">
        <v>1664</v>
      </c>
      <c r="G589" s="54" t="s">
        <v>1665</v>
      </c>
      <c r="H589" s="54" t="n">
        <v>18190</v>
      </c>
      <c r="I589" s="54" t="s">
        <v>295</v>
      </c>
      <c r="J589" s="54" t="s">
        <v>569</v>
      </c>
    </row>
    <row r="590" customFormat="false" ht="15" hidden="false" customHeight="true" outlineLevel="0" collapsed="false">
      <c r="A590" s="54" t="n">
        <v>20260710</v>
      </c>
      <c r="B590" s="54" t="s">
        <v>289</v>
      </c>
      <c r="C590" s="54" t="s">
        <v>290</v>
      </c>
      <c r="D590" s="54" t="s">
        <v>1662</v>
      </c>
      <c r="E590" s="54" t="s">
        <v>1663</v>
      </c>
      <c r="F590" s="54" t="s">
        <v>1666</v>
      </c>
      <c r="G590" s="54" t="s">
        <v>1667</v>
      </c>
      <c r="H590" s="54" t="n">
        <v>10804</v>
      </c>
      <c r="I590" s="54" t="s">
        <v>295</v>
      </c>
      <c r="J590" s="54" t="s">
        <v>569</v>
      </c>
    </row>
    <row r="591" customFormat="false" ht="15" hidden="false" customHeight="true" outlineLevel="0" collapsed="false">
      <c r="A591" s="54" t="n">
        <v>20260710</v>
      </c>
      <c r="B591" s="54" t="s">
        <v>289</v>
      </c>
      <c r="C591" s="54" t="s">
        <v>290</v>
      </c>
      <c r="D591" s="54" t="s">
        <v>1662</v>
      </c>
      <c r="E591" s="54" t="s">
        <v>1663</v>
      </c>
      <c r="F591" s="54" t="s">
        <v>1666</v>
      </c>
      <c r="G591" s="54" t="s">
        <v>1128</v>
      </c>
      <c r="H591" s="54" t="n">
        <v>10805</v>
      </c>
      <c r="I591" s="54" t="s">
        <v>360</v>
      </c>
      <c r="J591" s="54" t="s">
        <v>569</v>
      </c>
    </row>
    <row r="592" customFormat="false" ht="15" hidden="false" customHeight="true" outlineLevel="0" collapsed="false">
      <c r="A592" s="54" t="n">
        <v>20260710</v>
      </c>
      <c r="B592" s="54" t="s">
        <v>289</v>
      </c>
      <c r="C592" s="54" t="s">
        <v>307</v>
      </c>
      <c r="D592" s="54" t="s">
        <v>1668</v>
      </c>
      <c r="E592" s="54" t="s">
        <v>1669</v>
      </c>
      <c r="F592" s="54" t="s">
        <v>1670</v>
      </c>
      <c r="G592" s="54" t="s">
        <v>1671</v>
      </c>
      <c r="H592" s="54" t="n">
        <v>18441</v>
      </c>
      <c r="I592" s="54" t="s">
        <v>295</v>
      </c>
      <c r="J592" s="54" t="s">
        <v>1441</v>
      </c>
    </row>
    <row r="593" customFormat="false" ht="15" hidden="false" customHeight="true" outlineLevel="0" collapsed="false">
      <c r="A593" s="54" t="n">
        <v>20260710</v>
      </c>
      <c r="B593" s="54" t="s">
        <v>289</v>
      </c>
      <c r="C593" s="54" t="s">
        <v>307</v>
      </c>
      <c r="D593" s="54" t="s">
        <v>1668</v>
      </c>
      <c r="E593" s="54" t="s">
        <v>1669</v>
      </c>
      <c r="F593" s="54" t="s">
        <v>1672</v>
      </c>
      <c r="G593" s="54" t="s">
        <v>1284</v>
      </c>
      <c r="H593" s="54" t="n">
        <v>10127</v>
      </c>
      <c r="I593" s="54" t="s">
        <v>295</v>
      </c>
      <c r="J593" s="54" t="s">
        <v>1441</v>
      </c>
    </row>
    <row r="594" customFormat="false" ht="15" hidden="false" customHeight="true" outlineLevel="0" collapsed="false">
      <c r="A594" s="54" t="n">
        <v>20260710</v>
      </c>
      <c r="B594" s="54" t="s">
        <v>306</v>
      </c>
      <c r="C594" s="54" t="s">
        <v>290</v>
      </c>
      <c r="D594" s="54" t="s">
        <v>348</v>
      </c>
      <c r="E594" s="54" t="s">
        <v>349</v>
      </c>
      <c r="F594" s="54" t="s">
        <v>1673</v>
      </c>
      <c r="G594" s="54" t="s">
        <v>1674</v>
      </c>
      <c r="H594" s="54" t="n">
        <v>18220</v>
      </c>
      <c r="I594" s="54" t="s">
        <v>295</v>
      </c>
      <c r="J594" s="54" t="s">
        <v>352</v>
      </c>
    </row>
    <row r="595" customFormat="false" ht="15" hidden="false" customHeight="true" outlineLevel="0" collapsed="false">
      <c r="A595" s="54" t="n">
        <v>20260710</v>
      </c>
      <c r="B595" s="54" t="s">
        <v>306</v>
      </c>
      <c r="C595" s="54" t="s">
        <v>290</v>
      </c>
      <c r="D595" s="54" t="s">
        <v>348</v>
      </c>
      <c r="E595" s="54" t="s">
        <v>349</v>
      </c>
      <c r="F595" s="54" t="s">
        <v>1675</v>
      </c>
      <c r="G595" s="54" t="s">
        <v>1674</v>
      </c>
      <c r="H595" s="54" t="n">
        <v>18218</v>
      </c>
      <c r="I595" s="54" t="s">
        <v>315</v>
      </c>
      <c r="J595" s="54" t="s">
        <v>352</v>
      </c>
    </row>
    <row r="596" customFormat="false" ht="15" hidden="false" customHeight="true" outlineLevel="0" collapsed="false">
      <c r="A596" s="54" t="n">
        <v>20260710</v>
      </c>
      <c r="B596" s="54" t="s">
        <v>306</v>
      </c>
      <c r="C596" s="54" t="s">
        <v>290</v>
      </c>
      <c r="D596" s="54" t="s">
        <v>348</v>
      </c>
      <c r="E596" s="54" t="s">
        <v>349</v>
      </c>
      <c r="F596" s="54" t="s">
        <v>1676</v>
      </c>
      <c r="G596" s="54" t="s">
        <v>1677</v>
      </c>
      <c r="H596" s="54" t="n">
        <v>9725</v>
      </c>
      <c r="I596" s="54" t="s">
        <v>295</v>
      </c>
      <c r="J596" s="54" t="s">
        <v>352</v>
      </c>
    </row>
    <row r="597" customFormat="false" ht="15" hidden="false" customHeight="true" outlineLevel="0" collapsed="false">
      <c r="A597" s="54" t="n">
        <v>20260710</v>
      </c>
      <c r="B597" s="54" t="s">
        <v>306</v>
      </c>
      <c r="C597" s="54" t="s">
        <v>290</v>
      </c>
      <c r="D597" s="54" t="s">
        <v>348</v>
      </c>
      <c r="E597" s="54" t="s">
        <v>349</v>
      </c>
      <c r="F597" s="54" t="s">
        <v>1678</v>
      </c>
      <c r="G597" s="54" t="s">
        <v>1679</v>
      </c>
      <c r="H597" s="54" t="n">
        <v>9726</v>
      </c>
      <c r="I597" s="54" t="s">
        <v>315</v>
      </c>
      <c r="J597" s="54" t="s">
        <v>352</v>
      </c>
    </row>
    <row r="598" customFormat="false" ht="15" hidden="false" customHeight="true" outlineLevel="0" collapsed="false">
      <c r="A598" s="54" t="n">
        <v>20260710</v>
      </c>
      <c r="B598" s="54" t="s">
        <v>306</v>
      </c>
      <c r="C598" s="54" t="s">
        <v>290</v>
      </c>
      <c r="D598" s="54" t="s">
        <v>1680</v>
      </c>
      <c r="E598" s="54" t="s">
        <v>1681</v>
      </c>
      <c r="F598" s="54" t="s">
        <v>1682</v>
      </c>
      <c r="G598" s="54" t="s">
        <v>1683</v>
      </c>
      <c r="H598" s="54" t="n">
        <v>11718</v>
      </c>
      <c r="I598" s="54" t="s">
        <v>295</v>
      </c>
      <c r="J598" s="54" t="s">
        <v>1265</v>
      </c>
    </row>
    <row r="599" customFormat="false" ht="15" hidden="false" customHeight="true" outlineLevel="0" collapsed="false">
      <c r="A599" s="54" t="n">
        <v>20260710</v>
      </c>
      <c r="B599" s="54" t="s">
        <v>306</v>
      </c>
      <c r="C599" s="54" t="s">
        <v>290</v>
      </c>
      <c r="D599" s="54" t="s">
        <v>1680</v>
      </c>
      <c r="E599" s="54" t="s">
        <v>1681</v>
      </c>
      <c r="F599" s="54" t="s">
        <v>1684</v>
      </c>
      <c r="G599" s="54" t="s">
        <v>1685</v>
      </c>
      <c r="H599" s="54" t="n">
        <v>5904</v>
      </c>
      <c r="I599" s="54" t="s">
        <v>295</v>
      </c>
      <c r="J599" s="54" t="s">
        <v>1265</v>
      </c>
    </row>
    <row r="600" customFormat="false" ht="15" hidden="false" customHeight="true" outlineLevel="0" collapsed="false">
      <c r="A600" s="54" t="n">
        <v>20260710</v>
      </c>
      <c r="B600" s="54" t="s">
        <v>306</v>
      </c>
      <c r="C600" s="54" t="s">
        <v>290</v>
      </c>
      <c r="D600" s="54" t="s">
        <v>1680</v>
      </c>
      <c r="E600" s="54" t="s">
        <v>1681</v>
      </c>
      <c r="F600" s="54" t="s">
        <v>1686</v>
      </c>
      <c r="G600" s="54" t="s">
        <v>1247</v>
      </c>
      <c r="H600" s="54" t="n">
        <v>10766</v>
      </c>
      <c r="I600" s="54" t="s">
        <v>295</v>
      </c>
      <c r="J600" s="54" t="s">
        <v>1265</v>
      </c>
    </row>
    <row r="601" customFormat="false" ht="15" hidden="false" customHeight="true" outlineLevel="0" collapsed="false">
      <c r="A601" s="54" t="n">
        <v>20260710</v>
      </c>
      <c r="B601" s="54" t="s">
        <v>289</v>
      </c>
      <c r="C601" s="54" t="s">
        <v>290</v>
      </c>
      <c r="D601" s="54" t="s">
        <v>1687</v>
      </c>
      <c r="E601" s="54" t="s">
        <v>1688</v>
      </c>
      <c r="F601" s="54" t="s">
        <v>1689</v>
      </c>
      <c r="G601" s="54" t="s">
        <v>1690</v>
      </c>
      <c r="H601" s="54" t="n">
        <v>10178</v>
      </c>
      <c r="I601" s="54" t="s">
        <v>295</v>
      </c>
      <c r="J601" s="54" t="s">
        <v>459</v>
      </c>
    </row>
    <row r="602" customFormat="false" ht="15" hidden="false" customHeight="true" outlineLevel="0" collapsed="false">
      <c r="A602" s="54" t="n">
        <v>20260710</v>
      </c>
      <c r="B602" s="54" t="s">
        <v>289</v>
      </c>
      <c r="C602" s="54" t="s">
        <v>290</v>
      </c>
      <c r="D602" s="54" t="s">
        <v>1691</v>
      </c>
      <c r="E602" s="54" t="s">
        <v>1692</v>
      </c>
      <c r="F602" s="54" t="s">
        <v>1693</v>
      </c>
      <c r="G602" s="54" t="s">
        <v>1535</v>
      </c>
      <c r="H602" s="54" t="n">
        <v>17986</v>
      </c>
      <c r="I602" s="54" t="s">
        <v>295</v>
      </c>
      <c r="J602" s="54" t="s">
        <v>569</v>
      </c>
    </row>
    <row r="603" customFormat="false" ht="15" hidden="false" customHeight="true" outlineLevel="0" collapsed="false">
      <c r="A603" s="54" t="n">
        <v>20260710</v>
      </c>
      <c r="B603" s="54" t="s">
        <v>289</v>
      </c>
      <c r="C603" s="54" t="s">
        <v>290</v>
      </c>
      <c r="D603" s="54" t="s">
        <v>1691</v>
      </c>
      <c r="E603" s="54" t="s">
        <v>1692</v>
      </c>
      <c r="F603" s="54" t="s">
        <v>1089</v>
      </c>
      <c r="G603" s="54" t="s">
        <v>929</v>
      </c>
      <c r="H603" s="54" t="n">
        <v>10799</v>
      </c>
      <c r="I603" s="54" t="s">
        <v>295</v>
      </c>
      <c r="J603" s="54" t="s">
        <v>569</v>
      </c>
    </row>
    <row r="604" customFormat="false" ht="15" hidden="false" customHeight="true" outlineLevel="0" collapsed="false">
      <c r="A604" s="54" t="n">
        <v>20260710</v>
      </c>
      <c r="B604" s="54" t="s">
        <v>306</v>
      </c>
      <c r="C604" s="54" t="s">
        <v>290</v>
      </c>
      <c r="D604" s="54" t="s">
        <v>1694</v>
      </c>
      <c r="E604" s="54" t="s">
        <v>1695</v>
      </c>
      <c r="F604" s="54" t="s">
        <v>1696</v>
      </c>
      <c r="G604" s="54" t="s">
        <v>1697</v>
      </c>
      <c r="H604" s="54" t="n">
        <v>17639</v>
      </c>
      <c r="I604" s="54" t="s">
        <v>295</v>
      </c>
      <c r="J604" s="54" t="s">
        <v>622</v>
      </c>
    </row>
    <row r="605" customFormat="false" ht="15" hidden="false" customHeight="true" outlineLevel="0" collapsed="false">
      <c r="A605" s="54" t="n">
        <v>20260710</v>
      </c>
      <c r="B605" s="54" t="s">
        <v>306</v>
      </c>
      <c r="C605" s="54" t="s">
        <v>290</v>
      </c>
      <c r="D605" s="54" t="s">
        <v>1694</v>
      </c>
      <c r="E605" s="54" t="s">
        <v>1695</v>
      </c>
      <c r="F605" s="54" t="s">
        <v>1698</v>
      </c>
      <c r="G605" s="54" t="s">
        <v>1653</v>
      </c>
      <c r="H605" s="54" t="n">
        <v>11839</v>
      </c>
      <c r="I605" s="54" t="s">
        <v>295</v>
      </c>
      <c r="J605" s="54" t="s">
        <v>622</v>
      </c>
    </row>
    <row r="606" customFormat="false" ht="15" hidden="false" customHeight="true" outlineLevel="0" collapsed="false">
      <c r="A606" s="54" t="n">
        <v>20260710</v>
      </c>
      <c r="B606" s="54" t="s">
        <v>289</v>
      </c>
      <c r="C606" s="54" t="s">
        <v>290</v>
      </c>
      <c r="D606" s="54" t="s">
        <v>1699</v>
      </c>
      <c r="E606" s="54" t="s">
        <v>1700</v>
      </c>
      <c r="F606" s="54" t="s">
        <v>1701</v>
      </c>
      <c r="G606" s="54" t="s">
        <v>1702</v>
      </c>
      <c r="H606" s="54" t="n">
        <v>15379</v>
      </c>
      <c r="I606" s="54" t="s">
        <v>295</v>
      </c>
      <c r="J606" s="54" t="s">
        <v>578</v>
      </c>
    </row>
    <row r="607" customFormat="false" ht="15" hidden="false" customHeight="true" outlineLevel="0" collapsed="false">
      <c r="A607" s="54" t="n">
        <v>20260710</v>
      </c>
      <c r="B607" s="54" t="s">
        <v>289</v>
      </c>
      <c r="C607" s="54" t="s">
        <v>290</v>
      </c>
      <c r="D607" s="54" t="s">
        <v>1699</v>
      </c>
      <c r="E607" s="54" t="s">
        <v>1700</v>
      </c>
      <c r="F607" s="54" t="s">
        <v>1703</v>
      </c>
      <c r="G607" s="54" t="s">
        <v>1704</v>
      </c>
      <c r="H607" s="54" t="n">
        <v>14177</v>
      </c>
      <c r="I607" s="54" t="s">
        <v>295</v>
      </c>
      <c r="J607" s="54" t="s">
        <v>578</v>
      </c>
    </row>
    <row r="608" customFormat="false" ht="15" hidden="false" customHeight="true" outlineLevel="0" collapsed="false">
      <c r="A608" s="54" t="n">
        <v>20260710</v>
      </c>
      <c r="B608" s="54" t="s">
        <v>168</v>
      </c>
      <c r="C608" s="54" t="s">
        <v>290</v>
      </c>
      <c r="D608" s="54" t="s">
        <v>1705</v>
      </c>
      <c r="E608" s="54" t="s">
        <v>1706</v>
      </c>
      <c r="F608" s="54" t="s">
        <v>1707</v>
      </c>
      <c r="G608" s="54" t="s">
        <v>1708</v>
      </c>
      <c r="H608" s="54" t="n">
        <v>12651</v>
      </c>
      <c r="I608" s="54" t="s">
        <v>295</v>
      </c>
      <c r="J608" s="54" t="s">
        <v>1709</v>
      </c>
    </row>
    <row r="609" customFormat="false" ht="15" hidden="false" customHeight="true" outlineLevel="0" collapsed="false">
      <c r="A609" s="54" t="n">
        <v>20260710</v>
      </c>
      <c r="B609" s="54" t="s">
        <v>168</v>
      </c>
      <c r="C609" s="54" t="s">
        <v>290</v>
      </c>
      <c r="D609" s="54" t="s">
        <v>1705</v>
      </c>
      <c r="E609" s="54" t="s">
        <v>1706</v>
      </c>
      <c r="F609" s="54" t="s">
        <v>1710</v>
      </c>
      <c r="G609" s="54" t="s">
        <v>1711</v>
      </c>
      <c r="H609" s="54" t="n">
        <v>16327</v>
      </c>
      <c r="I609" s="54" t="s">
        <v>295</v>
      </c>
      <c r="J609" s="54" t="s">
        <v>1709</v>
      </c>
    </row>
    <row r="610" customFormat="false" ht="15" hidden="false" customHeight="true" outlineLevel="0" collapsed="false">
      <c r="A610" s="54" t="n">
        <v>20260710</v>
      </c>
      <c r="B610" s="54" t="s">
        <v>289</v>
      </c>
      <c r="C610" s="54" t="s">
        <v>290</v>
      </c>
      <c r="D610" s="54" t="s">
        <v>1712</v>
      </c>
      <c r="E610" s="54" t="s">
        <v>1713</v>
      </c>
      <c r="F610" s="54" t="s">
        <v>1714</v>
      </c>
      <c r="G610" s="54" t="s">
        <v>1715</v>
      </c>
      <c r="H610" s="54" t="n">
        <v>14648</v>
      </c>
      <c r="I610" s="54" t="s">
        <v>295</v>
      </c>
      <c r="J610" s="54" t="s">
        <v>578</v>
      </c>
    </row>
    <row r="611" customFormat="false" ht="15" hidden="false" customHeight="true" outlineLevel="0" collapsed="false">
      <c r="A611" s="54" t="n">
        <v>20260710</v>
      </c>
      <c r="B611" s="54" t="s">
        <v>289</v>
      </c>
      <c r="C611" s="54" t="s">
        <v>290</v>
      </c>
      <c r="D611" s="54" t="s">
        <v>1712</v>
      </c>
      <c r="E611" s="54" t="s">
        <v>1713</v>
      </c>
      <c r="F611" s="54" t="s">
        <v>1716</v>
      </c>
      <c r="G611" s="54" t="s">
        <v>1717</v>
      </c>
      <c r="H611" s="54" t="n">
        <v>8579</v>
      </c>
      <c r="I611" s="54" t="s">
        <v>295</v>
      </c>
      <c r="J611" s="54" t="s">
        <v>578</v>
      </c>
    </row>
    <row r="612" customFormat="false" ht="15" hidden="false" customHeight="true" outlineLevel="0" collapsed="false">
      <c r="A612" s="54" t="n">
        <v>20260710</v>
      </c>
      <c r="B612" s="54" t="s">
        <v>289</v>
      </c>
      <c r="C612" s="54" t="s">
        <v>290</v>
      </c>
      <c r="D612" s="54" t="s">
        <v>1712</v>
      </c>
      <c r="E612" s="54" t="s">
        <v>1713</v>
      </c>
      <c r="F612" s="54" t="s">
        <v>1718</v>
      </c>
      <c r="G612" s="54" t="s">
        <v>1719</v>
      </c>
      <c r="H612" s="54" t="n">
        <v>5776</v>
      </c>
      <c r="I612" s="54" t="s">
        <v>295</v>
      </c>
      <c r="J612" s="54" t="s">
        <v>578</v>
      </c>
    </row>
    <row r="613" customFormat="false" ht="15" hidden="false" customHeight="true" outlineLevel="0" collapsed="false">
      <c r="A613" s="54" t="n">
        <v>20260710</v>
      </c>
      <c r="B613" s="54" t="s">
        <v>289</v>
      </c>
      <c r="C613" s="54" t="s">
        <v>307</v>
      </c>
      <c r="D613" s="54" t="s">
        <v>1720</v>
      </c>
      <c r="E613" s="54" t="s">
        <v>1721</v>
      </c>
      <c r="F613" s="54" t="s">
        <v>1348</v>
      </c>
      <c r="G613" s="54" t="s">
        <v>1358</v>
      </c>
      <c r="H613" s="54" t="n">
        <v>18004</v>
      </c>
      <c r="I613" s="54" t="s">
        <v>295</v>
      </c>
      <c r="J613" s="54" t="s">
        <v>1659</v>
      </c>
    </row>
    <row r="614" customFormat="false" ht="15" hidden="false" customHeight="true" outlineLevel="0" collapsed="false">
      <c r="A614" s="54" t="n">
        <v>20260710</v>
      </c>
      <c r="B614" s="54" t="s">
        <v>289</v>
      </c>
      <c r="C614" s="54" t="s">
        <v>307</v>
      </c>
      <c r="D614" s="54" t="s">
        <v>1720</v>
      </c>
      <c r="E614" s="54" t="s">
        <v>1721</v>
      </c>
      <c r="F614" s="54" t="s">
        <v>1722</v>
      </c>
      <c r="G614" s="54" t="s">
        <v>1723</v>
      </c>
      <c r="H614" s="54" t="n">
        <v>14530</v>
      </c>
      <c r="I614" s="54" t="s">
        <v>295</v>
      </c>
      <c r="J614" s="54" t="s">
        <v>1659</v>
      </c>
    </row>
    <row r="615" customFormat="false" ht="15" hidden="false" customHeight="true" outlineLevel="0" collapsed="false">
      <c r="A615" s="54" t="n">
        <v>20260710</v>
      </c>
      <c r="B615" s="54" t="s">
        <v>306</v>
      </c>
      <c r="C615" s="54" t="s">
        <v>307</v>
      </c>
      <c r="D615" s="54" t="s">
        <v>1724</v>
      </c>
      <c r="E615" s="54" t="s">
        <v>1725</v>
      </c>
      <c r="F615" s="54" t="s">
        <v>1726</v>
      </c>
      <c r="G615" s="54" t="s">
        <v>1727</v>
      </c>
      <c r="H615" s="54" t="n">
        <v>18111</v>
      </c>
      <c r="I615" s="54" t="s">
        <v>295</v>
      </c>
      <c r="J615" s="54" t="s">
        <v>752</v>
      </c>
    </row>
    <row r="616" customFormat="false" ht="15" hidden="false" customHeight="true" outlineLevel="0" collapsed="false">
      <c r="A616" s="54" t="n">
        <v>20260710</v>
      </c>
      <c r="B616" s="54" t="s">
        <v>306</v>
      </c>
      <c r="C616" s="54" t="s">
        <v>307</v>
      </c>
      <c r="D616" s="54" t="s">
        <v>1724</v>
      </c>
      <c r="E616" s="54" t="s">
        <v>1725</v>
      </c>
      <c r="F616" s="54" t="s">
        <v>1728</v>
      </c>
      <c r="G616" s="54" t="s">
        <v>1727</v>
      </c>
      <c r="H616" s="54" t="n">
        <v>18110</v>
      </c>
      <c r="I616" s="54" t="s">
        <v>315</v>
      </c>
      <c r="J616" s="54" t="s">
        <v>752</v>
      </c>
    </row>
    <row r="617" customFormat="false" ht="15" hidden="false" customHeight="true" outlineLevel="0" collapsed="false">
      <c r="A617" s="54" t="n">
        <v>20260710</v>
      </c>
      <c r="B617" s="54" t="s">
        <v>306</v>
      </c>
      <c r="C617" s="54" t="s">
        <v>307</v>
      </c>
      <c r="D617" s="54" t="s">
        <v>1724</v>
      </c>
      <c r="E617" s="54" t="s">
        <v>1725</v>
      </c>
      <c r="F617" s="54" t="s">
        <v>1729</v>
      </c>
      <c r="G617" s="54" t="s">
        <v>1730</v>
      </c>
      <c r="H617" s="54" t="n">
        <v>11287</v>
      </c>
      <c r="I617" s="54" t="s">
        <v>315</v>
      </c>
      <c r="J617" s="54" t="s">
        <v>752</v>
      </c>
    </row>
    <row r="618" customFormat="false" ht="15" hidden="false" customHeight="true" outlineLevel="0" collapsed="false">
      <c r="A618" s="54" t="n">
        <v>20260710</v>
      </c>
      <c r="B618" s="54" t="s">
        <v>306</v>
      </c>
      <c r="C618" s="54" t="s">
        <v>307</v>
      </c>
      <c r="D618" s="54" t="s">
        <v>1724</v>
      </c>
      <c r="E618" s="54" t="s">
        <v>1725</v>
      </c>
      <c r="F618" s="54" t="s">
        <v>1729</v>
      </c>
      <c r="G618" s="54" t="s">
        <v>1730</v>
      </c>
      <c r="H618" s="54" t="n">
        <v>11287</v>
      </c>
      <c r="I618" s="54" t="s">
        <v>295</v>
      </c>
      <c r="J618" s="54" t="s">
        <v>752</v>
      </c>
    </row>
    <row r="619" customFormat="false" ht="15" hidden="false" customHeight="true" outlineLevel="0" collapsed="false">
      <c r="A619" s="54" t="n">
        <v>20260710</v>
      </c>
      <c r="B619" s="54" t="s">
        <v>688</v>
      </c>
      <c r="C619" s="54" t="s">
        <v>290</v>
      </c>
      <c r="D619" s="54" t="s">
        <v>1731</v>
      </c>
      <c r="E619" s="54" t="s">
        <v>1732</v>
      </c>
      <c r="F619" s="54" t="s">
        <v>1733</v>
      </c>
      <c r="G619" s="54" t="s">
        <v>1734</v>
      </c>
      <c r="H619" s="54" t="n">
        <v>18021</v>
      </c>
      <c r="I619" s="54" t="s">
        <v>295</v>
      </c>
      <c r="J619" s="54" t="s">
        <v>997</v>
      </c>
    </row>
    <row r="620" customFormat="false" ht="15" hidden="false" customHeight="true" outlineLevel="0" collapsed="false">
      <c r="A620" s="54" t="n">
        <v>20260710</v>
      </c>
      <c r="B620" s="54" t="s">
        <v>688</v>
      </c>
      <c r="C620" s="54" t="s">
        <v>290</v>
      </c>
      <c r="D620" s="54" t="s">
        <v>1731</v>
      </c>
      <c r="E620" s="54" t="s">
        <v>1732</v>
      </c>
      <c r="F620" s="54" t="s">
        <v>1735</v>
      </c>
      <c r="G620" s="54" t="s">
        <v>1736</v>
      </c>
      <c r="H620" s="54" t="n">
        <v>3134</v>
      </c>
      <c r="I620" s="54" t="s">
        <v>295</v>
      </c>
      <c r="J620" s="54" t="s">
        <v>997</v>
      </c>
    </row>
    <row r="621" customFormat="false" ht="15" hidden="false" customHeight="true" outlineLevel="0" collapsed="false">
      <c r="A621" s="54" t="n">
        <v>20260710</v>
      </c>
      <c r="B621" s="54" t="s">
        <v>688</v>
      </c>
      <c r="C621" s="54" t="s">
        <v>290</v>
      </c>
      <c r="D621" s="54" t="s">
        <v>1731</v>
      </c>
      <c r="E621" s="54" t="s">
        <v>1732</v>
      </c>
      <c r="F621" s="54" t="s">
        <v>1737</v>
      </c>
      <c r="G621" s="54" t="s">
        <v>1738</v>
      </c>
      <c r="H621" s="54" t="n">
        <v>7666</v>
      </c>
      <c r="I621" s="54" t="s">
        <v>295</v>
      </c>
      <c r="J621" s="54" t="s">
        <v>997</v>
      </c>
    </row>
    <row r="622" customFormat="false" ht="15" hidden="false" customHeight="true" outlineLevel="0" collapsed="false">
      <c r="A622" s="54" t="n">
        <v>20260710</v>
      </c>
      <c r="B622" s="54" t="s">
        <v>535</v>
      </c>
      <c r="C622" s="54" t="s">
        <v>290</v>
      </c>
      <c r="D622" s="54" t="s">
        <v>1739</v>
      </c>
      <c r="E622" s="54" t="s">
        <v>1740</v>
      </c>
      <c r="F622" s="54" t="s">
        <v>1741</v>
      </c>
      <c r="G622" s="54" t="s">
        <v>1742</v>
      </c>
      <c r="H622" s="54" t="n">
        <v>25854</v>
      </c>
      <c r="I622" s="54" t="s">
        <v>295</v>
      </c>
      <c r="J622" s="54" t="s">
        <v>734</v>
      </c>
    </row>
    <row r="623" customFormat="false" ht="15" hidden="false" customHeight="true" outlineLevel="0" collapsed="false">
      <c r="A623" s="54" t="n">
        <v>20260710</v>
      </c>
      <c r="B623" s="54" t="s">
        <v>535</v>
      </c>
      <c r="C623" s="54" t="s">
        <v>290</v>
      </c>
      <c r="D623" s="54" t="s">
        <v>1739</v>
      </c>
      <c r="E623" s="54" t="s">
        <v>1740</v>
      </c>
      <c r="F623" s="54" t="s">
        <v>1743</v>
      </c>
      <c r="G623" s="54" t="s">
        <v>1744</v>
      </c>
      <c r="H623" s="54" t="n">
        <v>920</v>
      </c>
      <c r="I623" s="54" t="s">
        <v>295</v>
      </c>
      <c r="J623" s="54" t="s">
        <v>734</v>
      </c>
    </row>
    <row r="624" customFormat="false" ht="15" hidden="false" customHeight="true" outlineLevel="0" collapsed="false">
      <c r="A624" s="54" t="n">
        <v>20260710</v>
      </c>
      <c r="B624" s="54" t="s">
        <v>497</v>
      </c>
      <c r="C624" s="54" t="s">
        <v>290</v>
      </c>
      <c r="D624" s="54" t="s">
        <v>1745</v>
      </c>
      <c r="E624" s="54" t="s">
        <v>1746</v>
      </c>
      <c r="F624" s="54" t="s">
        <v>1747</v>
      </c>
      <c r="G624" s="54" t="s">
        <v>1748</v>
      </c>
      <c r="H624" s="54" t="n">
        <v>1004</v>
      </c>
      <c r="I624" s="54" t="s">
        <v>295</v>
      </c>
      <c r="J624" s="54" t="s">
        <v>1095</v>
      </c>
    </row>
    <row r="625" customFormat="false" ht="15" hidden="false" customHeight="true" outlineLevel="0" collapsed="false">
      <c r="A625" s="54" t="n">
        <v>20260710</v>
      </c>
      <c r="B625" s="54" t="s">
        <v>497</v>
      </c>
      <c r="C625" s="54" t="s">
        <v>290</v>
      </c>
      <c r="D625" s="54" t="s">
        <v>1745</v>
      </c>
      <c r="E625" s="54" t="s">
        <v>1746</v>
      </c>
      <c r="F625" s="54" t="s">
        <v>1749</v>
      </c>
      <c r="G625" s="54" t="s">
        <v>1750</v>
      </c>
      <c r="H625" s="54" t="n">
        <v>13136</v>
      </c>
      <c r="I625" s="54" t="s">
        <v>295</v>
      </c>
      <c r="J625" s="54" t="s">
        <v>1095</v>
      </c>
    </row>
    <row r="626" customFormat="false" ht="15" hidden="false" customHeight="true" outlineLevel="0" collapsed="false">
      <c r="A626" s="54" t="n">
        <v>20260710</v>
      </c>
      <c r="B626" s="54" t="s">
        <v>497</v>
      </c>
      <c r="C626" s="54" t="s">
        <v>290</v>
      </c>
      <c r="D626" s="54" t="s">
        <v>1745</v>
      </c>
      <c r="E626" s="54" t="s">
        <v>1746</v>
      </c>
      <c r="F626" s="54" t="s">
        <v>1751</v>
      </c>
      <c r="G626" s="54" t="s">
        <v>1752</v>
      </c>
      <c r="H626" s="54" t="n">
        <v>11287</v>
      </c>
      <c r="I626" s="54" t="s">
        <v>295</v>
      </c>
      <c r="J626" s="54" t="s">
        <v>1095</v>
      </c>
    </row>
    <row r="627" customFormat="false" ht="15" hidden="false" customHeight="true" outlineLevel="0" collapsed="false">
      <c r="A627" s="54" t="n">
        <v>20260710</v>
      </c>
      <c r="B627" s="54" t="s">
        <v>688</v>
      </c>
      <c r="C627" s="54" t="s">
        <v>307</v>
      </c>
      <c r="D627" s="54" t="s">
        <v>1753</v>
      </c>
      <c r="E627" s="54" t="s">
        <v>1754</v>
      </c>
      <c r="F627" s="54" t="s">
        <v>1755</v>
      </c>
      <c r="G627" s="54" t="s">
        <v>1756</v>
      </c>
      <c r="H627" s="54" t="n">
        <v>6</v>
      </c>
      <c r="I627" s="54" t="s">
        <v>295</v>
      </c>
      <c r="J627" s="54" t="s">
        <v>142</v>
      </c>
    </row>
    <row r="628" customFormat="false" ht="15" hidden="false" customHeight="true" outlineLevel="0" collapsed="false">
      <c r="A628" s="54" t="n">
        <v>20260710</v>
      </c>
      <c r="B628" s="54" t="s">
        <v>688</v>
      </c>
      <c r="C628" s="54" t="s">
        <v>307</v>
      </c>
      <c r="D628" s="54" t="s">
        <v>1753</v>
      </c>
      <c r="E628" s="54" t="s">
        <v>1754</v>
      </c>
      <c r="F628" s="54" t="s">
        <v>1757</v>
      </c>
      <c r="G628" s="54" t="s">
        <v>1758</v>
      </c>
      <c r="H628" s="54" t="n">
        <v>5890</v>
      </c>
      <c r="I628" s="54" t="s">
        <v>295</v>
      </c>
      <c r="J628" s="54" t="s">
        <v>142</v>
      </c>
    </row>
    <row r="629" customFormat="false" ht="15" hidden="false" customHeight="true" outlineLevel="0" collapsed="false">
      <c r="A629" s="54" t="n">
        <v>20260710</v>
      </c>
      <c r="B629" s="54" t="s">
        <v>688</v>
      </c>
      <c r="C629" s="54" t="s">
        <v>307</v>
      </c>
      <c r="D629" s="54" t="s">
        <v>1753</v>
      </c>
      <c r="E629" s="54" t="s">
        <v>1754</v>
      </c>
      <c r="F629" s="54" t="s">
        <v>1759</v>
      </c>
      <c r="G629" s="54" t="s">
        <v>1760</v>
      </c>
      <c r="H629" s="54" t="n">
        <v>4834</v>
      </c>
      <c r="I629" s="54" t="s">
        <v>295</v>
      </c>
      <c r="J629" s="54" t="s">
        <v>142</v>
      </c>
    </row>
    <row r="630" customFormat="false" ht="15" hidden="false" customHeight="true" outlineLevel="0" collapsed="false">
      <c r="A630" s="54" t="n">
        <v>20260710</v>
      </c>
      <c r="B630" s="54" t="s">
        <v>688</v>
      </c>
      <c r="C630" s="54" t="s">
        <v>307</v>
      </c>
      <c r="D630" s="54" t="s">
        <v>1753</v>
      </c>
      <c r="E630" s="54" t="s">
        <v>1754</v>
      </c>
      <c r="F630" s="54" t="s">
        <v>1761</v>
      </c>
      <c r="G630" s="54" t="s">
        <v>1762</v>
      </c>
      <c r="H630" s="54" t="n">
        <v>17918</v>
      </c>
      <c r="I630" s="54" t="s">
        <v>295</v>
      </c>
      <c r="J630" s="54" t="s">
        <v>142</v>
      </c>
    </row>
    <row r="631" customFormat="false" ht="15" hidden="false" customHeight="true" outlineLevel="0" collapsed="false">
      <c r="A631" s="54" t="n">
        <v>20260710</v>
      </c>
      <c r="B631" s="54" t="s">
        <v>535</v>
      </c>
      <c r="C631" s="54" t="s">
        <v>290</v>
      </c>
      <c r="D631" s="54" t="s">
        <v>1763</v>
      </c>
      <c r="E631" s="54" t="s">
        <v>1764</v>
      </c>
      <c r="F631" s="54" t="s">
        <v>1765</v>
      </c>
      <c r="G631" s="54" t="s">
        <v>1599</v>
      </c>
      <c r="H631" s="54" t="n">
        <v>18195</v>
      </c>
      <c r="I631" s="54" t="s">
        <v>295</v>
      </c>
      <c r="J631" s="54" t="s">
        <v>677</v>
      </c>
    </row>
    <row r="632" customFormat="false" ht="15" hidden="false" customHeight="true" outlineLevel="0" collapsed="false">
      <c r="A632" s="54" t="n">
        <v>20260710</v>
      </c>
      <c r="B632" s="54" t="s">
        <v>535</v>
      </c>
      <c r="C632" s="54" t="s">
        <v>290</v>
      </c>
      <c r="D632" s="54" t="s">
        <v>1763</v>
      </c>
      <c r="E632" s="54" t="s">
        <v>1764</v>
      </c>
      <c r="F632" s="54" t="s">
        <v>1766</v>
      </c>
      <c r="G632" s="54" t="s">
        <v>929</v>
      </c>
      <c r="H632" s="54" t="n">
        <v>10733</v>
      </c>
      <c r="I632" s="54" t="s">
        <v>295</v>
      </c>
      <c r="J632" s="54" t="s">
        <v>677</v>
      </c>
    </row>
    <row r="633" customFormat="false" ht="15" hidden="false" customHeight="true" outlineLevel="0" collapsed="false">
      <c r="A633" s="54" t="n">
        <v>20260710</v>
      </c>
      <c r="B633" s="54" t="s">
        <v>289</v>
      </c>
      <c r="C633" s="54" t="s">
        <v>290</v>
      </c>
      <c r="D633" s="54" t="s">
        <v>1767</v>
      </c>
      <c r="E633" s="54" t="s">
        <v>1768</v>
      </c>
      <c r="F633" s="54" t="s">
        <v>1769</v>
      </c>
      <c r="G633" s="54" t="s">
        <v>1770</v>
      </c>
      <c r="H633" s="54" t="n">
        <v>15849</v>
      </c>
      <c r="I633" s="54" t="s">
        <v>295</v>
      </c>
      <c r="J633" s="54" t="s">
        <v>459</v>
      </c>
    </row>
    <row r="634" customFormat="false" ht="15" hidden="false" customHeight="true" outlineLevel="0" collapsed="false">
      <c r="A634" s="54" t="n">
        <v>20260710</v>
      </c>
      <c r="B634" s="54" t="s">
        <v>289</v>
      </c>
      <c r="C634" s="54" t="s">
        <v>290</v>
      </c>
      <c r="D634" s="54" t="s">
        <v>1767</v>
      </c>
      <c r="E634" s="54" t="s">
        <v>1768</v>
      </c>
      <c r="F634" s="54" t="s">
        <v>1771</v>
      </c>
      <c r="G634" s="54" t="s">
        <v>1770</v>
      </c>
      <c r="H634" s="54" t="n">
        <v>15848</v>
      </c>
      <c r="I634" s="54" t="s">
        <v>360</v>
      </c>
      <c r="J634" s="54" t="s">
        <v>459</v>
      </c>
    </row>
    <row r="635" customFormat="false" ht="15" hidden="false" customHeight="true" outlineLevel="0" collapsed="false">
      <c r="A635" s="54" t="n">
        <v>20260710</v>
      </c>
      <c r="B635" s="54" t="s">
        <v>289</v>
      </c>
      <c r="C635" s="54" t="s">
        <v>290</v>
      </c>
      <c r="D635" s="54" t="s">
        <v>1767</v>
      </c>
      <c r="E635" s="54" t="s">
        <v>1768</v>
      </c>
      <c r="F635" s="54" t="s">
        <v>1772</v>
      </c>
      <c r="G635" s="54" t="s">
        <v>1773</v>
      </c>
      <c r="H635" s="54" t="n">
        <v>13251</v>
      </c>
      <c r="I635" s="54" t="s">
        <v>360</v>
      </c>
      <c r="J635" s="54" t="s">
        <v>459</v>
      </c>
    </row>
    <row r="636" customFormat="false" ht="15" hidden="false" customHeight="true" outlineLevel="0" collapsed="false">
      <c r="A636" s="54" t="n">
        <v>20260710</v>
      </c>
      <c r="B636" s="54" t="s">
        <v>289</v>
      </c>
      <c r="C636" s="54" t="s">
        <v>290</v>
      </c>
      <c r="D636" s="54" t="s">
        <v>1767</v>
      </c>
      <c r="E636" s="54" t="s">
        <v>1768</v>
      </c>
      <c r="F636" s="54" t="s">
        <v>1772</v>
      </c>
      <c r="G636" s="54" t="s">
        <v>1773</v>
      </c>
      <c r="H636" s="54" t="n">
        <v>13251</v>
      </c>
      <c r="I636" s="54" t="s">
        <v>295</v>
      </c>
      <c r="J636" s="54" t="s">
        <v>459</v>
      </c>
    </row>
    <row r="637" customFormat="false" ht="15" hidden="false" customHeight="true" outlineLevel="0" collapsed="false">
      <c r="A637" s="54" t="n">
        <v>20260710</v>
      </c>
      <c r="B637" s="54" t="s">
        <v>306</v>
      </c>
      <c r="C637" s="54" t="s">
        <v>290</v>
      </c>
      <c r="D637" s="54" t="s">
        <v>1774</v>
      </c>
      <c r="E637" s="54" t="s">
        <v>1775</v>
      </c>
      <c r="F637" s="54" t="s">
        <v>1776</v>
      </c>
      <c r="G637" s="54" t="s">
        <v>1777</v>
      </c>
      <c r="H637" s="54" t="n">
        <v>14770</v>
      </c>
      <c r="I637" s="54" t="s">
        <v>315</v>
      </c>
      <c r="J637" s="54" t="s">
        <v>368</v>
      </c>
    </row>
    <row r="638" customFormat="false" ht="15" hidden="false" customHeight="true" outlineLevel="0" collapsed="false">
      <c r="A638" s="54" t="n">
        <v>20260710</v>
      </c>
      <c r="B638" s="54" t="s">
        <v>306</v>
      </c>
      <c r="C638" s="54" t="s">
        <v>290</v>
      </c>
      <c r="D638" s="54" t="s">
        <v>1774</v>
      </c>
      <c r="E638" s="54" t="s">
        <v>1775</v>
      </c>
      <c r="F638" s="54" t="s">
        <v>1776</v>
      </c>
      <c r="G638" s="54" t="s">
        <v>1777</v>
      </c>
      <c r="H638" s="54" t="n">
        <v>14770</v>
      </c>
      <c r="I638" s="54" t="s">
        <v>295</v>
      </c>
      <c r="J638" s="54" t="s">
        <v>368</v>
      </c>
    </row>
    <row r="639" customFormat="false" ht="15" hidden="false" customHeight="true" outlineLevel="0" collapsed="false">
      <c r="A639" s="54" t="n">
        <v>20260710</v>
      </c>
      <c r="B639" s="54" t="s">
        <v>306</v>
      </c>
      <c r="C639" s="54" t="s">
        <v>290</v>
      </c>
      <c r="D639" s="54" t="s">
        <v>1774</v>
      </c>
      <c r="E639" s="54" t="s">
        <v>1775</v>
      </c>
      <c r="F639" s="54" t="s">
        <v>1778</v>
      </c>
      <c r="G639" s="54" t="s">
        <v>1779</v>
      </c>
      <c r="H639" s="54" t="n">
        <v>14164</v>
      </c>
      <c r="I639" s="54" t="s">
        <v>295</v>
      </c>
      <c r="J639" s="54" t="s">
        <v>368</v>
      </c>
    </row>
    <row r="640" customFormat="false" ht="15" hidden="false" customHeight="true" outlineLevel="0" collapsed="false">
      <c r="A640" s="54" t="n">
        <v>20260710</v>
      </c>
      <c r="B640" s="54" t="s">
        <v>306</v>
      </c>
      <c r="C640" s="54" t="s">
        <v>290</v>
      </c>
      <c r="D640" s="54" t="s">
        <v>1774</v>
      </c>
      <c r="E640" s="54" t="s">
        <v>1775</v>
      </c>
      <c r="F640" s="54" t="s">
        <v>1780</v>
      </c>
      <c r="G640" s="54" t="s">
        <v>1779</v>
      </c>
      <c r="H640" s="54" t="n">
        <v>14163</v>
      </c>
      <c r="I640" s="54" t="s">
        <v>315</v>
      </c>
      <c r="J640" s="54" t="s">
        <v>368</v>
      </c>
    </row>
    <row r="641" customFormat="false" ht="15" hidden="false" customHeight="true" outlineLevel="0" collapsed="false">
      <c r="A641" s="54" t="n">
        <v>20260710</v>
      </c>
      <c r="B641" s="54" t="s">
        <v>306</v>
      </c>
      <c r="C641" s="54" t="s">
        <v>290</v>
      </c>
      <c r="D641" s="54" t="s">
        <v>1781</v>
      </c>
      <c r="E641" s="54" t="s">
        <v>1782</v>
      </c>
      <c r="F641" s="54" t="s">
        <v>1783</v>
      </c>
      <c r="G641" s="54" t="s">
        <v>1784</v>
      </c>
      <c r="H641" s="54" t="n">
        <v>18022</v>
      </c>
      <c r="I641" s="54" t="s">
        <v>295</v>
      </c>
      <c r="J641" s="54" t="s">
        <v>1067</v>
      </c>
    </row>
    <row r="642" customFormat="false" ht="15" hidden="false" customHeight="true" outlineLevel="0" collapsed="false">
      <c r="A642" s="54" t="n">
        <v>20260710</v>
      </c>
      <c r="B642" s="54" t="s">
        <v>306</v>
      </c>
      <c r="C642" s="54" t="s">
        <v>290</v>
      </c>
      <c r="D642" s="54" t="s">
        <v>1781</v>
      </c>
      <c r="E642" s="54" t="s">
        <v>1782</v>
      </c>
      <c r="F642" s="54" t="s">
        <v>1785</v>
      </c>
      <c r="G642" s="54" t="s">
        <v>1786</v>
      </c>
      <c r="H642" s="54" t="n">
        <v>8</v>
      </c>
      <c r="I642" s="54" t="s">
        <v>1642</v>
      </c>
      <c r="J642" s="54" t="s">
        <v>1067</v>
      </c>
    </row>
    <row r="643" customFormat="false" ht="15" hidden="false" customHeight="true" outlineLevel="0" collapsed="false">
      <c r="A643" s="54" t="n">
        <v>20260710</v>
      </c>
      <c r="B643" s="54" t="s">
        <v>306</v>
      </c>
      <c r="C643" s="54" t="s">
        <v>290</v>
      </c>
      <c r="D643" s="54" t="s">
        <v>1781</v>
      </c>
      <c r="E643" s="54" t="s">
        <v>1782</v>
      </c>
      <c r="F643" s="54" t="s">
        <v>1787</v>
      </c>
      <c r="G643" s="54" t="s">
        <v>1788</v>
      </c>
      <c r="H643" s="54" t="n">
        <v>1</v>
      </c>
      <c r="I643" s="54" t="s">
        <v>1642</v>
      </c>
      <c r="J643" s="54" t="s">
        <v>1067</v>
      </c>
    </row>
    <row r="644" customFormat="false" ht="15" hidden="false" customHeight="true" outlineLevel="0" collapsed="false">
      <c r="A644" s="54" t="n">
        <v>20260710</v>
      </c>
      <c r="B644" s="54" t="s">
        <v>306</v>
      </c>
      <c r="C644" s="54" t="s">
        <v>290</v>
      </c>
      <c r="D644" s="54" t="s">
        <v>1781</v>
      </c>
      <c r="E644" s="54" t="s">
        <v>1782</v>
      </c>
      <c r="F644" s="54" t="s">
        <v>1787</v>
      </c>
      <c r="G644" s="54" t="s">
        <v>504</v>
      </c>
      <c r="H644" s="54" t="n">
        <v>11224</v>
      </c>
      <c r="I644" s="54" t="s">
        <v>295</v>
      </c>
      <c r="J644" s="54" t="s">
        <v>1067</v>
      </c>
    </row>
    <row r="645" customFormat="false" ht="15" hidden="false" customHeight="true" outlineLevel="0" collapsed="false">
      <c r="A645" s="54" t="n">
        <v>20260710</v>
      </c>
      <c r="B645" s="54" t="s">
        <v>535</v>
      </c>
      <c r="C645" s="54" t="s">
        <v>290</v>
      </c>
      <c r="D645" s="54" t="s">
        <v>1789</v>
      </c>
      <c r="E645" s="54" t="s">
        <v>1790</v>
      </c>
      <c r="F645" s="54" t="s">
        <v>1791</v>
      </c>
      <c r="G645" s="54" t="s">
        <v>1792</v>
      </c>
      <c r="H645" s="54" t="n">
        <v>2964</v>
      </c>
      <c r="I645" s="54" t="s">
        <v>295</v>
      </c>
      <c r="J645" s="54" t="s">
        <v>734</v>
      </c>
    </row>
    <row r="646" customFormat="false" ht="15" hidden="false" customHeight="true" outlineLevel="0" collapsed="false">
      <c r="A646" s="54" t="n">
        <v>20260710</v>
      </c>
      <c r="B646" s="54" t="s">
        <v>535</v>
      </c>
      <c r="C646" s="54" t="s">
        <v>290</v>
      </c>
      <c r="D646" s="54" t="s">
        <v>1789</v>
      </c>
      <c r="E646" s="54" t="s">
        <v>1790</v>
      </c>
      <c r="F646" s="54" t="s">
        <v>1793</v>
      </c>
      <c r="G646" s="54" t="s">
        <v>1794</v>
      </c>
      <c r="H646" s="54" t="n">
        <v>15171</v>
      </c>
      <c r="I646" s="54" t="s">
        <v>295</v>
      </c>
      <c r="J646" s="54" t="s">
        <v>734</v>
      </c>
    </row>
    <row r="647" customFormat="false" ht="15" hidden="false" customHeight="true" outlineLevel="0" collapsed="false">
      <c r="A647" s="54" t="n">
        <v>20260710</v>
      </c>
      <c r="B647" s="54" t="s">
        <v>535</v>
      </c>
      <c r="C647" s="54" t="s">
        <v>290</v>
      </c>
      <c r="D647" s="54" t="s">
        <v>1789</v>
      </c>
      <c r="E647" s="54" t="s">
        <v>1790</v>
      </c>
      <c r="F647" s="54" t="s">
        <v>1795</v>
      </c>
      <c r="G647" s="54" t="s">
        <v>1055</v>
      </c>
      <c r="H647" s="54" t="n">
        <v>10458</v>
      </c>
      <c r="I647" s="54" t="s">
        <v>295</v>
      </c>
      <c r="J647" s="54" t="s">
        <v>734</v>
      </c>
    </row>
    <row r="648" customFormat="false" ht="15" hidden="false" customHeight="true" outlineLevel="0" collapsed="false">
      <c r="A648" s="54" t="n">
        <v>20260710</v>
      </c>
      <c r="B648" s="54" t="s">
        <v>497</v>
      </c>
      <c r="C648" s="54" t="s">
        <v>307</v>
      </c>
      <c r="D648" s="54" t="s">
        <v>1796</v>
      </c>
      <c r="E648" s="54" t="s">
        <v>1797</v>
      </c>
      <c r="F648" s="54" t="s">
        <v>1798</v>
      </c>
      <c r="G648" s="54" t="s">
        <v>1799</v>
      </c>
      <c r="H648" s="54" t="n">
        <v>19508</v>
      </c>
      <c r="I648" s="54" t="s">
        <v>295</v>
      </c>
      <c r="J648" s="54" t="s">
        <v>502</v>
      </c>
    </row>
    <row r="649" customFormat="false" ht="15" hidden="false" customHeight="true" outlineLevel="0" collapsed="false">
      <c r="A649" s="54" t="n">
        <v>20260710</v>
      </c>
      <c r="B649" s="54" t="s">
        <v>497</v>
      </c>
      <c r="C649" s="54" t="s">
        <v>307</v>
      </c>
      <c r="D649" s="54" t="s">
        <v>1796</v>
      </c>
      <c r="E649" s="54" t="s">
        <v>1797</v>
      </c>
      <c r="F649" s="54" t="s">
        <v>1800</v>
      </c>
      <c r="G649" s="54" t="s">
        <v>1801</v>
      </c>
      <c r="H649" s="54" t="n">
        <v>19519</v>
      </c>
      <c r="I649" s="54" t="s">
        <v>315</v>
      </c>
      <c r="J649" s="54" t="s">
        <v>502</v>
      </c>
    </row>
    <row r="650" customFormat="false" ht="15" hidden="false" customHeight="true" outlineLevel="0" collapsed="false">
      <c r="A650" s="54" t="n">
        <v>20260710</v>
      </c>
      <c r="B650" s="54" t="s">
        <v>497</v>
      </c>
      <c r="C650" s="54" t="s">
        <v>307</v>
      </c>
      <c r="D650" s="54" t="s">
        <v>1796</v>
      </c>
      <c r="E650" s="54" t="s">
        <v>1797</v>
      </c>
      <c r="F650" s="54" t="s">
        <v>1802</v>
      </c>
      <c r="G650" s="54" t="s">
        <v>1803</v>
      </c>
      <c r="H650" s="54" t="n">
        <v>10497</v>
      </c>
      <c r="I650" s="54" t="s">
        <v>295</v>
      </c>
      <c r="J650" s="54" t="s">
        <v>502</v>
      </c>
    </row>
    <row r="651" customFormat="false" ht="15" hidden="false" customHeight="true" outlineLevel="0" collapsed="false">
      <c r="A651" s="54" t="n">
        <v>20260710</v>
      </c>
      <c r="B651" s="54" t="s">
        <v>497</v>
      </c>
      <c r="C651" s="54" t="s">
        <v>307</v>
      </c>
      <c r="D651" s="54" t="s">
        <v>1796</v>
      </c>
      <c r="E651" s="54" t="s">
        <v>1797</v>
      </c>
      <c r="F651" s="54" t="s">
        <v>1804</v>
      </c>
      <c r="G651" s="54" t="s">
        <v>1285</v>
      </c>
      <c r="H651" s="54" t="n">
        <v>10514</v>
      </c>
      <c r="I651" s="54" t="s">
        <v>315</v>
      </c>
      <c r="J651" s="54" t="s">
        <v>502</v>
      </c>
    </row>
    <row r="652" customFormat="false" ht="15" hidden="false" customHeight="true" outlineLevel="0" collapsed="false">
      <c r="A652" s="54" t="n">
        <v>20260710</v>
      </c>
      <c r="B652" s="54" t="s">
        <v>497</v>
      </c>
      <c r="C652" s="54" t="s">
        <v>307</v>
      </c>
      <c r="D652" s="54" t="s">
        <v>1805</v>
      </c>
      <c r="E652" s="54" t="s">
        <v>1806</v>
      </c>
      <c r="F652" s="54" t="s">
        <v>1807</v>
      </c>
      <c r="G652" s="54" t="s">
        <v>1808</v>
      </c>
      <c r="H652" s="54" t="n">
        <v>16970</v>
      </c>
      <c r="I652" s="54" t="s">
        <v>295</v>
      </c>
      <c r="J652" s="54" t="s">
        <v>894</v>
      </c>
    </row>
    <row r="653" customFormat="false" ht="15" hidden="false" customHeight="true" outlineLevel="0" collapsed="false">
      <c r="A653" s="54" t="n">
        <v>20260710</v>
      </c>
      <c r="B653" s="54" t="s">
        <v>497</v>
      </c>
      <c r="C653" s="54" t="s">
        <v>307</v>
      </c>
      <c r="D653" s="54" t="s">
        <v>1805</v>
      </c>
      <c r="E653" s="54" t="s">
        <v>1806</v>
      </c>
      <c r="F653" s="54" t="s">
        <v>1809</v>
      </c>
      <c r="G653" s="54" t="s">
        <v>1810</v>
      </c>
      <c r="H653" s="54" t="n">
        <v>12804</v>
      </c>
      <c r="I653" s="54" t="s">
        <v>295</v>
      </c>
      <c r="J653" s="54" t="s">
        <v>894</v>
      </c>
    </row>
    <row r="654" customFormat="false" ht="15" hidden="false" customHeight="true" outlineLevel="0" collapsed="false">
      <c r="A654" s="54" t="n">
        <v>20260710</v>
      </c>
      <c r="B654" s="54" t="s">
        <v>289</v>
      </c>
      <c r="C654" s="54" t="s">
        <v>307</v>
      </c>
      <c r="D654" s="54" t="s">
        <v>1811</v>
      </c>
      <c r="E654" s="54" t="s">
        <v>1191</v>
      </c>
      <c r="F654" s="54" t="s">
        <v>1812</v>
      </c>
      <c r="G654" s="54" t="s">
        <v>1813</v>
      </c>
      <c r="H654" s="54" t="n">
        <v>2813</v>
      </c>
      <c r="I654" s="54" t="s">
        <v>295</v>
      </c>
      <c r="J654" s="54" t="s">
        <v>1814</v>
      </c>
    </row>
    <row r="655" customFormat="false" ht="15" hidden="false" customHeight="true" outlineLevel="0" collapsed="false">
      <c r="A655" s="54" t="n">
        <v>20260710</v>
      </c>
      <c r="B655" s="54" t="s">
        <v>289</v>
      </c>
      <c r="C655" s="54" t="s">
        <v>307</v>
      </c>
      <c r="D655" s="54" t="s">
        <v>1811</v>
      </c>
      <c r="E655" s="54" t="s">
        <v>1191</v>
      </c>
      <c r="F655" s="54" t="s">
        <v>1815</v>
      </c>
      <c r="G655" s="54" t="s">
        <v>1816</v>
      </c>
      <c r="H655" s="54" t="n">
        <v>1799</v>
      </c>
      <c r="I655" s="54" t="s">
        <v>295</v>
      </c>
      <c r="J655" s="54" t="s">
        <v>1814</v>
      </c>
    </row>
    <row r="656" customFormat="false" ht="15" hidden="false" customHeight="true" outlineLevel="0" collapsed="false">
      <c r="A656" s="54" t="n">
        <v>20260710</v>
      </c>
      <c r="B656" s="54" t="s">
        <v>289</v>
      </c>
      <c r="C656" s="54" t="s">
        <v>307</v>
      </c>
      <c r="D656" s="54" t="s">
        <v>1811</v>
      </c>
      <c r="E656" s="54" t="s">
        <v>1191</v>
      </c>
      <c r="F656" s="54" t="s">
        <v>1817</v>
      </c>
      <c r="G656" s="54" t="s">
        <v>1818</v>
      </c>
      <c r="H656" s="54" t="n">
        <v>40</v>
      </c>
      <c r="I656" s="54" t="s">
        <v>295</v>
      </c>
      <c r="J656" s="54" t="s">
        <v>1814</v>
      </c>
    </row>
    <row r="657" customFormat="false" ht="15" hidden="false" customHeight="true" outlineLevel="0" collapsed="false">
      <c r="A657" s="54" t="n">
        <v>20260710</v>
      </c>
      <c r="B657" s="54" t="s">
        <v>289</v>
      </c>
      <c r="C657" s="54" t="s">
        <v>307</v>
      </c>
      <c r="D657" s="54" t="s">
        <v>1811</v>
      </c>
      <c r="E657" s="54" t="s">
        <v>1191</v>
      </c>
      <c r="F657" s="54" t="s">
        <v>1819</v>
      </c>
      <c r="G657" s="54" t="s">
        <v>788</v>
      </c>
      <c r="H657" s="54" t="n">
        <v>4583</v>
      </c>
      <c r="I657" s="54" t="s">
        <v>295</v>
      </c>
      <c r="J657" s="54" t="s">
        <v>1814</v>
      </c>
    </row>
    <row r="658" customFormat="false" ht="15" hidden="false" customHeight="true" outlineLevel="0" collapsed="false">
      <c r="A658" s="54" t="n">
        <v>20260710</v>
      </c>
      <c r="B658" s="54" t="s">
        <v>535</v>
      </c>
      <c r="C658" s="54" t="s">
        <v>290</v>
      </c>
      <c r="D658" s="54" t="s">
        <v>1820</v>
      </c>
      <c r="E658" s="54" t="s">
        <v>1821</v>
      </c>
      <c r="F658" s="54" t="s">
        <v>1822</v>
      </c>
      <c r="G658" s="54" t="s">
        <v>1823</v>
      </c>
      <c r="H658" s="54" t="n">
        <v>31</v>
      </c>
      <c r="I658" s="54" t="s">
        <v>295</v>
      </c>
      <c r="J658" s="54" t="s">
        <v>1370</v>
      </c>
    </row>
    <row r="659" customFormat="false" ht="15" hidden="false" customHeight="true" outlineLevel="0" collapsed="false">
      <c r="A659" s="54" t="n">
        <v>20260710</v>
      </c>
      <c r="B659" s="54" t="s">
        <v>535</v>
      </c>
      <c r="C659" s="54" t="s">
        <v>290</v>
      </c>
      <c r="D659" s="54" t="s">
        <v>1820</v>
      </c>
      <c r="E659" s="54" t="s">
        <v>1821</v>
      </c>
      <c r="F659" s="54" t="s">
        <v>1824</v>
      </c>
      <c r="G659" s="54" t="s">
        <v>1167</v>
      </c>
      <c r="H659" s="54" t="n">
        <v>264</v>
      </c>
      <c r="I659" s="54" t="s">
        <v>295</v>
      </c>
      <c r="J659" s="54" t="s">
        <v>1370</v>
      </c>
    </row>
    <row r="660" customFormat="false" ht="15" hidden="false" customHeight="true" outlineLevel="0" collapsed="false">
      <c r="A660" s="54" t="n">
        <v>20260710</v>
      </c>
      <c r="B660" s="54" t="s">
        <v>535</v>
      </c>
      <c r="C660" s="54" t="s">
        <v>290</v>
      </c>
      <c r="D660" s="54" t="s">
        <v>1820</v>
      </c>
      <c r="E660" s="54" t="s">
        <v>1821</v>
      </c>
      <c r="F660" s="54" t="s">
        <v>1825</v>
      </c>
      <c r="G660" s="54" t="s">
        <v>1826</v>
      </c>
      <c r="H660" s="54" t="n">
        <v>18036</v>
      </c>
      <c r="I660" s="54" t="s">
        <v>295</v>
      </c>
      <c r="J660" s="54" t="s">
        <v>1370</v>
      </c>
    </row>
    <row r="661" customFormat="false" ht="15" hidden="false" customHeight="true" outlineLevel="0" collapsed="false">
      <c r="A661" s="54" t="n">
        <v>20260710</v>
      </c>
      <c r="B661" s="54" t="s">
        <v>535</v>
      </c>
      <c r="C661" s="54" t="s">
        <v>290</v>
      </c>
      <c r="D661" s="54" t="s">
        <v>1820</v>
      </c>
      <c r="E661" s="54" t="s">
        <v>1821</v>
      </c>
      <c r="F661" s="54" t="s">
        <v>1827</v>
      </c>
      <c r="G661" s="54" t="s">
        <v>1553</v>
      </c>
      <c r="H661" s="54" t="n">
        <v>10861</v>
      </c>
      <c r="I661" s="54" t="s">
        <v>295</v>
      </c>
      <c r="J661" s="54" t="s">
        <v>1370</v>
      </c>
    </row>
    <row r="662" customFormat="false" ht="15" hidden="false" customHeight="true" outlineLevel="0" collapsed="false">
      <c r="A662" s="54" t="n">
        <v>20260710</v>
      </c>
      <c r="B662" s="54" t="s">
        <v>306</v>
      </c>
      <c r="C662" s="54" t="s">
        <v>290</v>
      </c>
      <c r="D662" s="54" t="s">
        <v>1828</v>
      </c>
      <c r="E662" s="54" t="s">
        <v>1829</v>
      </c>
      <c r="F662" s="54" t="s">
        <v>1830</v>
      </c>
      <c r="G662" s="54" t="s">
        <v>1831</v>
      </c>
      <c r="H662" s="54" t="n">
        <v>16857</v>
      </c>
      <c r="I662" s="54" t="s">
        <v>295</v>
      </c>
      <c r="J662" s="54" t="s">
        <v>375</v>
      </c>
    </row>
    <row r="663" customFormat="false" ht="15" hidden="false" customHeight="true" outlineLevel="0" collapsed="false">
      <c r="A663" s="54" t="n">
        <v>20260710</v>
      </c>
      <c r="B663" s="54" t="s">
        <v>306</v>
      </c>
      <c r="C663" s="54" t="s">
        <v>290</v>
      </c>
      <c r="D663" s="54" t="s">
        <v>1828</v>
      </c>
      <c r="E663" s="54" t="s">
        <v>1829</v>
      </c>
      <c r="F663" s="54" t="s">
        <v>1832</v>
      </c>
      <c r="G663" s="54" t="s">
        <v>1833</v>
      </c>
      <c r="H663" s="54" t="n">
        <v>12634</v>
      </c>
      <c r="I663" s="54" t="s">
        <v>295</v>
      </c>
      <c r="J663" s="54" t="s">
        <v>375</v>
      </c>
    </row>
    <row r="664" customFormat="false" ht="15" hidden="false" customHeight="true" outlineLevel="0" collapsed="false">
      <c r="A664" s="54" t="n">
        <v>20260710</v>
      </c>
      <c r="B664" s="54" t="s">
        <v>289</v>
      </c>
      <c r="C664" s="54" t="s">
        <v>290</v>
      </c>
      <c r="D664" s="54" t="s">
        <v>1834</v>
      </c>
      <c r="E664" s="54" t="s">
        <v>1835</v>
      </c>
      <c r="F664" s="54" t="s">
        <v>1836</v>
      </c>
      <c r="G664" s="54" t="s">
        <v>1837</v>
      </c>
      <c r="H664" s="54" t="n">
        <v>4242</v>
      </c>
      <c r="I664" s="54" t="s">
        <v>295</v>
      </c>
      <c r="J664" s="54" t="s">
        <v>1431</v>
      </c>
    </row>
    <row r="665" customFormat="false" ht="15" hidden="false" customHeight="true" outlineLevel="0" collapsed="false">
      <c r="A665" s="54" t="n">
        <v>20260710</v>
      </c>
      <c r="B665" s="54" t="s">
        <v>289</v>
      </c>
      <c r="C665" s="54" t="s">
        <v>290</v>
      </c>
      <c r="D665" s="54" t="s">
        <v>1834</v>
      </c>
      <c r="E665" s="54" t="s">
        <v>1835</v>
      </c>
      <c r="F665" s="54" t="s">
        <v>1838</v>
      </c>
      <c r="G665" s="54" t="s">
        <v>1839</v>
      </c>
      <c r="H665" s="54" t="n">
        <v>3480</v>
      </c>
      <c r="I665" s="54" t="s">
        <v>295</v>
      </c>
      <c r="J665" s="54" t="s">
        <v>1431</v>
      </c>
    </row>
    <row r="666" customFormat="false" ht="15" hidden="false" customHeight="true" outlineLevel="0" collapsed="false">
      <c r="A666" s="54" t="n">
        <v>20260710</v>
      </c>
      <c r="B666" s="54" t="s">
        <v>289</v>
      </c>
      <c r="C666" s="54" t="s">
        <v>290</v>
      </c>
      <c r="D666" s="54" t="s">
        <v>1834</v>
      </c>
      <c r="E666" s="54" t="s">
        <v>1835</v>
      </c>
      <c r="F666" s="54" t="s">
        <v>1840</v>
      </c>
      <c r="G666" s="54" t="s">
        <v>1841</v>
      </c>
      <c r="H666" s="54" t="n">
        <v>2961</v>
      </c>
      <c r="I666" s="54" t="s">
        <v>295</v>
      </c>
      <c r="J666" s="54" t="s">
        <v>1431</v>
      </c>
    </row>
    <row r="667" customFormat="false" ht="15" hidden="false" customHeight="true" outlineLevel="0" collapsed="false">
      <c r="A667" s="54" t="n">
        <v>20260710</v>
      </c>
      <c r="B667" s="54" t="s">
        <v>497</v>
      </c>
      <c r="C667" s="54" t="s">
        <v>290</v>
      </c>
      <c r="D667" s="54" t="s">
        <v>1842</v>
      </c>
      <c r="E667" s="54" t="s">
        <v>1843</v>
      </c>
      <c r="F667" s="54" t="s">
        <v>1844</v>
      </c>
      <c r="G667" s="54" t="s">
        <v>1845</v>
      </c>
      <c r="H667" s="54" t="n">
        <v>16429</v>
      </c>
      <c r="I667" s="54" t="s">
        <v>295</v>
      </c>
      <c r="J667" s="54" t="s">
        <v>1095</v>
      </c>
    </row>
    <row r="668" customFormat="false" ht="15" hidden="false" customHeight="true" outlineLevel="0" collapsed="false">
      <c r="A668" s="54" t="n">
        <v>20260710</v>
      </c>
      <c r="B668" s="54" t="s">
        <v>497</v>
      </c>
      <c r="C668" s="54" t="s">
        <v>290</v>
      </c>
      <c r="D668" s="54" t="s">
        <v>1842</v>
      </c>
      <c r="E668" s="54" t="s">
        <v>1843</v>
      </c>
      <c r="F668" s="54" t="s">
        <v>1846</v>
      </c>
      <c r="G668" s="54" t="s">
        <v>1847</v>
      </c>
      <c r="H668" s="54" t="n">
        <v>12563</v>
      </c>
      <c r="I668" s="54" t="s">
        <v>295</v>
      </c>
      <c r="J668" s="54" t="s">
        <v>1095</v>
      </c>
    </row>
    <row r="669" customFormat="false" ht="15" hidden="false" customHeight="true" outlineLevel="0" collapsed="false">
      <c r="A669" s="54" t="n">
        <v>20260710</v>
      </c>
      <c r="B669" s="54" t="s">
        <v>168</v>
      </c>
      <c r="C669" s="54" t="s">
        <v>290</v>
      </c>
      <c r="D669" s="54" t="s">
        <v>1848</v>
      </c>
      <c r="E669" s="54" t="s">
        <v>1849</v>
      </c>
      <c r="F669" s="54" t="s">
        <v>1850</v>
      </c>
      <c r="G669" s="54" t="s">
        <v>1845</v>
      </c>
      <c r="H669" s="54" t="n">
        <v>14365</v>
      </c>
      <c r="I669" s="54" t="s">
        <v>295</v>
      </c>
      <c r="J669" s="54" t="s">
        <v>818</v>
      </c>
    </row>
    <row r="670" customFormat="false" ht="15" hidden="false" customHeight="true" outlineLevel="0" collapsed="false">
      <c r="A670" s="54" t="n">
        <v>20260710</v>
      </c>
      <c r="B670" s="54" t="s">
        <v>168</v>
      </c>
      <c r="C670" s="54" t="s">
        <v>290</v>
      </c>
      <c r="D670" s="54" t="s">
        <v>1848</v>
      </c>
      <c r="E670" s="54" t="s">
        <v>1849</v>
      </c>
      <c r="F670" s="54" t="s">
        <v>1278</v>
      </c>
      <c r="G670" s="54" t="s">
        <v>1851</v>
      </c>
      <c r="H670" s="54" t="n">
        <v>14412</v>
      </c>
      <c r="I670" s="54" t="s">
        <v>295</v>
      </c>
      <c r="J670" s="54" t="s">
        <v>818</v>
      </c>
    </row>
    <row r="671" customFormat="false" ht="15" hidden="false" customHeight="true" outlineLevel="0" collapsed="false">
      <c r="A671" s="54" t="n">
        <v>20260710</v>
      </c>
      <c r="B671" s="54" t="s">
        <v>289</v>
      </c>
      <c r="C671" s="54" t="s">
        <v>290</v>
      </c>
      <c r="D671" s="54" t="s">
        <v>1852</v>
      </c>
      <c r="E671" s="54" t="s">
        <v>1853</v>
      </c>
      <c r="F671" s="54" t="s">
        <v>1854</v>
      </c>
      <c r="G671" s="54" t="s">
        <v>1855</v>
      </c>
      <c r="H671" s="54" t="n">
        <v>18182</v>
      </c>
      <c r="I671" s="54" t="s">
        <v>295</v>
      </c>
      <c r="J671" s="54" t="s">
        <v>1431</v>
      </c>
    </row>
    <row r="672" customFormat="false" ht="15" hidden="false" customHeight="true" outlineLevel="0" collapsed="false">
      <c r="A672" s="54" t="n">
        <v>20260710</v>
      </c>
      <c r="B672" s="54" t="s">
        <v>289</v>
      </c>
      <c r="C672" s="54" t="s">
        <v>290</v>
      </c>
      <c r="D672" s="54" t="s">
        <v>1852</v>
      </c>
      <c r="E672" s="54" t="s">
        <v>1853</v>
      </c>
      <c r="F672" s="54" t="s">
        <v>1856</v>
      </c>
      <c r="G672" s="54" t="s">
        <v>1857</v>
      </c>
      <c r="H672" s="54" t="n">
        <v>32</v>
      </c>
      <c r="I672" s="54" t="s">
        <v>295</v>
      </c>
      <c r="J672" s="54" t="s">
        <v>1431</v>
      </c>
    </row>
    <row r="673" customFormat="false" ht="15" hidden="false" customHeight="true" outlineLevel="0" collapsed="false">
      <c r="A673" s="54" t="n">
        <v>20260710</v>
      </c>
      <c r="B673" s="54" t="s">
        <v>289</v>
      </c>
      <c r="C673" s="54" t="s">
        <v>290</v>
      </c>
      <c r="D673" s="54" t="s">
        <v>1852</v>
      </c>
      <c r="E673" s="54" t="s">
        <v>1853</v>
      </c>
      <c r="F673" s="54" t="s">
        <v>1858</v>
      </c>
      <c r="G673" s="54" t="s">
        <v>1859</v>
      </c>
      <c r="H673" s="54" t="n">
        <v>11422</v>
      </c>
      <c r="I673" s="54" t="s">
        <v>295</v>
      </c>
      <c r="J673" s="54" t="s">
        <v>1431</v>
      </c>
    </row>
    <row r="674" customFormat="false" ht="15" hidden="false" customHeight="true" outlineLevel="0" collapsed="false">
      <c r="A674" s="54" t="n">
        <v>20260710</v>
      </c>
      <c r="B674" s="54" t="s">
        <v>289</v>
      </c>
      <c r="C674" s="54" t="s">
        <v>290</v>
      </c>
      <c r="D674" s="54" t="s">
        <v>1860</v>
      </c>
      <c r="E674" s="54" t="s">
        <v>1861</v>
      </c>
      <c r="F674" s="54" t="s">
        <v>1862</v>
      </c>
      <c r="G674" s="54" t="s">
        <v>1863</v>
      </c>
      <c r="H674" s="54" t="n">
        <v>20295</v>
      </c>
      <c r="I674" s="54" t="s">
        <v>295</v>
      </c>
      <c r="J674" s="54" t="s">
        <v>578</v>
      </c>
    </row>
    <row r="675" customFormat="false" ht="15" hidden="false" customHeight="true" outlineLevel="0" collapsed="false">
      <c r="A675" s="54" t="n">
        <v>20260710</v>
      </c>
      <c r="B675" s="54" t="s">
        <v>289</v>
      </c>
      <c r="C675" s="54" t="s">
        <v>290</v>
      </c>
      <c r="D675" s="54" t="s">
        <v>1860</v>
      </c>
      <c r="E675" s="54" t="s">
        <v>1861</v>
      </c>
      <c r="F675" s="54" t="s">
        <v>1864</v>
      </c>
      <c r="G675" s="54" t="s">
        <v>1865</v>
      </c>
      <c r="H675" s="54" t="n">
        <v>9643</v>
      </c>
      <c r="I675" s="54" t="s">
        <v>295</v>
      </c>
      <c r="J675" s="54" t="s">
        <v>578</v>
      </c>
    </row>
    <row r="676" customFormat="false" ht="15" hidden="false" customHeight="true" outlineLevel="0" collapsed="false">
      <c r="A676" s="54" t="n">
        <v>20260710</v>
      </c>
      <c r="B676" s="54" t="s">
        <v>289</v>
      </c>
      <c r="C676" s="54" t="s">
        <v>290</v>
      </c>
      <c r="D676" s="54" t="s">
        <v>1866</v>
      </c>
      <c r="E676" s="54" t="s">
        <v>1867</v>
      </c>
      <c r="F676" s="54" t="s">
        <v>1868</v>
      </c>
      <c r="G676" s="54" t="s">
        <v>1869</v>
      </c>
      <c r="H676" s="54" t="n">
        <v>10282</v>
      </c>
      <c r="I676" s="54" t="s">
        <v>295</v>
      </c>
      <c r="J676" s="54" t="s">
        <v>1463</v>
      </c>
    </row>
    <row r="677" customFormat="false" ht="15" hidden="false" customHeight="true" outlineLevel="0" collapsed="false">
      <c r="A677" s="54" t="n">
        <v>20260710</v>
      </c>
      <c r="B677" s="54" t="s">
        <v>289</v>
      </c>
      <c r="C677" s="54" t="s">
        <v>290</v>
      </c>
      <c r="D677" s="54" t="s">
        <v>1866</v>
      </c>
      <c r="E677" s="54" t="s">
        <v>1867</v>
      </c>
      <c r="F677" s="54" t="s">
        <v>1870</v>
      </c>
      <c r="G677" s="54" t="s">
        <v>847</v>
      </c>
      <c r="H677" s="54" t="n">
        <v>12827</v>
      </c>
      <c r="I677" s="54" t="s">
        <v>295</v>
      </c>
      <c r="J677" s="54" t="s">
        <v>1463</v>
      </c>
    </row>
    <row r="678" customFormat="false" ht="15" hidden="false" customHeight="true" outlineLevel="0" collapsed="false">
      <c r="A678" s="54" t="n">
        <v>20260710</v>
      </c>
      <c r="B678" s="54" t="s">
        <v>289</v>
      </c>
      <c r="C678" s="54" t="s">
        <v>290</v>
      </c>
      <c r="D678" s="54" t="s">
        <v>1866</v>
      </c>
      <c r="E678" s="54" t="s">
        <v>1867</v>
      </c>
      <c r="F678" s="54" t="s">
        <v>1871</v>
      </c>
      <c r="G678" s="54" t="s">
        <v>1872</v>
      </c>
      <c r="H678" s="54" t="n">
        <v>5404</v>
      </c>
      <c r="I678" s="54" t="s">
        <v>295</v>
      </c>
      <c r="J678" s="54" t="s">
        <v>1463</v>
      </c>
    </row>
    <row r="679" customFormat="false" ht="15" hidden="false" customHeight="true" outlineLevel="0" collapsed="false">
      <c r="A679" s="54" t="n">
        <v>20260710</v>
      </c>
      <c r="B679" s="54" t="s">
        <v>289</v>
      </c>
      <c r="C679" s="54" t="s">
        <v>290</v>
      </c>
      <c r="D679" s="54" t="s">
        <v>1873</v>
      </c>
      <c r="E679" s="54" t="s">
        <v>1874</v>
      </c>
      <c r="F679" s="54" t="s">
        <v>1875</v>
      </c>
      <c r="G679" s="54" t="s">
        <v>1876</v>
      </c>
      <c r="H679" s="54" t="n">
        <v>14852</v>
      </c>
      <c r="I679" s="54" t="s">
        <v>295</v>
      </c>
      <c r="J679" s="54" t="s">
        <v>874</v>
      </c>
    </row>
    <row r="680" customFormat="false" ht="15" hidden="false" customHeight="true" outlineLevel="0" collapsed="false">
      <c r="A680" s="54" t="n">
        <v>20260710</v>
      </c>
      <c r="B680" s="54" t="s">
        <v>289</v>
      </c>
      <c r="C680" s="54" t="s">
        <v>290</v>
      </c>
      <c r="D680" s="54" t="s">
        <v>1873</v>
      </c>
      <c r="E680" s="54" t="s">
        <v>1874</v>
      </c>
      <c r="F680" s="54" t="s">
        <v>1877</v>
      </c>
      <c r="G680" s="54" t="s">
        <v>1878</v>
      </c>
      <c r="H680" s="54" t="n">
        <v>10851</v>
      </c>
      <c r="I680" s="54" t="s">
        <v>295</v>
      </c>
      <c r="J680" s="54" t="s">
        <v>874</v>
      </c>
    </row>
    <row r="681" customFormat="false" ht="15" hidden="false" customHeight="true" outlineLevel="0" collapsed="false">
      <c r="A681" s="54" t="n">
        <v>20260710</v>
      </c>
      <c r="B681" s="54" t="s">
        <v>289</v>
      </c>
      <c r="C681" s="54" t="s">
        <v>290</v>
      </c>
      <c r="D681" s="54" t="s">
        <v>1873</v>
      </c>
      <c r="E681" s="54" t="s">
        <v>1874</v>
      </c>
      <c r="F681" s="54" t="s">
        <v>1879</v>
      </c>
      <c r="G681" s="54" t="s">
        <v>1880</v>
      </c>
      <c r="H681" s="54" t="n">
        <v>4151</v>
      </c>
      <c r="I681" s="54" t="s">
        <v>295</v>
      </c>
      <c r="J681" s="54" t="s">
        <v>874</v>
      </c>
    </row>
    <row r="682" customFormat="false" ht="15" hidden="false" customHeight="true" outlineLevel="0" collapsed="false">
      <c r="A682" s="54" t="n">
        <v>20260710</v>
      </c>
      <c r="B682" s="54" t="s">
        <v>306</v>
      </c>
      <c r="C682" s="54" t="s">
        <v>290</v>
      </c>
      <c r="D682" s="54" t="s">
        <v>1881</v>
      </c>
      <c r="E682" s="54" t="s">
        <v>1882</v>
      </c>
      <c r="F682" s="54" t="s">
        <v>1883</v>
      </c>
      <c r="G682" s="54" t="s">
        <v>1884</v>
      </c>
      <c r="H682" s="54" t="n">
        <v>18081</v>
      </c>
      <c r="I682" s="54" t="s">
        <v>295</v>
      </c>
      <c r="J682" s="54" t="s">
        <v>1265</v>
      </c>
    </row>
    <row r="683" customFormat="false" ht="15" hidden="false" customHeight="true" outlineLevel="0" collapsed="false">
      <c r="A683" s="54" t="n">
        <v>20260710</v>
      </c>
      <c r="B683" s="54" t="s">
        <v>306</v>
      </c>
      <c r="C683" s="54" t="s">
        <v>290</v>
      </c>
      <c r="D683" s="54" t="s">
        <v>1881</v>
      </c>
      <c r="E683" s="54" t="s">
        <v>1882</v>
      </c>
      <c r="F683" s="54" t="s">
        <v>1885</v>
      </c>
      <c r="G683" s="54" t="s">
        <v>1886</v>
      </c>
      <c r="H683" s="54" t="n">
        <v>11428</v>
      </c>
      <c r="I683" s="54" t="s">
        <v>295</v>
      </c>
      <c r="J683" s="54" t="s">
        <v>1265</v>
      </c>
    </row>
    <row r="684" customFormat="false" ht="15" hidden="false" customHeight="true" outlineLevel="0" collapsed="false">
      <c r="A684" s="54" t="n">
        <v>20260710</v>
      </c>
      <c r="B684" s="54" t="s">
        <v>168</v>
      </c>
      <c r="C684" s="54" t="s">
        <v>290</v>
      </c>
      <c r="D684" s="54" t="s">
        <v>1887</v>
      </c>
      <c r="E684" s="54" t="s">
        <v>1888</v>
      </c>
      <c r="F684" s="54" t="s">
        <v>1889</v>
      </c>
      <c r="G684" s="54" t="s">
        <v>1890</v>
      </c>
      <c r="H684" s="54" t="n">
        <v>8048</v>
      </c>
      <c r="I684" s="54" t="s">
        <v>295</v>
      </c>
      <c r="J684" s="54" t="s">
        <v>516</v>
      </c>
    </row>
    <row r="685" customFormat="false" ht="15" hidden="false" customHeight="true" outlineLevel="0" collapsed="false">
      <c r="A685" s="54" t="n">
        <v>20260710</v>
      </c>
      <c r="B685" s="54" t="s">
        <v>168</v>
      </c>
      <c r="C685" s="54" t="s">
        <v>290</v>
      </c>
      <c r="D685" s="54" t="s">
        <v>1887</v>
      </c>
      <c r="E685" s="54" t="s">
        <v>1888</v>
      </c>
      <c r="F685" s="54" t="s">
        <v>1891</v>
      </c>
      <c r="G685" s="54" t="s">
        <v>1892</v>
      </c>
      <c r="H685" s="54" t="n">
        <v>7435</v>
      </c>
      <c r="I685" s="54" t="s">
        <v>295</v>
      </c>
      <c r="J685" s="54" t="s">
        <v>516</v>
      </c>
    </row>
    <row r="686" customFormat="false" ht="15" hidden="false" customHeight="true" outlineLevel="0" collapsed="false">
      <c r="A686" s="54" t="n">
        <v>20260710</v>
      </c>
      <c r="B686" s="54" t="s">
        <v>168</v>
      </c>
      <c r="C686" s="54" t="s">
        <v>290</v>
      </c>
      <c r="D686" s="54" t="s">
        <v>1887</v>
      </c>
      <c r="E686" s="54" t="s">
        <v>1888</v>
      </c>
      <c r="F686" s="54" t="s">
        <v>1893</v>
      </c>
      <c r="G686" s="54" t="s">
        <v>1502</v>
      </c>
      <c r="H686" s="54" t="n">
        <v>14543</v>
      </c>
      <c r="I686" s="54" t="s">
        <v>295</v>
      </c>
      <c r="J686" s="54" t="s">
        <v>516</v>
      </c>
    </row>
    <row r="687" customFormat="false" ht="15" hidden="false" customHeight="true" outlineLevel="0" collapsed="false">
      <c r="A687" s="54" t="n">
        <v>20260710</v>
      </c>
      <c r="B687" s="54" t="s">
        <v>306</v>
      </c>
      <c r="C687" s="54" t="s">
        <v>290</v>
      </c>
      <c r="D687" s="54" t="s">
        <v>1894</v>
      </c>
      <c r="E687" s="54" t="s">
        <v>1895</v>
      </c>
      <c r="F687" s="54" t="s">
        <v>1896</v>
      </c>
      <c r="G687" s="54" t="s">
        <v>1897</v>
      </c>
      <c r="H687" s="54" t="n">
        <v>28800</v>
      </c>
      <c r="I687" s="54" t="s">
        <v>295</v>
      </c>
      <c r="J687" s="54" t="s">
        <v>989</v>
      </c>
    </row>
    <row r="688" customFormat="false" ht="15" hidden="false" customHeight="true" outlineLevel="0" collapsed="false">
      <c r="A688" s="54" t="n">
        <v>20260710</v>
      </c>
      <c r="B688" s="54" t="s">
        <v>497</v>
      </c>
      <c r="C688" s="54" t="s">
        <v>290</v>
      </c>
      <c r="D688" s="54" t="s">
        <v>1898</v>
      </c>
      <c r="E688" s="54" t="s">
        <v>1899</v>
      </c>
      <c r="F688" s="54" t="s">
        <v>1900</v>
      </c>
      <c r="G688" s="54" t="s">
        <v>1901</v>
      </c>
      <c r="H688" s="54" t="n">
        <v>14611</v>
      </c>
      <c r="I688" s="54" t="s">
        <v>295</v>
      </c>
      <c r="J688" s="54" t="s">
        <v>811</v>
      </c>
    </row>
    <row r="689" customFormat="false" ht="15" hidden="false" customHeight="true" outlineLevel="0" collapsed="false">
      <c r="A689" s="54" t="n">
        <v>20260710</v>
      </c>
      <c r="B689" s="54" t="s">
        <v>497</v>
      </c>
      <c r="C689" s="54" t="s">
        <v>290</v>
      </c>
      <c r="D689" s="54" t="s">
        <v>1898</v>
      </c>
      <c r="E689" s="54" t="s">
        <v>1899</v>
      </c>
      <c r="F689" s="54" t="s">
        <v>1264</v>
      </c>
      <c r="G689" s="54" t="s">
        <v>1902</v>
      </c>
      <c r="H689" s="54" t="n">
        <v>1366</v>
      </c>
      <c r="I689" s="54" t="s">
        <v>295</v>
      </c>
      <c r="J689" s="54" t="s">
        <v>811</v>
      </c>
    </row>
    <row r="690" customFormat="false" ht="15" hidden="false" customHeight="true" outlineLevel="0" collapsed="false">
      <c r="A690" s="54" t="n">
        <v>20260710</v>
      </c>
      <c r="B690" s="54" t="s">
        <v>497</v>
      </c>
      <c r="C690" s="54" t="s">
        <v>290</v>
      </c>
      <c r="D690" s="54" t="s">
        <v>1898</v>
      </c>
      <c r="E690" s="54" t="s">
        <v>1899</v>
      </c>
      <c r="F690" s="54" t="s">
        <v>1903</v>
      </c>
      <c r="G690" s="54" t="s">
        <v>1904</v>
      </c>
      <c r="H690" s="54" t="n">
        <v>6735</v>
      </c>
      <c r="I690" s="54" t="s">
        <v>295</v>
      </c>
      <c r="J690" s="54" t="s">
        <v>811</v>
      </c>
    </row>
    <row r="691" customFormat="false" ht="15" hidden="false" customHeight="true" outlineLevel="0" collapsed="false">
      <c r="A691" s="54" t="n">
        <v>20260710</v>
      </c>
      <c r="B691" s="54" t="s">
        <v>497</v>
      </c>
      <c r="C691" s="54" t="s">
        <v>290</v>
      </c>
      <c r="D691" s="54" t="s">
        <v>1898</v>
      </c>
      <c r="E691" s="54" t="s">
        <v>1899</v>
      </c>
      <c r="F691" s="54" t="s">
        <v>1905</v>
      </c>
      <c r="G691" s="54" t="s">
        <v>1906</v>
      </c>
      <c r="H691" s="54" t="n">
        <v>2608</v>
      </c>
      <c r="I691" s="54" t="s">
        <v>295</v>
      </c>
      <c r="J691" s="54" t="s">
        <v>811</v>
      </c>
    </row>
    <row r="692" customFormat="false" ht="15" hidden="false" customHeight="true" outlineLevel="0" collapsed="false">
      <c r="A692" s="54" t="n">
        <v>20260710</v>
      </c>
      <c r="B692" s="54" t="s">
        <v>306</v>
      </c>
      <c r="C692" s="54" t="s">
        <v>290</v>
      </c>
      <c r="D692" s="54" t="s">
        <v>1907</v>
      </c>
      <c r="E692" s="54" t="s">
        <v>1908</v>
      </c>
      <c r="F692" s="54" t="s">
        <v>1622</v>
      </c>
      <c r="G692" s="54" t="s">
        <v>1110</v>
      </c>
      <c r="H692" s="54" t="n">
        <v>14604</v>
      </c>
      <c r="I692" s="54" t="s">
        <v>295</v>
      </c>
      <c r="J692" s="54" t="s">
        <v>433</v>
      </c>
    </row>
    <row r="693" customFormat="false" ht="15" hidden="false" customHeight="true" outlineLevel="0" collapsed="false">
      <c r="A693" s="54" t="n">
        <v>20260710</v>
      </c>
      <c r="B693" s="54" t="s">
        <v>306</v>
      </c>
      <c r="C693" s="54" t="s">
        <v>290</v>
      </c>
      <c r="D693" s="54" t="s">
        <v>1907</v>
      </c>
      <c r="E693" s="54" t="s">
        <v>1908</v>
      </c>
      <c r="F693" s="54" t="s">
        <v>1909</v>
      </c>
      <c r="G693" s="54" t="s">
        <v>1910</v>
      </c>
      <c r="H693" s="54" t="n">
        <v>9527</v>
      </c>
      <c r="I693" s="54" t="s">
        <v>295</v>
      </c>
      <c r="J693" s="54" t="s">
        <v>433</v>
      </c>
    </row>
    <row r="694" customFormat="false" ht="15" hidden="false" customHeight="true" outlineLevel="0" collapsed="false">
      <c r="A694" s="54" t="n">
        <v>20260710</v>
      </c>
      <c r="B694" s="54" t="s">
        <v>306</v>
      </c>
      <c r="C694" s="54" t="s">
        <v>290</v>
      </c>
      <c r="D694" s="54" t="s">
        <v>1907</v>
      </c>
      <c r="E694" s="54" t="s">
        <v>1908</v>
      </c>
      <c r="F694" s="54" t="s">
        <v>1911</v>
      </c>
      <c r="G694" s="54" t="s">
        <v>1912</v>
      </c>
      <c r="H694" s="54" t="n">
        <v>113</v>
      </c>
      <c r="I694" s="54" t="s">
        <v>295</v>
      </c>
      <c r="J694" s="54" t="s">
        <v>433</v>
      </c>
    </row>
    <row r="695" customFormat="false" ht="15" hidden="false" customHeight="true" outlineLevel="0" collapsed="false">
      <c r="A695" s="54" t="n">
        <v>20260710</v>
      </c>
      <c r="B695" s="54" t="s">
        <v>306</v>
      </c>
      <c r="C695" s="54" t="s">
        <v>290</v>
      </c>
      <c r="D695" s="54" t="s">
        <v>1907</v>
      </c>
      <c r="E695" s="54" t="s">
        <v>1908</v>
      </c>
      <c r="F695" s="54" t="s">
        <v>1913</v>
      </c>
      <c r="G695" s="54" t="s">
        <v>1914</v>
      </c>
      <c r="H695" s="54" t="n">
        <v>1351</v>
      </c>
      <c r="I695" s="54" t="s">
        <v>295</v>
      </c>
      <c r="J695" s="54" t="s">
        <v>433</v>
      </c>
    </row>
    <row r="696" customFormat="false" ht="15" hidden="false" customHeight="true" outlineLevel="0" collapsed="false">
      <c r="A696" s="54" t="n">
        <v>20260710</v>
      </c>
      <c r="B696" s="54" t="s">
        <v>306</v>
      </c>
      <c r="C696" s="54" t="s">
        <v>290</v>
      </c>
      <c r="D696" s="54" t="s">
        <v>1907</v>
      </c>
      <c r="E696" s="54" t="s">
        <v>1908</v>
      </c>
      <c r="F696" s="54" t="s">
        <v>1915</v>
      </c>
      <c r="G696" s="54" t="s">
        <v>1916</v>
      </c>
      <c r="H696" s="54" t="n">
        <v>2807</v>
      </c>
      <c r="I696" s="54" t="s">
        <v>295</v>
      </c>
      <c r="J696" s="54" t="s">
        <v>433</v>
      </c>
    </row>
    <row r="697" customFormat="false" ht="15" hidden="false" customHeight="true" outlineLevel="0" collapsed="false">
      <c r="A697" s="54" t="n">
        <v>20260710</v>
      </c>
      <c r="B697" s="54" t="s">
        <v>688</v>
      </c>
      <c r="C697" s="54" t="s">
        <v>307</v>
      </c>
      <c r="D697" s="54" t="s">
        <v>1917</v>
      </c>
      <c r="E697" s="54" t="s">
        <v>221</v>
      </c>
      <c r="F697" s="54" t="s">
        <v>1918</v>
      </c>
      <c r="G697" s="54" t="s">
        <v>1919</v>
      </c>
      <c r="H697" s="54" t="n">
        <v>9</v>
      </c>
      <c r="I697" s="54" t="s">
        <v>295</v>
      </c>
      <c r="J697" s="54" t="s">
        <v>142</v>
      </c>
    </row>
    <row r="698" customFormat="false" ht="15" hidden="false" customHeight="true" outlineLevel="0" collapsed="false">
      <c r="A698" s="54" t="n">
        <v>20260710</v>
      </c>
      <c r="B698" s="54" t="s">
        <v>688</v>
      </c>
      <c r="C698" s="54" t="s">
        <v>307</v>
      </c>
      <c r="D698" s="54" t="s">
        <v>1917</v>
      </c>
      <c r="E698" s="54" t="s">
        <v>221</v>
      </c>
      <c r="F698" s="54" t="s">
        <v>1920</v>
      </c>
      <c r="G698" s="54" t="s">
        <v>1921</v>
      </c>
      <c r="H698" s="54" t="n">
        <v>17965</v>
      </c>
      <c r="I698" s="54" t="s">
        <v>295</v>
      </c>
      <c r="J698" s="54" t="s">
        <v>142</v>
      </c>
    </row>
    <row r="699" customFormat="false" ht="15" hidden="false" customHeight="true" outlineLevel="0" collapsed="false">
      <c r="A699" s="54" t="n">
        <v>20260710</v>
      </c>
      <c r="B699" s="54" t="s">
        <v>688</v>
      </c>
      <c r="C699" s="54" t="s">
        <v>307</v>
      </c>
      <c r="D699" s="54" t="s">
        <v>1917</v>
      </c>
      <c r="E699" s="54" t="s">
        <v>221</v>
      </c>
      <c r="F699" s="54" t="s">
        <v>1922</v>
      </c>
      <c r="G699" s="54" t="s">
        <v>929</v>
      </c>
      <c r="H699" s="54" t="n">
        <v>14712</v>
      </c>
      <c r="I699" s="54" t="s">
        <v>295</v>
      </c>
      <c r="J699" s="54" t="s">
        <v>142</v>
      </c>
    </row>
    <row r="700" customFormat="false" ht="15" hidden="false" customHeight="true" outlineLevel="0" collapsed="false">
      <c r="A700" s="54" t="n">
        <v>20260710</v>
      </c>
      <c r="B700" s="54" t="s">
        <v>306</v>
      </c>
      <c r="C700" s="54" t="s">
        <v>307</v>
      </c>
      <c r="D700" s="54" t="s">
        <v>1923</v>
      </c>
      <c r="E700" s="54" t="s">
        <v>1924</v>
      </c>
      <c r="F700" s="54" t="s">
        <v>1925</v>
      </c>
      <c r="G700" s="54" t="s">
        <v>1926</v>
      </c>
      <c r="H700" s="54" t="n">
        <v>7310</v>
      </c>
      <c r="I700" s="54" t="s">
        <v>315</v>
      </c>
      <c r="J700" s="54" t="s">
        <v>312</v>
      </c>
    </row>
    <row r="701" customFormat="false" ht="15" hidden="false" customHeight="true" outlineLevel="0" collapsed="false">
      <c r="A701" s="54" t="n">
        <v>20260710</v>
      </c>
      <c r="B701" s="54" t="s">
        <v>306</v>
      </c>
      <c r="C701" s="54" t="s">
        <v>307</v>
      </c>
      <c r="D701" s="54" t="s">
        <v>1923</v>
      </c>
      <c r="E701" s="54" t="s">
        <v>1924</v>
      </c>
      <c r="F701" s="54" t="s">
        <v>1925</v>
      </c>
      <c r="G701" s="54" t="s">
        <v>1926</v>
      </c>
      <c r="H701" s="54" t="n">
        <v>7310</v>
      </c>
      <c r="I701" s="54" t="s">
        <v>295</v>
      </c>
      <c r="J701" s="54" t="s">
        <v>312</v>
      </c>
    </row>
    <row r="702" customFormat="false" ht="15" hidden="false" customHeight="true" outlineLevel="0" collapsed="false">
      <c r="A702" s="54" t="n">
        <v>20260710</v>
      </c>
      <c r="B702" s="54" t="s">
        <v>306</v>
      </c>
      <c r="C702" s="54" t="s">
        <v>307</v>
      </c>
      <c r="D702" s="54" t="s">
        <v>1923</v>
      </c>
      <c r="E702" s="54" t="s">
        <v>1924</v>
      </c>
      <c r="F702" s="54" t="s">
        <v>1927</v>
      </c>
      <c r="G702" s="54" t="s">
        <v>785</v>
      </c>
      <c r="H702" s="54" t="n">
        <v>1079</v>
      </c>
      <c r="I702" s="54" t="s">
        <v>315</v>
      </c>
      <c r="J702" s="54" t="s">
        <v>312</v>
      </c>
    </row>
    <row r="703" customFormat="false" ht="15" hidden="false" customHeight="true" outlineLevel="0" collapsed="false">
      <c r="A703" s="54" t="n">
        <v>20260710</v>
      </c>
      <c r="B703" s="54" t="s">
        <v>306</v>
      </c>
      <c r="C703" s="54" t="s">
        <v>307</v>
      </c>
      <c r="D703" s="54" t="s">
        <v>1923</v>
      </c>
      <c r="E703" s="54" t="s">
        <v>1924</v>
      </c>
      <c r="F703" s="54" t="s">
        <v>1927</v>
      </c>
      <c r="G703" s="54" t="s">
        <v>785</v>
      </c>
      <c r="H703" s="54" t="n">
        <v>1079</v>
      </c>
      <c r="I703" s="54" t="s">
        <v>295</v>
      </c>
      <c r="J703" s="54" t="s">
        <v>312</v>
      </c>
    </row>
    <row r="704" customFormat="false" ht="15" hidden="false" customHeight="true" outlineLevel="0" collapsed="false">
      <c r="A704" s="54" t="n">
        <v>20260710</v>
      </c>
      <c r="B704" s="54" t="s">
        <v>306</v>
      </c>
      <c r="C704" s="54" t="s">
        <v>307</v>
      </c>
      <c r="D704" s="54" t="s">
        <v>1923</v>
      </c>
      <c r="E704" s="54" t="s">
        <v>1924</v>
      </c>
      <c r="F704" s="54" t="s">
        <v>786</v>
      </c>
      <c r="G704" s="54" t="s">
        <v>1928</v>
      </c>
      <c r="H704" s="54" t="n">
        <v>433</v>
      </c>
      <c r="I704" s="54" t="s">
        <v>295</v>
      </c>
      <c r="J704" s="54" t="s">
        <v>312</v>
      </c>
    </row>
    <row r="705" customFormat="false" ht="15" hidden="false" customHeight="true" outlineLevel="0" collapsed="false">
      <c r="A705" s="54" t="n">
        <v>20260710</v>
      </c>
      <c r="B705" s="54" t="s">
        <v>306</v>
      </c>
      <c r="C705" s="54" t="s">
        <v>307</v>
      </c>
      <c r="D705" s="54" t="s">
        <v>1923</v>
      </c>
      <c r="E705" s="54" t="s">
        <v>1924</v>
      </c>
      <c r="F705" s="54" t="s">
        <v>1929</v>
      </c>
      <c r="G705" s="54" t="s">
        <v>1055</v>
      </c>
      <c r="H705" s="54" t="n">
        <v>16745</v>
      </c>
      <c r="I705" s="54" t="s">
        <v>315</v>
      </c>
      <c r="J705" s="54" t="s">
        <v>312</v>
      </c>
    </row>
    <row r="706" customFormat="false" ht="15" hidden="false" customHeight="true" outlineLevel="0" collapsed="false">
      <c r="A706" s="54" t="n">
        <v>20260710</v>
      </c>
      <c r="B706" s="54" t="s">
        <v>306</v>
      </c>
      <c r="C706" s="54" t="s">
        <v>307</v>
      </c>
      <c r="D706" s="54" t="s">
        <v>1923</v>
      </c>
      <c r="E706" s="54" t="s">
        <v>1924</v>
      </c>
      <c r="F706" s="54" t="s">
        <v>1929</v>
      </c>
      <c r="G706" s="54" t="s">
        <v>1055</v>
      </c>
      <c r="H706" s="54" t="n">
        <v>16745</v>
      </c>
      <c r="I706" s="54" t="s">
        <v>295</v>
      </c>
      <c r="J706" s="54" t="s">
        <v>312</v>
      </c>
    </row>
    <row r="707" customFormat="false" ht="15" hidden="false" customHeight="true" outlineLevel="0" collapsed="false">
      <c r="A707" s="54" t="n">
        <v>20260710</v>
      </c>
      <c r="B707" s="54" t="s">
        <v>497</v>
      </c>
      <c r="C707" s="54" t="s">
        <v>290</v>
      </c>
      <c r="D707" s="54" t="s">
        <v>1930</v>
      </c>
      <c r="E707" s="54" t="s">
        <v>1931</v>
      </c>
      <c r="F707" s="54" t="s">
        <v>1932</v>
      </c>
      <c r="G707" s="54" t="s">
        <v>1933</v>
      </c>
      <c r="H707" s="54" t="n">
        <v>605</v>
      </c>
      <c r="I707" s="54" t="s">
        <v>295</v>
      </c>
      <c r="J707" s="54" t="s">
        <v>811</v>
      </c>
    </row>
    <row r="708" customFormat="false" ht="15" hidden="false" customHeight="true" outlineLevel="0" collapsed="false">
      <c r="A708" s="54" t="n">
        <v>20260710</v>
      </c>
      <c r="B708" s="54" t="s">
        <v>497</v>
      </c>
      <c r="C708" s="54" t="s">
        <v>290</v>
      </c>
      <c r="D708" s="54" t="s">
        <v>1930</v>
      </c>
      <c r="E708" s="54" t="s">
        <v>1931</v>
      </c>
      <c r="F708" s="54" t="s">
        <v>1934</v>
      </c>
      <c r="G708" s="54" t="s">
        <v>1020</v>
      </c>
      <c r="H708" s="54" t="n">
        <v>17416</v>
      </c>
      <c r="I708" s="54" t="s">
        <v>295</v>
      </c>
      <c r="J708" s="54" t="s">
        <v>811</v>
      </c>
    </row>
    <row r="709" customFormat="false" ht="15" hidden="false" customHeight="true" outlineLevel="0" collapsed="false">
      <c r="A709" s="54" t="n">
        <v>20260710</v>
      </c>
      <c r="B709" s="54" t="s">
        <v>497</v>
      </c>
      <c r="C709" s="54" t="s">
        <v>290</v>
      </c>
      <c r="D709" s="54" t="s">
        <v>1930</v>
      </c>
      <c r="E709" s="54" t="s">
        <v>1931</v>
      </c>
      <c r="F709" s="54" t="s">
        <v>1935</v>
      </c>
      <c r="G709" s="54" t="s">
        <v>1156</v>
      </c>
      <c r="H709" s="54" t="n">
        <v>7239</v>
      </c>
      <c r="I709" s="54" t="s">
        <v>295</v>
      </c>
      <c r="J709" s="54" t="s">
        <v>811</v>
      </c>
    </row>
    <row r="710" customFormat="false" ht="15" hidden="false" customHeight="true" outlineLevel="0" collapsed="false">
      <c r="A710" s="54" t="n">
        <v>20260710</v>
      </c>
      <c r="B710" s="54" t="s">
        <v>497</v>
      </c>
      <c r="C710" s="54" t="s">
        <v>307</v>
      </c>
      <c r="D710" s="54" t="s">
        <v>1936</v>
      </c>
      <c r="E710" s="54" t="s">
        <v>1937</v>
      </c>
      <c r="F710" s="54" t="s">
        <v>1938</v>
      </c>
      <c r="G710" s="54" t="s">
        <v>1939</v>
      </c>
      <c r="H710" s="54" t="n">
        <v>18334</v>
      </c>
      <c r="I710" s="54" t="s">
        <v>295</v>
      </c>
      <c r="J710" s="54" t="s">
        <v>894</v>
      </c>
    </row>
    <row r="711" customFormat="false" ht="15" hidden="false" customHeight="true" outlineLevel="0" collapsed="false">
      <c r="A711" s="54" t="n">
        <v>20260710</v>
      </c>
      <c r="B711" s="54" t="s">
        <v>497</v>
      </c>
      <c r="C711" s="54" t="s">
        <v>307</v>
      </c>
      <c r="D711" s="54" t="s">
        <v>1936</v>
      </c>
      <c r="E711" s="54" t="s">
        <v>1937</v>
      </c>
      <c r="F711" s="54" t="s">
        <v>1940</v>
      </c>
      <c r="G711" s="54" t="s">
        <v>1810</v>
      </c>
      <c r="H711" s="54" t="n">
        <v>10811</v>
      </c>
      <c r="I711" s="54" t="s">
        <v>295</v>
      </c>
      <c r="J711" s="54" t="s">
        <v>894</v>
      </c>
    </row>
    <row r="712" customFormat="false" ht="15" hidden="false" customHeight="true" outlineLevel="0" collapsed="false">
      <c r="A712" s="54" t="n">
        <v>20260710</v>
      </c>
      <c r="B712" s="54" t="s">
        <v>168</v>
      </c>
      <c r="C712" s="54" t="s">
        <v>307</v>
      </c>
      <c r="D712" s="54" t="s">
        <v>1941</v>
      </c>
      <c r="E712" s="54" t="s">
        <v>1942</v>
      </c>
      <c r="F712" s="54" t="s">
        <v>1943</v>
      </c>
      <c r="G712" s="54" t="s">
        <v>804</v>
      </c>
      <c r="H712" s="54" t="n">
        <v>14584</v>
      </c>
      <c r="I712" s="54" t="s">
        <v>295</v>
      </c>
      <c r="J712" s="54" t="s">
        <v>326</v>
      </c>
    </row>
    <row r="713" customFormat="false" ht="15" hidden="false" customHeight="true" outlineLevel="0" collapsed="false">
      <c r="A713" s="54" t="n">
        <v>20260710</v>
      </c>
      <c r="B713" s="54" t="s">
        <v>168</v>
      </c>
      <c r="C713" s="54" t="s">
        <v>307</v>
      </c>
      <c r="D713" s="54" t="s">
        <v>1941</v>
      </c>
      <c r="E713" s="54" t="s">
        <v>1942</v>
      </c>
      <c r="F713" s="54" t="s">
        <v>1944</v>
      </c>
      <c r="G713" s="54" t="s">
        <v>1945</v>
      </c>
      <c r="H713" s="54" t="n">
        <v>14465</v>
      </c>
      <c r="I713" s="54" t="s">
        <v>295</v>
      </c>
      <c r="J713" s="54" t="s">
        <v>326</v>
      </c>
    </row>
    <row r="714" customFormat="false" ht="15" hidden="false" customHeight="true" outlineLevel="0" collapsed="false">
      <c r="A714" s="54" t="n">
        <v>20260710</v>
      </c>
      <c r="B714" s="54" t="s">
        <v>289</v>
      </c>
      <c r="C714" s="54" t="s">
        <v>307</v>
      </c>
      <c r="D714" s="54" t="s">
        <v>1946</v>
      </c>
      <c r="E714" s="54" t="s">
        <v>1947</v>
      </c>
      <c r="F714" s="54" t="s">
        <v>1948</v>
      </c>
      <c r="G714" s="54" t="s">
        <v>1949</v>
      </c>
      <c r="H714" s="54" t="n">
        <v>16412</v>
      </c>
      <c r="I714" s="54" t="s">
        <v>295</v>
      </c>
      <c r="J714" s="54" t="s">
        <v>1950</v>
      </c>
    </row>
    <row r="715" customFormat="false" ht="15" hidden="false" customHeight="true" outlineLevel="0" collapsed="false">
      <c r="A715" s="54" t="n">
        <v>20260710</v>
      </c>
      <c r="B715" s="54" t="s">
        <v>289</v>
      </c>
      <c r="C715" s="54" t="s">
        <v>307</v>
      </c>
      <c r="D715" s="54" t="s">
        <v>1946</v>
      </c>
      <c r="E715" s="54" t="s">
        <v>1947</v>
      </c>
      <c r="F715" s="54" t="s">
        <v>1951</v>
      </c>
      <c r="G715" s="54" t="s">
        <v>1952</v>
      </c>
      <c r="H715" s="54" t="n">
        <v>12670</v>
      </c>
      <c r="I715" s="54" t="s">
        <v>295</v>
      </c>
      <c r="J715" s="54" t="s">
        <v>1950</v>
      </c>
    </row>
    <row r="716" customFormat="false" ht="15" hidden="false" customHeight="true" outlineLevel="0" collapsed="false">
      <c r="A716" s="54" t="n">
        <v>20260710</v>
      </c>
      <c r="B716" s="54" t="s">
        <v>289</v>
      </c>
      <c r="C716" s="54" t="s">
        <v>307</v>
      </c>
      <c r="D716" s="54" t="s">
        <v>1953</v>
      </c>
      <c r="E716" s="54" t="s">
        <v>1954</v>
      </c>
      <c r="F716" s="54" t="s">
        <v>1955</v>
      </c>
      <c r="G716" s="54" t="s">
        <v>1956</v>
      </c>
      <c r="H716" s="54" t="n">
        <v>16950</v>
      </c>
      <c r="I716" s="54" t="s">
        <v>295</v>
      </c>
      <c r="J716" s="54" t="s">
        <v>1950</v>
      </c>
    </row>
    <row r="717" customFormat="false" ht="15" hidden="false" customHeight="true" outlineLevel="0" collapsed="false">
      <c r="A717" s="54" t="n">
        <v>20260710</v>
      </c>
      <c r="B717" s="54" t="s">
        <v>289</v>
      </c>
      <c r="C717" s="54" t="s">
        <v>307</v>
      </c>
      <c r="D717" s="54" t="s">
        <v>1953</v>
      </c>
      <c r="E717" s="54" t="s">
        <v>1954</v>
      </c>
      <c r="F717" s="54" t="s">
        <v>1957</v>
      </c>
      <c r="G717" s="54" t="s">
        <v>1958</v>
      </c>
      <c r="H717" s="54" t="n">
        <v>12162</v>
      </c>
      <c r="I717" s="54" t="s">
        <v>295</v>
      </c>
      <c r="J717" s="54" t="s">
        <v>1950</v>
      </c>
    </row>
    <row r="718" customFormat="false" ht="15" hidden="false" customHeight="true" outlineLevel="0" collapsed="false">
      <c r="A718" s="54" t="n">
        <v>20260710</v>
      </c>
      <c r="B718" s="54" t="s">
        <v>306</v>
      </c>
      <c r="C718" s="54" t="s">
        <v>290</v>
      </c>
      <c r="D718" s="54" t="s">
        <v>1959</v>
      </c>
      <c r="E718" s="54" t="s">
        <v>1960</v>
      </c>
      <c r="F718" s="54" t="s">
        <v>1961</v>
      </c>
      <c r="G718" s="54" t="s">
        <v>1962</v>
      </c>
      <c r="H718" s="54" t="n">
        <v>7065</v>
      </c>
      <c r="I718" s="54" t="s">
        <v>295</v>
      </c>
      <c r="J718" s="54" t="s">
        <v>604</v>
      </c>
    </row>
    <row r="719" customFormat="false" ht="15" hidden="false" customHeight="true" outlineLevel="0" collapsed="false">
      <c r="A719" s="54" t="n">
        <v>20260710</v>
      </c>
      <c r="B719" s="54" t="s">
        <v>306</v>
      </c>
      <c r="C719" s="54" t="s">
        <v>290</v>
      </c>
      <c r="D719" s="54" t="s">
        <v>1959</v>
      </c>
      <c r="E719" s="54" t="s">
        <v>1960</v>
      </c>
      <c r="F719" s="54" t="s">
        <v>1963</v>
      </c>
      <c r="G719" s="54" t="s">
        <v>1964</v>
      </c>
      <c r="H719" s="54" t="n">
        <v>23403</v>
      </c>
      <c r="I719" s="54" t="s">
        <v>295</v>
      </c>
      <c r="J719" s="54" t="s">
        <v>604</v>
      </c>
    </row>
    <row r="720" customFormat="false" ht="15" hidden="false" customHeight="true" outlineLevel="0" collapsed="false">
      <c r="A720" s="54" t="n">
        <v>20260710</v>
      </c>
      <c r="B720" s="54" t="s">
        <v>535</v>
      </c>
      <c r="C720" s="54" t="s">
        <v>290</v>
      </c>
      <c r="D720" s="54" t="s">
        <v>1965</v>
      </c>
      <c r="E720" s="54" t="s">
        <v>1966</v>
      </c>
      <c r="F720" s="54" t="s">
        <v>1967</v>
      </c>
      <c r="G720" s="54" t="s">
        <v>1968</v>
      </c>
      <c r="H720" s="54" t="n">
        <v>12041</v>
      </c>
      <c r="I720" s="54" t="s">
        <v>295</v>
      </c>
      <c r="J720" s="54" t="s">
        <v>677</v>
      </c>
    </row>
    <row r="721" customFormat="false" ht="15" hidden="false" customHeight="true" outlineLevel="0" collapsed="false">
      <c r="A721" s="54" t="n">
        <v>20260710</v>
      </c>
      <c r="B721" s="54" t="s">
        <v>535</v>
      </c>
      <c r="C721" s="54" t="s">
        <v>290</v>
      </c>
      <c r="D721" s="54" t="s">
        <v>1965</v>
      </c>
      <c r="E721" s="54" t="s">
        <v>1966</v>
      </c>
      <c r="F721" s="54" t="s">
        <v>1969</v>
      </c>
      <c r="G721" s="54" t="s">
        <v>1110</v>
      </c>
      <c r="H721" s="54" t="n">
        <v>5953</v>
      </c>
      <c r="I721" s="54" t="s">
        <v>295</v>
      </c>
      <c r="J721" s="54" t="s">
        <v>677</v>
      </c>
    </row>
    <row r="722" customFormat="false" ht="15" hidden="false" customHeight="true" outlineLevel="0" collapsed="false">
      <c r="A722" s="54" t="n">
        <v>20260710</v>
      </c>
      <c r="B722" s="54" t="s">
        <v>535</v>
      </c>
      <c r="C722" s="54" t="s">
        <v>290</v>
      </c>
      <c r="D722" s="54" t="s">
        <v>1965</v>
      </c>
      <c r="E722" s="54" t="s">
        <v>1966</v>
      </c>
      <c r="F722" s="54" t="s">
        <v>1970</v>
      </c>
      <c r="G722" s="54" t="s">
        <v>984</v>
      </c>
      <c r="H722" s="54" t="n">
        <v>10715</v>
      </c>
      <c r="I722" s="54" t="s">
        <v>295</v>
      </c>
      <c r="J722" s="54" t="s">
        <v>677</v>
      </c>
    </row>
    <row r="723" customFormat="false" ht="15" hidden="false" customHeight="true" outlineLevel="0" collapsed="false">
      <c r="A723" s="54" t="n">
        <v>20260710</v>
      </c>
      <c r="B723" s="54" t="s">
        <v>289</v>
      </c>
      <c r="C723" s="54" t="s">
        <v>290</v>
      </c>
      <c r="D723" s="54" t="s">
        <v>1971</v>
      </c>
      <c r="E723" s="54" t="s">
        <v>1972</v>
      </c>
      <c r="F723" s="54" t="s">
        <v>1973</v>
      </c>
      <c r="G723" s="54" t="s">
        <v>1974</v>
      </c>
      <c r="H723" s="54" t="n">
        <v>14831</v>
      </c>
      <c r="I723" s="54" t="s">
        <v>295</v>
      </c>
      <c r="J723" s="54" t="s">
        <v>1463</v>
      </c>
    </row>
    <row r="724" customFormat="false" ht="15" hidden="false" customHeight="true" outlineLevel="0" collapsed="false">
      <c r="A724" s="54" t="n">
        <v>20260710</v>
      </c>
      <c r="B724" s="54" t="s">
        <v>289</v>
      </c>
      <c r="C724" s="54" t="s">
        <v>290</v>
      </c>
      <c r="D724" s="54" t="s">
        <v>1971</v>
      </c>
      <c r="E724" s="54" t="s">
        <v>1972</v>
      </c>
      <c r="F724" s="54" t="s">
        <v>1975</v>
      </c>
      <c r="G724" s="54" t="s">
        <v>1976</v>
      </c>
      <c r="H724" s="54" t="n">
        <v>14294</v>
      </c>
      <c r="I724" s="54" t="s">
        <v>295</v>
      </c>
      <c r="J724" s="54" t="s">
        <v>1463</v>
      </c>
    </row>
    <row r="725" customFormat="false" ht="15" hidden="false" customHeight="true" outlineLevel="0" collapsed="false">
      <c r="A725" s="54" t="n">
        <v>20260710</v>
      </c>
      <c r="B725" s="54" t="s">
        <v>289</v>
      </c>
      <c r="C725" s="54" t="s">
        <v>307</v>
      </c>
      <c r="D725" s="54" t="s">
        <v>356</v>
      </c>
      <c r="E725" s="54" t="s">
        <v>357</v>
      </c>
      <c r="F725" s="54" t="s">
        <v>1977</v>
      </c>
      <c r="G725" s="54" t="s">
        <v>1978</v>
      </c>
      <c r="H725" s="54" t="n">
        <v>14699</v>
      </c>
      <c r="I725" s="54" t="s">
        <v>295</v>
      </c>
      <c r="J725" s="54" t="s">
        <v>361</v>
      </c>
    </row>
    <row r="726" customFormat="false" ht="15" hidden="false" customHeight="true" outlineLevel="0" collapsed="false">
      <c r="A726" s="54" t="n">
        <v>20260710</v>
      </c>
      <c r="B726" s="54" t="s">
        <v>289</v>
      </c>
      <c r="C726" s="54" t="s">
        <v>307</v>
      </c>
      <c r="D726" s="54" t="s">
        <v>356</v>
      </c>
      <c r="E726" s="54" t="s">
        <v>357</v>
      </c>
      <c r="F726" s="54" t="s">
        <v>1979</v>
      </c>
      <c r="G726" s="54" t="s">
        <v>1978</v>
      </c>
      <c r="H726" s="54" t="n">
        <v>14698</v>
      </c>
      <c r="I726" s="54" t="s">
        <v>360</v>
      </c>
      <c r="J726" s="54" t="s">
        <v>361</v>
      </c>
    </row>
    <row r="727" customFormat="false" ht="15" hidden="false" customHeight="true" outlineLevel="0" collapsed="false">
      <c r="A727" s="54" t="n">
        <v>20260710</v>
      </c>
      <c r="B727" s="54" t="s">
        <v>289</v>
      </c>
      <c r="C727" s="54" t="s">
        <v>307</v>
      </c>
      <c r="D727" s="54" t="s">
        <v>356</v>
      </c>
      <c r="E727" s="54" t="s">
        <v>357</v>
      </c>
      <c r="F727" s="54" t="s">
        <v>1980</v>
      </c>
      <c r="G727" s="54" t="s">
        <v>1981</v>
      </c>
      <c r="H727" s="54" t="n">
        <v>14420</v>
      </c>
      <c r="I727" s="54" t="s">
        <v>360</v>
      </c>
      <c r="J727" s="54" t="s">
        <v>361</v>
      </c>
    </row>
    <row r="728" customFormat="false" ht="15" hidden="false" customHeight="true" outlineLevel="0" collapsed="false">
      <c r="A728" s="54" t="n">
        <v>20260710</v>
      </c>
      <c r="B728" s="54" t="s">
        <v>289</v>
      </c>
      <c r="C728" s="54" t="s">
        <v>307</v>
      </c>
      <c r="D728" s="54" t="s">
        <v>356</v>
      </c>
      <c r="E728" s="54" t="s">
        <v>357</v>
      </c>
      <c r="F728" s="54" t="s">
        <v>1980</v>
      </c>
      <c r="G728" s="54" t="s">
        <v>1981</v>
      </c>
      <c r="H728" s="54" t="n">
        <v>14420</v>
      </c>
      <c r="I728" s="54" t="s">
        <v>295</v>
      </c>
      <c r="J728" s="54" t="s">
        <v>361</v>
      </c>
    </row>
    <row r="729" customFormat="false" ht="15" hidden="false" customHeight="true" outlineLevel="0" collapsed="false">
      <c r="A729" s="54" t="n">
        <v>20260710</v>
      </c>
      <c r="B729" s="54" t="s">
        <v>535</v>
      </c>
      <c r="C729" s="54" t="s">
        <v>290</v>
      </c>
      <c r="D729" s="54" t="s">
        <v>1982</v>
      </c>
      <c r="E729" s="54" t="s">
        <v>1983</v>
      </c>
      <c r="F729" s="54" t="s">
        <v>1088</v>
      </c>
      <c r="G729" s="54" t="s">
        <v>1036</v>
      </c>
      <c r="H729" s="54" t="n">
        <v>18000</v>
      </c>
      <c r="I729" s="54" t="s">
        <v>295</v>
      </c>
      <c r="J729" s="54" t="s">
        <v>1984</v>
      </c>
    </row>
    <row r="730" customFormat="false" ht="15" hidden="false" customHeight="true" outlineLevel="0" collapsed="false">
      <c r="A730" s="54" t="n">
        <v>20260710</v>
      </c>
      <c r="B730" s="54" t="s">
        <v>535</v>
      </c>
      <c r="C730" s="54" t="s">
        <v>290</v>
      </c>
      <c r="D730" s="54" t="s">
        <v>1982</v>
      </c>
      <c r="E730" s="54" t="s">
        <v>1983</v>
      </c>
      <c r="F730" s="54" t="s">
        <v>1985</v>
      </c>
      <c r="G730" s="54" t="s">
        <v>984</v>
      </c>
      <c r="H730" s="54" t="n">
        <v>10760</v>
      </c>
      <c r="I730" s="54" t="s">
        <v>295</v>
      </c>
      <c r="J730" s="54" t="s">
        <v>1984</v>
      </c>
    </row>
    <row r="731" customFormat="false" ht="15" hidden="false" customHeight="true" outlineLevel="0" collapsed="false">
      <c r="A731" s="54" t="n">
        <v>20260710</v>
      </c>
      <c r="B731" s="54" t="s">
        <v>306</v>
      </c>
      <c r="C731" s="54" t="s">
        <v>290</v>
      </c>
      <c r="D731" s="54" t="s">
        <v>1986</v>
      </c>
      <c r="E731" s="54" t="s">
        <v>1987</v>
      </c>
      <c r="F731" s="54" t="s">
        <v>1988</v>
      </c>
      <c r="G731" s="54" t="s">
        <v>1989</v>
      </c>
      <c r="H731" s="54" t="n">
        <v>18129</v>
      </c>
      <c r="I731" s="54" t="s">
        <v>315</v>
      </c>
      <c r="J731" s="54" t="s">
        <v>368</v>
      </c>
    </row>
    <row r="732" customFormat="false" ht="15" hidden="false" customHeight="true" outlineLevel="0" collapsed="false">
      <c r="A732" s="54" t="n">
        <v>20260710</v>
      </c>
      <c r="B732" s="54" t="s">
        <v>306</v>
      </c>
      <c r="C732" s="54" t="s">
        <v>290</v>
      </c>
      <c r="D732" s="54" t="s">
        <v>1986</v>
      </c>
      <c r="E732" s="54" t="s">
        <v>1987</v>
      </c>
      <c r="F732" s="54" t="s">
        <v>1988</v>
      </c>
      <c r="G732" s="54" t="s">
        <v>1543</v>
      </c>
      <c r="H732" s="54" t="n">
        <v>18130</v>
      </c>
      <c r="I732" s="54" t="s">
        <v>295</v>
      </c>
      <c r="J732" s="54" t="s">
        <v>368</v>
      </c>
    </row>
    <row r="733" customFormat="false" ht="15" hidden="false" customHeight="true" outlineLevel="0" collapsed="false">
      <c r="A733" s="54" t="n">
        <v>20260710</v>
      </c>
      <c r="B733" s="54" t="s">
        <v>306</v>
      </c>
      <c r="C733" s="54" t="s">
        <v>290</v>
      </c>
      <c r="D733" s="54" t="s">
        <v>1986</v>
      </c>
      <c r="E733" s="54" t="s">
        <v>1987</v>
      </c>
      <c r="F733" s="54" t="s">
        <v>1990</v>
      </c>
      <c r="G733" s="54" t="s">
        <v>1991</v>
      </c>
      <c r="H733" s="54" t="n">
        <v>10721</v>
      </c>
      <c r="I733" s="54" t="s">
        <v>315</v>
      </c>
      <c r="J733" s="54" t="s">
        <v>368</v>
      </c>
    </row>
    <row r="734" customFormat="false" ht="15" hidden="false" customHeight="true" outlineLevel="0" collapsed="false">
      <c r="A734" s="54" t="n">
        <v>20260710</v>
      </c>
      <c r="B734" s="54" t="s">
        <v>306</v>
      </c>
      <c r="C734" s="54" t="s">
        <v>290</v>
      </c>
      <c r="D734" s="54" t="s">
        <v>1986</v>
      </c>
      <c r="E734" s="54" t="s">
        <v>1987</v>
      </c>
      <c r="F734" s="54" t="s">
        <v>1990</v>
      </c>
      <c r="G734" s="54" t="s">
        <v>1991</v>
      </c>
      <c r="H734" s="54" t="n">
        <v>10721</v>
      </c>
      <c r="I734" s="54" t="s">
        <v>295</v>
      </c>
      <c r="J734" s="54" t="s">
        <v>368</v>
      </c>
    </row>
    <row r="735" customFormat="false" ht="15" hidden="false" customHeight="true" outlineLevel="0" collapsed="false">
      <c r="A735" s="54" t="n">
        <v>20260710</v>
      </c>
      <c r="B735" s="54" t="s">
        <v>306</v>
      </c>
      <c r="C735" s="54" t="s">
        <v>290</v>
      </c>
      <c r="D735" s="54" t="s">
        <v>1992</v>
      </c>
      <c r="E735" s="54" t="s">
        <v>1993</v>
      </c>
      <c r="F735" s="54" t="s">
        <v>1994</v>
      </c>
      <c r="G735" s="54" t="s">
        <v>1540</v>
      </c>
      <c r="H735" s="54" t="n">
        <v>11971</v>
      </c>
      <c r="I735" s="54" t="s">
        <v>295</v>
      </c>
      <c r="J735" s="54" t="s">
        <v>1027</v>
      </c>
    </row>
    <row r="736" customFormat="false" ht="15" hidden="false" customHeight="true" outlineLevel="0" collapsed="false">
      <c r="A736" s="54" t="n">
        <v>20260710</v>
      </c>
      <c r="B736" s="54" t="s">
        <v>306</v>
      </c>
      <c r="C736" s="54" t="s">
        <v>290</v>
      </c>
      <c r="D736" s="54" t="s">
        <v>1992</v>
      </c>
      <c r="E736" s="54" t="s">
        <v>1993</v>
      </c>
      <c r="F736" s="54" t="s">
        <v>1995</v>
      </c>
      <c r="G736" s="54" t="s">
        <v>1996</v>
      </c>
      <c r="H736" s="54" t="n">
        <v>16912</v>
      </c>
      <c r="I736" s="54" t="s">
        <v>295</v>
      </c>
      <c r="J736" s="54" t="s">
        <v>1027</v>
      </c>
    </row>
    <row r="737" customFormat="false" ht="15" hidden="false" customHeight="true" outlineLevel="0" collapsed="false">
      <c r="A737" s="54" t="n">
        <v>20260710</v>
      </c>
      <c r="B737" s="54" t="s">
        <v>306</v>
      </c>
      <c r="C737" s="54" t="s">
        <v>290</v>
      </c>
      <c r="D737" s="54" t="s">
        <v>1992</v>
      </c>
      <c r="E737" s="54" t="s">
        <v>1993</v>
      </c>
      <c r="F737" s="54" t="s">
        <v>1997</v>
      </c>
      <c r="G737" s="54" t="s">
        <v>1998</v>
      </c>
      <c r="H737" s="54" t="n">
        <v>3235</v>
      </c>
      <c r="I737" s="54" t="s">
        <v>295</v>
      </c>
      <c r="J737" s="54" t="s">
        <v>1027</v>
      </c>
    </row>
    <row r="738" customFormat="false" ht="15" hidden="false" customHeight="true" outlineLevel="0" collapsed="false">
      <c r="A738" s="54" t="n">
        <v>20260710</v>
      </c>
      <c r="B738" s="54" t="s">
        <v>306</v>
      </c>
      <c r="C738" s="54" t="s">
        <v>290</v>
      </c>
      <c r="D738" s="54" t="s">
        <v>1999</v>
      </c>
      <c r="E738" s="54" t="s">
        <v>2000</v>
      </c>
      <c r="F738" s="54" t="s">
        <v>2001</v>
      </c>
      <c r="G738" s="54" t="s">
        <v>2002</v>
      </c>
      <c r="H738" s="54" t="n">
        <v>15438</v>
      </c>
      <c r="I738" s="54" t="s">
        <v>295</v>
      </c>
      <c r="J738" s="54" t="s">
        <v>811</v>
      </c>
    </row>
    <row r="739" customFormat="false" ht="15" hidden="false" customHeight="true" outlineLevel="0" collapsed="false">
      <c r="A739" s="54" t="n">
        <v>20260710</v>
      </c>
      <c r="B739" s="54" t="s">
        <v>306</v>
      </c>
      <c r="C739" s="54" t="s">
        <v>290</v>
      </c>
      <c r="D739" s="54" t="s">
        <v>1999</v>
      </c>
      <c r="E739" s="54" t="s">
        <v>2000</v>
      </c>
      <c r="F739" s="54" t="s">
        <v>2003</v>
      </c>
      <c r="G739" s="54" t="s">
        <v>942</v>
      </c>
      <c r="H739" s="54" t="n">
        <v>15472</v>
      </c>
      <c r="I739" s="54" t="s">
        <v>295</v>
      </c>
      <c r="J739" s="54" t="s">
        <v>811</v>
      </c>
    </row>
    <row r="740" customFormat="false" ht="15" hidden="false" customHeight="true" outlineLevel="0" collapsed="false">
      <c r="A740" s="54" t="n">
        <v>20260710</v>
      </c>
      <c r="B740" s="54" t="s">
        <v>306</v>
      </c>
      <c r="C740" s="54" t="s">
        <v>290</v>
      </c>
      <c r="D740" s="54" t="s">
        <v>2004</v>
      </c>
      <c r="E740" s="54" t="s">
        <v>2005</v>
      </c>
      <c r="F740" s="54" t="s">
        <v>2006</v>
      </c>
      <c r="G740" s="54" t="s">
        <v>2007</v>
      </c>
      <c r="H740" s="54" t="n">
        <v>16165</v>
      </c>
      <c r="I740" s="54" t="s">
        <v>295</v>
      </c>
      <c r="J740" s="54" t="s">
        <v>375</v>
      </c>
    </row>
    <row r="741" customFormat="false" ht="15" hidden="false" customHeight="true" outlineLevel="0" collapsed="false">
      <c r="A741" s="54" t="n">
        <v>20260710</v>
      </c>
      <c r="B741" s="54" t="s">
        <v>306</v>
      </c>
      <c r="C741" s="54" t="s">
        <v>290</v>
      </c>
      <c r="D741" s="54" t="s">
        <v>2004</v>
      </c>
      <c r="E741" s="54" t="s">
        <v>2005</v>
      </c>
      <c r="F741" s="54" t="s">
        <v>2008</v>
      </c>
      <c r="G741" s="54" t="s">
        <v>2007</v>
      </c>
      <c r="H741" s="54" t="n">
        <v>16164</v>
      </c>
      <c r="I741" s="54" t="s">
        <v>315</v>
      </c>
      <c r="J741" s="54" t="s">
        <v>375</v>
      </c>
    </row>
    <row r="742" customFormat="false" ht="15" hidden="false" customHeight="true" outlineLevel="0" collapsed="false">
      <c r="A742" s="54" t="n">
        <v>20260710</v>
      </c>
      <c r="B742" s="54" t="s">
        <v>306</v>
      </c>
      <c r="C742" s="54" t="s">
        <v>290</v>
      </c>
      <c r="D742" s="54" t="s">
        <v>2004</v>
      </c>
      <c r="E742" s="54" t="s">
        <v>2005</v>
      </c>
      <c r="F742" s="54" t="s">
        <v>2009</v>
      </c>
      <c r="G742" s="54" t="s">
        <v>2010</v>
      </c>
      <c r="H742" s="54" t="n">
        <v>13538</v>
      </c>
      <c r="I742" s="54" t="s">
        <v>315</v>
      </c>
      <c r="J742" s="54" t="s">
        <v>375</v>
      </c>
    </row>
    <row r="743" customFormat="false" ht="15" hidden="false" customHeight="true" outlineLevel="0" collapsed="false">
      <c r="A743" s="54" t="n">
        <v>20260710</v>
      </c>
      <c r="B743" s="54" t="s">
        <v>306</v>
      </c>
      <c r="C743" s="54" t="s">
        <v>290</v>
      </c>
      <c r="D743" s="54" t="s">
        <v>2004</v>
      </c>
      <c r="E743" s="54" t="s">
        <v>2005</v>
      </c>
      <c r="F743" s="54" t="s">
        <v>2009</v>
      </c>
      <c r="G743" s="54" t="s">
        <v>2010</v>
      </c>
      <c r="H743" s="54" t="n">
        <v>13538</v>
      </c>
      <c r="I743" s="54" t="s">
        <v>295</v>
      </c>
      <c r="J743" s="54" t="s">
        <v>375</v>
      </c>
    </row>
    <row r="744" customFormat="false" ht="15" hidden="false" customHeight="true" outlineLevel="0" collapsed="false">
      <c r="A744" s="54" t="n">
        <v>20260710</v>
      </c>
      <c r="B744" s="54" t="s">
        <v>592</v>
      </c>
      <c r="C744" s="54" t="s">
        <v>290</v>
      </c>
      <c r="D744" s="54" t="s">
        <v>2011</v>
      </c>
      <c r="E744" s="54" t="s">
        <v>2012</v>
      </c>
      <c r="F744" s="54" t="s">
        <v>2013</v>
      </c>
      <c r="G744" s="54" t="s">
        <v>1622</v>
      </c>
      <c r="H744" s="54" t="n">
        <v>1211</v>
      </c>
      <c r="I744" s="54" t="s">
        <v>295</v>
      </c>
      <c r="J744" s="54" t="s">
        <v>597</v>
      </c>
    </row>
    <row r="745" customFormat="false" ht="15" hidden="false" customHeight="true" outlineLevel="0" collapsed="false">
      <c r="A745" s="54" t="n">
        <v>20260710</v>
      </c>
      <c r="B745" s="54" t="s">
        <v>592</v>
      </c>
      <c r="C745" s="54" t="s">
        <v>290</v>
      </c>
      <c r="D745" s="54" t="s">
        <v>2011</v>
      </c>
      <c r="E745" s="54" t="s">
        <v>2012</v>
      </c>
      <c r="F745" s="54" t="s">
        <v>2014</v>
      </c>
      <c r="G745" s="54" t="s">
        <v>2015</v>
      </c>
      <c r="H745" s="54" t="n">
        <v>18490</v>
      </c>
      <c r="I745" s="54" t="s">
        <v>295</v>
      </c>
      <c r="J745" s="54" t="s">
        <v>597</v>
      </c>
    </row>
    <row r="746" customFormat="false" ht="15" hidden="false" customHeight="true" outlineLevel="0" collapsed="false">
      <c r="A746" s="54" t="n">
        <v>20260710</v>
      </c>
      <c r="B746" s="54" t="s">
        <v>592</v>
      </c>
      <c r="C746" s="54" t="s">
        <v>290</v>
      </c>
      <c r="D746" s="54" t="s">
        <v>2011</v>
      </c>
      <c r="E746" s="54" t="s">
        <v>2012</v>
      </c>
      <c r="F746" s="54" t="s">
        <v>2016</v>
      </c>
      <c r="G746" s="54" t="s">
        <v>2017</v>
      </c>
      <c r="H746" s="54" t="n">
        <v>7805</v>
      </c>
      <c r="I746" s="54" t="s">
        <v>295</v>
      </c>
      <c r="J746" s="54" t="s">
        <v>597</v>
      </c>
    </row>
    <row r="747" customFormat="false" ht="15" hidden="false" customHeight="true" outlineLevel="0" collapsed="false">
      <c r="A747" s="54" t="n">
        <v>20260710</v>
      </c>
      <c r="B747" s="54" t="s">
        <v>592</v>
      </c>
      <c r="C747" s="54" t="s">
        <v>290</v>
      </c>
      <c r="D747" s="54" t="s">
        <v>2011</v>
      </c>
      <c r="E747" s="54" t="s">
        <v>2012</v>
      </c>
      <c r="F747" s="54" t="s">
        <v>2018</v>
      </c>
      <c r="G747" s="54" t="s">
        <v>2019</v>
      </c>
      <c r="H747" s="54" t="n">
        <v>1777</v>
      </c>
      <c r="I747" s="54" t="s">
        <v>295</v>
      </c>
      <c r="J747" s="54" t="s">
        <v>597</v>
      </c>
    </row>
    <row r="748" customFormat="false" ht="15" hidden="false" customHeight="true" outlineLevel="0" collapsed="false">
      <c r="A748" s="54" t="n">
        <v>20260710</v>
      </c>
      <c r="B748" s="54" t="s">
        <v>592</v>
      </c>
      <c r="C748" s="54" t="s">
        <v>290</v>
      </c>
      <c r="D748" s="54" t="s">
        <v>2011</v>
      </c>
      <c r="E748" s="54" t="s">
        <v>2012</v>
      </c>
      <c r="F748" s="54" t="s">
        <v>2020</v>
      </c>
      <c r="G748" s="54" t="s">
        <v>2021</v>
      </c>
      <c r="H748" s="54" t="n">
        <v>174</v>
      </c>
      <c r="I748" s="54" t="s">
        <v>295</v>
      </c>
      <c r="J748" s="54" t="s">
        <v>597</v>
      </c>
    </row>
    <row r="749" customFormat="false" ht="15" hidden="false" customHeight="true" outlineLevel="0" collapsed="false">
      <c r="A749" s="54" t="n">
        <v>20260710</v>
      </c>
      <c r="B749" s="54" t="s">
        <v>592</v>
      </c>
      <c r="C749" s="54" t="s">
        <v>290</v>
      </c>
      <c r="D749" s="54" t="s">
        <v>2011</v>
      </c>
      <c r="E749" s="54" t="s">
        <v>2012</v>
      </c>
      <c r="F749" s="54" t="s">
        <v>2022</v>
      </c>
      <c r="G749" s="54" t="s">
        <v>2023</v>
      </c>
      <c r="H749" s="54" t="n">
        <v>614</v>
      </c>
      <c r="I749" s="54" t="s">
        <v>295</v>
      </c>
      <c r="J749" s="54" t="s">
        <v>597</v>
      </c>
    </row>
    <row r="750" customFormat="false" ht="15" hidden="false" customHeight="true" outlineLevel="0" collapsed="false">
      <c r="A750" s="54" t="n">
        <v>20260710</v>
      </c>
      <c r="B750" s="54" t="s">
        <v>535</v>
      </c>
      <c r="C750" s="54" t="s">
        <v>290</v>
      </c>
      <c r="D750" s="54" t="s">
        <v>2024</v>
      </c>
      <c r="E750" s="54" t="s">
        <v>2025</v>
      </c>
      <c r="F750" s="54" t="s">
        <v>2026</v>
      </c>
      <c r="G750" s="54" t="s">
        <v>1535</v>
      </c>
      <c r="H750" s="54" t="n">
        <v>18004</v>
      </c>
      <c r="I750" s="54" t="s">
        <v>295</v>
      </c>
      <c r="J750" s="54" t="s">
        <v>677</v>
      </c>
    </row>
    <row r="751" customFormat="false" ht="15" hidden="false" customHeight="true" outlineLevel="0" collapsed="false">
      <c r="A751" s="54" t="n">
        <v>20260710</v>
      </c>
      <c r="B751" s="54" t="s">
        <v>535</v>
      </c>
      <c r="C751" s="54" t="s">
        <v>290</v>
      </c>
      <c r="D751" s="54" t="s">
        <v>2024</v>
      </c>
      <c r="E751" s="54" t="s">
        <v>2025</v>
      </c>
      <c r="F751" s="54" t="s">
        <v>937</v>
      </c>
      <c r="G751" s="54" t="s">
        <v>2027</v>
      </c>
      <c r="H751" s="54" t="n">
        <v>10811</v>
      </c>
      <c r="I751" s="54" t="s">
        <v>295</v>
      </c>
      <c r="J751" s="54" t="s">
        <v>677</v>
      </c>
    </row>
    <row r="752" customFormat="false" ht="15" hidden="false" customHeight="true" outlineLevel="0" collapsed="false">
      <c r="A752" s="54" t="n">
        <v>20260710</v>
      </c>
      <c r="B752" s="54" t="s">
        <v>592</v>
      </c>
      <c r="C752" s="54" t="s">
        <v>290</v>
      </c>
      <c r="D752" s="54" t="s">
        <v>2028</v>
      </c>
      <c r="E752" s="54" t="s">
        <v>2029</v>
      </c>
      <c r="F752" s="54" t="s">
        <v>2030</v>
      </c>
      <c r="G752" s="54" t="s">
        <v>2031</v>
      </c>
      <c r="H752" s="54" t="n">
        <v>36</v>
      </c>
      <c r="I752" s="54" t="s">
        <v>295</v>
      </c>
      <c r="J752" s="54" t="s">
        <v>1381</v>
      </c>
    </row>
    <row r="753" customFormat="false" ht="15" hidden="false" customHeight="true" outlineLevel="0" collapsed="false">
      <c r="A753" s="54" t="n">
        <v>20260710</v>
      </c>
      <c r="B753" s="54" t="s">
        <v>592</v>
      </c>
      <c r="C753" s="54" t="s">
        <v>290</v>
      </c>
      <c r="D753" s="54" t="s">
        <v>2028</v>
      </c>
      <c r="E753" s="54" t="s">
        <v>2029</v>
      </c>
      <c r="F753" s="54" t="s">
        <v>2032</v>
      </c>
      <c r="G753" s="54" t="s">
        <v>2033</v>
      </c>
      <c r="H753" s="54" t="n">
        <v>8856</v>
      </c>
      <c r="I753" s="54" t="s">
        <v>295</v>
      </c>
      <c r="J753" s="54" t="s">
        <v>1381</v>
      </c>
    </row>
    <row r="754" customFormat="false" ht="15" hidden="false" customHeight="true" outlineLevel="0" collapsed="false">
      <c r="A754" s="54" t="n">
        <v>20260710</v>
      </c>
      <c r="B754" s="54" t="s">
        <v>592</v>
      </c>
      <c r="C754" s="54" t="s">
        <v>290</v>
      </c>
      <c r="D754" s="54" t="s">
        <v>2028</v>
      </c>
      <c r="E754" s="54" t="s">
        <v>2029</v>
      </c>
      <c r="F754" s="54" t="s">
        <v>2034</v>
      </c>
      <c r="G754" s="54" t="s">
        <v>2035</v>
      </c>
      <c r="H754" s="54" t="n">
        <v>7252</v>
      </c>
      <c r="I754" s="54" t="s">
        <v>295</v>
      </c>
      <c r="J754" s="54" t="s">
        <v>1381</v>
      </c>
    </row>
    <row r="755" customFormat="false" ht="15" hidden="false" customHeight="true" outlineLevel="0" collapsed="false">
      <c r="A755" s="54" t="n">
        <v>20260710</v>
      </c>
      <c r="B755" s="54" t="s">
        <v>592</v>
      </c>
      <c r="C755" s="54" t="s">
        <v>290</v>
      </c>
      <c r="D755" s="54" t="s">
        <v>2028</v>
      </c>
      <c r="E755" s="54" t="s">
        <v>2029</v>
      </c>
      <c r="F755" s="54" t="s">
        <v>2036</v>
      </c>
      <c r="G755" s="54" t="s">
        <v>2037</v>
      </c>
      <c r="H755" s="54" t="n">
        <v>14802</v>
      </c>
      <c r="I755" s="54" t="s">
        <v>295</v>
      </c>
      <c r="J755" s="54" t="s">
        <v>1381</v>
      </c>
    </row>
    <row r="756" customFormat="false" ht="15" hidden="false" customHeight="true" outlineLevel="0" collapsed="false">
      <c r="A756" s="54" t="n">
        <v>20260710</v>
      </c>
      <c r="B756" s="54" t="s">
        <v>168</v>
      </c>
      <c r="C756" s="54" t="s">
        <v>290</v>
      </c>
      <c r="D756" s="54" t="s">
        <v>2038</v>
      </c>
      <c r="E756" s="54" t="s">
        <v>2039</v>
      </c>
      <c r="F756" s="54" t="s">
        <v>2040</v>
      </c>
      <c r="G756" s="54" t="s">
        <v>2041</v>
      </c>
      <c r="H756" s="54" t="n">
        <v>13288</v>
      </c>
      <c r="I756" s="54" t="s">
        <v>295</v>
      </c>
      <c r="J756" s="54" t="s">
        <v>818</v>
      </c>
    </row>
    <row r="757" customFormat="false" ht="15" hidden="false" customHeight="true" outlineLevel="0" collapsed="false">
      <c r="A757" s="54" t="n">
        <v>20260710</v>
      </c>
      <c r="B757" s="54" t="s">
        <v>168</v>
      </c>
      <c r="C757" s="54" t="s">
        <v>290</v>
      </c>
      <c r="D757" s="54" t="s">
        <v>2038</v>
      </c>
      <c r="E757" s="54" t="s">
        <v>2039</v>
      </c>
      <c r="F757" s="54" t="s">
        <v>2042</v>
      </c>
      <c r="G757" s="54" t="s">
        <v>2043</v>
      </c>
      <c r="H757" s="54" t="n">
        <v>1462</v>
      </c>
      <c r="I757" s="54" t="s">
        <v>295</v>
      </c>
      <c r="J757" s="54" t="s">
        <v>818</v>
      </c>
    </row>
    <row r="758" customFormat="false" ht="15" hidden="false" customHeight="true" outlineLevel="0" collapsed="false">
      <c r="A758" s="54" t="n">
        <v>20260710</v>
      </c>
      <c r="B758" s="54" t="s">
        <v>168</v>
      </c>
      <c r="C758" s="54" t="s">
        <v>290</v>
      </c>
      <c r="D758" s="54" t="s">
        <v>2038</v>
      </c>
      <c r="E758" s="54" t="s">
        <v>2039</v>
      </c>
      <c r="F758" s="54" t="s">
        <v>2044</v>
      </c>
      <c r="G758" s="54" t="s">
        <v>2045</v>
      </c>
      <c r="H758" s="54" t="n">
        <v>2762</v>
      </c>
      <c r="I758" s="54" t="s">
        <v>295</v>
      </c>
      <c r="J758" s="54" t="s">
        <v>818</v>
      </c>
    </row>
    <row r="759" customFormat="false" ht="15" hidden="false" customHeight="true" outlineLevel="0" collapsed="false">
      <c r="A759" s="54" t="n">
        <v>20260710</v>
      </c>
      <c r="B759" s="54" t="s">
        <v>168</v>
      </c>
      <c r="C759" s="54" t="s">
        <v>290</v>
      </c>
      <c r="D759" s="54" t="s">
        <v>2038</v>
      </c>
      <c r="E759" s="54" t="s">
        <v>2039</v>
      </c>
      <c r="F759" s="54" t="s">
        <v>2046</v>
      </c>
      <c r="G759" s="54" t="s">
        <v>2047</v>
      </c>
      <c r="H759" s="54" t="n">
        <v>11263</v>
      </c>
      <c r="I759" s="54" t="s">
        <v>295</v>
      </c>
      <c r="J759" s="54" t="s">
        <v>818</v>
      </c>
    </row>
    <row r="760" customFormat="false" ht="15" hidden="false" customHeight="true" outlineLevel="0" collapsed="false">
      <c r="A760" s="54" t="n">
        <v>20260710</v>
      </c>
      <c r="B760" s="54" t="s">
        <v>168</v>
      </c>
      <c r="C760" s="54" t="s">
        <v>290</v>
      </c>
      <c r="D760" s="54" t="s">
        <v>2048</v>
      </c>
      <c r="E760" s="54" t="s">
        <v>2049</v>
      </c>
      <c r="F760" s="54" t="s">
        <v>2050</v>
      </c>
      <c r="G760" s="54" t="s">
        <v>820</v>
      </c>
      <c r="H760" s="54" t="n">
        <v>11728</v>
      </c>
      <c r="I760" s="54" t="s">
        <v>295</v>
      </c>
      <c r="J760" s="54" t="s">
        <v>516</v>
      </c>
    </row>
    <row r="761" customFormat="false" ht="15" hidden="false" customHeight="true" outlineLevel="0" collapsed="false">
      <c r="A761" s="54" t="n">
        <v>20260710</v>
      </c>
      <c r="B761" s="54" t="s">
        <v>168</v>
      </c>
      <c r="C761" s="54" t="s">
        <v>290</v>
      </c>
      <c r="D761" s="54" t="s">
        <v>2048</v>
      </c>
      <c r="E761" s="54" t="s">
        <v>2049</v>
      </c>
      <c r="F761" s="54" t="s">
        <v>2051</v>
      </c>
      <c r="G761" s="54" t="s">
        <v>929</v>
      </c>
      <c r="H761" s="54" t="n">
        <v>20761</v>
      </c>
      <c r="I761" s="54" t="s">
        <v>295</v>
      </c>
      <c r="J761" s="54" t="s">
        <v>516</v>
      </c>
    </row>
    <row r="762" customFormat="false" ht="15" hidden="false" customHeight="true" outlineLevel="0" collapsed="false">
      <c r="A762" s="54" t="n">
        <v>20260710</v>
      </c>
      <c r="B762" s="54" t="s">
        <v>306</v>
      </c>
      <c r="C762" s="54" t="s">
        <v>290</v>
      </c>
      <c r="D762" s="54" t="s">
        <v>364</v>
      </c>
      <c r="E762" s="54" t="s">
        <v>365</v>
      </c>
      <c r="F762" s="54" t="s">
        <v>2052</v>
      </c>
      <c r="G762" s="54" t="s">
        <v>2053</v>
      </c>
      <c r="H762" s="54" t="n">
        <v>4735</v>
      </c>
      <c r="I762" s="54" t="s">
        <v>295</v>
      </c>
      <c r="J762" s="54" t="s">
        <v>368</v>
      </c>
    </row>
    <row r="763" customFormat="false" ht="15" hidden="false" customHeight="true" outlineLevel="0" collapsed="false">
      <c r="A763" s="54" t="n">
        <v>20260710</v>
      </c>
      <c r="B763" s="54" t="s">
        <v>306</v>
      </c>
      <c r="C763" s="54" t="s">
        <v>290</v>
      </c>
      <c r="D763" s="54" t="s">
        <v>364</v>
      </c>
      <c r="E763" s="54" t="s">
        <v>365</v>
      </c>
      <c r="F763" s="54" t="s">
        <v>2054</v>
      </c>
      <c r="G763" s="54" t="s">
        <v>2055</v>
      </c>
      <c r="H763" s="54" t="n">
        <v>4738</v>
      </c>
      <c r="I763" s="54" t="s">
        <v>315</v>
      </c>
      <c r="J763" s="54" t="s">
        <v>368</v>
      </c>
    </row>
    <row r="764" customFormat="false" ht="15" hidden="false" customHeight="true" outlineLevel="0" collapsed="false">
      <c r="A764" s="54" t="n">
        <v>20260710</v>
      </c>
      <c r="B764" s="54" t="s">
        <v>306</v>
      </c>
      <c r="C764" s="54" t="s">
        <v>290</v>
      </c>
      <c r="D764" s="54" t="s">
        <v>364</v>
      </c>
      <c r="E764" s="54" t="s">
        <v>365</v>
      </c>
      <c r="F764" s="54" t="s">
        <v>2056</v>
      </c>
      <c r="G764" s="54" t="s">
        <v>2057</v>
      </c>
      <c r="H764" s="54" t="n">
        <v>17064</v>
      </c>
      <c r="I764" s="54" t="s">
        <v>295</v>
      </c>
      <c r="J764" s="54" t="s">
        <v>368</v>
      </c>
    </row>
    <row r="765" customFormat="false" ht="15" hidden="false" customHeight="true" outlineLevel="0" collapsed="false">
      <c r="A765" s="54" t="n">
        <v>20260710</v>
      </c>
      <c r="B765" s="54" t="s">
        <v>306</v>
      </c>
      <c r="C765" s="54" t="s">
        <v>290</v>
      </c>
      <c r="D765" s="54" t="s">
        <v>364</v>
      </c>
      <c r="E765" s="54" t="s">
        <v>365</v>
      </c>
      <c r="F765" s="54" t="s">
        <v>2058</v>
      </c>
      <c r="G765" s="54" t="s">
        <v>2059</v>
      </c>
      <c r="H765" s="54" t="n">
        <v>7143</v>
      </c>
      <c r="I765" s="54" t="s">
        <v>315</v>
      </c>
      <c r="J765" s="54" t="s">
        <v>368</v>
      </c>
    </row>
    <row r="766" customFormat="false" ht="15" hidden="false" customHeight="true" outlineLevel="0" collapsed="false">
      <c r="A766" s="54" t="n">
        <v>20260710</v>
      </c>
      <c r="B766" s="54" t="s">
        <v>306</v>
      </c>
      <c r="C766" s="54" t="s">
        <v>290</v>
      </c>
      <c r="D766" s="54" t="s">
        <v>364</v>
      </c>
      <c r="E766" s="54" t="s">
        <v>365</v>
      </c>
      <c r="F766" s="54" t="s">
        <v>2058</v>
      </c>
      <c r="G766" s="54" t="s">
        <v>2059</v>
      </c>
      <c r="H766" s="54" t="n">
        <v>7143</v>
      </c>
      <c r="I766" s="54" t="s">
        <v>295</v>
      </c>
      <c r="J766" s="54" t="s">
        <v>368</v>
      </c>
    </row>
    <row r="767" customFormat="false" ht="15" hidden="false" customHeight="true" outlineLevel="0" collapsed="false">
      <c r="A767" s="54" t="n">
        <v>20260710</v>
      </c>
      <c r="B767" s="54" t="s">
        <v>688</v>
      </c>
      <c r="C767" s="54" t="s">
        <v>307</v>
      </c>
      <c r="D767" s="54" t="s">
        <v>2060</v>
      </c>
      <c r="E767" s="54" t="s">
        <v>2061</v>
      </c>
      <c r="F767" s="54" t="s">
        <v>1948</v>
      </c>
      <c r="G767" s="54" t="s">
        <v>2062</v>
      </c>
      <c r="H767" s="54" t="n">
        <v>18325</v>
      </c>
      <c r="I767" s="54" t="s">
        <v>295</v>
      </c>
      <c r="J767" s="54" t="s">
        <v>693</v>
      </c>
    </row>
    <row r="768" customFormat="false" ht="15" hidden="false" customHeight="true" outlineLevel="0" collapsed="false">
      <c r="A768" s="54" t="n">
        <v>20260710</v>
      </c>
      <c r="B768" s="54" t="s">
        <v>688</v>
      </c>
      <c r="C768" s="54" t="s">
        <v>307</v>
      </c>
      <c r="D768" s="54" t="s">
        <v>2060</v>
      </c>
      <c r="E768" s="54" t="s">
        <v>2061</v>
      </c>
      <c r="F768" s="54" t="s">
        <v>1111</v>
      </c>
      <c r="G768" s="54" t="s">
        <v>2063</v>
      </c>
      <c r="H768" s="54" t="n">
        <v>14436</v>
      </c>
      <c r="I768" s="54" t="s">
        <v>295</v>
      </c>
      <c r="J768" s="54" t="s">
        <v>693</v>
      </c>
    </row>
    <row r="769" customFormat="false" ht="15" hidden="false" customHeight="true" outlineLevel="0" collapsed="false">
      <c r="A769" s="54" t="n">
        <v>20260710</v>
      </c>
      <c r="B769" s="54" t="s">
        <v>289</v>
      </c>
      <c r="C769" s="54" t="s">
        <v>290</v>
      </c>
      <c r="D769" s="54" t="s">
        <v>2064</v>
      </c>
      <c r="E769" s="54" t="s">
        <v>2065</v>
      </c>
      <c r="F769" s="54" t="s">
        <v>2066</v>
      </c>
      <c r="G769" s="54" t="s">
        <v>2067</v>
      </c>
      <c r="H769" s="54" t="n">
        <v>16325</v>
      </c>
      <c r="I769" s="54" t="s">
        <v>295</v>
      </c>
      <c r="J769" s="54" t="s">
        <v>439</v>
      </c>
    </row>
    <row r="770" customFormat="false" ht="15" hidden="false" customHeight="true" outlineLevel="0" collapsed="false">
      <c r="A770" s="54" t="n">
        <v>20260710</v>
      </c>
      <c r="B770" s="54" t="s">
        <v>289</v>
      </c>
      <c r="C770" s="54" t="s">
        <v>290</v>
      </c>
      <c r="D770" s="54" t="s">
        <v>2064</v>
      </c>
      <c r="E770" s="54" t="s">
        <v>2065</v>
      </c>
      <c r="F770" s="54" t="s">
        <v>2068</v>
      </c>
      <c r="G770" s="54" t="s">
        <v>2069</v>
      </c>
      <c r="H770" s="54" t="n">
        <v>11987</v>
      </c>
      <c r="I770" s="54" t="s">
        <v>295</v>
      </c>
      <c r="J770" s="54" t="s">
        <v>439</v>
      </c>
    </row>
    <row r="771" customFormat="false" ht="15" hidden="false" customHeight="true" outlineLevel="0" collapsed="false">
      <c r="A771" s="54" t="n">
        <v>20260710</v>
      </c>
      <c r="B771" s="54" t="s">
        <v>289</v>
      </c>
      <c r="C771" s="54" t="s">
        <v>307</v>
      </c>
      <c r="D771" s="54" t="s">
        <v>2070</v>
      </c>
      <c r="E771" s="54" t="s">
        <v>2071</v>
      </c>
      <c r="F771" s="54" t="s">
        <v>2072</v>
      </c>
      <c r="G771" s="54" t="s">
        <v>2073</v>
      </c>
      <c r="H771" s="54" t="n">
        <v>16297</v>
      </c>
      <c r="I771" s="54" t="s">
        <v>295</v>
      </c>
      <c r="J771" s="54" t="s">
        <v>707</v>
      </c>
    </row>
    <row r="772" customFormat="false" ht="15" hidden="false" customHeight="true" outlineLevel="0" collapsed="false">
      <c r="A772" s="54" t="n">
        <v>20260710</v>
      </c>
      <c r="B772" s="54" t="s">
        <v>289</v>
      </c>
      <c r="C772" s="54" t="s">
        <v>307</v>
      </c>
      <c r="D772" s="54" t="s">
        <v>2070</v>
      </c>
      <c r="E772" s="54" t="s">
        <v>2071</v>
      </c>
      <c r="F772" s="54" t="s">
        <v>2074</v>
      </c>
      <c r="G772" s="54" t="s">
        <v>2073</v>
      </c>
      <c r="H772" s="54" t="n">
        <v>16296</v>
      </c>
      <c r="I772" s="54" t="s">
        <v>360</v>
      </c>
      <c r="J772" s="54" t="s">
        <v>707</v>
      </c>
    </row>
    <row r="773" customFormat="false" ht="15" hidden="false" customHeight="true" outlineLevel="0" collapsed="false">
      <c r="A773" s="54" t="n">
        <v>20260710</v>
      </c>
      <c r="B773" s="54" t="s">
        <v>289</v>
      </c>
      <c r="C773" s="54" t="s">
        <v>307</v>
      </c>
      <c r="D773" s="54" t="s">
        <v>2070</v>
      </c>
      <c r="E773" s="54" t="s">
        <v>2071</v>
      </c>
      <c r="F773" s="54" t="s">
        <v>2075</v>
      </c>
      <c r="G773" s="54" t="s">
        <v>2076</v>
      </c>
      <c r="H773" s="54" t="n">
        <v>16131</v>
      </c>
      <c r="I773" s="54" t="s">
        <v>360</v>
      </c>
      <c r="J773" s="54" t="s">
        <v>707</v>
      </c>
    </row>
    <row r="774" customFormat="false" ht="15" hidden="false" customHeight="true" outlineLevel="0" collapsed="false">
      <c r="A774" s="54" t="n">
        <v>20260710</v>
      </c>
      <c r="B774" s="54" t="s">
        <v>289</v>
      </c>
      <c r="C774" s="54" t="s">
        <v>307</v>
      </c>
      <c r="D774" s="54" t="s">
        <v>2070</v>
      </c>
      <c r="E774" s="54" t="s">
        <v>2071</v>
      </c>
      <c r="F774" s="54" t="s">
        <v>2075</v>
      </c>
      <c r="G774" s="54" t="s">
        <v>2076</v>
      </c>
      <c r="H774" s="54" t="n">
        <v>16131</v>
      </c>
      <c r="I774" s="54" t="s">
        <v>295</v>
      </c>
      <c r="J774" s="54" t="s">
        <v>707</v>
      </c>
    </row>
    <row r="775" customFormat="false" ht="15" hidden="false" customHeight="true" outlineLevel="0" collapsed="false">
      <c r="A775" s="54" t="n">
        <v>20260710</v>
      </c>
      <c r="B775" s="54" t="s">
        <v>306</v>
      </c>
      <c r="C775" s="54" t="s">
        <v>290</v>
      </c>
      <c r="D775" s="54" t="s">
        <v>2077</v>
      </c>
      <c r="E775" s="54" t="s">
        <v>2078</v>
      </c>
      <c r="F775" s="54" t="s">
        <v>2079</v>
      </c>
      <c r="G775" s="54" t="s">
        <v>2080</v>
      </c>
      <c r="H775" s="54" t="n">
        <v>16468</v>
      </c>
      <c r="I775" s="54" t="s">
        <v>295</v>
      </c>
      <c r="J775" s="54" t="s">
        <v>1027</v>
      </c>
    </row>
    <row r="776" customFormat="false" ht="15" hidden="false" customHeight="true" outlineLevel="0" collapsed="false">
      <c r="A776" s="54" t="n">
        <v>20260710</v>
      </c>
      <c r="B776" s="54" t="s">
        <v>306</v>
      </c>
      <c r="C776" s="54" t="s">
        <v>290</v>
      </c>
      <c r="D776" s="54" t="s">
        <v>2077</v>
      </c>
      <c r="E776" s="54" t="s">
        <v>2078</v>
      </c>
      <c r="F776" s="54" t="s">
        <v>2081</v>
      </c>
      <c r="G776" s="54" t="s">
        <v>2082</v>
      </c>
      <c r="H776" s="54" t="n">
        <v>13439</v>
      </c>
      <c r="I776" s="54" t="s">
        <v>295</v>
      </c>
      <c r="J776" s="54" t="s">
        <v>1027</v>
      </c>
    </row>
    <row r="777" customFormat="false" ht="15" hidden="false" customHeight="true" outlineLevel="0" collapsed="false">
      <c r="A777" s="54" t="n">
        <v>20260710</v>
      </c>
      <c r="B777" s="54" t="s">
        <v>306</v>
      </c>
      <c r="C777" s="54" t="s">
        <v>290</v>
      </c>
      <c r="D777" s="54" t="s">
        <v>2077</v>
      </c>
      <c r="E777" s="54" t="s">
        <v>2078</v>
      </c>
      <c r="F777" s="54" t="s">
        <v>2083</v>
      </c>
      <c r="G777" s="54" t="s">
        <v>2084</v>
      </c>
      <c r="H777" s="54" t="n">
        <v>777</v>
      </c>
      <c r="I777" s="54" t="s">
        <v>295</v>
      </c>
      <c r="J777" s="54" t="s">
        <v>1027</v>
      </c>
    </row>
    <row r="778" customFormat="false" ht="15" hidden="false" customHeight="true" outlineLevel="0" collapsed="false">
      <c r="A778" s="54" t="n">
        <v>20260710</v>
      </c>
      <c r="B778" s="54" t="s">
        <v>497</v>
      </c>
      <c r="C778" s="54" t="s">
        <v>307</v>
      </c>
      <c r="D778" s="54" t="s">
        <v>2085</v>
      </c>
      <c r="E778" s="54" t="s">
        <v>2086</v>
      </c>
      <c r="F778" s="54" t="s">
        <v>2087</v>
      </c>
      <c r="G778" s="54" t="s">
        <v>2088</v>
      </c>
      <c r="H778" s="54" t="n">
        <v>17966</v>
      </c>
      <c r="I778" s="54" t="s">
        <v>295</v>
      </c>
      <c r="J778" s="54" t="s">
        <v>502</v>
      </c>
    </row>
    <row r="779" customFormat="false" ht="15" hidden="false" customHeight="true" outlineLevel="0" collapsed="false">
      <c r="A779" s="54" t="n">
        <v>20260710</v>
      </c>
      <c r="B779" s="54" t="s">
        <v>497</v>
      </c>
      <c r="C779" s="54" t="s">
        <v>307</v>
      </c>
      <c r="D779" s="54" t="s">
        <v>2085</v>
      </c>
      <c r="E779" s="54" t="s">
        <v>2086</v>
      </c>
      <c r="F779" s="54" t="s">
        <v>2089</v>
      </c>
      <c r="G779" s="54" t="s">
        <v>1524</v>
      </c>
      <c r="H779" s="54" t="n">
        <v>10682</v>
      </c>
      <c r="I779" s="54" t="s">
        <v>295</v>
      </c>
      <c r="J779" s="54" t="s">
        <v>502</v>
      </c>
    </row>
    <row r="780" customFormat="false" ht="15" hidden="false" customHeight="true" outlineLevel="0" collapsed="false">
      <c r="A780" s="54" t="n">
        <v>20260710</v>
      </c>
      <c r="B780" s="54" t="s">
        <v>592</v>
      </c>
      <c r="C780" s="54" t="s">
        <v>290</v>
      </c>
      <c r="D780" s="54" t="s">
        <v>2090</v>
      </c>
      <c r="E780" s="54" t="s">
        <v>2091</v>
      </c>
      <c r="F780" s="54" t="s">
        <v>2092</v>
      </c>
      <c r="G780" s="54" t="s">
        <v>2093</v>
      </c>
      <c r="H780" s="54" t="n">
        <v>17918</v>
      </c>
      <c r="I780" s="54" t="s">
        <v>295</v>
      </c>
      <c r="J780" s="54" t="s">
        <v>1381</v>
      </c>
    </row>
    <row r="781" customFormat="false" ht="15" hidden="false" customHeight="true" outlineLevel="0" collapsed="false">
      <c r="A781" s="54" t="n">
        <v>20260710</v>
      </c>
      <c r="B781" s="54" t="s">
        <v>592</v>
      </c>
      <c r="C781" s="54" t="s">
        <v>290</v>
      </c>
      <c r="D781" s="54" t="s">
        <v>2090</v>
      </c>
      <c r="E781" s="54" t="s">
        <v>2091</v>
      </c>
      <c r="F781" s="54" t="s">
        <v>2094</v>
      </c>
      <c r="G781" s="54" t="s">
        <v>2095</v>
      </c>
      <c r="H781" s="54" t="n">
        <v>12531</v>
      </c>
      <c r="I781" s="54" t="s">
        <v>295</v>
      </c>
      <c r="J781" s="54" t="s">
        <v>1381</v>
      </c>
    </row>
    <row r="782" customFormat="false" ht="15" hidden="false" customHeight="true" outlineLevel="0" collapsed="false">
      <c r="A782" s="54" t="n">
        <v>20260710</v>
      </c>
      <c r="B782" s="54" t="s">
        <v>168</v>
      </c>
      <c r="C782" s="54" t="s">
        <v>290</v>
      </c>
      <c r="D782" s="54" t="s">
        <v>2096</v>
      </c>
      <c r="E782" s="54" t="s">
        <v>2097</v>
      </c>
      <c r="F782" s="54" t="s">
        <v>2098</v>
      </c>
      <c r="G782" s="54" t="s">
        <v>2099</v>
      </c>
      <c r="H782" s="54" t="n">
        <v>16428</v>
      </c>
      <c r="I782" s="54" t="s">
        <v>295</v>
      </c>
      <c r="J782" s="54" t="s">
        <v>1709</v>
      </c>
    </row>
    <row r="783" customFormat="false" ht="15" hidden="false" customHeight="true" outlineLevel="0" collapsed="false">
      <c r="A783" s="54" t="n">
        <v>20260710</v>
      </c>
      <c r="B783" s="54" t="s">
        <v>168</v>
      </c>
      <c r="C783" s="54" t="s">
        <v>290</v>
      </c>
      <c r="D783" s="54" t="s">
        <v>2096</v>
      </c>
      <c r="E783" s="54" t="s">
        <v>2097</v>
      </c>
      <c r="F783" s="54" t="s">
        <v>2100</v>
      </c>
      <c r="G783" s="54" t="s">
        <v>2101</v>
      </c>
      <c r="H783" s="54" t="n">
        <v>320</v>
      </c>
      <c r="I783" s="54" t="s">
        <v>295</v>
      </c>
      <c r="J783" s="54" t="s">
        <v>1709</v>
      </c>
    </row>
    <row r="784" customFormat="false" ht="15" hidden="false" customHeight="true" outlineLevel="0" collapsed="false">
      <c r="A784" s="54" t="n">
        <v>20260710</v>
      </c>
      <c r="B784" s="54" t="s">
        <v>168</v>
      </c>
      <c r="C784" s="54" t="s">
        <v>290</v>
      </c>
      <c r="D784" s="54" t="s">
        <v>2096</v>
      </c>
      <c r="E784" s="54" t="s">
        <v>2097</v>
      </c>
      <c r="F784" s="54" t="s">
        <v>2102</v>
      </c>
      <c r="G784" s="54" t="s">
        <v>2103</v>
      </c>
      <c r="H784" s="54" t="n">
        <v>10912</v>
      </c>
      <c r="I784" s="54" t="s">
        <v>295</v>
      </c>
      <c r="J784" s="54" t="s">
        <v>1709</v>
      </c>
    </row>
    <row r="785" customFormat="false" ht="15" hidden="false" customHeight="true" outlineLevel="0" collapsed="false">
      <c r="A785" s="54" t="n">
        <v>20260710</v>
      </c>
      <c r="B785" s="54" t="s">
        <v>168</v>
      </c>
      <c r="C785" s="54" t="s">
        <v>290</v>
      </c>
      <c r="D785" s="54" t="s">
        <v>2096</v>
      </c>
      <c r="E785" s="54" t="s">
        <v>2097</v>
      </c>
      <c r="F785" s="54" t="s">
        <v>2104</v>
      </c>
      <c r="G785" s="54" t="s">
        <v>2105</v>
      </c>
      <c r="H785" s="54" t="n">
        <v>88</v>
      </c>
      <c r="I785" s="54" t="s">
        <v>295</v>
      </c>
      <c r="J785" s="54" t="s">
        <v>1709</v>
      </c>
    </row>
    <row r="786" customFormat="false" ht="15" hidden="false" customHeight="true" outlineLevel="0" collapsed="false">
      <c r="A786" s="54" t="n">
        <v>20260710</v>
      </c>
      <c r="B786" s="54" t="s">
        <v>168</v>
      </c>
      <c r="C786" s="54" t="s">
        <v>290</v>
      </c>
      <c r="D786" s="54" t="s">
        <v>2096</v>
      </c>
      <c r="E786" s="54" t="s">
        <v>2097</v>
      </c>
      <c r="F786" s="54" t="s">
        <v>1524</v>
      </c>
      <c r="G786" s="54" t="s">
        <v>2106</v>
      </c>
      <c r="H786" s="54" t="n">
        <v>3551</v>
      </c>
      <c r="I786" s="54" t="s">
        <v>295</v>
      </c>
      <c r="J786" s="54" t="s">
        <v>1709</v>
      </c>
    </row>
    <row r="787" customFormat="false" ht="15" hidden="false" customHeight="true" outlineLevel="0" collapsed="false">
      <c r="A787" s="54" t="n">
        <v>20260710</v>
      </c>
      <c r="B787" s="54" t="s">
        <v>306</v>
      </c>
      <c r="C787" s="54" t="s">
        <v>290</v>
      </c>
      <c r="D787" s="54" t="s">
        <v>2107</v>
      </c>
      <c r="E787" s="54" t="s">
        <v>2108</v>
      </c>
      <c r="F787" s="54" t="s">
        <v>2109</v>
      </c>
      <c r="G787" s="54" t="s">
        <v>2110</v>
      </c>
      <c r="H787" s="54" t="n">
        <v>10</v>
      </c>
      <c r="I787" s="54" t="s">
        <v>295</v>
      </c>
      <c r="J787" s="54" t="s">
        <v>375</v>
      </c>
    </row>
    <row r="788" customFormat="false" ht="15" hidden="false" customHeight="true" outlineLevel="0" collapsed="false">
      <c r="A788" s="54" t="n">
        <v>20260710</v>
      </c>
      <c r="B788" s="54" t="s">
        <v>306</v>
      </c>
      <c r="C788" s="54" t="s">
        <v>290</v>
      </c>
      <c r="D788" s="54" t="s">
        <v>2107</v>
      </c>
      <c r="E788" s="54" t="s">
        <v>2108</v>
      </c>
      <c r="F788" s="54" t="s">
        <v>2111</v>
      </c>
      <c r="G788" s="54" t="s">
        <v>2112</v>
      </c>
      <c r="H788" s="54" t="n">
        <v>9976</v>
      </c>
      <c r="I788" s="54" t="s">
        <v>295</v>
      </c>
      <c r="J788" s="54" t="s">
        <v>375</v>
      </c>
    </row>
    <row r="789" customFormat="false" ht="15" hidden="false" customHeight="true" outlineLevel="0" collapsed="false">
      <c r="A789" s="54" t="n">
        <v>20260710</v>
      </c>
      <c r="B789" s="54" t="s">
        <v>306</v>
      </c>
      <c r="C789" s="54" t="s">
        <v>290</v>
      </c>
      <c r="D789" s="54" t="s">
        <v>2107</v>
      </c>
      <c r="E789" s="54" t="s">
        <v>2108</v>
      </c>
      <c r="F789" s="54" t="s">
        <v>2113</v>
      </c>
      <c r="G789" s="54" t="s">
        <v>2114</v>
      </c>
      <c r="H789" s="54" t="n">
        <v>2780</v>
      </c>
      <c r="I789" s="54" t="s">
        <v>295</v>
      </c>
      <c r="J789" s="54" t="s">
        <v>375</v>
      </c>
    </row>
    <row r="790" customFormat="false" ht="15" hidden="false" customHeight="true" outlineLevel="0" collapsed="false">
      <c r="A790" s="54" t="n">
        <v>20260710</v>
      </c>
      <c r="B790" s="54" t="s">
        <v>306</v>
      </c>
      <c r="C790" s="54" t="s">
        <v>290</v>
      </c>
      <c r="D790" s="54" t="s">
        <v>2107</v>
      </c>
      <c r="E790" s="54" t="s">
        <v>2108</v>
      </c>
      <c r="F790" s="54" t="s">
        <v>2115</v>
      </c>
      <c r="G790" s="54" t="s">
        <v>2116</v>
      </c>
      <c r="H790" s="54" t="n">
        <v>1215</v>
      </c>
      <c r="I790" s="54" t="s">
        <v>295</v>
      </c>
      <c r="J790" s="54" t="s">
        <v>375</v>
      </c>
    </row>
    <row r="791" customFormat="false" ht="15" hidden="false" customHeight="true" outlineLevel="0" collapsed="false">
      <c r="A791" s="54" t="n">
        <v>20260710</v>
      </c>
      <c r="B791" s="54" t="s">
        <v>306</v>
      </c>
      <c r="C791" s="54" t="s">
        <v>290</v>
      </c>
      <c r="D791" s="54" t="s">
        <v>2107</v>
      </c>
      <c r="E791" s="54" t="s">
        <v>2108</v>
      </c>
      <c r="F791" s="54" t="s">
        <v>2117</v>
      </c>
      <c r="G791" s="54" t="s">
        <v>2118</v>
      </c>
      <c r="H791" s="54" t="n">
        <v>51</v>
      </c>
      <c r="I791" s="54" t="s">
        <v>295</v>
      </c>
      <c r="J791" s="54" t="s">
        <v>375</v>
      </c>
    </row>
    <row r="792" customFormat="false" ht="15" hidden="false" customHeight="true" outlineLevel="0" collapsed="false">
      <c r="A792" s="54" t="n">
        <v>20260710</v>
      </c>
      <c r="B792" s="54" t="s">
        <v>306</v>
      </c>
      <c r="C792" s="54" t="s">
        <v>290</v>
      </c>
      <c r="D792" s="54" t="s">
        <v>2107</v>
      </c>
      <c r="E792" s="54" t="s">
        <v>2108</v>
      </c>
      <c r="F792" s="54" t="s">
        <v>2119</v>
      </c>
      <c r="G792" s="54" t="s">
        <v>2120</v>
      </c>
      <c r="H792" s="54" t="n">
        <v>5602</v>
      </c>
      <c r="I792" s="54" t="s">
        <v>295</v>
      </c>
      <c r="J792" s="54" t="s">
        <v>375</v>
      </c>
    </row>
    <row r="793" customFormat="false" ht="15" hidden="false" customHeight="true" outlineLevel="0" collapsed="false">
      <c r="A793" s="54" t="n">
        <v>20260710</v>
      </c>
      <c r="B793" s="54" t="s">
        <v>306</v>
      </c>
      <c r="C793" s="54" t="s">
        <v>290</v>
      </c>
      <c r="D793" s="54" t="s">
        <v>2107</v>
      </c>
      <c r="E793" s="54" t="s">
        <v>2108</v>
      </c>
      <c r="F793" s="54" t="s">
        <v>2121</v>
      </c>
      <c r="G793" s="54" t="s">
        <v>2122</v>
      </c>
      <c r="H793" s="54" t="n">
        <v>4882</v>
      </c>
      <c r="I793" s="54" t="s">
        <v>295</v>
      </c>
      <c r="J793" s="54" t="s">
        <v>375</v>
      </c>
    </row>
    <row r="794" customFormat="false" ht="15" hidden="false" customHeight="true" outlineLevel="0" collapsed="false">
      <c r="A794" s="54" t="n">
        <v>20260710</v>
      </c>
      <c r="B794" s="54" t="s">
        <v>306</v>
      </c>
      <c r="C794" s="54" t="s">
        <v>290</v>
      </c>
      <c r="D794" s="54" t="s">
        <v>2107</v>
      </c>
      <c r="E794" s="54" t="s">
        <v>2108</v>
      </c>
      <c r="F794" s="54" t="s">
        <v>2123</v>
      </c>
      <c r="G794" s="54" t="s">
        <v>544</v>
      </c>
      <c r="H794" s="54" t="n">
        <v>5868</v>
      </c>
      <c r="I794" s="54" t="s">
        <v>295</v>
      </c>
      <c r="J794" s="54" t="s">
        <v>375</v>
      </c>
    </row>
    <row r="795" customFormat="false" ht="15" hidden="false" customHeight="true" outlineLevel="0" collapsed="false">
      <c r="A795" s="54" t="n">
        <v>20260710</v>
      </c>
      <c r="B795" s="54" t="s">
        <v>497</v>
      </c>
      <c r="C795" s="54" t="s">
        <v>307</v>
      </c>
      <c r="D795" s="54" t="s">
        <v>2124</v>
      </c>
      <c r="E795" s="54" t="s">
        <v>2125</v>
      </c>
      <c r="F795" s="54" t="s">
        <v>2126</v>
      </c>
      <c r="G795" s="54" t="s">
        <v>2127</v>
      </c>
      <c r="H795" s="54" t="n">
        <v>17128</v>
      </c>
      <c r="I795" s="54" t="s">
        <v>295</v>
      </c>
      <c r="J795" s="54" t="s">
        <v>894</v>
      </c>
    </row>
    <row r="796" customFormat="false" ht="15" hidden="false" customHeight="true" outlineLevel="0" collapsed="false">
      <c r="A796" s="54" t="n">
        <v>20260710</v>
      </c>
      <c r="B796" s="54" t="s">
        <v>497</v>
      </c>
      <c r="C796" s="54" t="s">
        <v>307</v>
      </c>
      <c r="D796" s="54" t="s">
        <v>2124</v>
      </c>
      <c r="E796" s="54" t="s">
        <v>2125</v>
      </c>
      <c r="F796" s="54" t="s">
        <v>2128</v>
      </c>
      <c r="G796" s="54" t="s">
        <v>2129</v>
      </c>
      <c r="H796" s="54" t="n">
        <v>12626</v>
      </c>
      <c r="I796" s="54" t="s">
        <v>295</v>
      </c>
      <c r="J796" s="54" t="s">
        <v>894</v>
      </c>
    </row>
    <row r="797" customFormat="false" ht="15" hidden="false" customHeight="true" outlineLevel="0" collapsed="false">
      <c r="A797" s="54" t="n">
        <v>20260710</v>
      </c>
      <c r="B797" s="54" t="s">
        <v>289</v>
      </c>
      <c r="C797" s="54" t="s">
        <v>290</v>
      </c>
      <c r="D797" s="54" t="s">
        <v>2130</v>
      </c>
      <c r="E797" s="54" t="s">
        <v>2131</v>
      </c>
      <c r="F797" s="54" t="s">
        <v>2132</v>
      </c>
      <c r="G797" s="54" t="s">
        <v>2133</v>
      </c>
      <c r="H797" s="54" t="n">
        <v>22025</v>
      </c>
      <c r="I797" s="54" t="s">
        <v>360</v>
      </c>
      <c r="J797" s="54" t="s">
        <v>852</v>
      </c>
    </row>
    <row r="798" customFormat="false" ht="15" hidden="false" customHeight="true" outlineLevel="0" collapsed="false">
      <c r="A798" s="54" t="n">
        <v>20260710</v>
      </c>
      <c r="B798" s="54" t="s">
        <v>289</v>
      </c>
      <c r="C798" s="54" t="s">
        <v>290</v>
      </c>
      <c r="D798" s="54" t="s">
        <v>2130</v>
      </c>
      <c r="E798" s="54" t="s">
        <v>2131</v>
      </c>
      <c r="F798" s="54" t="s">
        <v>2132</v>
      </c>
      <c r="G798" s="54" t="s">
        <v>2133</v>
      </c>
      <c r="H798" s="54" t="n">
        <v>22025</v>
      </c>
      <c r="I798" s="54" t="s">
        <v>295</v>
      </c>
      <c r="J798" s="54" t="s">
        <v>852</v>
      </c>
    </row>
    <row r="799" customFormat="false" ht="15" hidden="false" customHeight="true" outlineLevel="0" collapsed="false">
      <c r="A799" s="54" t="n">
        <v>20260710</v>
      </c>
      <c r="B799" s="54" t="s">
        <v>289</v>
      </c>
      <c r="C799" s="54" t="s">
        <v>290</v>
      </c>
      <c r="D799" s="54" t="s">
        <v>2130</v>
      </c>
      <c r="E799" s="54" t="s">
        <v>2131</v>
      </c>
      <c r="F799" s="54" t="s">
        <v>2134</v>
      </c>
      <c r="G799" s="54" t="s">
        <v>2135</v>
      </c>
      <c r="H799" s="54" t="n">
        <v>7925</v>
      </c>
      <c r="I799" s="54" t="s">
        <v>360</v>
      </c>
      <c r="J799" s="54" t="s">
        <v>852</v>
      </c>
    </row>
    <row r="800" customFormat="false" ht="15" hidden="false" customHeight="true" outlineLevel="0" collapsed="false">
      <c r="A800" s="54" t="n">
        <v>20260710</v>
      </c>
      <c r="B800" s="54" t="s">
        <v>289</v>
      </c>
      <c r="C800" s="54" t="s">
        <v>290</v>
      </c>
      <c r="D800" s="54" t="s">
        <v>2130</v>
      </c>
      <c r="E800" s="54" t="s">
        <v>2131</v>
      </c>
      <c r="F800" s="54" t="s">
        <v>2134</v>
      </c>
      <c r="G800" s="54" t="s">
        <v>2135</v>
      </c>
      <c r="H800" s="54" t="n">
        <v>7925</v>
      </c>
      <c r="I800" s="54" t="s">
        <v>295</v>
      </c>
      <c r="J800" s="54" t="s">
        <v>852</v>
      </c>
    </row>
    <row r="801" customFormat="false" ht="15" hidden="false" customHeight="true" outlineLevel="0" collapsed="false">
      <c r="A801" s="54" t="n">
        <v>20260710</v>
      </c>
      <c r="B801" s="54" t="s">
        <v>592</v>
      </c>
      <c r="C801" s="54" t="s">
        <v>290</v>
      </c>
      <c r="D801" s="54" t="s">
        <v>2136</v>
      </c>
      <c r="E801" s="54" t="s">
        <v>2137</v>
      </c>
      <c r="F801" s="54" t="s">
        <v>2138</v>
      </c>
      <c r="G801" s="54" t="s">
        <v>2139</v>
      </c>
      <c r="H801" s="54" t="n">
        <v>18091</v>
      </c>
      <c r="I801" s="54" t="s">
        <v>295</v>
      </c>
      <c r="J801" s="54" t="s">
        <v>597</v>
      </c>
    </row>
    <row r="802" customFormat="false" ht="15" hidden="false" customHeight="true" outlineLevel="0" collapsed="false">
      <c r="A802" s="54" t="n">
        <v>20260710</v>
      </c>
      <c r="B802" s="54" t="s">
        <v>592</v>
      </c>
      <c r="C802" s="54" t="s">
        <v>290</v>
      </c>
      <c r="D802" s="54" t="s">
        <v>2136</v>
      </c>
      <c r="E802" s="54" t="s">
        <v>2137</v>
      </c>
      <c r="F802" s="54" t="s">
        <v>2140</v>
      </c>
      <c r="G802" s="54" t="s">
        <v>2141</v>
      </c>
      <c r="H802" s="54" t="n">
        <v>10868</v>
      </c>
      <c r="I802" s="54" t="s">
        <v>295</v>
      </c>
      <c r="J802" s="54" t="s">
        <v>597</v>
      </c>
    </row>
    <row r="803" customFormat="false" ht="15" hidden="false" customHeight="true" outlineLevel="0" collapsed="false">
      <c r="A803" s="54" t="n">
        <v>20260710</v>
      </c>
      <c r="B803" s="54" t="s">
        <v>168</v>
      </c>
      <c r="C803" s="54" t="s">
        <v>290</v>
      </c>
      <c r="D803" s="54" t="s">
        <v>2142</v>
      </c>
      <c r="E803" s="54" t="s">
        <v>2143</v>
      </c>
      <c r="F803" s="54" t="s">
        <v>2144</v>
      </c>
      <c r="G803" s="54" t="s">
        <v>2145</v>
      </c>
      <c r="H803" s="54" t="n">
        <v>9554</v>
      </c>
      <c r="I803" s="54" t="s">
        <v>295</v>
      </c>
      <c r="J803" s="54" t="s">
        <v>1709</v>
      </c>
    </row>
    <row r="804" customFormat="false" ht="15" hidden="false" customHeight="true" outlineLevel="0" collapsed="false">
      <c r="A804" s="54" t="n">
        <v>20260710</v>
      </c>
      <c r="B804" s="54" t="s">
        <v>168</v>
      </c>
      <c r="C804" s="54" t="s">
        <v>290</v>
      </c>
      <c r="D804" s="54" t="s">
        <v>2142</v>
      </c>
      <c r="E804" s="54" t="s">
        <v>2143</v>
      </c>
      <c r="F804" s="54" t="s">
        <v>2146</v>
      </c>
      <c r="G804" s="54" t="s">
        <v>2147</v>
      </c>
      <c r="H804" s="54" t="n">
        <v>491</v>
      </c>
      <c r="I804" s="54" t="s">
        <v>295</v>
      </c>
      <c r="J804" s="54" t="s">
        <v>1709</v>
      </c>
    </row>
    <row r="805" customFormat="false" ht="15" hidden="false" customHeight="true" outlineLevel="0" collapsed="false">
      <c r="A805" s="54" t="n">
        <v>20260710</v>
      </c>
      <c r="B805" s="54" t="s">
        <v>168</v>
      </c>
      <c r="C805" s="54" t="s">
        <v>290</v>
      </c>
      <c r="D805" s="54" t="s">
        <v>2142</v>
      </c>
      <c r="E805" s="54" t="s">
        <v>2143</v>
      </c>
      <c r="F805" s="54" t="s">
        <v>2148</v>
      </c>
      <c r="G805" s="54" t="s">
        <v>2149</v>
      </c>
      <c r="H805" s="54" t="n">
        <v>2334</v>
      </c>
      <c r="I805" s="54" t="s">
        <v>295</v>
      </c>
      <c r="J805" s="54" t="s">
        <v>1709</v>
      </c>
    </row>
    <row r="806" customFormat="false" ht="15" hidden="false" customHeight="true" outlineLevel="0" collapsed="false">
      <c r="A806" s="54" t="n">
        <v>20260710</v>
      </c>
      <c r="B806" s="54" t="s">
        <v>168</v>
      </c>
      <c r="C806" s="54" t="s">
        <v>290</v>
      </c>
      <c r="D806" s="54" t="s">
        <v>2142</v>
      </c>
      <c r="E806" s="54" t="s">
        <v>2143</v>
      </c>
      <c r="F806" s="54" t="s">
        <v>2150</v>
      </c>
      <c r="G806" s="54" t="s">
        <v>2151</v>
      </c>
      <c r="H806" s="54" t="n">
        <v>15530</v>
      </c>
      <c r="I806" s="54" t="s">
        <v>295</v>
      </c>
      <c r="J806" s="54" t="s">
        <v>1709</v>
      </c>
    </row>
    <row r="807" customFormat="false" ht="15" hidden="false" customHeight="true" outlineLevel="0" collapsed="false">
      <c r="A807" s="54" t="n">
        <v>20260710</v>
      </c>
      <c r="B807" s="54" t="s">
        <v>289</v>
      </c>
      <c r="C807" s="54" t="s">
        <v>290</v>
      </c>
      <c r="D807" s="54" t="s">
        <v>2152</v>
      </c>
      <c r="E807" s="54" t="s">
        <v>2153</v>
      </c>
      <c r="F807" s="54" t="s">
        <v>2154</v>
      </c>
      <c r="G807" s="54" t="s">
        <v>804</v>
      </c>
      <c r="H807" s="54" t="n">
        <v>18190</v>
      </c>
      <c r="I807" s="54" t="s">
        <v>295</v>
      </c>
      <c r="J807" s="54" t="s">
        <v>296</v>
      </c>
    </row>
    <row r="808" customFormat="false" ht="15" hidden="false" customHeight="true" outlineLevel="0" collapsed="false">
      <c r="A808" s="54" t="n">
        <v>20260710</v>
      </c>
      <c r="B808" s="54" t="s">
        <v>289</v>
      </c>
      <c r="C808" s="54" t="s">
        <v>290</v>
      </c>
      <c r="D808" s="54" t="s">
        <v>2152</v>
      </c>
      <c r="E808" s="54" t="s">
        <v>2153</v>
      </c>
      <c r="F808" s="54" t="s">
        <v>1535</v>
      </c>
      <c r="G808" s="54" t="s">
        <v>2106</v>
      </c>
      <c r="H808" s="54" t="n">
        <v>14401</v>
      </c>
      <c r="I808" s="54" t="s">
        <v>295</v>
      </c>
      <c r="J808" s="54" t="s">
        <v>296</v>
      </c>
    </row>
    <row r="809" customFormat="false" ht="15" hidden="false" customHeight="true" outlineLevel="0" collapsed="false">
      <c r="A809" s="54" t="n">
        <v>20260710</v>
      </c>
      <c r="B809" s="54" t="s">
        <v>306</v>
      </c>
      <c r="C809" s="54" t="s">
        <v>290</v>
      </c>
      <c r="D809" s="54" t="s">
        <v>2155</v>
      </c>
      <c r="E809" s="54" t="s">
        <v>2156</v>
      </c>
      <c r="F809" s="54" t="s">
        <v>2157</v>
      </c>
      <c r="G809" s="54" t="s">
        <v>2158</v>
      </c>
      <c r="H809" s="54" t="n">
        <v>17431</v>
      </c>
      <c r="I809" s="54" t="s">
        <v>295</v>
      </c>
      <c r="J809" s="54" t="s">
        <v>2159</v>
      </c>
    </row>
    <row r="810" customFormat="false" ht="15" hidden="false" customHeight="true" outlineLevel="0" collapsed="false">
      <c r="A810" s="54" t="n">
        <v>20260710</v>
      </c>
      <c r="B810" s="54" t="s">
        <v>306</v>
      </c>
      <c r="C810" s="54" t="s">
        <v>290</v>
      </c>
      <c r="D810" s="54" t="s">
        <v>2155</v>
      </c>
      <c r="E810" s="54" t="s">
        <v>2156</v>
      </c>
      <c r="F810" s="54" t="s">
        <v>2160</v>
      </c>
      <c r="G810" s="54" t="s">
        <v>2161</v>
      </c>
      <c r="H810" s="54" t="n">
        <v>5</v>
      </c>
      <c r="I810" s="54" t="s">
        <v>295</v>
      </c>
      <c r="J810" s="54" t="s">
        <v>2159</v>
      </c>
    </row>
    <row r="811" customFormat="false" ht="15" hidden="false" customHeight="true" outlineLevel="0" collapsed="false">
      <c r="A811" s="54" t="n">
        <v>20260710</v>
      </c>
      <c r="B811" s="54" t="s">
        <v>306</v>
      </c>
      <c r="C811" s="54" t="s">
        <v>290</v>
      </c>
      <c r="D811" s="54" t="s">
        <v>2155</v>
      </c>
      <c r="E811" s="54" t="s">
        <v>2156</v>
      </c>
      <c r="F811" s="54" t="s">
        <v>2044</v>
      </c>
      <c r="G811" s="54" t="s">
        <v>2162</v>
      </c>
      <c r="H811" s="54" t="n">
        <v>12179</v>
      </c>
      <c r="I811" s="54" t="s">
        <v>295</v>
      </c>
      <c r="J811" s="54" t="s">
        <v>2159</v>
      </c>
    </row>
    <row r="812" customFormat="false" ht="15" hidden="false" customHeight="true" outlineLevel="0" collapsed="false">
      <c r="A812" s="54" t="n">
        <v>20260710</v>
      </c>
      <c r="B812" s="54" t="s">
        <v>289</v>
      </c>
      <c r="C812" s="54" t="s">
        <v>307</v>
      </c>
      <c r="D812" s="54" t="s">
        <v>2163</v>
      </c>
      <c r="E812" s="54" t="s">
        <v>2164</v>
      </c>
      <c r="F812" s="54" t="s">
        <v>2165</v>
      </c>
      <c r="G812" s="54" t="s">
        <v>2166</v>
      </c>
      <c r="H812" s="54" t="n">
        <v>1</v>
      </c>
      <c r="I812" s="54" t="s">
        <v>295</v>
      </c>
      <c r="J812" s="54" t="s">
        <v>707</v>
      </c>
    </row>
    <row r="813" customFormat="false" ht="15" hidden="false" customHeight="true" outlineLevel="0" collapsed="false">
      <c r="A813" s="54" t="n">
        <v>20260710</v>
      </c>
      <c r="B813" s="54" t="s">
        <v>289</v>
      </c>
      <c r="C813" s="54" t="s">
        <v>307</v>
      </c>
      <c r="D813" s="54" t="s">
        <v>2163</v>
      </c>
      <c r="E813" s="54" t="s">
        <v>2164</v>
      </c>
      <c r="F813" s="54" t="s">
        <v>1082</v>
      </c>
      <c r="G813" s="54" t="s">
        <v>2167</v>
      </c>
      <c r="H813" s="54" t="n">
        <v>7223</v>
      </c>
      <c r="I813" s="54" t="s">
        <v>295</v>
      </c>
      <c r="J813" s="54" t="s">
        <v>707</v>
      </c>
    </row>
    <row r="814" customFormat="false" ht="15" hidden="false" customHeight="true" outlineLevel="0" collapsed="false">
      <c r="A814" s="54" t="n">
        <v>20260710</v>
      </c>
      <c r="B814" s="54" t="s">
        <v>289</v>
      </c>
      <c r="C814" s="54" t="s">
        <v>307</v>
      </c>
      <c r="D814" s="54" t="s">
        <v>2163</v>
      </c>
      <c r="E814" s="54" t="s">
        <v>2164</v>
      </c>
      <c r="F814" s="54" t="s">
        <v>2168</v>
      </c>
      <c r="G814" s="54" t="s">
        <v>2169</v>
      </c>
      <c r="H814" s="54" t="n">
        <v>4944</v>
      </c>
      <c r="I814" s="54" t="s">
        <v>295</v>
      </c>
      <c r="J814" s="54" t="s">
        <v>707</v>
      </c>
    </row>
    <row r="815" customFormat="false" ht="15" hidden="false" customHeight="true" outlineLevel="0" collapsed="false">
      <c r="A815" s="54" t="n">
        <v>20260710</v>
      </c>
      <c r="B815" s="54" t="s">
        <v>289</v>
      </c>
      <c r="C815" s="54" t="s">
        <v>307</v>
      </c>
      <c r="D815" s="54" t="s">
        <v>2163</v>
      </c>
      <c r="E815" s="54" t="s">
        <v>2164</v>
      </c>
      <c r="F815" s="54" t="s">
        <v>2170</v>
      </c>
      <c r="G815" s="54" t="s">
        <v>954</v>
      </c>
      <c r="H815" s="54" t="n">
        <v>16223</v>
      </c>
      <c r="I815" s="54" t="s">
        <v>295</v>
      </c>
      <c r="J815" s="54" t="s">
        <v>707</v>
      </c>
    </row>
    <row r="816" customFormat="false" ht="15" hidden="false" customHeight="true" outlineLevel="0" collapsed="false">
      <c r="A816" s="54" t="n">
        <v>20260710</v>
      </c>
      <c r="B816" s="54" t="s">
        <v>306</v>
      </c>
      <c r="C816" s="54" t="s">
        <v>307</v>
      </c>
      <c r="D816" s="54" t="s">
        <v>2171</v>
      </c>
      <c r="E816" s="54" t="s">
        <v>2172</v>
      </c>
      <c r="F816" s="54" t="s">
        <v>2173</v>
      </c>
      <c r="G816" s="54" t="s">
        <v>2174</v>
      </c>
      <c r="H816" s="54" t="n">
        <v>20061</v>
      </c>
      <c r="I816" s="54" t="s">
        <v>295</v>
      </c>
      <c r="J816" s="54" t="s">
        <v>752</v>
      </c>
    </row>
    <row r="817" customFormat="false" ht="15" hidden="false" customHeight="true" outlineLevel="0" collapsed="false">
      <c r="A817" s="54" t="n">
        <v>20260710</v>
      </c>
      <c r="B817" s="54" t="s">
        <v>306</v>
      </c>
      <c r="C817" s="54" t="s">
        <v>307</v>
      </c>
      <c r="D817" s="54" t="s">
        <v>2171</v>
      </c>
      <c r="E817" s="54" t="s">
        <v>2172</v>
      </c>
      <c r="F817" s="54" t="s">
        <v>2175</v>
      </c>
      <c r="G817" s="54" t="s">
        <v>2176</v>
      </c>
      <c r="H817" s="54" t="n">
        <v>56</v>
      </c>
      <c r="I817" s="54" t="s">
        <v>295</v>
      </c>
      <c r="J817" s="54" t="s">
        <v>752</v>
      </c>
    </row>
    <row r="818" customFormat="false" ht="15" hidden="false" customHeight="true" outlineLevel="0" collapsed="false">
      <c r="A818" s="54" t="n">
        <v>20260710</v>
      </c>
      <c r="B818" s="54" t="s">
        <v>306</v>
      </c>
      <c r="C818" s="54" t="s">
        <v>307</v>
      </c>
      <c r="D818" s="54" t="s">
        <v>2171</v>
      </c>
      <c r="E818" s="54" t="s">
        <v>2172</v>
      </c>
      <c r="F818" s="54" t="s">
        <v>2177</v>
      </c>
      <c r="G818" s="54" t="s">
        <v>2178</v>
      </c>
      <c r="H818" s="54" t="n">
        <v>12564</v>
      </c>
      <c r="I818" s="54" t="s">
        <v>295</v>
      </c>
      <c r="J818" s="54" t="s">
        <v>752</v>
      </c>
    </row>
    <row r="819" customFormat="false" ht="15" hidden="false" customHeight="true" outlineLevel="0" collapsed="false">
      <c r="A819" s="54" t="n">
        <v>20260710</v>
      </c>
      <c r="B819" s="54" t="s">
        <v>168</v>
      </c>
      <c r="C819" s="54" t="s">
        <v>290</v>
      </c>
      <c r="D819" s="54" t="s">
        <v>2179</v>
      </c>
      <c r="E819" s="54" t="s">
        <v>2180</v>
      </c>
      <c r="F819" s="54" t="s">
        <v>2181</v>
      </c>
      <c r="G819" s="54" t="s">
        <v>2182</v>
      </c>
      <c r="H819" s="54" t="n">
        <v>16015</v>
      </c>
      <c r="I819" s="54" t="s">
        <v>295</v>
      </c>
      <c r="J819" s="54" t="s">
        <v>818</v>
      </c>
    </row>
    <row r="820" customFormat="false" ht="15" hidden="false" customHeight="true" outlineLevel="0" collapsed="false">
      <c r="A820" s="54" t="n">
        <v>20260710</v>
      </c>
      <c r="B820" s="54" t="s">
        <v>168</v>
      </c>
      <c r="C820" s="54" t="s">
        <v>290</v>
      </c>
      <c r="D820" s="54" t="s">
        <v>2179</v>
      </c>
      <c r="E820" s="54" t="s">
        <v>2180</v>
      </c>
      <c r="F820" s="54" t="s">
        <v>2183</v>
      </c>
      <c r="G820" s="54" t="s">
        <v>2184</v>
      </c>
      <c r="H820" s="54" t="n">
        <v>12712</v>
      </c>
      <c r="I820" s="54" t="s">
        <v>295</v>
      </c>
      <c r="J820" s="54" t="s">
        <v>818</v>
      </c>
    </row>
    <row r="821" customFormat="false" ht="15" hidden="false" customHeight="true" outlineLevel="0" collapsed="false">
      <c r="A821" s="54" t="n">
        <v>20260710</v>
      </c>
      <c r="B821" s="54" t="s">
        <v>289</v>
      </c>
      <c r="C821" s="54" t="s">
        <v>290</v>
      </c>
      <c r="D821" s="54" t="s">
        <v>2185</v>
      </c>
      <c r="E821" s="54" t="s">
        <v>2186</v>
      </c>
      <c r="F821" s="54" t="s">
        <v>2187</v>
      </c>
      <c r="G821" s="54" t="s">
        <v>2188</v>
      </c>
      <c r="H821" s="54" t="n">
        <v>18119</v>
      </c>
      <c r="I821" s="54" t="s">
        <v>295</v>
      </c>
      <c r="J821" s="54" t="s">
        <v>569</v>
      </c>
    </row>
    <row r="822" customFormat="false" ht="15" hidden="false" customHeight="true" outlineLevel="0" collapsed="false">
      <c r="A822" s="54" t="n">
        <v>20260710</v>
      </c>
      <c r="B822" s="54" t="s">
        <v>289</v>
      </c>
      <c r="C822" s="54" t="s">
        <v>290</v>
      </c>
      <c r="D822" s="54" t="s">
        <v>2185</v>
      </c>
      <c r="E822" s="54" t="s">
        <v>2186</v>
      </c>
      <c r="F822" s="54" t="s">
        <v>2189</v>
      </c>
      <c r="G822" s="54" t="s">
        <v>766</v>
      </c>
      <c r="H822" s="54" t="n">
        <v>10809</v>
      </c>
      <c r="I822" s="54" t="s">
        <v>295</v>
      </c>
      <c r="J822" s="54" t="s">
        <v>569</v>
      </c>
    </row>
    <row r="823" customFormat="false" ht="15" hidden="false" customHeight="true" outlineLevel="0" collapsed="false">
      <c r="A823" s="54" t="n">
        <v>20260710</v>
      </c>
      <c r="B823" s="54" t="s">
        <v>306</v>
      </c>
      <c r="C823" s="54" t="s">
        <v>290</v>
      </c>
      <c r="D823" s="54" t="s">
        <v>2190</v>
      </c>
      <c r="E823" s="54" t="s">
        <v>2191</v>
      </c>
      <c r="F823" s="54" t="s">
        <v>2192</v>
      </c>
      <c r="G823" s="54" t="s">
        <v>2193</v>
      </c>
      <c r="H823" s="54" t="n">
        <v>18747</v>
      </c>
      <c r="I823" s="54" t="s">
        <v>295</v>
      </c>
      <c r="J823" s="54" t="s">
        <v>375</v>
      </c>
    </row>
    <row r="824" customFormat="false" ht="15" hidden="false" customHeight="true" outlineLevel="0" collapsed="false">
      <c r="A824" s="54" t="n">
        <v>20260710</v>
      </c>
      <c r="B824" s="54" t="s">
        <v>306</v>
      </c>
      <c r="C824" s="54" t="s">
        <v>290</v>
      </c>
      <c r="D824" s="54" t="s">
        <v>2190</v>
      </c>
      <c r="E824" s="54" t="s">
        <v>2191</v>
      </c>
      <c r="F824" s="54" t="s">
        <v>2194</v>
      </c>
      <c r="G824" s="54" t="s">
        <v>2195</v>
      </c>
      <c r="H824" s="54" t="n">
        <v>11981</v>
      </c>
      <c r="I824" s="54" t="s">
        <v>295</v>
      </c>
      <c r="J824" s="54" t="s">
        <v>375</v>
      </c>
    </row>
    <row r="825" customFormat="false" ht="15" hidden="false" customHeight="true" outlineLevel="0" collapsed="false">
      <c r="A825" s="54" t="n">
        <v>20260710</v>
      </c>
      <c r="B825" s="54" t="s">
        <v>168</v>
      </c>
      <c r="C825" s="54" t="s">
        <v>290</v>
      </c>
      <c r="D825" s="54" t="s">
        <v>2196</v>
      </c>
      <c r="E825" s="54" t="s">
        <v>2197</v>
      </c>
      <c r="F825" s="54" t="s">
        <v>2198</v>
      </c>
      <c r="G825" s="54" t="s">
        <v>2199</v>
      </c>
      <c r="H825" s="54" t="n">
        <v>14102</v>
      </c>
      <c r="I825" s="54" t="s">
        <v>295</v>
      </c>
      <c r="J825" s="54" t="s">
        <v>516</v>
      </c>
    </row>
    <row r="826" customFormat="false" ht="15" hidden="false" customHeight="true" outlineLevel="0" collapsed="false">
      <c r="A826" s="54" t="n">
        <v>20260710</v>
      </c>
      <c r="B826" s="54" t="s">
        <v>168</v>
      </c>
      <c r="C826" s="54" t="s">
        <v>290</v>
      </c>
      <c r="D826" s="54" t="s">
        <v>2196</v>
      </c>
      <c r="E826" s="54" t="s">
        <v>2197</v>
      </c>
      <c r="F826" s="54" t="s">
        <v>2200</v>
      </c>
      <c r="G826" s="54" t="s">
        <v>1043</v>
      </c>
      <c r="H826" s="54" t="n">
        <v>14407</v>
      </c>
      <c r="I826" s="54" t="s">
        <v>295</v>
      </c>
      <c r="J826" s="54" t="s">
        <v>516</v>
      </c>
    </row>
    <row r="827" customFormat="false" ht="15" hidden="false" customHeight="true" outlineLevel="0" collapsed="false">
      <c r="A827" s="54" t="n">
        <v>20260710</v>
      </c>
      <c r="B827" s="54" t="s">
        <v>289</v>
      </c>
      <c r="C827" s="54" t="s">
        <v>290</v>
      </c>
      <c r="D827" s="54" t="s">
        <v>2201</v>
      </c>
      <c r="E827" s="54" t="s">
        <v>2202</v>
      </c>
      <c r="F827" s="54" t="s">
        <v>2203</v>
      </c>
      <c r="G827" s="54" t="s">
        <v>2204</v>
      </c>
      <c r="H827" s="54" t="n">
        <v>14562</v>
      </c>
      <c r="I827" s="54" t="s">
        <v>295</v>
      </c>
      <c r="J827" s="54" t="s">
        <v>439</v>
      </c>
    </row>
    <row r="828" customFormat="false" ht="15" hidden="false" customHeight="true" outlineLevel="0" collapsed="false">
      <c r="A828" s="54" t="n">
        <v>20260710</v>
      </c>
      <c r="B828" s="54" t="s">
        <v>289</v>
      </c>
      <c r="C828" s="54" t="s">
        <v>290</v>
      </c>
      <c r="D828" s="54" t="s">
        <v>2201</v>
      </c>
      <c r="E828" s="54" t="s">
        <v>2202</v>
      </c>
      <c r="F828" s="54" t="s">
        <v>2044</v>
      </c>
      <c r="G828" s="54" t="s">
        <v>1448</v>
      </c>
      <c r="H828" s="54" t="n">
        <v>13986</v>
      </c>
      <c r="I828" s="54" t="s">
        <v>295</v>
      </c>
      <c r="J828" s="54" t="s">
        <v>439</v>
      </c>
    </row>
    <row r="829" customFormat="false" ht="15" hidden="false" customHeight="true" outlineLevel="0" collapsed="false">
      <c r="A829" s="54" t="n">
        <v>20260710</v>
      </c>
      <c r="B829" s="54" t="s">
        <v>306</v>
      </c>
      <c r="C829" s="54" t="s">
        <v>290</v>
      </c>
      <c r="D829" s="54" t="s">
        <v>2205</v>
      </c>
      <c r="E829" s="54" t="s">
        <v>948</v>
      </c>
      <c r="F829" s="54" t="s">
        <v>2206</v>
      </c>
      <c r="G829" s="54" t="s">
        <v>2207</v>
      </c>
      <c r="H829" s="54" t="n">
        <v>12626</v>
      </c>
      <c r="I829" s="54" t="s">
        <v>295</v>
      </c>
      <c r="J829" s="54" t="s">
        <v>604</v>
      </c>
    </row>
    <row r="830" customFormat="false" ht="15" hidden="false" customHeight="true" outlineLevel="0" collapsed="false">
      <c r="A830" s="54" t="n">
        <v>20260710</v>
      </c>
      <c r="B830" s="54" t="s">
        <v>306</v>
      </c>
      <c r="C830" s="54" t="s">
        <v>290</v>
      </c>
      <c r="D830" s="54" t="s">
        <v>2205</v>
      </c>
      <c r="E830" s="54" t="s">
        <v>948</v>
      </c>
      <c r="F830" s="54" t="s">
        <v>2208</v>
      </c>
      <c r="G830" s="54" t="s">
        <v>2207</v>
      </c>
      <c r="H830" s="54" t="n">
        <v>12624</v>
      </c>
      <c r="I830" s="54" t="s">
        <v>315</v>
      </c>
      <c r="J830" s="54" t="s">
        <v>604</v>
      </c>
    </row>
    <row r="831" customFormat="false" ht="15" hidden="false" customHeight="true" outlineLevel="0" collapsed="false">
      <c r="A831" s="54" t="n">
        <v>20260710</v>
      </c>
      <c r="B831" s="54" t="s">
        <v>306</v>
      </c>
      <c r="C831" s="54" t="s">
        <v>290</v>
      </c>
      <c r="D831" s="54" t="s">
        <v>2205</v>
      </c>
      <c r="E831" s="54" t="s">
        <v>948</v>
      </c>
      <c r="F831" s="54" t="s">
        <v>2209</v>
      </c>
      <c r="G831" s="54" t="s">
        <v>2210</v>
      </c>
      <c r="H831" s="54" t="n">
        <v>5359</v>
      </c>
      <c r="I831" s="54" t="s">
        <v>315</v>
      </c>
      <c r="J831" s="54" t="s">
        <v>604</v>
      </c>
    </row>
    <row r="832" customFormat="false" ht="15" hidden="false" customHeight="true" outlineLevel="0" collapsed="false">
      <c r="A832" s="54" t="n">
        <v>20260710</v>
      </c>
      <c r="B832" s="54" t="s">
        <v>306</v>
      </c>
      <c r="C832" s="54" t="s">
        <v>290</v>
      </c>
      <c r="D832" s="54" t="s">
        <v>2205</v>
      </c>
      <c r="E832" s="54" t="s">
        <v>948</v>
      </c>
      <c r="F832" s="54" t="s">
        <v>2209</v>
      </c>
      <c r="G832" s="54" t="s">
        <v>2210</v>
      </c>
      <c r="H832" s="54" t="n">
        <v>5359</v>
      </c>
      <c r="I832" s="54" t="s">
        <v>295</v>
      </c>
      <c r="J832" s="54" t="s">
        <v>604</v>
      </c>
    </row>
    <row r="833" customFormat="false" ht="15" hidden="false" customHeight="true" outlineLevel="0" collapsed="false">
      <c r="A833" s="54" t="n">
        <v>20260710</v>
      </c>
      <c r="B833" s="54" t="s">
        <v>688</v>
      </c>
      <c r="C833" s="54" t="s">
        <v>307</v>
      </c>
      <c r="D833" s="54" t="s">
        <v>2211</v>
      </c>
      <c r="E833" s="54" t="s">
        <v>2212</v>
      </c>
      <c r="F833" s="54" t="s">
        <v>2213</v>
      </c>
      <c r="G833" s="54" t="s">
        <v>2214</v>
      </c>
      <c r="H833" s="54" t="n">
        <v>14458</v>
      </c>
      <c r="I833" s="54" t="s">
        <v>295</v>
      </c>
      <c r="J833" s="54" t="s">
        <v>693</v>
      </c>
    </row>
    <row r="834" customFormat="false" ht="15" hidden="false" customHeight="true" outlineLevel="0" collapsed="false">
      <c r="A834" s="54" t="n">
        <v>20260710</v>
      </c>
      <c r="B834" s="54" t="s">
        <v>688</v>
      </c>
      <c r="C834" s="54" t="s">
        <v>307</v>
      </c>
      <c r="D834" s="54" t="s">
        <v>2211</v>
      </c>
      <c r="E834" s="54" t="s">
        <v>2212</v>
      </c>
      <c r="F834" s="54" t="s">
        <v>2215</v>
      </c>
      <c r="G834" s="54" t="s">
        <v>1090</v>
      </c>
      <c r="H834" s="54" t="n">
        <v>18069</v>
      </c>
      <c r="I834" s="54" t="s">
        <v>295</v>
      </c>
      <c r="J834" s="54" t="s">
        <v>693</v>
      </c>
    </row>
    <row r="835" customFormat="false" ht="15" hidden="false" customHeight="true" outlineLevel="0" collapsed="false">
      <c r="A835" s="54" t="n">
        <v>20260710</v>
      </c>
      <c r="B835" s="54" t="s">
        <v>535</v>
      </c>
      <c r="C835" s="54" t="s">
        <v>290</v>
      </c>
      <c r="D835" s="54" t="s">
        <v>2216</v>
      </c>
      <c r="E835" s="54" t="s">
        <v>2217</v>
      </c>
      <c r="F835" s="54" t="s">
        <v>2218</v>
      </c>
      <c r="G835" s="54" t="s">
        <v>2219</v>
      </c>
      <c r="H835" s="54" t="n">
        <v>32228</v>
      </c>
      <c r="I835" s="54" t="s">
        <v>295</v>
      </c>
      <c r="J835" s="54" t="s">
        <v>677</v>
      </c>
    </row>
    <row r="836" customFormat="false" ht="15" hidden="false" customHeight="true" outlineLevel="0" collapsed="false">
      <c r="A836" s="54" t="n">
        <v>20260710</v>
      </c>
      <c r="B836" s="54" t="s">
        <v>497</v>
      </c>
      <c r="C836" s="54" t="s">
        <v>307</v>
      </c>
      <c r="D836" s="54" t="s">
        <v>2220</v>
      </c>
      <c r="E836" s="54" t="s">
        <v>2221</v>
      </c>
      <c r="F836" s="54" t="s">
        <v>2222</v>
      </c>
      <c r="G836" s="54" t="s">
        <v>2223</v>
      </c>
      <c r="H836" s="54" t="n">
        <v>18048</v>
      </c>
      <c r="I836" s="54" t="s">
        <v>295</v>
      </c>
      <c r="J836" s="54" t="s">
        <v>502</v>
      </c>
    </row>
    <row r="837" customFormat="false" ht="15" hidden="false" customHeight="true" outlineLevel="0" collapsed="false">
      <c r="A837" s="54" t="n">
        <v>20260710</v>
      </c>
      <c r="B837" s="54" t="s">
        <v>497</v>
      </c>
      <c r="C837" s="54" t="s">
        <v>307</v>
      </c>
      <c r="D837" s="54" t="s">
        <v>2220</v>
      </c>
      <c r="E837" s="54" t="s">
        <v>2221</v>
      </c>
      <c r="F837" s="54" t="s">
        <v>2222</v>
      </c>
      <c r="G837" s="54" t="s">
        <v>2224</v>
      </c>
      <c r="H837" s="54" t="n">
        <v>18059</v>
      </c>
      <c r="I837" s="54" t="s">
        <v>315</v>
      </c>
      <c r="J837" s="54" t="s">
        <v>502</v>
      </c>
    </row>
    <row r="838" customFormat="false" ht="15" hidden="false" customHeight="true" outlineLevel="0" collapsed="false">
      <c r="A838" s="54" t="n">
        <v>20260710</v>
      </c>
      <c r="B838" s="54" t="s">
        <v>497</v>
      </c>
      <c r="C838" s="54" t="s">
        <v>307</v>
      </c>
      <c r="D838" s="54" t="s">
        <v>2220</v>
      </c>
      <c r="E838" s="54" t="s">
        <v>2221</v>
      </c>
      <c r="F838" s="54" t="s">
        <v>1589</v>
      </c>
      <c r="G838" s="54" t="s">
        <v>1458</v>
      </c>
      <c r="H838" s="54" t="n">
        <v>10893</v>
      </c>
      <c r="I838" s="54" t="s">
        <v>315</v>
      </c>
      <c r="J838" s="54" t="s">
        <v>502</v>
      </c>
    </row>
    <row r="839" customFormat="false" ht="15" hidden="false" customHeight="true" outlineLevel="0" collapsed="false">
      <c r="A839" s="54" t="n">
        <v>20260710</v>
      </c>
      <c r="B839" s="54" t="s">
        <v>497</v>
      </c>
      <c r="C839" s="54" t="s">
        <v>307</v>
      </c>
      <c r="D839" s="54" t="s">
        <v>2220</v>
      </c>
      <c r="E839" s="54" t="s">
        <v>2221</v>
      </c>
      <c r="F839" s="54" t="s">
        <v>669</v>
      </c>
      <c r="G839" s="54" t="s">
        <v>694</v>
      </c>
      <c r="H839" s="54" t="n">
        <v>10870</v>
      </c>
      <c r="I839" s="54" t="s">
        <v>295</v>
      </c>
      <c r="J839" s="54" t="s">
        <v>502</v>
      </c>
    </row>
    <row r="840" customFormat="false" ht="15" hidden="false" customHeight="true" outlineLevel="0" collapsed="false">
      <c r="A840" s="54" t="n">
        <v>20260710</v>
      </c>
      <c r="B840" s="54" t="s">
        <v>306</v>
      </c>
      <c r="C840" s="54" t="s">
        <v>307</v>
      </c>
      <c r="D840" s="54" t="s">
        <v>2225</v>
      </c>
      <c r="E840" s="54" t="s">
        <v>2226</v>
      </c>
      <c r="F840" s="54" t="s">
        <v>2227</v>
      </c>
      <c r="G840" s="54" t="s">
        <v>2228</v>
      </c>
      <c r="H840" s="54" t="n">
        <v>13458</v>
      </c>
      <c r="I840" s="54" t="s">
        <v>295</v>
      </c>
      <c r="J840" s="54" t="s">
        <v>392</v>
      </c>
    </row>
    <row r="841" customFormat="false" ht="15" hidden="false" customHeight="true" outlineLevel="0" collapsed="false">
      <c r="A841" s="54" t="n">
        <v>20260710</v>
      </c>
      <c r="B841" s="54" t="s">
        <v>306</v>
      </c>
      <c r="C841" s="54" t="s">
        <v>307</v>
      </c>
      <c r="D841" s="54" t="s">
        <v>2225</v>
      </c>
      <c r="E841" s="54" t="s">
        <v>2226</v>
      </c>
      <c r="F841" s="54" t="s">
        <v>2229</v>
      </c>
      <c r="G841" s="54" t="s">
        <v>2230</v>
      </c>
      <c r="H841" s="54" t="n">
        <v>1243</v>
      </c>
      <c r="I841" s="54" t="s">
        <v>295</v>
      </c>
      <c r="J841" s="54" t="s">
        <v>392</v>
      </c>
    </row>
    <row r="842" customFormat="false" ht="15" hidden="false" customHeight="true" outlineLevel="0" collapsed="false">
      <c r="A842" s="54" t="n">
        <v>20260710</v>
      </c>
      <c r="B842" s="54" t="s">
        <v>306</v>
      </c>
      <c r="C842" s="54" t="s">
        <v>307</v>
      </c>
      <c r="D842" s="54" t="s">
        <v>2225</v>
      </c>
      <c r="E842" s="54" t="s">
        <v>2226</v>
      </c>
      <c r="F842" s="54" t="s">
        <v>2231</v>
      </c>
      <c r="G842" s="54" t="s">
        <v>2232</v>
      </c>
      <c r="H842" s="54" t="n">
        <v>260</v>
      </c>
      <c r="I842" s="54" t="s">
        <v>295</v>
      </c>
      <c r="J842" s="54" t="s">
        <v>392</v>
      </c>
    </row>
    <row r="843" customFormat="false" ht="15" hidden="false" customHeight="true" outlineLevel="0" collapsed="false">
      <c r="A843" s="54" t="n">
        <v>20260710</v>
      </c>
      <c r="B843" s="54" t="s">
        <v>306</v>
      </c>
      <c r="C843" s="54" t="s">
        <v>307</v>
      </c>
      <c r="D843" s="54" t="s">
        <v>2225</v>
      </c>
      <c r="E843" s="54" t="s">
        <v>2226</v>
      </c>
      <c r="F843" s="54" t="s">
        <v>2233</v>
      </c>
      <c r="G843" s="54" t="s">
        <v>2234</v>
      </c>
      <c r="H843" s="54" t="n">
        <v>2585</v>
      </c>
      <c r="I843" s="54" t="s">
        <v>295</v>
      </c>
      <c r="J843" s="54" t="s">
        <v>392</v>
      </c>
    </row>
    <row r="844" customFormat="false" ht="15" hidden="false" customHeight="true" outlineLevel="0" collapsed="false">
      <c r="A844" s="54" t="n">
        <v>20260710</v>
      </c>
      <c r="B844" s="54" t="s">
        <v>306</v>
      </c>
      <c r="C844" s="54" t="s">
        <v>307</v>
      </c>
      <c r="D844" s="54" t="s">
        <v>2225</v>
      </c>
      <c r="E844" s="54" t="s">
        <v>2226</v>
      </c>
      <c r="F844" s="54" t="s">
        <v>2235</v>
      </c>
      <c r="G844" s="54" t="s">
        <v>2236</v>
      </c>
      <c r="H844" s="54" t="n">
        <v>160</v>
      </c>
      <c r="I844" s="54" t="s">
        <v>295</v>
      </c>
      <c r="J844" s="54" t="s">
        <v>392</v>
      </c>
    </row>
    <row r="845" customFormat="false" ht="15" hidden="false" customHeight="true" outlineLevel="0" collapsed="false">
      <c r="A845" s="54" t="n">
        <v>20260710</v>
      </c>
      <c r="B845" s="54" t="s">
        <v>306</v>
      </c>
      <c r="C845" s="54" t="s">
        <v>307</v>
      </c>
      <c r="D845" s="54" t="s">
        <v>2225</v>
      </c>
      <c r="E845" s="54" t="s">
        <v>2226</v>
      </c>
      <c r="F845" s="54" t="s">
        <v>2237</v>
      </c>
      <c r="G845" s="54" t="s">
        <v>2238</v>
      </c>
      <c r="H845" s="54" t="n">
        <v>14040</v>
      </c>
      <c r="I845" s="54" t="s">
        <v>295</v>
      </c>
      <c r="J845" s="54" t="s">
        <v>392</v>
      </c>
    </row>
    <row r="846" customFormat="false" ht="15" hidden="false" customHeight="true" outlineLevel="0" collapsed="false">
      <c r="A846" s="54" t="n">
        <v>20260710</v>
      </c>
      <c r="B846" s="54" t="s">
        <v>306</v>
      </c>
      <c r="C846" s="54" t="s">
        <v>290</v>
      </c>
      <c r="D846" s="54" t="s">
        <v>2239</v>
      </c>
      <c r="E846" s="54" t="s">
        <v>2240</v>
      </c>
      <c r="F846" s="54" t="s">
        <v>2241</v>
      </c>
      <c r="G846" s="54" t="s">
        <v>2242</v>
      </c>
      <c r="H846" s="54" t="n">
        <v>627</v>
      </c>
      <c r="I846" s="54" t="s">
        <v>1642</v>
      </c>
      <c r="J846" s="54" t="s">
        <v>1067</v>
      </c>
    </row>
    <row r="847" customFormat="false" ht="15" hidden="false" customHeight="true" outlineLevel="0" collapsed="false">
      <c r="A847" s="54" t="n">
        <v>20260710</v>
      </c>
      <c r="B847" s="54" t="s">
        <v>306</v>
      </c>
      <c r="C847" s="54" t="s">
        <v>290</v>
      </c>
      <c r="D847" s="54" t="s">
        <v>2239</v>
      </c>
      <c r="E847" s="54" t="s">
        <v>2240</v>
      </c>
      <c r="F847" s="54" t="s">
        <v>2241</v>
      </c>
      <c r="G847" s="54" t="s">
        <v>2243</v>
      </c>
      <c r="H847" s="54" t="n">
        <v>628</v>
      </c>
      <c r="I847" s="54" t="s">
        <v>295</v>
      </c>
      <c r="J847" s="54" t="s">
        <v>1067</v>
      </c>
    </row>
    <row r="848" customFormat="false" ht="15" hidden="false" customHeight="true" outlineLevel="0" collapsed="false">
      <c r="A848" s="54" t="n">
        <v>20260710</v>
      </c>
      <c r="B848" s="54" t="s">
        <v>306</v>
      </c>
      <c r="C848" s="54" t="s">
        <v>290</v>
      </c>
      <c r="D848" s="54" t="s">
        <v>2239</v>
      </c>
      <c r="E848" s="54" t="s">
        <v>2240</v>
      </c>
      <c r="F848" s="54" t="s">
        <v>2244</v>
      </c>
      <c r="G848" s="54" t="s">
        <v>2245</v>
      </c>
      <c r="H848" s="54" t="n">
        <v>806</v>
      </c>
      <c r="I848" s="54" t="s">
        <v>295</v>
      </c>
      <c r="J848" s="54" t="s">
        <v>1067</v>
      </c>
    </row>
    <row r="849" customFormat="false" ht="15" hidden="false" customHeight="true" outlineLevel="0" collapsed="false">
      <c r="A849" s="54" t="n">
        <v>20260710</v>
      </c>
      <c r="B849" s="54" t="s">
        <v>306</v>
      </c>
      <c r="C849" s="54" t="s">
        <v>290</v>
      </c>
      <c r="D849" s="54" t="s">
        <v>2239</v>
      </c>
      <c r="E849" s="54" t="s">
        <v>2240</v>
      </c>
      <c r="F849" s="54" t="s">
        <v>2246</v>
      </c>
      <c r="G849" s="54" t="s">
        <v>2247</v>
      </c>
      <c r="H849" s="54" t="n">
        <v>5037</v>
      </c>
      <c r="I849" s="54" t="s">
        <v>1642</v>
      </c>
      <c r="J849" s="54" t="s">
        <v>1067</v>
      </c>
    </row>
    <row r="850" customFormat="false" ht="15" hidden="false" customHeight="true" outlineLevel="0" collapsed="false">
      <c r="A850" s="54" t="n">
        <v>20260710</v>
      </c>
      <c r="B850" s="54" t="s">
        <v>306</v>
      </c>
      <c r="C850" s="54" t="s">
        <v>290</v>
      </c>
      <c r="D850" s="54" t="s">
        <v>2239</v>
      </c>
      <c r="E850" s="54" t="s">
        <v>2240</v>
      </c>
      <c r="F850" s="54" t="s">
        <v>2246</v>
      </c>
      <c r="G850" s="54" t="s">
        <v>2248</v>
      </c>
      <c r="H850" s="54" t="n">
        <v>16874</v>
      </c>
      <c r="I850" s="54" t="s">
        <v>295</v>
      </c>
      <c r="J850" s="54" t="s">
        <v>1067</v>
      </c>
    </row>
    <row r="851" customFormat="false" ht="15" hidden="false" customHeight="true" outlineLevel="0" collapsed="false">
      <c r="A851" s="54" t="n">
        <v>20260710</v>
      </c>
      <c r="B851" s="54" t="s">
        <v>306</v>
      </c>
      <c r="C851" s="54" t="s">
        <v>290</v>
      </c>
      <c r="D851" s="54" t="s">
        <v>2239</v>
      </c>
      <c r="E851" s="54" t="s">
        <v>2240</v>
      </c>
      <c r="F851" s="54" t="s">
        <v>2249</v>
      </c>
      <c r="G851" s="54" t="s">
        <v>2250</v>
      </c>
      <c r="H851" s="54" t="n">
        <v>2541</v>
      </c>
      <c r="I851" s="54" t="s">
        <v>1642</v>
      </c>
      <c r="J851" s="54" t="s">
        <v>1067</v>
      </c>
    </row>
    <row r="852" customFormat="false" ht="15" hidden="false" customHeight="true" outlineLevel="0" collapsed="false">
      <c r="A852" s="54" t="n">
        <v>20260710</v>
      </c>
      <c r="B852" s="54" t="s">
        <v>306</v>
      </c>
      <c r="C852" s="54" t="s">
        <v>290</v>
      </c>
      <c r="D852" s="54" t="s">
        <v>2239</v>
      </c>
      <c r="E852" s="54" t="s">
        <v>2240</v>
      </c>
      <c r="F852" s="54" t="s">
        <v>2248</v>
      </c>
      <c r="G852" s="54" t="s">
        <v>2251</v>
      </c>
      <c r="H852" s="54" t="n">
        <v>26</v>
      </c>
      <c r="I852" s="54" t="s">
        <v>1642</v>
      </c>
      <c r="J852" s="54" t="s">
        <v>1067</v>
      </c>
    </row>
    <row r="853" customFormat="false" ht="15" hidden="false" customHeight="true" outlineLevel="0" collapsed="false">
      <c r="A853" s="54" t="n">
        <v>20260710</v>
      </c>
      <c r="B853" s="54" t="s">
        <v>306</v>
      </c>
      <c r="C853" s="54" t="s">
        <v>290</v>
      </c>
      <c r="D853" s="54" t="s">
        <v>2239</v>
      </c>
      <c r="E853" s="54" t="s">
        <v>2240</v>
      </c>
      <c r="F853" s="54" t="s">
        <v>2252</v>
      </c>
      <c r="G853" s="54" t="s">
        <v>2253</v>
      </c>
      <c r="H853" s="54" t="n">
        <v>222</v>
      </c>
      <c r="I853" s="54" t="s">
        <v>295</v>
      </c>
      <c r="J853" s="54" t="s">
        <v>1067</v>
      </c>
    </row>
    <row r="854" customFormat="false" ht="15" hidden="false" customHeight="true" outlineLevel="0" collapsed="false">
      <c r="A854" s="54" t="n">
        <v>20260710</v>
      </c>
      <c r="B854" s="54" t="s">
        <v>306</v>
      </c>
      <c r="C854" s="54" t="s">
        <v>290</v>
      </c>
      <c r="D854" s="54" t="s">
        <v>2239</v>
      </c>
      <c r="E854" s="54" t="s">
        <v>2240</v>
      </c>
      <c r="F854" s="54" t="s">
        <v>2254</v>
      </c>
      <c r="G854" s="54" t="s">
        <v>2255</v>
      </c>
      <c r="H854" s="54" t="n">
        <v>14</v>
      </c>
      <c r="I854" s="54" t="s">
        <v>1642</v>
      </c>
      <c r="J854" s="54" t="s">
        <v>1067</v>
      </c>
    </row>
    <row r="855" customFormat="false" ht="15" hidden="false" customHeight="true" outlineLevel="0" collapsed="false">
      <c r="A855" s="54" t="n">
        <v>20260710</v>
      </c>
      <c r="B855" s="54" t="s">
        <v>306</v>
      </c>
      <c r="C855" s="54" t="s">
        <v>290</v>
      </c>
      <c r="D855" s="54" t="s">
        <v>2239</v>
      </c>
      <c r="E855" s="54" t="s">
        <v>2240</v>
      </c>
      <c r="F855" s="54" t="s">
        <v>2254</v>
      </c>
      <c r="G855" s="54" t="s">
        <v>2256</v>
      </c>
      <c r="H855" s="54" t="n">
        <v>12741</v>
      </c>
      <c r="I855" s="54" t="s">
        <v>295</v>
      </c>
      <c r="J855" s="54" t="s">
        <v>1067</v>
      </c>
    </row>
    <row r="856" customFormat="false" ht="15" hidden="false" customHeight="true" outlineLevel="0" collapsed="false">
      <c r="A856" s="54" t="n">
        <v>20260710</v>
      </c>
      <c r="B856" s="54" t="s">
        <v>306</v>
      </c>
      <c r="C856" s="54" t="s">
        <v>307</v>
      </c>
      <c r="D856" s="54" t="s">
        <v>2257</v>
      </c>
      <c r="E856" s="54" t="s">
        <v>2258</v>
      </c>
      <c r="F856" s="54" t="s">
        <v>2259</v>
      </c>
      <c r="G856" s="54" t="s">
        <v>2260</v>
      </c>
      <c r="H856" s="54" t="n">
        <v>21887</v>
      </c>
      <c r="I856" s="54" t="s">
        <v>315</v>
      </c>
      <c r="J856" s="54" t="s">
        <v>312</v>
      </c>
    </row>
    <row r="857" customFormat="false" ht="15" hidden="false" customHeight="true" outlineLevel="0" collapsed="false">
      <c r="A857" s="54" t="n">
        <v>20260710</v>
      </c>
      <c r="B857" s="54" t="s">
        <v>306</v>
      </c>
      <c r="C857" s="54" t="s">
        <v>307</v>
      </c>
      <c r="D857" s="54" t="s">
        <v>2257</v>
      </c>
      <c r="E857" s="54" t="s">
        <v>2258</v>
      </c>
      <c r="F857" s="54" t="s">
        <v>2259</v>
      </c>
      <c r="G857" s="54" t="s">
        <v>2260</v>
      </c>
      <c r="H857" s="54" t="n">
        <v>21887</v>
      </c>
      <c r="I857" s="54" t="s">
        <v>295</v>
      </c>
      <c r="J857" s="54" t="s">
        <v>312</v>
      </c>
    </row>
    <row r="858" customFormat="false" ht="15" hidden="false" customHeight="true" outlineLevel="0" collapsed="false">
      <c r="A858" s="54" t="n">
        <v>20260710</v>
      </c>
      <c r="B858" s="54" t="s">
        <v>306</v>
      </c>
      <c r="C858" s="54" t="s">
        <v>307</v>
      </c>
      <c r="D858" s="54" t="s">
        <v>2257</v>
      </c>
      <c r="E858" s="54" t="s">
        <v>2258</v>
      </c>
      <c r="F858" s="54" t="s">
        <v>2261</v>
      </c>
      <c r="G858" s="54" t="s">
        <v>2262</v>
      </c>
      <c r="H858" s="54" t="n">
        <v>8304</v>
      </c>
      <c r="I858" s="54" t="s">
        <v>315</v>
      </c>
      <c r="J858" s="54" t="s">
        <v>312</v>
      </c>
    </row>
    <row r="859" customFormat="false" ht="15" hidden="false" customHeight="true" outlineLevel="0" collapsed="false">
      <c r="A859" s="54" t="n">
        <v>20260710</v>
      </c>
      <c r="B859" s="54" t="s">
        <v>306</v>
      </c>
      <c r="C859" s="54" t="s">
        <v>307</v>
      </c>
      <c r="D859" s="54" t="s">
        <v>2257</v>
      </c>
      <c r="E859" s="54" t="s">
        <v>2258</v>
      </c>
      <c r="F859" s="54" t="s">
        <v>2261</v>
      </c>
      <c r="G859" s="54" t="s">
        <v>2262</v>
      </c>
      <c r="H859" s="54" t="n">
        <v>8304</v>
      </c>
      <c r="I859" s="54" t="s">
        <v>295</v>
      </c>
      <c r="J859" s="54" t="s">
        <v>312</v>
      </c>
    </row>
    <row r="860" customFormat="false" ht="15" hidden="false" customHeight="true" outlineLevel="0" collapsed="false">
      <c r="A860" s="54" t="n">
        <v>20260710</v>
      </c>
      <c r="B860" s="54" t="s">
        <v>306</v>
      </c>
      <c r="C860" s="54" t="s">
        <v>307</v>
      </c>
      <c r="D860" s="54" t="s">
        <v>2257</v>
      </c>
      <c r="E860" s="54" t="s">
        <v>2258</v>
      </c>
      <c r="F860" s="54" t="s">
        <v>2263</v>
      </c>
      <c r="G860" s="54" t="s">
        <v>2264</v>
      </c>
      <c r="H860" s="54" t="n">
        <v>2430</v>
      </c>
      <c r="I860" s="54" t="s">
        <v>315</v>
      </c>
      <c r="J860" s="54" t="s">
        <v>312</v>
      </c>
    </row>
    <row r="861" customFormat="false" ht="15" hidden="false" customHeight="true" outlineLevel="0" collapsed="false">
      <c r="A861" s="54" t="n">
        <v>20260710</v>
      </c>
      <c r="B861" s="54" t="s">
        <v>306</v>
      </c>
      <c r="C861" s="54" t="s">
        <v>307</v>
      </c>
      <c r="D861" s="54" t="s">
        <v>2257</v>
      </c>
      <c r="E861" s="54" t="s">
        <v>2258</v>
      </c>
      <c r="F861" s="54" t="s">
        <v>2263</v>
      </c>
      <c r="G861" s="54" t="s">
        <v>2264</v>
      </c>
      <c r="H861" s="54" t="n">
        <v>2430</v>
      </c>
      <c r="I861" s="54" t="s">
        <v>295</v>
      </c>
      <c r="J861" s="54" t="s">
        <v>312</v>
      </c>
    </row>
    <row r="862" customFormat="false" ht="15" hidden="false" customHeight="true" outlineLevel="0" collapsed="false">
      <c r="A862" s="54" t="n">
        <v>20260710</v>
      </c>
      <c r="B862" s="54" t="s">
        <v>535</v>
      </c>
      <c r="C862" s="54" t="s">
        <v>290</v>
      </c>
      <c r="D862" s="54" t="s">
        <v>2265</v>
      </c>
      <c r="E862" s="54" t="s">
        <v>2266</v>
      </c>
      <c r="F862" s="54" t="s">
        <v>2267</v>
      </c>
      <c r="G862" s="54" t="s">
        <v>2268</v>
      </c>
      <c r="H862" s="54" t="n">
        <v>13300</v>
      </c>
      <c r="I862" s="54" t="s">
        <v>295</v>
      </c>
      <c r="J862" s="54" t="s">
        <v>734</v>
      </c>
    </row>
    <row r="863" customFormat="false" ht="15" hidden="false" customHeight="true" outlineLevel="0" collapsed="false">
      <c r="A863" s="54" t="n">
        <v>20260710</v>
      </c>
      <c r="B863" s="54" t="s">
        <v>535</v>
      </c>
      <c r="C863" s="54" t="s">
        <v>290</v>
      </c>
      <c r="D863" s="54" t="s">
        <v>2265</v>
      </c>
      <c r="E863" s="54" t="s">
        <v>2266</v>
      </c>
      <c r="F863" s="54" t="s">
        <v>2269</v>
      </c>
      <c r="G863" s="54" t="s">
        <v>2270</v>
      </c>
      <c r="H863" s="54" t="n">
        <v>818</v>
      </c>
      <c r="I863" s="54" t="s">
        <v>295</v>
      </c>
      <c r="J863" s="54" t="s">
        <v>734</v>
      </c>
    </row>
    <row r="864" customFormat="false" ht="15" hidden="false" customHeight="true" outlineLevel="0" collapsed="false">
      <c r="A864" s="54" t="n">
        <v>20260710</v>
      </c>
      <c r="B864" s="54" t="s">
        <v>535</v>
      </c>
      <c r="C864" s="54" t="s">
        <v>290</v>
      </c>
      <c r="D864" s="54" t="s">
        <v>2265</v>
      </c>
      <c r="E864" s="54" t="s">
        <v>2266</v>
      </c>
      <c r="F864" s="54" t="s">
        <v>2271</v>
      </c>
      <c r="G864" s="54" t="s">
        <v>1350</v>
      </c>
      <c r="H864" s="54" t="n">
        <v>14700</v>
      </c>
      <c r="I864" s="54" t="s">
        <v>295</v>
      </c>
      <c r="J864" s="54" t="s">
        <v>734</v>
      </c>
    </row>
    <row r="865" customFormat="false" ht="15" hidden="false" customHeight="true" outlineLevel="0" collapsed="false">
      <c r="A865" s="54" t="n">
        <v>20260710</v>
      </c>
      <c r="B865" s="54" t="s">
        <v>306</v>
      </c>
      <c r="C865" s="54" t="s">
        <v>290</v>
      </c>
      <c r="D865" s="54" t="s">
        <v>2272</v>
      </c>
      <c r="E865" s="54" t="s">
        <v>2273</v>
      </c>
      <c r="F865" s="54" t="s">
        <v>2274</v>
      </c>
      <c r="G865" s="54" t="s">
        <v>787</v>
      </c>
      <c r="H865" s="54" t="n">
        <v>18247</v>
      </c>
      <c r="I865" s="54" t="s">
        <v>295</v>
      </c>
      <c r="J865" s="54" t="s">
        <v>1265</v>
      </c>
    </row>
    <row r="866" customFormat="false" ht="15" hidden="false" customHeight="true" outlineLevel="0" collapsed="false">
      <c r="A866" s="54" t="n">
        <v>20260710</v>
      </c>
      <c r="B866" s="54" t="s">
        <v>306</v>
      </c>
      <c r="C866" s="54" t="s">
        <v>290</v>
      </c>
      <c r="D866" s="54" t="s">
        <v>2272</v>
      </c>
      <c r="E866" s="54" t="s">
        <v>2273</v>
      </c>
      <c r="F866" s="54" t="s">
        <v>2275</v>
      </c>
      <c r="G866" s="54" t="s">
        <v>2276</v>
      </c>
      <c r="H866" s="54" t="n">
        <v>10007</v>
      </c>
      <c r="I866" s="54" t="s">
        <v>295</v>
      </c>
      <c r="J866" s="54" t="s">
        <v>1265</v>
      </c>
    </row>
    <row r="867" customFormat="false" ht="15" hidden="false" customHeight="true" outlineLevel="0" collapsed="false">
      <c r="A867" s="54" t="n">
        <v>20260710</v>
      </c>
      <c r="B867" s="54" t="s">
        <v>306</v>
      </c>
      <c r="C867" s="54" t="s">
        <v>290</v>
      </c>
      <c r="D867" s="54" t="s">
        <v>2272</v>
      </c>
      <c r="E867" s="54" t="s">
        <v>2273</v>
      </c>
      <c r="F867" s="54" t="s">
        <v>2277</v>
      </c>
      <c r="G867" s="54" t="s">
        <v>1584</v>
      </c>
      <c r="H867" s="54" t="n">
        <v>681</v>
      </c>
      <c r="I867" s="54" t="s">
        <v>295</v>
      </c>
      <c r="J867" s="54" t="s">
        <v>1265</v>
      </c>
    </row>
    <row r="868" customFormat="false" ht="15" hidden="false" customHeight="true" outlineLevel="0" collapsed="false">
      <c r="A868" s="54" t="n">
        <v>20260710</v>
      </c>
      <c r="B868" s="54" t="s">
        <v>248</v>
      </c>
      <c r="C868" s="54" t="s">
        <v>307</v>
      </c>
      <c r="D868" s="54" t="s">
        <v>2278</v>
      </c>
      <c r="E868" s="54" t="s">
        <v>2279</v>
      </c>
      <c r="F868" s="54" t="s">
        <v>2280</v>
      </c>
      <c r="G868" s="54" t="s">
        <v>2281</v>
      </c>
      <c r="H868" s="54" t="n">
        <v>18144</v>
      </c>
      <c r="I868" s="54" t="s">
        <v>295</v>
      </c>
      <c r="J868" s="54" t="s">
        <v>326</v>
      </c>
    </row>
    <row r="869" customFormat="false" ht="15" hidden="false" customHeight="true" outlineLevel="0" collapsed="false">
      <c r="A869" s="54" t="n">
        <v>20260710</v>
      </c>
      <c r="B869" s="54" t="s">
        <v>248</v>
      </c>
      <c r="C869" s="54" t="s">
        <v>307</v>
      </c>
      <c r="D869" s="54" t="s">
        <v>2278</v>
      </c>
      <c r="E869" s="54" t="s">
        <v>2279</v>
      </c>
      <c r="F869" s="54" t="s">
        <v>2282</v>
      </c>
      <c r="G869" s="54" t="s">
        <v>2283</v>
      </c>
      <c r="H869" s="54" t="n">
        <v>7271</v>
      </c>
      <c r="I869" s="54" t="s">
        <v>295</v>
      </c>
      <c r="J869" s="54" t="s">
        <v>326</v>
      </c>
    </row>
    <row r="870" customFormat="false" ht="15" hidden="false" customHeight="true" outlineLevel="0" collapsed="false">
      <c r="A870" s="54" t="n">
        <v>20260710</v>
      </c>
      <c r="B870" s="54" t="s">
        <v>248</v>
      </c>
      <c r="C870" s="54" t="s">
        <v>307</v>
      </c>
      <c r="D870" s="54" t="s">
        <v>2278</v>
      </c>
      <c r="E870" s="54" t="s">
        <v>2279</v>
      </c>
      <c r="F870" s="54" t="s">
        <v>2284</v>
      </c>
      <c r="G870" s="54" t="s">
        <v>929</v>
      </c>
      <c r="H870" s="54" t="n">
        <v>7041</v>
      </c>
      <c r="I870" s="54" t="s">
        <v>295</v>
      </c>
      <c r="J870" s="54" t="s">
        <v>326</v>
      </c>
    </row>
    <row r="871" customFormat="false" ht="15" hidden="false" customHeight="true" outlineLevel="0" collapsed="false">
      <c r="A871" s="54" t="n">
        <v>20260710</v>
      </c>
      <c r="B871" s="54" t="s">
        <v>306</v>
      </c>
      <c r="C871" s="54" t="s">
        <v>290</v>
      </c>
      <c r="D871" s="54" t="s">
        <v>2285</v>
      </c>
      <c r="E871" s="54" t="s">
        <v>2286</v>
      </c>
      <c r="F871" s="54" t="s">
        <v>2287</v>
      </c>
      <c r="G871" s="54" t="s">
        <v>2288</v>
      </c>
      <c r="H871" s="54" t="n">
        <v>13452</v>
      </c>
      <c r="I871" s="54" t="s">
        <v>295</v>
      </c>
      <c r="J871" s="54" t="s">
        <v>2289</v>
      </c>
    </row>
    <row r="872" customFormat="false" ht="15" hidden="false" customHeight="true" outlineLevel="0" collapsed="false">
      <c r="A872" s="54" t="n">
        <v>20260710</v>
      </c>
      <c r="B872" s="54" t="s">
        <v>306</v>
      </c>
      <c r="C872" s="54" t="s">
        <v>290</v>
      </c>
      <c r="D872" s="54" t="s">
        <v>2285</v>
      </c>
      <c r="E872" s="54" t="s">
        <v>2286</v>
      </c>
      <c r="F872" s="54" t="s">
        <v>2290</v>
      </c>
      <c r="G872" s="54" t="s">
        <v>2291</v>
      </c>
      <c r="H872" s="54" t="n">
        <v>4807</v>
      </c>
      <c r="I872" s="54" t="s">
        <v>295</v>
      </c>
      <c r="J872" s="54" t="s">
        <v>2289</v>
      </c>
    </row>
    <row r="873" customFormat="false" ht="15" hidden="false" customHeight="true" outlineLevel="0" collapsed="false">
      <c r="A873" s="54" t="n">
        <v>20260710</v>
      </c>
      <c r="B873" s="54" t="s">
        <v>306</v>
      </c>
      <c r="C873" s="54" t="s">
        <v>290</v>
      </c>
      <c r="D873" s="54" t="s">
        <v>2285</v>
      </c>
      <c r="E873" s="54" t="s">
        <v>2286</v>
      </c>
      <c r="F873" s="54" t="s">
        <v>2292</v>
      </c>
      <c r="G873" s="54" t="s">
        <v>2293</v>
      </c>
      <c r="H873" s="54" t="n">
        <v>10546</v>
      </c>
      <c r="I873" s="54" t="s">
        <v>295</v>
      </c>
      <c r="J873" s="54" t="s">
        <v>2289</v>
      </c>
    </row>
    <row r="874" customFormat="false" ht="15" hidden="false" customHeight="true" outlineLevel="0" collapsed="false">
      <c r="A874" s="54" t="n">
        <v>20260710</v>
      </c>
      <c r="B874" s="54" t="s">
        <v>592</v>
      </c>
      <c r="C874" s="54" t="s">
        <v>290</v>
      </c>
      <c r="D874" s="54" t="s">
        <v>2294</v>
      </c>
      <c r="E874" s="54" t="s">
        <v>2295</v>
      </c>
      <c r="F874" s="54" t="s">
        <v>2296</v>
      </c>
      <c r="G874" s="54" t="s">
        <v>2297</v>
      </c>
      <c r="H874" s="54" t="n">
        <v>13503</v>
      </c>
      <c r="I874" s="54" t="s">
        <v>295</v>
      </c>
      <c r="J874" s="54" t="s">
        <v>597</v>
      </c>
    </row>
    <row r="875" customFormat="false" ht="15" hidden="false" customHeight="true" outlineLevel="0" collapsed="false">
      <c r="A875" s="54" t="n">
        <v>20260710</v>
      </c>
      <c r="B875" s="54" t="s">
        <v>592</v>
      </c>
      <c r="C875" s="54" t="s">
        <v>290</v>
      </c>
      <c r="D875" s="54" t="s">
        <v>2294</v>
      </c>
      <c r="E875" s="54" t="s">
        <v>2295</v>
      </c>
      <c r="F875" s="54" t="s">
        <v>2298</v>
      </c>
      <c r="G875" s="54" t="s">
        <v>2299</v>
      </c>
      <c r="H875" s="54" t="n">
        <v>933</v>
      </c>
      <c r="I875" s="54" t="s">
        <v>295</v>
      </c>
      <c r="J875" s="54" t="s">
        <v>597</v>
      </c>
    </row>
    <row r="876" customFormat="false" ht="15" hidden="false" customHeight="true" outlineLevel="0" collapsed="false">
      <c r="A876" s="54" t="n">
        <v>20260710</v>
      </c>
      <c r="B876" s="54" t="s">
        <v>592</v>
      </c>
      <c r="C876" s="54" t="s">
        <v>290</v>
      </c>
      <c r="D876" s="54" t="s">
        <v>2294</v>
      </c>
      <c r="E876" s="54" t="s">
        <v>2295</v>
      </c>
      <c r="F876" s="54" t="s">
        <v>2300</v>
      </c>
      <c r="G876" s="54" t="s">
        <v>2301</v>
      </c>
      <c r="H876" s="54" t="n">
        <v>14480</v>
      </c>
      <c r="I876" s="54" t="s">
        <v>295</v>
      </c>
      <c r="J876" s="54" t="s">
        <v>597</v>
      </c>
    </row>
    <row r="877" customFormat="false" ht="15" hidden="false" customHeight="true" outlineLevel="0" collapsed="false">
      <c r="A877" s="54" t="n">
        <v>20260710</v>
      </c>
      <c r="B877" s="54" t="s">
        <v>289</v>
      </c>
      <c r="C877" s="54" t="s">
        <v>290</v>
      </c>
      <c r="D877" s="54" t="s">
        <v>2302</v>
      </c>
      <c r="E877" s="54" t="s">
        <v>2303</v>
      </c>
      <c r="F877" s="54" t="s">
        <v>2304</v>
      </c>
      <c r="G877" s="54" t="s">
        <v>2305</v>
      </c>
      <c r="H877" s="54" t="n">
        <v>21807</v>
      </c>
      <c r="I877" s="54" t="s">
        <v>295</v>
      </c>
      <c r="J877" s="54" t="s">
        <v>2306</v>
      </c>
    </row>
    <row r="878" customFormat="false" ht="15" hidden="false" customHeight="true" outlineLevel="0" collapsed="false">
      <c r="A878" s="54" t="n">
        <v>20260710</v>
      </c>
      <c r="B878" s="54" t="s">
        <v>289</v>
      </c>
      <c r="C878" s="54" t="s">
        <v>290</v>
      </c>
      <c r="D878" s="54" t="s">
        <v>2302</v>
      </c>
      <c r="E878" s="54" t="s">
        <v>2303</v>
      </c>
      <c r="F878" s="54" t="s">
        <v>2307</v>
      </c>
      <c r="G878" s="54" t="s">
        <v>2308</v>
      </c>
      <c r="H878" s="54" t="n">
        <v>7422</v>
      </c>
      <c r="I878" s="54" t="s">
        <v>295</v>
      </c>
      <c r="J878" s="54" t="s">
        <v>2306</v>
      </c>
    </row>
    <row r="879" customFormat="false" ht="15" hidden="false" customHeight="true" outlineLevel="0" collapsed="false">
      <c r="A879" s="54" t="n">
        <v>20260710</v>
      </c>
      <c r="B879" s="54" t="s">
        <v>306</v>
      </c>
      <c r="C879" s="54" t="s">
        <v>290</v>
      </c>
      <c r="D879" s="54" t="s">
        <v>2309</v>
      </c>
      <c r="E879" s="54" t="s">
        <v>2310</v>
      </c>
      <c r="F879" s="54" t="s">
        <v>2311</v>
      </c>
      <c r="G879" s="54" t="s">
        <v>2312</v>
      </c>
      <c r="H879" s="54" t="n">
        <v>14456</v>
      </c>
      <c r="I879" s="54" t="s">
        <v>295</v>
      </c>
      <c r="J879" s="54" t="s">
        <v>375</v>
      </c>
    </row>
    <row r="880" customFormat="false" ht="15" hidden="false" customHeight="true" outlineLevel="0" collapsed="false">
      <c r="A880" s="54" t="n">
        <v>20260710</v>
      </c>
      <c r="B880" s="54" t="s">
        <v>306</v>
      </c>
      <c r="C880" s="54" t="s">
        <v>290</v>
      </c>
      <c r="D880" s="54" t="s">
        <v>2309</v>
      </c>
      <c r="E880" s="54" t="s">
        <v>2310</v>
      </c>
      <c r="F880" s="54" t="s">
        <v>2313</v>
      </c>
      <c r="G880" s="54" t="s">
        <v>1945</v>
      </c>
      <c r="H880" s="54" t="n">
        <v>14406</v>
      </c>
      <c r="I880" s="54" t="s">
        <v>295</v>
      </c>
      <c r="J880" s="54" t="s">
        <v>375</v>
      </c>
    </row>
    <row r="881" customFormat="false" ht="15" hidden="false" customHeight="true" outlineLevel="0" collapsed="false">
      <c r="A881" s="54" t="n">
        <v>20260710</v>
      </c>
      <c r="B881" s="54" t="s">
        <v>306</v>
      </c>
      <c r="C881" s="54" t="s">
        <v>290</v>
      </c>
      <c r="D881" s="54" t="s">
        <v>2314</v>
      </c>
      <c r="E881" s="54" t="s">
        <v>2315</v>
      </c>
      <c r="F881" s="54" t="s">
        <v>2316</v>
      </c>
      <c r="G881" s="54" t="s">
        <v>2317</v>
      </c>
      <c r="H881" s="54" t="n">
        <v>28751</v>
      </c>
      <c r="I881" s="54" t="s">
        <v>295</v>
      </c>
      <c r="J881" s="54" t="s">
        <v>989</v>
      </c>
    </row>
    <row r="882" customFormat="false" ht="15" hidden="false" customHeight="true" outlineLevel="0" collapsed="false">
      <c r="A882" s="54" t="n">
        <v>20260710</v>
      </c>
      <c r="B882" s="54" t="s">
        <v>289</v>
      </c>
      <c r="C882" s="54" t="s">
        <v>307</v>
      </c>
      <c r="D882" s="54" t="s">
        <v>2318</v>
      </c>
      <c r="E882" s="54" t="s">
        <v>2319</v>
      </c>
      <c r="F882" s="54" t="s">
        <v>1356</v>
      </c>
      <c r="G882" s="54" t="s">
        <v>2320</v>
      </c>
      <c r="H882" s="54" t="n">
        <v>2786</v>
      </c>
      <c r="I882" s="54" t="s">
        <v>295</v>
      </c>
      <c r="J882" s="54" t="s">
        <v>361</v>
      </c>
    </row>
    <row r="883" customFormat="false" ht="15" hidden="false" customHeight="true" outlineLevel="0" collapsed="false">
      <c r="A883" s="54" t="n">
        <v>20260710</v>
      </c>
      <c r="B883" s="54" t="s">
        <v>289</v>
      </c>
      <c r="C883" s="54" t="s">
        <v>307</v>
      </c>
      <c r="D883" s="54" t="s">
        <v>2318</v>
      </c>
      <c r="E883" s="54" t="s">
        <v>2319</v>
      </c>
      <c r="F883" s="54" t="s">
        <v>2321</v>
      </c>
      <c r="G883" s="54" t="s">
        <v>2322</v>
      </c>
      <c r="H883" s="54" t="n">
        <v>18946</v>
      </c>
      <c r="I883" s="54" t="s">
        <v>295</v>
      </c>
      <c r="J883" s="54" t="s">
        <v>361</v>
      </c>
    </row>
    <row r="884" customFormat="false" ht="15" hidden="false" customHeight="true" outlineLevel="0" collapsed="false">
      <c r="A884" s="54" t="n">
        <v>20260710</v>
      </c>
      <c r="B884" s="54" t="s">
        <v>289</v>
      </c>
      <c r="C884" s="54" t="s">
        <v>307</v>
      </c>
      <c r="D884" s="54" t="s">
        <v>2318</v>
      </c>
      <c r="E884" s="54" t="s">
        <v>2319</v>
      </c>
      <c r="F884" s="54" t="s">
        <v>2323</v>
      </c>
      <c r="G884" s="54" t="s">
        <v>2324</v>
      </c>
      <c r="H884" s="54" t="n">
        <v>10795</v>
      </c>
      <c r="I884" s="54" t="s">
        <v>295</v>
      </c>
      <c r="J884" s="54" t="s">
        <v>361</v>
      </c>
    </row>
    <row r="885" customFormat="false" ht="15" hidden="false" customHeight="true" outlineLevel="0" collapsed="false">
      <c r="A885" s="54" t="n">
        <v>20260710</v>
      </c>
      <c r="B885" s="54" t="s">
        <v>168</v>
      </c>
      <c r="C885" s="54" t="s">
        <v>290</v>
      </c>
      <c r="D885" s="54" t="s">
        <v>2325</v>
      </c>
      <c r="E885" s="54" t="s">
        <v>2326</v>
      </c>
      <c r="F885" s="54" t="s">
        <v>2327</v>
      </c>
      <c r="G885" s="54" t="s">
        <v>2328</v>
      </c>
      <c r="H885" s="54" t="n">
        <v>11315</v>
      </c>
      <c r="I885" s="54" t="s">
        <v>295</v>
      </c>
      <c r="J885" s="54" t="s">
        <v>818</v>
      </c>
    </row>
    <row r="886" customFormat="false" ht="15" hidden="false" customHeight="true" outlineLevel="0" collapsed="false">
      <c r="A886" s="54" t="n">
        <v>20260710</v>
      </c>
      <c r="B886" s="54" t="s">
        <v>168</v>
      </c>
      <c r="C886" s="54" t="s">
        <v>290</v>
      </c>
      <c r="D886" s="54" t="s">
        <v>2325</v>
      </c>
      <c r="E886" s="54" t="s">
        <v>2326</v>
      </c>
      <c r="F886" s="54" t="s">
        <v>2329</v>
      </c>
      <c r="G886" s="54" t="s">
        <v>2330</v>
      </c>
      <c r="H886" s="54" t="n">
        <v>15763</v>
      </c>
      <c r="I886" s="54" t="s">
        <v>295</v>
      </c>
      <c r="J886" s="54" t="s">
        <v>818</v>
      </c>
    </row>
    <row r="887" customFormat="false" ht="15" hidden="false" customHeight="true" outlineLevel="0" collapsed="false">
      <c r="A887" s="54" t="n">
        <v>20260710</v>
      </c>
      <c r="B887" s="54" t="s">
        <v>306</v>
      </c>
      <c r="C887" s="54" t="s">
        <v>290</v>
      </c>
      <c r="D887" s="54" t="s">
        <v>2331</v>
      </c>
      <c r="E887" s="54" t="s">
        <v>2332</v>
      </c>
      <c r="F887" s="54" t="s">
        <v>2333</v>
      </c>
      <c r="G887" s="54" t="s">
        <v>2334</v>
      </c>
      <c r="H887" s="54" t="n">
        <v>21511</v>
      </c>
      <c r="I887" s="54" t="s">
        <v>295</v>
      </c>
      <c r="J887" s="54" t="s">
        <v>948</v>
      </c>
    </row>
    <row r="888" customFormat="false" ht="15" hidden="false" customHeight="true" outlineLevel="0" collapsed="false">
      <c r="A888" s="54" t="n">
        <v>20260710</v>
      </c>
      <c r="B888" s="54" t="s">
        <v>306</v>
      </c>
      <c r="C888" s="54" t="s">
        <v>290</v>
      </c>
      <c r="D888" s="54" t="s">
        <v>2331</v>
      </c>
      <c r="E888" s="54" t="s">
        <v>2332</v>
      </c>
      <c r="F888" s="54" t="s">
        <v>2335</v>
      </c>
      <c r="G888" s="54" t="s">
        <v>2336</v>
      </c>
      <c r="H888" s="54" t="n">
        <v>21511</v>
      </c>
      <c r="I888" s="54" t="s">
        <v>315</v>
      </c>
      <c r="J888" s="54" t="s">
        <v>948</v>
      </c>
    </row>
    <row r="889" customFormat="false" ht="15" hidden="false" customHeight="true" outlineLevel="0" collapsed="false">
      <c r="A889" s="54" t="n">
        <v>20260710</v>
      </c>
      <c r="B889" s="54" t="s">
        <v>289</v>
      </c>
      <c r="C889" s="54" t="s">
        <v>307</v>
      </c>
      <c r="D889" s="54" t="s">
        <v>2337</v>
      </c>
      <c r="E889" s="54" t="s">
        <v>2338</v>
      </c>
      <c r="F889" s="54" t="s">
        <v>2339</v>
      </c>
      <c r="G889" s="54" t="s">
        <v>2340</v>
      </c>
      <c r="H889" s="54" t="n">
        <v>14945</v>
      </c>
      <c r="I889" s="54" t="s">
        <v>295</v>
      </c>
      <c r="J889" s="54" t="s">
        <v>1133</v>
      </c>
    </row>
    <row r="890" customFormat="false" ht="15" hidden="false" customHeight="true" outlineLevel="0" collapsed="false">
      <c r="A890" s="54" t="n">
        <v>20260710</v>
      </c>
      <c r="B890" s="54" t="s">
        <v>289</v>
      </c>
      <c r="C890" s="54" t="s">
        <v>307</v>
      </c>
      <c r="D890" s="54" t="s">
        <v>2337</v>
      </c>
      <c r="E890" s="54" t="s">
        <v>2338</v>
      </c>
      <c r="F890" s="54" t="s">
        <v>2341</v>
      </c>
      <c r="G890" s="54" t="s">
        <v>2342</v>
      </c>
      <c r="H890" s="54" t="n">
        <v>14122</v>
      </c>
      <c r="I890" s="54" t="s">
        <v>295</v>
      </c>
      <c r="J890" s="54" t="s">
        <v>1133</v>
      </c>
    </row>
    <row r="891" customFormat="false" ht="15" hidden="false" customHeight="true" outlineLevel="0" collapsed="false">
      <c r="A891" s="54" t="n">
        <v>20260710</v>
      </c>
      <c r="B891" s="54" t="s">
        <v>306</v>
      </c>
      <c r="C891" s="54" t="s">
        <v>307</v>
      </c>
      <c r="D891" s="54" t="s">
        <v>2343</v>
      </c>
      <c r="E891" s="54" t="s">
        <v>2344</v>
      </c>
      <c r="F891" s="54" t="s">
        <v>2345</v>
      </c>
      <c r="G891" s="54" t="s">
        <v>2346</v>
      </c>
      <c r="H891" s="54" t="n">
        <v>4</v>
      </c>
      <c r="I891" s="54" t="s">
        <v>295</v>
      </c>
      <c r="J891" s="54" t="s">
        <v>2347</v>
      </c>
    </row>
    <row r="892" customFormat="false" ht="15" hidden="false" customHeight="true" outlineLevel="0" collapsed="false">
      <c r="A892" s="54" t="n">
        <v>20260710</v>
      </c>
      <c r="B892" s="54" t="s">
        <v>306</v>
      </c>
      <c r="C892" s="54" t="s">
        <v>307</v>
      </c>
      <c r="D892" s="54" t="s">
        <v>2343</v>
      </c>
      <c r="E892" s="54" t="s">
        <v>2344</v>
      </c>
      <c r="F892" s="54" t="s">
        <v>2348</v>
      </c>
      <c r="G892" s="54" t="s">
        <v>2349</v>
      </c>
      <c r="H892" s="54" t="n">
        <v>19731</v>
      </c>
      <c r="I892" s="54" t="s">
        <v>295</v>
      </c>
      <c r="J892" s="54" t="s">
        <v>2347</v>
      </c>
    </row>
    <row r="893" customFormat="false" ht="15" hidden="false" customHeight="true" outlineLevel="0" collapsed="false">
      <c r="A893" s="54" t="n">
        <v>20260710</v>
      </c>
      <c r="B893" s="54" t="s">
        <v>306</v>
      </c>
      <c r="C893" s="54" t="s">
        <v>307</v>
      </c>
      <c r="D893" s="54" t="s">
        <v>2343</v>
      </c>
      <c r="E893" s="54" t="s">
        <v>2344</v>
      </c>
      <c r="F893" s="54" t="s">
        <v>2350</v>
      </c>
      <c r="G893" s="54" t="s">
        <v>2351</v>
      </c>
      <c r="H893" s="54" t="n">
        <v>2413</v>
      </c>
      <c r="I893" s="54" t="s">
        <v>295</v>
      </c>
      <c r="J893" s="54" t="s">
        <v>2347</v>
      </c>
    </row>
    <row r="894" customFormat="false" ht="15" hidden="false" customHeight="true" outlineLevel="0" collapsed="false">
      <c r="A894" s="54" t="n">
        <v>20260710</v>
      </c>
      <c r="B894" s="54" t="s">
        <v>306</v>
      </c>
      <c r="C894" s="54" t="s">
        <v>307</v>
      </c>
      <c r="D894" s="54" t="s">
        <v>2343</v>
      </c>
      <c r="E894" s="54" t="s">
        <v>2344</v>
      </c>
      <c r="F894" s="54" t="s">
        <v>2352</v>
      </c>
      <c r="G894" s="54" t="s">
        <v>2353</v>
      </c>
      <c r="H894" s="54" t="n">
        <v>17</v>
      </c>
      <c r="I894" s="54" t="s">
        <v>295</v>
      </c>
      <c r="J894" s="54" t="s">
        <v>2347</v>
      </c>
    </row>
    <row r="895" customFormat="false" ht="15" hidden="false" customHeight="true" outlineLevel="0" collapsed="false">
      <c r="A895" s="54" t="n">
        <v>20260710</v>
      </c>
      <c r="B895" s="54" t="s">
        <v>306</v>
      </c>
      <c r="C895" s="54" t="s">
        <v>307</v>
      </c>
      <c r="D895" s="54" t="s">
        <v>2343</v>
      </c>
      <c r="E895" s="54" t="s">
        <v>2344</v>
      </c>
      <c r="F895" s="54" t="s">
        <v>2354</v>
      </c>
      <c r="G895" s="54" t="s">
        <v>1543</v>
      </c>
      <c r="H895" s="54" t="n">
        <v>10167</v>
      </c>
      <c r="I895" s="54" t="s">
        <v>295</v>
      </c>
      <c r="J895" s="54" t="s">
        <v>2347</v>
      </c>
    </row>
    <row r="896" customFormat="false" ht="15" hidden="false" customHeight="true" outlineLevel="0" collapsed="false">
      <c r="A896" s="54" t="n">
        <v>20260710</v>
      </c>
      <c r="B896" s="54" t="s">
        <v>535</v>
      </c>
      <c r="C896" s="54" t="s">
        <v>307</v>
      </c>
      <c r="D896" s="54" t="s">
        <v>2355</v>
      </c>
      <c r="E896" s="54" t="s">
        <v>2356</v>
      </c>
      <c r="F896" s="54" t="s">
        <v>2357</v>
      </c>
      <c r="G896" s="54" t="s">
        <v>1685</v>
      </c>
      <c r="H896" s="54" t="n">
        <v>14825</v>
      </c>
      <c r="I896" s="54" t="s">
        <v>295</v>
      </c>
      <c r="J896" s="54" t="s">
        <v>540</v>
      </c>
    </row>
    <row r="897" customFormat="false" ht="15" hidden="false" customHeight="true" outlineLevel="0" collapsed="false">
      <c r="A897" s="54" t="n">
        <v>20260710</v>
      </c>
      <c r="B897" s="54" t="s">
        <v>535</v>
      </c>
      <c r="C897" s="54" t="s">
        <v>307</v>
      </c>
      <c r="D897" s="54" t="s">
        <v>2355</v>
      </c>
      <c r="E897" s="54" t="s">
        <v>2356</v>
      </c>
      <c r="F897" s="54" t="s">
        <v>2358</v>
      </c>
      <c r="G897" s="54" t="s">
        <v>1044</v>
      </c>
      <c r="H897" s="54" t="n">
        <v>14278</v>
      </c>
      <c r="I897" s="54" t="s">
        <v>295</v>
      </c>
      <c r="J897" s="54" t="s">
        <v>540</v>
      </c>
    </row>
    <row r="898" customFormat="false" ht="15" hidden="false" customHeight="true" outlineLevel="0" collapsed="false">
      <c r="A898" s="54" t="n">
        <v>20260710</v>
      </c>
      <c r="B898" s="54" t="s">
        <v>306</v>
      </c>
      <c r="C898" s="54" t="s">
        <v>290</v>
      </c>
      <c r="D898" s="54" t="s">
        <v>2359</v>
      </c>
      <c r="E898" s="54" t="s">
        <v>2360</v>
      </c>
      <c r="F898" s="54" t="s">
        <v>2361</v>
      </c>
      <c r="G898" s="54" t="s">
        <v>881</v>
      </c>
      <c r="H898" s="54" t="n">
        <v>20293</v>
      </c>
      <c r="I898" s="54" t="s">
        <v>295</v>
      </c>
      <c r="J898" s="54" t="s">
        <v>375</v>
      </c>
    </row>
    <row r="899" customFormat="false" ht="15" hidden="false" customHeight="true" outlineLevel="0" collapsed="false">
      <c r="A899" s="54" t="n">
        <v>20260710</v>
      </c>
      <c r="B899" s="54" t="s">
        <v>306</v>
      </c>
      <c r="C899" s="54" t="s">
        <v>290</v>
      </c>
      <c r="D899" s="54" t="s">
        <v>2359</v>
      </c>
      <c r="E899" s="54" t="s">
        <v>2360</v>
      </c>
      <c r="F899" s="54" t="s">
        <v>2362</v>
      </c>
      <c r="G899" s="54" t="s">
        <v>2363</v>
      </c>
      <c r="H899" s="54" t="n">
        <v>10235</v>
      </c>
      <c r="I899" s="54" t="s">
        <v>295</v>
      </c>
      <c r="J899" s="54" t="s">
        <v>375</v>
      </c>
    </row>
    <row r="900" customFormat="false" ht="15" hidden="false" customHeight="true" outlineLevel="0" collapsed="false">
      <c r="A900" s="54" t="n">
        <v>20260710</v>
      </c>
      <c r="B900" s="54" t="s">
        <v>592</v>
      </c>
      <c r="C900" s="54" t="s">
        <v>290</v>
      </c>
      <c r="D900" s="54" t="s">
        <v>2364</v>
      </c>
      <c r="E900" s="54" t="s">
        <v>2365</v>
      </c>
      <c r="F900" s="54" t="s">
        <v>2366</v>
      </c>
      <c r="G900" s="54" t="s">
        <v>2367</v>
      </c>
      <c r="H900" s="54" t="n">
        <v>16</v>
      </c>
      <c r="I900" s="54" t="s">
        <v>295</v>
      </c>
      <c r="J900" s="54" t="s">
        <v>597</v>
      </c>
    </row>
    <row r="901" customFormat="false" ht="15" hidden="false" customHeight="true" outlineLevel="0" collapsed="false">
      <c r="A901" s="54" t="n">
        <v>20260710</v>
      </c>
      <c r="B901" s="54" t="s">
        <v>592</v>
      </c>
      <c r="C901" s="54" t="s">
        <v>290</v>
      </c>
      <c r="D901" s="54" t="s">
        <v>2364</v>
      </c>
      <c r="E901" s="54" t="s">
        <v>2365</v>
      </c>
      <c r="F901" s="54" t="s">
        <v>2368</v>
      </c>
      <c r="G901" s="54" t="s">
        <v>755</v>
      </c>
      <c r="H901" s="54" t="n">
        <v>18285</v>
      </c>
      <c r="I901" s="54" t="s">
        <v>295</v>
      </c>
      <c r="J901" s="54" t="s">
        <v>597</v>
      </c>
    </row>
    <row r="902" customFormat="false" ht="15" hidden="false" customHeight="true" outlineLevel="0" collapsed="false">
      <c r="A902" s="54" t="n">
        <v>20260710</v>
      </c>
      <c r="B902" s="54" t="s">
        <v>592</v>
      </c>
      <c r="C902" s="54" t="s">
        <v>290</v>
      </c>
      <c r="D902" s="54" t="s">
        <v>2364</v>
      </c>
      <c r="E902" s="54" t="s">
        <v>2365</v>
      </c>
      <c r="F902" s="54" t="s">
        <v>2369</v>
      </c>
      <c r="G902" s="54" t="s">
        <v>828</v>
      </c>
      <c r="H902" s="54" t="n">
        <v>10492</v>
      </c>
      <c r="I902" s="54" t="s">
        <v>295</v>
      </c>
      <c r="J902" s="54" t="s">
        <v>597</v>
      </c>
    </row>
    <row r="903" customFormat="false" ht="15" hidden="false" customHeight="true" outlineLevel="0" collapsed="false">
      <c r="A903" s="54" t="n">
        <v>20260710</v>
      </c>
      <c r="B903" s="54" t="s">
        <v>306</v>
      </c>
      <c r="C903" s="54" t="s">
        <v>290</v>
      </c>
      <c r="D903" s="54" t="s">
        <v>2370</v>
      </c>
      <c r="E903" s="54" t="s">
        <v>2371</v>
      </c>
      <c r="F903" s="54" t="s">
        <v>2372</v>
      </c>
      <c r="G903" s="54" t="s">
        <v>2373</v>
      </c>
      <c r="H903" s="54" t="n">
        <v>29366</v>
      </c>
      <c r="I903" s="54" t="s">
        <v>295</v>
      </c>
      <c r="J903" s="54" t="s">
        <v>2159</v>
      </c>
    </row>
    <row r="904" customFormat="false" ht="15" hidden="false" customHeight="true" outlineLevel="0" collapsed="false">
      <c r="A904" s="54" t="n">
        <v>20260710</v>
      </c>
      <c r="B904" s="54" t="s">
        <v>289</v>
      </c>
      <c r="C904" s="54" t="s">
        <v>290</v>
      </c>
      <c r="D904" s="54" t="s">
        <v>2374</v>
      </c>
      <c r="E904" s="54" t="s">
        <v>2375</v>
      </c>
      <c r="F904" s="54" t="s">
        <v>2376</v>
      </c>
      <c r="G904" s="54" t="s">
        <v>2377</v>
      </c>
      <c r="H904" s="54" t="n">
        <v>7</v>
      </c>
      <c r="I904" s="54" t="s">
        <v>295</v>
      </c>
      <c r="J904" s="54" t="s">
        <v>2306</v>
      </c>
    </row>
    <row r="905" customFormat="false" ht="15" hidden="false" customHeight="true" outlineLevel="0" collapsed="false">
      <c r="A905" s="54" t="n">
        <v>20260710</v>
      </c>
      <c r="B905" s="54" t="s">
        <v>289</v>
      </c>
      <c r="C905" s="54" t="s">
        <v>290</v>
      </c>
      <c r="D905" s="54" t="s">
        <v>2374</v>
      </c>
      <c r="E905" s="54" t="s">
        <v>2375</v>
      </c>
      <c r="F905" s="54" t="s">
        <v>2378</v>
      </c>
      <c r="G905" s="54" t="s">
        <v>2379</v>
      </c>
      <c r="H905" s="54" t="n">
        <v>18580</v>
      </c>
      <c r="I905" s="54" t="s">
        <v>295</v>
      </c>
      <c r="J905" s="54" t="s">
        <v>2306</v>
      </c>
    </row>
    <row r="906" customFormat="false" ht="15" hidden="false" customHeight="true" outlineLevel="0" collapsed="false">
      <c r="A906" s="54" t="n">
        <v>20260710</v>
      </c>
      <c r="B906" s="54" t="s">
        <v>289</v>
      </c>
      <c r="C906" s="54" t="s">
        <v>290</v>
      </c>
      <c r="D906" s="54" t="s">
        <v>2374</v>
      </c>
      <c r="E906" s="54" t="s">
        <v>2375</v>
      </c>
      <c r="F906" s="54" t="s">
        <v>2380</v>
      </c>
      <c r="G906" s="54" t="s">
        <v>2381</v>
      </c>
      <c r="H906" s="54" t="n">
        <v>11024</v>
      </c>
      <c r="I906" s="54" t="s">
        <v>295</v>
      </c>
      <c r="J906" s="54" t="s">
        <v>2306</v>
      </c>
    </row>
    <row r="907" customFormat="false" ht="15" hidden="false" customHeight="true" outlineLevel="0" collapsed="false">
      <c r="A907" s="54" t="n">
        <v>20260710</v>
      </c>
      <c r="B907" s="54" t="s">
        <v>289</v>
      </c>
      <c r="C907" s="54" t="s">
        <v>290</v>
      </c>
      <c r="D907" s="54" t="s">
        <v>2382</v>
      </c>
      <c r="E907" s="54" t="s">
        <v>2383</v>
      </c>
      <c r="F907" s="54" t="s">
        <v>2384</v>
      </c>
      <c r="G907" s="54" t="s">
        <v>2385</v>
      </c>
      <c r="H907" s="54" t="n">
        <v>25545</v>
      </c>
      <c r="I907" s="54" t="s">
        <v>295</v>
      </c>
      <c r="J907" s="54" t="s">
        <v>303</v>
      </c>
    </row>
    <row r="908" customFormat="false" ht="15" hidden="false" customHeight="true" outlineLevel="0" collapsed="false">
      <c r="A908" s="54" t="n">
        <v>20260710</v>
      </c>
      <c r="B908" s="54" t="s">
        <v>289</v>
      </c>
      <c r="C908" s="54" t="s">
        <v>290</v>
      </c>
      <c r="D908" s="54" t="s">
        <v>2382</v>
      </c>
      <c r="E908" s="54" t="s">
        <v>2383</v>
      </c>
      <c r="F908" s="54" t="s">
        <v>2386</v>
      </c>
      <c r="G908" s="54" t="s">
        <v>2387</v>
      </c>
      <c r="H908" s="54" t="n">
        <v>6326</v>
      </c>
      <c r="I908" s="54" t="s">
        <v>295</v>
      </c>
      <c r="J908" s="54" t="s">
        <v>303</v>
      </c>
    </row>
    <row r="909" customFormat="false" ht="15" hidden="false" customHeight="true" outlineLevel="0" collapsed="false">
      <c r="A909" s="54" t="n">
        <v>20260710</v>
      </c>
      <c r="B909" s="54" t="s">
        <v>289</v>
      </c>
      <c r="C909" s="54" t="s">
        <v>290</v>
      </c>
      <c r="D909" s="54" t="s">
        <v>2382</v>
      </c>
      <c r="E909" s="54" t="s">
        <v>2383</v>
      </c>
      <c r="F909" s="54" t="s">
        <v>2388</v>
      </c>
      <c r="G909" s="54" t="s">
        <v>2389</v>
      </c>
      <c r="H909" s="54" t="n">
        <v>1331</v>
      </c>
      <c r="I909" s="54" t="s">
        <v>295</v>
      </c>
      <c r="J909" s="54" t="s">
        <v>303</v>
      </c>
    </row>
    <row r="910" customFormat="false" ht="15" hidden="false" customHeight="true" outlineLevel="0" collapsed="false">
      <c r="A910" s="54" t="n">
        <v>20260710</v>
      </c>
      <c r="B910" s="54" t="s">
        <v>188</v>
      </c>
      <c r="C910" s="54" t="s">
        <v>307</v>
      </c>
      <c r="D910" s="54" t="s">
        <v>2390</v>
      </c>
      <c r="E910" s="54" t="s">
        <v>2391</v>
      </c>
      <c r="F910" s="54" t="s">
        <v>2392</v>
      </c>
      <c r="G910" s="54" t="s">
        <v>738</v>
      </c>
      <c r="H910" s="54" t="n">
        <v>14186</v>
      </c>
      <c r="I910" s="54" t="s">
        <v>295</v>
      </c>
      <c r="J910" s="54" t="s">
        <v>2393</v>
      </c>
    </row>
    <row r="911" customFormat="false" ht="15" hidden="false" customHeight="true" outlineLevel="0" collapsed="false">
      <c r="A911" s="54" t="n">
        <v>20260710</v>
      </c>
      <c r="B911" s="54" t="s">
        <v>188</v>
      </c>
      <c r="C911" s="54" t="s">
        <v>307</v>
      </c>
      <c r="D911" s="54" t="s">
        <v>2390</v>
      </c>
      <c r="E911" s="54" t="s">
        <v>2391</v>
      </c>
      <c r="F911" s="54" t="s">
        <v>2394</v>
      </c>
      <c r="G911" s="54" t="s">
        <v>2395</v>
      </c>
      <c r="H911" s="54" t="n">
        <v>15158</v>
      </c>
      <c r="I911" s="54" t="s">
        <v>295</v>
      </c>
      <c r="J911" s="54" t="s">
        <v>2393</v>
      </c>
    </row>
    <row r="912" customFormat="false" ht="15" hidden="false" customHeight="true" outlineLevel="0" collapsed="false">
      <c r="A912" s="54" t="n">
        <v>20260710</v>
      </c>
      <c r="B912" s="54" t="s">
        <v>688</v>
      </c>
      <c r="C912" s="54" t="s">
        <v>307</v>
      </c>
      <c r="D912" s="54" t="s">
        <v>2396</v>
      </c>
      <c r="E912" s="54" t="s">
        <v>2397</v>
      </c>
      <c r="F912" s="54" t="s">
        <v>1348</v>
      </c>
      <c r="G912" s="54" t="s">
        <v>2398</v>
      </c>
      <c r="H912" s="54" t="n">
        <v>15230</v>
      </c>
      <c r="I912" s="54" t="s">
        <v>295</v>
      </c>
      <c r="J912" s="54" t="s">
        <v>693</v>
      </c>
    </row>
    <row r="913" customFormat="false" ht="15" hidden="false" customHeight="true" outlineLevel="0" collapsed="false">
      <c r="A913" s="54" t="n">
        <v>20260710</v>
      </c>
      <c r="B913" s="54" t="s">
        <v>688</v>
      </c>
      <c r="C913" s="54" t="s">
        <v>307</v>
      </c>
      <c r="D913" s="54" t="s">
        <v>2396</v>
      </c>
      <c r="E913" s="54" t="s">
        <v>2397</v>
      </c>
      <c r="F913" s="54" t="s">
        <v>2399</v>
      </c>
      <c r="G913" s="54" t="s">
        <v>2400</v>
      </c>
      <c r="H913" s="54" t="n">
        <v>2773</v>
      </c>
      <c r="I913" s="54" t="s">
        <v>295</v>
      </c>
      <c r="J913" s="54" t="s">
        <v>693</v>
      </c>
    </row>
    <row r="914" customFormat="false" ht="15" hidden="false" customHeight="true" outlineLevel="0" collapsed="false">
      <c r="A914" s="54" t="n">
        <v>20260710</v>
      </c>
      <c r="B914" s="54" t="s">
        <v>688</v>
      </c>
      <c r="C914" s="54" t="s">
        <v>307</v>
      </c>
      <c r="D914" s="54" t="s">
        <v>2396</v>
      </c>
      <c r="E914" s="54" t="s">
        <v>2397</v>
      </c>
      <c r="F914" s="54" t="s">
        <v>2401</v>
      </c>
      <c r="G914" s="54" t="s">
        <v>2402</v>
      </c>
      <c r="H914" s="54" t="n">
        <v>14390</v>
      </c>
      <c r="I914" s="54" t="s">
        <v>295</v>
      </c>
      <c r="J914" s="54" t="s">
        <v>693</v>
      </c>
    </row>
    <row r="915" customFormat="false" ht="15" hidden="false" customHeight="true" outlineLevel="0" collapsed="false">
      <c r="A915" s="54" t="n">
        <v>20260710</v>
      </c>
      <c r="B915" s="54" t="s">
        <v>497</v>
      </c>
      <c r="C915" s="54" t="s">
        <v>307</v>
      </c>
      <c r="D915" s="54" t="s">
        <v>2403</v>
      </c>
      <c r="E915" s="54" t="s">
        <v>2404</v>
      </c>
      <c r="F915" s="54" t="s">
        <v>2405</v>
      </c>
      <c r="G915" s="54" t="s">
        <v>2406</v>
      </c>
      <c r="H915" s="54" t="n">
        <v>28800</v>
      </c>
      <c r="I915" s="54" t="s">
        <v>315</v>
      </c>
      <c r="J915" s="54" t="s">
        <v>502</v>
      </c>
    </row>
    <row r="916" customFormat="false" ht="15" hidden="false" customHeight="true" outlineLevel="0" collapsed="false">
      <c r="A916" s="54" t="n">
        <v>20260710</v>
      </c>
      <c r="B916" s="54" t="s">
        <v>497</v>
      </c>
      <c r="C916" s="54" t="s">
        <v>307</v>
      </c>
      <c r="D916" s="54" t="s">
        <v>2403</v>
      </c>
      <c r="E916" s="54" t="s">
        <v>2404</v>
      </c>
      <c r="F916" s="54" t="s">
        <v>2407</v>
      </c>
      <c r="G916" s="54" t="s">
        <v>2408</v>
      </c>
      <c r="H916" s="54" t="n">
        <v>14354</v>
      </c>
      <c r="I916" s="54" t="s">
        <v>295</v>
      </c>
      <c r="J916" s="54" t="s">
        <v>502</v>
      </c>
    </row>
    <row r="917" customFormat="false" ht="15" hidden="false" customHeight="true" outlineLevel="0" collapsed="false">
      <c r="A917" s="54" t="n">
        <v>20260710</v>
      </c>
      <c r="B917" s="54" t="s">
        <v>497</v>
      </c>
      <c r="C917" s="54" t="s">
        <v>307</v>
      </c>
      <c r="D917" s="54" t="s">
        <v>2403</v>
      </c>
      <c r="E917" s="54" t="s">
        <v>2404</v>
      </c>
      <c r="F917" s="54" t="s">
        <v>2409</v>
      </c>
      <c r="G917" s="54" t="s">
        <v>2410</v>
      </c>
      <c r="H917" s="54" t="n">
        <v>530</v>
      </c>
      <c r="I917" s="54" t="s">
        <v>295</v>
      </c>
      <c r="J917" s="54" t="s">
        <v>502</v>
      </c>
    </row>
    <row r="918" customFormat="false" ht="15" hidden="false" customHeight="true" outlineLevel="0" collapsed="false">
      <c r="A918" s="54" t="n">
        <v>20260710</v>
      </c>
      <c r="B918" s="54" t="s">
        <v>497</v>
      </c>
      <c r="C918" s="54" t="s">
        <v>307</v>
      </c>
      <c r="D918" s="54" t="s">
        <v>2403</v>
      </c>
      <c r="E918" s="54" t="s">
        <v>2404</v>
      </c>
      <c r="F918" s="54" t="s">
        <v>2411</v>
      </c>
      <c r="G918" s="54" t="s">
        <v>1282</v>
      </c>
      <c r="H918" s="54" t="n">
        <v>13772</v>
      </c>
      <c r="I918" s="54" t="s">
        <v>295</v>
      </c>
      <c r="J918" s="54" t="s">
        <v>502</v>
      </c>
    </row>
    <row r="919" customFormat="false" ht="15" hidden="false" customHeight="true" outlineLevel="0" collapsed="false">
      <c r="A919" s="54" t="n">
        <v>20260710</v>
      </c>
      <c r="B919" s="54" t="s">
        <v>306</v>
      </c>
      <c r="C919" s="54" t="s">
        <v>307</v>
      </c>
      <c r="D919" s="54" t="s">
        <v>2412</v>
      </c>
      <c r="E919" s="54" t="s">
        <v>2413</v>
      </c>
      <c r="F919" s="54" t="s">
        <v>2414</v>
      </c>
      <c r="G919" s="54" t="s">
        <v>2415</v>
      </c>
      <c r="H919" s="54" t="n">
        <v>3326</v>
      </c>
      <c r="I919" s="54" t="s">
        <v>295</v>
      </c>
      <c r="J919" s="54" t="s">
        <v>312</v>
      </c>
    </row>
    <row r="920" customFormat="false" ht="15" hidden="false" customHeight="true" outlineLevel="0" collapsed="false">
      <c r="A920" s="54" t="n">
        <v>20260710</v>
      </c>
      <c r="B920" s="54" t="s">
        <v>306</v>
      </c>
      <c r="C920" s="54" t="s">
        <v>307</v>
      </c>
      <c r="D920" s="54" t="s">
        <v>2412</v>
      </c>
      <c r="E920" s="54" t="s">
        <v>2413</v>
      </c>
      <c r="F920" s="54" t="s">
        <v>2416</v>
      </c>
      <c r="G920" s="54" t="s">
        <v>2417</v>
      </c>
      <c r="H920" s="54" t="n">
        <v>3347</v>
      </c>
      <c r="I920" s="54" t="s">
        <v>315</v>
      </c>
      <c r="J920" s="54" t="s">
        <v>312</v>
      </c>
    </row>
    <row r="921" customFormat="false" ht="15" hidden="false" customHeight="true" outlineLevel="0" collapsed="false">
      <c r="A921" s="54" t="n">
        <v>20260710</v>
      </c>
      <c r="B921" s="54" t="s">
        <v>306</v>
      </c>
      <c r="C921" s="54" t="s">
        <v>307</v>
      </c>
      <c r="D921" s="54" t="s">
        <v>2412</v>
      </c>
      <c r="E921" s="54" t="s">
        <v>2413</v>
      </c>
      <c r="F921" s="54" t="s">
        <v>2388</v>
      </c>
      <c r="G921" s="54" t="s">
        <v>2418</v>
      </c>
      <c r="H921" s="54" t="n">
        <v>7469</v>
      </c>
      <c r="I921" s="54" t="s">
        <v>315</v>
      </c>
      <c r="J921" s="54" t="s">
        <v>312</v>
      </c>
    </row>
    <row r="922" customFormat="false" ht="15" hidden="false" customHeight="true" outlineLevel="0" collapsed="false">
      <c r="A922" s="54" t="n">
        <v>20260710</v>
      </c>
      <c r="B922" s="54" t="s">
        <v>306</v>
      </c>
      <c r="C922" s="54" t="s">
        <v>307</v>
      </c>
      <c r="D922" s="54" t="s">
        <v>2412</v>
      </c>
      <c r="E922" s="54" t="s">
        <v>2413</v>
      </c>
      <c r="F922" s="54" t="s">
        <v>2388</v>
      </c>
      <c r="G922" s="54" t="s">
        <v>2418</v>
      </c>
      <c r="H922" s="54" t="n">
        <v>7469</v>
      </c>
      <c r="I922" s="54" t="s">
        <v>295</v>
      </c>
      <c r="J922" s="54" t="s">
        <v>312</v>
      </c>
    </row>
    <row r="923" customFormat="false" ht="15" hidden="false" customHeight="true" outlineLevel="0" collapsed="false">
      <c r="A923" s="54" t="n">
        <v>20260710</v>
      </c>
      <c r="B923" s="54" t="s">
        <v>306</v>
      </c>
      <c r="C923" s="54" t="s">
        <v>307</v>
      </c>
      <c r="D923" s="54" t="s">
        <v>2412</v>
      </c>
      <c r="E923" s="54" t="s">
        <v>2413</v>
      </c>
      <c r="F923" s="54" t="s">
        <v>2419</v>
      </c>
      <c r="G923" s="54" t="s">
        <v>2420</v>
      </c>
      <c r="H923" s="54" t="n">
        <v>19956</v>
      </c>
      <c r="I923" s="54" t="s">
        <v>315</v>
      </c>
      <c r="J923" s="54" t="s">
        <v>312</v>
      </c>
    </row>
    <row r="924" customFormat="false" ht="15" hidden="false" customHeight="true" outlineLevel="0" collapsed="false">
      <c r="A924" s="54" t="n">
        <v>20260710</v>
      </c>
      <c r="B924" s="54" t="s">
        <v>306</v>
      </c>
      <c r="C924" s="54" t="s">
        <v>307</v>
      </c>
      <c r="D924" s="54" t="s">
        <v>2412</v>
      </c>
      <c r="E924" s="54" t="s">
        <v>2413</v>
      </c>
      <c r="F924" s="54" t="s">
        <v>2419</v>
      </c>
      <c r="G924" s="54" t="s">
        <v>2420</v>
      </c>
      <c r="H924" s="54" t="n">
        <v>19956</v>
      </c>
      <c r="I924" s="54" t="s">
        <v>295</v>
      </c>
      <c r="J924" s="54" t="s">
        <v>312</v>
      </c>
    </row>
    <row r="925" customFormat="false" ht="15" hidden="false" customHeight="true" outlineLevel="0" collapsed="false">
      <c r="A925" s="54" t="n">
        <v>20260710</v>
      </c>
      <c r="B925" s="54" t="s">
        <v>497</v>
      </c>
      <c r="C925" s="54" t="s">
        <v>307</v>
      </c>
      <c r="D925" s="54" t="s">
        <v>2421</v>
      </c>
      <c r="E925" s="54" t="s">
        <v>2422</v>
      </c>
      <c r="F925" s="54" t="s">
        <v>2423</v>
      </c>
      <c r="G925" s="54" t="s">
        <v>2424</v>
      </c>
      <c r="H925" s="54" t="n">
        <v>12943</v>
      </c>
      <c r="I925" s="54" t="s">
        <v>295</v>
      </c>
      <c r="J925" s="54" t="s">
        <v>894</v>
      </c>
    </row>
    <row r="926" customFormat="false" ht="15" hidden="false" customHeight="true" outlineLevel="0" collapsed="false">
      <c r="A926" s="54" t="n">
        <v>20260710</v>
      </c>
      <c r="B926" s="54" t="s">
        <v>497</v>
      </c>
      <c r="C926" s="54" t="s">
        <v>307</v>
      </c>
      <c r="D926" s="54" t="s">
        <v>2421</v>
      </c>
      <c r="E926" s="54" t="s">
        <v>2422</v>
      </c>
      <c r="F926" s="54" t="s">
        <v>2425</v>
      </c>
      <c r="G926" s="54" t="s">
        <v>2426</v>
      </c>
      <c r="H926" s="54" t="n">
        <v>3229</v>
      </c>
      <c r="I926" s="54" t="s">
        <v>295</v>
      </c>
      <c r="J926" s="54" t="s">
        <v>894</v>
      </c>
    </row>
    <row r="927" customFormat="false" ht="15" hidden="false" customHeight="true" outlineLevel="0" collapsed="false">
      <c r="A927" s="54" t="n">
        <v>20260710</v>
      </c>
      <c r="B927" s="54" t="s">
        <v>497</v>
      </c>
      <c r="C927" s="54" t="s">
        <v>307</v>
      </c>
      <c r="D927" s="54" t="s">
        <v>2421</v>
      </c>
      <c r="E927" s="54" t="s">
        <v>2422</v>
      </c>
      <c r="F927" s="54" t="s">
        <v>2427</v>
      </c>
      <c r="G927" s="54" t="s">
        <v>582</v>
      </c>
      <c r="H927" s="54" t="n">
        <v>12529</v>
      </c>
      <c r="I927" s="54" t="s">
        <v>295</v>
      </c>
      <c r="J927" s="54" t="s">
        <v>894</v>
      </c>
    </row>
    <row r="928" customFormat="false" ht="15" hidden="false" customHeight="true" outlineLevel="0" collapsed="false">
      <c r="A928" s="54" t="n">
        <v>20260710</v>
      </c>
      <c r="B928" s="54" t="s">
        <v>306</v>
      </c>
      <c r="C928" s="54" t="s">
        <v>290</v>
      </c>
      <c r="D928" s="54" t="s">
        <v>2428</v>
      </c>
      <c r="E928" s="54" t="s">
        <v>2429</v>
      </c>
      <c r="F928" s="54" t="s">
        <v>2430</v>
      </c>
      <c r="G928" s="54" t="s">
        <v>2431</v>
      </c>
      <c r="H928" s="54" t="n">
        <v>25460</v>
      </c>
      <c r="I928" s="54" t="s">
        <v>295</v>
      </c>
      <c r="J928" s="54" t="s">
        <v>335</v>
      </c>
    </row>
    <row r="929" customFormat="false" ht="15" hidden="false" customHeight="true" outlineLevel="0" collapsed="false">
      <c r="A929" s="54" t="n">
        <v>20260710</v>
      </c>
      <c r="B929" s="54" t="s">
        <v>306</v>
      </c>
      <c r="C929" s="54" t="s">
        <v>290</v>
      </c>
      <c r="D929" s="54" t="s">
        <v>2428</v>
      </c>
      <c r="E929" s="54" t="s">
        <v>2429</v>
      </c>
      <c r="F929" s="54" t="s">
        <v>2432</v>
      </c>
      <c r="G929" s="54" t="s">
        <v>2433</v>
      </c>
      <c r="H929" s="54" t="n">
        <v>25490</v>
      </c>
      <c r="I929" s="54" t="s">
        <v>315</v>
      </c>
      <c r="J929" s="54" t="s">
        <v>335</v>
      </c>
    </row>
    <row r="930" customFormat="false" ht="15" hidden="false" customHeight="true" outlineLevel="0" collapsed="false">
      <c r="A930" s="54" t="n">
        <v>20260710</v>
      </c>
      <c r="B930" s="54" t="s">
        <v>306</v>
      </c>
      <c r="C930" s="54" t="s">
        <v>290</v>
      </c>
      <c r="D930" s="54" t="s">
        <v>2428</v>
      </c>
      <c r="E930" s="54" t="s">
        <v>2429</v>
      </c>
      <c r="F930" s="54" t="s">
        <v>2434</v>
      </c>
      <c r="G930" s="54" t="s">
        <v>1128</v>
      </c>
      <c r="H930" s="54" t="n">
        <v>3746</v>
      </c>
      <c r="I930" s="54" t="s">
        <v>295</v>
      </c>
      <c r="J930" s="54" t="s">
        <v>335</v>
      </c>
    </row>
    <row r="931" customFormat="false" ht="15" hidden="false" customHeight="true" outlineLevel="0" collapsed="false">
      <c r="A931" s="54" t="n">
        <v>20260710</v>
      </c>
      <c r="B931" s="54" t="s">
        <v>306</v>
      </c>
      <c r="C931" s="54" t="s">
        <v>290</v>
      </c>
      <c r="D931" s="54" t="s">
        <v>2428</v>
      </c>
      <c r="E931" s="54" t="s">
        <v>2429</v>
      </c>
      <c r="F931" s="54" t="s">
        <v>2435</v>
      </c>
      <c r="G931" s="54" t="s">
        <v>1553</v>
      </c>
      <c r="H931" s="54" t="n">
        <v>3747</v>
      </c>
      <c r="I931" s="54" t="s">
        <v>315</v>
      </c>
      <c r="J931" s="54" t="s">
        <v>335</v>
      </c>
    </row>
    <row r="932" customFormat="false" ht="15" hidden="false" customHeight="true" outlineLevel="0" collapsed="false">
      <c r="A932" s="54" t="n">
        <v>20260710</v>
      </c>
      <c r="B932" s="54" t="s">
        <v>306</v>
      </c>
      <c r="C932" s="54" t="s">
        <v>307</v>
      </c>
      <c r="D932" s="54" t="s">
        <v>2436</v>
      </c>
      <c r="E932" s="54" t="s">
        <v>2437</v>
      </c>
      <c r="F932" s="54" t="s">
        <v>507</v>
      </c>
      <c r="G932" s="54" t="s">
        <v>2438</v>
      </c>
      <c r="H932" s="54" t="n">
        <v>5889</v>
      </c>
      <c r="I932" s="54" t="s">
        <v>295</v>
      </c>
      <c r="J932" s="54" t="s">
        <v>2347</v>
      </c>
    </row>
    <row r="933" customFormat="false" ht="15" hidden="false" customHeight="true" outlineLevel="0" collapsed="false">
      <c r="A933" s="54" t="n">
        <v>20260710</v>
      </c>
      <c r="B933" s="54" t="s">
        <v>306</v>
      </c>
      <c r="C933" s="54" t="s">
        <v>307</v>
      </c>
      <c r="D933" s="54" t="s">
        <v>2436</v>
      </c>
      <c r="E933" s="54" t="s">
        <v>2437</v>
      </c>
      <c r="F933" s="54" t="s">
        <v>2439</v>
      </c>
      <c r="G933" s="54" t="s">
        <v>2440</v>
      </c>
      <c r="H933" s="54" t="n">
        <v>5890</v>
      </c>
      <c r="I933" s="54" t="s">
        <v>315</v>
      </c>
      <c r="J933" s="54" t="s">
        <v>2347</v>
      </c>
    </row>
    <row r="934" customFormat="false" ht="15" hidden="false" customHeight="true" outlineLevel="0" collapsed="false">
      <c r="A934" s="54" t="n">
        <v>20260710</v>
      </c>
      <c r="B934" s="54" t="s">
        <v>306</v>
      </c>
      <c r="C934" s="54" t="s">
        <v>307</v>
      </c>
      <c r="D934" s="54" t="s">
        <v>2436</v>
      </c>
      <c r="E934" s="54" t="s">
        <v>2437</v>
      </c>
      <c r="F934" s="54" t="s">
        <v>2441</v>
      </c>
      <c r="G934" s="54" t="s">
        <v>1572</v>
      </c>
      <c r="H934" s="54" t="n">
        <v>7811</v>
      </c>
      <c r="I934" s="54" t="s">
        <v>295</v>
      </c>
      <c r="J934" s="54" t="s">
        <v>2347</v>
      </c>
    </row>
    <row r="935" customFormat="false" ht="15" hidden="false" customHeight="true" outlineLevel="0" collapsed="false">
      <c r="A935" s="54" t="n">
        <v>20260710</v>
      </c>
      <c r="B935" s="54" t="s">
        <v>306</v>
      </c>
      <c r="C935" s="54" t="s">
        <v>307</v>
      </c>
      <c r="D935" s="54" t="s">
        <v>2436</v>
      </c>
      <c r="E935" s="54" t="s">
        <v>2437</v>
      </c>
      <c r="F935" s="54" t="s">
        <v>2441</v>
      </c>
      <c r="G935" s="54" t="s">
        <v>2442</v>
      </c>
      <c r="H935" s="54" t="n">
        <v>7813</v>
      </c>
      <c r="I935" s="54" t="s">
        <v>315</v>
      </c>
      <c r="J935" s="54" t="s">
        <v>2347</v>
      </c>
    </row>
    <row r="936" customFormat="false" ht="15" hidden="false" customHeight="true" outlineLevel="0" collapsed="false">
      <c r="A936" s="54" t="n">
        <v>20260710</v>
      </c>
      <c r="B936" s="54" t="s">
        <v>306</v>
      </c>
      <c r="C936" s="54" t="s">
        <v>307</v>
      </c>
      <c r="D936" s="54" t="s">
        <v>2436</v>
      </c>
      <c r="E936" s="54" t="s">
        <v>2437</v>
      </c>
      <c r="F936" s="54" t="s">
        <v>2443</v>
      </c>
      <c r="G936" s="54" t="s">
        <v>2444</v>
      </c>
      <c r="H936" s="54" t="n">
        <v>4440</v>
      </c>
      <c r="I936" s="54" t="s">
        <v>295</v>
      </c>
      <c r="J936" s="54" t="s">
        <v>2347</v>
      </c>
    </row>
    <row r="937" customFormat="false" ht="15" hidden="false" customHeight="true" outlineLevel="0" collapsed="false">
      <c r="A937" s="54" t="n">
        <v>20260710</v>
      </c>
      <c r="B937" s="54" t="s">
        <v>306</v>
      </c>
      <c r="C937" s="54" t="s">
        <v>307</v>
      </c>
      <c r="D937" s="54" t="s">
        <v>2436</v>
      </c>
      <c r="E937" s="54" t="s">
        <v>2437</v>
      </c>
      <c r="F937" s="54" t="s">
        <v>2445</v>
      </c>
      <c r="G937" s="54" t="s">
        <v>2446</v>
      </c>
      <c r="H937" s="54" t="n">
        <v>4432</v>
      </c>
      <c r="I937" s="54" t="s">
        <v>315</v>
      </c>
      <c r="J937" s="54" t="s">
        <v>2347</v>
      </c>
    </row>
    <row r="938" customFormat="false" ht="15" hidden="false" customHeight="true" outlineLevel="0" collapsed="false">
      <c r="A938" s="54" t="n">
        <v>20260710</v>
      </c>
      <c r="B938" s="54" t="s">
        <v>306</v>
      </c>
      <c r="C938" s="54" t="s">
        <v>307</v>
      </c>
      <c r="D938" s="54" t="s">
        <v>2436</v>
      </c>
      <c r="E938" s="54" t="s">
        <v>2437</v>
      </c>
      <c r="F938" s="54" t="s">
        <v>2447</v>
      </c>
      <c r="G938" s="54" t="s">
        <v>2448</v>
      </c>
      <c r="H938" s="54" t="n">
        <v>15</v>
      </c>
      <c r="I938" s="54" t="s">
        <v>295</v>
      </c>
      <c r="J938" s="54" t="s">
        <v>2347</v>
      </c>
    </row>
    <row r="939" customFormat="false" ht="15" hidden="false" customHeight="true" outlineLevel="0" collapsed="false">
      <c r="A939" s="54" t="n">
        <v>20260710</v>
      </c>
      <c r="B939" s="54" t="s">
        <v>306</v>
      </c>
      <c r="C939" s="54" t="s">
        <v>307</v>
      </c>
      <c r="D939" s="54" t="s">
        <v>2436</v>
      </c>
      <c r="E939" s="54" t="s">
        <v>2437</v>
      </c>
      <c r="F939" s="54" t="s">
        <v>2447</v>
      </c>
      <c r="G939" s="54" t="s">
        <v>2449</v>
      </c>
      <c r="H939" s="54" t="n">
        <v>17</v>
      </c>
      <c r="I939" s="54" t="s">
        <v>315</v>
      </c>
      <c r="J939" s="54" t="s">
        <v>2347</v>
      </c>
    </row>
    <row r="940" customFormat="false" ht="15" hidden="false" customHeight="true" outlineLevel="0" collapsed="false">
      <c r="A940" s="54" t="n">
        <v>20260710</v>
      </c>
      <c r="B940" s="54" t="s">
        <v>306</v>
      </c>
      <c r="C940" s="54" t="s">
        <v>307</v>
      </c>
      <c r="D940" s="54" t="s">
        <v>2436</v>
      </c>
      <c r="E940" s="54" t="s">
        <v>2437</v>
      </c>
      <c r="F940" s="54" t="s">
        <v>2450</v>
      </c>
      <c r="G940" s="54" t="s">
        <v>2451</v>
      </c>
      <c r="H940" s="54" t="n">
        <v>4310</v>
      </c>
      <c r="I940" s="54" t="s">
        <v>295</v>
      </c>
      <c r="J940" s="54" t="s">
        <v>2347</v>
      </c>
    </row>
    <row r="941" customFormat="false" ht="15" hidden="false" customHeight="true" outlineLevel="0" collapsed="false">
      <c r="A941" s="54" t="n">
        <v>20260710</v>
      </c>
      <c r="B941" s="54" t="s">
        <v>306</v>
      </c>
      <c r="C941" s="54" t="s">
        <v>307</v>
      </c>
      <c r="D941" s="54" t="s">
        <v>2436</v>
      </c>
      <c r="E941" s="54" t="s">
        <v>2437</v>
      </c>
      <c r="F941" s="54" t="s">
        <v>2452</v>
      </c>
      <c r="G941" s="54" t="s">
        <v>2451</v>
      </c>
      <c r="H941" s="54" t="n">
        <v>4309</v>
      </c>
      <c r="I941" s="54" t="s">
        <v>315</v>
      </c>
      <c r="J941" s="54" t="s">
        <v>2347</v>
      </c>
    </row>
    <row r="942" customFormat="false" ht="15" hidden="false" customHeight="true" outlineLevel="0" collapsed="false">
      <c r="A942" s="54" t="n">
        <v>20260710</v>
      </c>
      <c r="B942" s="54" t="s">
        <v>306</v>
      </c>
      <c r="C942" s="54" t="s">
        <v>307</v>
      </c>
      <c r="D942" s="54" t="s">
        <v>2436</v>
      </c>
      <c r="E942" s="54" t="s">
        <v>2437</v>
      </c>
      <c r="F942" s="54" t="s">
        <v>2453</v>
      </c>
      <c r="G942" s="54" t="s">
        <v>2454</v>
      </c>
      <c r="H942" s="54" t="n">
        <v>208</v>
      </c>
      <c r="I942" s="54" t="s">
        <v>295</v>
      </c>
      <c r="J942" s="54" t="s">
        <v>2347</v>
      </c>
    </row>
    <row r="943" customFormat="false" ht="15" hidden="false" customHeight="true" outlineLevel="0" collapsed="false">
      <c r="A943" s="54" t="n">
        <v>20260710</v>
      </c>
      <c r="B943" s="54" t="s">
        <v>306</v>
      </c>
      <c r="C943" s="54" t="s">
        <v>307</v>
      </c>
      <c r="D943" s="54" t="s">
        <v>2436</v>
      </c>
      <c r="E943" s="54" t="s">
        <v>2437</v>
      </c>
      <c r="F943" s="54" t="s">
        <v>2453</v>
      </c>
      <c r="G943" s="54" t="s">
        <v>2455</v>
      </c>
      <c r="H943" s="54" t="n">
        <v>211</v>
      </c>
      <c r="I943" s="54" t="s">
        <v>315</v>
      </c>
      <c r="J943" s="54" t="s">
        <v>2347</v>
      </c>
    </row>
    <row r="944" customFormat="false" ht="15" hidden="false" customHeight="true" outlineLevel="0" collapsed="false">
      <c r="A944" s="54" t="n">
        <v>20260710</v>
      </c>
      <c r="B944" s="54" t="s">
        <v>306</v>
      </c>
      <c r="C944" s="54" t="s">
        <v>307</v>
      </c>
      <c r="D944" s="54" t="s">
        <v>2436</v>
      </c>
      <c r="E944" s="54" t="s">
        <v>2437</v>
      </c>
      <c r="F944" s="54" t="s">
        <v>2456</v>
      </c>
      <c r="G944" s="54" t="s">
        <v>2457</v>
      </c>
      <c r="H944" s="54" t="n">
        <v>3916</v>
      </c>
      <c r="I944" s="54" t="s">
        <v>295</v>
      </c>
      <c r="J944" s="54" t="s">
        <v>2347</v>
      </c>
    </row>
    <row r="945" customFormat="false" ht="15" hidden="false" customHeight="true" outlineLevel="0" collapsed="false">
      <c r="A945" s="54" t="n">
        <v>20260710</v>
      </c>
      <c r="B945" s="54" t="s">
        <v>306</v>
      </c>
      <c r="C945" s="54" t="s">
        <v>307</v>
      </c>
      <c r="D945" s="54" t="s">
        <v>2436</v>
      </c>
      <c r="E945" s="54" t="s">
        <v>2437</v>
      </c>
      <c r="F945" s="54" t="s">
        <v>2456</v>
      </c>
      <c r="G945" s="54" t="s">
        <v>2458</v>
      </c>
      <c r="H945" s="54" t="n">
        <v>3920</v>
      </c>
      <c r="I945" s="54" t="s">
        <v>315</v>
      </c>
      <c r="J945" s="54" t="s">
        <v>2347</v>
      </c>
    </row>
    <row r="946" customFormat="false" ht="15" hidden="false" customHeight="true" outlineLevel="0" collapsed="false">
      <c r="A946" s="54" t="n">
        <v>20260710</v>
      </c>
      <c r="B946" s="54" t="s">
        <v>306</v>
      </c>
      <c r="C946" s="54" t="s">
        <v>307</v>
      </c>
      <c r="D946" s="54" t="s">
        <v>2436</v>
      </c>
      <c r="E946" s="54" t="s">
        <v>2437</v>
      </c>
      <c r="F946" s="54" t="s">
        <v>2459</v>
      </c>
      <c r="G946" s="54" t="s">
        <v>2460</v>
      </c>
      <c r="H946" s="54" t="n">
        <v>6226</v>
      </c>
      <c r="I946" s="54" t="s">
        <v>295</v>
      </c>
      <c r="J946" s="54" t="s">
        <v>2347</v>
      </c>
    </row>
    <row r="947" customFormat="false" ht="15" hidden="false" customHeight="true" outlineLevel="0" collapsed="false">
      <c r="A947" s="54" t="n">
        <v>20260710</v>
      </c>
      <c r="B947" s="54" t="s">
        <v>306</v>
      </c>
      <c r="C947" s="54" t="s">
        <v>307</v>
      </c>
      <c r="D947" s="54" t="s">
        <v>2436</v>
      </c>
      <c r="E947" s="54" t="s">
        <v>2437</v>
      </c>
      <c r="F947" s="54" t="s">
        <v>2459</v>
      </c>
      <c r="G947" s="54" t="s">
        <v>2461</v>
      </c>
      <c r="H947" s="54" t="n">
        <v>6229</v>
      </c>
      <c r="I947" s="54" t="s">
        <v>315</v>
      </c>
      <c r="J947" s="54" t="s">
        <v>2347</v>
      </c>
    </row>
    <row r="948" customFormat="false" ht="15" hidden="false" customHeight="true" outlineLevel="0" collapsed="false">
      <c r="A948" s="54" t="n">
        <v>20260710</v>
      </c>
      <c r="B948" s="54" t="s">
        <v>306</v>
      </c>
      <c r="C948" s="54" t="s">
        <v>307</v>
      </c>
      <c r="D948" s="54" t="s">
        <v>2462</v>
      </c>
      <c r="E948" s="54" t="s">
        <v>2463</v>
      </c>
      <c r="F948" s="54" t="s">
        <v>2464</v>
      </c>
      <c r="G948" s="54" t="s">
        <v>2200</v>
      </c>
      <c r="H948" s="54" t="n">
        <v>21659</v>
      </c>
      <c r="I948" s="54" t="s">
        <v>295</v>
      </c>
      <c r="J948" s="54" t="s">
        <v>2347</v>
      </c>
    </row>
    <row r="949" customFormat="false" ht="15" hidden="false" customHeight="true" outlineLevel="0" collapsed="false">
      <c r="A949" s="54" t="n">
        <v>20260710</v>
      </c>
      <c r="B949" s="54" t="s">
        <v>306</v>
      </c>
      <c r="C949" s="54" t="s">
        <v>307</v>
      </c>
      <c r="D949" s="54" t="s">
        <v>2462</v>
      </c>
      <c r="E949" s="54" t="s">
        <v>2463</v>
      </c>
      <c r="F949" s="54" t="s">
        <v>2465</v>
      </c>
      <c r="G949" s="54" t="s">
        <v>2466</v>
      </c>
      <c r="H949" s="54" t="n">
        <v>10929</v>
      </c>
      <c r="I949" s="54" t="s">
        <v>295</v>
      </c>
      <c r="J949" s="54" t="s">
        <v>2347</v>
      </c>
    </row>
    <row r="950" customFormat="false" ht="15" hidden="false" customHeight="true" outlineLevel="0" collapsed="false">
      <c r="A950" s="54" t="n">
        <v>20260710</v>
      </c>
      <c r="B950" s="54" t="s">
        <v>289</v>
      </c>
      <c r="C950" s="54" t="s">
        <v>307</v>
      </c>
      <c r="D950" s="54" t="s">
        <v>2467</v>
      </c>
      <c r="E950" s="54" t="s">
        <v>2468</v>
      </c>
      <c r="F950" s="54" t="s">
        <v>2469</v>
      </c>
      <c r="G950" s="54" t="s">
        <v>2470</v>
      </c>
      <c r="H950" s="54" t="n">
        <v>20264</v>
      </c>
      <c r="I950" s="54" t="s">
        <v>295</v>
      </c>
      <c r="J950" s="54" t="s">
        <v>1659</v>
      </c>
    </row>
    <row r="951" customFormat="false" ht="15" hidden="false" customHeight="true" outlineLevel="0" collapsed="false">
      <c r="A951" s="54" t="n">
        <v>20260710</v>
      </c>
      <c r="B951" s="54" t="s">
        <v>289</v>
      </c>
      <c r="C951" s="54" t="s">
        <v>307</v>
      </c>
      <c r="D951" s="54" t="s">
        <v>2467</v>
      </c>
      <c r="E951" s="54" t="s">
        <v>2468</v>
      </c>
      <c r="F951" s="54" t="s">
        <v>2471</v>
      </c>
      <c r="G951" s="54" t="s">
        <v>2472</v>
      </c>
      <c r="H951" s="54" t="n">
        <v>12667</v>
      </c>
      <c r="I951" s="54" t="s">
        <v>295</v>
      </c>
      <c r="J951" s="54" t="s">
        <v>1659</v>
      </c>
    </row>
    <row r="952" customFormat="false" ht="15" hidden="false" customHeight="true" outlineLevel="0" collapsed="false">
      <c r="A952" s="54" t="n">
        <v>20260710</v>
      </c>
      <c r="B952" s="54" t="s">
        <v>289</v>
      </c>
      <c r="C952" s="54" t="s">
        <v>307</v>
      </c>
      <c r="D952" s="54" t="s">
        <v>2473</v>
      </c>
      <c r="E952" s="54" t="s">
        <v>2474</v>
      </c>
      <c r="F952" s="54" t="s">
        <v>2475</v>
      </c>
      <c r="G952" s="54" t="s">
        <v>2476</v>
      </c>
      <c r="H952" s="54" t="n">
        <v>886</v>
      </c>
      <c r="I952" s="54" t="s">
        <v>295</v>
      </c>
      <c r="J952" s="54" t="s">
        <v>1659</v>
      </c>
    </row>
    <row r="953" customFormat="false" ht="15" hidden="false" customHeight="true" outlineLevel="0" collapsed="false">
      <c r="A953" s="54" t="n">
        <v>20260710</v>
      </c>
      <c r="B953" s="54" t="s">
        <v>289</v>
      </c>
      <c r="C953" s="54" t="s">
        <v>307</v>
      </c>
      <c r="D953" s="54" t="s">
        <v>2473</v>
      </c>
      <c r="E953" s="54" t="s">
        <v>2474</v>
      </c>
      <c r="F953" s="54" t="s">
        <v>2477</v>
      </c>
      <c r="G953" s="54" t="s">
        <v>2478</v>
      </c>
      <c r="H953" s="54" t="n">
        <v>14547</v>
      </c>
      <c r="I953" s="54" t="s">
        <v>295</v>
      </c>
      <c r="J953" s="54" t="s">
        <v>1659</v>
      </c>
    </row>
    <row r="954" customFormat="false" ht="15" hidden="false" customHeight="true" outlineLevel="0" collapsed="false">
      <c r="A954" s="54" t="n">
        <v>20260710</v>
      </c>
      <c r="B954" s="54" t="s">
        <v>289</v>
      </c>
      <c r="C954" s="54" t="s">
        <v>307</v>
      </c>
      <c r="D954" s="54" t="s">
        <v>2473</v>
      </c>
      <c r="E954" s="54" t="s">
        <v>2474</v>
      </c>
      <c r="F954" s="54" t="s">
        <v>2479</v>
      </c>
      <c r="G954" s="54" t="s">
        <v>2480</v>
      </c>
      <c r="H954" s="54" t="n">
        <v>16998</v>
      </c>
      <c r="I954" s="54" t="s">
        <v>295</v>
      </c>
      <c r="J954" s="54" t="s">
        <v>1659</v>
      </c>
    </row>
    <row r="955" customFormat="false" ht="15" hidden="false" customHeight="true" outlineLevel="0" collapsed="false">
      <c r="A955" s="54" t="n">
        <v>20260710</v>
      </c>
      <c r="B955" s="54" t="s">
        <v>497</v>
      </c>
      <c r="C955" s="54" t="s">
        <v>307</v>
      </c>
      <c r="D955" s="54" t="s">
        <v>2481</v>
      </c>
      <c r="E955" s="54" t="s">
        <v>2482</v>
      </c>
      <c r="F955" s="54" t="s">
        <v>2483</v>
      </c>
      <c r="G955" s="54" t="s">
        <v>2484</v>
      </c>
      <c r="H955" s="54" t="n">
        <v>16417</v>
      </c>
      <c r="I955" s="54" t="s">
        <v>295</v>
      </c>
      <c r="J955" s="54" t="s">
        <v>894</v>
      </c>
    </row>
    <row r="956" customFormat="false" ht="15" hidden="false" customHeight="true" outlineLevel="0" collapsed="false">
      <c r="A956" s="54" t="n">
        <v>20260710</v>
      </c>
      <c r="B956" s="54" t="s">
        <v>497</v>
      </c>
      <c r="C956" s="54" t="s">
        <v>307</v>
      </c>
      <c r="D956" s="54" t="s">
        <v>2481</v>
      </c>
      <c r="E956" s="54" t="s">
        <v>2482</v>
      </c>
      <c r="F956" s="54" t="s">
        <v>2485</v>
      </c>
      <c r="G956" s="54" t="s">
        <v>2486</v>
      </c>
      <c r="H956" s="54" t="n">
        <v>1194</v>
      </c>
      <c r="I956" s="54" t="s">
        <v>295</v>
      </c>
      <c r="J956" s="54" t="s">
        <v>894</v>
      </c>
    </row>
    <row r="957" customFormat="false" ht="15" hidden="false" customHeight="true" outlineLevel="0" collapsed="false">
      <c r="A957" s="54" t="n">
        <v>20260710</v>
      </c>
      <c r="B957" s="54" t="s">
        <v>497</v>
      </c>
      <c r="C957" s="54" t="s">
        <v>307</v>
      </c>
      <c r="D957" s="54" t="s">
        <v>2481</v>
      </c>
      <c r="E957" s="54" t="s">
        <v>2482</v>
      </c>
      <c r="F957" s="54" t="s">
        <v>2487</v>
      </c>
      <c r="G957" s="54" t="s">
        <v>2488</v>
      </c>
      <c r="H957" s="54" t="n">
        <v>12552</v>
      </c>
      <c r="I957" s="54" t="s">
        <v>295</v>
      </c>
      <c r="J957" s="54" t="s">
        <v>894</v>
      </c>
    </row>
    <row r="958" customFormat="false" ht="15" hidden="false" customHeight="true" outlineLevel="0" collapsed="false">
      <c r="A958" s="54" t="n">
        <v>20260710</v>
      </c>
      <c r="B958" s="54" t="s">
        <v>289</v>
      </c>
      <c r="C958" s="54" t="s">
        <v>307</v>
      </c>
      <c r="D958" s="54" t="s">
        <v>2489</v>
      </c>
      <c r="E958" s="54" t="s">
        <v>2490</v>
      </c>
      <c r="F958" s="54" t="s">
        <v>2491</v>
      </c>
      <c r="G958" s="54" t="s">
        <v>2492</v>
      </c>
      <c r="H958" s="54" t="n">
        <v>406</v>
      </c>
      <c r="I958" s="54" t="s">
        <v>295</v>
      </c>
      <c r="J958" s="54" t="s">
        <v>1191</v>
      </c>
    </row>
    <row r="959" customFormat="false" ht="15" hidden="false" customHeight="true" outlineLevel="0" collapsed="false">
      <c r="A959" s="54" t="n">
        <v>20260710</v>
      </c>
      <c r="B959" s="54" t="s">
        <v>289</v>
      </c>
      <c r="C959" s="54" t="s">
        <v>307</v>
      </c>
      <c r="D959" s="54" t="s">
        <v>2489</v>
      </c>
      <c r="E959" s="54" t="s">
        <v>2490</v>
      </c>
      <c r="F959" s="54" t="s">
        <v>2493</v>
      </c>
      <c r="G959" s="54" t="s">
        <v>2494</v>
      </c>
      <c r="H959" s="54" t="n">
        <v>817</v>
      </c>
      <c r="I959" s="54" t="s">
        <v>295</v>
      </c>
      <c r="J959" s="54" t="s">
        <v>1191</v>
      </c>
    </row>
    <row r="960" customFormat="false" ht="15" hidden="false" customHeight="true" outlineLevel="0" collapsed="false">
      <c r="A960" s="54" t="n">
        <v>20260710</v>
      </c>
      <c r="B960" s="54" t="s">
        <v>289</v>
      </c>
      <c r="C960" s="54" t="s">
        <v>307</v>
      </c>
      <c r="D960" s="54" t="s">
        <v>2489</v>
      </c>
      <c r="E960" s="54" t="s">
        <v>2490</v>
      </c>
      <c r="F960" s="54" t="s">
        <v>2495</v>
      </c>
      <c r="G960" s="54" t="s">
        <v>2496</v>
      </c>
      <c r="H960" s="54" t="n">
        <v>9472</v>
      </c>
      <c r="I960" s="54" t="s">
        <v>295</v>
      </c>
      <c r="J960" s="54" t="s">
        <v>1191</v>
      </c>
    </row>
    <row r="961" customFormat="false" ht="15" hidden="false" customHeight="true" outlineLevel="0" collapsed="false">
      <c r="A961" s="54" t="n">
        <v>20260710</v>
      </c>
      <c r="B961" s="54" t="s">
        <v>289</v>
      </c>
      <c r="C961" s="54" t="s">
        <v>307</v>
      </c>
      <c r="D961" s="54" t="s">
        <v>2489</v>
      </c>
      <c r="E961" s="54" t="s">
        <v>2490</v>
      </c>
      <c r="F961" s="54" t="s">
        <v>2497</v>
      </c>
      <c r="G961" s="54" t="s">
        <v>2498</v>
      </c>
      <c r="H961" s="54" t="n">
        <v>3408</v>
      </c>
      <c r="I961" s="54" t="s">
        <v>295</v>
      </c>
      <c r="J961" s="54" t="s">
        <v>1191</v>
      </c>
    </row>
    <row r="962" customFormat="false" ht="15" hidden="false" customHeight="true" outlineLevel="0" collapsed="false">
      <c r="A962" s="54" t="n">
        <v>20260710</v>
      </c>
      <c r="B962" s="54" t="s">
        <v>289</v>
      </c>
      <c r="C962" s="54" t="s">
        <v>307</v>
      </c>
      <c r="D962" s="54" t="s">
        <v>2489</v>
      </c>
      <c r="E962" s="54" t="s">
        <v>2490</v>
      </c>
      <c r="F962" s="54" t="s">
        <v>2499</v>
      </c>
      <c r="G962" s="54" t="s">
        <v>2500</v>
      </c>
      <c r="H962" s="54" t="n">
        <v>44</v>
      </c>
      <c r="I962" s="54" t="s">
        <v>295</v>
      </c>
      <c r="J962" s="54" t="s">
        <v>1191</v>
      </c>
    </row>
    <row r="963" customFormat="false" ht="15" hidden="false" customHeight="true" outlineLevel="0" collapsed="false">
      <c r="A963" s="54" t="n">
        <v>20260710</v>
      </c>
      <c r="B963" s="54" t="s">
        <v>289</v>
      </c>
      <c r="C963" s="54" t="s">
        <v>307</v>
      </c>
      <c r="D963" s="54" t="s">
        <v>2489</v>
      </c>
      <c r="E963" s="54" t="s">
        <v>2490</v>
      </c>
      <c r="F963" s="54" t="s">
        <v>2501</v>
      </c>
      <c r="G963" s="54" t="s">
        <v>954</v>
      </c>
      <c r="H963" s="54" t="n">
        <v>14175</v>
      </c>
      <c r="I963" s="54" t="s">
        <v>295</v>
      </c>
      <c r="J963" s="54" t="s">
        <v>1191</v>
      </c>
    </row>
    <row r="964" customFormat="false" ht="15" hidden="false" customHeight="true" outlineLevel="0" collapsed="false">
      <c r="A964" s="54" t="n">
        <v>20260710</v>
      </c>
      <c r="B964" s="54" t="s">
        <v>306</v>
      </c>
      <c r="C964" s="54" t="s">
        <v>290</v>
      </c>
      <c r="D964" s="54" t="s">
        <v>2502</v>
      </c>
      <c r="E964" s="54" t="s">
        <v>2503</v>
      </c>
      <c r="F964" s="54" t="s">
        <v>2504</v>
      </c>
      <c r="G964" s="54" t="s">
        <v>2058</v>
      </c>
      <c r="H964" s="54" t="n">
        <v>14227</v>
      </c>
      <c r="I964" s="54" t="s">
        <v>295</v>
      </c>
      <c r="J964" s="54" t="s">
        <v>375</v>
      </c>
    </row>
    <row r="965" customFormat="false" ht="15" hidden="false" customHeight="true" outlineLevel="0" collapsed="false">
      <c r="A965" s="54" t="n">
        <v>20260710</v>
      </c>
      <c r="B965" s="54" t="s">
        <v>306</v>
      </c>
      <c r="C965" s="54" t="s">
        <v>290</v>
      </c>
      <c r="D965" s="54" t="s">
        <v>2502</v>
      </c>
      <c r="E965" s="54" t="s">
        <v>2503</v>
      </c>
      <c r="F965" s="54" t="s">
        <v>2505</v>
      </c>
      <c r="G965" s="54" t="s">
        <v>2506</v>
      </c>
      <c r="H965" s="54" t="n">
        <v>14483</v>
      </c>
      <c r="I965" s="54" t="s">
        <v>295</v>
      </c>
      <c r="J965" s="54" t="s">
        <v>375</v>
      </c>
    </row>
    <row r="966" customFormat="false" ht="15" hidden="false" customHeight="true" outlineLevel="0" collapsed="false">
      <c r="A966" s="54" t="n">
        <v>20260710</v>
      </c>
      <c r="B966" s="54" t="s">
        <v>306</v>
      </c>
      <c r="C966" s="54" t="s">
        <v>290</v>
      </c>
      <c r="D966" s="54" t="s">
        <v>2502</v>
      </c>
      <c r="E966" s="54" t="s">
        <v>2503</v>
      </c>
      <c r="F966" s="54" t="s">
        <v>2507</v>
      </c>
      <c r="G966" s="54" t="s">
        <v>2508</v>
      </c>
      <c r="H966" s="54" t="n">
        <v>146</v>
      </c>
      <c r="I966" s="54" t="s">
        <v>295</v>
      </c>
      <c r="J966" s="54" t="s">
        <v>375</v>
      </c>
    </row>
    <row r="967" customFormat="false" ht="15" hidden="false" customHeight="true" outlineLevel="0" collapsed="false">
      <c r="A967" s="54" t="n">
        <v>20260710</v>
      </c>
      <c r="B967" s="54" t="s">
        <v>306</v>
      </c>
      <c r="C967" s="54" t="s">
        <v>307</v>
      </c>
      <c r="D967" s="54" t="s">
        <v>2509</v>
      </c>
      <c r="E967" s="54" t="s">
        <v>2510</v>
      </c>
      <c r="F967" s="54" t="s">
        <v>2511</v>
      </c>
      <c r="G967" s="54" t="s">
        <v>2512</v>
      </c>
      <c r="H967" s="54" t="n">
        <v>14443</v>
      </c>
      <c r="I967" s="54" t="s">
        <v>295</v>
      </c>
      <c r="J967" s="54" t="s">
        <v>312</v>
      </c>
    </row>
    <row r="968" customFormat="false" ht="15" hidden="false" customHeight="true" outlineLevel="0" collapsed="false">
      <c r="A968" s="54" t="n">
        <v>20260710</v>
      </c>
      <c r="B968" s="54" t="s">
        <v>306</v>
      </c>
      <c r="C968" s="54" t="s">
        <v>307</v>
      </c>
      <c r="D968" s="54" t="s">
        <v>2509</v>
      </c>
      <c r="E968" s="54" t="s">
        <v>2510</v>
      </c>
      <c r="F968" s="54" t="s">
        <v>2513</v>
      </c>
      <c r="G968" s="54" t="s">
        <v>2514</v>
      </c>
      <c r="H968" s="54" t="n">
        <v>18029</v>
      </c>
      <c r="I968" s="54" t="s">
        <v>295</v>
      </c>
      <c r="J968" s="54" t="s">
        <v>312</v>
      </c>
    </row>
    <row r="969" customFormat="false" ht="15" hidden="false" customHeight="true" outlineLevel="0" collapsed="false">
      <c r="A969" s="54" t="n">
        <v>20260710</v>
      </c>
      <c r="B969" s="54" t="s">
        <v>688</v>
      </c>
      <c r="C969" s="54" t="s">
        <v>307</v>
      </c>
      <c r="D969" s="54" t="s">
        <v>2515</v>
      </c>
      <c r="E969" s="54" t="s">
        <v>2516</v>
      </c>
      <c r="F969" s="54" t="s">
        <v>2517</v>
      </c>
      <c r="G969" s="54" t="s">
        <v>2518</v>
      </c>
      <c r="H969" s="54" t="n">
        <v>10998</v>
      </c>
      <c r="I969" s="54" t="s">
        <v>295</v>
      </c>
      <c r="J969" s="54" t="s">
        <v>745</v>
      </c>
    </row>
    <row r="970" customFormat="false" ht="15" hidden="false" customHeight="true" outlineLevel="0" collapsed="false">
      <c r="A970" s="54" t="n">
        <v>20260710</v>
      </c>
      <c r="B970" s="54" t="s">
        <v>688</v>
      </c>
      <c r="C970" s="54" t="s">
        <v>307</v>
      </c>
      <c r="D970" s="54" t="s">
        <v>2515</v>
      </c>
      <c r="E970" s="54" t="s">
        <v>2516</v>
      </c>
      <c r="F970" s="54" t="s">
        <v>2519</v>
      </c>
      <c r="G970" s="54" t="s">
        <v>2520</v>
      </c>
      <c r="H970" s="54" t="n">
        <v>13799</v>
      </c>
      <c r="I970" s="54" t="s">
        <v>295</v>
      </c>
      <c r="J970" s="54" t="s">
        <v>745</v>
      </c>
    </row>
    <row r="971" customFormat="false" ht="15" hidden="false" customHeight="true" outlineLevel="0" collapsed="false">
      <c r="A971" s="54" t="n">
        <v>20260710</v>
      </c>
      <c r="B971" s="54" t="s">
        <v>688</v>
      </c>
      <c r="C971" s="54" t="s">
        <v>307</v>
      </c>
      <c r="D971" s="54" t="s">
        <v>2515</v>
      </c>
      <c r="E971" s="54" t="s">
        <v>2516</v>
      </c>
      <c r="F971" s="54" t="s">
        <v>2521</v>
      </c>
      <c r="G971" s="54" t="s">
        <v>2522</v>
      </c>
      <c r="H971" s="54" t="n">
        <v>3848</v>
      </c>
      <c r="I971" s="54" t="s">
        <v>295</v>
      </c>
      <c r="J971" s="54" t="s">
        <v>745</v>
      </c>
    </row>
    <row r="972" customFormat="false" ht="15" hidden="false" customHeight="true" outlineLevel="0" collapsed="false">
      <c r="A972" s="54" t="n">
        <v>20260710</v>
      </c>
      <c r="B972" s="54" t="s">
        <v>188</v>
      </c>
      <c r="C972" s="54" t="s">
        <v>307</v>
      </c>
      <c r="D972" s="54" t="s">
        <v>2523</v>
      </c>
      <c r="E972" s="54" t="s">
        <v>2524</v>
      </c>
      <c r="F972" s="54" t="s">
        <v>2525</v>
      </c>
      <c r="G972" s="54" t="s">
        <v>2526</v>
      </c>
      <c r="H972" s="54" t="n">
        <v>18128</v>
      </c>
      <c r="I972" s="54" t="s">
        <v>295</v>
      </c>
      <c r="J972" s="54" t="s">
        <v>2393</v>
      </c>
    </row>
    <row r="973" customFormat="false" ht="15" hidden="false" customHeight="true" outlineLevel="0" collapsed="false">
      <c r="A973" s="54" t="n">
        <v>20260710</v>
      </c>
      <c r="B973" s="54" t="s">
        <v>188</v>
      </c>
      <c r="C973" s="54" t="s">
        <v>307</v>
      </c>
      <c r="D973" s="54" t="s">
        <v>2523</v>
      </c>
      <c r="E973" s="54" t="s">
        <v>2524</v>
      </c>
      <c r="F973" s="54" t="s">
        <v>2527</v>
      </c>
      <c r="G973" s="54" t="s">
        <v>1945</v>
      </c>
      <c r="H973" s="54" t="n">
        <v>10851</v>
      </c>
      <c r="I973" s="54" t="s">
        <v>295</v>
      </c>
      <c r="J973" s="54" t="s">
        <v>2393</v>
      </c>
    </row>
    <row r="974" customFormat="false" ht="15" hidden="false" customHeight="true" outlineLevel="0" collapsed="false">
      <c r="A974" s="54" t="n">
        <v>20260710</v>
      </c>
      <c r="B974" s="54" t="s">
        <v>306</v>
      </c>
      <c r="C974" s="54" t="s">
        <v>307</v>
      </c>
      <c r="D974" s="54" t="s">
        <v>2528</v>
      </c>
      <c r="E974" s="54" t="s">
        <v>2529</v>
      </c>
      <c r="F974" s="54" t="s">
        <v>2530</v>
      </c>
      <c r="G974" s="54" t="s">
        <v>2531</v>
      </c>
      <c r="H974" s="54" t="n">
        <v>9</v>
      </c>
      <c r="I974" s="54" t="s">
        <v>295</v>
      </c>
      <c r="J974" s="54" t="s">
        <v>312</v>
      </c>
    </row>
    <row r="975" customFormat="false" ht="15" hidden="false" customHeight="true" outlineLevel="0" collapsed="false">
      <c r="A975" s="54" t="n">
        <v>20260710</v>
      </c>
      <c r="B975" s="54" t="s">
        <v>306</v>
      </c>
      <c r="C975" s="54" t="s">
        <v>307</v>
      </c>
      <c r="D975" s="54" t="s">
        <v>2528</v>
      </c>
      <c r="E975" s="54" t="s">
        <v>2529</v>
      </c>
      <c r="F975" s="54" t="s">
        <v>1189</v>
      </c>
      <c r="G975" s="54" t="s">
        <v>2532</v>
      </c>
      <c r="H975" s="54" t="n">
        <v>14426</v>
      </c>
      <c r="I975" s="54" t="s">
        <v>295</v>
      </c>
      <c r="J975" s="54" t="s">
        <v>312</v>
      </c>
    </row>
    <row r="976" customFormat="false" ht="15" hidden="false" customHeight="true" outlineLevel="0" collapsed="false">
      <c r="A976" s="54" t="n">
        <v>20260710</v>
      </c>
      <c r="B976" s="54" t="s">
        <v>306</v>
      </c>
      <c r="C976" s="54" t="s">
        <v>307</v>
      </c>
      <c r="D976" s="54" t="s">
        <v>2528</v>
      </c>
      <c r="E976" s="54" t="s">
        <v>2529</v>
      </c>
      <c r="F976" s="54" t="s">
        <v>2533</v>
      </c>
      <c r="G976" s="54" t="s">
        <v>1055</v>
      </c>
      <c r="H976" s="54" t="n">
        <v>17996</v>
      </c>
      <c r="I976" s="54" t="s">
        <v>295</v>
      </c>
      <c r="J976" s="54" t="s">
        <v>312</v>
      </c>
    </row>
    <row r="977" customFormat="false" ht="15" hidden="false" customHeight="true" outlineLevel="0" collapsed="false">
      <c r="A977" s="54" t="n">
        <v>20260710</v>
      </c>
      <c r="B977" s="54" t="s">
        <v>688</v>
      </c>
      <c r="C977" s="54" t="s">
        <v>307</v>
      </c>
      <c r="D977" s="54" t="s">
        <v>2534</v>
      </c>
      <c r="E977" s="54" t="s">
        <v>2535</v>
      </c>
      <c r="F977" s="54" t="s">
        <v>2536</v>
      </c>
      <c r="G977" s="54" t="s">
        <v>2537</v>
      </c>
      <c r="H977" s="54" t="n">
        <v>18037</v>
      </c>
      <c r="I977" s="54" t="s">
        <v>295</v>
      </c>
      <c r="J977" s="54" t="s">
        <v>745</v>
      </c>
    </row>
    <row r="978" customFormat="false" ht="15" hidden="false" customHeight="true" outlineLevel="0" collapsed="false">
      <c r="A978" s="54" t="n">
        <v>20260710</v>
      </c>
      <c r="B978" s="54" t="s">
        <v>688</v>
      </c>
      <c r="C978" s="54" t="s">
        <v>307</v>
      </c>
      <c r="D978" s="54" t="s">
        <v>2534</v>
      </c>
      <c r="E978" s="54" t="s">
        <v>2535</v>
      </c>
      <c r="F978" s="54" t="s">
        <v>2538</v>
      </c>
      <c r="G978" s="54" t="s">
        <v>2539</v>
      </c>
      <c r="H978" s="54" t="n">
        <v>10257</v>
      </c>
      <c r="I978" s="54" t="s">
        <v>295</v>
      </c>
      <c r="J978" s="54" t="s">
        <v>745</v>
      </c>
    </row>
    <row r="979" customFormat="false" ht="15" hidden="false" customHeight="true" outlineLevel="0" collapsed="false">
      <c r="A979" s="54" t="n">
        <v>20260710</v>
      </c>
      <c r="B979" s="54" t="s">
        <v>688</v>
      </c>
      <c r="C979" s="54" t="s">
        <v>307</v>
      </c>
      <c r="D979" s="54" t="s">
        <v>2534</v>
      </c>
      <c r="E979" s="54" t="s">
        <v>2535</v>
      </c>
      <c r="F979" s="54" t="s">
        <v>2540</v>
      </c>
      <c r="G979" s="54" t="s">
        <v>2541</v>
      </c>
      <c r="H979" s="54" t="n">
        <v>9</v>
      </c>
      <c r="I979" s="54" t="s">
        <v>295</v>
      </c>
      <c r="J979" s="54" t="s">
        <v>745</v>
      </c>
    </row>
    <row r="980" customFormat="false" ht="15" hidden="false" customHeight="true" outlineLevel="0" collapsed="false">
      <c r="A980" s="54" t="n">
        <v>20260710</v>
      </c>
      <c r="B980" s="54" t="s">
        <v>688</v>
      </c>
      <c r="C980" s="54" t="s">
        <v>307</v>
      </c>
      <c r="D980" s="54" t="s">
        <v>2534</v>
      </c>
      <c r="E980" s="54" t="s">
        <v>2535</v>
      </c>
      <c r="F980" s="54" t="s">
        <v>2542</v>
      </c>
      <c r="G980" s="54" t="s">
        <v>2543</v>
      </c>
      <c r="H980" s="54" t="n">
        <v>3338</v>
      </c>
      <c r="I980" s="54" t="s">
        <v>295</v>
      </c>
      <c r="J980" s="54" t="s">
        <v>745</v>
      </c>
    </row>
    <row r="981" customFormat="false" ht="15" hidden="false" customHeight="true" outlineLevel="0" collapsed="false">
      <c r="A981" s="54" t="n">
        <v>20260710</v>
      </c>
      <c r="B981" s="54" t="s">
        <v>688</v>
      </c>
      <c r="C981" s="54" t="s">
        <v>307</v>
      </c>
      <c r="D981" s="54" t="s">
        <v>2544</v>
      </c>
      <c r="E981" s="54" t="s">
        <v>2545</v>
      </c>
      <c r="F981" s="54" t="s">
        <v>2546</v>
      </c>
      <c r="G981" s="54" t="s">
        <v>2547</v>
      </c>
      <c r="H981" s="54" t="n">
        <v>14615</v>
      </c>
      <c r="I981" s="54" t="s">
        <v>295</v>
      </c>
      <c r="J981" s="54" t="s">
        <v>142</v>
      </c>
    </row>
    <row r="982" customFormat="false" ht="15" hidden="false" customHeight="true" outlineLevel="0" collapsed="false">
      <c r="A982" s="54" t="n">
        <v>20260710</v>
      </c>
      <c r="B982" s="54" t="s">
        <v>688</v>
      </c>
      <c r="C982" s="54" t="s">
        <v>307</v>
      </c>
      <c r="D982" s="54" t="s">
        <v>2544</v>
      </c>
      <c r="E982" s="54" t="s">
        <v>2545</v>
      </c>
      <c r="F982" s="54" t="s">
        <v>2548</v>
      </c>
      <c r="G982" s="54" t="s">
        <v>2549</v>
      </c>
      <c r="H982" s="54" t="n">
        <v>14062</v>
      </c>
      <c r="I982" s="54" t="s">
        <v>295</v>
      </c>
      <c r="J982" s="54" t="s">
        <v>142</v>
      </c>
    </row>
    <row r="983" customFormat="false" ht="15" hidden="false" customHeight="true" outlineLevel="0" collapsed="false">
      <c r="A983" s="54" t="n">
        <v>20260710</v>
      </c>
      <c r="B983" s="54" t="s">
        <v>688</v>
      </c>
      <c r="C983" s="54" t="s">
        <v>307</v>
      </c>
      <c r="D983" s="54" t="s">
        <v>2544</v>
      </c>
      <c r="E983" s="54" t="s">
        <v>2545</v>
      </c>
      <c r="F983" s="54" t="s">
        <v>2550</v>
      </c>
      <c r="G983" s="54" t="s">
        <v>2551</v>
      </c>
      <c r="H983" s="54" t="n">
        <v>420</v>
      </c>
      <c r="I983" s="54" t="s">
        <v>295</v>
      </c>
      <c r="J983" s="54" t="s">
        <v>142</v>
      </c>
    </row>
    <row r="984" customFormat="false" ht="15" hidden="false" customHeight="true" outlineLevel="0" collapsed="false">
      <c r="A984" s="54" t="n">
        <v>20260710</v>
      </c>
      <c r="B984" s="54" t="s">
        <v>688</v>
      </c>
      <c r="C984" s="54" t="s">
        <v>307</v>
      </c>
      <c r="D984" s="54" t="s">
        <v>2544</v>
      </c>
      <c r="E984" s="54" t="s">
        <v>2545</v>
      </c>
      <c r="F984" s="54" t="s">
        <v>2552</v>
      </c>
      <c r="G984" s="54" t="s">
        <v>2553</v>
      </c>
      <c r="H984" s="54" t="n">
        <v>1834</v>
      </c>
      <c r="I984" s="54" t="s">
        <v>295</v>
      </c>
      <c r="J984" s="54" t="s">
        <v>142</v>
      </c>
    </row>
    <row r="985" customFormat="false" ht="15" hidden="false" customHeight="true" outlineLevel="0" collapsed="false">
      <c r="A985" s="54" t="n">
        <v>20260710</v>
      </c>
      <c r="B985" s="54" t="s">
        <v>688</v>
      </c>
      <c r="C985" s="54" t="s">
        <v>307</v>
      </c>
      <c r="D985" s="54" t="s">
        <v>2544</v>
      </c>
      <c r="E985" s="54" t="s">
        <v>2545</v>
      </c>
      <c r="F985" s="54" t="s">
        <v>2554</v>
      </c>
      <c r="G985" s="54" t="s">
        <v>2555</v>
      </c>
      <c r="H985" s="54" t="n">
        <v>539</v>
      </c>
      <c r="I985" s="54" t="s">
        <v>295</v>
      </c>
      <c r="J985" s="54" t="s">
        <v>142</v>
      </c>
    </row>
    <row r="986" customFormat="false" ht="15" hidden="false" customHeight="true" outlineLevel="0" collapsed="false">
      <c r="A986" s="54" t="n">
        <v>20260710</v>
      </c>
      <c r="B986" s="54" t="s">
        <v>289</v>
      </c>
      <c r="C986" s="54" t="s">
        <v>307</v>
      </c>
      <c r="D986" s="54" t="s">
        <v>2556</v>
      </c>
      <c r="E986" s="54" t="s">
        <v>2557</v>
      </c>
      <c r="F986" s="54" t="s">
        <v>2558</v>
      </c>
      <c r="G986" s="54" t="s">
        <v>2559</v>
      </c>
      <c r="H986" s="54" t="n">
        <v>4</v>
      </c>
      <c r="I986" s="54" t="s">
        <v>295</v>
      </c>
      <c r="J986" s="54" t="s">
        <v>1950</v>
      </c>
    </row>
    <row r="987" customFormat="false" ht="15" hidden="false" customHeight="true" outlineLevel="0" collapsed="false">
      <c r="A987" s="54" t="n">
        <v>20260710</v>
      </c>
      <c r="B987" s="54" t="s">
        <v>289</v>
      </c>
      <c r="C987" s="54" t="s">
        <v>307</v>
      </c>
      <c r="D987" s="54" t="s">
        <v>2556</v>
      </c>
      <c r="E987" s="54" t="s">
        <v>2557</v>
      </c>
      <c r="F987" s="54" t="s">
        <v>2026</v>
      </c>
      <c r="G987" s="54" t="s">
        <v>2560</v>
      </c>
      <c r="H987" s="54" t="n">
        <v>15257</v>
      </c>
      <c r="I987" s="54" t="s">
        <v>295</v>
      </c>
      <c r="J987" s="54" t="s">
        <v>1950</v>
      </c>
    </row>
    <row r="988" customFormat="false" ht="15" hidden="false" customHeight="true" outlineLevel="0" collapsed="false">
      <c r="A988" s="54" t="n">
        <v>20260710</v>
      </c>
      <c r="B988" s="54" t="s">
        <v>289</v>
      </c>
      <c r="C988" s="54" t="s">
        <v>307</v>
      </c>
      <c r="D988" s="54" t="s">
        <v>2556</v>
      </c>
      <c r="E988" s="54" t="s">
        <v>2557</v>
      </c>
      <c r="F988" s="54" t="s">
        <v>2561</v>
      </c>
      <c r="G988" s="54" t="s">
        <v>2562</v>
      </c>
      <c r="H988" s="54" t="n">
        <v>1616</v>
      </c>
      <c r="I988" s="54" t="s">
        <v>295</v>
      </c>
      <c r="J988" s="54" t="s">
        <v>1950</v>
      </c>
    </row>
    <row r="989" customFormat="false" ht="15" hidden="false" customHeight="true" outlineLevel="0" collapsed="false">
      <c r="A989" s="54" t="n">
        <v>20260710</v>
      </c>
      <c r="B989" s="54" t="s">
        <v>289</v>
      </c>
      <c r="C989" s="54" t="s">
        <v>307</v>
      </c>
      <c r="D989" s="54" t="s">
        <v>2556</v>
      </c>
      <c r="E989" s="54" t="s">
        <v>2557</v>
      </c>
      <c r="F989" s="54" t="s">
        <v>2563</v>
      </c>
      <c r="G989" s="54" t="s">
        <v>1485</v>
      </c>
      <c r="H989" s="54" t="n">
        <v>10321</v>
      </c>
      <c r="I989" s="54" t="s">
        <v>295</v>
      </c>
      <c r="J989" s="54" t="s">
        <v>1950</v>
      </c>
    </row>
    <row r="990" customFormat="false" ht="15" hidden="false" customHeight="true" outlineLevel="0" collapsed="false">
      <c r="A990" s="54" t="n">
        <v>20260710</v>
      </c>
      <c r="B990" s="54" t="s">
        <v>289</v>
      </c>
      <c r="C990" s="54" t="s">
        <v>307</v>
      </c>
      <c r="D990" s="54" t="s">
        <v>2556</v>
      </c>
      <c r="E990" s="54" t="s">
        <v>2557</v>
      </c>
      <c r="F990" s="54" t="s">
        <v>2564</v>
      </c>
      <c r="G990" s="54" t="s">
        <v>964</v>
      </c>
      <c r="H990" s="54" t="n">
        <v>1058</v>
      </c>
      <c r="I990" s="54" t="s">
        <v>295</v>
      </c>
      <c r="J990" s="54" t="s">
        <v>1950</v>
      </c>
    </row>
    <row r="991" customFormat="false" ht="15" hidden="false" customHeight="true" outlineLevel="0" collapsed="false">
      <c r="A991" s="54" t="n">
        <v>20260710</v>
      </c>
      <c r="B991" s="54" t="s">
        <v>497</v>
      </c>
      <c r="C991" s="54" t="s">
        <v>307</v>
      </c>
      <c r="D991" s="54" t="s">
        <v>2565</v>
      </c>
      <c r="E991" s="54" t="s">
        <v>2566</v>
      </c>
      <c r="F991" s="54" t="s">
        <v>2567</v>
      </c>
      <c r="G991" s="54" t="s">
        <v>2568</v>
      </c>
      <c r="H991" s="54" t="n">
        <v>31937</v>
      </c>
      <c r="I991" s="54" t="s">
        <v>295</v>
      </c>
      <c r="J991" s="54" t="s">
        <v>894</v>
      </c>
    </row>
    <row r="992" customFormat="false" ht="15" hidden="false" customHeight="true" outlineLevel="0" collapsed="false">
      <c r="A992" s="54" t="n">
        <v>20260710</v>
      </c>
      <c r="B992" s="54" t="s">
        <v>168</v>
      </c>
      <c r="C992" s="54" t="s">
        <v>307</v>
      </c>
      <c r="D992" s="54" t="s">
        <v>2569</v>
      </c>
      <c r="E992" s="54" t="s">
        <v>2570</v>
      </c>
      <c r="F992" s="54" t="s">
        <v>2571</v>
      </c>
      <c r="G992" s="54" t="s">
        <v>2572</v>
      </c>
      <c r="H992" s="54" t="n">
        <v>14444</v>
      </c>
      <c r="I992" s="54" t="s">
        <v>295</v>
      </c>
      <c r="J992" s="54" t="s">
        <v>326</v>
      </c>
    </row>
    <row r="993" customFormat="false" ht="15" hidden="false" customHeight="true" outlineLevel="0" collapsed="false">
      <c r="A993" s="54" t="n">
        <v>20260710</v>
      </c>
      <c r="B993" s="54" t="s">
        <v>168</v>
      </c>
      <c r="C993" s="54" t="s">
        <v>307</v>
      </c>
      <c r="D993" s="54" t="s">
        <v>2569</v>
      </c>
      <c r="E993" s="54" t="s">
        <v>2570</v>
      </c>
      <c r="F993" s="54" t="s">
        <v>1373</v>
      </c>
      <c r="G993" s="54" t="s">
        <v>929</v>
      </c>
      <c r="H993" s="54" t="n">
        <v>14479</v>
      </c>
      <c r="I993" s="54" t="s">
        <v>295</v>
      </c>
      <c r="J993" s="54" t="s">
        <v>326</v>
      </c>
    </row>
    <row r="994" customFormat="false" ht="15" hidden="false" customHeight="true" outlineLevel="0" collapsed="false">
      <c r="A994" s="54" t="n">
        <v>20260710</v>
      </c>
      <c r="B994" s="54" t="s">
        <v>188</v>
      </c>
      <c r="C994" s="54" t="s">
        <v>307</v>
      </c>
      <c r="D994" s="54" t="s">
        <v>2573</v>
      </c>
      <c r="E994" s="54" t="s">
        <v>2393</v>
      </c>
      <c r="F994" s="54" t="s">
        <v>2574</v>
      </c>
      <c r="G994" s="54" t="s">
        <v>2575</v>
      </c>
      <c r="H994" s="54" t="n">
        <v>3343</v>
      </c>
      <c r="I994" s="54" t="s">
        <v>295</v>
      </c>
      <c r="J994" s="54" t="s">
        <v>693</v>
      </c>
    </row>
    <row r="995" customFormat="false" ht="15" hidden="false" customHeight="true" outlineLevel="0" collapsed="false">
      <c r="A995" s="54" t="n">
        <v>20260710</v>
      </c>
      <c r="B995" s="54" t="s">
        <v>289</v>
      </c>
      <c r="C995" s="54" t="s">
        <v>307</v>
      </c>
      <c r="D995" s="54" t="s">
        <v>2576</v>
      </c>
      <c r="E995" s="54" t="s">
        <v>2577</v>
      </c>
      <c r="F995" s="54" t="s">
        <v>2578</v>
      </c>
      <c r="G995" s="54" t="s">
        <v>2579</v>
      </c>
      <c r="H995" s="54" t="n">
        <v>14905</v>
      </c>
      <c r="I995" s="54" t="s">
        <v>360</v>
      </c>
      <c r="J995" s="54" t="s">
        <v>1659</v>
      </c>
    </row>
    <row r="996" customFormat="false" ht="15" hidden="false" customHeight="true" outlineLevel="0" collapsed="false">
      <c r="A996" s="54" t="n">
        <v>20260710</v>
      </c>
      <c r="B996" s="54" t="s">
        <v>289</v>
      </c>
      <c r="C996" s="54" t="s">
        <v>307</v>
      </c>
      <c r="D996" s="54" t="s">
        <v>2576</v>
      </c>
      <c r="E996" s="54" t="s">
        <v>2577</v>
      </c>
      <c r="F996" s="54" t="s">
        <v>2578</v>
      </c>
      <c r="G996" s="54" t="s">
        <v>2579</v>
      </c>
      <c r="H996" s="54" t="n">
        <v>14905</v>
      </c>
      <c r="I996" s="54" t="s">
        <v>295</v>
      </c>
      <c r="J996" s="54" t="s">
        <v>1659</v>
      </c>
    </row>
    <row r="997" customFormat="false" ht="15" hidden="false" customHeight="true" outlineLevel="0" collapsed="false">
      <c r="A997" s="54" t="n">
        <v>20260710</v>
      </c>
      <c r="B997" s="54" t="s">
        <v>289</v>
      </c>
      <c r="C997" s="54" t="s">
        <v>307</v>
      </c>
      <c r="D997" s="54" t="s">
        <v>2576</v>
      </c>
      <c r="E997" s="54" t="s">
        <v>2577</v>
      </c>
      <c r="F997" s="54" t="s">
        <v>2580</v>
      </c>
      <c r="G997" s="54" t="s">
        <v>2581</v>
      </c>
      <c r="H997" s="54" t="n">
        <v>14344</v>
      </c>
      <c r="I997" s="54" t="s">
        <v>360</v>
      </c>
      <c r="J997" s="54" t="s">
        <v>1659</v>
      </c>
    </row>
    <row r="998" customFormat="false" ht="15" hidden="false" customHeight="true" outlineLevel="0" collapsed="false">
      <c r="A998" s="54" t="n">
        <v>20260710</v>
      </c>
      <c r="B998" s="54" t="s">
        <v>289</v>
      </c>
      <c r="C998" s="54" t="s">
        <v>307</v>
      </c>
      <c r="D998" s="54" t="s">
        <v>2576</v>
      </c>
      <c r="E998" s="54" t="s">
        <v>2577</v>
      </c>
      <c r="F998" s="54" t="s">
        <v>2580</v>
      </c>
      <c r="G998" s="54" t="s">
        <v>2581</v>
      </c>
      <c r="H998" s="54" t="n">
        <v>14344</v>
      </c>
      <c r="I998" s="54" t="s">
        <v>295</v>
      </c>
      <c r="J998" s="54" t="s">
        <v>1659</v>
      </c>
    </row>
    <row r="999" customFormat="false" ht="15" hidden="false" customHeight="true" outlineLevel="0" collapsed="false">
      <c r="A999" s="54" t="n">
        <v>20260710</v>
      </c>
      <c r="B999" s="54" t="s">
        <v>289</v>
      </c>
      <c r="C999" s="54" t="s">
        <v>307</v>
      </c>
      <c r="D999" s="54" t="s">
        <v>2582</v>
      </c>
      <c r="E999" s="54" t="s">
        <v>2583</v>
      </c>
      <c r="F999" s="54" t="s">
        <v>2584</v>
      </c>
      <c r="G999" s="54" t="s">
        <v>2585</v>
      </c>
      <c r="H999" s="54" t="n">
        <v>18094</v>
      </c>
      <c r="I999" s="54" t="s">
        <v>295</v>
      </c>
      <c r="J999" s="54" t="s">
        <v>1441</v>
      </c>
    </row>
    <row r="1000" customFormat="false" ht="15" hidden="false" customHeight="true" outlineLevel="0" collapsed="false">
      <c r="A1000" s="54" t="n">
        <v>20260710</v>
      </c>
      <c r="B1000" s="54" t="s">
        <v>289</v>
      </c>
      <c r="C1000" s="54" t="s">
        <v>307</v>
      </c>
      <c r="D1000" s="54" t="s">
        <v>2582</v>
      </c>
      <c r="E1000" s="54" t="s">
        <v>2583</v>
      </c>
      <c r="F1000" s="54" t="s">
        <v>2586</v>
      </c>
      <c r="G1000" s="54" t="s">
        <v>952</v>
      </c>
      <c r="H1000" s="54" t="n">
        <v>14441</v>
      </c>
      <c r="I1000" s="54" t="s">
        <v>295</v>
      </c>
      <c r="J1000" s="54" t="s">
        <v>1441</v>
      </c>
    </row>
    <row r="1001" customFormat="false" ht="15" hidden="false" customHeight="true" outlineLevel="0" collapsed="false">
      <c r="A1001" s="54" t="n">
        <v>20260710</v>
      </c>
      <c r="B1001" s="54" t="s">
        <v>757</v>
      </c>
      <c r="C1001" s="54" t="s">
        <v>307</v>
      </c>
      <c r="D1001" s="54" t="s">
        <v>2587</v>
      </c>
      <c r="E1001" s="54" t="s">
        <v>2588</v>
      </c>
      <c r="F1001" s="54" t="s">
        <v>2589</v>
      </c>
      <c r="G1001" s="54" t="s">
        <v>1110</v>
      </c>
      <c r="H1001" s="54" t="n">
        <v>14357</v>
      </c>
      <c r="I1001" s="54" t="s">
        <v>295</v>
      </c>
      <c r="J1001" s="54" t="s">
        <v>762</v>
      </c>
    </row>
    <row r="1002" customFormat="false" ht="15" hidden="false" customHeight="true" outlineLevel="0" collapsed="false">
      <c r="A1002" s="54" t="n">
        <v>20260710</v>
      </c>
      <c r="B1002" s="54" t="s">
        <v>757</v>
      </c>
      <c r="C1002" s="54" t="s">
        <v>307</v>
      </c>
      <c r="D1002" s="54" t="s">
        <v>2587</v>
      </c>
      <c r="E1002" s="54" t="s">
        <v>2588</v>
      </c>
      <c r="F1002" s="54" t="s">
        <v>2590</v>
      </c>
      <c r="G1002" s="54" t="s">
        <v>709</v>
      </c>
      <c r="H1002" s="54" t="n">
        <v>10887</v>
      </c>
      <c r="I1002" s="54" t="s">
        <v>295</v>
      </c>
      <c r="J1002" s="54" t="s">
        <v>762</v>
      </c>
    </row>
    <row r="1003" customFormat="false" ht="15" hidden="false" customHeight="true" outlineLevel="0" collapsed="false">
      <c r="A1003" s="54" t="n">
        <v>20260710</v>
      </c>
      <c r="B1003" s="54" t="s">
        <v>306</v>
      </c>
      <c r="C1003" s="54" t="s">
        <v>307</v>
      </c>
      <c r="D1003" s="54" t="s">
        <v>2591</v>
      </c>
      <c r="E1003" s="54" t="s">
        <v>2592</v>
      </c>
      <c r="F1003" s="54" t="s">
        <v>2593</v>
      </c>
      <c r="G1003" s="54" t="s">
        <v>1290</v>
      </c>
      <c r="H1003" s="54" t="n">
        <v>158</v>
      </c>
      <c r="I1003" s="54" t="s">
        <v>295</v>
      </c>
      <c r="J1003" s="54" t="s">
        <v>312</v>
      </c>
    </row>
    <row r="1004" customFormat="false" ht="15" hidden="false" customHeight="true" outlineLevel="0" collapsed="false">
      <c r="A1004" s="54" t="n">
        <v>20260710</v>
      </c>
      <c r="B1004" s="54" t="s">
        <v>306</v>
      </c>
      <c r="C1004" s="54" t="s">
        <v>307</v>
      </c>
      <c r="D1004" s="54" t="s">
        <v>2591</v>
      </c>
      <c r="E1004" s="54" t="s">
        <v>2592</v>
      </c>
      <c r="F1004" s="54" t="s">
        <v>2525</v>
      </c>
      <c r="G1004" s="54" t="s">
        <v>2594</v>
      </c>
      <c r="H1004" s="54" t="n">
        <v>768</v>
      </c>
      <c r="I1004" s="54" t="s">
        <v>295</v>
      </c>
      <c r="J1004" s="54" t="s">
        <v>312</v>
      </c>
    </row>
    <row r="1005" customFormat="false" ht="15" hidden="false" customHeight="true" outlineLevel="0" collapsed="false">
      <c r="A1005" s="54" t="n">
        <v>20260710</v>
      </c>
      <c r="B1005" s="54" t="s">
        <v>306</v>
      </c>
      <c r="C1005" s="54" t="s">
        <v>307</v>
      </c>
      <c r="D1005" s="54" t="s">
        <v>2591</v>
      </c>
      <c r="E1005" s="54" t="s">
        <v>2592</v>
      </c>
      <c r="F1005" s="54" t="s">
        <v>2595</v>
      </c>
      <c r="G1005" s="54" t="s">
        <v>2533</v>
      </c>
      <c r="H1005" s="54" t="n">
        <v>13555</v>
      </c>
      <c r="I1005" s="54" t="s">
        <v>295</v>
      </c>
      <c r="J1005" s="54" t="s">
        <v>312</v>
      </c>
    </row>
    <row r="1006" customFormat="false" ht="15" hidden="false" customHeight="true" outlineLevel="0" collapsed="false">
      <c r="A1006" s="54" t="n">
        <v>20260710</v>
      </c>
      <c r="B1006" s="54" t="s">
        <v>306</v>
      </c>
      <c r="C1006" s="54" t="s">
        <v>307</v>
      </c>
      <c r="D1006" s="54" t="s">
        <v>2591</v>
      </c>
      <c r="E1006" s="54" t="s">
        <v>2592</v>
      </c>
      <c r="F1006" s="54" t="s">
        <v>2596</v>
      </c>
      <c r="G1006" s="54" t="s">
        <v>2597</v>
      </c>
      <c r="H1006" s="54" t="n">
        <v>18116</v>
      </c>
      <c r="I1006" s="54" t="s">
        <v>295</v>
      </c>
      <c r="J1006" s="54" t="s">
        <v>312</v>
      </c>
    </row>
    <row r="1007" customFormat="false" ht="15" hidden="false" customHeight="true" outlineLevel="0" collapsed="false">
      <c r="A1007" s="54" t="n">
        <v>20260710</v>
      </c>
      <c r="B1007" s="54" t="s">
        <v>168</v>
      </c>
      <c r="C1007" s="54" t="s">
        <v>307</v>
      </c>
      <c r="D1007" s="54" t="s">
        <v>2598</v>
      </c>
      <c r="E1007" s="54" t="s">
        <v>2599</v>
      </c>
      <c r="F1007" s="54" t="s">
        <v>2600</v>
      </c>
      <c r="G1007" s="54" t="s">
        <v>2312</v>
      </c>
      <c r="H1007" s="54" t="n">
        <v>14440</v>
      </c>
      <c r="I1007" s="54" t="s">
        <v>295</v>
      </c>
      <c r="J1007" s="54" t="s">
        <v>326</v>
      </c>
    </row>
    <row r="1008" customFormat="false" ht="15" hidden="false" customHeight="true" outlineLevel="0" collapsed="false">
      <c r="A1008" s="54" t="n">
        <v>20260710</v>
      </c>
      <c r="B1008" s="54" t="s">
        <v>168</v>
      </c>
      <c r="C1008" s="54" t="s">
        <v>307</v>
      </c>
      <c r="D1008" s="54" t="s">
        <v>2598</v>
      </c>
      <c r="E1008" s="54" t="s">
        <v>2599</v>
      </c>
      <c r="F1008" s="54" t="s">
        <v>962</v>
      </c>
      <c r="G1008" s="54" t="s">
        <v>2601</v>
      </c>
      <c r="H1008" s="54" t="n">
        <v>1</v>
      </c>
      <c r="I1008" s="54" t="s">
        <v>295</v>
      </c>
      <c r="J1008" s="54" t="s">
        <v>326</v>
      </c>
    </row>
    <row r="1009" customFormat="false" ht="15" hidden="false" customHeight="true" outlineLevel="0" collapsed="false">
      <c r="A1009" s="54" t="n">
        <v>20260710</v>
      </c>
      <c r="B1009" s="54" t="s">
        <v>168</v>
      </c>
      <c r="C1009" s="54" t="s">
        <v>307</v>
      </c>
      <c r="D1009" s="54" t="s">
        <v>2598</v>
      </c>
      <c r="E1009" s="54" t="s">
        <v>2599</v>
      </c>
      <c r="F1009" s="54" t="s">
        <v>2602</v>
      </c>
      <c r="G1009" s="54" t="s">
        <v>905</v>
      </c>
      <c r="H1009" s="54" t="n">
        <v>14334</v>
      </c>
      <c r="I1009" s="54" t="s">
        <v>295</v>
      </c>
      <c r="J1009" s="54" t="s">
        <v>326</v>
      </c>
    </row>
    <row r="1010" customFormat="false" ht="15" hidden="false" customHeight="true" outlineLevel="0" collapsed="false">
      <c r="A1010" s="54" t="n">
        <v>20260710</v>
      </c>
      <c r="B1010" s="54" t="s">
        <v>306</v>
      </c>
      <c r="C1010" s="54" t="s">
        <v>290</v>
      </c>
      <c r="D1010" s="54" t="s">
        <v>2603</v>
      </c>
      <c r="E1010" s="54" t="s">
        <v>2604</v>
      </c>
      <c r="F1010" s="54" t="s">
        <v>2605</v>
      </c>
      <c r="G1010" s="54" t="s">
        <v>2606</v>
      </c>
      <c r="H1010" s="54" t="n">
        <v>10917</v>
      </c>
      <c r="I1010" s="54" t="s">
        <v>295</v>
      </c>
      <c r="J1010" s="54" t="s">
        <v>1067</v>
      </c>
    </row>
    <row r="1011" customFormat="false" ht="15" hidden="false" customHeight="true" outlineLevel="0" collapsed="false">
      <c r="A1011" s="54" t="n">
        <v>20260710</v>
      </c>
      <c r="B1011" s="54" t="s">
        <v>306</v>
      </c>
      <c r="C1011" s="54" t="s">
        <v>290</v>
      </c>
      <c r="D1011" s="54" t="s">
        <v>2603</v>
      </c>
      <c r="E1011" s="54" t="s">
        <v>2604</v>
      </c>
      <c r="F1011" s="54" t="s">
        <v>2607</v>
      </c>
      <c r="G1011" s="54" t="s">
        <v>2608</v>
      </c>
      <c r="H1011" s="54" t="n">
        <v>2</v>
      </c>
      <c r="I1011" s="54" t="s">
        <v>1642</v>
      </c>
      <c r="J1011" s="54" t="s">
        <v>1067</v>
      </c>
    </row>
    <row r="1012" customFormat="false" ht="15" hidden="false" customHeight="true" outlineLevel="0" collapsed="false">
      <c r="A1012" s="54" t="n">
        <v>20260710</v>
      </c>
      <c r="B1012" s="54" t="s">
        <v>306</v>
      </c>
      <c r="C1012" s="54" t="s">
        <v>290</v>
      </c>
      <c r="D1012" s="54" t="s">
        <v>2603</v>
      </c>
      <c r="E1012" s="54" t="s">
        <v>2604</v>
      </c>
      <c r="F1012" s="54" t="s">
        <v>2609</v>
      </c>
      <c r="G1012" s="54" t="s">
        <v>2610</v>
      </c>
      <c r="H1012" s="54" t="n">
        <v>19629</v>
      </c>
      <c r="I1012" s="54" t="s">
        <v>295</v>
      </c>
      <c r="J1012" s="54" t="s">
        <v>1067</v>
      </c>
    </row>
    <row r="1013" customFormat="false" ht="15" hidden="false" customHeight="true" outlineLevel="0" collapsed="false">
      <c r="A1013" s="54" t="n">
        <v>20260710</v>
      </c>
      <c r="B1013" s="54" t="s">
        <v>306</v>
      </c>
      <c r="C1013" s="54" t="s">
        <v>290</v>
      </c>
      <c r="D1013" s="54" t="s">
        <v>2603</v>
      </c>
      <c r="E1013" s="54" t="s">
        <v>2604</v>
      </c>
      <c r="F1013" s="54" t="s">
        <v>2611</v>
      </c>
      <c r="G1013" s="54" t="s">
        <v>2612</v>
      </c>
      <c r="H1013" s="54" t="n">
        <v>17</v>
      </c>
      <c r="I1013" s="54" t="s">
        <v>1642</v>
      </c>
      <c r="J1013" s="54" t="s">
        <v>1067</v>
      </c>
    </row>
    <row r="1014" customFormat="false" ht="15" hidden="false" customHeight="true" outlineLevel="0" collapsed="false">
      <c r="A1014" s="54" t="n">
        <v>20260710</v>
      </c>
      <c r="B1014" s="54" t="s">
        <v>306</v>
      </c>
      <c r="C1014" s="54" t="s">
        <v>307</v>
      </c>
      <c r="D1014" s="54" t="s">
        <v>2613</v>
      </c>
      <c r="E1014" s="54" t="s">
        <v>2614</v>
      </c>
      <c r="F1014" s="54" t="s">
        <v>2615</v>
      </c>
      <c r="G1014" s="54" t="s">
        <v>2616</v>
      </c>
      <c r="H1014" s="54" t="n">
        <v>22410</v>
      </c>
      <c r="I1014" s="54" t="s">
        <v>295</v>
      </c>
      <c r="J1014" s="54" t="s">
        <v>727</v>
      </c>
    </row>
    <row r="1015" customFormat="false" ht="15" hidden="false" customHeight="true" outlineLevel="0" collapsed="false">
      <c r="A1015" s="54" t="n">
        <v>20260710</v>
      </c>
      <c r="B1015" s="54" t="s">
        <v>306</v>
      </c>
      <c r="C1015" s="54" t="s">
        <v>307</v>
      </c>
      <c r="D1015" s="54" t="s">
        <v>2613</v>
      </c>
      <c r="E1015" s="54" t="s">
        <v>2614</v>
      </c>
      <c r="F1015" s="54" t="s">
        <v>2617</v>
      </c>
      <c r="G1015" s="54" t="s">
        <v>2618</v>
      </c>
      <c r="H1015" s="54" t="n">
        <v>6169</v>
      </c>
      <c r="I1015" s="54" t="s">
        <v>295</v>
      </c>
      <c r="J1015" s="54" t="s">
        <v>727</v>
      </c>
    </row>
    <row r="1016" customFormat="false" ht="15" hidden="false" customHeight="true" outlineLevel="0" collapsed="false">
      <c r="A1016" s="54" t="n">
        <v>20260710</v>
      </c>
      <c r="B1016" s="54" t="s">
        <v>248</v>
      </c>
      <c r="C1016" s="54" t="s">
        <v>307</v>
      </c>
      <c r="D1016" s="54" t="s">
        <v>2619</v>
      </c>
      <c r="E1016" s="54" t="s">
        <v>2620</v>
      </c>
      <c r="F1016" s="54" t="s">
        <v>2621</v>
      </c>
      <c r="G1016" s="54" t="s">
        <v>2622</v>
      </c>
      <c r="H1016" s="54" t="n">
        <v>20753</v>
      </c>
      <c r="I1016" s="54" t="s">
        <v>295</v>
      </c>
      <c r="J1016" s="54" t="s">
        <v>326</v>
      </c>
    </row>
    <row r="1017" customFormat="false" ht="15" hidden="false" customHeight="true" outlineLevel="0" collapsed="false">
      <c r="A1017" s="54" t="n">
        <v>20260710</v>
      </c>
      <c r="B1017" s="54" t="s">
        <v>248</v>
      </c>
      <c r="C1017" s="54" t="s">
        <v>307</v>
      </c>
      <c r="D1017" s="54" t="s">
        <v>2619</v>
      </c>
      <c r="E1017" s="54" t="s">
        <v>2620</v>
      </c>
      <c r="F1017" s="54" t="s">
        <v>2623</v>
      </c>
      <c r="G1017" s="54" t="s">
        <v>2624</v>
      </c>
      <c r="H1017" s="54" t="n">
        <v>12485</v>
      </c>
      <c r="I1017" s="54" t="s">
        <v>295</v>
      </c>
      <c r="J1017" s="54" t="s">
        <v>326</v>
      </c>
    </row>
    <row r="1018" customFormat="false" ht="15" hidden="false" customHeight="true" outlineLevel="0" collapsed="false">
      <c r="A1018" s="54" t="n">
        <v>20260710</v>
      </c>
      <c r="B1018" s="54" t="s">
        <v>289</v>
      </c>
      <c r="C1018" s="54" t="s">
        <v>307</v>
      </c>
      <c r="D1018" s="54" t="s">
        <v>2625</v>
      </c>
      <c r="E1018" s="54" t="s">
        <v>2626</v>
      </c>
      <c r="F1018" s="54" t="s">
        <v>579</v>
      </c>
      <c r="G1018" s="54" t="s">
        <v>2627</v>
      </c>
      <c r="H1018" s="54" t="n">
        <v>3644</v>
      </c>
      <c r="I1018" s="54" t="s">
        <v>295</v>
      </c>
      <c r="J1018" s="54" t="s">
        <v>361</v>
      </c>
    </row>
    <row r="1019" customFormat="false" ht="15" hidden="false" customHeight="true" outlineLevel="0" collapsed="false">
      <c r="A1019" s="54" t="n">
        <v>20260710</v>
      </c>
      <c r="B1019" s="54" t="s">
        <v>289</v>
      </c>
      <c r="C1019" s="54" t="s">
        <v>307</v>
      </c>
      <c r="D1019" s="54" t="s">
        <v>2625</v>
      </c>
      <c r="E1019" s="54" t="s">
        <v>2626</v>
      </c>
      <c r="F1019" s="54" t="s">
        <v>2628</v>
      </c>
      <c r="G1019" s="54" t="s">
        <v>533</v>
      </c>
      <c r="H1019" s="54" t="n">
        <v>28820</v>
      </c>
      <c r="I1019" s="54" t="s">
        <v>295</v>
      </c>
      <c r="J1019" s="54" t="s">
        <v>361</v>
      </c>
    </row>
    <row r="1020" customFormat="false" ht="15" hidden="false" customHeight="true" outlineLevel="0" collapsed="false">
      <c r="A1020" s="54" t="n">
        <v>20260710</v>
      </c>
      <c r="B1020" s="54" t="s">
        <v>757</v>
      </c>
      <c r="C1020" s="54" t="s">
        <v>307</v>
      </c>
      <c r="D1020" s="54" t="s">
        <v>2629</v>
      </c>
      <c r="E1020" s="54" t="s">
        <v>2630</v>
      </c>
      <c r="F1020" s="54" t="s">
        <v>2631</v>
      </c>
      <c r="G1020" s="54" t="s">
        <v>2632</v>
      </c>
      <c r="H1020" s="54" t="n">
        <v>109</v>
      </c>
      <c r="I1020" s="54" t="s">
        <v>295</v>
      </c>
      <c r="J1020" s="54" t="s">
        <v>762</v>
      </c>
    </row>
    <row r="1021" customFormat="false" ht="15" hidden="false" customHeight="true" outlineLevel="0" collapsed="false">
      <c r="A1021" s="54" t="n">
        <v>20260710</v>
      </c>
      <c r="B1021" s="54" t="s">
        <v>757</v>
      </c>
      <c r="C1021" s="54" t="s">
        <v>307</v>
      </c>
      <c r="D1021" s="54" t="s">
        <v>2629</v>
      </c>
      <c r="E1021" s="54" t="s">
        <v>2630</v>
      </c>
      <c r="F1021" s="54" t="s">
        <v>1310</v>
      </c>
      <c r="G1021" s="54" t="s">
        <v>2633</v>
      </c>
      <c r="H1021" s="54" t="n">
        <v>15285</v>
      </c>
      <c r="I1021" s="54" t="s">
        <v>295</v>
      </c>
      <c r="J1021" s="54" t="s">
        <v>762</v>
      </c>
    </row>
    <row r="1022" customFormat="false" ht="15" hidden="false" customHeight="true" outlineLevel="0" collapsed="false">
      <c r="A1022" s="54" t="n">
        <v>20260710</v>
      </c>
      <c r="B1022" s="54" t="s">
        <v>757</v>
      </c>
      <c r="C1022" s="54" t="s">
        <v>307</v>
      </c>
      <c r="D1022" s="54" t="s">
        <v>2629</v>
      </c>
      <c r="E1022" s="54" t="s">
        <v>2630</v>
      </c>
      <c r="F1022" s="54" t="s">
        <v>2634</v>
      </c>
      <c r="G1022" s="54" t="s">
        <v>2635</v>
      </c>
      <c r="H1022" s="54" t="n">
        <v>2769</v>
      </c>
      <c r="I1022" s="54" t="s">
        <v>295</v>
      </c>
      <c r="J1022" s="54" t="s">
        <v>762</v>
      </c>
    </row>
    <row r="1023" customFormat="false" ht="15" hidden="false" customHeight="true" outlineLevel="0" collapsed="false">
      <c r="A1023" s="54" t="n">
        <v>20260710</v>
      </c>
      <c r="B1023" s="54" t="s">
        <v>757</v>
      </c>
      <c r="C1023" s="54" t="s">
        <v>307</v>
      </c>
      <c r="D1023" s="54" t="s">
        <v>2629</v>
      </c>
      <c r="E1023" s="54" t="s">
        <v>2630</v>
      </c>
      <c r="F1023" s="54" t="s">
        <v>2636</v>
      </c>
      <c r="G1023" s="54" t="s">
        <v>2219</v>
      </c>
      <c r="H1023" s="54" t="n">
        <v>10874</v>
      </c>
      <c r="I1023" s="54" t="s">
        <v>295</v>
      </c>
      <c r="J1023" s="54" t="s">
        <v>762</v>
      </c>
    </row>
    <row r="1024" customFormat="false" ht="15" hidden="false" customHeight="true" outlineLevel="0" collapsed="false">
      <c r="A1024" s="54" t="n">
        <v>20260710</v>
      </c>
      <c r="B1024" s="54" t="s">
        <v>497</v>
      </c>
      <c r="C1024" s="54" t="s">
        <v>307</v>
      </c>
      <c r="D1024" s="54" t="s">
        <v>2637</v>
      </c>
      <c r="E1024" s="54" t="s">
        <v>2638</v>
      </c>
      <c r="F1024" s="54" t="s">
        <v>2639</v>
      </c>
      <c r="G1024" s="54" t="s">
        <v>2640</v>
      </c>
      <c r="H1024" s="54" t="n">
        <v>17192</v>
      </c>
      <c r="I1024" s="54" t="s">
        <v>295</v>
      </c>
      <c r="J1024" s="54" t="s">
        <v>502</v>
      </c>
    </row>
    <row r="1025" customFormat="false" ht="15" hidden="false" customHeight="true" outlineLevel="0" collapsed="false">
      <c r="A1025" s="54" t="n">
        <v>20260710</v>
      </c>
      <c r="B1025" s="54" t="s">
        <v>497</v>
      </c>
      <c r="C1025" s="54" t="s">
        <v>307</v>
      </c>
      <c r="D1025" s="54" t="s">
        <v>2637</v>
      </c>
      <c r="E1025" s="54" t="s">
        <v>2638</v>
      </c>
      <c r="F1025" s="54" t="s">
        <v>2641</v>
      </c>
      <c r="G1025" s="54" t="s">
        <v>2642</v>
      </c>
      <c r="H1025" s="54" t="n">
        <v>12779</v>
      </c>
      <c r="I1025" s="54" t="s">
        <v>295</v>
      </c>
      <c r="J1025" s="54" t="s">
        <v>502</v>
      </c>
    </row>
    <row r="1026" customFormat="false" ht="15" hidden="false" customHeight="true" outlineLevel="0" collapsed="false">
      <c r="A1026" s="54" t="n">
        <v>20260710</v>
      </c>
      <c r="B1026" s="54" t="s">
        <v>306</v>
      </c>
      <c r="C1026" s="54" t="s">
        <v>307</v>
      </c>
      <c r="D1026" s="54" t="s">
        <v>2643</v>
      </c>
      <c r="E1026" s="54" t="s">
        <v>2644</v>
      </c>
      <c r="F1026" s="54" t="s">
        <v>2645</v>
      </c>
      <c r="G1026" s="54" t="s">
        <v>2646</v>
      </c>
      <c r="H1026" s="54" t="n">
        <v>15238</v>
      </c>
      <c r="I1026" s="54" t="s">
        <v>295</v>
      </c>
      <c r="J1026" s="54" t="s">
        <v>752</v>
      </c>
    </row>
    <row r="1027" customFormat="false" ht="15" hidden="false" customHeight="true" outlineLevel="0" collapsed="false">
      <c r="A1027" s="54" t="n">
        <v>20260710</v>
      </c>
      <c r="B1027" s="54" t="s">
        <v>306</v>
      </c>
      <c r="C1027" s="54" t="s">
        <v>307</v>
      </c>
      <c r="D1027" s="54" t="s">
        <v>2643</v>
      </c>
      <c r="E1027" s="54" t="s">
        <v>2644</v>
      </c>
      <c r="F1027" s="54" t="s">
        <v>2647</v>
      </c>
      <c r="G1027" s="54" t="s">
        <v>984</v>
      </c>
      <c r="H1027" s="54" t="n">
        <v>17465</v>
      </c>
      <c r="I1027" s="54" t="s">
        <v>295</v>
      </c>
      <c r="J1027" s="54" t="s">
        <v>752</v>
      </c>
    </row>
    <row r="1028" customFormat="false" ht="15" hidden="false" customHeight="true" outlineLevel="0" collapsed="false">
      <c r="A1028" s="54" t="n">
        <v>20260710</v>
      </c>
      <c r="B1028" s="54" t="s">
        <v>688</v>
      </c>
      <c r="C1028" s="54" t="s">
        <v>307</v>
      </c>
      <c r="D1028" s="54" t="s">
        <v>2648</v>
      </c>
      <c r="E1028" s="54" t="s">
        <v>2649</v>
      </c>
      <c r="F1028" s="54" t="s">
        <v>2650</v>
      </c>
      <c r="G1028" s="54" t="s">
        <v>2651</v>
      </c>
      <c r="H1028" s="54" t="n">
        <v>16652</v>
      </c>
      <c r="I1028" s="54" t="s">
        <v>295</v>
      </c>
      <c r="J1028" s="54" t="s">
        <v>693</v>
      </c>
    </row>
    <row r="1029" customFormat="false" ht="15" hidden="false" customHeight="true" outlineLevel="0" collapsed="false">
      <c r="A1029" s="54" t="n">
        <v>20260710</v>
      </c>
      <c r="B1029" s="54" t="s">
        <v>688</v>
      </c>
      <c r="C1029" s="54" t="s">
        <v>307</v>
      </c>
      <c r="D1029" s="54" t="s">
        <v>2648</v>
      </c>
      <c r="E1029" s="54" t="s">
        <v>2649</v>
      </c>
      <c r="F1029" s="54" t="s">
        <v>2652</v>
      </c>
      <c r="G1029" s="54" t="s">
        <v>2653</v>
      </c>
      <c r="H1029" s="54" t="n">
        <v>845</v>
      </c>
      <c r="I1029" s="54" t="s">
        <v>295</v>
      </c>
      <c r="J1029" s="54" t="s">
        <v>693</v>
      </c>
    </row>
    <row r="1030" customFormat="false" ht="15" hidden="false" customHeight="true" outlineLevel="0" collapsed="false">
      <c r="A1030" s="54" t="n">
        <v>20260710</v>
      </c>
      <c r="B1030" s="54" t="s">
        <v>688</v>
      </c>
      <c r="C1030" s="54" t="s">
        <v>307</v>
      </c>
      <c r="D1030" s="54" t="s">
        <v>2648</v>
      </c>
      <c r="E1030" s="54" t="s">
        <v>2649</v>
      </c>
      <c r="F1030" s="54" t="s">
        <v>2540</v>
      </c>
      <c r="G1030" s="54" t="s">
        <v>2654</v>
      </c>
      <c r="H1030" s="54" t="n">
        <v>14337</v>
      </c>
      <c r="I1030" s="54" t="s">
        <v>295</v>
      </c>
      <c r="J1030" s="54" t="s">
        <v>693</v>
      </c>
    </row>
    <row r="1031" customFormat="false" ht="15" hidden="false" customHeight="true" outlineLevel="0" collapsed="false">
      <c r="A1031" s="54" t="n">
        <v>20260710</v>
      </c>
      <c r="B1031" s="54" t="s">
        <v>757</v>
      </c>
      <c r="C1031" s="54" t="s">
        <v>307</v>
      </c>
      <c r="D1031" s="54" t="s">
        <v>2655</v>
      </c>
      <c r="E1031" s="54" t="s">
        <v>2656</v>
      </c>
      <c r="F1031" s="54" t="s">
        <v>2657</v>
      </c>
      <c r="G1031" s="54" t="s">
        <v>2658</v>
      </c>
      <c r="H1031" s="54" t="n">
        <v>18076</v>
      </c>
      <c r="I1031" s="54" t="s">
        <v>295</v>
      </c>
      <c r="J1031" s="54" t="s">
        <v>762</v>
      </c>
    </row>
    <row r="1032" customFormat="false" ht="15" hidden="false" customHeight="true" outlineLevel="0" collapsed="false">
      <c r="A1032" s="54" t="n">
        <v>20260710</v>
      </c>
      <c r="B1032" s="54" t="s">
        <v>757</v>
      </c>
      <c r="C1032" s="54" t="s">
        <v>307</v>
      </c>
      <c r="D1032" s="54" t="s">
        <v>2655</v>
      </c>
      <c r="E1032" s="54" t="s">
        <v>2656</v>
      </c>
      <c r="F1032" s="54" t="s">
        <v>2659</v>
      </c>
      <c r="G1032" s="54" t="s">
        <v>2660</v>
      </c>
      <c r="H1032" s="54" t="n">
        <v>10980</v>
      </c>
      <c r="I1032" s="54" t="s">
        <v>295</v>
      </c>
      <c r="J1032" s="54" t="s">
        <v>762</v>
      </c>
    </row>
    <row r="1033" customFormat="false" ht="15" hidden="false" customHeight="true" outlineLevel="0" collapsed="false">
      <c r="A1033" s="54" t="n">
        <v>20260710</v>
      </c>
      <c r="B1033" s="54" t="s">
        <v>535</v>
      </c>
      <c r="C1033" s="54" t="s">
        <v>307</v>
      </c>
      <c r="D1033" s="54" t="s">
        <v>2661</v>
      </c>
      <c r="E1033" s="54" t="s">
        <v>2662</v>
      </c>
      <c r="F1033" s="54" t="s">
        <v>2663</v>
      </c>
      <c r="G1033" s="54" t="s">
        <v>1293</v>
      </c>
      <c r="H1033" s="54" t="n">
        <v>18006</v>
      </c>
      <c r="I1033" s="54" t="s">
        <v>295</v>
      </c>
      <c r="J1033" s="54" t="s">
        <v>326</v>
      </c>
    </row>
    <row r="1034" customFormat="false" ht="15" hidden="false" customHeight="true" outlineLevel="0" collapsed="false">
      <c r="A1034" s="54" t="n">
        <v>20260710</v>
      </c>
      <c r="B1034" s="54" t="s">
        <v>535</v>
      </c>
      <c r="C1034" s="54" t="s">
        <v>307</v>
      </c>
      <c r="D1034" s="54" t="s">
        <v>2661</v>
      </c>
      <c r="E1034" s="54" t="s">
        <v>2662</v>
      </c>
      <c r="F1034" s="54" t="s">
        <v>2664</v>
      </c>
      <c r="G1034" s="54" t="s">
        <v>2402</v>
      </c>
      <c r="H1034" s="54" t="n">
        <v>14428</v>
      </c>
      <c r="I1034" s="54" t="s">
        <v>295</v>
      </c>
      <c r="J1034" s="54" t="s">
        <v>326</v>
      </c>
    </row>
    <row r="1035" customFormat="false" ht="15" hidden="false" customHeight="true" outlineLevel="0" collapsed="false">
      <c r="A1035" s="54" t="n">
        <v>20260710</v>
      </c>
      <c r="B1035" s="54" t="s">
        <v>289</v>
      </c>
      <c r="C1035" s="54" t="s">
        <v>307</v>
      </c>
      <c r="D1035" s="54" t="s">
        <v>2665</v>
      </c>
      <c r="E1035" s="54" t="s">
        <v>2666</v>
      </c>
      <c r="F1035" s="54" t="s">
        <v>2667</v>
      </c>
      <c r="G1035" s="54" t="s">
        <v>2668</v>
      </c>
      <c r="H1035" s="54" t="n">
        <v>1493</v>
      </c>
      <c r="I1035" s="54" t="s">
        <v>295</v>
      </c>
      <c r="J1035" s="54" t="s">
        <v>1441</v>
      </c>
    </row>
    <row r="1036" customFormat="false" ht="15" hidden="false" customHeight="true" outlineLevel="0" collapsed="false">
      <c r="A1036" s="54" t="n">
        <v>20260710</v>
      </c>
      <c r="B1036" s="54" t="s">
        <v>289</v>
      </c>
      <c r="C1036" s="54" t="s">
        <v>307</v>
      </c>
      <c r="D1036" s="54" t="s">
        <v>2665</v>
      </c>
      <c r="E1036" s="54" t="s">
        <v>2666</v>
      </c>
      <c r="F1036" s="54" t="s">
        <v>2669</v>
      </c>
      <c r="G1036" s="54" t="s">
        <v>2670</v>
      </c>
      <c r="H1036" s="54" t="n">
        <v>13349</v>
      </c>
      <c r="I1036" s="54" t="s">
        <v>295</v>
      </c>
      <c r="J1036" s="54" t="s">
        <v>1441</v>
      </c>
    </row>
    <row r="1037" customFormat="false" ht="15" hidden="false" customHeight="true" outlineLevel="0" collapsed="false">
      <c r="A1037" s="54" t="n">
        <v>20260710</v>
      </c>
      <c r="B1037" s="54" t="s">
        <v>289</v>
      </c>
      <c r="C1037" s="54" t="s">
        <v>307</v>
      </c>
      <c r="D1037" s="54" t="s">
        <v>2665</v>
      </c>
      <c r="E1037" s="54" t="s">
        <v>2666</v>
      </c>
      <c r="F1037" s="54" t="s">
        <v>1534</v>
      </c>
      <c r="G1037" s="54" t="s">
        <v>2671</v>
      </c>
      <c r="H1037" s="54" t="n">
        <v>4608</v>
      </c>
      <c r="I1037" s="54" t="s">
        <v>295</v>
      </c>
      <c r="J1037" s="54" t="s">
        <v>1441</v>
      </c>
    </row>
    <row r="1038" customFormat="false" ht="15" hidden="false" customHeight="true" outlineLevel="0" collapsed="false">
      <c r="A1038" s="54" t="n">
        <v>20260710</v>
      </c>
      <c r="B1038" s="54" t="s">
        <v>289</v>
      </c>
      <c r="C1038" s="54" t="s">
        <v>307</v>
      </c>
      <c r="D1038" s="54" t="s">
        <v>2665</v>
      </c>
      <c r="E1038" s="54" t="s">
        <v>2666</v>
      </c>
      <c r="F1038" s="54" t="s">
        <v>2672</v>
      </c>
      <c r="G1038" s="54" t="s">
        <v>2673</v>
      </c>
      <c r="H1038" s="54" t="n">
        <v>12600</v>
      </c>
      <c r="I1038" s="54" t="s">
        <v>295</v>
      </c>
      <c r="J1038" s="54" t="s">
        <v>1441</v>
      </c>
    </row>
    <row r="1039" customFormat="false" ht="15" hidden="false" customHeight="true" outlineLevel="0" collapsed="false">
      <c r="A1039" s="54" t="n">
        <v>20260710</v>
      </c>
      <c r="B1039" s="54" t="s">
        <v>535</v>
      </c>
      <c r="C1039" s="54" t="s">
        <v>290</v>
      </c>
      <c r="D1039" s="54" t="s">
        <v>2674</v>
      </c>
      <c r="E1039" s="54" t="s">
        <v>2675</v>
      </c>
      <c r="F1039" s="54" t="s">
        <v>2676</v>
      </c>
      <c r="G1039" s="54" t="s">
        <v>1599</v>
      </c>
      <c r="H1039" s="54" t="n">
        <v>18050</v>
      </c>
      <c r="I1039" s="54" t="s">
        <v>295</v>
      </c>
      <c r="J1039" s="54" t="s">
        <v>677</v>
      </c>
    </row>
    <row r="1040" customFormat="false" ht="15" hidden="false" customHeight="true" outlineLevel="0" collapsed="false">
      <c r="A1040" s="54" t="n">
        <v>20260710</v>
      </c>
      <c r="B1040" s="54" t="s">
        <v>535</v>
      </c>
      <c r="C1040" s="54" t="s">
        <v>290</v>
      </c>
      <c r="D1040" s="54" t="s">
        <v>2674</v>
      </c>
      <c r="E1040" s="54" t="s">
        <v>2675</v>
      </c>
      <c r="F1040" s="54" t="s">
        <v>2677</v>
      </c>
      <c r="G1040" s="54" t="s">
        <v>766</v>
      </c>
      <c r="H1040" s="54" t="n">
        <v>10837</v>
      </c>
      <c r="I1040" s="54" t="s">
        <v>295</v>
      </c>
      <c r="J1040" s="54" t="s">
        <v>677</v>
      </c>
    </row>
    <row r="1041" customFormat="false" ht="15" hidden="false" customHeight="true" outlineLevel="0" collapsed="false">
      <c r="A1041" s="54" t="n">
        <v>20260710</v>
      </c>
      <c r="B1041" s="54" t="s">
        <v>688</v>
      </c>
      <c r="C1041" s="54" t="s">
        <v>307</v>
      </c>
      <c r="D1041" s="54" t="s">
        <v>2678</v>
      </c>
      <c r="E1041" s="54" t="s">
        <v>2679</v>
      </c>
      <c r="F1041" s="54" t="s">
        <v>2680</v>
      </c>
      <c r="G1041" s="54" t="s">
        <v>2681</v>
      </c>
      <c r="H1041" s="54" t="n">
        <v>18009</v>
      </c>
      <c r="I1041" s="54" t="s">
        <v>295</v>
      </c>
      <c r="J1041" s="54" t="s">
        <v>693</v>
      </c>
    </row>
    <row r="1042" customFormat="false" ht="15" hidden="false" customHeight="true" outlineLevel="0" collapsed="false">
      <c r="A1042" s="54" t="n">
        <v>20260710</v>
      </c>
      <c r="B1042" s="54" t="s">
        <v>688</v>
      </c>
      <c r="C1042" s="54" t="s">
        <v>307</v>
      </c>
      <c r="D1042" s="54" t="s">
        <v>2678</v>
      </c>
      <c r="E1042" s="54" t="s">
        <v>2679</v>
      </c>
      <c r="F1042" s="54" t="s">
        <v>2682</v>
      </c>
      <c r="G1042" s="54" t="s">
        <v>2683</v>
      </c>
      <c r="H1042" s="54" t="n">
        <v>3731</v>
      </c>
      <c r="I1042" s="54" t="s">
        <v>295</v>
      </c>
      <c r="J1042" s="54" t="s">
        <v>693</v>
      </c>
    </row>
    <row r="1043" customFormat="false" ht="15" hidden="false" customHeight="true" outlineLevel="0" collapsed="false">
      <c r="A1043" s="54" t="n">
        <v>20260710</v>
      </c>
      <c r="B1043" s="54" t="s">
        <v>688</v>
      </c>
      <c r="C1043" s="54" t="s">
        <v>307</v>
      </c>
      <c r="D1043" s="54" t="s">
        <v>2678</v>
      </c>
      <c r="E1043" s="54" t="s">
        <v>2679</v>
      </c>
      <c r="F1043" s="54" t="s">
        <v>2684</v>
      </c>
      <c r="G1043" s="54" t="s">
        <v>2685</v>
      </c>
      <c r="H1043" s="54" t="n">
        <v>14820</v>
      </c>
      <c r="I1043" s="54" t="s">
        <v>295</v>
      </c>
      <c r="J1043" s="54" t="s">
        <v>693</v>
      </c>
    </row>
    <row r="1044" customFormat="false" ht="15" hidden="false" customHeight="true" outlineLevel="0" collapsed="false">
      <c r="A1044" s="54" t="n">
        <v>20260710</v>
      </c>
      <c r="B1044" s="54" t="s">
        <v>289</v>
      </c>
      <c r="C1044" s="54" t="s">
        <v>290</v>
      </c>
      <c r="D1044" s="54" t="s">
        <v>2686</v>
      </c>
      <c r="E1044" s="54" t="s">
        <v>2687</v>
      </c>
      <c r="F1044" s="54" t="s">
        <v>1938</v>
      </c>
      <c r="G1044" s="54" t="s">
        <v>2688</v>
      </c>
      <c r="H1044" s="54" t="n">
        <v>20666</v>
      </c>
      <c r="I1044" s="54" t="s">
        <v>295</v>
      </c>
      <c r="J1044" s="54" t="s">
        <v>1355</v>
      </c>
    </row>
    <row r="1045" customFormat="false" ht="15" hidden="false" customHeight="true" outlineLevel="0" collapsed="false">
      <c r="A1045" s="54" t="n">
        <v>20260710</v>
      </c>
      <c r="B1045" s="54" t="s">
        <v>289</v>
      </c>
      <c r="C1045" s="54" t="s">
        <v>290</v>
      </c>
      <c r="D1045" s="54" t="s">
        <v>2686</v>
      </c>
      <c r="E1045" s="54" t="s">
        <v>2687</v>
      </c>
      <c r="F1045" s="54" t="s">
        <v>2689</v>
      </c>
      <c r="G1045" s="54" t="s">
        <v>2690</v>
      </c>
      <c r="H1045" s="54" t="n">
        <v>9009</v>
      </c>
      <c r="I1045" s="54" t="s">
        <v>295</v>
      </c>
      <c r="J1045" s="54" t="s">
        <v>1355</v>
      </c>
    </row>
    <row r="1046" customFormat="false" ht="15" hidden="false" customHeight="true" outlineLevel="0" collapsed="false">
      <c r="A1046" s="54" t="n">
        <v>20260710</v>
      </c>
      <c r="B1046" s="54" t="s">
        <v>289</v>
      </c>
      <c r="C1046" s="54" t="s">
        <v>290</v>
      </c>
      <c r="D1046" s="54" t="s">
        <v>2691</v>
      </c>
      <c r="E1046" s="54" t="s">
        <v>2692</v>
      </c>
      <c r="F1046" s="54" t="s">
        <v>2693</v>
      </c>
      <c r="G1046" s="54" t="s">
        <v>2694</v>
      </c>
      <c r="H1046" s="54" t="n">
        <v>22108</v>
      </c>
      <c r="I1046" s="54" t="s">
        <v>295</v>
      </c>
      <c r="J1046" s="54" t="s">
        <v>1463</v>
      </c>
    </row>
    <row r="1047" customFormat="false" ht="15" hidden="false" customHeight="true" outlineLevel="0" collapsed="false">
      <c r="A1047" s="54" t="n">
        <v>20260710</v>
      </c>
      <c r="B1047" s="54" t="s">
        <v>289</v>
      </c>
      <c r="C1047" s="54" t="s">
        <v>290</v>
      </c>
      <c r="D1047" s="54" t="s">
        <v>2691</v>
      </c>
      <c r="E1047" s="54" t="s">
        <v>2692</v>
      </c>
      <c r="F1047" s="54" t="s">
        <v>2695</v>
      </c>
      <c r="G1047" s="54" t="s">
        <v>2696</v>
      </c>
      <c r="H1047" s="54" t="n">
        <v>7323</v>
      </c>
      <c r="I1047" s="54" t="s">
        <v>295</v>
      </c>
      <c r="J1047" s="54" t="s">
        <v>1463</v>
      </c>
    </row>
    <row r="1048" customFormat="false" ht="15" hidden="false" customHeight="true" outlineLevel="0" collapsed="false">
      <c r="A1048" s="54" t="n">
        <v>20260710</v>
      </c>
      <c r="B1048" s="54" t="s">
        <v>306</v>
      </c>
      <c r="C1048" s="54" t="s">
        <v>307</v>
      </c>
      <c r="D1048" s="54" t="s">
        <v>2697</v>
      </c>
      <c r="E1048" s="54" t="s">
        <v>2347</v>
      </c>
      <c r="F1048" s="54" t="s">
        <v>2698</v>
      </c>
      <c r="G1048" s="54" t="s">
        <v>2699</v>
      </c>
      <c r="H1048" s="54" t="n">
        <v>4</v>
      </c>
      <c r="I1048" s="54" t="s">
        <v>295</v>
      </c>
      <c r="J1048" s="54" t="s">
        <v>693</v>
      </c>
    </row>
    <row r="1049" customFormat="false" ht="15" hidden="false" customHeight="true" outlineLevel="0" collapsed="false">
      <c r="A1049" s="54" t="n">
        <v>20260710</v>
      </c>
      <c r="B1049" s="54" t="s">
        <v>289</v>
      </c>
      <c r="C1049" s="54" t="s">
        <v>290</v>
      </c>
      <c r="D1049" s="54" t="s">
        <v>2700</v>
      </c>
      <c r="E1049" s="54" t="s">
        <v>2701</v>
      </c>
      <c r="F1049" s="54" t="s">
        <v>2702</v>
      </c>
      <c r="G1049" s="54" t="s">
        <v>2703</v>
      </c>
      <c r="H1049" s="54" t="n">
        <v>14863</v>
      </c>
      <c r="I1049" s="54" t="s">
        <v>295</v>
      </c>
      <c r="J1049" s="54" t="s">
        <v>1463</v>
      </c>
    </row>
    <row r="1050" customFormat="false" ht="15" hidden="false" customHeight="true" outlineLevel="0" collapsed="false">
      <c r="A1050" s="54" t="n">
        <v>20260710</v>
      </c>
      <c r="B1050" s="54" t="s">
        <v>289</v>
      </c>
      <c r="C1050" s="54" t="s">
        <v>290</v>
      </c>
      <c r="D1050" s="54" t="s">
        <v>2700</v>
      </c>
      <c r="E1050" s="54" t="s">
        <v>2701</v>
      </c>
      <c r="F1050" s="54" t="s">
        <v>2704</v>
      </c>
      <c r="G1050" s="54" t="s">
        <v>2705</v>
      </c>
      <c r="H1050" s="54" t="n">
        <v>129</v>
      </c>
      <c r="I1050" s="54" t="s">
        <v>295</v>
      </c>
      <c r="J1050" s="54" t="s">
        <v>1463</v>
      </c>
    </row>
    <row r="1051" customFormat="false" ht="15" hidden="false" customHeight="true" outlineLevel="0" collapsed="false">
      <c r="A1051" s="54" t="n">
        <v>20260710</v>
      </c>
      <c r="B1051" s="54" t="s">
        <v>289</v>
      </c>
      <c r="C1051" s="54" t="s">
        <v>290</v>
      </c>
      <c r="D1051" s="54" t="s">
        <v>2700</v>
      </c>
      <c r="E1051" s="54" t="s">
        <v>2701</v>
      </c>
      <c r="F1051" s="54" t="s">
        <v>2706</v>
      </c>
      <c r="G1051" s="54" t="s">
        <v>2707</v>
      </c>
      <c r="H1051" s="54" t="n">
        <v>772</v>
      </c>
      <c r="I1051" s="54" t="s">
        <v>295</v>
      </c>
      <c r="J1051" s="54" t="s">
        <v>1463</v>
      </c>
    </row>
    <row r="1052" customFormat="false" ht="15" hidden="false" customHeight="true" outlineLevel="0" collapsed="false">
      <c r="A1052" s="54" t="n">
        <v>20260710</v>
      </c>
      <c r="B1052" s="54" t="s">
        <v>289</v>
      </c>
      <c r="C1052" s="54" t="s">
        <v>290</v>
      </c>
      <c r="D1052" s="54" t="s">
        <v>2700</v>
      </c>
      <c r="E1052" s="54" t="s">
        <v>2701</v>
      </c>
      <c r="F1052" s="54" t="s">
        <v>2708</v>
      </c>
      <c r="G1052" s="54" t="s">
        <v>2709</v>
      </c>
      <c r="H1052" s="54" t="n">
        <v>13349</v>
      </c>
      <c r="I1052" s="54" t="s">
        <v>295</v>
      </c>
      <c r="J1052" s="54" t="s">
        <v>1463</v>
      </c>
    </row>
    <row r="1053" customFormat="false" ht="15" hidden="false" customHeight="true" outlineLevel="0" collapsed="false">
      <c r="A1053" s="54" t="n">
        <v>20260710</v>
      </c>
      <c r="B1053" s="54" t="s">
        <v>289</v>
      </c>
      <c r="C1053" s="54" t="s">
        <v>290</v>
      </c>
      <c r="D1053" s="54" t="s">
        <v>2710</v>
      </c>
      <c r="E1053" s="54" t="s">
        <v>2711</v>
      </c>
      <c r="F1053" s="54" t="s">
        <v>2712</v>
      </c>
      <c r="G1053" s="54" t="s">
        <v>2713</v>
      </c>
      <c r="H1053" s="54" t="n">
        <v>16465</v>
      </c>
      <c r="I1053" s="54" t="s">
        <v>295</v>
      </c>
      <c r="J1053" s="54" t="s">
        <v>423</v>
      </c>
    </row>
    <row r="1054" customFormat="false" ht="15" hidden="false" customHeight="true" outlineLevel="0" collapsed="false">
      <c r="A1054" s="54" t="n">
        <v>20260710</v>
      </c>
      <c r="B1054" s="54" t="s">
        <v>289</v>
      </c>
      <c r="C1054" s="54" t="s">
        <v>290</v>
      </c>
      <c r="D1054" s="54" t="s">
        <v>2710</v>
      </c>
      <c r="E1054" s="54" t="s">
        <v>2711</v>
      </c>
      <c r="F1054" s="54" t="s">
        <v>2714</v>
      </c>
      <c r="G1054" s="54" t="s">
        <v>1667</v>
      </c>
      <c r="H1054" s="54" t="n">
        <v>12377</v>
      </c>
      <c r="I1054" s="54" t="s">
        <v>295</v>
      </c>
      <c r="J1054" s="54" t="s">
        <v>423</v>
      </c>
    </row>
    <row r="1055" customFormat="false" ht="15" hidden="false" customHeight="true" outlineLevel="0" collapsed="false">
      <c r="A1055" s="54" t="n">
        <v>20260710</v>
      </c>
      <c r="B1055" s="54" t="s">
        <v>306</v>
      </c>
      <c r="C1055" s="54" t="s">
        <v>307</v>
      </c>
      <c r="D1055" s="54" t="s">
        <v>2715</v>
      </c>
      <c r="E1055" s="54" t="s">
        <v>2716</v>
      </c>
      <c r="F1055" s="54" t="s">
        <v>2717</v>
      </c>
      <c r="G1055" s="54" t="s">
        <v>2718</v>
      </c>
      <c r="H1055" s="54" t="n">
        <v>22003</v>
      </c>
      <c r="I1055" s="54" t="s">
        <v>315</v>
      </c>
      <c r="J1055" s="54" t="s">
        <v>392</v>
      </c>
    </row>
    <row r="1056" customFormat="false" ht="15" hidden="false" customHeight="true" outlineLevel="0" collapsed="false">
      <c r="A1056" s="54" t="n">
        <v>20260710</v>
      </c>
      <c r="B1056" s="54" t="s">
        <v>306</v>
      </c>
      <c r="C1056" s="54" t="s">
        <v>307</v>
      </c>
      <c r="D1056" s="54" t="s">
        <v>2715</v>
      </c>
      <c r="E1056" s="54" t="s">
        <v>2716</v>
      </c>
      <c r="F1056" s="54" t="s">
        <v>2717</v>
      </c>
      <c r="G1056" s="54" t="s">
        <v>2718</v>
      </c>
      <c r="H1056" s="54" t="n">
        <v>22003</v>
      </c>
      <c r="I1056" s="54" t="s">
        <v>295</v>
      </c>
      <c r="J1056" s="54" t="s">
        <v>392</v>
      </c>
    </row>
    <row r="1057" customFormat="false" ht="15" hidden="false" customHeight="true" outlineLevel="0" collapsed="false">
      <c r="A1057" s="54" t="n">
        <v>20260710</v>
      </c>
      <c r="B1057" s="54" t="s">
        <v>306</v>
      </c>
      <c r="C1057" s="54" t="s">
        <v>307</v>
      </c>
      <c r="D1057" s="54" t="s">
        <v>2715</v>
      </c>
      <c r="E1057" s="54" t="s">
        <v>2716</v>
      </c>
      <c r="F1057" s="54" t="s">
        <v>2719</v>
      </c>
      <c r="G1057" s="54" t="s">
        <v>2720</v>
      </c>
      <c r="H1057" s="54" t="n">
        <v>4756</v>
      </c>
      <c r="I1057" s="54" t="s">
        <v>315</v>
      </c>
      <c r="J1057" s="54" t="s">
        <v>392</v>
      </c>
    </row>
    <row r="1058" customFormat="false" ht="15" hidden="false" customHeight="true" outlineLevel="0" collapsed="false">
      <c r="A1058" s="54" t="n">
        <v>20260710</v>
      </c>
      <c r="B1058" s="54" t="s">
        <v>306</v>
      </c>
      <c r="C1058" s="54" t="s">
        <v>307</v>
      </c>
      <c r="D1058" s="54" t="s">
        <v>2715</v>
      </c>
      <c r="E1058" s="54" t="s">
        <v>2716</v>
      </c>
      <c r="F1058" s="54" t="s">
        <v>2719</v>
      </c>
      <c r="G1058" s="54" t="s">
        <v>2721</v>
      </c>
      <c r="H1058" s="54" t="n">
        <v>4765</v>
      </c>
      <c r="I1058" s="54" t="s">
        <v>295</v>
      </c>
      <c r="J1058" s="54" t="s">
        <v>392</v>
      </c>
    </row>
    <row r="1059" customFormat="false" ht="15" hidden="false" customHeight="true" outlineLevel="0" collapsed="false">
      <c r="A1059" s="54" t="n">
        <v>20260710</v>
      </c>
      <c r="B1059" s="54" t="s">
        <v>306</v>
      </c>
      <c r="C1059" s="54" t="s">
        <v>307</v>
      </c>
      <c r="D1059" s="54" t="s">
        <v>2715</v>
      </c>
      <c r="E1059" s="54" t="s">
        <v>2716</v>
      </c>
      <c r="F1059" s="54" t="s">
        <v>2722</v>
      </c>
      <c r="G1059" s="54" t="s">
        <v>2723</v>
      </c>
      <c r="H1059" s="54" t="n">
        <v>26</v>
      </c>
      <c r="I1059" s="54" t="s">
        <v>295</v>
      </c>
      <c r="J1059" s="54" t="s">
        <v>392</v>
      </c>
    </row>
    <row r="1060" customFormat="false" ht="15" hidden="false" customHeight="true" outlineLevel="0" collapsed="false">
      <c r="A1060" s="54" t="n">
        <v>20260710</v>
      </c>
      <c r="B1060" s="54" t="s">
        <v>306</v>
      </c>
      <c r="C1060" s="54" t="s">
        <v>307</v>
      </c>
      <c r="D1060" s="54" t="s">
        <v>2715</v>
      </c>
      <c r="E1060" s="54" t="s">
        <v>2716</v>
      </c>
      <c r="F1060" s="54" t="s">
        <v>2724</v>
      </c>
      <c r="G1060" s="54" t="s">
        <v>2063</v>
      </c>
      <c r="H1060" s="54" t="n">
        <v>5704</v>
      </c>
      <c r="I1060" s="54" t="s">
        <v>295</v>
      </c>
      <c r="J1060" s="54" t="s">
        <v>392</v>
      </c>
    </row>
    <row r="1061" customFormat="false" ht="15" hidden="false" customHeight="true" outlineLevel="0" collapsed="false">
      <c r="A1061" s="54" t="n">
        <v>20260710</v>
      </c>
      <c r="B1061" s="54" t="s">
        <v>306</v>
      </c>
      <c r="C1061" s="54" t="s">
        <v>307</v>
      </c>
      <c r="D1061" s="54" t="s">
        <v>2715</v>
      </c>
      <c r="E1061" s="54" t="s">
        <v>2716</v>
      </c>
      <c r="F1061" s="54" t="s">
        <v>2725</v>
      </c>
      <c r="G1061" s="54" t="s">
        <v>2063</v>
      </c>
      <c r="H1061" s="54" t="n">
        <v>5703</v>
      </c>
      <c r="I1061" s="54" t="s">
        <v>315</v>
      </c>
      <c r="J1061" s="54" t="s">
        <v>392</v>
      </c>
    </row>
    <row r="1062" customFormat="false" ht="15" hidden="false" customHeight="true" outlineLevel="0" collapsed="false">
      <c r="A1062" s="54" t="n">
        <v>20260710</v>
      </c>
      <c r="B1062" s="54" t="s">
        <v>497</v>
      </c>
      <c r="C1062" s="54" t="s">
        <v>307</v>
      </c>
      <c r="D1062" s="54" t="s">
        <v>2726</v>
      </c>
      <c r="E1062" s="54" t="s">
        <v>2727</v>
      </c>
      <c r="F1062" s="54" t="s">
        <v>2728</v>
      </c>
      <c r="G1062" s="54" t="s">
        <v>2729</v>
      </c>
      <c r="H1062" s="54" t="n">
        <v>19539</v>
      </c>
      <c r="I1062" s="54" t="s">
        <v>295</v>
      </c>
      <c r="J1062" s="54" t="s">
        <v>502</v>
      </c>
    </row>
    <row r="1063" customFormat="false" ht="15" hidden="false" customHeight="true" outlineLevel="0" collapsed="false">
      <c r="A1063" s="54" t="n">
        <v>20260710</v>
      </c>
      <c r="B1063" s="54" t="s">
        <v>497</v>
      </c>
      <c r="C1063" s="54" t="s">
        <v>307</v>
      </c>
      <c r="D1063" s="54" t="s">
        <v>2726</v>
      </c>
      <c r="E1063" s="54" t="s">
        <v>2727</v>
      </c>
      <c r="F1063" s="54" t="s">
        <v>2728</v>
      </c>
      <c r="G1063" s="54" t="s">
        <v>2730</v>
      </c>
      <c r="H1063" s="54" t="n">
        <v>19553</v>
      </c>
      <c r="I1063" s="54" t="s">
        <v>315</v>
      </c>
      <c r="J1063" s="54" t="s">
        <v>502</v>
      </c>
    </row>
    <row r="1064" customFormat="false" ht="15" hidden="false" customHeight="true" outlineLevel="0" collapsed="false">
      <c r="A1064" s="54" t="n">
        <v>20260710</v>
      </c>
      <c r="B1064" s="54" t="s">
        <v>497</v>
      </c>
      <c r="C1064" s="54" t="s">
        <v>307</v>
      </c>
      <c r="D1064" s="54" t="s">
        <v>2726</v>
      </c>
      <c r="E1064" s="54" t="s">
        <v>2727</v>
      </c>
      <c r="F1064" s="54" t="s">
        <v>2731</v>
      </c>
      <c r="G1064" s="54" t="s">
        <v>2732</v>
      </c>
      <c r="H1064" s="54" t="n">
        <v>10464</v>
      </c>
      <c r="I1064" s="54" t="s">
        <v>315</v>
      </c>
      <c r="J1064" s="54" t="s">
        <v>502</v>
      </c>
    </row>
    <row r="1065" customFormat="false" ht="15" hidden="false" customHeight="true" outlineLevel="0" collapsed="false">
      <c r="A1065" s="54" t="n">
        <v>20260710</v>
      </c>
      <c r="B1065" s="54" t="s">
        <v>497</v>
      </c>
      <c r="C1065" s="54" t="s">
        <v>307</v>
      </c>
      <c r="D1065" s="54" t="s">
        <v>2726</v>
      </c>
      <c r="E1065" s="54" t="s">
        <v>2727</v>
      </c>
      <c r="F1065" s="54" t="s">
        <v>2733</v>
      </c>
      <c r="G1065" s="54" t="s">
        <v>2734</v>
      </c>
      <c r="H1065" s="54" t="n">
        <v>10453</v>
      </c>
      <c r="I1065" s="54" t="s">
        <v>295</v>
      </c>
      <c r="J1065" s="54" t="s">
        <v>502</v>
      </c>
    </row>
    <row r="1066" customFormat="false" ht="15" hidden="false" customHeight="true" outlineLevel="0" collapsed="false">
      <c r="A1066" s="54" t="n">
        <v>20260710</v>
      </c>
      <c r="B1066" s="54" t="s">
        <v>535</v>
      </c>
      <c r="C1066" s="54" t="s">
        <v>290</v>
      </c>
      <c r="D1066" s="54" t="s">
        <v>2735</v>
      </c>
      <c r="E1066" s="54" t="s">
        <v>2736</v>
      </c>
      <c r="F1066" s="54" t="s">
        <v>2737</v>
      </c>
      <c r="G1066" s="54" t="s">
        <v>2738</v>
      </c>
      <c r="H1066" s="54" t="n">
        <v>14533</v>
      </c>
      <c r="I1066" s="54" t="s">
        <v>295</v>
      </c>
      <c r="J1066" s="54" t="s">
        <v>779</v>
      </c>
    </row>
    <row r="1067" customFormat="false" ht="15" hidden="false" customHeight="true" outlineLevel="0" collapsed="false">
      <c r="A1067" s="54" t="n">
        <v>20260710</v>
      </c>
      <c r="B1067" s="54" t="s">
        <v>535</v>
      </c>
      <c r="C1067" s="54" t="s">
        <v>290</v>
      </c>
      <c r="D1067" s="54" t="s">
        <v>2735</v>
      </c>
      <c r="E1067" s="54" t="s">
        <v>2736</v>
      </c>
      <c r="F1067" s="54" t="s">
        <v>2739</v>
      </c>
      <c r="G1067" s="54" t="s">
        <v>2740</v>
      </c>
      <c r="H1067" s="54" t="n">
        <v>14867</v>
      </c>
      <c r="I1067" s="54" t="s">
        <v>295</v>
      </c>
      <c r="J1067" s="54" t="s">
        <v>779</v>
      </c>
    </row>
    <row r="1068" customFormat="false" ht="15" hidden="false" customHeight="true" outlineLevel="0" collapsed="false">
      <c r="A1068" s="54" t="n">
        <v>20260710</v>
      </c>
      <c r="B1068" s="54" t="s">
        <v>168</v>
      </c>
      <c r="C1068" s="54" t="s">
        <v>290</v>
      </c>
      <c r="D1068" s="54" t="s">
        <v>2741</v>
      </c>
      <c r="E1068" s="54" t="s">
        <v>2742</v>
      </c>
      <c r="F1068" s="54" t="s">
        <v>2743</v>
      </c>
      <c r="G1068" s="54" t="s">
        <v>2138</v>
      </c>
      <c r="H1068" s="54" t="n">
        <v>684</v>
      </c>
      <c r="I1068" s="54" t="s">
        <v>295</v>
      </c>
      <c r="J1068" s="54" t="s">
        <v>516</v>
      </c>
    </row>
    <row r="1069" customFormat="false" ht="15" hidden="false" customHeight="true" outlineLevel="0" collapsed="false">
      <c r="A1069" s="54" t="n">
        <v>20260710</v>
      </c>
      <c r="B1069" s="54" t="s">
        <v>168</v>
      </c>
      <c r="C1069" s="54" t="s">
        <v>290</v>
      </c>
      <c r="D1069" s="54" t="s">
        <v>2741</v>
      </c>
      <c r="E1069" s="54" t="s">
        <v>2742</v>
      </c>
      <c r="F1069" s="54" t="s">
        <v>2744</v>
      </c>
      <c r="G1069" s="54" t="s">
        <v>2745</v>
      </c>
      <c r="H1069" s="54" t="n">
        <v>173</v>
      </c>
      <c r="I1069" s="54" t="s">
        <v>295</v>
      </c>
      <c r="J1069" s="54" t="s">
        <v>516</v>
      </c>
    </row>
    <row r="1070" customFormat="false" ht="15" hidden="false" customHeight="true" outlineLevel="0" collapsed="false">
      <c r="A1070" s="54" t="n">
        <v>20260710</v>
      </c>
      <c r="B1070" s="54" t="s">
        <v>168</v>
      </c>
      <c r="C1070" s="54" t="s">
        <v>290</v>
      </c>
      <c r="D1070" s="54" t="s">
        <v>2741</v>
      </c>
      <c r="E1070" s="54" t="s">
        <v>2742</v>
      </c>
      <c r="F1070" s="54" t="s">
        <v>2746</v>
      </c>
      <c r="G1070" s="54" t="s">
        <v>2747</v>
      </c>
      <c r="H1070" s="54" t="n">
        <v>382</v>
      </c>
      <c r="I1070" s="54" t="s">
        <v>295</v>
      </c>
      <c r="J1070" s="54" t="s">
        <v>516</v>
      </c>
    </row>
    <row r="1071" customFormat="false" ht="15" hidden="false" customHeight="true" outlineLevel="0" collapsed="false">
      <c r="A1071" s="54" t="n">
        <v>20260710</v>
      </c>
      <c r="B1071" s="54" t="s">
        <v>168</v>
      </c>
      <c r="C1071" s="54" t="s">
        <v>290</v>
      </c>
      <c r="D1071" s="54" t="s">
        <v>2741</v>
      </c>
      <c r="E1071" s="54" t="s">
        <v>2742</v>
      </c>
      <c r="F1071" s="54" t="s">
        <v>2748</v>
      </c>
      <c r="G1071" s="54" t="s">
        <v>2749</v>
      </c>
      <c r="H1071" s="54" t="n">
        <v>986</v>
      </c>
      <c r="I1071" s="54" t="s">
        <v>295</v>
      </c>
      <c r="J1071" s="54" t="s">
        <v>516</v>
      </c>
    </row>
    <row r="1072" customFormat="false" ht="15" hidden="false" customHeight="true" outlineLevel="0" collapsed="false">
      <c r="A1072" s="54" t="n">
        <v>20260710</v>
      </c>
      <c r="B1072" s="54" t="s">
        <v>168</v>
      </c>
      <c r="C1072" s="54" t="s">
        <v>290</v>
      </c>
      <c r="D1072" s="54" t="s">
        <v>2741</v>
      </c>
      <c r="E1072" s="54" t="s">
        <v>2742</v>
      </c>
      <c r="F1072" s="54" t="s">
        <v>2750</v>
      </c>
      <c r="G1072" s="54" t="s">
        <v>2751</v>
      </c>
      <c r="H1072" s="54" t="n">
        <v>66</v>
      </c>
      <c r="I1072" s="54" t="s">
        <v>295</v>
      </c>
      <c r="J1072" s="54" t="s">
        <v>516</v>
      </c>
    </row>
    <row r="1073" customFormat="false" ht="15" hidden="false" customHeight="true" outlineLevel="0" collapsed="false">
      <c r="A1073" s="54" t="n">
        <v>20260710</v>
      </c>
      <c r="B1073" s="54" t="s">
        <v>168</v>
      </c>
      <c r="C1073" s="54" t="s">
        <v>290</v>
      </c>
      <c r="D1073" s="54" t="s">
        <v>2741</v>
      </c>
      <c r="E1073" s="54" t="s">
        <v>2742</v>
      </c>
      <c r="F1073" s="54" t="s">
        <v>2752</v>
      </c>
      <c r="G1073" s="54" t="s">
        <v>2753</v>
      </c>
      <c r="H1073" s="54" t="n">
        <v>1294</v>
      </c>
      <c r="I1073" s="54" t="s">
        <v>295</v>
      </c>
      <c r="J1073" s="54" t="s">
        <v>516</v>
      </c>
    </row>
    <row r="1074" customFormat="false" ht="15" hidden="false" customHeight="true" outlineLevel="0" collapsed="false">
      <c r="A1074" s="54" t="n">
        <v>20260710</v>
      </c>
      <c r="B1074" s="54" t="s">
        <v>168</v>
      </c>
      <c r="C1074" s="54" t="s">
        <v>290</v>
      </c>
      <c r="D1074" s="54" t="s">
        <v>2741</v>
      </c>
      <c r="E1074" s="54" t="s">
        <v>2742</v>
      </c>
      <c r="F1074" s="54" t="s">
        <v>2754</v>
      </c>
      <c r="G1074" s="54" t="s">
        <v>2755</v>
      </c>
      <c r="H1074" s="54" t="n">
        <v>2647</v>
      </c>
      <c r="I1074" s="54" t="s">
        <v>295</v>
      </c>
      <c r="J1074" s="54" t="s">
        <v>516</v>
      </c>
    </row>
    <row r="1075" customFormat="false" ht="15" hidden="false" customHeight="true" outlineLevel="0" collapsed="false">
      <c r="A1075" s="54" t="n">
        <v>20260710</v>
      </c>
      <c r="B1075" s="54" t="s">
        <v>168</v>
      </c>
      <c r="C1075" s="54" t="s">
        <v>290</v>
      </c>
      <c r="D1075" s="54" t="s">
        <v>2741</v>
      </c>
      <c r="E1075" s="54" t="s">
        <v>2742</v>
      </c>
      <c r="F1075" s="54" t="s">
        <v>2756</v>
      </c>
      <c r="G1075" s="54" t="s">
        <v>2757</v>
      </c>
      <c r="H1075" s="54" t="n">
        <v>94</v>
      </c>
      <c r="I1075" s="54" t="s">
        <v>295</v>
      </c>
      <c r="J1075" s="54" t="s">
        <v>516</v>
      </c>
    </row>
    <row r="1076" customFormat="false" ht="15" hidden="false" customHeight="true" outlineLevel="0" collapsed="false">
      <c r="A1076" s="54" t="n">
        <v>20260710</v>
      </c>
      <c r="B1076" s="54" t="s">
        <v>168</v>
      </c>
      <c r="C1076" s="54" t="s">
        <v>290</v>
      </c>
      <c r="D1076" s="54" t="s">
        <v>2741</v>
      </c>
      <c r="E1076" s="54" t="s">
        <v>2742</v>
      </c>
      <c r="F1076" s="54" t="s">
        <v>2758</v>
      </c>
      <c r="G1076" s="54" t="s">
        <v>2759</v>
      </c>
      <c r="H1076" s="54" t="n">
        <v>883</v>
      </c>
      <c r="I1076" s="54" t="s">
        <v>295</v>
      </c>
      <c r="J1076" s="54" t="s">
        <v>516</v>
      </c>
    </row>
    <row r="1077" customFormat="false" ht="15" hidden="false" customHeight="true" outlineLevel="0" collapsed="false">
      <c r="A1077" s="54" t="n">
        <v>20260710</v>
      </c>
      <c r="B1077" s="54" t="s">
        <v>168</v>
      </c>
      <c r="C1077" s="54" t="s">
        <v>290</v>
      </c>
      <c r="D1077" s="54" t="s">
        <v>2741</v>
      </c>
      <c r="E1077" s="54" t="s">
        <v>2742</v>
      </c>
      <c r="F1077" s="54" t="s">
        <v>2760</v>
      </c>
      <c r="G1077" s="54" t="s">
        <v>2761</v>
      </c>
      <c r="H1077" s="54" t="n">
        <v>2678</v>
      </c>
      <c r="I1077" s="54" t="s">
        <v>295</v>
      </c>
      <c r="J1077" s="54" t="s">
        <v>516</v>
      </c>
    </row>
    <row r="1078" customFormat="false" ht="15" hidden="false" customHeight="true" outlineLevel="0" collapsed="false">
      <c r="A1078" s="54" t="n">
        <v>20260710</v>
      </c>
      <c r="B1078" s="54" t="s">
        <v>168</v>
      </c>
      <c r="C1078" s="54" t="s">
        <v>290</v>
      </c>
      <c r="D1078" s="54" t="s">
        <v>2741</v>
      </c>
      <c r="E1078" s="54" t="s">
        <v>2742</v>
      </c>
      <c r="F1078" s="54" t="s">
        <v>2762</v>
      </c>
      <c r="G1078" s="54" t="s">
        <v>2763</v>
      </c>
      <c r="H1078" s="54" t="n">
        <v>323</v>
      </c>
      <c r="I1078" s="54" t="s">
        <v>295</v>
      </c>
      <c r="J1078" s="54" t="s">
        <v>516</v>
      </c>
    </row>
    <row r="1079" customFormat="false" ht="15" hidden="false" customHeight="true" outlineLevel="0" collapsed="false">
      <c r="A1079" s="54" t="n">
        <v>20260710</v>
      </c>
      <c r="B1079" s="54" t="s">
        <v>168</v>
      </c>
      <c r="C1079" s="54" t="s">
        <v>290</v>
      </c>
      <c r="D1079" s="54" t="s">
        <v>2741</v>
      </c>
      <c r="E1079" s="54" t="s">
        <v>2742</v>
      </c>
      <c r="F1079" s="54" t="s">
        <v>2764</v>
      </c>
      <c r="G1079" s="54" t="s">
        <v>2765</v>
      </c>
      <c r="H1079" s="54" t="n">
        <v>22316</v>
      </c>
      <c r="I1079" s="54" t="s">
        <v>295</v>
      </c>
      <c r="J1079" s="54" t="s">
        <v>516</v>
      </c>
    </row>
    <row r="1080" customFormat="false" ht="15" hidden="false" customHeight="true" outlineLevel="0" collapsed="false">
      <c r="A1080" s="54" t="n">
        <v>20260710</v>
      </c>
      <c r="B1080" s="54" t="s">
        <v>535</v>
      </c>
      <c r="C1080" s="54" t="s">
        <v>290</v>
      </c>
      <c r="D1080" s="54" t="s">
        <v>2766</v>
      </c>
      <c r="E1080" s="54" t="s">
        <v>2767</v>
      </c>
      <c r="F1080" s="54" t="s">
        <v>2368</v>
      </c>
      <c r="G1080" s="54" t="s">
        <v>1514</v>
      </c>
      <c r="H1080" s="54" t="n">
        <v>14526</v>
      </c>
      <c r="I1080" s="54" t="s">
        <v>295</v>
      </c>
      <c r="J1080" s="54" t="s">
        <v>779</v>
      </c>
    </row>
    <row r="1081" customFormat="false" ht="15" hidden="false" customHeight="true" outlineLevel="0" collapsed="false">
      <c r="A1081" s="54" t="n">
        <v>20260710</v>
      </c>
      <c r="B1081" s="54" t="s">
        <v>535</v>
      </c>
      <c r="C1081" s="54" t="s">
        <v>290</v>
      </c>
      <c r="D1081" s="54" t="s">
        <v>2766</v>
      </c>
      <c r="E1081" s="54" t="s">
        <v>2767</v>
      </c>
      <c r="F1081" s="54" t="s">
        <v>2768</v>
      </c>
      <c r="G1081" s="54" t="s">
        <v>2769</v>
      </c>
      <c r="H1081" s="54" t="n">
        <v>1263</v>
      </c>
      <c r="I1081" s="54" t="s">
        <v>295</v>
      </c>
      <c r="J1081" s="54" t="s">
        <v>779</v>
      </c>
    </row>
    <row r="1082" customFormat="false" ht="15" hidden="false" customHeight="true" outlineLevel="0" collapsed="false">
      <c r="A1082" s="54" t="n">
        <v>20260710</v>
      </c>
      <c r="B1082" s="54" t="s">
        <v>535</v>
      </c>
      <c r="C1082" s="54" t="s">
        <v>290</v>
      </c>
      <c r="D1082" s="54" t="s">
        <v>2766</v>
      </c>
      <c r="E1082" s="54" t="s">
        <v>2767</v>
      </c>
      <c r="F1082" s="54" t="s">
        <v>2770</v>
      </c>
      <c r="G1082" s="54" t="s">
        <v>2771</v>
      </c>
      <c r="H1082" s="54" t="n">
        <v>2420</v>
      </c>
      <c r="I1082" s="54" t="s">
        <v>295</v>
      </c>
      <c r="J1082" s="54" t="s">
        <v>779</v>
      </c>
    </row>
    <row r="1083" customFormat="false" ht="15" hidden="false" customHeight="true" outlineLevel="0" collapsed="false">
      <c r="A1083" s="54" t="n">
        <v>20260710</v>
      </c>
      <c r="B1083" s="54" t="s">
        <v>535</v>
      </c>
      <c r="C1083" s="54" t="s">
        <v>290</v>
      </c>
      <c r="D1083" s="54" t="s">
        <v>2766</v>
      </c>
      <c r="E1083" s="54" t="s">
        <v>2767</v>
      </c>
      <c r="F1083" s="54" t="s">
        <v>2772</v>
      </c>
      <c r="G1083" s="54" t="s">
        <v>2773</v>
      </c>
      <c r="H1083" s="54" t="n">
        <v>605</v>
      </c>
      <c r="I1083" s="54" t="s">
        <v>295</v>
      </c>
      <c r="J1083" s="54" t="s">
        <v>779</v>
      </c>
    </row>
    <row r="1084" customFormat="false" ht="15" hidden="false" customHeight="true" outlineLevel="0" collapsed="false">
      <c r="A1084" s="54" t="n">
        <v>20260710</v>
      </c>
      <c r="B1084" s="54" t="s">
        <v>535</v>
      </c>
      <c r="C1084" s="54" t="s">
        <v>290</v>
      </c>
      <c r="D1084" s="54" t="s">
        <v>2766</v>
      </c>
      <c r="E1084" s="54" t="s">
        <v>2767</v>
      </c>
      <c r="F1084" s="54" t="s">
        <v>2774</v>
      </c>
      <c r="G1084" s="54" t="s">
        <v>1718</v>
      </c>
      <c r="H1084" s="54" t="n">
        <v>520</v>
      </c>
      <c r="I1084" s="54" t="s">
        <v>295</v>
      </c>
      <c r="J1084" s="54" t="s">
        <v>779</v>
      </c>
    </row>
    <row r="1085" customFormat="false" ht="15" hidden="false" customHeight="true" outlineLevel="0" collapsed="false">
      <c r="A1085" s="54" t="n">
        <v>20260710</v>
      </c>
      <c r="B1085" s="54" t="s">
        <v>535</v>
      </c>
      <c r="C1085" s="54" t="s">
        <v>290</v>
      </c>
      <c r="D1085" s="54" t="s">
        <v>2766</v>
      </c>
      <c r="E1085" s="54" t="s">
        <v>2767</v>
      </c>
      <c r="F1085" s="54" t="s">
        <v>2775</v>
      </c>
      <c r="G1085" s="54" t="s">
        <v>2776</v>
      </c>
      <c r="H1085" s="54" t="n">
        <v>3545</v>
      </c>
      <c r="I1085" s="54" t="s">
        <v>295</v>
      </c>
      <c r="J1085" s="54" t="s">
        <v>779</v>
      </c>
    </row>
    <row r="1086" customFormat="false" ht="15" hidden="false" customHeight="true" outlineLevel="0" collapsed="false">
      <c r="A1086" s="54" t="n">
        <v>20260710</v>
      </c>
      <c r="B1086" s="54" t="s">
        <v>535</v>
      </c>
      <c r="C1086" s="54" t="s">
        <v>290</v>
      </c>
      <c r="D1086" s="54" t="s">
        <v>2766</v>
      </c>
      <c r="E1086" s="54" t="s">
        <v>2767</v>
      </c>
      <c r="F1086" s="54" t="s">
        <v>2777</v>
      </c>
      <c r="G1086" s="54" t="s">
        <v>2778</v>
      </c>
      <c r="H1086" s="54" t="n">
        <v>319</v>
      </c>
      <c r="I1086" s="54" t="s">
        <v>295</v>
      </c>
      <c r="J1086" s="54" t="s">
        <v>779</v>
      </c>
    </row>
    <row r="1087" customFormat="false" ht="15" hidden="false" customHeight="true" outlineLevel="0" collapsed="false">
      <c r="A1087" s="54" t="n">
        <v>20260710</v>
      </c>
      <c r="B1087" s="54" t="s">
        <v>535</v>
      </c>
      <c r="C1087" s="54" t="s">
        <v>290</v>
      </c>
      <c r="D1087" s="54" t="s">
        <v>2766</v>
      </c>
      <c r="E1087" s="54" t="s">
        <v>2767</v>
      </c>
      <c r="F1087" s="54" t="s">
        <v>2779</v>
      </c>
      <c r="G1087" s="54" t="s">
        <v>2780</v>
      </c>
      <c r="H1087" s="54" t="n">
        <v>4514</v>
      </c>
      <c r="I1087" s="54" t="s">
        <v>295</v>
      </c>
      <c r="J1087" s="54" t="s">
        <v>779</v>
      </c>
    </row>
    <row r="1088" customFormat="false" ht="15" hidden="false" customHeight="true" outlineLevel="0" collapsed="false">
      <c r="A1088" s="54" t="n">
        <v>20260710</v>
      </c>
      <c r="B1088" s="54" t="s">
        <v>289</v>
      </c>
      <c r="C1088" s="54" t="s">
        <v>290</v>
      </c>
      <c r="D1088" s="54" t="s">
        <v>2781</v>
      </c>
      <c r="E1088" s="54" t="s">
        <v>2782</v>
      </c>
      <c r="F1088" s="54" t="s">
        <v>2783</v>
      </c>
      <c r="G1088" s="54" t="s">
        <v>2738</v>
      </c>
      <c r="H1088" s="54" t="n">
        <v>18130</v>
      </c>
      <c r="I1088" s="54" t="s">
        <v>295</v>
      </c>
      <c r="J1088" s="54" t="s">
        <v>1355</v>
      </c>
    </row>
    <row r="1089" customFormat="false" ht="15" hidden="false" customHeight="true" outlineLevel="0" collapsed="false">
      <c r="A1089" s="54" t="n">
        <v>20260710</v>
      </c>
      <c r="B1089" s="54" t="s">
        <v>289</v>
      </c>
      <c r="C1089" s="54" t="s">
        <v>290</v>
      </c>
      <c r="D1089" s="54" t="s">
        <v>2781</v>
      </c>
      <c r="E1089" s="54" t="s">
        <v>2782</v>
      </c>
      <c r="F1089" s="54" t="s">
        <v>2784</v>
      </c>
      <c r="G1089" s="54" t="s">
        <v>2785</v>
      </c>
      <c r="H1089" s="54" t="n">
        <v>11010</v>
      </c>
      <c r="I1089" s="54" t="s">
        <v>295</v>
      </c>
      <c r="J1089" s="54" t="s">
        <v>1355</v>
      </c>
    </row>
    <row r="1090" customFormat="false" ht="15" hidden="false" customHeight="true" outlineLevel="0" collapsed="false">
      <c r="A1090" s="54" t="n">
        <v>20260710</v>
      </c>
      <c r="B1090" s="54" t="s">
        <v>535</v>
      </c>
      <c r="C1090" s="54" t="s">
        <v>290</v>
      </c>
      <c r="D1090" s="54" t="s">
        <v>2786</v>
      </c>
      <c r="E1090" s="54" t="s">
        <v>2787</v>
      </c>
      <c r="F1090" s="54" t="s">
        <v>2788</v>
      </c>
      <c r="G1090" s="54" t="s">
        <v>2559</v>
      </c>
      <c r="H1090" s="54" t="n">
        <v>2</v>
      </c>
      <c r="I1090" s="54" t="s">
        <v>295</v>
      </c>
      <c r="J1090" s="54" t="s">
        <v>677</v>
      </c>
    </row>
    <row r="1091" customFormat="false" ht="15" hidden="false" customHeight="true" outlineLevel="0" collapsed="false">
      <c r="A1091" s="54" t="n">
        <v>20260710</v>
      </c>
      <c r="B1091" s="54" t="s">
        <v>535</v>
      </c>
      <c r="C1091" s="54" t="s">
        <v>290</v>
      </c>
      <c r="D1091" s="54" t="s">
        <v>2786</v>
      </c>
      <c r="E1091" s="54" t="s">
        <v>2787</v>
      </c>
      <c r="F1091" s="54" t="s">
        <v>1445</v>
      </c>
      <c r="G1091" s="54" t="s">
        <v>1685</v>
      </c>
      <c r="H1091" s="54" t="n">
        <v>14415</v>
      </c>
      <c r="I1091" s="54" t="s">
        <v>295</v>
      </c>
      <c r="J1091" s="54" t="s">
        <v>677</v>
      </c>
    </row>
    <row r="1092" customFormat="false" ht="15" hidden="false" customHeight="true" outlineLevel="0" collapsed="false">
      <c r="A1092" s="54" t="n">
        <v>20260710</v>
      </c>
      <c r="B1092" s="54" t="s">
        <v>535</v>
      </c>
      <c r="C1092" s="54" t="s">
        <v>290</v>
      </c>
      <c r="D1092" s="54" t="s">
        <v>2786</v>
      </c>
      <c r="E1092" s="54" t="s">
        <v>2787</v>
      </c>
      <c r="F1092" s="54" t="s">
        <v>2789</v>
      </c>
      <c r="G1092" s="54" t="s">
        <v>2790</v>
      </c>
      <c r="H1092" s="54" t="n">
        <v>2</v>
      </c>
      <c r="I1092" s="54" t="s">
        <v>295</v>
      </c>
      <c r="J1092" s="54" t="s">
        <v>677</v>
      </c>
    </row>
    <row r="1093" customFormat="false" ht="15" hidden="false" customHeight="true" outlineLevel="0" collapsed="false">
      <c r="A1093" s="54" t="n">
        <v>20260710</v>
      </c>
      <c r="B1093" s="54" t="s">
        <v>535</v>
      </c>
      <c r="C1093" s="54" t="s">
        <v>290</v>
      </c>
      <c r="D1093" s="54" t="s">
        <v>2786</v>
      </c>
      <c r="E1093" s="54" t="s">
        <v>2787</v>
      </c>
      <c r="F1093" s="54" t="s">
        <v>1599</v>
      </c>
      <c r="G1093" s="54" t="s">
        <v>789</v>
      </c>
      <c r="H1093" s="54" t="n">
        <v>14404</v>
      </c>
      <c r="I1093" s="54" t="s">
        <v>295</v>
      </c>
      <c r="J1093" s="54" t="s">
        <v>677</v>
      </c>
    </row>
    <row r="1094" customFormat="false" ht="15" hidden="false" customHeight="true" outlineLevel="0" collapsed="false">
      <c r="A1094" s="54" t="n">
        <v>20260710</v>
      </c>
      <c r="B1094" s="54" t="s">
        <v>289</v>
      </c>
      <c r="C1094" s="54" t="s">
        <v>290</v>
      </c>
      <c r="D1094" s="54" t="s">
        <v>2791</v>
      </c>
      <c r="E1094" s="54" t="s">
        <v>2792</v>
      </c>
      <c r="F1094" s="54" t="s">
        <v>2793</v>
      </c>
      <c r="G1094" s="54" t="s">
        <v>1939</v>
      </c>
      <c r="H1094" s="54" t="n">
        <v>14437</v>
      </c>
      <c r="I1094" s="54" t="s">
        <v>295</v>
      </c>
      <c r="J1094" s="54" t="s">
        <v>569</v>
      </c>
    </row>
    <row r="1095" customFormat="false" ht="15" hidden="false" customHeight="true" outlineLevel="0" collapsed="false">
      <c r="A1095" s="54" t="n">
        <v>20260710</v>
      </c>
      <c r="B1095" s="54" t="s">
        <v>289</v>
      </c>
      <c r="C1095" s="54" t="s">
        <v>290</v>
      </c>
      <c r="D1095" s="54" t="s">
        <v>2791</v>
      </c>
      <c r="E1095" s="54" t="s">
        <v>2792</v>
      </c>
      <c r="F1095" s="54" t="s">
        <v>2794</v>
      </c>
      <c r="G1095" s="54" t="s">
        <v>2795</v>
      </c>
      <c r="H1095" s="54" t="n">
        <v>14115</v>
      </c>
      <c r="I1095" s="54" t="s">
        <v>295</v>
      </c>
      <c r="J1095" s="54" t="s">
        <v>569</v>
      </c>
    </row>
    <row r="1096" customFormat="false" ht="15" hidden="false" customHeight="true" outlineLevel="0" collapsed="false">
      <c r="A1096" s="54" t="n">
        <v>20260710</v>
      </c>
      <c r="B1096" s="54" t="s">
        <v>306</v>
      </c>
      <c r="C1096" s="54" t="s">
        <v>290</v>
      </c>
      <c r="D1096" s="54" t="s">
        <v>2796</v>
      </c>
      <c r="E1096" s="54" t="s">
        <v>2797</v>
      </c>
      <c r="F1096" s="54" t="s">
        <v>2798</v>
      </c>
      <c r="G1096" s="54" t="s">
        <v>2799</v>
      </c>
      <c r="H1096" s="54" t="n">
        <v>15275</v>
      </c>
      <c r="I1096" s="54" t="s">
        <v>295</v>
      </c>
      <c r="J1096" s="54" t="s">
        <v>375</v>
      </c>
    </row>
    <row r="1097" customFormat="false" ht="15" hidden="false" customHeight="true" outlineLevel="0" collapsed="false">
      <c r="A1097" s="54" t="n">
        <v>20260710</v>
      </c>
      <c r="B1097" s="54" t="s">
        <v>306</v>
      </c>
      <c r="C1097" s="54" t="s">
        <v>290</v>
      </c>
      <c r="D1097" s="54" t="s">
        <v>2796</v>
      </c>
      <c r="E1097" s="54" t="s">
        <v>2797</v>
      </c>
      <c r="F1097" s="54" t="s">
        <v>2800</v>
      </c>
      <c r="G1097" s="54" t="s">
        <v>2308</v>
      </c>
      <c r="H1097" s="54" t="n">
        <v>6842</v>
      </c>
      <c r="I1097" s="54" t="s">
        <v>295</v>
      </c>
      <c r="J1097" s="54" t="s">
        <v>375</v>
      </c>
    </row>
    <row r="1098" customFormat="false" ht="15" hidden="false" customHeight="true" outlineLevel="0" collapsed="false">
      <c r="A1098" s="54" t="n">
        <v>20260710</v>
      </c>
      <c r="B1098" s="54" t="s">
        <v>306</v>
      </c>
      <c r="C1098" s="54" t="s">
        <v>290</v>
      </c>
      <c r="D1098" s="54" t="s">
        <v>2801</v>
      </c>
      <c r="E1098" s="54" t="s">
        <v>2802</v>
      </c>
      <c r="F1098" s="54" t="s">
        <v>2803</v>
      </c>
      <c r="G1098" s="54" t="s">
        <v>2804</v>
      </c>
      <c r="H1098" s="54" t="n">
        <v>21657</v>
      </c>
      <c r="I1098" s="54" t="s">
        <v>295</v>
      </c>
      <c r="J1098" s="54" t="s">
        <v>368</v>
      </c>
    </row>
    <row r="1099" customFormat="false" ht="15" hidden="false" customHeight="true" outlineLevel="0" collapsed="false">
      <c r="A1099" s="54" t="n">
        <v>20260710</v>
      </c>
      <c r="B1099" s="54" t="s">
        <v>306</v>
      </c>
      <c r="C1099" s="54" t="s">
        <v>290</v>
      </c>
      <c r="D1099" s="54" t="s">
        <v>2801</v>
      </c>
      <c r="E1099" s="54" t="s">
        <v>2802</v>
      </c>
      <c r="F1099" s="54" t="s">
        <v>2805</v>
      </c>
      <c r="G1099" s="54" t="s">
        <v>2806</v>
      </c>
      <c r="H1099" s="54" t="n">
        <v>21658</v>
      </c>
      <c r="I1099" s="54" t="s">
        <v>315</v>
      </c>
      <c r="J1099" s="54" t="s">
        <v>368</v>
      </c>
    </row>
    <row r="1100" customFormat="false" ht="15" hidden="false" customHeight="true" outlineLevel="0" collapsed="false">
      <c r="A1100" s="54" t="n">
        <v>20260710</v>
      </c>
      <c r="B1100" s="54" t="s">
        <v>306</v>
      </c>
      <c r="C1100" s="54" t="s">
        <v>290</v>
      </c>
      <c r="D1100" s="54" t="s">
        <v>2807</v>
      </c>
      <c r="E1100" s="54" t="s">
        <v>2808</v>
      </c>
      <c r="F1100" s="54" t="s">
        <v>2809</v>
      </c>
      <c r="G1100" s="54" t="s">
        <v>2810</v>
      </c>
      <c r="H1100" s="54" t="n">
        <v>15486</v>
      </c>
      <c r="I1100" s="54" t="s">
        <v>295</v>
      </c>
      <c r="J1100" s="54" t="s">
        <v>989</v>
      </c>
    </row>
    <row r="1101" customFormat="false" ht="15" hidden="false" customHeight="true" outlineLevel="0" collapsed="false">
      <c r="A1101" s="54" t="n">
        <v>20260710</v>
      </c>
      <c r="B1101" s="54" t="s">
        <v>306</v>
      </c>
      <c r="C1101" s="54" t="s">
        <v>290</v>
      </c>
      <c r="D1101" s="54" t="s">
        <v>2807</v>
      </c>
      <c r="E1101" s="54" t="s">
        <v>2808</v>
      </c>
      <c r="F1101" s="54" t="s">
        <v>2811</v>
      </c>
      <c r="G1101" s="54" t="s">
        <v>893</v>
      </c>
      <c r="H1101" s="54" t="n">
        <v>6</v>
      </c>
      <c r="I1101" s="54" t="s">
        <v>295</v>
      </c>
      <c r="J1101" s="54" t="s">
        <v>989</v>
      </c>
    </row>
    <row r="1102" customFormat="false" ht="15" hidden="false" customHeight="true" outlineLevel="0" collapsed="false">
      <c r="A1102" s="54" t="n">
        <v>20260710</v>
      </c>
      <c r="B1102" s="54" t="s">
        <v>306</v>
      </c>
      <c r="C1102" s="54" t="s">
        <v>290</v>
      </c>
      <c r="D1102" s="54" t="s">
        <v>2807</v>
      </c>
      <c r="E1102" s="54" t="s">
        <v>2808</v>
      </c>
      <c r="F1102" s="54" t="s">
        <v>2812</v>
      </c>
      <c r="G1102" s="54" t="s">
        <v>2813</v>
      </c>
      <c r="H1102" s="54" t="n">
        <v>17067</v>
      </c>
      <c r="I1102" s="54" t="s">
        <v>295</v>
      </c>
      <c r="J1102" s="54" t="s">
        <v>989</v>
      </c>
    </row>
    <row r="1103" customFormat="false" ht="15" hidden="false" customHeight="true" outlineLevel="0" collapsed="false">
      <c r="A1103" s="54" t="n">
        <v>20260710</v>
      </c>
      <c r="B1103" s="54" t="s">
        <v>306</v>
      </c>
      <c r="C1103" s="54" t="s">
        <v>290</v>
      </c>
      <c r="D1103" s="54" t="s">
        <v>2814</v>
      </c>
      <c r="E1103" s="54" t="s">
        <v>2815</v>
      </c>
      <c r="F1103" s="54" t="s">
        <v>1726</v>
      </c>
      <c r="G1103" s="54" t="s">
        <v>1708</v>
      </c>
      <c r="H1103" s="54" t="n">
        <v>14416</v>
      </c>
      <c r="I1103" s="54" t="s">
        <v>295</v>
      </c>
      <c r="J1103" s="54" t="s">
        <v>811</v>
      </c>
    </row>
    <row r="1104" customFormat="false" ht="15" hidden="false" customHeight="true" outlineLevel="0" collapsed="false">
      <c r="A1104" s="54" t="n">
        <v>20260710</v>
      </c>
      <c r="B1104" s="54" t="s">
        <v>306</v>
      </c>
      <c r="C1104" s="54" t="s">
        <v>290</v>
      </c>
      <c r="D1104" s="54" t="s">
        <v>2814</v>
      </c>
      <c r="E1104" s="54" t="s">
        <v>2815</v>
      </c>
      <c r="F1104" s="54" t="s">
        <v>2816</v>
      </c>
      <c r="G1104" s="54" t="s">
        <v>2817</v>
      </c>
      <c r="H1104" s="54" t="n">
        <v>12259</v>
      </c>
      <c r="I1104" s="54" t="s">
        <v>295</v>
      </c>
      <c r="J1104" s="54" t="s">
        <v>811</v>
      </c>
    </row>
    <row r="1105" customFormat="false" ht="15" hidden="false" customHeight="true" outlineLevel="0" collapsed="false">
      <c r="A1105" s="54" t="n">
        <v>20260710</v>
      </c>
      <c r="B1105" s="54" t="s">
        <v>306</v>
      </c>
      <c r="C1105" s="54" t="s">
        <v>290</v>
      </c>
      <c r="D1105" s="54" t="s">
        <v>2814</v>
      </c>
      <c r="E1105" s="54" t="s">
        <v>2815</v>
      </c>
      <c r="F1105" s="54" t="s">
        <v>2818</v>
      </c>
      <c r="G1105" s="54" t="s">
        <v>2819</v>
      </c>
      <c r="H1105" s="54" t="n">
        <v>1437</v>
      </c>
      <c r="I1105" s="54" t="s">
        <v>295</v>
      </c>
      <c r="J1105" s="54" t="s">
        <v>811</v>
      </c>
    </row>
    <row r="1106" customFormat="false" ht="15" hidden="false" customHeight="true" outlineLevel="0" collapsed="false">
      <c r="A1106" s="54" t="n">
        <v>20260710</v>
      </c>
      <c r="B1106" s="54" t="s">
        <v>306</v>
      </c>
      <c r="C1106" s="54" t="s">
        <v>290</v>
      </c>
      <c r="D1106" s="54" t="s">
        <v>2814</v>
      </c>
      <c r="E1106" s="54" t="s">
        <v>2815</v>
      </c>
      <c r="F1106" s="54" t="s">
        <v>2820</v>
      </c>
      <c r="G1106" s="54" t="s">
        <v>2821</v>
      </c>
      <c r="H1106" s="54" t="n">
        <v>2584</v>
      </c>
      <c r="I1106" s="54" t="s">
        <v>295</v>
      </c>
      <c r="J1106" s="54" t="s">
        <v>811</v>
      </c>
    </row>
    <row r="1107" customFormat="false" ht="15" hidden="false" customHeight="true" outlineLevel="0" collapsed="false">
      <c r="A1107" s="54" t="n">
        <v>20260710</v>
      </c>
      <c r="B1107" s="54" t="s">
        <v>306</v>
      </c>
      <c r="C1107" s="54" t="s">
        <v>290</v>
      </c>
      <c r="D1107" s="54" t="s">
        <v>2814</v>
      </c>
      <c r="E1107" s="54" t="s">
        <v>2815</v>
      </c>
      <c r="F1107" s="54" t="s">
        <v>2822</v>
      </c>
      <c r="G1107" s="54" t="s">
        <v>2823</v>
      </c>
      <c r="H1107" s="54" t="n">
        <v>483</v>
      </c>
      <c r="I1107" s="54" t="s">
        <v>295</v>
      </c>
      <c r="J1107" s="54" t="s">
        <v>811</v>
      </c>
    </row>
    <row r="1108" customFormat="false" ht="15" hidden="false" customHeight="true" outlineLevel="0" collapsed="false">
      <c r="A1108" s="54" t="n">
        <v>20260710</v>
      </c>
      <c r="B1108" s="54" t="s">
        <v>306</v>
      </c>
      <c r="C1108" s="54" t="s">
        <v>307</v>
      </c>
      <c r="D1108" s="54" t="s">
        <v>2824</v>
      </c>
      <c r="E1108" s="54" t="s">
        <v>2825</v>
      </c>
      <c r="F1108" s="54" t="s">
        <v>2826</v>
      </c>
      <c r="G1108" s="54" t="s">
        <v>2827</v>
      </c>
      <c r="H1108" s="54" t="n">
        <v>23814</v>
      </c>
      <c r="I1108" s="54" t="s">
        <v>295</v>
      </c>
      <c r="J1108" s="54" t="s">
        <v>727</v>
      </c>
    </row>
    <row r="1109" customFormat="false" ht="15" hidden="false" customHeight="true" outlineLevel="0" collapsed="false">
      <c r="A1109" s="54" t="n">
        <v>20260710</v>
      </c>
      <c r="B1109" s="54" t="s">
        <v>306</v>
      </c>
      <c r="C1109" s="54" t="s">
        <v>307</v>
      </c>
      <c r="D1109" s="54" t="s">
        <v>2824</v>
      </c>
      <c r="E1109" s="54" t="s">
        <v>2825</v>
      </c>
      <c r="F1109" s="54" t="s">
        <v>2828</v>
      </c>
      <c r="G1109" s="54" t="s">
        <v>2829</v>
      </c>
      <c r="H1109" s="54" t="n">
        <v>5179</v>
      </c>
      <c r="I1109" s="54" t="s">
        <v>295</v>
      </c>
      <c r="J1109" s="54" t="s">
        <v>727</v>
      </c>
    </row>
    <row r="1110" customFormat="false" ht="15" hidden="false" customHeight="true" outlineLevel="0" collapsed="false">
      <c r="A1110" s="54" t="n">
        <v>20260710</v>
      </c>
      <c r="B1110" s="54" t="s">
        <v>306</v>
      </c>
      <c r="C1110" s="54" t="s">
        <v>290</v>
      </c>
      <c r="D1110" s="54" t="s">
        <v>2830</v>
      </c>
      <c r="E1110" s="54" t="s">
        <v>2831</v>
      </c>
      <c r="F1110" s="54" t="s">
        <v>2832</v>
      </c>
      <c r="G1110" s="54" t="s">
        <v>2743</v>
      </c>
      <c r="H1110" s="54" t="n">
        <v>2550</v>
      </c>
      <c r="I1110" s="54" t="s">
        <v>295</v>
      </c>
      <c r="J1110" s="54" t="s">
        <v>1027</v>
      </c>
    </row>
    <row r="1111" customFormat="false" ht="15" hidden="false" customHeight="true" outlineLevel="0" collapsed="false">
      <c r="A1111" s="54" t="n">
        <v>20260710</v>
      </c>
      <c r="B1111" s="54" t="s">
        <v>306</v>
      </c>
      <c r="C1111" s="54" t="s">
        <v>290</v>
      </c>
      <c r="D1111" s="54" t="s">
        <v>2830</v>
      </c>
      <c r="E1111" s="54" t="s">
        <v>2831</v>
      </c>
      <c r="F1111" s="54" t="s">
        <v>2833</v>
      </c>
      <c r="G1111" s="54" t="s">
        <v>2834</v>
      </c>
      <c r="H1111" s="54" t="n">
        <v>13514</v>
      </c>
      <c r="I1111" s="54" t="s">
        <v>295</v>
      </c>
      <c r="J1111" s="54" t="s">
        <v>1027</v>
      </c>
    </row>
    <row r="1112" customFormat="false" ht="15" hidden="false" customHeight="true" outlineLevel="0" collapsed="false">
      <c r="A1112" s="54" t="n">
        <v>20260710</v>
      </c>
      <c r="B1112" s="54" t="s">
        <v>306</v>
      </c>
      <c r="C1112" s="54" t="s">
        <v>290</v>
      </c>
      <c r="D1112" s="54" t="s">
        <v>2830</v>
      </c>
      <c r="E1112" s="54" t="s">
        <v>2831</v>
      </c>
      <c r="F1112" s="54" t="s">
        <v>2835</v>
      </c>
      <c r="G1112" s="54" t="s">
        <v>2836</v>
      </c>
      <c r="H1112" s="54" t="n">
        <v>1535</v>
      </c>
      <c r="I1112" s="54" t="s">
        <v>295</v>
      </c>
      <c r="J1112" s="54" t="s">
        <v>1027</v>
      </c>
    </row>
    <row r="1113" customFormat="false" ht="15" hidden="false" customHeight="true" outlineLevel="0" collapsed="false">
      <c r="A1113" s="54" t="n">
        <v>20260710</v>
      </c>
      <c r="B1113" s="54" t="s">
        <v>306</v>
      </c>
      <c r="C1113" s="54" t="s">
        <v>290</v>
      </c>
      <c r="D1113" s="54" t="s">
        <v>2830</v>
      </c>
      <c r="E1113" s="54" t="s">
        <v>2831</v>
      </c>
      <c r="F1113" s="54" t="s">
        <v>669</v>
      </c>
      <c r="G1113" s="54" t="s">
        <v>2837</v>
      </c>
      <c r="H1113" s="54" t="n">
        <v>11152</v>
      </c>
      <c r="I1113" s="54" t="s">
        <v>295</v>
      </c>
      <c r="J1113" s="54" t="s">
        <v>1027</v>
      </c>
    </row>
    <row r="1114" customFormat="false" ht="15" hidden="false" customHeight="true" outlineLevel="0" collapsed="false">
      <c r="A1114" s="54" t="n">
        <v>20260710</v>
      </c>
      <c r="B1114" s="54" t="s">
        <v>306</v>
      </c>
      <c r="C1114" s="54" t="s">
        <v>290</v>
      </c>
      <c r="D1114" s="54" t="s">
        <v>2838</v>
      </c>
      <c r="E1114" s="54" t="s">
        <v>2839</v>
      </c>
      <c r="F1114" s="54" t="s">
        <v>2840</v>
      </c>
      <c r="G1114" s="54" t="s">
        <v>889</v>
      </c>
      <c r="H1114" s="54" t="n">
        <v>14633</v>
      </c>
      <c r="I1114" s="54" t="s">
        <v>315</v>
      </c>
      <c r="J1114" s="54" t="s">
        <v>368</v>
      </c>
    </row>
    <row r="1115" customFormat="false" ht="15" hidden="false" customHeight="true" outlineLevel="0" collapsed="false">
      <c r="A1115" s="54" t="n">
        <v>20260710</v>
      </c>
      <c r="B1115" s="54" t="s">
        <v>306</v>
      </c>
      <c r="C1115" s="54" t="s">
        <v>290</v>
      </c>
      <c r="D1115" s="54" t="s">
        <v>2838</v>
      </c>
      <c r="E1115" s="54" t="s">
        <v>2839</v>
      </c>
      <c r="F1115" s="54" t="s">
        <v>2840</v>
      </c>
      <c r="G1115" s="54" t="s">
        <v>889</v>
      </c>
      <c r="H1115" s="54" t="n">
        <v>14633</v>
      </c>
      <c r="I1115" s="54" t="s">
        <v>295</v>
      </c>
      <c r="J1115" s="54" t="s">
        <v>368</v>
      </c>
    </row>
    <row r="1116" customFormat="false" ht="15" hidden="false" customHeight="true" outlineLevel="0" collapsed="false">
      <c r="A1116" s="54" t="n">
        <v>20260710</v>
      </c>
      <c r="B1116" s="54" t="s">
        <v>306</v>
      </c>
      <c r="C1116" s="54" t="s">
        <v>290</v>
      </c>
      <c r="D1116" s="54" t="s">
        <v>2838</v>
      </c>
      <c r="E1116" s="54" t="s">
        <v>2839</v>
      </c>
      <c r="F1116" s="54" t="s">
        <v>2841</v>
      </c>
      <c r="G1116" s="54" t="s">
        <v>2842</v>
      </c>
      <c r="H1116" s="54" t="n">
        <v>14374</v>
      </c>
      <c r="I1116" s="54" t="s">
        <v>315</v>
      </c>
      <c r="J1116" s="54" t="s">
        <v>368</v>
      </c>
    </row>
    <row r="1117" customFormat="false" ht="15" hidden="false" customHeight="true" outlineLevel="0" collapsed="false">
      <c r="A1117" s="54" t="n">
        <v>20260710</v>
      </c>
      <c r="B1117" s="54" t="s">
        <v>306</v>
      </c>
      <c r="C1117" s="54" t="s">
        <v>290</v>
      </c>
      <c r="D1117" s="54" t="s">
        <v>2838</v>
      </c>
      <c r="E1117" s="54" t="s">
        <v>2839</v>
      </c>
      <c r="F1117" s="54" t="s">
        <v>2841</v>
      </c>
      <c r="G1117" s="54" t="s">
        <v>2842</v>
      </c>
      <c r="H1117" s="54" t="n">
        <v>14374</v>
      </c>
      <c r="I1117" s="54" t="s">
        <v>295</v>
      </c>
      <c r="J1117" s="54" t="s">
        <v>368</v>
      </c>
    </row>
    <row r="1118" customFormat="false" ht="15" hidden="false" customHeight="true" outlineLevel="0" collapsed="false">
      <c r="A1118" s="54" t="n">
        <v>20260710</v>
      </c>
      <c r="B1118" s="54" t="s">
        <v>289</v>
      </c>
      <c r="C1118" s="54" t="s">
        <v>290</v>
      </c>
      <c r="D1118" s="54" t="s">
        <v>2843</v>
      </c>
      <c r="E1118" s="54" t="s">
        <v>2844</v>
      </c>
      <c r="F1118" s="54" t="s">
        <v>2845</v>
      </c>
      <c r="G1118" s="54" t="s">
        <v>1500</v>
      </c>
      <c r="H1118" s="54" t="n">
        <v>11027</v>
      </c>
      <c r="I1118" s="54" t="s">
        <v>295</v>
      </c>
      <c r="J1118" s="54" t="s">
        <v>1463</v>
      </c>
    </row>
    <row r="1119" customFormat="false" ht="15" hidden="false" customHeight="true" outlineLevel="0" collapsed="false">
      <c r="A1119" s="54" t="n">
        <v>20260710</v>
      </c>
      <c r="B1119" s="54" t="s">
        <v>289</v>
      </c>
      <c r="C1119" s="54" t="s">
        <v>290</v>
      </c>
      <c r="D1119" s="54" t="s">
        <v>2843</v>
      </c>
      <c r="E1119" s="54" t="s">
        <v>2844</v>
      </c>
      <c r="F1119" s="54" t="s">
        <v>1423</v>
      </c>
      <c r="G1119" s="54" t="s">
        <v>1704</v>
      </c>
      <c r="H1119" s="54" t="n">
        <v>17988</v>
      </c>
      <c r="I1119" s="54" t="s">
        <v>295</v>
      </c>
      <c r="J1119" s="54" t="s">
        <v>1463</v>
      </c>
    </row>
    <row r="1120" customFormat="false" ht="15" hidden="false" customHeight="true" outlineLevel="0" collapsed="false">
      <c r="A1120" s="54" t="n">
        <v>20260710</v>
      </c>
      <c r="B1120" s="54" t="s">
        <v>306</v>
      </c>
      <c r="C1120" s="54" t="s">
        <v>290</v>
      </c>
      <c r="D1120" s="54" t="s">
        <v>2846</v>
      </c>
      <c r="E1120" s="54" t="s">
        <v>2847</v>
      </c>
      <c r="F1120" s="54" t="s">
        <v>2848</v>
      </c>
      <c r="G1120" s="54" t="s">
        <v>2849</v>
      </c>
      <c r="H1120" s="54" t="n">
        <v>28800</v>
      </c>
      <c r="I1120" s="54" t="s">
        <v>295</v>
      </c>
      <c r="J1120" s="54" t="s">
        <v>989</v>
      </c>
    </row>
    <row r="1121" customFormat="false" ht="15" hidden="false" customHeight="true" outlineLevel="0" collapsed="false">
      <c r="A1121" s="54" t="n">
        <v>20260710</v>
      </c>
      <c r="B1121" s="54" t="s">
        <v>497</v>
      </c>
      <c r="C1121" s="54" t="s">
        <v>290</v>
      </c>
      <c r="D1121" s="54" t="s">
        <v>2850</v>
      </c>
      <c r="E1121" s="54" t="s">
        <v>2851</v>
      </c>
      <c r="F1121" s="54" t="s">
        <v>2852</v>
      </c>
      <c r="G1121" s="54" t="s">
        <v>2853</v>
      </c>
      <c r="H1121" s="54" t="n">
        <v>16075</v>
      </c>
      <c r="I1121" s="54" t="s">
        <v>295</v>
      </c>
      <c r="J1121" s="54" t="s">
        <v>1095</v>
      </c>
    </row>
    <row r="1122" customFormat="false" ht="15" hidden="false" customHeight="true" outlineLevel="0" collapsed="false">
      <c r="A1122" s="54" t="n">
        <v>20260710</v>
      </c>
      <c r="B1122" s="54" t="s">
        <v>497</v>
      </c>
      <c r="C1122" s="54" t="s">
        <v>290</v>
      </c>
      <c r="D1122" s="54" t="s">
        <v>2850</v>
      </c>
      <c r="E1122" s="54" t="s">
        <v>2851</v>
      </c>
      <c r="F1122" s="54" t="s">
        <v>2854</v>
      </c>
      <c r="G1122" s="54" t="s">
        <v>2855</v>
      </c>
      <c r="H1122" s="54" t="n">
        <v>12452</v>
      </c>
      <c r="I1122" s="54" t="s">
        <v>295</v>
      </c>
      <c r="J1122" s="54" t="s">
        <v>1095</v>
      </c>
    </row>
    <row r="1123" customFormat="false" ht="15" hidden="false" customHeight="true" outlineLevel="0" collapsed="false">
      <c r="A1123" s="54" t="n">
        <v>20260710</v>
      </c>
      <c r="B1123" s="54" t="s">
        <v>306</v>
      </c>
      <c r="C1123" s="54" t="s">
        <v>290</v>
      </c>
      <c r="D1123" s="54" t="s">
        <v>2856</v>
      </c>
      <c r="E1123" s="54" t="s">
        <v>2857</v>
      </c>
      <c r="F1123" s="54" t="s">
        <v>2858</v>
      </c>
      <c r="G1123" s="54" t="s">
        <v>1652</v>
      </c>
      <c r="H1123" s="54" t="n">
        <v>18373</v>
      </c>
      <c r="I1123" s="54" t="s">
        <v>295</v>
      </c>
      <c r="J1123" s="54" t="s">
        <v>368</v>
      </c>
    </row>
    <row r="1124" customFormat="false" ht="15" hidden="false" customHeight="true" outlineLevel="0" collapsed="false">
      <c r="A1124" s="54" t="n">
        <v>20260710</v>
      </c>
      <c r="B1124" s="54" t="s">
        <v>306</v>
      </c>
      <c r="C1124" s="54" t="s">
        <v>290</v>
      </c>
      <c r="D1124" s="54" t="s">
        <v>2856</v>
      </c>
      <c r="E1124" s="54" t="s">
        <v>2857</v>
      </c>
      <c r="F1124" s="54" t="s">
        <v>2859</v>
      </c>
      <c r="G1124" s="54" t="s">
        <v>1652</v>
      </c>
      <c r="H1124" s="54" t="n">
        <v>18372</v>
      </c>
      <c r="I1124" s="54" t="s">
        <v>315</v>
      </c>
      <c r="J1124" s="54" t="s">
        <v>368</v>
      </c>
    </row>
    <row r="1125" customFormat="false" ht="15" hidden="false" customHeight="true" outlineLevel="0" collapsed="false">
      <c r="A1125" s="54" t="n">
        <v>20260710</v>
      </c>
      <c r="B1125" s="54" t="s">
        <v>306</v>
      </c>
      <c r="C1125" s="54" t="s">
        <v>290</v>
      </c>
      <c r="D1125" s="54" t="s">
        <v>2856</v>
      </c>
      <c r="E1125" s="54" t="s">
        <v>2857</v>
      </c>
      <c r="F1125" s="54" t="s">
        <v>2860</v>
      </c>
      <c r="G1125" s="54" t="s">
        <v>2861</v>
      </c>
      <c r="H1125" s="54" t="n">
        <v>10592</v>
      </c>
      <c r="I1125" s="54" t="s">
        <v>315</v>
      </c>
      <c r="J1125" s="54" t="s">
        <v>368</v>
      </c>
    </row>
    <row r="1126" customFormat="false" ht="15" hidden="false" customHeight="true" outlineLevel="0" collapsed="false">
      <c r="A1126" s="54" t="n">
        <v>20260710</v>
      </c>
      <c r="B1126" s="54" t="s">
        <v>306</v>
      </c>
      <c r="C1126" s="54" t="s">
        <v>290</v>
      </c>
      <c r="D1126" s="54" t="s">
        <v>2856</v>
      </c>
      <c r="E1126" s="54" t="s">
        <v>2857</v>
      </c>
      <c r="F1126" s="54" t="s">
        <v>2860</v>
      </c>
      <c r="G1126" s="54" t="s">
        <v>2861</v>
      </c>
      <c r="H1126" s="54" t="n">
        <v>10592</v>
      </c>
      <c r="I1126" s="54" t="s">
        <v>295</v>
      </c>
      <c r="J1126" s="54" t="s">
        <v>368</v>
      </c>
    </row>
    <row r="1127" customFormat="false" ht="15" hidden="false" customHeight="true" outlineLevel="0" collapsed="false">
      <c r="A1127" s="54" t="n">
        <v>20260710</v>
      </c>
      <c r="B1127" s="54" t="s">
        <v>289</v>
      </c>
      <c r="C1127" s="54" t="s">
        <v>290</v>
      </c>
      <c r="D1127" s="54" t="s">
        <v>2862</v>
      </c>
      <c r="E1127" s="54" t="s">
        <v>2863</v>
      </c>
      <c r="F1127" s="54" t="s">
        <v>1290</v>
      </c>
      <c r="G1127" s="54" t="s">
        <v>2864</v>
      </c>
      <c r="H1127" s="54" t="n">
        <v>14416</v>
      </c>
      <c r="I1127" s="54" t="s">
        <v>295</v>
      </c>
      <c r="J1127" s="54" t="s">
        <v>569</v>
      </c>
    </row>
    <row r="1128" customFormat="false" ht="15" hidden="false" customHeight="true" outlineLevel="0" collapsed="false">
      <c r="A1128" s="54" t="n">
        <v>20260710</v>
      </c>
      <c r="B1128" s="54" t="s">
        <v>289</v>
      </c>
      <c r="C1128" s="54" t="s">
        <v>290</v>
      </c>
      <c r="D1128" s="54" t="s">
        <v>2862</v>
      </c>
      <c r="E1128" s="54" t="s">
        <v>2863</v>
      </c>
      <c r="F1128" s="54" t="s">
        <v>1221</v>
      </c>
      <c r="G1128" s="54" t="s">
        <v>2865</v>
      </c>
      <c r="H1128" s="54" t="n">
        <v>14472</v>
      </c>
      <c r="I1128" s="54" t="s">
        <v>295</v>
      </c>
      <c r="J1128" s="54" t="s">
        <v>569</v>
      </c>
    </row>
    <row r="1129" customFormat="false" ht="15" hidden="false" customHeight="true" outlineLevel="0" collapsed="false">
      <c r="A1129" s="54" t="n">
        <v>20260710</v>
      </c>
      <c r="B1129" s="54" t="s">
        <v>289</v>
      </c>
      <c r="C1129" s="54" t="s">
        <v>290</v>
      </c>
      <c r="D1129" s="54" t="s">
        <v>2866</v>
      </c>
      <c r="E1129" s="54" t="s">
        <v>2867</v>
      </c>
      <c r="F1129" s="54" t="s">
        <v>2868</v>
      </c>
      <c r="G1129" s="54" t="s">
        <v>2869</v>
      </c>
      <c r="H1129" s="54" t="n">
        <v>16004</v>
      </c>
      <c r="I1129" s="54" t="s">
        <v>360</v>
      </c>
      <c r="J1129" s="54" t="s">
        <v>578</v>
      </c>
    </row>
    <row r="1130" customFormat="false" ht="15" hidden="false" customHeight="true" outlineLevel="0" collapsed="false">
      <c r="A1130" s="54" t="n">
        <v>20260710</v>
      </c>
      <c r="B1130" s="54" t="s">
        <v>289</v>
      </c>
      <c r="C1130" s="54" t="s">
        <v>290</v>
      </c>
      <c r="D1130" s="54" t="s">
        <v>2866</v>
      </c>
      <c r="E1130" s="54" t="s">
        <v>2867</v>
      </c>
      <c r="F1130" s="54" t="s">
        <v>2868</v>
      </c>
      <c r="G1130" s="54" t="s">
        <v>2869</v>
      </c>
      <c r="H1130" s="54" t="n">
        <v>16004</v>
      </c>
      <c r="I1130" s="54" t="s">
        <v>295</v>
      </c>
      <c r="J1130" s="54" t="s">
        <v>578</v>
      </c>
    </row>
    <row r="1131" customFormat="false" ht="15" hidden="false" customHeight="true" outlineLevel="0" collapsed="false">
      <c r="A1131" s="54" t="n">
        <v>20260710</v>
      </c>
      <c r="B1131" s="54" t="s">
        <v>289</v>
      </c>
      <c r="C1131" s="54" t="s">
        <v>290</v>
      </c>
      <c r="D1131" s="54" t="s">
        <v>2866</v>
      </c>
      <c r="E1131" s="54" t="s">
        <v>2867</v>
      </c>
      <c r="F1131" s="54" t="s">
        <v>2870</v>
      </c>
      <c r="G1131" s="54" t="s">
        <v>2871</v>
      </c>
      <c r="H1131" s="54" t="n">
        <v>13437</v>
      </c>
      <c r="I1131" s="54" t="s">
        <v>295</v>
      </c>
      <c r="J1131" s="54" t="s">
        <v>578</v>
      </c>
    </row>
    <row r="1132" customFormat="false" ht="15" hidden="false" customHeight="true" outlineLevel="0" collapsed="false">
      <c r="A1132" s="54" t="n">
        <v>20260710</v>
      </c>
      <c r="B1132" s="54" t="s">
        <v>289</v>
      </c>
      <c r="C1132" s="54" t="s">
        <v>290</v>
      </c>
      <c r="D1132" s="54" t="s">
        <v>2866</v>
      </c>
      <c r="E1132" s="54" t="s">
        <v>2867</v>
      </c>
      <c r="F1132" s="54" t="s">
        <v>2872</v>
      </c>
      <c r="G1132" s="54" t="s">
        <v>2871</v>
      </c>
      <c r="H1132" s="54" t="n">
        <v>13436</v>
      </c>
      <c r="I1132" s="54" t="s">
        <v>360</v>
      </c>
      <c r="J1132" s="54" t="s">
        <v>578</v>
      </c>
    </row>
    <row r="1133" customFormat="false" ht="15" hidden="false" customHeight="true" outlineLevel="0" collapsed="false">
      <c r="A1133" s="54" t="n">
        <v>20260710</v>
      </c>
      <c r="B1133" s="54" t="s">
        <v>497</v>
      </c>
      <c r="C1133" s="54" t="s">
        <v>307</v>
      </c>
      <c r="D1133" s="54" t="s">
        <v>2873</v>
      </c>
      <c r="E1133" s="54" t="s">
        <v>2874</v>
      </c>
      <c r="F1133" s="54" t="s">
        <v>2875</v>
      </c>
      <c r="G1133" s="54" t="s">
        <v>2876</v>
      </c>
      <c r="H1133" s="54" t="n">
        <v>19019</v>
      </c>
      <c r="I1133" s="54" t="s">
        <v>295</v>
      </c>
      <c r="J1133" s="54" t="s">
        <v>894</v>
      </c>
    </row>
    <row r="1134" customFormat="false" ht="15" hidden="false" customHeight="true" outlineLevel="0" collapsed="false">
      <c r="A1134" s="54" t="n">
        <v>20260710</v>
      </c>
      <c r="B1134" s="54" t="s">
        <v>497</v>
      </c>
      <c r="C1134" s="54" t="s">
        <v>307</v>
      </c>
      <c r="D1134" s="54" t="s">
        <v>2873</v>
      </c>
      <c r="E1134" s="54" t="s">
        <v>2874</v>
      </c>
      <c r="F1134" s="54" t="s">
        <v>2877</v>
      </c>
      <c r="G1134" s="54" t="s">
        <v>1734</v>
      </c>
      <c r="H1134" s="54" t="n">
        <v>10594</v>
      </c>
      <c r="I1134" s="54" t="s">
        <v>295</v>
      </c>
      <c r="J1134" s="54" t="s">
        <v>894</v>
      </c>
    </row>
    <row r="1135" customFormat="false" ht="15" hidden="false" customHeight="true" outlineLevel="0" collapsed="false">
      <c r="A1135" s="54" t="n">
        <v>20260710</v>
      </c>
      <c r="B1135" s="54" t="s">
        <v>289</v>
      </c>
      <c r="C1135" s="54" t="s">
        <v>290</v>
      </c>
      <c r="D1135" s="54" t="s">
        <v>2878</v>
      </c>
      <c r="E1135" s="54" t="s">
        <v>2879</v>
      </c>
      <c r="F1135" s="54" t="s">
        <v>1379</v>
      </c>
      <c r="G1135" s="54" t="s">
        <v>2880</v>
      </c>
      <c r="H1135" s="54" t="n">
        <v>18776</v>
      </c>
      <c r="I1135" s="54" t="s">
        <v>295</v>
      </c>
      <c r="J1135" s="54" t="s">
        <v>578</v>
      </c>
    </row>
    <row r="1136" customFormat="false" ht="15" hidden="false" customHeight="true" outlineLevel="0" collapsed="false">
      <c r="A1136" s="54" t="n">
        <v>20260710</v>
      </c>
      <c r="B1136" s="54" t="s">
        <v>289</v>
      </c>
      <c r="C1136" s="54" t="s">
        <v>290</v>
      </c>
      <c r="D1136" s="54" t="s">
        <v>2878</v>
      </c>
      <c r="E1136" s="54" t="s">
        <v>2879</v>
      </c>
      <c r="F1136" s="54" t="s">
        <v>2881</v>
      </c>
      <c r="G1136" s="54" t="s">
        <v>1408</v>
      </c>
      <c r="H1136" s="54" t="n">
        <v>9223</v>
      </c>
      <c r="I1136" s="54" t="s">
        <v>295</v>
      </c>
      <c r="J1136" s="54" t="s">
        <v>578</v>
      </c>
    </row>
    <row r="1137" customFormat="false" ht="15" hidden="false" customHeight="true" outlineLevel="0" collapsed="false">
      <c r="A1137" s="54" t="n">
        <v>20260710</v>
      </c>
      <c r="B1137" s="54" t="s">
        <v>168</v>
      </c>
      <c r="C1137" s="54" t="s">
        <v>290</v>
      </c>
      <c r="D1137" s="54" t="s">
        <v>2882</v>
      </c>
      <c r="E1137" s="54" t="s">
        <v>2883</v>
      </c>
      <c r="F1137" s="54" t="s">
        <v>1310</v>
      </c>
      <c r="G1137" s="54" t="s">
        <v>2884</v>
      </c>
      <c r="H1137" s="54" t="n">
        <v>5</v>
      </c>
      <c r="I1137" s="54" t="s">
        <v>295</v>
      </c>
      <c r="J1137" s="54" t="s">
        <v>818</v>
      </c>
    </row>
    <row r="1138" customFormat="false" ht="15" hidden="false" customHeight="true" outlineLevel="0" collapsed="false">
      <c r="A1138" s="54" t="n">
        <v>20260710</v>
      </c>
      <c r="B1138" s="54" t="s">
        <v>168</v>
      </c>
      <c r="C1138" s="54" t="s">
        <v>290</v>
      </c>
      <c r="D1138" s="54" t="s">
        <v>2882</v>
      </c>
      <c r="E1138" s="54" t="s">
        <v>2883</v>
      </c>
      <c r="F1138" s="54" t="s">
        <v>2885</v>
      </c>
      <c r="G1138" s="54" t="s">
        <v>2885</v>
      </c>
      <c r="H1138" s="54" t="n">
        <v>0</v>
      </c>
      <c r="I1138" s="54" t="s">
        <v>295</v>
      </c>
      <c r="J1138" s="54" t="s">
        <v>818</v>
      </c>
    </row>
    <row r="1139" customFormat="false" ht="15" hidden="false" customHeight="true" outlineLevel="0" collapsed="false">
      <c r="A1139" s="54" t="n">
        <v>20260710</v>
      </c>
      <c r="B1139" s="54" t="s">
        <v>168</v>
      </c>
      <c r="C1139" s="54" t="s">
        <v>290</v>
      </c>
      <c r="D1139" s="54" t="s">
        <v>2882</v>
      </c>
      <c r="E1139" s="54" t="s">
        <v>2883</v>
      </c>
      <c r="F1139" s="54" t="s">
        <v>2712</v>
      </c>
      <c r="G1139" s="54" t="s">
        <v>2886</v>
      </c>
      <c r="H1139" s="54" t="n">
        <v>10853</v>
      </c>
      <c r="I1139" s="54" t="s">
        <v>295</v>
      </c>
      <c r="J1139" s="54" t="s">
        <v>818</v>
      </c>
    </row>
    <row r="1140" customFormat="false" ht="15" hidden="false" customHeight="true" outlineLevel="0" collapsed="false">
      <c r="A1140" s="54" t="n">
        <v>20260710</v>
      </c>
      <c r="B1140" s="54" t="s">
        <v>168</v>
      </c>
      <c r="C1140" s="54" t="s">
        <v>290</v>
      </c>
      <c r="D1140" s="54" t="s">
        <v>2882</v>
      </c>
      <c r="E1140" s="54" t="s">
        <v>2883</v>
      </c>
      <c r="F1140" s="54" t="s">
        <v>2887</v>
      </c>
      <c r="G1140" s="54" t="s">
        <v>2888</v>
      </c>
      <c r="H1140" s="54" t="n">
        <v>6449</v>
      </c>
      <c r="I1140" s="54" t="s">
        <v>295</v>
      </c>
      <c r="J1140" s="54" t="s">
        <v>818</v>
      </c>
    </row>
    <row r="1141" customFormat="false" ht="15" hidden="false" customHeight="true" outlineLevel="0" collapsed="false">
      <c r="A1141" s="54" t="n">
        <v>20260710</v>
      </c>
      <c r="B1141" s="54" t="s">
        <v>168</v>
      </c>
      <c r="C1141" s="54" t="s">
        <v>290</v>
      </c>
      <c r="D1141" s="54" t="s">
        <v>2882</v>
      </c>
      <c r="E1141" s="54" t="s">
        <v>2883</v>
      </c>
      <c r="F1141" s="54" t="s">
        <v>2889</v>
      </c>
      <c r="G1141" s="54" t="s">
        <v>2890</v>
      </c>
      <c r="H1141" s="54" t="n">
        <v>11759</v>
      </c>
      <c r="I1141" s="54" t="s">
        <v>295</v>
      </c>
      <c r="J1141" s="54" t="s">
        <v>818</v>
      </c>
    </row>
    <row r="1142" customFormat="false" ht="15" hidden="false" customHeight="true" outlineLevel="0" collapsed="false">
      <c r="A1142" s="54" t="n">
        <v>20260710</v>
      </c>
      <c r="B1142" s="54" t="s">
        <v>289</v>
      </c>
      <c r="C1142" s="54" t="s">
        <v>307</v>
      </c>
      <c r="D1142" s="54" t="s">
        <v>2891</v>
      </c>
      <c r="E1142" s="54" t="s">
        <v>2892</v>
      </c>
      <c r="F1142" s="54" t="s">
        <v>2893</v>
      </c>
      <c r="G1142" s="54" t="s">
        <v>1274</v>
      </c>
      <c r="H1142" s="54" t="n">
        <v>18756</v>
      </c>
      <c r="I1142" s="54" t="s">
        <v>295</v>
      </c>
      <c r="J1142" s="54" t="s">
        <v>1133</v>
      </c>
    </row>
    <row r="1143" customFormat="false" ht="15" hidden="false" customHeight="true" outlineLevel="0" collapsed="false">
      <c r="A1143" s="54" t="n">
        <v>20260710</v>
      </c>
      <c r="B1143" s="54" t="s">
        <v>289</v>
      </c>
      <c r="C1143" s="54" t="s">
        <v>307</v>
      </c>
      <c r="D1143" s="54" t="s">
        <v>2891</v>
      </c>
      <c r="E1143" s="54" t="s">
        <v>2892</v>
      </c>
      <c r="F1143" s="54" t="s">
        <v>2894</v>
      </c>
      <c r="G1143" s="54" t="s">
        <v>2895</v>
      </c>
      <c r="H1143" s="54" t="n">
        <v>3411</v>
      </c>
      <c r="I1143" s="54" t="s">
        <v>295</v>
      </c>
      <c r="J1143" s="54" t="s">
        <v>1133</v>
      </c>
    </row>
    <row r="1144" customFormat="false" ht="15" hidden="false" customHeight="true" outlineLevel="0" collapsed="false">
      <c r="A1144" s="54" t="n">
        <v>20260710</v>
      </c>
      <c r="B1144" s="54" t="s">
        <v>289</v>
      </c>
      <c r="C1144" s="54" t="s">
        <v>307</v>
      </c>
      <c r="D1144" s="54" t="s">
        <v>2891</v>
      </c>
      <c r="E1144" s="54" t="s">
        <v>2892</v>
      </c>
      <c r="F1144" s="54" t="s">
        <v>2896</v>
      </c>
      <c r="G1144" s="54" t="s">
        <v>530</v>
      </c>
      <c r="H1144" s="54" t="n">
        <v>79</v>
      </c>
      <c r="I1144" s="54" t="s">
        <v>295</v>
      </c>
      <c r="J1144" s="54" t="s">
        <v>1133</v>
      </c>
    </row>
    <row r="1145" customFormat="false" ht="15" hidden="false" customHeight="true" outlineLevel="0" collapsed="false">
      <c r="A1145" s="54" t="n">
        <v>20260710</v>
      </c>
      <c r="B1145" s="54" t="s">
        <v>289</v>
      </c>
      <c r="C1145" s="54" t="s">
        <v>307</v>
      </c>
      <c r="D1145" s="54" t="s">
        <v>2891</v>
      </c>
      <c r="E1145" s="54" t="s">
        <v>2892</v>
      </c>
      <c r="F1145" s="54" t="s">
        <v>2897</v>
      </c>
      <c r="G1145" s="54" t="s">
        <v>2898</v>
      </c>
      <c r="H1145" s="54" t="n">
        <v>10245</v>
      </c>
      <c r="I1145" s="54" t="s">
        <v>295</v>
      </c>
      <c r="J1145" s="54" t="s">
        <v>1133</v>
      </c>
    </row>
    <row r="1146" customFormat="false" ht="15" hidden="false" customHeight="true" outlineLevel="0" collapsed="false">
      <c r="A1146" s="54" t="n">
        <v>20260710</v>
      </c>
      <c r="B1146" s="54" t="s">
        <v>289</v>
      </c>
      <c r="C1146" s="54" t="s">
        <v>290</v>
      </c>
      <c r="D1146" s="54" t="s">
        <v>2899</v>
      </c>
      <c r="E1146" s="54" t="s">
        <v>2900</v>
      </c>
      <c r="F1146" s="54" t="s">
        <v>2901</v>
      </c>
      <c r="G1146" s="54" t="s">
        <v>2902</v>
      </c>
      <c r="H1146" s="54" t="n">
        <v>18231</v>
      </c>
      <c r="I1146" s="54" t="s">
        <v>295</v>
      </c>
      <c r="J1146" s="54" t="s">
        <v>303</v>
      </c>
    </row>
    <row r="1147" customFormat="false" ht="15" hidden="false" customHeight="true" outlineLevel="0" collapsed="false">
      <c r="A1147" s="54" t="n">
        <v>20260710</v>
      </c>
      <c r="B1147" s="54" t="s">
        <v>289</v>
      </c>
      <c r="C1147" s="54" t="s">
        <v>290</v>
      </c>
      <c r="D1147" s="54" t="s">
        <v>2899</v>
      </c>
      <c r="E1147" s="54" t="s">
        <v>2900</v>
      </c>
      <c r="F1147" s="54" t="s">
        <v>2903</v>
      </c>
      <c r="G1147" s="54" t="s">
        <v>533</v>
      </c>
      <c r="H1147" s="54" t="n">
        <v>14595</v>
      </c>
      <c r="I1147" s="54" t="s">
        <v>295</v>
      </c>
      <c r="J1147" s="54" t="s">
        <v>303</v>
      </c>
    </row>
    <row r="1148" customFormat="false" ht="15" hidden="false" customHeight="true" outlineLevel="0" collapsed="false">
      <c r="A1148" s="54" t="n">
        <v>20260710</v>
      </c>
      <c r="B1148" s="54" t="s">
        <v>688</v>
      </c>
      <c r="C1148" s="54" t="s">
        <v>290</v>
      </c>
      <c r="D1148" s="54" t="s">
        <v>2904</v>
      </c>
      <c r="E1148" s="54" t="s">
        <v>2905</v>
      </c>
      <c r="F1148" s="54" t="s">
        <v>2906</v>
      </c>
      <c r="G1148" s="54" t="s">
        <v>2907</v>
      </c>
      <c r="H1148" s="54" t="n">
        <v>12</v>
      </c>
      <c r="I1148" s="54" t="s">
        <v>295</v>
      </c>
      <c r="J1148" s="54" t="s">
        <v>779</v>
      </c>
    </row>
    <row r="1149" customFormat="false" ht="15" hidden="false" customHeight="true" outlineLevel="0" collapsed="false">
      <c r="A1149" s="54" t="n">
        <v>20260710</v>
      </c>
      <c r="B1149" s="54" t="s">
        <v>688</v>
      </c>
      <c r="C1149" s="54" t="s">
        <v>290</v>
      </c>
      <c r="D1149" s="54" t="s">
        <v>2904</v>
      </c>
      <c r="E1149" s="54" t="s">
        <v>2905</v>
      </c>
      <c r="F1149" s="54" t="s">
        <v>2908</v>
      </c>
      <c r="G1149" s="54" t="s">
        <v>2909</v>
      </c>
      <c r="H1149" s="54" t="n">
        <v>13185</v>
      </c>
      <c r="I1149" s="54" t="s">
        <v>295</v>
      </c>
      <c r="J1149" s="54" t="s">
        <v>779</v>
      </c>
    </row>
    <row r="1150" customFormat="false" ht="15" hidden="false" customHeight="true" outlineLevel="0" collapsed="false">
      <c r="A1150" s="54" t="n">
        <v>20260710</v>
      </c>
      <c r="B1150" s="54" t="s">
        <v>688</v>
      </c>
      <c r="C1150" s="54" t="s">
        <v>290</v>
      </c>
      <c r="D1150" s="54" t="s">
        <v>2904</v>
      </c>
      <c r="E1150" s="54" t="s">
        <v>2905</v>
      </c>
      <c r="F1150" s="54" t="s">
        <v>2910</v>
      </c>
      <c r="G1150" s="54" t="s">
        <v>2911</v>
      </c>
      <c r="H1150" s="54" t="n">
        <v>8</v>
      </c>
      <c r="I1150" s="54" t="s">
        <v>295</v>
      </c>
      <c r="J1150" s="54" t="s">
        <v>779</v>
      </c>
    </row>
    <row r="1151" customFormat="false" ht="15" hidden="false" customHeight="true" outlineLevel="0" collapsed="false">
      <c r="A1151" s="54" t="n">
        <v>20260710</v>
      </c>
      <c r="B1151" s="54" t="s">
        <v>688</v>
      </c>
      <c r="C1151" s="54" t="s">
        <v>290</v>
      </c>
      <c r="D1151" s="54" t="s">
        <v>2904</v>
      </c>
      <c r="E1151" s="54" t="s">
        <v>2905</v>
      </c>
      <c r="F1151" s="54" t="s">
        <v>2912</v>
      </c>
      <c r="G1151" s="54" t="s">
        <v>1727</v>
      </c>
      <c r="H1151" s="54" t="n">
        <v>4585</v>
      </c>
      <c r="I1151" s="54" t="s">
        <v>295</v>
      </c>
      <c r="J1151" s="54" t="s">
        <v>779</v>
      </c>
    </row>
    <row r="1152" customFormat="false" ht="15" hidden="false" customHeight="true" outlineLevel="0" collapsed="false">
      <c r="A1152" s="54" t="n">
        <v>20260710</v>
      </c>
      <c r="B1152" s="54" t="s">
        <v>688</v>
      </c>
      <c r="C1152" s="54" t="s">
        <v>290</v>
      </c>
      <c r="D1152" s="54" t="s">
        <v>2904</v>
      </c>
      <c r="E1152" s="54" t="s">
        <v>2905</v>
      </c>
      <c r="F1152" s="54" t="s">
        <v>805</v>
      </c>
      <c r="G1152" s="54" t="s">
        <v>2913</v>
      </c>
      <c r="H1152" s="54" t="n">
        <v>1222</v>
      </c>
      <c r="I1152" s="54" t="s">
        <v>295</v>
      </c>
      <c r="J1152" s="54" t="s">
        <v>779</v>
      </c>
    </row>
    <row r="1153" customFormat="false" ht="15" hidden="false" customHeight="true" outlineLevel="0" collapsed="false">
      <c r="A1153" s="54" t="n">
        <v>20260710</v>
      </c>
      <c r="B1153" s="54" t="s">
        <v>688</v>
      </c>
      <c r="C1153" s="54" t="s">
        <v>290</v>
      </c>
      <c r="D1153" s="54" t="s">
        <v>2904</v>
      </c>
      <c r="E1153" s="54" t="s">
        <v>2905</v>
      </c>
      <c r="F1153" s="54" t="s">
        <v>2914</v>
      </c>
      <c r="G1153" s="54" t="s">
        <v>2915</v>
      </c>
      <c r="H1153" s="54" t="n">
        <v>3266</v>
      </c>
      <c r="I1153" s="54" t="s">
        <v>295</v>
      </c>
      <c r="J1153" s="54" t="s">
        <v>779</v>
      </c>
    </row>
    <row r="1154" customFormat="false" ht="15" hidden="false" customHeight="true" outlineLevel="0" collapsed="false">
      <c r="A1154" s="54" t="n">
        <v>20260710</v>
      </c>
      <c r="B1154" s="54" t="s">
        <v>688</v>
      </c>
      <c r="C1154" s="54" t="s">
        <v>290</v>
      </c>
      <c r="D1154" s="54" t="s">
        <v>2904</v>
      </c>
      <c r="E1154" s="54" t="s">
        <v>2905</v>
      </c>
      <c r="F1154" s="54" t="s">
        <v>2916</v>
      </c>
      <c r="G1154" s="54" t="s">
        <v>2917</v>
      </c>
      <c r="H1154" s="54" t="n">
        <v>1130</v>
      </c>
      <c r="I1154" s="54" t="s">
        <v>295</v>
      </c>
      <c r="J1154" s="54" t="s">
        <v>779</v>
      </c>
    </row>
    <row r="1155" customFormat="false" ht="15" hidden="false" customHeight="true" outlineLevel="0" collapsed="false">
      <c r="A1155" s="54" t="n">
        <v>20260710</v>
      </c>
      <c r="B1155" s="54" t="s">
        <v>688</v>
      </c>
      <c r="C1155" s="54" t="s">
        <v>290</v>
      </c>
      <c r="D1155" s="54" t="s">
        <v>2904</v>
      </c>
      <c r="E1155" s="54" t="s">
        <v>2905</v>
      </c>
      <c r="F1155" s="54" t="s">
        <v>2918</v>
      </c>
      <c r="G1155" s="54" t="s">
        <v>2919</v>
      </c>
      <c r="H1155" s="54" t="n">
        <v>5081</v>
      </c>
      <c r="I1155" s="54" t="s">
        <v>295</v>
      </c>
      <c r="J1155" s="54" t="s">
        <v>779</v>
      </c>
    </row>
    <row r="1156" customFormat="false" ht="15" hidden="false" customHeight="true" outlineLevel="0" collapsed="false">
      <c r="A1156" s="54" t="n">
        <v>20260710</v>
      </c>
      <c r="B1156" s="54" t="s">
        <v>289</v>
      </c>
      <c r="C1156" s="54" t="s">
        <v>290</v>
      </c>
      <c r="D1156" s="54" t="s">
        <v>2920</v>
      </c>
      <c r="E1156" s="54" t="s">
        <v>2921</v>
      </c>
      <c r="F1156" s="54" t="s">
        <v>2922</v>
      </c>
      <c r="G1156" s="54" t="s">
        <v>2923</v>
      </c>
      <c r="H1156" s="54" t="n">
        <v>17970</v>
      </c>
      <c r="I1156" s="54" t="s">
        <v>360</v>
      </c>
      <c r="J1156" s="54" t="s">
        <v>852</v>
      </c>
    </row>
    <row r="1157" customFormat="false" ht="15" hidden="false" customHeight="true" outlineLevel="0" collapsed="false">
      <c r="A1157" s="54" t="n">
        <v>20260710</v>
      </c>
      <c r="B1157" s="54" t="s">
        <v>289</v>
      </c>
      <c r="C1157" s="54" t="s">
        <v>290</v>
      </c>
      <c r="D1157" s="54" t="s">
        <v>2920</v>
      </c>
      <c r="E1157" s="54" t="s">
        <v>2921</v>
      </c>
      <c r="F1157" s="54" t="s">
        <v>2922</v>
      </c>
      <c r="G1157" s="54" t="s">
        <v>2923</v>
      </c>
      <c r="H1157" s="54" t="n">
        <v>17970</v>
      </c>
      <c r="I1157" s="54" t="s">
        <v>295</v>
      </c>
      <c r="J1157" s="54" t="s">
        <v>852</v>
      </c>
    </row>
    <row r="1158" customFormat="false" ht="15" hidden="false" customHeight="true" outlineLevel="0" collapsed="false">
      <c r="A1158" s="54" t="n">
        <v>20260710</v>
      </c>
      <c r="B1158" s="54" t="s">
        <v>289</v>
      </c>
      <c r="C1158" s="54" t="s">
        <v>290</v>
      </c>
      <c r="D1158" s="54" t="s">
        <v>2920</v>
      </c>
      <c r="E1158" s="54" t="s">
        <v>2921</v>
      </c>
      <c r="F1158" s="54" t="s">
        <v>2924</v>
      </c>
      <c r="G1158" s="54" t="s">
        <v>2925</v>
      </c>
      <c r="H1158" s="54" t="n">
        <v>3326</v>
      </c>
      <c r="I1158" s="54" t="s">
        <v>360</v>
      </c>
      <c r="J1158" s="54" t="s">
        <v>852</v>
      </c>
    </row>
    <row r="1159" customFormat="false" ht="15" hidden="false" customHeight="true" outlineLevel="0" collapsed="false">
      <c r="A1159" s="54" t="n">
        <v>20260710</v>
      </c>
      <c r="B1159" s="54" t="s">
        <v>289</v>
      </c>
      <c r="C1159" s="54" t="s">
        <v>290</v>
      </c>
      <c r="D1159" s="54" t="s">
        <v>2920</v>
      </c>
      <c r="E1159" s="54" t="s">
        <v>2921</v>
      </c>
      <c r="F1159" s="54" t="s">
        <v>2924</v>
      </c>
      <c r="G1159" s="54" t="s">
        <v>2926</v>
      </c>
      <c r="H1159" s="54" t="n">
        <v>3327</v>
      </c>
      <c r="I1159" s="54" t="s">
        <v>295</v>
      </c>
      <c r="J1159" s="54" t="s">
        <v>852</v>
      </c>
    </row>
    <row r="1160" customFormat="false" ht="15" hidden="false" customHeight="true" outlineLevel="0" collapsed="false">
      <c r="A1160" s="54" t="n">
        <v>20260710</v>
      </c>
      <c r="B1160" s="54" t="s">
        <v>289</v>
      </c>
      <c r="C1160" s="54" t="s">
        <v>290</v>
      </c>
      <c r="D1160" s="54" t="s">
        <v>2920</v>
      </c>
      <c r="E1160" s="54" t="s">
        <v>2921</v>
      </c>
      <c r="F1160" s="54" t="s">
        <v>2927</v>
      </c>
      <c r="G1160" s="54" t="s">
        <v>2928</v>
      </c>
      <c r="H1160" s="54" t="n">
        <v>10</v>
      </c>
      <c r="I1160" s="54" t="s">
        <v>295</v>
      </c>
      <c r="J1160" s="54" t="s">
        <v>852</v>
      </c>
    </row>
    <row r="1161" customFormat="false" ht="15" hidden="false" customHeight="true" outlineLevel="0" collapsed="false">
      <c r="A1161" s="54" t="n">
        <v>20260710</v>
      </c>
      <c r="B1161" s="54" t="s">
        <v>289</v>
      </c>
      <c r="C1161" s="54" t="s">
        <v>290</v>
      </c>
      <c r="D1161" s="54" t="s">
        <v>2920</v>
      </c>
      <c r="E1161" s="54" t="s">
        <v>2921</v>
      </c>
      <c r="F1161" s="54" t="s">
        <v>2929</v>
      </c>
      <c r="G1161" s="54" t="s">
        <v>2930</v>
      </c>
      <c r="H1161" s="54" t="n">
        <v>11</v>
      </c>
      <c r="I1161" s="54" t="s">
        <v>360</v>
      </c>
      <c r="J1161" s="54" t="s">
        <v>852</v>
      </c>
    </row>
    <row r="1162" customFormat="false" ht="15" hidden="false" customHeight="true" outlineLevel="0" collapsed="false">
      <c r="A1162" s="54" t="n">
        <v>20260710</v>
      </c>
      <c r="B1162" s="54" t="s">
        <v>289</v>
      </c>
      <c r="C1162" s="54" t="s">
        <v>290</v>
      </c>
      <c r="D1162" s="54" t="s">
        <v>2920</v>
      </c>
      <c r="E1162" s="54" t="s">
        <v>2921</v>
      </c>
      <c r="F1162" s="54" t="s">
        <v>2931</v>
      </c>
      <c r="G1162" s="54" t="s">
        <v>2932</v>
      </c>
      <c r="H1162" s="54" t="n">
        <v>5823</v>
      </c>
      <c r="I1162" s="54" t="s">
        <v>360</v>
      </c>
      <c r="J1162" s="54" t="s">
        <v>852</v>
      </c>
    </row>
    <row r="1163" customFormat="false" ht="15" hidden="false" customHeight="true" outlineLevel="0" collapsed="false">
      <c r="A1163" s="54" t="n">
        <v>20260710</v>
      </c>
      <c r="B1163" s="54" t="s">
        <v>289</v>
      </c>
      <c r="C1163" s="54" t="s">
        <v>290</v>
      </c>
      <c r="D1163" s="54" t="s">
        <v>2920</v>
      </c>
      <c r="E1163" s="54" t="s">
        <v>2921</v>
      </c>
      <c r="F1163" s="54" t="s">
        <v>2931</v>
      </c>
      <c r="G1163" s="54" t="s">
        <v>2932</v>
      </c>
      <c r="H1163" s="54" t="n">
        <v>5823</v>
      </c>
      <c r="I1163" s="54" t="s">
        <v>295</v>
      </c>
      <c r="J1163" s="54" t="s">
        <v>852</v>
      </c>
    </row>
    <row r="1164" customFormat="false" ht="15" hidden="false" customHeight="true" outlineLevel="0" collapsed="false">
      <c r="A1164" s="54" t="n">
        <v>20260710</v>
      </c>
      <c r="B1164" s="54" t="s">
        <v>188</v>
      </c>
      <c r="C1164" s="54" t="s">
        <v>307</v>
      </c>
      <c r="D1164" s="54" t="s">
        <v>2933</v>
      </c>
      <c r="E1164" s="54" t="s">
        <v>2934</v>
      </c>
      <c r="F1164" s="54" t="s">
        <v>2667</v>
      </c>
      <c r="G1164" s="54" t="s">
        <v>2935</v>
      </c>
      <c r="H1164" s="54" t="n">
        <v>11065</v>
      </c>
      <c r="I1164" s="54" t="s">
        <v>295</v>
      </c>
      <c r="J1164" s="54" t="s">
        <v>2393</v>
      </c>
    </row>
    <row r="1165" customFormat="false" ht="15" hidden="false" customHeight="true" outlineLevel="0" collapsed="false">
      <c r="A1165" s="54" t="n">
        <v>20260710</v>
      </c>
      <c r="B1165" s="54" t="s">
        <v>188</v>
      </c>
      <c r="C1165" s="54" t="s">
        <v>307</v>
      </c>
      <c r="D1165" s="54" t="s">
        <v>2933</v>
      </c>
      <c r="E1165" s="54" t="s">
        <v>2934</v>
      </c>
      <c r="F1165" s="54" t="s">
        <v>2936</v>
      </c>
      <c r="G1165" s="54" t="s">
        <v>2937</v>
      </c>
      <c r="H1165" s="54" t="n">
        <v>4997</v>
      </c>
      <c r="I1165" s="54" t="s">
        <v>295</v>
      </c>
      <c r="J1165" s="54" t="s">
        <v>2393</v>
      </c>
    </row>
    <row r="1166" customFormat="false" ht="15" hidden="false" customHeight="true" outlineLevel="0" collapsed="false">
      <c r="A1166" s="54" t="n">
        <v>20260710</v>
      </c>
      <c r="B1166" s="54" t="s">
        <v>188</v>
      </c>
      <c r="C1166" s="54" t="s">
        <v>307</v>
      </c>
      <c r="D1166" s="54" t="s">
        <v>2933</v>
      </c>
      <c r="E1166" s="54" t="s">
        <v>2934</v>
      </c>
      <c r="F1166" s="54" t="s">
        <v>2938</v>
      </c>
      <c r="G1166" s="54" t="s">
        <v>2939</v>
      </c>
      <c r="H1166" s="54" t="n">
        <v>13011</v>
      </c>
      <c r="I1166" s="54" t="s">
        <v>295</v>
      </c>
      <c r="J1166" s="54" t="s">
        <v>2393</v>
      </c>
    </row>
    <row r="1167" customFormat="false" ht="15" hidden="false" customHeight="true" outlineLevel="0" collapsed="false">
      <c r="A1167" s="54" t="n">
        <v>20260710</v>
      </c>
      <c r="B1167" s="54" t="s">
        <v>289</v>
      </c>
      <c r="C1167" s="54" t="s">
        <v>307</v>
      </c>
      <c r="D1167" s="54" t="s">
        <v>2940</v>
      </c>
      <c r="E1167" s="54" t="s">
        <v>2941</v>
      </c>
      <c r="F1167" s="54" t="s">
        <v>1294</v>
      </c>
      <c r="G1167" s="54" t="s">
        <v>2942</v>
      </c>
      <c r="H1167" s="54" t="n">
        <v>18649</v>
      </c>
      <c r="I1167" s="54" t="s">
        <v>295</v>
      </c>
      <c r="J1167" s="54" t="s">
        <v>361</v>
      </c>
    </row>
    <row r="1168" customFormat="false" ht="15" hidden="false" customHeight="true" outlineLevel="0" collapsed="false">
      <c r="A1168" s="54" t="n">
        <v>20260710</v>
      </c>
      <c r="B1168" s="54" t="s">
        <v>289</v>
      </c>
      <c r="C1168" s="54" t="s">
        <v>307</v>
      </c>
      <c r="D1168" s="54" t="s">
        <v>2940</v>
      </c>
      <c r="E1168" s="54" t="s">
        <v>2941</v>
      </c>
      <c r="F1168" s="54" t="s">
        <v>1421</v>
      </c>
      <c r="G1168" s="54" t="s">
        <v>806</v>
      </c>
      <c r="H1168" s="54" t="n">
        <v>10825</v>
      </c>
      <c r="I1168" s="54" t="s">
        <v>295</v>
      </c>
      <c r="J1168" s="54" t="s">
        <v>361</v>
      </c>
    </row>
    <row r="1169" customFormat="false" ht="15" hidden="false" customHeight="true" outlineLevel="0" collapsed="false">
      <c r="A1169" s="54" t="n">
        <v>20260710</v>
      </c>
      <c r="B1169" s="54" t="s">
        <v>306</v>
      </c>
      <c r="C1169" s="54" t="s">
        <v>307</v>
      </c>
      <c r="D1169" s="54" t="s">
        <v>2943</v>
      </c>
      <c r="E1169" s="54" t="s">
        <v>2944</v>
      </c>
      <c r="F1169" s="54" t="s">
        <v>2945</v>
      </c>
      <c r="G1169" s="54" t="s">
        <v>2946</v>
      </c>
      <c r="H1169" s="54" t="n">
        <v>3943</v>
      </c>
      <c r="I1169" s="54" t="s">
        <v>295</v>
      </c>
      <c r="J1169" s="54" t="s">
        <v>2347</v>
      </c>
    </row>
    <row r="1170" customFormat="false" ht="15" hidden="false" customHeight="true" outlineLevel="0" collapsed="false">
      <c r="A1170" s="54" t="n">
        <v>20260710</v>
      </c>
      <c r="B1170" s="54" t="s">
        <v>306</v>
      </c>
      <c r="C1170" s="54" t="s">
        <v>307</v>
      </c>
      <c r="D1170" s="54" t="s">
        <v>2943</v>
      </c>
      <c r="E1170" s="54" t="s">
        <v>2944</v>
      </c>
      <c r="F1170" s="54" t="s">
        <v>2947</v>
      </c>
      <c r="G1170" s="54" t="s">
        <v>2948</v>
      </c>
      <c r="H1170" s="54" t="n">
        <v>14965</v>
      </c>
      <c r="I1170" s="54" t="s">
        <v>295</v>
      </c>
      <c r="J1170" s="54" t="s">
        <v>2347</v>
      </c>
    </row>
    <row r="1171" customFormat="false" ht="15" hidden="false" customHeight="true" outlineLevel="0" collapsed="false">
      <c r="A1171" s="54" t="n">
        <v>20260710</v>
      </c>
      <c r="B1171" s="54" t="s">
        <v>306</v>
      </c>
      <c r="C1171" s="54" t="s">
        <v>307</v>
      </c>
      <c r="D1171" s="54" t="s">
        <v>2943</v>
      </c>
      <c r="E1171" s="54" t="s">
        <v>2944</v>
      </c>
      <c r="F1171" s="54" t="s">
        <v>2949</v>
      </c>
      <c r="G1171" s="54" t="s">
        <v>2950</v>
      </c>
      <c r="H1171" s="54" t="n">
        <v>11299</v>
      </c>
      <c r="I1171" s="54" t="s">
        <v>295</v>
      </c>
      <c r="J1171" s="54" t="s">
        <v>2347</v>
      </c>
    </row>
    <row r="1172" customFormat="false" ht="15" hidden="false" customHeight="true" outlineLevel="0" collapsed="false">
      <c r="A1172" s="54" t="n">
        <v>20260710</v>
      </c>
      <c r="B1172" s="54" t="s">
        <v>306</v>
      </c>
      <c r="C1172" s="54" t="s">
        <v>307</v>
      </c>
      <c r="D1172" s="54" t="s">
        <v>2943</v>
      </c>
      <c r="E1172" s="54" t="s">
        <v>2944</v>
      </c>
      <c r="F1172" s="54" t="s">
        <v>2951</v>
      </c>
      <c r="G1172" s="54" t="s">
        <v>2952</v>
      </c>
      <c r="H1172" s="54" t="n">
        <v>2326</v>
      </c>
      <c r="I1172" s="54" t="s">
        <v>295</v>
      </c>
      <c r="J1172" s="54" t="s">
        <v>2347</v>
      </c>
    </row>
    <row r="1173" customFormat="false" ht="15" hidden="false" customHeight="true" outlineLevel="0" collapsed="false">
      <c r="A1173" s="54" t="n">
        <v>20260710</v>
      </c>
      <c r="B1173" s="54" t="s">
        <v>688</v>
      </c>
      <c r="C1173" s="54" t="s">
        <v>307</v>
      </c>
      <c r="D1173" s="54" t="s">
        <v>2953</v>
      </c>
      <c r="E1173" s="54" t="s">
        <v>156</v>
      </c>
      <c r="F1173" s="54" t="s">
        <v>2954</v>
      </c>
      <c r="G1173" s="54" t="s">
        <v>2955</v>
      </c>
      <c r="H1173" s="54" t="n">
        <v>14645</v>
      </c>
      <c r="I1173" s="54" t="s">
        <v>295</v>
      </c>
      <c r="J1173" s="54" t="s">
        <v>142</v>
      </c>
    </row>
    <row r="1174" customFormat="false" ht="15" hidden="false" customHeight="true" outlineLevel="0" collapsed="false">
      <c r="A1174" s="54" t="n">
        <v>20260710</v>
      </c>
      <c r="B1174" s="54" t="s">
        <v>688</v>
      </c>
      <c r="C1174" s="54" t="s">
        <v>307</v>
      </c>
      <c r="D1174" s="54" t="s">
        <v>2953</v>
      </c>
      <c r="E1174" s="54" t="s">
        <v>156</v>
      </c>
      <c r="F1174" s="54" t="s">
        <v>2308</v>
      </c>
      <c r="G1174" s="54" t="s">
        <v>2956</v>
      </c>
      <c r="H1174" s="54" t="n">
        <v>8</v>
      </c>
      <c r="I1174" s="54" t="s">
        <v>295</v>
      </c>
      <c r="J1174" s="54" t="s">
        <v>142</v>
      </c>
    </row>
    <row r="1175" customFormat="false" ht="15" hidden="false" customHeight="true" outlineLevel="0" collapsed="false">
      <c r="A1175" s="54" t="n">
        <v>20260710</v>
      </c>
      <c r="B1175" s="54" t="s">
        <v>688</v>
      </c>
      <c r="C1175" s="54" t="s">
        <v>307</v>
      </c>
      <c r="D1175" s="54" t="s">
        <v>2953</v>
      </c>
      <c r="E1175" s="54" t="s">
        <v>156</v>
      </c>
      <c r="F1175" s="54" t="s">
        <v>2957</v>
      </c>
      <c r="G1175" s="54" t="s">
        <v>2958</v>
      </c>
      <c r="H1175" s="54" t="n">
        <v>14372</v>
      </c>
      <c r="I1175" s="54" t="s">
        <v>295</v>
      </c>
      <c r="J1175" s="54" t="s">
        <v>142</v>
      </c>
    </row>
    <row r="1176" customFormat="false" ht="15" hidden="false" customHeight="true" outlineLevel="0" collapsed="false">
      <c r="A1176" s="54" t="n">
        <v>20260710</v>
      </c>
      <c r="B1176" s="54" t="s">
        <v>688</v>
      </c>
      <c r="C1176" s="54" t="s">
        <v>307</v>
      </c>
      <c r="D1176" s="54" t="s">
        <v>2959</v>
      </c>
      <c r="E1176" s="54" t="s">
        <v>140</v>
      </c>
      <c r="F1176" s="54" t="s">
        <v>1189</v>
      </c>
      <c r="G1176" s="54" t="s">
        <v>2960</v>
      </c>
      <c r="H1176" s="54" t="n">
        <v>18348</v>
      </c>
      <c r="I1176" s="54" t="s">
        <v>295</v>
      </c>
      <c r="J1176" s="54" t="s">
        <v>745</v>
      </c>
    </row>
    <row r="1177" customFormat="false" ht="15" hidden="false" customHeight="true" outlineLevel="0" collapsed="false">
      <c r="A1177" s="54" t="n">
        <v>20260710</v>
      </c>
      <c r="B1177" s="54" t="s">
        <v>688</v>
      </c>
      <c r="C1177" s="54" t="s">
        <v>307</v>
      </c>
      <c r="D1177" s="54" t="s">
        <v>2959</v>
      </c>
      <c r="E1177" s="54" t="s">
        <v>140</v>
      </c>
      <c r="F1177" s="54" t="s">
        <v>2961</v>
      </c>
      <c r="G1177" s="54" t="s">
        <v>789</v>
      </c>
      <c r="H1177" s="54" t="n">
        <v>14207</v>
      </c>
      <c r="I1177" s="54" t="s">
        <v>295</v>
      </c>
      <c r="J1177" s="54" t="s">
        <v>745</v>
      </c>
    </row>
    <row r="1178" customFormat="false" ht="15" hidden="false" customHeight="true" outlineLevel="0" collapsed="false">
      <c r="A1178" s="54" t="n">
        <v>20260710</v>
      </c>
      <c r="B1178" s="54" t="s">
        <v>592</v>
      </c>
      <c r="C1178" s="54" t="s">
        <v>290</v>
      </c>
      <c r="D1178" s="54" t="s">
        <v>2962</v>
      </c>
      <c r="E1178" s="54" t="s">
        <v>2963</v>
      </c>
      <c r="F1178" s="54" t="s">
        <v>2964</v>
      </c>
      <c r="G1178" s="54" t="s">
        <v>2965</v>
      </c>
      <c r="H1178" s="54" t="n">
        <v>28508</v>
      </c>
      <c r="I1178" s="54" t="s">
        <v>295</v>
      </c>
      <c r="J1178" s="54" t="s">
        <v>1381</v>
      </c>
    </row>
    <row r="1179" customFormat="false" ht="15" hidden="false" customHeight="true" outlineLevel="0" collapsed="false">
      <c r="A1179" s="54" t="n">
        <v>20260710</v>
      </c>
      <c r="B1179" s="54" t="s">
        <v>306</v>
      </c>
      <c r="C1179" s="54" t="s">
        <v>290</v>
      </c>
      <c r="D1179" s="54" t="s">
        <v>2966</v>
      </c>
      <c r="E1179" s="54" t="s">
        <v>1067</v>
      </c>
      <c r="F1179" s="54" t="s">
        <v>2967</v>
      </c>
      <c r="G1179" s="54" t="s">
        <v>2968</v>
      </c>
      <c r="H1179" s="54" t="n">
        <v>26890</v>
      </c>
      <c r="I1179" s="54" t="s">
        <v>295</v>
      </c>
      <c r="J1179" s="54" t="s">
        <v>375</v>
      </c>
    </row>
    <row r="1180" customFormat="false" ht="15" hidden="false" customHeight="true" outlineLevel="0" collapsed="false">
      <c r="A1180" s="54" t="n">
        <v>20260710</v>
      </c>
      <c r="B1180" s="54" t="s">
        <v>289</v>
      </c>
      <c r="C1180" s="54" t="s">
        <v>290</v>
      </c>
      <c r="D1180" s="54" t="s">
        <v>2969</v>
      </c>
      <c r="E1180" s="54" t="s">
        <v>2970</v>
      </c>
      <c r="F1180" s="54" t="s">
        <v>2971</v>
      </c>
      <c r="G1180" s="54" t="s">
        <v>2972</v>
      </c>
      <c r="H1180" s="54" t="n">
        <v>4</v>
      </c>
      <c r="I1180" s="54" t="s">
        <v>295</v>
      </c>
      <c r="J1180" s="54" t="s">
        <v>874</v>
      </c>
    </row>
    <row r="1181" customFormat="false" ht="15" hidden="false" customHeight="true" outlineLevel="0" collapsed="false">
      <c r="A1181" s="54" t="n">
        <v>20260710</v>
      </c>
      <c r="B1181" s="54" t="s">
        <v>289</v>
      </c>
      <c r="C1181" s="54" t="s">
        <v>290</v>
      </c>
      <c r="D1181" s="54" t="s">
        <v>2969</v>
      </c>
      <c r="E1181" s="54" t="s">
        <v>2970</v>
      </c>
      <c r="F1181" s="54" t="s">
        <v>1955</v>
      </c>
      <c r="G1181" s="54" t="s">
        <v>2533</v>
      </c>
      <c r="H1181" s="54" t="n">
        <v>14441</v>
      </c>
      <c r="I1181" s="54" t="s">
        <v>295</v>
      </c>
      <c r="J1181" s="54" t="s">
        <v>874</v>
      </c>
    </row>
    <row r="1182" customFormat="false" ht="15" hidden="false" customHeight="true" outlineLevel="0" collapsed="false">
      <c r="A1182" s="54" t="n">
        <v>20260710</v>
      </c>
      <c r="B1182" s="54" t="s">
        <v>289</v>
      </c>
      <c r="C1182" s="54" t="s">
        <v>290</v>
      </c>
      <c r="D1182" s="54" t="s">
        <v>2969</v>
      </c>
      <c r="E1182" s="54" t="s">
        <v>2970</v>
      </c>
      <c r="F1182" s="54" t="s">
        <v>787</v>
      </c>
      <c r="G1182" s="54" t="s">
        <v>2973</v>
      </c>
      <c r="H1182" s="54" t="n">
        <v>9250</v>
      </c>
      <c r="I1182" s="54" t="s">
        <v>295</v>
      </c>
      <c r="J1182" s="54" t="s">
        <v>874</v>
      </c>
    </row>
    <row r="1183" customFormat="false" ht="15" hidden="false" customHeight="true" outlineLevel="0" collapsed="false">
      <c r="A1183" s="54" t="n">
        <v>20260710</v>
      </c>
      <c r="B1183" s="54" t="s">
        <v>289</v>
      </c>
      <c r="C1183" s="54" t="s">
        <v>290</v>
      </c>
      <c r="D1183" s="54" t="s">
        <v>2969</v>
      </c>
      <c r="E1183" s="54" t="s">
        <v>2970</v>
      </c>
      <c r="F1183" s="54" t="s">
        <v>2974</v>
      </c>
      <c r="G1183" s="54" t="s">
        <v>2975</v>
      </c>
      <c r="H1183" s="54" t="n">
        <v>3922</v>
      </c>
      <c r="I1183" s="54" t="s">
        <v>295</v>
      </c>
      <c r="J1183" s="54" t="s">
        <v>874</v>
      </c>
    </row>
    <row r="1184" customFormat="false" ht="15" hidden="false" customHeight="true" outlineLevel="0" collapsed="false">
      <c r="A1184" s="54" t="n">
        <v>20260710</v>
      </c>
      <c r="B1184" s="54" t="s">
        <v>289</v>
      </c>
      <c r="C1184" s="54" t="s">
        <v>290</v>
      </c>
      <c r="D1184" s="54" t="s">
        <v>2969</v>
      </c>
      <c r="E1184" s="54" t="s">
        <v>2970</v>
      </c>
      <c r="F1184" s="54" t="s">
        <v>2976</v>
      </c>
      <c r="G1184" s="54" t="s">
        <v>1448</v>
      </c>
      <c r="H1184" s="54" t="n">
        <v>1103</v>
      </c>
      <c r="I1184" s="54" t="s">
        <v>295</v>
      </c>
      <c r="J1184" s="54" t="s">
        <v>874</v>
      </c>
    </row>
    <row r="1185" customFormat="false" ht="15" hidden="false" customHeight="true" outlineLevel="0" collapsed="false">
      <c r="A1185" s="54" t="n">
        <v>20260710</v>
      </c>
      <c r="B1185" s="54" t="s">
        <v>188</v>
      </c>
      <c r="C1185" s="54" t="s">
        <v>307</v>
      </c>
      <c r="D1185" s="54" t="s">
        <v>2977</v>
      </c>
      <c r="E1185" s="54" t="s">
        <v>2978</v>
      </c>
      <c r="F1185" s="54" t="s">
        <v>2979</v>
      </c>
      <c r="G1185" s="54" t="s">
        <v>2980</v>
      </c>
      <c r="H1185" s="54" t="n">
        <v>16331</v>
      </c>
      <c r="I1185" s="54" t="s">
        <v>295</v>
      </c>
      <c r="J1185" s="54" t="s">
        <v>2393</v>
      </c>
    </row>
    <row r="1186" customFormat="false" ht="15" hidden="false" customHeight="true" outlineLevel="0" collapsed="false">
      <c r="A1186" s="54" t="n">
        <v>20260710</v>
      </c>
      <c r="B1186" s="54" t="s">
        <v>188</v>
      </c>
      <c r="C1186" s="54" t="s">
        <v>307</v>
      </c>
      <c r="D1186" s="54" t="s">
        <v>2977</v>
      </c>
      <c r="E1186" s="54" t="s">
        <v>2978</v>
      </c>
      <c r="F1186" s="54" t="s">
        <v>2981</v>
      </c>
      <c r="G1186" s="54" t="s">
        <v>984</v>
      </c>
      <c r="H1186" s="54" t="n">
        <v>12510</v>
      </c>
      <c r="I1186" s="54" t="s">
        <v>295</v>
      </c>
      <c r="J1186" s="54" t="s">
        <v>2393</v>
      </c>
    </row>
    <row r="1187" customFormat="false" ht="15" hidden="false" customHeight="true" outlineLevel="0" collapsed="false">
      <c r="A1187" s="54" t="n">
        <v>20260710</v>
      </c>
      <c r="B1187" s="54" t="s">
        <v>306</v>
      </c>
      <c r="C1187" s="54" t="s">
        <v>290</v>
      </c>
      <c r="D1187" s="54" t="s">
        <v>2982</v>
      </c>
      <c r="E1187" s="54" t="s">
        <v>2983</v>
      </c>
      <c r="F1187" s="54" t="s">
        <v>2984</v>
      </c>
      <c r="G1187" s="54" t="s">
        <v>2985</v>
      </c>
      <c r="H1187" s="54" t="n">
        <v>28800</v>
      </c>
      <c r="I1187" s="54" t="s">
        <v>295</v>
      </c>
      <c r="J1187" s="54" t="s">
        <v>989</v>
      </c>
    </row>
    <row r="1188" customFormat="false" ht="15" hidden="false" customHeight="true" outlineLevel="0" collapsed="false">
      <c r="A1188" s="54" t="n">
        <v>20260710</v>
      </c>
      <c r="B1188" s="54" t="s">
        <v>306</v>
      </c>
      <c r="C1188" s="54" t="s">
        <v>290</v>
      </c>
      <c r="D1188" s="54" t="s">
        <v>2982</v>
      </c>
      <c r="E1188" s="54" t="s">
        <v>2983</v>
      </c>
      <c r="F1188" s="54" t="s">
        <v>2986</v>
      </c>
      <c r="G1188" s="54" t="s">
        <v>1810</v>
      </c>
      <c r="H1188" s="54" t="n">
        <v>20</v>
      </c>
      <c r="I1188" s="54" t="s">
        <v>295</v>
      </c>
      <c r="J1188" s="54" t="s">
        <v>989</v>
      </c>
    </row>
    <row r="1189" customFormat="false" ht="15" hidden="false" customHeight="true" outlineLevel="0" collapsed="false">
      <c r="A1189" s="54" t="n">
        <v>20260710</v>
      </c>
      <c r="B1189" s="54" t="s">
        <v>688</v>
      </c>
      <c r="C1189" s="54" t="s">
        <v>290</v>
      </c>
      <c r="D1189" s="54" t="s">
        <v>2987</v>
      </c>
      <c r="E1189" s="54" t="s">
        <v>2988</v>
      </c>
      <c r="F1189" s="54" t="s">
        <v>2989</v>
      </c>
      <c r="G1189" s="54" t="s">
        <v>2990</v>
      </c>
      <c r="H1189" s="54" t="n">
        <v>1230</v>
      </c>
      <c r="I1189" s="54" t="s">
        <v>295</v>
      </c>
      <c r="J1189" s="54" t="s">
        <v>997</v>
      </c>
    </row>
    <row r="1190" customFormat="false" ht="15" hidden="false" customHeight="true" outlineLevel="0" collapsed="false">
      <c r="A1190" s="54" t="n">
        <v>20260710</v>
      </c>
      <c r="B1190" s="54" t="s">
        <v>688</v>
      </c>
      <c r="C1190" s="54" t="s">
        <v>290</v>
      </c>
      <c r="D1190" s="54" t="s">
        <v>2987</v>
      </c>
      <c r="E1190" s="54" t="s">
        <v>2988</v>
      </c>
      <c r="F1190" s="54" t="s">
        <v>2991</v>
      </c>
      <c r="G1190" s="54" t="s">
        <v>2992</v>
      </c>
      <c r="H1190" s="54" t="n">
        <v>6597</v>
      </c>
      <c r="I1190" s="54" t="s">
        <v>295</v>
      </c>
      <c r="J1190" s="54" t="s">
        <v>997</v>
      </c>
    </row>
    <row r="1191" customFormat="false" ht="15" hidden="false" customHeight="true" outlineLevel="0" collapsed="false">
      <c r="A1191" s="54" t="n">
        <v>20260710</v>
      </c>
      <c r="B1191" s="54" t="s">
        <v>688</v>
      </c>
      <c r="C1191" s="54" t="s">
        <v>290</v>
      </c>
      <c r="D1191" s="54" t="s">
        <v>2987</v>
      </c>
      <c r="E1191" s="54" t="s">
        <v>2988</v>
      </c>
      <c r="F1191" s="54" t="s">
        <v>2993</v>
      </c>
      <c r="G1191" s="54" t="s">
        <v>2488</v>
      </c>
      <c r="H1191" s="54" t="n">
        <v>9910</v>
      </c>
      <c r="I1191" s="54" t="s">
        <v>295</v>
      </c>
      <c r="J1191" s="54" t="s">
        <v>997</v>
      </c>
    </row>
    <row r="1192" customFormat="false" ht="15" hidden="false" customHeight="true" outlineLevel="0" collapsed="false">
      <c r="A1192" s="54" t="n">
        <v>20260710</v>
      </c>
      <c r="B1192" s="54" t="s">
        <v>688</v>
      </c>
      <c r="C1192" s="54" t="s">
        <v>290</v>
      </c>
      <c r="D1192" s="54" t="s">
        <v>2987</v>
      </c>
      <c r="E1192" s="54" t="s">
        <v>2988</v>
      </c>
      <c r="F1192" s="54" t="s">
        <v>2994</v>
      </c>
      <c r="G1192" s="54" t="s">
        <v>2995</v>
      </c>
      <c r="H1192" s="54" t="n">
        <v>10742</v>
      </c>
      <c r="I1192" s="54" t="s">
        <v>295</v>
      </c>
      <c r="J1192" s="54" t="s">
        <v>997</v>
      </c>
    </row>
    <row r="1193" customFormat="false" ht="15" hidden="false" customHeight="true" outlineLevel="0" collapsed="false">
      <c r="A1193" s="54" t="n">
        <v>20260710</v>
      </c>
      <c r="B1193" s="54" t="s">
        <v>289</v>
      </c>
      <c r="C1193" s="54" t="s">
        <v>290</v>
      </c>
      <c r="D1193" s="54" t="s">
        <v>2996</v>
      </c>
      <c r="E1193" s="54" t="s">
        <v>2997</v>
      </c>
      <c r="F1193" s="54" t="s">
        <v>2998</v>
      </c>
      <c r="G1193" s="54" t="s">
        <v>2999</v>
      </c>
      <c r="H1193" s="54" t="n">
        <v>14496</v>
      </c>
      <c r="I1193" s="54" t="s">
        <v>295</v>
      </c>
      <c r="J1193" s="54" t="s">
        <v>578</v>
      </c>
    </row>
    <row r="1194" customFormat="false" ht="15" hidden="false" customHeight="true" outlineLevel="0" collapsed="false">
      <c r="A1194" s="54" t="n">
        <v>20260710</v>
      </c>
      <c r="B1194" s="54" t="s">
        <v>289</v>
      </c>
      <c r="C1194" s="54" t="s">
        <v>290</v>
      </c>
      <c r="D1194" s="54" t="s">
        <v>2996</v>
      </c>
      <c r="E1194" s="54" t="s">
        <v>2997</v>
      </c>
      <c r="F1194" s="54" t="s">
        <v>1552</v>
      </c>
      <c r="G1194" s="54" t="s">
        <v>766</v>
      </c>
      <c r="H1194" s="54" t="n">
        <v>14323</v>
      </c>
      <c r="I1194" s="54" t="s">
        <v>295</v>
      </c>
      <c r="J1194" s="54" t="s">
        <v>578</v>
      </c>
    </row>
    <row r="1195" customFormat="false" ht="15" hidden="false" customHeight="true" outlineLevel="0" collapsed="false">
      <c r="A1195" s="54" t="n">
        <v>20260710</v>
      </c>
      <c r="B1195" s="54" t="s">
        <v>592</v>
      </c>
      <c r="C1195" s="54" t="s">
        <v>290</v>
      </c>
      <c r="D1195" s="54" t="s">
        <v>3000</v>
      </c>
      <c r="E1195" s="54" t="s">
        <v>3001</v>
      </c>
      <c r="F1195" s="54" t="s">
        <v>3002</v>
      </c>
      <c r="G1195" s="54" t="s">
        <v>3003</v>
      </c>
      <c r="H1195" s="54" t="n">
        <v>11308</v>
      </c>
      <c r="I1195" s="54" t="s">
        <v>295</v>
      </c>
      <c r="J1195" s="54" t="s">
        <v>597</v>
      </c>
    </row>
    <row r="1196" customFormat="false" ht="15" hidden="false" customHeight="true" outlineLevel="0" collapsed="false">
      <c r="A1196" s="54" t="n">
        <v>20260710</v>
      </c>
      <c r="B1196" s="54" t="s">
        <v>592</v>
      </c>
      <c r="C1196" s="54" t="s">
        <v>290</v>
      </c>
      <c r="D1196" s="54" t="s">
        <v>3000</v>
      </c>
      <c r="E1196" s="54" t="s">
        <v>3001</v>
      </c>
      <c r="F1196" s="54" t="s">
        <v>3004</v>
      </c>
      <c r="G1196" s="54" t="s">
        <v>3005</v>
      </c>
      <c r="H1196" s="54" t="n">
        <v>946</v>
      </c>
      <c r="I1196" s="54" t="s">
        <v>295</v>
      </c>
      <c r="J1196" s="54" t="s">
        <v>597</v>
      </c>
    </row>
    <row r="1197" customFormat="false" ht="15" hidden="false" customHeight="true" outlineLevel="0" collapsed="false">
      <c r="A1197" s="54" t="n">
        <v>20260710</v>
      </c>
      <c r="B1197" s="54" t="s">
        <v>592</v>
      </c>
      <c r="C1197" s="54" t="s">
        <v>290</v>
      </c>
      <c r="D1197" s="54" t="s">
        <v>3000</v>
      </c>
      <c r="E1197" s="54" t="s">
        <v>3001</v>
      </c>
      <c r="F1197" s="54" t="s">
        <v>3006</v>
      </c>
      <c r="G1197" s="54" t="s">
        <v>3007</v>
      </c>
      <c r="H1197" s="54" t="n">
        <v>16758</v>
      </c>
      <c r="I1197" s="54" t="s">
        <v>295</v>
      </c>
      <c r="J1197" s="54" t="s">
        <v>597</v>
      </c>
    </row>
    <row r="1198" customFormat="false" ht="15" hidden="false" customHeight="true" outlineLevel="0" collapsed="false">
      <c r="A1198" s="54" t="n">
        <v>20260710</v>
      </c>
      <c r="B1198" s="54" t="s">
        <v>535</v>
      </c>
      <c r="C1198" s="54" t="s">
        <v>290</v>
      </c>
      <c r="D1198" s="54" t="s">
        <v>3008</v>
      </c>
      <c r="E1198" s="54" t="s">
        <v>3009</v>
      </c>
      <c r="F1198" s="54" t="s">
        <v>3010</v>
      </c>
      <c r="G1198" s="54" t="s">
        <v>2538</v>
      </c>
      <c r="H1198" s="54" t="n">
        <v>18140</v>
      </c>
      <c r="I1198" s="54" t="s">
        <v>295</v>
      </c>
      <c r="J1198" s="54" t="s">
        <v>734</v>
      </c>
    </row>
    <row r="1199" customFormat="false" ht="15" hidden="false" customHeight="true" outlineLevel="0" collapsed="false">
      <c r="A1199" s="54" t="n">
        <v>20260710</v>
      </c>
      <c r="B1199" s="54" t="s">
        <v>535</v>
      </c>
      <c r="C1199" s="54" t="s">
        <v>290</v>
      </c>
      <c r="D1199" s="54" t="s">
        <v>3008</v>
      </c>
      <c r="E1199" s="54" t="s">
        <v>3009</v>
      </c>
      <c r="F1199" s="54" t="s">
        <v>3011</v>
      </c>
      <c r="G1199" s="54" t="s">
        <v>929</v>
      </c>
      <c r="H1199" s="54" t="n">
        <v>10946</v>
      </c>
      <c r="I1199" s="54" t="s">
        <v>295</v>
      </c>
      <c r="J1199" s="54" t="s">
        <v>734</v>
      </c>
    </row>
    <row r="1200" customFormat="false" ht="15" hidden="false" customHeight="true" outlineLevel="0" collapsed="false">
      <c r="A1200" s="54" t="n">
        <v>20260710</v>
      </c>
      <c r="B1200" s="54" t="s">
        <v>688</v>
      </c>
      <c r="C1200" s="54" t="s">
        <v>307</v>
      </c>
      <c r="D1200" s="54" t="s">
        <v>3012</v>
      </c>
      <c r="E1200" s="54" t="s">
        <v>3013</v>
      </c>
      <c r="F1200" s="54" t="s">
        <v>3014</v>
      </c>
      <c r="G1200" s="54" t="s">
        <v>1751</v>
      </c>
      <c r="H1200" s="54" t="n">
        <v>14412</v>
      </c>
      <c r="I1200" s="54" t="s">
        <v>295</v>
      </c>
      <c r="J1200" s="54" t="s">
        <v>693</v>
      </c>
    </row>
    <row r="1201" customFormat="false" ht="15" hidden="false" customHeight="true" outlineLevel="0" collapsed="false">
      <c r="A1201" s="54" t="n">
        <v>20260710</v>
      </c>
      <c r="B1201" s="54" t="s">
        <v>688</v>
      </c>
      <c r="C1201" s="54" t="s">
        <v>307</v>
      </c>
      <c r="D1201" s="54" t="s">
        <v>3012</v>
      </c>
      <c r="E1201" s="54" t="s">
        <v>3013</v>
      </c>
      <c r="F1201" s="54" t="s">
        <v>2902</v>
      </c>
      <c r="G1201" s="54" t="s">
        <v>3015</v>
      </c>
      <c r="H1201" s="54" t="n">
        <v>2</v>
      </c>
      <c r="I1201" s="54" t="s">
        <v>295</v>
      </c>
      <c r="J1201" s="54" t="s">
        <v>693</v>
      </c>
    </row>
    <row r="1202" customFormat="false" ht="15" hidden="false" customHeight="true" outlineLevel="0" collapsed="false">
      <c r="A1202" s="54" t="n">
        <v>20260710</v>
      </c>
      <c r="B1202" s="54" t="s">
        <v>688</v>
      </c>
      <c r="C1202" s="54" t="s">
        <v>307</v>
      </c>
      <c r="D1202" s="54" t="s">
        <v>3012</v>
      </c>
      <c r="E1202" s="54" t="s">
        <v>3013</v>
      </c>
      <c r="F1202" s="54" t="s">
        <v>3016</v>
      </c>
      <c r="G1202" s="54" t="s">
        <v>3017</v>
      </c>
      <c r="H1202" s="54" t="n">
        <v>18468</v>
      </c>
      <c r="I1202" s="54" t="s">
        <v>295</v>
      </c>
      <c r="J1202" s="54" t="s">
        <v>693</v>
      </c>
    </row>
    <row r="1203" customFormat="false" ht="15" hidden="false" customHeight="true" outlineLevel="0" collapsed="false">
      <c r="A1203" s="54" t="n">
        <v>20260710</v>
      </c>
      <c r="B1203" s="54" t="s">
        <v>289</v>
      </c>
      <c r="C1203" s="54" t="s">
        <v>290</v>
      </c>
      <c r="D1203" s="54" t="s">
        <v>3018</v>
      </c>
      <c r="E1203" s="54" t="s">
        <v>3019</v>
      </c>
      <c r="F1203" s="54" t="s">
        <v>3020</v>
      </c>
      <c r="G1203" s="54" t="s">
        <v>3021</v>
      </c>
      <c r="H1203" s="54" t="n">
        <v>15688</v>
      </c>
      <c r="I1203" s="54" t="s">
        <v>295</v>
      </c>
      <c r="J1203" s="54" t="s">
        <v>852</v>
      </c>
    </row>
    <row r="1204" customFormat="false" ht="15" hidden="false" customHeight="true" outlineLevel="0" collapsed="false">
      <c r="A1204" s="54" t="n">
        <v>20260710</v>
      </c>
      <c r="B1204" s="54" t="s">
        <v>289</v>
      </c>
      <c r="C1204" s="54" t="s">
        <v>290</v>
      </c>
      <c r="D1204" s="54" t="s">
        <v>3018</v>
      </c>
      <c r="E1204" s="54" t="s">
        <v>3019</v>
      </c>
      <c r="F1204" s="54" t="s">
        <v>3022</v>
      </c>
      <c r="G1204" s="54" t="s">
        <v>3023</v>
      </c>
      <c r="H1204" s="54" t="n">
        <v>13786</v>
      </c>
      <c r="I1204" s="54" t="s">
        <v>295</v>
      </c>
      <c r="J1204" s="54" t="s">
        <v>852</v>
      </c>
    </row>
    <row r="1205" customFormat="false" ht="15" hidden="false" customHeight="true" outlineLevel="0" collapsed="false">
      <c r="A1205" s="54" t="n">
        <v>20260710</v>
      </c>
      <c r="B1205" s="54" t="s">
        <v>497</v>
      </c>
      <c r="C1205" s="54" t="s">
        <v>290</v>
      </c>
      <c r="D1205" s="54" t="s">
        <v>3024</v>
      </c>
      <c r="E1205" s="54" t="s">
        <v>3025</v>
      </c>
      <c r="F1205" s="54" t="s">
        <v>3026</v>
      </c>
      <c r="G1205" s="54" t="s">
        <v>3027</v>
      </c>
      <c r="H1205" s="54" t="n">
        <v>16096</v>
      </c>
      <c r="I1205" s="54" t="s">
        <v>295</v>
      </c>
      <c r="J1205" s="54" t="s">
        <v>1095</v>
      </c>
    </row>
    <row r="1206" customFormat="false" ht="15" hidden="false" customHeight="true" outlineLevel="0" collapsed="false">
      <c r="A1206" s="54" t="n">
        <v>20260710</v>
      </c>
      <c r="B1206" s="54" t="s">
        <v>497</v>
      </c>
      <c r="C1206" s="54" t="s">
        <v>290</v>
      </c>
      <c r="D1206" s="54" t="s">
        <v>3024</v>
      </c>
      <c r="E1206" s="54" t="s">
        <v>3025</v>
      </c>
      <c r="F1206" s="54" t="s">
        <v>3028</v>
      </c>
      <c r="G1206" s="54" t="s">
        <v>3029</v>
      </c>
      <c r="H1206" s="54" t="n">
        <v>75</v>
      </c>
      <c r="I1206" s="54" t="s">
        <v>295</v>
      </c>
      <c r="J1206" s="54" t="s">
        <v>1095</v>
      </c>
    </row>
    <row r="1207" customFormat="false" ht="15" hidden="false" customHeight="true" outlineLevel="0" collapsed="false">
      <c r="A1207" s="54" t="n">
        <v>20260710</v>
      </c>
      <c r="B1207" s="54" t="s">
        <v>497</v>
      </c>
      <c r="C1207" s="54" t="s">
        <v>290</v>
      </c>
      <c r="D1207" s="54" t="s">
        <v>3024</v>
      </c>
      <c r="E1207" s="54" t="s">
        <v>3025</v>
      </c>
      <c r="F1207" s="54" t="s">
        <v>3030</v>
      </c>
      <c r="G1207" s="54" t="s">
        <v>3031</v>
      </c>
      <c r="H1207" s="54" t="n">
        <v>8980</v>
      </c>
      <c r="I1207" s="54" t="s">
        <v>295</v>
      </c>
      <c r="J1207" s="54" t="s">
        <v>1095</v>
      </c>
    </row>
    <row r="1208" customFormat="false" ht="15" hidden="false" customHeight="true" outlineLevel="0" collapsed="false">
      <c r="A1208" s="54" t="n">
        <v>20260710</v>
      </c>
      <c r="B1208" s="54" t="s">
        <v>306</v>
      </c>
      <c r="C1208" s="54" t="s">
        <v>290</v>
      </c>
      <c r="D1208" s="54" t="s">
        <v>3032</v>
      </c>
      <c r="E1208" s="54" t="s">
        <v>3033</v>
      </c>
      <c r="F1208" s="54" t="s">
        <v>698</v>
      </c>
      <c r="G1208" s="54" t="s">
        <v>3034</v>
      </c>
      <c r="H1208" s="54" t="n">
        <v>28800</v>
      </c>
      <c r="I1208" s="54" t="s">
        <v>295</v>
      </c>
      <c r="J1208" s="54" t="s">
        <v>989</v>
      </c>
    </row>
    <row r="1209" customFormat="false" ht="15" hidden="false" customHeight="true" outlineLevel="0" collapsed="false">
      <c r="A1209" s="54" t="n">
        <v>20260710</v>
      </c>
      <c r="B1209" s="54" t="s">
        <v>497</v>
      </c>
      <c r="C1209" s="54" t="s">
        <v>290</v>
      </c>
      <c r="D1209" s="54" t="s">
        <v>3035</v>
      </c>
      <c r="E1209" s="54" t="s">
        <v>3036</v>
      </c>
      <c r="F1209" s="54" t="s">
        <v>2783</v>
      </c>
      <c r="G1209" s="54" t="s">
        <v>3037</v>
      </c>
      <c r="H1209" s="54" t="n">
        <v>16210</v>
      </c>
      <c r="I1209" s="54" t="s">
        <v>295</v>
      </c>
      <c r="J1209" s="54" t="s">
        <v>1095</v>
      </c>
    </row>
    <row r="1210" customFormat="false" ht="15" hidden="false" customHeight="true" outlineLevel="0" collapsed="false">
      <c r="A1210" s="54" t="n">
        <v>20260710</v>
      </c>
      <c r="B1210" s="54" t="s">
        <v>497</v>
      </c>
      <c r="C1210" s="54" t="s">
        <v>290</v>
      </c>
      <c r="D1210" s="54" t="s">
        <v>3035</v>
      </c>
      <c r="E1210" s="54" t="s">
        <v>3036</v>
      </c>
      <c r="F1210" s="54" t="s">
        <v>3038</v>
      </c>
      <c r="G1210" s="54" t="s">
        <v>2855</v>
      </c>
      <c r="H1210" s="54" t="n">
        <v>12565</v>
      </c>
      <c r="I1210" s="54" t="s">
        <v>295</v>
      </c>
      <c r="J1210" s="54" t="s">
        <v>1095</v>
      </c>
    </row>
    <row r="1211" customFormat="false" ht="15" hidden="false" customHeight="true" outlineLevel="0" collapsed="false">
      <c r="A1211" s="54" t="n">
        <v>20260710</v>
      </c>
      <c r="B1211" s="54" t="s">
        <v>535</v>
      </c>
      <c r="C1211" s="54" t="s">
        <v>290</v>
      </c>
      <c r="D1211" s="54" t="s">
        <v>3039</v>
      </c>
      <c r="E1211" s="54" t="s">
        <v>3040</v>
      </c>
      <c r="F1211" s="54" t="s">
        <v>3041</v>
      </c>
      <c r="G1211" s="54" t="s">
        <v>2572</v>
      </c>
      <c r="H1211" s="54" t="n">
        <v>14389</v>
      </c>
      <c r="I1211" s="54" t="s">
        <v>295</v>
      </c>
      <c r="J1211" s="54" t="s">
        <v>2306</v>
      </c>
    </row>
    <row r="1212" customFormat="false" ht="15" hidden="false" customHeight="true" outlineLevel="0" collapsed="false">
      <c r="A1212" s="54" t="n">
        <v>20260710</v>
      </c>
      <c r="B1212" s="54" t="s">
        <v>535</v>
      </c>
      <c r="C1212" s="54" t="s">
        <v>290</v>
      </c>
      <c r="D1212" s="54" t="s">
        <v>3039</v>
      </c>
      <c r="E1212" s="54" t="s">
        <v>3040</v>
      </c>
      <c r="F1212" s="54" t="s">
        <v>1293</v>
      </c>
      <c r="G1212" s="54" t="s">
        <v>3042</v>
      </c>
      <c r="H1212" s="54" t="n">
        <v>8829</v>
      </c>
      <c r="I1212" s="54" t="s">
        <v>295</v>
      </c>
      <c r="J1212" s="54" t="s">
        <v>2306</v>
      </c>
    </row>
    <row r="1213" customFormat="false" ht="15" hidden="false" customHeight="true" outlineLevel="0" collapsed="false">
      <c r="A1213" s="54" t="n">
        <v>20260710</v>
      </c>
      <c r="B1213" s="54" t="s">
        <v>535</v>
      </c>
      <c r="C1213" s="54" t="s">
        <v>290</v>
      </c>
      <c r="D1213" s="54" t="s">
        <v>3039</v>
      </c>
      <c r="E1213" s="54" t="s">
        <v>3040</v>
      </c>
      <c r="F1213" s="54" t="s">
        <v>3043</v>
      </c>
      <c r="G1213" s="54" t="s">
        <v>3044</v>
      </c>
      <c r="H1213" s="54" t="n">
        <v>5649</v>
      </c>
      <c r="I1213" s="54" t="s">
        <v>295</v>
      </c>
      <c r="J1213" s="54" t="s">
        <v>2306</v>
      </c>
    </row>
    <row r="1214" customFormat="false" ht="15" hidden="false" customHeight="true" outlineLevel="0" collapsed="false">
      <c r="A1214" s="54" t="n">
        <v>20260710</v>
      </c>
      <c r="B1214" s="54" t="s">
        <v>497</v>
      </c>
      <c r="C1214" s="54" t="s">
        <v>307</v>
      </c>
      <c r="D1214" s="54" t="s">
        <v>3045</v>
      </c>
      <c r="E1214" s="54" t="s">
        <v>3046</v>
      </c>
      <c r="F1214" s="54" t="s">
        <v>3047</v>
      </c>
      <c r="G1214" s="54" t="s">
        <v>3048</v>
      </c>
      <c r="H1214" s="54" t="n">
        <v>16376</v>
      </c>
      <c r="I1214" s="54" t="s">
        <v>295</v>
      </c>
      <c r="J1214" s="54" t="s">
        <v>894</v>
      </c>
    </row>
    <row r="1215" customFormat="false" ht="15" hidden="false" customHeight="true" outlineLevel="0" collapsed="false">
      <c r="A1215" s="54" t="n">
        <v>20260710</v>
      </c>
      <c r="B1215" s="54" t="s">
        <v>497</v>
      </c>
      <c r="C1215" s="54" t="s">
        <v>307</v>
      </c>
      <c r="D1215" s="54" t="s">
        <v>3045</v>
      </c>
      <c r="E1215" s="54" t="s">
        <v>3046</v>
      </c>
      <c r="F1215" s="54" t="s">
        <v>3049</v>
      </c>
      <c r="G1215" s="54" t="s">
        <v>3050</v>
      </c>
      <c r="H1215" s="54" t="n">
        <v>12892</v>
      </c>
      <c r="I1215" s="54" t="s">
        <v>295</v>
      </c>
      <c r="J1215" s="54" t="s">
        <v>894</v>
      </c>
    </row>
    <row r="1216" customFormat="false" ht="15" hidden="false" customHeight="true" outlineLevel="0" collapsed="false">
      <c r="A1216" s="54" t="n">
        <v>20260710</v>
      </c>
      <c r="B1216" s="54" t="s">
        <v>188</v>
      </c>
      <c r="C1216" s="54" t="s">
        <v>307</v>
      </c>
      <c r="D1216" s="54" t="s">
        <v>3051</v>
      </c>
      <c r="E1216" s="54" t="s">
        <v>3052</v>
      </c>
      <c r="F1216" s="54" t="s">
        <v>3053</v>
      </c>
      <c r="G1216" s="54" t="s">
        <v>3054</v>
      </c>
      <c r="H1216" s="54" t="n">
        <v>18456</v>
      </c>
      <c r="I1216" s="54" t="s">
        <v>295</v>
      </c>
      <c r="J1216" s="54" t="s">
        <v>2393</v>
      </c>
    </row>
    <row r="1217" customFormat="false" ht="15" hidden="false" customHeight="true" outlineLevel="0" collapsed="false">
      <c r="A1217" s="54" t="n">
        <v>20260710</v>
      </c>
      <c r="B1217" s="54" t="s">
        <v>188</v>
      </c>
      <c r="C1217" s="54" t="s">
        <v>307</v>
      </c>
      <c r="D1217" s="54" t="s">
        <v>3051</v>
      </c>
      <c r="E1217" s="54" t="s">
        <v>3052</v>
      </c>
      <c r="F1217" s="54" t="s">
        <v>3055</v>
      </c>
      <c r="G1217" s="54" t="s">
        <v>3056</v>
      </c>
      <c r="H1217" s="54" t="n">
        <v>10680</v>
      </c>
      <c r="I1217" s="54" t="s">
        <v>295</v>
      </c>
      <c r="J1217" s="54" t="s">
        <v>2393</v>
      </c>
    </row>
    <row r="1218" customFormat="false" ht="15" hidden="false" customHeight="true" outlineLevel="0" collapsed="false">
      <c r="A1218" s="54" t="n">
        <v>20260710</v>
      </c>
      <c r="B1218" s="54" t="s">
        <v>306</v>
      </c>
      <c r="C1218" s="54" t="s">
        <v>290</v>
      </c>
      <c r="D1218" s="54" t="s">
        <v>3057</v>
      </c>
      <c r="E1218" s="54" t="s">
        <v>3058</v>
      </c>
      <c r="F1218" s="54" t="s">
        <v>3059</v>
      </c>
      <c r="G1218" s="54" t="s">
        <v>3060</v>
      </c>
      <c r="H1218" s="54" t="n">
        <v>101</v>
      </c>
      <c r="I1218" s="54" t="s">
        <v>315</v>
      </c>
      <c r="J1218" s="54" t="s">
        <v>368</v>
      </c>
    </row>
    <row r="1219" customFormat="false" ht="15" hidden="false" customHeight="true" outlineLevel="0" collapsed="false">
      <c r="A1219" s="54" t="n">
        <v>20260710</v>
      </c>
      <c r="B1219" s="54" t="s">
        <v>306</v>
      </c>
      <c r="C1219" s="54" t="s">
        <v>290</v>
      </c>
      <c r="D1219" s="54" t="s">
        <v>3057</v>
      </c>
      <c r="E1219" s="54" t="s">
        <v>3058</v>
      </c>
      <c r="F1219" s="54" t="s">
        <v>3059</v>
      </c>
      <c r="G1219" s="54" t="s">
        <v>3060</v>
      </c>
      <c r="H1219" s="54" t="n">
        <v>101</v>
      </c>
      <c r="I1219" s="54" t="s">
        <v>295</v>
      </c>
      <c r="J1219" s="54" t="s">
        <v>368</v>
      </c>
    </row>
    <row r="1220" customFormat="false" ht="15" hidden="false" customHeight="true" outlineLevel="0" collapsed="false">
      <c r="A1220" s="54" t="n">
        <v>20260710</v>
      </c>
      <c r="B1220" s="54" t="s">
        <v>306</v>
      </c>
      <c r="C1220" s="54" t="s">
        <v>290</v>
      </c>
      <c r="D1220" s="54" t="s">
        <v>3057</v>
      </c>
      <c r="E1220" s="54" t="s">
        <v>3058</v>
      </c>
      <c r="F1220" s="54" t="s">
        <v>1411</v>
      </c>
      <c r="G1220" s="54" t="s">
        <v>3061</v>
      </c>
      <c r="H1220" s="54" t="n">
        <v>19901</v>
      </c>
      <c r="I1220" s="54" t="s">
        <v>295</v>
      </c>
      <c r="J1220" s="54" t="s">
        <v>368</v>
      </c>
    </row>
    <row r="1221" customFormat="false" ht="15" hidden="false" customHeight="true" outlineLevel="0" collapsed="false">
      <c r="A1221" s="54" t="n">
        <v>20260710</v>
      </c>
      <c r="B1221" s="54" t="s">
        <v>306</v>
      </c>
      <c r="C1221" s="54" t="s">
        <v>290</v>
      </c>
      <c r="D1221" s="54" t="s">
        <v>3057</v>
      </c>
      <c r="E1221" s="54" t="s">
        <v>3058</v>
      </c>
      <c r="F1221" s="54" t="s">
        <v>3062</v>
      </c>
      <c r="G1221" s="54" t="s">
        <v>1448</v>
      </c>
      <c r="H1221" s="54" t="n">
        <v>8968</v>
      </c>
      <c r="I1221" s="54" t="s">
        <v>315</v>
      </c>
      <c r="J1221" s="54" t="s">
        <v>368</v>
      </c>
    </row>
    <row r="1222" customFormat="false" ht="15" hidden="false" customHeight="true" outlineLevel="0" collapsed="false">
      <c r="A1222" s="54" t="n">
        <v>20260710</v>
      </c>
      <c r="B1222" s="54" t="s">
        <v>306</v>
      </c>
      <c r="C1222" s="54" t="s">
        <v>290</v>
      </c>
      <c r="D1222" s="54" t="s">
        <v>3057</v>
      </c>
      <c r="E1222" s="54" t="s">
        <v>3058</v>
      </c>
      <c r="F1222" s="54" t="s">
        <v>3062</v>
      </c>
      <c r="G1222" s="54" t="s">
        <v>1448</v>
      </c>
      <c r="H1222" s="54" t="n">
        <v>8968</v>
      </c>
      <c r="I1222" s="54" t="s">
        <v>295</v>
      </c>
      <c r="J1222" s="54" t="s">
        <v>368</v>
      </c>
    </row>
    <row r="1223" customFormat="false" ht="15" hidden="false" customHeight="true" outlineLevel="0" collapsed="false">
      <c r="A1223" s="54" t="n">
        <v>20260710</v>
      </c>
      <c r="B1223" s="54" t="s">
        <v>306</v>
      </c>
      <c r="C1223" s="54" t="s">
        <v>290</v>
      </c>
      <c r="D1223" s="54" t="s">
        <v>3063</v>
      </c>
      <c r="E1223" s="54" t="s">
        <v>3064</v>
      </c>
      <c r="F1223" s="54" t="s">
        <v>3065</v>
      </c>
      <c r="G1223" s="54" t="s">
        <v>3066</v>
      </c>
      <c r="H1223" s="54" t="n">
        <v>20728</v>
      </c>
      <c r="I1223" s="54" t="s">
        <v>295</v>
      </c>
      <c r="J1223" s="54" t="s">
        <v>989</v>
      </c>
    </row>
    <row r="1224" customFormat="false" ht="15" hidden="false" customHeight="true" outlineLevel="0" collapsed="false">
      <c r="A1224" s="54" t="n">
        <v>20260710</v>
      </c>
      <c r="B1224" s="54" t="s">
        <v>306</v>
      </c>
      <c r="C1224" s="54" t="s">
        <v>290</v>
      </c>
      <c r="D1224" s="54" t="s">
        <v>3063</v>
      </c>
      <c r="E1224" s="54" t="s">
        <v>3064</v>
      </c>
      <c r="F1224" s="54" t="s">
        <v>3067</v>
      </c>
      <c r="G1224" s="54" t="s">
        <v>3068</v>
      </c>
      <c r="H1224" s="54" t="n">
        <v>161</v>
      </c>
      <c r="I1224" s="54" t="s">
        <v>295</v>
      </c>
      <c r="J1224" s="54" t="s">
        <v>989</v>
      </c>
    </row>
    <row r="1225" customFormat="false" ht="15" hidden="false" customHeight="true" outlineLevel="0" collapsed="false">
      <c r="A1225" s="54" t="n">
        <v>20260710</v>
      </c>
      <c r="B1225" s="54" t="s">
        <v>306</v>
      </c>
      <c r="C1225" s="54" t="s">
        <v>290</v>
      </c>
      <c r="D1225" s="54" t="s">
        <v>3063</v>
      </c>
      <c r="E1225" s="54" t="s">
        <v>3064</v>
      </c>
      <c r="F1225" s="54" t="s">
        <v>3069</v>
      </c>
      <c r="G1225" s="54" t="s">
        <v>3070</v>
      </c>
      <c r="H1225" s="54" t="n">
        <v>11516</v>
      </c>
      <c r="I1225" s="54" t="s">
        <v>295</v>
      </c>
      <c r="J1225" s="54" t="s">
        <v>989</v>
      </c>
    </row>
    <row r="1226" customFormat="false" ht="15" hidden="false" customHeight="true" outlineLevel="0" collapsed="false">
      <c r="A1226" s="54" t="n">
        <v>20260710</v>
      </c>
      <c r="B1226" s="54" t="s">
        <v>535</v>
      </c>
      <c r="C1226" s="54" t="s">
        <v>290</v>
      </c>
      <c r="D1226" s="54" t="s">
        <v>3071</v>
      </c>
      <c r="E1226" s="54" t="s">
        <v>3072</v>
      </c>
      <c r="F1226" s="54" t="s">
        <v>3073</v>
      </c>
      <c r="G1226" s="54" t="s">
        <v>3074</v>
      </c>
      <c r="H1226" s="54" t="n">
        <v>18013</v>
      </c>
      <c r="I1226" s="54" t="s">
        <v>295</v>
      </c>
      <c r="J1226" s="54" t="s">
        <v>1452</v>
      </c>
    </row>
    <row r="1227" customFormat="false" ht="15" hidden="false" customHeight="true" outlineLevel="0" collapsed="false">
      <c r="A1227" s="54" t="n">
        <v>20260710</v>
      </c>
      <c r="B1227" s="54" t="s">
        <v>535</v>
      </c>
      <c r="C1227" s="54" t="s">
        <v>290</v>
      </c>
      <c r="D1227" s="54" t="s">
        <v>3071</v>
      </c>
      <c r="E1227" s="54" t="s">
        <v>3072</v>
      </c>
      <c r="F1227" s="54" t="s">
        <v>3075</v>
      </c>
      <c r="G1227" s="54" t="s">
        <v>929</v>
      </c>
      <c r="H1227" s="54" t="n">
        <v>10776</v>
      </c>
      <c r="I1227" s="54" t="s">
        <v>295</v>
      </c>
      <c r="J1227" s="54" t="s">
        <v>1452</v>
      </c>
    </row>
    <row r="1228" customFormat="false" ht="15" hidden="false" customHeight="true" outlineLevel="0" collapsed="false">
      <c r="A1228" s="54" t="n">
        <v>20260710</v>
      </c>
      <c r="B1228" s="54" t="s">
        <v>289</v>
      </c>
      <c r="C1228" s="54" t="s">
        <v>290</v>
      </c>
      <c r="D1228" s="54" t="s">
        <v>3076</v>
      </c>
      <c r="E1228" s="54" t="s">
        <v>3077</v>
      </c>
      <c r="F1228" s="54" t="s">
        <v>3078</v>
      </c>
      <c r="G1228" s="54" t="s">
        <v>3079</v>
      </c>
      <c r="H1228" s="54" t="n">
        <v>14873</v>
      </c>
      <c r="I1228" s="54" t="s">
        <v>360</v>
      </c>
      <c r="J1228" s="54" t="s">
        <v>1431</v>
      </c>
    </row>
    <row r="1229" customFormat="false" ht="15" hidden="false" customHeight="true" outlineLevel="0" collapsed="false">
      <c r="A1229" s="54" t="n">
        <v>20260710</v>
      </c>
      <c r="B1229" s="54" t="s">
        <v>289</v>
      </c>
      <c r="C1229" s="54" t="s">
        <v>290</v>
      </c>
      <c r="D1229" s="54" t="s">
        <v>3076</v>
      </c>
      <c r="E1229" s="54" t="s">
        <v>3077</v>
      </c>
      <c r="F1229" s="54" t="s">
        <v>3078</v>
      </c>
      <c r="G1229" s="54" t="s">
        <v>3079</v>
      </c>
      <c r="H1229" s="54" t="n">
        <v>14873</v>
      </c>
      <c r="I1229" s="54" t="s">
        <v>295</v>
      </c>
      <c r="J1229" s="54" t="s">
        <v>1431</v>
      </c>
    </row>
    <row r="1230" customFormat="false" ht="15" hidden="false" customHeight="true" outlineLevel="0" collapsed="false">
      <c r="A1230" s="54" t="n">
        <v>20260710</v>
      </c>
      <c r="B1230" s="54" t="s">
        <v>289</v>
      </c>
      <c r="C1230" s="54" t="s">
        <v>290</v>
      </c>
      <c r="D1230" s="54" t="s">
        <v>3076</v>
      </c>
      <c r="E1230" s="54" t="s">
        <v>3077</v>
      </c>
      <c r="F1230" s="54" t="s">
        <v>3080</v>
      </c>
      <c r="G1230" s="54" t="s">
        <v>3081</v>
      </c>
      <c r="H1230" s="54" t="n">
        <v>14434</v>
      </c>
      <c r="I1230" s="54" t="s">
        <v>360</v>
      </c>
      <c r="J1230" s="54" t="s">
        <v>1431</v>
      </c>
    </row>
    <row r="1231" customFormat="false" ht="15" hidden="false" customHeight="true" outlineLevel="0" collapsed="false">
      <c r="A1231" s="54" t="n">
        <v>20260710</v>
      </c>
      <c r="B1231" s="54" t="s">
        <v>289</v>
      </c>
      <c r="C1231" s="54" t="s">
        <v>290</v>
      </c>
      <c r="D1231" s="54" t="s">
        <v>3076</v>
      </c>
      <c r="E1231" s="54" t="s">
        <v>3077</v>
      </c>
      <c r="F1231" s="54" t="s">
        <v>3080</v>
      </c>
      <c r="G1231" s="54" t="s">
        <v>3081</v>
      </c>
      <c r="H1231" s="54" t="n">
        <v>14434</v>
      </c>
      <c r="I1231" s="54" t="s">
        <v>295</v>
      </c>
      <c r="J1231" s="54" t="s">
        <v>1431</v>
      </c>
    </row>
    <row r="1232" customFormat="false" ht="15" hidden="false" customHeight="true" outlineLevel="0" collapsed="false">
      <c r="A1232" s="54" t="n">
        <v>20260710</v>
      </c>
      <c r="B1232" s="54" t="s">
        <v>289</v>
      </c>
      <c r="C1232" s="54" t="s">
        <v>290</v>
      </c>
      <c r="D1232" s="54" t="s">
        <v>3082</v>
      </c>
      <c r="E1232" s="54" t="s">
        <v>3083</v>
      </c>
      <c r="F1232" s="54" t="s">
        <v>3084</v>
      </c>
      <c r="G1232" s="54" t="s">
        <v>3085</v>
      </c>
      <c r="H1232" s="54" t="n">
        <v>281</v>
      </c>
      <c r="I1232" s="54" t="s">
        <v>295</v>
      </c>
      <c r="J1232" s="54" t="s">
        <v>414</v>
      </c>
    </row>
    <row r="1233" customFormat="false" ht="15" hidden="false" customHeight="true" outlineLevel="0" collapsed="false">
      <c r="A1233" s="54" t="n">
        <v>20260710</v>
      </c>
      <c r="B1233" s="54" t="s">
        <v>289</v>
      </c>
      <c r="C1233" s="54" t="s">
        <v>290</v>
      </c>
      <c r="D1233" s="54" t="s">
        <v>3082</v>
      </c>
      <c r="E1233" s="54" t="s">
        <v>3083</v>
      </c>
      <c r="F1233" s="54" t="s">
        <v>3086</v>
      </c>
      <c r="G1233" s="54" t="s">
        <v>3087</v>
      </c>
      <c r="H1233" s="54" t="n">
        <v>23025</v>
      </c>
      <c r="I1233" s="54" t="s">
        <v>295</v>
      </c>
      <c r="J1233" s="54" t="s">
        <v>414</v>
      </c>
    </row>
    <row r="1234" customFormat="false" ht="15" hidden="false" customHeight="true" outlineLevel="0" collapsed="false">
      <c r="A1234" s="54" t="n">
        <v>20260710</v>
      </c>
      <c r="B1234" s="54" t="s">
        <v>289</v>
      </c>
      <c r="C1234" s="54" t="s">
        <v>290</v>
      </c>
      <c r="D1234" s="54" t="s">
        <v>3082</v>
      </c>
      <c r="E1234" s="54" t="s">
        <v>3083</v>
      </c>
      <c r="F1234" s="54" t="s">
        <v>3088</v>
      </c>
      <c r="G1234" s="54" t="s">
        <v>3089</v>
      </c>
      <c r="H1234" s="54" t="n">
        <v>11698</v>
      </c>
      <c r="I1234" s="54" t="s">
        <v>295</v>
      </c>
      <c r="J1234" s="54" t="s">
        <v>414</v>
      </c>
    </row>
    <row r="1235" customFormat="false" ht="15" hidden="false" customHeight="true" outlineLevel="0" collapsed="false">
      <c r="A1235" s="54" t="n">
        <v>20260710</v>
      </c>
      <c r="B1235" s="54" t="s">
        <v>592</v>
      </c>
      <c r="C1235" s="54" t="s">
        <v>290</v>
      </c>
      <c r="D1235" s="54" t="s">
        <v>3090</v>
      </c>
      <c r="E1235" s="54" t="s">
        <v>3091</v>
      </c>
      <c r="F1235" s="54" t="s">
        <v>3092</v>
      </c>
      <c r="G1235" s="54" t="s">
        <v>1020</v>
      </c>
      <c r="H1235" s="54" t="n">
        <v>14611</v>
      </c>
      <c r="I1235" s="54" t="s">
        <v>295</v>
      </c>
      <c r="J1235" s="54" t="s">
        <v>597</v>
      </c>
    </row>
    <row r="1236" customFormat="false" ht="15" hidden="false" customHeight="true" outlineLevel="0" collapsed="false">
      <c r="A1236" s="54" t="n">
        <v>20260710</v>
      </c>
      <c r="B1236" s="54" t="s">
        <v>592</v>
      </c>
      <c r="C1236" s="54" t="s">
        <v>290</v>
      </c>
      <c r="D1236" s="54" t="s">
        <v>3090</v>
      </c>
      <c r="E1236" s="54" t="s">
        <v>3091</v>
      </c>
      <c r="F1236" s="54" t="s">
        <v>3093</v>
      </c>
      <c r="G1236" s="54" t="s">
        <v>3094</v>
      </c>
      <c r="H1236" s="54" t="n">
        <v>14599</v>
      </c>
      <c r="I1236" s="54" t="s">
        <v>295</v>
      </c>
      <c r="J1236" s="54" t="s">
        <v>597</v>
      </c>
    </row>
    <row r="1237" customFormat="false" ht="15" hidden="false" customHeight="true" outlineLevel="0" collapsed="false">
      <c r="A1237" s="54" t="n">
        <v>20260710</v>
      </c>
      <c r="B1237" s="54" t="s">
        <v>306</v>
      </c>
      <c r="C1237" s="54" t="s">
        <v>290</v>
      </c>
      <c r="D1237" s="54" t="s">
        <v>3095</v>
      </c>
      <c r="E1237" s="54" t="s">
        <v>3096</v>
      </c>
      <c r="F1237" s="54" t="s">
        <v>1948</v>
      </c>
      <c r="G1237" s="54" t="s">
        <v>3097</v>
      </c>
      <c r="H1237" s="54" t="n">
        <v>14461</v>
      </c>
      <c r="I1237" s="54" t="s">
        <v>295</v>
      </c>
      <c r="J1237" s="54" t="s">
        <v>368</v>
      </c>
    </row>
    <row r="1238" customFormat="false" ht="15" hidden="false" customHeight="true" outlineLevel="0" collapsed="false">
      <c r="A1238" s="54" t="n">
        <v>20260710</v>
      </c>
      <c r="B1238" s="54" t="s">
        <v>306</v>
      </c>
      <c r="C1238" s="54" t="s">
        <v>290</v>
      </c>
      <c r="D1238" s="54" t="s">
        <v>3095</v>
      </c>
      <c r="E1238" s="54" t="s">
        <v>3096</v>
      </c>
      <c r="F1238" s="54" t="s">
        <v>831</v>
      </c>
      <c r="G1238" s="54" t="s">
        <v>3097</v>
      </c>
      <c r="H1238" s="54" t="n">
        <v>14460</v>
      </c>
      <c r="I1238" s="54" t="s">
        <v>315</v>
      </c>
      <c r="J1238" s="54" t="s">
        <v>368</v>
      </c>
    </row>
    <row r="1239" customFormat="false" ht="15" hidden="false" customHeight="true" outlineLevel="0" collapsed="false">
      <c r="A1239" s="54" t="n">
        <v>20260710</v>
      </c>
      <c r="B1239" s="54" t="s">
        <v>306</v>
      </c>
      <c r="C1239" s="54" t="s">
        <v>290</v>
      </c>
      <c r="D1239" s="54" t="s">
        <v>3095</v>
      </c>
      <c r="E1239" s="54" t="s">
        <v>3096</v>
      </c>
      <c r="F1239" s="54" t="s">
        <v>1593</v>
      </c>
      <c r="G1239" s="54" t="s">
        <v>3098</v>
      </c>
      <c r="H1239" s="54" t="n">
        <v>18003</v>
      </c>
      <c r="I1239" s="54" t="s">
        <v>295</v>
      </c>
      <c r="J1239" s="54" t="s">
        <v>368</v>
      </c>
    </row>
    <row r="1240" customFormat="false" ht="15" hidden="false" customHeight="true" outlineLevel="0" collapsed="false">
      <c r="A1240" s="54" t="n">
        <v>20260710</v>
      </c>
      <c r="B1240" s="54" t="s">
        <v>306</v>
      </c>
      <c r="C1240" s="54" t="s">
        <v>290</v>
      </c>
      <c r="D1240" s="54" t="s">
        <v>3095</v>
      </c>
      <c r="E1240" s="54" t="s">
        <v>3096</v>
      </c>
      <c r="F1240" s="54" t="s">
        <v>3099</v>
      </c>
      <c r="G1240" s="54" t="s">
        <v>3098</v>
      </c>
      <c r="H1240" s="54" t="n">
        <v>18002</v>
      </c>
      <c r="I1240" s="54" t="s">
        <v>315</v>
      </c>
      <c r="J1240" s="54" t="s">
        <v>368</v>
      </c>
    </row>
    <row r="1241" customFormat="false" ht="15" hidden="false" customHeight="true" outlineLevel="0" collapsed="false">
      <c r="A1241" s="54" t="n">
        <v>20260710</v>
      </c>
      <c r="B1241" s="54" t="s">
        <v>306</v>
      </c>
      <c r="C1241" s="54" t="s">
        <v>307</v>
      </c>
      <c r="D1241" s="54" t="s">
        <v>3100</v>
      </c>
      <c r="E1241" s="54" t="s">
        <v>3101</v>
      </c>
      <c r="F1241" s="54" t="s">
        <v>3102</v>
      </c>
      <c r="G1241" s="54" t="s">
        <v>3103</v>
      </c>
      <c r="H1241" s="54" t="n">
        <v>3</v>
      </c>
      <c r="I1241" s="54" t="s">
        <v>295</v>
      </c>
      <c r="J1241" s="54" t="s">
        <v>312</v>
      </c>
    </row>
    <row r="1242" customFormat="false" ht="15" hidden="false" customHeight="true" outlineLevel="0" collapsed="false">
      <c r="A1242" s="54" t="n">
        <v>20260710</v>
      </c>
      <c r="B1242" s="54" t="s">
        <v>306</v>
      </c>
      <c r="C1242" s="54" t="s">
        <v>307</v>
      </c>
      <c r="D1242" s="54" t="s">
        <v>3100</v>
      </c>
      <c r="E1242" s="54" t="s">
        <v>3101</v>
      </c>
      <c r="F1242" s="54" t="s">
        <v>3104</v>
      </c>
      <c r="G1242" s="54" t="s">
        <v>3105</v>
      </c>
      <c r="H1242" s="54" t="n">
        <v>18220</v>
      </c>
      <c r="I1242" s="54" t="s">
        <v>295</v>
      </c>
      <c r="J1242" s="54" t="s">
        <v>312</v>
      </c>
    </row>
    <row r="1243" customFormat="false" ht="15" hidden="false" customHeight="true" outlineLevel="0" collapsed="false">
      <c r="A1243" s="54" t="n">
        <v>20260710</v>
      </c>
      <c r="B1243" s="54" t="s">
        <v>306</v>
      </c>
      <c r="C1243" s="54" t="s">
        <v>307</v>
      </c>
      <c r="D1243" s="54" t="s">
        <v>3100</v>
      </c>
      <c r="E1243" s="54" t="s">
        <v>3101</v>
      </c>
      <c r="F1243" s="54" t="s">
        <v>529</v>
      </c>
      <c r="G1243" s="54" t="s">
        <v>1128</v>
      </c>
      <c r="H1243" s="54" t="n">
        <v>14196</v>
      </c>
      <c r="I1243" s="54" t="s">
        <v>295</v>
      </c>
      <c r="J1243" s="54" t="s">
        <v>312</v>
      </c>
    </row>
    <row r="1244" customFormat="false" ht="15" hidden="false" customHeight="true" outlineLevel="0" collapsed="false">
      <c r="A1244" s="54" t="n">
        <v>20260710</v>
      </c>
      <c r="B1244" s="54" t="s">
        <v>306</v>
      </c>
      <c r="C1244" s="54" t="s">
        <v>290</v>
      </c>
      <c r="D1244" s="54" t="s">
        <v>3106</v>
      </c>
      <c r="E1244" s="54" t="s">
        <v>3107</v>
      </c>
      <c r="F1244" s="54" t="s">
        <v>3108</v>
      </c>
      <c r="G1244" s="54" t="s">
        <v>3109</v>
      </c>
      <c r="H1244" s="54" t="n">
        <v>14832</v>
      </c>
      <c r="I1244" s="54" t="s">
        <v>315</v>
      </c>
      <c r="J1244" s="54" t="s">
        <v>948</v>
      </c>
    </row>
    <row r="1245" customFormat="false" ht="15" hidden="false" customHeight="true" outlineLevel="0" collapsed="false">
      <c r="A1245" s="54" t="n">
        <v>20260710</v>
      </c>
      <c r="B1245" s="54" t="s">
        <v>306</v>
      </c>
      <c r="C1245" s="54" t="s">
        <v>290</v>
      </c>
      <c r="D1245" s="54" t="s">
        <v>3106</v>
      </c>
      <c r="E1245" s="54" t="s">
        <v>3107</v>
      </c>
      <c r="F1245" s="54" t="s">
        <v>3110</v>
      </c>
      <c r="G1245" s="54" t="s">
        <v>3111</v>
      </c>
      <c r="H1245" s="54" t="n">
        <v>14554</v>
      </c>
      <c r="I1245" s="54" t="s">
        <v>295</v>
      </c>
      <c r="J1245" s="54" t="s">
        <v>948</v>
      </c>
    </row>
    <row r="1246" customFormat="false" ht="15" hidden="false" customHeight="true" outlineLevel="0" collapsed="false">
      <c r="A1246" s="54" t="n">
        <v>20260710</v>
      </c>
      <c r="B1246" s="54" t="s">
        <v>306</v>
      </c>
      <c r="C1246" s="54" t="s">
        <v>290</v>
      </c>
      <c r="D1246" s="54" t="s">
        <v>3106</v>
      </c>
      <c r="E1246" s="54" t="s">
        <v>3107</v>
      </c>
      <c r="F1246" s="54" t="s">
        <v>1433</v>
      </c>
      <c r="G1246" s="54" t="s">
        <v>3112</v>
      </c>
      <c r="H1246" s="54" t="n">
        <v>14863</v>
      </c>
      <c r="I1246" s="54" t="s">
        <v>315</v>
      </c>
      <c r="J1246" s="54" t="s">
        <v>948</v>
      </c>
    </row>
    <row r="1247" customFormat="false" ht="15" hidden="false" customHeight="true" outlineLevel="0" collapsed="false">
      <c r="A1247" s="54" t="n">
        <v>20260710</v>
      </c>
      <c r="B1247" s="54" t="s">
        <v>306</v>
      </c>
      <c r="C1247" s="54" t="s">
        <v>290</v>
      </c>
      <c r="D1247" s="54" t="s">
        <v>3106</v>
      </c>
      <c r="E1247" s="54" t="s">
        <v>3107</v>
      </c>
      <c r="F1247" s="54" t="s">
        <v>3113</v>
      </c>
      <c r="G1247" s="54" t="s">
        <v>3114</v>
      </c>
      <c r="H1247" s="54" t="n">
        <v>14854</v>
      </c>
      <c r="I1247" s="54" t="s">
        <v>295</v>
      </c>
      <c r="J1247" s="54" t="s">
        <v>948</v>
      </c>
    </row>
    <row r="1248" customFormat="false" ht="15" hidden="false" customHeight="true" outlineLevel="0" collapsed="false">
      <c r="A1248" s="54" t="n">
        <v>20260710</v>
      </c>
      <c r="B1248" s="54" t="s">
        <v>289</v>
      </c>
      <c r="C1248" s="54" t="s">
        <v>307</v>
      </c>
      <c r="D1248" s="54" t="s">
        <v>3115</v>
      </c>
      <c r="E1248" s="54" t="s">
        <v>3116</v>
      </c>
      <c r="F1248" s="54" t="s">
        <v>3117</v>
      </c>
      <c r="G1248" s="54" t="s">
        <v>3118</v>
      </c>
      <c r="H1248" s="54" t="n">
        <v>3613</v>
      </c>
      <c r="I1248" s="54" t="s">
        <v>360</v>
      </c>
      <c r="J1248" s="54" t="s">
        <v>1659</v>
      </c>
    </row>
    <row r="1249" customFormat="false" ht="15" hidden="false" customHeight="true" outlineLevel="0" collapsed="false">
      <c r="A1249" s="54" t="n">
        <v>20260710</v>
      </c>
      <c r="B1249" s="54" t="s">
        <v>497</v>
      </c>
      <c r="C1249" s="54" t="s">
        <v>290</v>
      </c>
      <c r="D1249" s="54" t="s">
        <v>3119</v>
      </c>
      <c r="E1249" s="54" t="s">
        <v>3120</v>
      </c>
      <c r="F1249" s="54" t="s">
        <v>3121</v>
      </c>
      <c r="G1249" s="54" t="s">
        <v>3122</v>
      </c>
      <c r="H1249" s="54" t="n">
        <v>14534</v>
      </c>
      <c r="I1249" s="54" t="s">
        <v>295</v>
      </c>
      <c r="J1249" s="54" t="s">
        <v>1095</v>
      </c>
    </row>
    <row r="1250" customFormat="false" ht="15" hidden="false" customHeight="true" outlineLevel="0" collapsed="false">
      <c r="A1250" s="54" t="n">
        <v>20260710</v>
      </c>
      <c r="B1250" s="54" t="s">
        <v>497</v>
      </c>
      <c r="C1250" s="54" t="s">
        <v>290</v>
      </c>
      <c r="D1250" s="54" t="s">
        <v>3119</v>
      </c>
      <c r="E1250" s="54" t="s">
        <v>3120</v>
      </c>
      <c r="F1250" s="54" t="s">
        <v>1163</v>
      </c>
      <c r="G1250" s="54" t="s">
        <v>772</v>
      </c>
      <c r="H1250" s="54" t="n">
        <v>10797</v>
      </c>
      <c r="I1250" s="54" t="s">
        <v>295</v>
      </c>
      <c r="J1250" s="54" t="s">
        <v>1095</v>
      </c>
    </row>
    <row r="1251" customFormat="false" ht="15" hidden="false" customHeight="true" outlineLevel="0" collapsed="false">
      <c r="A1251" s="54" t="n">
        <v>20260710</v>
      </c>
      <c r="B1251" s="54" t="s">
        <v>289</v>
      </c>
      <c r="C1251" s="54" t="s">
        <v>307</v>
      </c>
      <c r="D1251" s="54" t="s">
        <v>3123</v>
      </c>
      <c r="E1251" s="54" t="s">
        <v>3124</v>
      </c>
      <c r="F1251" s="54" t="s">
        <v>3125</v>
      </c>
      <c r="G1251" s="54" t="s">
        <v>3126</v>
      </c>
      <c r="H1251" s="54" t="n">
        <v>4</v>
      </c>
      <c r="I1251" s="54" t="s">
        <v>295</v>
      </c>
      <c r="J1251" s="54" t="s">
        <v>361</v>
      </c>
    </row>
    <row r="1252" customFormat="false" ht="15" hidden="false" customHeight="true" outlineLevel="0" collapsed="false">
      <c r="A1252" s="54" t="n">
        <v>20260710</v>
      </c>
      <c r="B1252" s="54" t="s">
        <v>289</v>
      </c>
      <c r="C1252" s="54" t="s">
        <v>307</v>
      </c>
      <c r="D1252" s="54" t="s">
        <v>3123</v>
      </c>
      <c r="E1252" s="54" t="s">
        <v>3124</v>
      </c>
      <c r="F1252" s="54" t="s">
        <v>3127</v>
      </c>
      <c r="G1252" s="54" t="s">
        <v>3128</v>
      </c>
      <c r="H1252" s="54" t="n">
        <v>14914</v>
      </c>
      <c r="I1252" s="54" t="s">
        <v>295</v>
      </c>
      <c r="J1252" s="54" t="s">
        <v>361</v>
      </c>
    </row>
    <row r="1253" customFormat="false" ht="15" hidden="false" customHeight="true" outlineLevel="0" collapsed="false">
      <c r="A1253" s="54" t="n">
        <v>20260710</v>
      </c>
      <c r="B1253" s="54" t="s">
        <v>289</v>
      </c>
      <c r="C1253" s="54" t="s">
        <v>307</v>
      </c>
      <c r="D1253" s="54" t="s">
        <v>3123</v>
      </c>
      <c r="E1253" s="54" t="s">
        <v>3124</v>
      </c>
      <c r="F1253" s="54" t="s">
        <v>3129</v>
      </c>
      <c r="G1253" s="54" t="s">
        <v>3130</v>
      </c>
      <c r="H1253" s="54" t="n">
        <v>7</v>
      </c>
      <c r="I1253" s="54" t="s">
        <v>295</v>
      </c>
      <c r="J1253" s="54" t="s">
        <v>361</v>
      </c>
    </row>
    <row r="1254" customFormat="false" ht="15" hidden="false" customHeight="true" outlineLevel="0" collapsed="false">
      <c r="A1254" s="54" t="n">
        <v>20260710</v>
      </c>
      <c r="B1254" s="54" t="s">
        <v>289</v>
      </c>
      <c r="C1254" s="54" t="s">
        <v>307</v>
      </c>
      <c r="D1254" s="54" t="s">
        <v>3123</v>
      </c>
      <c r="E1254" s="54" t="s">
        <v>3124</v>
      </c>
      <c r="F1254" s="54" t="s">
        <v>3131</v>
      </c>
      <c r="G1254" s="54" t="s">
        <v>3132</v>
      </c>
      <c r="H1254" s="54" t="n">
        <v>14057</v>
      </c>
      <c r="I1254" s="54" t="s">
        <v>295</v>
      </c>
      <c r="J1254" s="54" t="s">
        <v>361</v>
      </c>
    </row>
    <row r="1255" customFormat="false" ht="15" hidden="false" customHeight="true" outlineLevel="0" collapsed="false">
      <c r="A1255" s="54" t="n">
        <v>20260710</v>
      </c>
      <c r="B1255" s="54" t="s">
        <v>306</v>
      </c>
      <c r="C1255" s="54" t="s">
        <v>290</v>
      </c>
      <c r="D1255" s="54" t="s">
        <v>3133</v>
      </c>
      <c r="E1255" s="54" t="s">
        <v>3134</v>
      </c>
      <c r="F1255" s="54" t="s">
        <v>3135</v>
      </c>
      <c r="G1255" s="54" t="s">
        <v>3136</v>
      </c>
      <c r="H1255" s="54" t="n">
        <v>139</v>
      </c>
      <c r="I1255" s="54" t="s">
        <v>295</v>
      </c>
      <c r="J1255" s="54" t="s">
        <v>433</v>
      </c>
    </row>
    <row r="1256" customFormat="false" ht="15" hidden="false" customHeight="true" outlineLevel="0" collapsed="false">
      <c r="A1256" s="54" t="n">
        <v>20260710</v>
      </c>
      <c r="B1256" s="54" t="s">
        <v>306</v>
      </c>
      <c r="C1256" s="54" t="s">
        <v>290</v>
      </c>
      <c r="D1256" s="54" t="s">
        <v>3133</v>
      </c>
      <c r="E1256" s="54" t="s">
        <v>3134</v>
      </c>
      <c r="F1256" s="54" t="s">
        <v>3137</v>
      </c>
      <c r="G1256" s="54" t="s">
        <v>3138</v>
      </c>
      <c r="H1256" s="54" t="n">
        <v>19076</v>
      </c>
      <c r="I1256" s="54" t="s">
        <v>295</v>
      </c>
      <c r="J1256" s="54" t="s">
        <v>433</v>
      </c>
    </row>
    <row r="1257" customFormat="false" ht="15" hidden="false" customHeight="true" outlineLevel="0" collapsed="false">
      <c r="A1257" s="54" t="n">
        <v>20260710</v>
      </c>
      <c r="B1257" s="54" t="s">
        <v>306</v>
      </c>
      <c r="C1257" s="54" t="s">
        <v>290</v>
      </c>
      <c r="D1257" s="54" t="s">
        <v>3133</v>
      </c>
      <c r="E1257" s="54" t="s">
        <v>3134</v>
      </c>
      <c r="F1257" s="54" t="s">
        <v>3139</v>
      </c>
      <c r="G1257" s="54" t="s">
        <v>3140</v>
      </c>
      <c r="H1257" s="54" t="n">
        <v>4957</v>
      </c>
      <c r="I1257" s="54" t="s">
        <v>295</v>
      </c>
      <c r="J1257" s="54" t="s">
        <v>433</v>
      </c>
    </row>
    <row r="1258" customFormat="false" ht="15" hidden="false" customHeight="true" outlineLevel="0" collapsed="false">
      <c r="A1258" s="54" t="n">
        <v>20260710</v>
      </c>
      <c r="B1258" s="54" t="s">
        <v>306</v>
      </c>
      <c r="C1258" s="54" t="s">
        <v>290</v>
      </c>
      <c r="D1258" s="54" t="s">
        <v>3133</v>
      </c>
      <c r="E1258" s="54" t="s">
        <v>3134</v>
      </c>
      <c r="F1258" s="54" t="s">
        <v>3141</v>
      </c>
      <c r="G1258" s="54" t="s">
        <v>3142</v>
      </c>
      <c r="H1258" s="54" t="n">
        <v>4280</v>
      </c>
      <c r="I1258" s="54" t="s">
        <v>295</v>
      </c>
      <c r="J1258" s="54" t="s">
        <v>433</v>
      </c>
    </row>
    <row r="1259" customFormat="false" ht="15" hidden="false" customHeight="true" outlineLevel="0" collapsed="false">
      <c r="A1259" s="54" t="n">
        <v>20260710</v>
      </c>
      <c r="B1259" s="54" t="s">
        <v>306</v>
      </c>
      <c r="C1259" s="54" t="s">
        <v>290</v>
      </c>
      <c r="D1259" s="54" t="s">
        <v>379</v>
      </c>
      <c r="E1259" s="54" t="s">
        <v>380</v>
      </c>
      <c r="F1259" s="54" t="s">
        <v>3143</v>
      </c>
      <c r="G1259" s="54" t="s">
        <v>3144</v>
      </c>
      <c r="H1259" s="54" t="n">
        <v>14033</v>
      </c>
      <c r="I1259" s="54" t="s">
        <v>295</v>
      </c>
      <c r="J1259" s="54" t="s">
        <v>352</v>
      </c>
    </row>
    <row r="1260" customFormat="false" ht="15" hidden="false" customHeight="true" outlineLevel="0" collapsed="false">
      <c r="A1260" s="54" t="n">
        <v>20260710</v>
      </c>
      <c r="B1260" s="54" t="s">
        <v>306</v>
      </c>
      <c r="C1260" s="54" t="s">
        <v>290</v>
      </c>
      <c r="D1260" s="54" t="s">
        <v>379</v>
      </c>
      <c r="E1260" s="54" t="s">
        <v>380</v>
      </c>
      <c r="F1260" s="54" t="s">
        <v>3145</v>
      </c>
      <c r="G1260" s="54" t="s">
        <v>3144</v>
      </c>
      <c r="H1260" s="54" t="n">
        <v>14026</v>
      </c>
      <c r="I1260" s="54" t="s">
        <v>315</v>
      </c>
      <c r="J1260" s="54" t="s">
        <v>352</v>
      </c>
    </row>
    <row r="1261" customFormat="false" ht="15" hidden="false" customHeight="true" outlineLevel="0" collapsed="false">
      <c r="A1261" s="54" t="n">
        <v>20260710</v>
      </c>
      <c r="B1261" s="54" t="s">
        <v>306</v>
      </c>
      <c r="C1261" s="54" t="s">
        <v>290</v>
      </c>
      <c r="D1261" s="54" t="s">
        <v>379</v>
      </c>
      <c r="E1261" s="54" t="s">
        <v>380</v>
      </c>
      <c r="F1261" s="54" t="s">
        <v>3146</v>
      </c>
      <c r="G1261" s="54" t="s">
        <v>3147</v>
      </c>
      <c r="H1261" s="54" t="n">
        <v>14604</v>
      </c>
      <c r="I1261" s="54" t="s">
        <v>315</v>
      </c>
      <c r="J1261" s="54" t="s">
        <v>352</v>
      </c>
    </row>
    <row r="1262" customFormat="false" ht="15" hidden="false" customHeight="true" outlineLevel="0" collapsed="false">
      <c r="A1262" s="54" t="n">
        <v>20260710</v>
      </c>
      <c r="B1262" s="54" t="s">
        <v>306</v>
      </c>
      <c r="C1262" s="54" t="s">
        <v>290</v>
      </c>
      <c r="D1262" s="54" t="s">
        <v>379</v>
      </c>
      <c r="E1262" s="54" t="s">
        <v>380</v>
      </c>
      <c r="F1262" s="54" t="s">
        <v>3146</v>
      </c>
      <c r="G1262" s="54" t="s">
        <v>3147</v>
      </c>
      <c r="H1262" s="54" t="n">
        <v>14604</v>
      </c>
      <c r="I1262" s="54" t="s">
        <v>295</v>
      </c>
      <c r="J1262" s="54" t="s">
        <v>352</v>
      </c>
    </row>
    <row r="1263" customFormat="false" ht="15" hidden="false" customHeight="true" outlineLevel="0" collapsed="false">
      <c r="A1263" s="54" t="n">
        <v>20260710</v>
      </c>
      <c r="B1263" s="54" t="s">
        <v>289</v>
      </c>
      <c r="C1263" s="54" t="s">
        <v>290</v>
      </c>
      <c r="D1263" s="54" t="s">
        <v>3148</v>
      </c>
      <c r="E1263" s="54" t="s">
        <v>3149</v>
      </c>
      <c r="F1263" s="54" t="s">
        <v>3150</v>
      </c>
      <c r="G1263" s="54" t="s">
        <v>3151</v>
      </c>
      <c r="H1263" s="54" t="n">
        <v>8942</v>
      </c>
      <c r="I1263" s="54" t="s">
        <v>295</v>
      </c>
      <c r="J1263" s="54" t="s">
        <v>631</v>
      </c>
    </row>
    <row r="1264" customFormat="false" ht="15" hidden="false" customHeight="true" outlineLevel="0" collapsed="false">
      <c r="A1264" s="54" t="n">
        <v>20260710</v>
      </c>
      <c r="B1264" s="54" t="s">
        <v>289</v>
      </c>
      <c r="C1264" s="54" t="s">
        <v>290</v>
      </c>
      <c r="D1264" s="54" t="s">
        <v>3148</v>
      </c>
      <c r="E1264" s="54" t="s">
        <v>3149</v>
      </c>
      <c r="F1264" s="54" t="s">
        <v>3152</v>
      </c>
      <c r="G1264" s="54" t="s">
        <v>3153</v>
      </c>
      <c r="H1264" s="54" t="n">
        <v>8</v>
      </c>
      <c r="I1264" s="54" t="s">
        <v>295</v>
      </c>
      <c r="J1264" s="54" t="s">
        <v>631</v>
      </c>
    </row>
    <row r="1265" customFormat="false" ht="15" hidden="false" customHeight="true" outlineLevel="0" collapsed="false">
      <c r="A1265" s="54" t="n">
        <v>20260710</v>
      </c>
      <c r="B1265" s="54" t="s">
        <v>289</v>
      </c>
      <c r="C1265" s="54" t="s">
        <v>290</v>
      </c>
      <c r="D1265" s="54" t="s">
        <v>3148</v>
      </c>
      <c r="E1265" s="54" t="s">
        <v>3149</v>
      </c>
      <c r="F1265" s="54" t="s">
        <v>3154</v>
      </c>
      <c r="G1265" s="54" t="s">
        <v>1169</v>
      </c>
      <c r="H1265" s="54" t="n">
        <v>9300</v>
      </c>
      <c r="I1265" s="54" t="s">
        <v>295</v>
      </c>
      <c r="J1265" s="54" t="s">
        <v>631</v>
      </c>
    </row>
    <row r="1266" customFormat="false" ht="15" hidden="false" customHeight="true" outlineLevel="0" collapsed="false">
      <c r="A1266" s="54" t="n">
        <v>20260710</v>
      </c>
      <c r="B1266" s="54" t="s">
        <v>289</v>
      </c>
      <c r="C1266" s="54" t="s">
        <v>290</v>
      </c>
      <c r="D1266" s="54" t="s">
        <v>3148</v>
      </c>
      <c r="E1266" s="54" t="s">
        <v>3149</v>
      </c>
      <c r="F1266" s="54" t="s">
        <v>3155</v>
      </c>
      <c r="G1266" s="54" t="s">
        <v>3156</v>
      </c>
      <c r="H1266" s="54" t="n">
        <v>11056</v>
      </c>
      <c r="I1266" s="54" t="s">
        <v>295</v>
      </c>
      <c r="J1266" s="54" t="s">
        <v>631</v>
      </c>
    </row>
    <row r="1267" customFormat="false" ht="15" hidden="false" customHeight="true" outlineLevel="0" collapsed="false">
      <c r="A1267" s="54" t="n">
        <v>20260710</v>
      </c>
      <c r="B1267" s="54" t="s">
        <v>289</v>
      </c>
      <c r="C1267" s="54" t="s">
        <v>290</v>
      </c>
      <c r="D1267" s="54" t="s">
        <v>3157</v>
      </c>
      <c r="E1267" s="54" t="s">
        <v>3158</v>
      </c>
      <c r="F1267" s="54" t="s">
        <v>3159</v>
      </c>
      <c r="G1267" s="54" t="s">
        <v>974</v>
      </c>
      <c r="H1267" s="54" t="n">
        <v>21749</v>
      </c>
      <c r="I1267" s="54" t="s">
        <v>360</v>
      </c>
      <c r="J1267" s="54" t="s">
        <v>569</v>
      </c>
    </row>
    <row r="1268" customFormat="false" ht="15" hidden="false" customHeight="true" outlineLevel="0" collapsed="false">
      <c r="A1268" s="54" t="n">
        <v>20260710</v>
      </c>
      <c r="B1268" s="54" t="s">
        <v>289</v>
      </c>
      <c r="C1268" s="54" t="s">
        <v>290</v>
      </c>
      <c r="D1268" s="54" t="s">
        <v>3157</v>
      </c>
      <c r="E1268" s="54" t="s">
        <v>3158</v>
      </c>
      <c r="F1268" s="54" t="s">
        <v>3159</v>
      </c>
      <c r="G1268" s="54" t="s">
        <v>974</v>
      </c>
      <c r="H1268" s="54" t="n">
        <v>21749</v>
      </c>
      <c r="I1268" s="54" t="s">
        <v>295</v>
      </c>
      <c r="J1268" s="54" t="s">
        <v>569</v>
      </c>
    </row>
    <row r="1269" customFormat="false" ht="15" hidden="false" customHeight="true" outlineLevel="0" collapsed="false">
      <c r="A1269" s="54" t="n">
        <v>20260710</v>
      </c>
      <c r="B1269" s="54" t="s">
        <v>289</v>
      </c>
      <c r="C1269" s="54" t="s">
        <v>290</v>
      </c>
      <c r="D1269" s="54" t="s">
        <v>3157</v>
      </c>
      <c r="E1269" s="54" t="s">
        <v>3158</v>
      </c>
      <c r="F1269" s="54" t="s">
        <v>3160</v>
      </c>
      <c r="G1269" s="54" t="s">
        <v>3161</v>
      </c>
      <c r="H1269" s="54" t="n">
        <v>9078</v>
      </c>
      <c r="I1269" s="54" t="s">
        <v>360</v>
      </c>
      <c r="J1269" s="54" t="s">
        <v>569</v>
      </c>
    </row>
    <row r="1270" customFormat="false" ht="15" hidden="false" customHeight="true" outlineLevel="0" collapsed="false">
      <c r="A1270" s="54" t="n">
        <v>20260710</v>
      </c>
      <c r="B1270" s="54" t="s">
        <v>289</v>
      </c>
      <c r="C1270" s="54" t="s">
        <v>290</v>
      </c>
      <c r="D1270" s="54" t="s">
        <v>3157</v>
      </c>
      <c r="E1270" s="54" t="s">
        <v>3158</v>
      </c>
      <c r="F1270" s="54" t="s">
        <v>3160</v>
      </c>
      <c r="G1270" s="54" t="s">
        <v>3162</v>
      </c>
      <c r="H1270" s="54" t="n">
        <v>9313</v>
      </c>
      <c r="I1270" s="54" t="s">
        <v>295</v>
      </c>
      <c r="J1270" s="54" t="s">
        <v>569</v>
      </c>
    </row>
    <row r="1271" customFormat="false" ht="15" hidden="false" customHeight="true" outlineLevel="0" collapsed="false">
      <c r="A1271" s="54" t="n">
        <v>20260710</v>
      </c>
      <c r="B1271" s="54" t="s">
        <v>289</v>
      </c>
      <c r="C1271" s="54" t="s">
        <v>290</v>
      </c>
      <c r="D1271" s="54" t="s">
        <v>3157</v>
      </c>
      <c r="E1271" s="54" t="s">
        <v>3158</v>
      </c>
      <c r="F1271" s="54" t="s">
        <v>3163</v>
      </c>
      <c r="G1271" s="54" t="s">
        <v>3164</v>
      </c>
      <c r="H1271" s="54" t="n">
        <v>1081</v>
      </c>
      <c r="I1271" s="54" t="s">
        <v>360</v>
      </c>
      <c r="J1271" s="54" t="s">
        <v>569</v>
      </c>
    </row>
    <row r="1272" customFormat="false" ht="15" hidden="false" customHeight="true" outlineLevel="0" collapsed="false">
      <c r="A1272" s="54" t="n">
        <v>20260710</v>
      </c>
      <c r="B1272" s="54" t="s">
        <v>289</v>
      </c>
      <c r="C1272" s="54" t="s">
        <v>290</v>
      </c>
      <c r="D1272" s="54" t="s">
        <v>3157</v>
      </c>
      <c r="E1272" s="54" t="s">
        <v>3158</v>
      </c>
      <c r="F1272" s="54" t="s">
        <v>3163</v>
      </c>
      <c r="G1272" s="54" t="s">
        <v>3164</v>
      </c>
      <c r="H1272" s="54" t="n">
        <v>1081</v>
      </c>
      <c r="I1272" s="54" t="s">
        <v>295</v>
      </c>
      <c r="J1272" s="54" t="s">
        <v>569</v>
      </c>
    </row>
    <row r="1273" customFormat="false" ht="15" hidden="false" customHeight="true" outlineLevel="0" collapsed="false">
      <c r="A1273" s="54" t="n">
        <v>20260710</v>
      </c>
      <c r="B1273" s="54" t="s">
        <v>289</v>
      </c>
      <c r="C1273" s="54" t="s">
        <v>290</v>
      </c>
      <c r="D1273" s="54" t="s">
        <v>3165</v>
      </c>
      <c r="E1273" s="54" t="s">
        <v>3166</v>
      </c>
      <c r="F1273" s="54" t="s">
        <v>957</v>
      </c>
      <c r="G1273" s="54" t="s">
        <v>3167</v>
      </c>
      <c r="H1273" s="54" t="n">
        <v>14845</v>
      </c>
      <c r="I1273" s="54" t="s">
        <v>295</v>
      </c>
      <c r="J1273" s="54" t="s">
        <v>578</v>
      </c>
    </row>
    <row r="1274" customFormat="false" ht="15" hidden="false" customHeight="true" outlineLevel="0" collapsed="false">
      <c r="A1274" s="54" t="n">
        <v>20260710</v>
      </c>
      <c r="B1274" s="54" t="s">
        <v>289</v>
      </c>
      <c r="C1274" s="54" t="s">
        <v>290</v>
      </c>
      <c r="D1274" s="54" t="s">
        <v>3165</v>
      </c>
      <c r="E1274" s="54" t="s">
        <v>3166</v>
      </c>
      <c r="F1274" s="54" t="s">
        <v>3168</v>
      </c>
      <c r="G1274" s="54" t="s">
        <v>3169</v>
      </c>
      <c r="H1274" s="54" t="n">
        <v>14096</v>
      </c>
      <c r="I1274" s="54" t="s">
        <v>295</v>
      </c>
      <c r="J1274" s="54" t="s">
        <v>578</v>
      </c>
    </row>
    <row r="1275" customFormat="false" ht="15" hidden="false" customHeight="true" outlineLevel="0" collapsed="false">
      <c r="A1275" s="54" t="n">
        <v>20260710</v>
      </c>
      <c r="B1275" s="54" t="s">
        <v>306</v>
      </c>
      <c r="C1275" s="54" t="s">
        <v>290</v>
      </c>
      <c r="D1275" s="54" t="s">
        <v>3170</v>
      </c>
      <c r="E1275" s="54" t="s">
        <v>3171</v>
      </c>
      <c r="F1275" s="54" t="s">
        <v>3172</v>
      </c>
      <c r="G1275" s="54" t="s">
        <v>3173</v>
      </c>
      <c r="H1275" s="54" t="n">
        <v>28800</v>
      </c>
      <c r="I1275" s="54" t="s">
        <v>295</v>
      </c>
      <c r="J1275" s="54" t="s">
        <v>2289</v>
      </c>
    </row>
    <row r="1276" customFormat="false" ht="15" hidden="false" customHeight="true" outlineLevel="0" collapsed="false">
      <c r="A1276" s="54" t="n">
        <v>20260710</v>
      </c>
      <c r="B1276" s="54" t="s">
        <v>168</v>
      </c>
      <c r="C1276" s="54" t="s">
        <v>290</v>
      </c>
      <c r="D1276" s="54" t="s">
        <v>3174</v>
      </c>
      <c r="E1276" s="54" t="s">
        <v>3175</v>
      </c>
      <c r="F1276" s="54" t="s">
        <v>3176</v>
      </c>
      <c r="G1276" s="54" t="s">
        <v>3177</v>
      </c>
      <c r="H1276" s="54" t="n">
        <v>11725</v>
      </c>
      <c r="I1276" s="54" t="s">
        <v>295</v>
      </c>
      <c r="J1276" s="54" t="s">
        <v>818</v>
      </c>
    </row>
    <row r="1277" customFormat="false" ht="15" hidden="false" customHeight="true" outlineLevel="0" collapsed="false">
      <c r="A1277" s="54" t="n">
        <v>20260710</v>
      </c>
      <c r="B1277" s="54" t="s">
        <v>168</v>
      </c>
      <c r="C1277" s="54" t="s">
        <v>290</v>
      </c>
      <c r="D1277" s="54" t="s">
        <v>3174</v>
      </c>
      <c r="E1277" s="54" t="s">
        <v>3175</v>
      </c>
      <c r="F1277" s="54" t="s">
        <v>3178</v>
      </c>
      <c r="G1277" s="54" t="s">
        <v>3179</v>
      </c>
      <c r="H1277" s="54" t="n">
        <v>55</v>
      </c>
      <c r="I1277" s="54" t="s">
        <v>295</v>
      </c>
      <c r="J1277" s="54" t="s">
        <v>818</v>
      </c>
    </row>
    <row r="1278" customFormat="false" ht="15" hidden="false" customHeight="true" outlineLevel="0" collapsed="false">
      <c r="A1278" s="54" t="n">
        <v>20260710</v>
      </c>
      <c r="B1278" s="54" t="s">
        <v>168</v>
      </c>
      <c r="C1278" s="54" t="s">
        <v>290</v>
      </c>
      <c r="D1278" s="54" t="s">
        <v>3174</v>
      </c>
      <c r="E1278" s="54" t="s">
        <v>3175</v>
      </c>
      <c r="F1278" s="54" t="s">
        <v>3180</v>
      </c>
      <c r="G1278" s="54" t="s">
        <v>3181</v>
      </c>
      <c r="H1278" s="54" t="n">
        <v>20869</v>
      </c>
      <c r="I1278" s="54" t="s">
        <v>295</v>
      </c>
      <c r="J1278" s="54" t="s">
        <v>818</v>
      </c>
    </row>
    <row r="1279" customFormat="false" ht="15" hidden="false" customHeight="true" outlineLevel="0" collapsed="false">
      <c r="A1279" s="54" t="n">
        <v>20260710</v>
      </c>
      <c r="B1279" s="54" t="s">
        <v>289</v>
      </c>
      <c r="C1279" s="54" t="s">
        <v>290</v>
      </c>
      <c r="D1279" s="54" t="s">
        <v>3182</v>
      </c>
      <c r="E1279" s="54" t="s">
        <v>3183</v>
      </c>
      <c r="F1279" s="54" t="s">
        <v>3184</v>
      </c>
      <c r="G1279" s="54" t="s">
        <v>3185</v>
      </c>
      <c r="H1279" s="54" t="n">
        <v>15825</v>
      </c>
      <c r="I1279" s="54" t="s">
        <v>295</v>
      </c>
      <c r="J1279" s="54" t="s">
        <v>423</v>
      </c>
    </row>
    <row r="1280" customFormat="false" ht="15" hidden="false" customHeight="true" outlineLevel="0" collapsed="false">
      <c r="A1280" s="54" t="n">
        <v>20260710</v>
      </c>
      <c r="B1280" s="54" t="s">
        <v>289</v>
      </c>
      <c r="C1280" s="54" t="s">
        <v>290</v>
      </c>
      <c r="D1280" s="54" t="s">
        <v>3182</v>
      </c>
      <c r="E1280" s="54" t="s">
        <v>3183</v>
      </c>
      <c r="F1280" s="54" t="s">
        <v>3186</v>
      </c>
      <c r="G1280" s="54" t="s">
        <v>806</v>
      </c>
      <c r="H1280" s="54" t="n">
        <v>12968</v>
      </c>
      <c r="I1280" s="54" t="s">
        <v>295</v>
      </c>
      <c r="J1280" s="54" t="s">
        <v>423</v>
      </c>
    </row>
    <row r="1281" customFormat="false" ht="15" hidden="false" customHeight="true" outlineLevel="0" collapsed="false">
      <c r="A1281" s="54" t="n">
        <v>20260710</v>
      </c>
      <c r="B1281" s="54" t="s">
        <v>289</v>
      </c>
      <c r="C1281" s="54" t="s">
        <v>290</v>
      </c>
      <c r="D1281" s="54" t="s">
        <v>3187</v>
      </c>
      <c r="E1281" s="54" t="s">
        <v>3188</v>
      </c>
      <c r="F1281" s="54" t="s">
        <v>3189</v>
      </c>
      <c r="G1281" s="54" t="s">
        <v>3190</v>
      </c>
      <c r="H1281" s="54" t="n">
        <v>18255</v>
      </c>
      <c r="I1281" s="54" t="s">
        <v>295</v>
      </c>
      <c r="J1281" s="54" t="s">
        <v>303</v>
      </c>
    </row>
    <row r="1282" customFormat="false" ht="15" hidden="false" customHeight="true" outlineLevel="0" collapsed="false">
      <c r="A1282" s="54" t="n">
        <v>20260710</v>
      </c>
      <c r="B1282" s="54" t="s">
        <v>289</v>
      </c>
      <c r="C1282" s="54" t="s">
        <v>290</v>
      </c>
      <c r="D1282" s="54" t="s">
        <v>3187</v>
      </c>
      <c r="E1282" s="54" t="s">
        <v>3188</v>
      </c>
      <c r="F1282" s="54" t="s">
        <v>3191</v>
      </c>
      <c r="G1282" s="54" t="s">
        <v>3192</v>
      </c>
      <c r="H1282" s="54" t="n">
        <v>13</v>
      </c>
      <c r="I1282" s="54" t="s">
        <v>295</v>
      </c>
      <c r="J1282" s="54" t="s">
        <v>303</v>
      </c>
    </row>
    <row r="1283" customFormat="false" ht="15" hidden="false" customHeight="true" outlineLevel="0" collapsed="false">
      <c r="A1283" s="54" t="n">
        <v>20260710</v>
      </c>
      <c r="B1283" s="54" t="s">
        <v>289</v>
      </c>
      <c r="C1283" s="54" t="s">
        <v>290</v>
      </c>
      <c r="D1283" s="54" t="s">
        <v>3187</v>
      </c>
      <c r="E1283" s="54" t="s">
        <v>3188</v>
      </c>
      <c r="F1283" s="54" t="s">
        <v>3193</v>
      </c>
      <c r="G1283" s="54" t="s">
        <v>3194</v>
      </c>
      <c r="H1283" s="54" t="n">
        <v>10590</v>
      </c>
      <c r="I1283" s="54" t="s">
        <v>295</v>
      </c>
      <c r="J1283" s="54" t="s">
        <v>303</v>
      </c>
    </row>
    <row r="1284" customFormat="false" ht="15" hidden="false" customHeight="true" outlineLevel="0" collapsed="false">
      <c r="A1284" s="54" t="n">
        <v>20260710</v>
      </c>
      <c r="B1284" s="54" t="s">
        <v>289</v>
      </c>
      <c r="C1284" s="54" t="s">
        <v>290</v>
      </c>
      <c r="D1284" s="54" t="s">
        <v>3187</v>
      </c>
      <c r="E1284" s="54" t="s">
        <v>3188</v>
      </c>
      <c r="F1284" s="54" t="s">
        <v>3195</v>
      </c>
      <c r="G1284" s="54" t="s">
        <v>3196</v>
      </c>
      <c r="H1284" s="54" t="n">
        <v>22</v>
      </c>
      <c r="I1284" s="54" t="s">
        <v>295</v>
      </c>
      <c r="J1284" s="54" t="s">
        <v>303</v>
      </c>
    </row>
    <row r="1285" customFormat="false" ht="15" hidden="false" customHeight="true" outlineLevel="0" collapsed="false">
      <c r="A1285" s="54" t="n">
        <v>20260710</v>
      </c>
      <c r="B1285" s="54" t="s">
        <v>289</v>
      </c>
      <c r="C1285" s="54" t="s">
        <v>290</v>
      </c>
      <c r="D1285" s="54" t="s">
        <v>3187</v>
      </c>
      <c r="E1285" s="54" t="s">
        <v>3188</v>
      </c>
      <c r="F1285" s="54" t="s">
        <v>3197</v>
      </c>
      <c r="G1285" s="54" t="s">
        <v>3198</v>
      </c>
      <c r="H1285" s="54" t="n">
        <v>4100</v>
      </c>
      <c r="I1285" s="54" t="s">
        <v>295</v>
      </c>
      <c r="J1285" s="54" t="s">
        <v>303</v>
      </c>
    </row>
    <row r="1286" customFormat="false" ht="15" hidden="false" customHeight="true" outlineLevel="0" collapsed="false">
      <c r="A1286" s="54" t="n">
        <v>20260710</v>
      </c>
      <c r="B1286" s="54" t="s">
        <v>757</v>
      </c>
      <c r="C1286" s="54" t="s">
        <v>307</v>
      </c>
      <c r="D1286" s="54" t="s">
        <v>3199</v>
      </c>
      <c r="E1286" s="54" t="s">
        <v>3200</v>
      </c>
      <c r="F1286" s="54" t="s">
        <v>3201</v>
      </c>
      <c r="G1286" s="54" t="s">
        <v>3202</v>
      </c>
      <c r="H1286" s="54" t="n">
        <v>7</v>
      </c>
      <c r="I1286" s="54" t="s">
        <v>295</v>
      </c>
      <c r="J1286" s="54" t="s">
        <v>762</v>
      </c>
    </row>
    <row r="1287" customFormat="false" ht="15" hidden="false" customHeight="true" outlineLevel="0" collapsed="false">
      <c r="A1287" s="54" t="n">
        <v>20260710</v>
      </c>
      <c r="B1287" s="54" t="s">
        <v>757</v>
      </c>
      <c r="C1287" s="54" t="s">
        <v>307</v>
      </c>
      <c r="D1287" s="54" t="s">
        <v>3199</v>
      </c>
      <c r="E1287" s="54" t="s">
        <v>3200</v>
      </c>
      <c r="F1287" s="54" t="s">
        <v>832</v>
      </c>
      <c r="G1287" s="54" t="s">
        <v>3203</v>
      </c>
      <c r="H1287" s="54" t="n">
        <v>18057</v>
      </c>
      <c r="I1287" s="54" t="s">
        <v>295</v>
      </c>
      <c r="J1287" s="54" t="s">
        <v>762</v>
      </c>
    </row>
    <row r="1288" customFormat="false" ht="15" hidden="false" customHeight="true" outlineLevel="0" collapsed="false">
      <c r="A1288" s="54" t="n">
        <v>20260710</v>
      </c>
      <c r="B1288" s="54" t="s">
        <v>757</v>
      </c>
      <c r="C1288" s="54" t="s">
        <v>307</v>
      </c>
      <c r="D1288" s="54" t="s">
        <v>3199</v>
      </c>
      <c r="E1288" s="54" t="s">
        <v>3200</v>
      </c>
      <c r="F1288" s="54" t="s">
        <v>3204</v>
      </c>
      <c r="G1288" s="54" t="s">
        <v>2865</v>
      </c>
      <c r="H1288" s="54" t="n">
        <v>10876</v>
      </c>
      <c r="I1288" s="54" t="s">
        <v>295</v>
      </c>
      <c r="J1288" s="54" t="s">
        <v>762</v>
      </c>
    </row>
    <row r="1289" customFormat="false" ht="15" hidden="false" customHeight="true" outlineLevel="0" collapsed="false">
      <c r="A1289" s="54" t="n">
        <v>20260710</v>
      </c>
      <c r="B1289" s="54" t="s">
        <v>688</v>
      </c>
      <c r="C1289" s="54" t="s">
        <v>290</v>
      </c>
      <c r="D1289" s="54" t="s">
        <v>3205</v>
      </c>
      <c r="E1289" s="54" t="s">
        <v>3206</v>
      </c>
      <c r="F1289" s="54" t="s">
        <v>3207</v>
      </c>
      <c r="G1289" s="54" t="s">
        <v>3208</v>
      </c>
      <c r="H1289" s="54" t="n">
        <v>4513</v>
      </c>
      <c r="I1289" s="54" t="s">
        <v>295</v>
      </c>
      <c r="J1289" s="54" t="s">
        <v>779</v>
      </c>
    </row>
    <row r="1290" customFormat="false" ht="15" hidden="false" customHeight="true" outlineLevel="0" collapsed="false">
      <c r="A1290" s="54" t="n">
        <v>20260710</v>
      </c>
      <c r="B1290" s="54" t="s">
        <v>688</v>
      </c>
      <c r="C1290" s="54" t="s">
        <v>290</v>
      </c>
      <c r="D1290" s="54" t="s">
        <v>3205</v>
      </c>
      <c r="E1290" s="54" t="s">
        <v>3206</v>
      </c>
      <c r="F1290" s="54" t="s">
        <v>3209</v>
      </c>
      <c r="G1290" s="54" t="s">
        <v>3210</v>
      </c>
      <c r="H1290" s="54" t="n">
        <v>9852</v>
      </c>
      <c r="I1290" s="54" t="s">
        <v>295</v>
      </c>
      <c r="J1290" s="54" t="s">
        <v>779</v>
      </c>
    </row>
    <row r="1291" customFormat="false" ht="15" hidden="false" customHeight="true" outlineLevel="0" collapsed="false">
      <c r="A1291" s="54" t="n">
        <v>20260710</v>
      </c>
      <c r="B1291" s="54" t="s">
        <v>688</v>
      </c>
      <c r="C1291" s="54" t="s">
        <v>290</v>
      </c>
      <c r="D1291" s="54" t="s">
        <v>3205</v>
      </c>
      <c r="E1291" s="54" t="s">
        <v>3206</v>
      </c>
      <c r="F1291" s="54" t="s">
        <v>3211</v>
      </c>
      <c r="G1291" s="54" t="s">
        <v>3212</v>
      </c>
      <c r="H1291" s="54" t="n">
        <v>14481</v>
      </c>
      <c r="I1291" s="54" t="s">
        <v>295</v>
      </c>
      <c r="J1291" s="54" t="s">
        <v>779</v>
      </c>
    </row>
    <row r="1292" customFormat="false" ht="15" hidden="false" customHeight="true" outlineLevel="0" collapsed="false">
      <c r="A1292" s="54" t="n">
        <v>20260710</v>
      </c>
      <c r="B1292" s="54" t="s">
        <v>688</v>
      </c>
      <c r="C1292" s="54" t="s">
        <v>290</v>
      </c>
      <c r="D1292" s="54" t="s">
        <v>3205</v>
      </c>
      <c r="E1292" s="54" t="s">
        <v>3206</v>
      </c>
      <c r="F1292" s="54" t="s">
        <v>3213</v>
      </c>
      <c r="G1292" s="54" t="s">
        <v>3214</v>
      </c>
      <c r="H1292" s="54" t="n">
        <v>6</v>
      </c>
      <c r="I1292" s="54" t="s">
        <v>295</v>
      </c>
      <c r="J1292" s="54" t="s">
        <v>779</v>
      </c>
    </row>
    <row r="1293" customFormat="false" ht="15" hidden="false" customHeight="true" outlineLevel="0" collapsed="false">
      <c r="A1293" s="54" t="n">
        <v>20260710</v>
      </c>
      <c r="B1293" s="54" t="s">
        <v>306</v>
      </c>
      <c r="C1293" s="54" t="s">
        <v>290</v>
      </c>
      <c r="D1293" s="54" t="s">
        <v>3215</v>
      </c>
      <c r="E1293" s="54" t="s">
        <v>3216</v>
      </c>
      <c r="F1293" s="54" t="s">
        <v>3217</v>
      </c>
      <c r="G1293" s="54" t="s">
        <v>3218</v>
      </c>
      <c r="H1293" s="54" t="n">
        <v>14352</v>
      </c>
      <c r="I1293" s="54" t="s">
        <v>295</v>
      </c>
      <c r="J1293" s="54" t="s">
        <v>375</v>
      </c>
    </row>
    <row r="1294" customFormat="false" ht="15" hidden="false" customHeight="true" outlineLevel="0" collapsed="false">
      <c r="A1294" s="54" t="n">
        <v>20260710</v>
      </c>
      <c r="B1294" s="54" t="s">
        <v>306</v>
      </c>
      <c r="C1294" s="54" t="s">
        <v>290</v>
      </c>
      <c r="D1294" s="54" t="s">
        <v>3215</v>
      </c>
      <c r="E1294" s="54" t="s">
        <v>3216</v>
      </c>
      <c r="F1294" s="54" t="s">
        <v>3219</v>
      </c>
      <c r="G1294" s="54" t="s">
        <v>3220</v>
      </c>
      <c r="H1294" s="54" t="n">
        <v>14303</v>
      </c>
      <c r="I1294" s="54" t="s">
        <v>295</v>
      </c>
      <c r="J1294" s="54" t="s">
        <v>375</v>
      </c>
    </row>
    <row r="1295" customFormat="false" ht="15" hidden="false" customHeight="true" outlineLevel="0" collapsed="false">
      <c r="A1295" s="54" t="n">
        <v>20260710</v>
      </c>
      <c r="B1295" s="54" t="s">
        <v>592</v>
      </c>
      <c r="C1295" s="54" t="s">
        <v>290</v>
      </c>
      <c r="D1295" s="54" t="s">
        <v>3221</v>
      </c>
      <c r="E1295" s="54" t="s">
        <v>3222</v>
      </c>
      <c r="F1295" s="54" t="s">
        <v>3223</v>
      </c>
      <c r="G1295" s="54" t="s">
        <v>3224</v>
      </c>
      <c r="H1295" s="54" t="n">
        <v>18212</v>
      </c>
      <c r="I1295" s="54" t="s">
        <v>295</v>
      </c>
      <c r="J1295" s="54" t="s">
        <v>1381</v>
      </c>
    </row>
    <row r="1296" customFormat="false" ht="15" hidden="false" customHeight="true" outlineLevel="0" collapsed="false">
      <c r="A1296" s="54" t="n">
        <v>20260710</v>
      </c>
      <c r="B1296" s="54" t="s">
        <v>592</v>
      </c>
      <c r="C1296" s="54" t="s">
        <v>290</v>
      </c>
      <c r="D1296" s="54" t="s">
        <v>3221</v>
      </c>
      <c r="E1296" s="54" t="s">
        <v>3222</v>
      </c>
      <c r="F1296" s="54" t="s">
        <v>3225</v>
      </c>
      <c r="G1296" s="54" t="s">
        <v>3226</v>
      </c>
      <c r="H1296" s="54" t="n">
        <v>11080</v>
      </c>
      <c r="I1296" s="54" t="s">
        <v>295</v>
      </c>
      <c r="J1296" s="54" t="s">
        <v>1381</v>
      </c>
    </row>
    <row r="1297" customFormat="false" ht="15" hidden="false" customHeight="true" outlineLevel="0" collapsed="false">
      <c r="A1297" s="54" t="n">
        <v>20260710</v>
      </c>
      <c r="B1297" s="54" t="s">
        <v>306</v>
      </c>
      <c r="C1297" s="54" t="s">
        <v>307</v>
      </c>
      <c r="D1297" s="54" t="s">
        <v>3227</v>
      </c>
      <c r="E1297" s="54" t="s">
        <v>3228</v>
      </c>
      <c r="F1297" s="54" t="s">
        <v>3229</v>
      </c>
      <c r="G1297" s="54" t="s">
        <v>3230</v>
      </c>
      <c r="H1297" s="54" t="n">
        <v>18932</v>
      </c>
      <c r="I1297" s="54" t="s">
        <v>295</v>
      </c>
      <c r="J1297" s="54" t="s">
        <v>2347</v>
      </c>
    </row>
    <row r="1298" customFormat="false" ht="15" hidden="false" customHeight="true" outlineLevel="0" collapsed="false">
      <c r="A1298" s="54" t="n">
        <v>20260710</v>
      </c>
      <c r="B1298" s="54" t="s">
        <v>306</v>
      </c>
      <c r="C1298" s="54" t="s">
        <v>307</v>
      </c>
      <c r="D1298" s="54" t="s">
        <v>3227</v>
      </c>
      <c r="E1298" s="54" t="s">
        <v>3228</v>
      </c>
      <c r="F1298" s="54" t="s">
        <v>3231</v>
      </c>
      <c r="G1298" s="54" t="s">
        <v>3232</v>
      </c>
      <c r="H1298" s="54" t="n">
        <v>7019</v>
      </c>
      <c r="I1298" s="54" t="s">
        <v>295</v>
      </c>
      <c r="J1298" s="54" t="s">
        <v>2347</v>
      </c>
    </row>
    <row r="1299" customFormat="false" ht="15" hidden="false" customHeight="true" outlineLevel="0" collapsed="false">
      <c r="A1299" s="54" t="n">
        <v>20260710</v>
      </c>
      <c r="B1299" s="54" t="s">
        <v>306</v>
      </c>
      <c r="C1299" s="54" t="s">
        <v>307</v>
      </c>
      <c r="D1299" s="54" t="s">
        <v>3227</v>
      </c>
      <c r="E1299" s="54" t="s">
        <v>3228</v>
      </c>
      <c r="F1299" s="54" t="s">
        <v>3233</v>
      </c>
      <c r="G1299" s="54" t="s">
        <v>3234</v>
      </c>
      <c r="H1299" s="54" t="n">
        <v>4243</v>
      </c>
      <c r="I1299" s="54" t="s">
        <v>295</v>
      </c>
      <c r="J1299" s="54" t="s">
        <v>2347</v>
      </c>
    </row>
    <row r="1300" customFormat="false" ht="15" hidden="false" customHeight="true" outlineLevel="0" collapsed="false">
      <c r="A1300" s="54" t="n">
        <v>20260710</v>
      </c>
      <c r="B1300" s="54" t="s">
        <v>306</v>
      </c>
      <c r="C1300" s="54" t="s">
        <v>307</v>
      </c>
      <c r="D1300" s="54" t="s">
        <v>388</v>
      </c>
      <c r="E1300" s="54" t="s">
        <v>389</v>
      </c>
      <c r="F1300" s="54" t="s">
        <v>3235</v>
      </c>
      <c r="G1300" s="54" t="s">
        <v>3236</v>
      </c>
      <c r="H1300" s="54" t="n">
        <v>8046</v>
      </c>
      <c r="I1300" s="54" t="s">
        <v>295</v>
      </c>
      <c r="J1300" s="54" t="s">
        <v>392</v>
      </c>
    </row>
    <row r="1301" customFormat="false" ht="15" hidden="false" customHeight="true" outlineLevel="0" collapsed="false">
      <c r="A1301" s="54" t="n">
        <v>20260710</v>
      </c>
      <c r="B1301" s="54" t="s">
        <v>306</v>
      </c>
      <c r="C1301" s="54" t="s">
        <v>307</v>
      </c>
      <c r="D1301" s="54" t="s">
        <v>388</v>
      </c>
      <c r="E1301" s="54" t="s">
        <v>389</v>
      </c>
      <c r="F1301" s="54" t="s">
        <v>3237</v>
      </c>
      <c r="G1301" s="54" t="s">
        <v>3238</v>
      </c>
      <c r="H1301" s="54" t="n">
        <v>8067</v>
      </c>
      <c r="I1301" s="54" t="s">
        <v>315</v>
      </c>
      <c r="J1301" s="54" t="s">
        <v>392</v>
      </c>
    </row>
    <row r="1302" customFormat="false" ht="15" hidden="false" customHeight="true" outlineLevel="0" collapsed="false">
      <c r="A1302" s="54" t="n">
        <v>20260710</v>
      </c>
      <c r="B1302" s="54" t="s">
        <v>306</v>
      </c>
      <c r="C1302" s="54" t="s">
        <v>307</v>
      </c>
      <c r="D1302" s="54" t="s">
        <v>388</v>
      </c>
      <c r="E1302" s="54" t="s">
        <v>389</v>
      </c>
      <c r="F1302" s="54" t="s">
        <v>3239</v>
      </c>
      <c r="G1302" s="54" t="s">
        <v>3240</v>
      </c>
      <c r="H1302" s="54" t="n">
        <v>574</v>
      </c>
      <c r="I1302" s="54" t="s">
        <v>295</v>
      </c>
      <c r="J1302" s="54" t="s">
        <v>392</v>
      </c>
    </row>
    <row r="1303" customFormat="false" ht="15" hidden="false" customHeight="true" outlineLevel="0" collapsed="false">
      <c r="A1303" s="54" t="n">
        <v>20260710</v>
      </c>
      <c r="B1303" s="54" t="s">
        <v>306</v>
      </c>
      <c r="C1303" s="54" t="s">
        <v>307</v>
      </c>
      <c r="D1303" s="54" t="s">
        <v>388</v>
      </c>
      <c r="E1303" s="54" t="s">
        <v>389</v>
      </c>
      <c r="F1303" s="54" t="s">
        <v>3241</v>
      </c>
      <c r="G1303" s="54" t="s">
        <v>3242</v>
      </c>
      <c r="H1303" s="54" t="n">
        <v>4</v>
      </c>
      <c r="I1303" s="54" t="s">
        <v>315</v>
      </c>
      <c r="J1303" s="54" t="s">
        <v>392</v>
      </c>
    </row>
    <row r="1304" customFormat="false" ht="15" hidden="false" customHeight="true" outlineLevel="0" collapsed="false">
      <c r="A1304" s="54" t="n">
        <v>20260710</v>
      </c>
      <c r="B1304" s="54" t="s">
        <v>306</v>
      </c>
      <c r="C1304" s="54" t="s">
        <v>307</v>
      </c>
      <c r="D1304" s="54" t="s">
        <v>388</v>
      </c>
      <c r="E1304" s="54" t="s">
        <v>389</v>
      </c>
      <c r="F1304" s="54" t="s">
        <v>3241</v>
      </c>
      <c r="G1304" s="54" t="s">
        <v>3242</v>
      </c>
      <c r="H1304" s="54" t="n">
        <v>4</v>
      </c>
      <c r="I1304" s="54" t="s">
        <v>295</v>
      </c>
      <c r="J1304" s="54" t="s">
        <v>392</v>
      </c>
    </row>
    <row r="1305" customFormat="false" ht="15" hidden="false" customHeight="true" outlineLevel="0" collapsed="false">
      <c r="A1305" s="54" t="n">
        <v>20260710</v>
      </c>
      <c r="B1305" s="54" t="s">
        <v>306</v>
      </c>
      <c r="C1305" s="54" t="s">
        <v>307</v>
      </c>
      <c r="D1305" s="54" t="s">
        <v>388</v>
      </c>
      <c r="E1305" s="54" t="s">
        <v>389</v>
      </c>
      <c r="F1305" s="54" t="s">
        <v>3243</v>
      </c>
      <c r="G1305" s="54" t="s">
        <v>3244</v>
      </c>
      <c r="H1305" s="54" t="n">
        <v>2310</v>
      </c>
      <c r="I1305" s="54" t="s">
        <v>315</v>
      </c>
      <c r="J1305" s="54" t="s">
        <v>392</v>
      </c>
    </row>
    <row r="1306" customFormat="false" ht="15" hidden="false" customHeight="true" outlineLevel="0" collapsed="false">
      <c r="A1306" s="54" t="n">
        <v>20260710</v>
      </c>
      <c r="B1306" s="54" t="s">
        <v>306</v>
      </c>
      <c r="C1306" s="54" t="s">
        <v>307</v>
      </c>
      <c r="D1306" s="54" t="s">
        <v>388</v>
      </c>
      <c r="E1306" s="54" t="s">
        <v>389</v>
      </c>
      <c r="F1306" s="54" t="s">
        <v>3243</v>
      </c>
      <c r="G1306" s="54" t="s">
        <v>3244</v>
      </c>
      <c r="H1306" s="54" t="n">
        <v>2310</v>
      </c>
      <c r="I1306" s="54" t="s">
        <v>295</v>
      </c>
      <c r="J1306" s="54" t="s">
        <v>392</v>
      </c>
    </row>
    <row r="1307" customFormat="false" ht="15" hidden="false" customHeight="true" outlineLevel="0" collapsed="false">
      <c r="A1307" s="54" t="n">
        <v>20260710</v>
      </c>
      <c r="B1307" s="54" t="s">
        <v>306</v>
      </c>
      <c r="C1307" s="54" t="s">
        <v>307</v>
      </c>
      <c r="D1307" s="54" t="s">
        <v>388</v>
      </c>
      <c r="E1307" s="54" t="s">
        <v>389</v>
      </c>
      <c r="F1307" s="54" t="s">
        <v>3245</v>
      </c>
      <c r="G1307" s="54" t="s">
        <v>3246</v>
      </c>
      <c r="H1307" s="54" t="n">
        <v>21811</v>
      </c>
      <c r="I1307" s="54" t="s">
        <v>295</v>
      </c>
      <c r="J1307" s="54" t="s">
        <v>392</v>
      </c>
    </row>
    <row r="1308" customFormat="false" ht="15" hidden="false" customHeight="true" outlineLevel="0" collapsed="false">
      <c r="A1308" s="54" t="n">
        <v>20260710</v>
      </c>
      <c r="B1308" s="54" t="s">
        <v>306</v>
      </c>
      <c r="C1308" s="54" t="s">
        <v>307</v>
      </c>
      <c r="D1308" s="54" t="s">
        <v>388</v>
      </c>
      <c r="E1308" s="54" t="s">
        <v>389</v>
      </c>
      <c r="F1308" s="54" t="s">
        <v>3245</v>
      </c>
      <c r="G1308" s="54" t="s">
        <v>3247</v>
      </c>
      <c r="H1308" s="54" t="n">
        <v>21813</v>
      </c>
      <c r="I1308" s="54" t="s">
        <v>315</v>
      </c>
      <c r="J1308" s="54" t="s">
        <v>392</v>
      </c>
    </row>
    <row r="1309" customFormat="false" ht="15" hidden="false" customHeight="true" outlineLevel="0" collapsed="false">
      <c r="A1309" s="54" t="n">
        <v>20260710</v>
      </c>
      <c r="B1309" s="54" t="s">
        <v>306</v>
      </c>
      <c r="C1309" s="54" t="s">
        <v>307</v>
      </c>
      <c r="D1309" s="54" t="s">
        <v>3248</v>
      </c>
      <c r="E1309" s="54" t="s">
        <v>3249</v>
      </c>
      <c r="F1309" s="54" t="s">
        <v>3250</v>
      </c>
      <c r="G1309" s="54" t="s">
        <v>2149</v>
      </c>
      <c r="H1309" s="54" t="n">
        <v>14390</v>
      </c>
      <c r="I1309" s="54" t="s">
        <v>295</v>
      </c>
      <c r="J1309" s="54" t="s">
        <v>312</v>
      </c>
    </row>
    <row r="1310" customFormat="false" ht="15" hidden="false" customHeight="true" outlineLevel="0" collapsed="false">
      <c r="A1310" s="54" t="n">
        <v>20260710</v>
      </c>
      <c r="B1310" s="54" t="s">
        <v>306</v>
      </c>
      <c r="C1310" s="54" t="s">
        <v>307</v>
      </c>
      <c r="D1310" s="54" t="s">
        <v>3248</v>
      </c>
      <c r="E1310" s="54" t="s">
        <v>3249</v>
      </c>
      <c r="F1310" s="54" t="s">
        <v>3251</v>
      </c>
      <c r="G1310" s="54" t="s">
        <v>3252</v>
      </c>
      <c r="H1310" s="54" t="n">
        <v>4961</v>
      </c>
      <c r="I1310" s="54" t="s">
        <v>295</v>
      </c>
      <c r="J1310" s="54" t="s">
        <v>312</v>
      </c>
    </row>
    <row r="1311" customFormat="false" ht="15" hidden="false" customHeight="true" outlineLevel="0" collapsed="false">
      <c r="A1311" s="54" t="n">
        <v>20260710</v>
      </c>
      <c r="B1311" s="54" t="s">
        <v>306</v>
      </c>
      <c r="C1311" s="54" t="s">
        <v>307</v>
      </c>
      <c r="D1311" s="54" t="s">
        <v>3248</v>
      </c>
      <c r="E1311" s="54" t="s">
        <v>3249</v>
      </c>
      <c r="F1311" s="54" t="s">
        <v>3253</v>
      </c>
      <c r="G1311" s="54" t="s">
        <v>3254</v>
      </c>
      <c r="H1311" s="54" t="n">
        <v>8114</v>
      </c>
      <c r="I1311" s="54" t="s">
        <v>295</v>
      </c>
      <c r="J1311" s="54" t="s">
        <v>312</v>
      </c>
    </row>
    <row r="1312" customFormat="false" ht="15" hidden="false" customHeight="true" outlineLevel="0" collapsed="false">
      <c r="A1312" s="54" t="n">
        <v>20260710</v>
      </c>
      <c r="B1312" s="54" t="s">
        <v>306</v>
      </c>
      <c r="C1312" s="54" t="s">
        <v>307</v>
      </c>
      <c r="D1312" s="54" t="s">
        <v>3248</v>
      </c>
      <c r="E1312" s="54" t="s">
        <v>3249</v>
      </c>
      <c r="F1312" s="54" t="s">
        <v>3255</v>
      </c>
      <c r="G1312" s="54" t="s">
        <v>3256</v>
      </c>
      <c r="H1312" s="54" t="n">
        <v>5783</v>
      </c>
      <c r="I1312" s="54" t="s">
        <v>295</v>
      </c>
      <c r="J1312" s="54" t="s">
        <v>312</v>
      </c>
    </row>
    <row r="1313" customFormat="false" ht="15" hidden="false" customHeight="true" outlineLevel="0" collapsed="false">
      <c r="A1313" s="54" t="n">
        <v>20260710</v>
      </c>
      <c r="B1313" s="54" t="s">
        <v>306</v>
      </c>
      <c r="C1313" s="54" t="s">
        <v>307</v>
      </c>
      <c r="D1313" s="54" t="s">
        <v>3248</v>
      </c>
      <c r="E1313" s="54" t="s">
        <v>3249</v>
      </c>
      <c r="F1313" s="54" t="s">
        <v>3257</v>
      </c>
      <c r="G1313" s="54" t="s">
        <v>3258</v>
      </c>
      <c r="H1313" s="54" t="n">
        <v>4</v>
      </c>
      <c r="I1313" s="54" t="s">
        <v>295</v>
      </c>
      <c r="J1313" s="54" t="s">
        <v>312</v>
      </c>
    </row>
    <row r="1314" customFormat="false" ht="15" hidden="false" customHeight="true" outlineLevel="0" collapsed="false">
      <c r="A1314" s="54" t="n">
        <v>20260710</v>
      </c>
      <c r="B1314" s="54" t="s">
        <v>248</v>
      </c>
      <c r="C1314" s="54" t="s">
        <v>307</v>
      </c>
      <c r="D1314" s="54" t="s">
        <v>3259</v>
      </c>
      <c r="E1314" s="54" t="s">
        <v>3260</v>
      </c>
      <c r="F1314" s="54" t="s">
        <v>3135</v>
      </c>
      <c r="G1314" s="54" t="s">
        <v>915</v>
      </c>
      <c r="H1314" s="54" t="n">
        <v>18816</v>
      </c>
      <c r="I1314" s="54" t="s">
        <v>295</v>
      </c>
      <c r="J1314" s="54" t="s">
        <v>326</v>
      </c>
    </row>
    <row r="1315" customFormat="false" ht="15" hidden="false" customHeight="true" outlineLevel="0" collapsed="false">
      <c r="A1315" s="54" t="n">
        <v>20260710</v>
      </c>
      <c r="B1315" s="54" t="s">
        <v>248</v>
      </c>
      <c r="C1315" s="54" t="s">
        <v>307</v>
      </c>
      <c r="D1315" s="54" t="s">
        <v>3259</v>
      </c>
      <c r="E1315" s="54" t="s">
        <v>3260</v>
      </c>
      <c r="F1315" s="54" t="s">
        <v>3261</v>
      </c>
      <c r="G1315" s="54" t="s">
        <v>864</v>
      </c>
      <c r="H1315" s="54" t="n">
        <v>10780</v>
      </c>
      <c r="I1315" s="54" t="s">
        <v>295</v>
      </c>
      <c r="J1315" s="54" t="s">
        <v>326</v>
      </c>
    </row>
    <row r="1316" customFormat="false" ht="15" hidden="false" customHeight="true" outlineLevel="0" collapsed="false">
      <c r="A1316" s="54" t="n">
        <v>20260710</v>
      </c>
      <c r="B1316" s="54" t="s">
        <v>306</v>
      </c>
      <c r="C1316" s="54" t="s">
        <v>307</v>
      </c>
      <c r="D1316" s="54" t="s">
        <v>3262</v>
      </c>
      <c r="E1316" s="54" t="s">
        <v>3263</v>
      </c>
      <c r="F1316" s="54" t="s">
        <v>3264</v>
      </c>
      <c r="G1316" s="54" t="s">
        <v>3265</v>
      </c>
      <c r="H1316" s="54" t="n">
        <v>15848</v>
      </c>
      <c r="I1316" s="54" t="s">
        <v>295</v>
      </c>
      <c r="J1316" s="54" t="s">
        <v>312</v>
      </c>
    </row>
    <row r="1317" customFormat="false" ht="15" hidden="false" customHeight="true" outlineLevel="0" collapsed="false">
      <c r="A1317" s="54" t="n">
        <v>20260710</v>
      </c>
      <c r="B1317" s="54" t="s">
        <v>306</v>
      </c>
      <c r="C1317" s="54" t="s">
        <v>307</v>
      </c>
      <c r="D1317" s="54" t="s">
        <v>3262</v>
      </c>
      <c r="E1317" s="54" t="s">
        <v>3263</v>
      </c>
      <c r="F1317" s="54" t="s">
        <v>3266</v>
      </c>
      <c r="G1317" s="54" t="s">
        <v>3267</v>
      </c>
      <c r="H1317" s="54" t="n">
        <v>3314</v>
      </c>
      <c r="I1317" s="54" t="s">
        <v>295</v>
      </c>
      <c r="J1317" s="54" t="s">
        <v>312</v>
      </c>
    </row>
    <row r="1318" customFormat="false" ht="15" hidden="false" customHeight="true" outlineLevel="0" collapsed="false">
      <c r="A1318" s="54" t="n">
        <v>20260710</v>
      </c>
      <c r="B1318" s="54" t="s">
        <v>306</v>
      </c>
      <c r="C1318" s="54" t="s">
        <v>307</v>
      </c>
      <c r="D1318" s="54" t="s">
        <v>3262</v>
      </c>
      <c r="E1318" s="54" t="s">
        <v>3263</v>
      </c>
      <c r="F1318" s="54" t="s">
        <v>3268</v>
      </c>
      <c r="G1318" s="54" t="s">
        <v>3269</v>
      </c>
      <c r="H1318" s="54" t="n">
        <v>13606</v>
      </c>
      <c r="I1318" s="54" t="s">
        <v>295</v>
      </c>
      <c r="J1318" s="54" t="s">
        <v>312</v>
      </c>
    </row>
    <row r="1319" customFormat="false" ht="15" hidden="false" customHeight="true" outlineLevel="0" collapsed="false">
      <c r="A1319" s="54" t="n">
        <v>20260710</v>
      </c>
      <c r="B1319" s="54" t="s">
        <v>289</v>
      </c>
      <c r="C1319" s="54" t="s">
        <v>307</v>
      </c>
      <c r="D1319" s="54" t="s">
        <v>3270</v>
      </c>
      <c r="E1319" s="54" t="s">
        <v>3271</v>
      </c>
      <c r="F1319" s="54" t="s">
        <v>3272</v>
      </c>
      <c r="G1319" s="54" t="s">
        <v>3273</v>
      </c>
      <c r="H1319" s="54" t="n">
        <v>13907</v>
      </c>
      <c r="I1319" s="54" t="s">
        <v>295</v>
      </c>
      <c r="J1319" s="54" t="s">
        <v>1950</v>
      </c>
    </row>
    <row r="1320" customFormat="false" ht="15" hidden="false" customHeight="true" outlineLevel="0" collapsed="false">
      <c r="A1320" s="54" t="n">
        <v>20260710</v>
      </c>
      <c r="B1320" s="54" t="s">
        <v>289</v>
      </c>
      <c r="C1320" s="54" t="s">
        <v>307</v>
      </c>
      <c r="D1320" s="54" t="s">
        <v>3270</v>
      </c>
      <c r="E1320" s="54" t="s">
        <v>3271</v>
      </c>
      <c r="F1320" s="54" t="s">
        <v>1863</v>
      </c>
      <c r="G1320" s="54" t="s">
        <v>1859</v>
      </c>
      <c r="H1320" s="54" t="n">
        <v>12596</v>
      </c>
      <c r="I1320" s="54" t="s">
        <v>295</v>
      </c>
      <c r="J1320" s="54" t="s">
        <v>1950</v>
      </c>
    </row>
    <row r="1321" customFormat="false" ht="15" hidden="false" customHeight="true" outlineLevel="0" collapsed="false">
      <c r="A1321" s="54" t="n">
        <v>20260710</v>
      </c>
      <c r="B1321" s="54" t="s">
        <v>306</v>
      </c>
      <c r="C1321" s="54" t="s">
        <v>290</v>
      </c>
      <c r="D1321" s="54" t="s">
        <v>3274</v>
      </c>
      <c r="E1321" s="54" t="s">
        <v>3275</v>
      </c>
      <c r="F1321" s="54" t="s">
        <v>2667</v>
      </c>
      <c r="G1321" s="54" t="s">
        <v>3276</v>
      </c>
      <c r="H1321" s="54" t="n">
        <v>16977</v>
      </c>
      <c r="I1321" s="54" t="s">
        <v>295</v>
      </c>
      <c r="J1321" s="54" t="s">
        <v>1027</v>
      </c>
    </row>
    <row r="1322" customFormat="false" ht="15" hidden="false" customHeight="true" outlineLevel="0" collapsed="false">
      <c r="A1322" s="54" t="n">
        <v>20260710</v>
      </c>
      <c r="B1322" s="54" t="s">
        <v>306</v>
      </c>
      <c r="C1322" s="54" t="s">
        <v>290</v>
      </c>
      <c r="D1322" s="54" t="s">
        <v>3274</v>
      </c>
      <c r="E1322" s="54" t="s">
        <v>3275</v>
      </c>
      <c r="F1322" s="54" t="s">
        <v>3277</v>
      </c>
      <c r="G1322" s="54" t="s">
        <v>3278</v>
      </c>
      <c r="H1322" s="54" t="n">
        <v>4524</v>
      </c>
      <c r="I1322" s="54" t="s">
        <v>295</v>
      </c>
      <c r="J1322" s="54" t="s">
        <v>1027</v>
      </c>
    </row>
    <row r="1323" customFormat="false" ht="15" hidden="false" customHeight="true" outlineLevel="0" collapsed="false">
      <c r="A1323" s="54" t="n">
        <v>20260710</v>
      </c>
      <c r="B1323" s="54" t="s">
        <v>306</v>
      </c>
      <c r="C1323" s="54" t="s">
        <v>290</v>
      </c>
      <c r="D1323" s="54" t="s">
        <v>3274</v>
      </c>
      <c r="E1323" s="54" t="s">
        <v>3275</v>
      </c>
      <c r="F1323" s="54" t="s">
        <v>686</v>
      </c>
      <c r="G1323" s="54" t="s">
        <v>3279</v>
      </c>
      <c r="H1323" s="54" t="n">
        <v>6867</v>
      </c>
      <c r="I1323" s="54" t="s">
        <v>295</v>
      </c>
      <c r="J1323" s="54" t="s">
        <v>1027</v>
      </c>
    </row>
    <row r="1324" customFormat="false" ht="15" hidden="false" customHeight="true" outlineLevel="0" collapsed="false">
      <c r="A1324" s="54" t="n">
        <v>20260710</v>
      </c>
      <c r="B1324" s="54" t="s">
        <v>306</v>
      </c>
      <c r="C1324" s="54" t="s">
        <v>307</v>
      </c>
      <c r="D1324" s="54" t="s">
        <v>3280</v>
      </c>
      <c r="E1324" s="54" t="s">
        <v>3281</v>
      </c>
      <c r="F1324" s="54" t="s">
        <v>2511</v>
      </c>
      <c r="G1324" s="54" t="s">
        <v>3282</v>
      </c>
      <c r="H1324" s="54" t="n">
        <v>13599</v>
      </c>
      <c r="I1324" s="54" t="s">
        <v>295</v>
      </c>
      <c r="J1324" s="54" t="s">
        <v>312</v>
      </c>
    </row>
    <row r="1325" customFormat="false" ht="15" hidden="false" customHeight="true" outlineLevel="0" collapsed="false">
      <c r="A1325" s="54" t="n">
        <v>20260710</v>
      </c>
      <c r="B1325" s="54" t="s">
        <v>306</v>
      </c>
      <c r="C1325" s="54" t="s">
        <v>307</v>
      </c>
      <c r="D1325" s="54" t="s">
        <v>3280</v>
      </c>
      <c r="E1325" s="54" t="s">
        <v>3281</v>
      </c>
      <c r="F1325" s="54" t="s">
        <v>3283</v>
      </c>
      <c r="G1325" s="54" t="s">
        <v>3109</v>
      </c>
      <c r="H1325" s="54" t="n">
        <v>4102</v>
      </c>
      <c r="I1325" s="54" t="s">
        <v>295</v>
      </c>
      <c r="J1325" s="54" t="s">
        <v>312</v>
      </c>
    </row>
    <row r="1326" customFormat="false" ht="15" hidden="false" customHeight="true" outlineLevel="0" collapsed="false">
      <c r="A1326" s="54" t="n">
        <v>20260710</v>
      </c>
      <c r="B1326" s="54" t="s">
        <v>306</v>
      </c>
      <c r="C1326" s="54" t="s">
        <v>307</v>
      </c>
      <c r="D1326" s="54" t="s">
        <v>3280</v>
      </c>
      <c r="E1326" s="54" t="s">
        <v>3281</v>
      </c>
      <c r="F1326" s="54" t="s">
        <v>3284</v>
      </c>
      <c r="G1326" s="54" t="s">
        <v>3285</v>
      </c>
      <c r="H1326" s="54" t="n">
        <v>14418</v>
      </c>
      <c r="I1326" s="54" t="s">
        <v>295</v>
      </c>
      <c r="J1326" s="54" t="s">
        <v>312</v>
      </c>
    </row>
    <row r="1327" customFormat="false" ht="15" hidden="false" customHeight="true" outlineLevel="0" collapsed="false">
      <c r="A1327" s="54" t="n">
        <v>20260710</v>
      </c>
      <c r="B1327" s="54" t="s">
        <v>757</v>
      </c>
      <c r="C1327" s="54" t="s">
        <v>307</v>
      </c>
      <c r="D1327" s="54" t="s">
        <v>3286</v>
      </c>
      <c r="E1327" s="54" t="s">
        <v>3287</v>
      </c>
      <c r="F1327" s="54" t="s">
        <v>3288</v>
      </c>
      <c r="G1327" s="54" t="s">
        <v>670</v>
      </c>
      <c r="H1327" s="54" t="n">
        <v>17986</v>
      </c>
      <c r="I1327" s="54" t="s">
        <v>295</v>
      </c>
      <c r="J1327" s="54" t="s">
        <v>762</v>
      </c>
    </row>
    <row r="1328" customFormat="false" ht="15" hidden="false" customHeight="true" outlineLevel="0" collapsed="false">
      <c r="A1328" s="54" t="n">
        <v>20260710</v>
      </c>
      <c r="B1328" s="54" t="s">
        <v>757</v>
      </c>
      <c r="C1328" s="54" t="s">
        <v>307</v>
      </c>
      <c r="D1328" s="54" t="s">
        <v>3286</v>
      </c>
      <c r="E1328" s="54" t="s">
        <v>3287</v>
      </c>
      <c r="F1328" s="54" t="s">
        <v>1318</v>
      </c>
      <c r="G1328" s="54" t="s">
        <v>3289</v>
      </c>
      <c r="H1328" s="54" t="n">
        <v>10874</v>
      </c>
      <c r="I1328" s="54" t="s">
        <v>295</v>
      </c>
      <c r="J1328" s="54" t="s">
        <v>762</v>
      </c>
    </row>
    <row r="1329" customFormat="false" ht="15" hidden="false" customHeight="true" outlineLevel="0" collapsed="false">
      <c r="A1329" s="54" t="n">
        <v>20260710</v>
      </c>
      <c r="B1329" s="54" t="s">
        <v>306</v>
      </c>
      <c r="C1329" s="54" t="s">
        <v>290</v>
      </c>
      <c r="D1329" s="54" t="s">
        <v>3290</v>
      </c>
      <c r="E1329" s="54" t="s">
        <v>3291</v>
      </c>
      <c r="F1329" s="54" t="s">
        <v>3292</v>
      </c>
      <c r="G1329" s="54" t="s">
        <v>3293</v>
      </c>
      <c r="H1329" s="54" t="n">
        <v>17428</v>
      </c>
      <c r="I1329" s="54" t="s">
        <v>315</v>
      </c>
      <c r="J1329" s="54" t="s">
        <v>1265</v>
      </c>
    </row>
    <row r="1330" customFormat="false" ht="15" hidden="false" customHeight="true" outlineLevel="0" collapsed="false">
      <c r="A1330" s="54" t="n">
        <v>20260710</v>
      </c>
      <c r="B1330" s="54" t="s">
        <v>306</v>
      </c>
      <c r="C1330" s="54" t="s">
        <v>290</v>
      </c>
      <c r="D1330" s="54" t="s">
        <v>3290</v>
      </c>
      <c r="E1330" s="54" t="s">
        <v>3291</v>
      </c>
      <c r="F1330" s="54" t="s">
        <v>3292</v>
      </c>
      <c r="G1330" s="54" t="s">
        <v>3293</v>
      </c>
      <c r="H1330" s="54" t="n">
        <v>17428</v>
      </c>
      <c r="I1330" s="54" t="s">
        <v>295</v>
      </c>
      <c r="J1330" s="54" t="s">
        <v>1265</v>
      </c>
    </row>
    <row r="1331" customFormat="false" ht="15" hidden="false" customHeight="true" outlineLevel="0" collapsed="false">
      <c r="A1331" s="54" t="n">
        <v>20260710</v>
      </c>
      <c r="B1331" s="54" t="s">
        <v>306</v>
      </c>
      <c r="C1331" s="54" t="s">
        <v>290</v>
      </c>
      <c r="D1331" s="54" t="s">
        <v>3290</v>
      </c>
      <c r="E1331" s="54" t="s">
        <v>3291</v>
      </c>
      <c r="F1331" s="54" t="s">
        <v>3294</v>
      </c>
      <c r="G1331" s="54" t="s">
        <v>3295</v>
      </c>
      <c r="H1331" s="54" t="n">
        <v>9924</v>
      </c>
      <c r="I1331" s="54" t="s">
        <v>315</v>
      </c>
      <c r="J1331" s="54" t="s">
        <v>1265</v>
      </c>
    </row>
    <row r="1332" customFormat="false" ht="15" hidden="false" customHeight="true" outlineLevel="0" collapsed="false">
      <c r="A1332" s="54" t="n">
        <v>20260710</v>
      </c>
      <c r="B1332" s="54" t="s">
        <v>306</v>
      </c>
      <c r="C1332" s="54" t="s">
        <v>290</v>
      </c>
      <c r="D1332" s="54" t="s">
        <v>3290</v>
      </c>
      <c r="E1332" s="54" t="s">
        <v>3291</v>
      </c>
      <c r="F1332" s="54" t="s">
        <v>3294</v>
      </c>
      <c r="G1332" s="54" t="s">
        <v>3296</v>
      </c>
      <c r="H1332" s="54" t="n">
        <v>10037</v>
      </c>
      <c r="I1332" s="54" t="s">
        <v>295</v>
      </c>
      <c r="J1332" s="54" t="s">
        <v>1265</v>
      </c>
    </row>
    <row r="1333" customFormat="false" ht="15" hidden="false" customHeight="true" outlineLevel="0" collapsed="false">
      <c r="A1333" s="54" t="n">
        <v>20260710</v>
      </c>
      <c r="B1333" s="54" t="s">
        <v>306</v>
      </c>
      <c r="C1333" s="54" t="s">
        <v>290</v>
      </c>
      <c r="D1333" s="54" t="s">
        <v>3290</v>
      </c>
      <c r="E1333" s="54" t="s">
        <v>3291</v>
      </c>
      <c r="F1333" s="54" t="s">
        <v>3297</v>
      </c>
      <c r="G1333" s="54" t="s">
        <v>3298</v>
      </c>
      <c r="H1333" s="54" t="n">
        <v>1373</v>
      </c>
      <c r="I1333" s="54" t="s">
        <v>295</v>
      </c>
      <c r="J1333" s="54" t="s">
        <v>1265</v>
      </c>
    </row>
    <row r="1334" customFormat="false" ht="15" hidden="false" customHeight="true" outlineLevel="0" collapsed="false">
      <c r="A1334" s="54" t="n">
        <v>20260710</v>
      </c>
      <c r="B1334" s="54" t="s">
        <v>306</v>
      </c>
      <c r="C1334" s="54" t="s">
        <v>290</v>
      </c>
      <c r="D1334" s="54" t="s">
        <v>3290</v>
      </c>
      <c r="E1334" s="54" t="s">
        <v>3291</v>
      </c>
      <c r="F1334" s="54" t="s">
        <v>3299</v>
      </c>
      <c r="G1334" s="54" t="s">
        <v>3300</v>
      </c>
      <c r="H1334" s="54" t="n">
        <v>1374</v>
      </c>
      <c r="I1334" s="54" t="s">
        <v>315</v>
      </c>
      <c r="J1334" s="54" t="s">
        <v>1265</v>
      </c>
    </row>
    <row r="1335" customFormat="false" ht="15" hidden="false" customHeight="true" outlineLevel="0" collapsed="false">
      <c r="A1335" s="54" t="n">
        <v>20260710</v>
      </c>
      <c r="B1335" s="54" t="s">
        <v>289</v>
      </c>
      <c r="C1335" s="54" t="s">
        <v>307</v>
      </c>
      <c r="D1335" s="54" t="s">
        <v>3301</v>
      </c>
      <c r="E1335" s="54" t="s">
        <v>1950</v>
      </c>
      <c r="F1335" s="54" t="s">
        <v>3302</v>
      </c>
      <c r="G1335" s="54" t="s">
        <v>3303</v>
      </c>
      <c r="H1335" s="54" t="n">
        <v>619</v>
      </c>
      <c r="I1335" s="54" t="s">
        <v>295</v>
      </c>
      <c r="J1335" s="54" t="s">
        <v>3304</v>
      </c>
    </row>
    <row r="1336" customFormat="false" ht="15" hidden="false" customHeight="true" outlineLevel="0" collapsed="false">
      <c r="A1336" s="54" t="n">
        <v>20260710</v>
      </c>
      <c r="B1336" s="54" t="s">
        <v>289</v>
      </c>
      <c r="C1336" s="54" t="s">
        <v>307</v>
      </c>
      <c r="D1336" s="54" t="s">
        <v>3301</v>
      </c>
      <c r="E1336" s="54" t="s">
        <v>1950</v>
      </c>
      <c r="F1336" s="54" t="s">
        <v>3305</v>
      </c>
      <c r="G1336" s="54" t="s">
        <v>3306</v>
      </c>
      <c r="H1336" s="54" t="n">
        <v>322</v>
      </c>
      <c r="I1336" s="54" t="s">
        <v>295</v>
      </c>
      <c r="J1336" s="54" t="s">
        <v>3304</v>
      </c>
    </row>
    <row r="1337" customFormat="false" ht="15" hidden="false" customHeight="true" outlineLevel="0" collapsed="false">
      <c r="A1337" s="54" t="n">
        <v>20260710</v>
      </c>
      <c r="B1337" s="54" t="s">
        <v>289</v>
      </c>
      <c r="C1337" s="54" t="s">
        <v>307</v>
      </c>
      <c r="D1337" s="54" t="s">
        <v>3301</v>
      </c>
      <c r="E1337" s="54" t="s">
        <v>1950</v>
      </c>
      <c r="F1337" s="54" t="s">
        <v>3307</v>
      </c>
      <c r="G1337" s="54" t="s">
        <v>3308</v>
      </c>
      <c r="H1337" s="54" t="n">
        <v>28800</v>
      </c>
      <c r="I1337" s="54" t="s">
        <v>295</v>
      </c>
      <c r="J1337" s="54" t="s">
        <v>3304</v>
      </c>
    </row>
    <row r="1338" customFormat="false" ht="15" hidden="false" customHeight="true" outlineLevel="0" collapsed="false">
      <c r="A1338" s="54" t="n">
        <v>20260710</v>
      </c>
      <c r="B1338" s="54" t="s">
        <v>306</v>
      </c>
      <c r="C1338" s="54" t="s">
        <v>290</v>
      </c>
      <c r="D1338" s="54" t="s">
        <v>3309</v>
      </c>
      <c r="E1338" s="54" t="s">
        <v>3310</v>
      </c>
      <c r="F1338" s="54" t="s">
        <v>3311</v>
      </c>
      <c r="G1338" s="54" t="s">
        <v>3312</v>
      </c>
      <c r="H1338" s="54" t="n">
        <v>63</v>
      </c>
      <c r="I1338" s="54" t="s">
        <v>295</v>
      </c>
      <c r="J1338" s="54" t="s">
        <v>989</v>
      </c>
    </row>
    <row r="1339" customFormat="false" ht="15" hidden="false" customHeight="true" outlineLevel="0" collapsed="false">
      <c r="A1339" s="54" t="n">
        <v>20260710</v>
      </c>
      <c r="B1339" s="54" t="s">
        <v>306</v>
      </c>
      <c r="C1339" s="54" t="s">
        <v>290</v>
      </c>
      <c r="D1339" s="54" t="s">
        <v>3309</v>
      </c>
      <c r="E1339" s="54" t="s">
        <v>3310</v>
      </c>
      <c r="F1339" s="54" t="s">
        <v>3313</v>
      </c>
      <c r="G1339" s="54" t="s">
        <v>3314</v>
      </c>
      <c r="H1339" s="54" t="n">
        <v>23802</v>
      </c>
      <c r="I1339" s="54" t="s">
        <v>295</v>
      </c>
      <c r="J1339" s="54" t="s">
        <v>989</v>
      </c>
    </row>
    <row r="1340" customFormat="false" ht="15" hidden="false" customHeight="true" outlineLevel="0" collapsed="false">
      <c r="A1340" s="54" t="n">
        <v>20260710</v>
      </c>
      <c r="B1340" s="54" t="s">
        <v>306</v>
      </c>
      <c r="C1340" s="54" t="s">
        <v>290</v>
      </c>
      <c r="D1340" s="54" t="s">
        <v>3309</v>
      </c>
      <c r="E1340" s="54" t="s">
        <v>3310</v>
      </c>
      <c r="F1340" s="54" t="s">
        <v>3315</v>
      </c>
      <c r="G1340" s="54" t="s">
        <v>3316</v>
      </c>
      <c r="H1340" s="54" t="n">
        <v>10405</v>
      </c>
      <c r="I1340" s="54" t="s">
        <v>295</v>
      </c>
      <c r="J1340" s="54" t="s">
        <v>989</v>
      </c>
    </row>
    <row r="1341" customFormat="false" ht="15" hidden="false" customHeight="true" outlineLevel="0" collapsed="false">
      <c r="A1341" s="54" t="n">
        <v>20260710</v>
      </c>
      <c r="B1341" s="54" t="s">
        <v>168</v>
      </c>
      <c r="C1341" s="54" t="s">
        <v>290</v>
      </c>
      <c r="D1341" s="54" t="s">
        <v>3317</v>
      </c>
      <c r="E1341" s="54" t="s">
        <v>3318</v>
      </c>
      <c r="F1341" s="54" t="s">
        <v>1693</v>
      </c>
      <c r="G1341" s="54" t="s">
        <v>3319</v>
      </c>
      <c r="H1341" s="54" t="n">
        <v>16345</v>
      </c>
      <c r="I1341" s="54" t="s">
        <v>295</v>
      </c>
      <c r="J1341" s="54" t="s">
        <v>818</v>
      </c>
    </row>
    <row r="1342" customFormat="false" ht="15" hidden="false" customHeight="true" outlineLevel="0" collapsed="false">
      <c r="A1342" s="54" t="n">
        <v>20260710</v>
      </c>
      <c r="B1342" s="54" t="s">
        <v>168</v>
      </c>
      <c r="C1342" s="54" t="s">
        <v>290</v>
      </c>
      <c r="D1342" s="54" t="s">
        <v>3317</v>
      </c>
      <c r="E1342" s="54" t="s">
        <v>3318</v>
      </c>
      <c r="F1342" s="54" t="s">
        <v>3320</v>
      </c>
      <c r="G1342" s="54" t="s">
        <v>1055</v>
      </c>
      <c r="H1342" s="54" t="n">
        <v>12631</v>
      </c>
      <c r="I1342" s="54" t="s">
        <v>295</v>
      </c>
      <c r="J1342" s="54" t="s">
        <v>818</v>
      </c>
    </row>
    <row r="1343" customFormat="false" ht="15" hidden="false" customHeight="true" outlineLevel="0" collapsed="false">
      <c r="A1343" s="54" t="n">
        <v>20260710</v>
      </c>
      <c r="B1343" s="54" t="s">
        <v>289</v>
      </c>
      <c r="C1343" s="54" t="s">
        <v>290</v>
      </c>
      <c r="D1343" s="54" t="s">
        <v>3321</v>
      </c>
      <c r="E1343" s="54" t="s">
        <v>3322</v>
      </c>
      <c r="F1343" s="54" t="s">
        <v>3323</v>
      </c>
      <c r="G1343" s="54" t="s">
        <v>3324</v>
      </c>
      <c r="H1343" s="54" t="n">
        <v>15024</v>
      </c>
      <c r="I1343" s="54" t="s">
        <v>295</v>
      </c>
      <c r="J1343" s="54" t="s">
        <v>439</v>
      </c>
    </row>
    <row r="1344" customFormat="false" ht="15" hidden="false" customHeight="true" outlineLevel="0" collapsed="false">
      <c r="A1344" s="54" t="n">
        <v>20260710</v>
      </c>
      <c r="B1344" s="54" t="s">
        <v>289</v>
      </c>
      <c r="C1344" s="54" t="s">
        <v>290</v>
      </c>
      <c r="D1344" s="54" t="s">
        <v>3321</v>
      </c>
      <c r="E1344" s="54" t="s">
        <v>3322</v>
      </c>
      <c r="F1344" s="54" t="s">
        <v>3325</v>
      </c>
      <c r="G1344" s="54" t="s">
        <v>2106</v>
      </c>
      <c r="H1344" s="54" t="n">
        <v>13942</v>
      </c>
      <c r="I1344" s="54" t="s">
        <v>295</v>
      </c>
      <c r="J1344" s="54" t="s">
        <v>439</v>
      </c>
    </row>
    <row r="1345" customFormat="false" ht="15" hidden="false" customHeight="true" outlineLevel="0" collapsed="false">
      <c r="A1345" s="54" t="n">
        <v>20260710</v>
      </c>
      <c r="B1345" s="54" t="s">
        <v>289</v>
      </c>
      <c r="C1345" s="54" t="s">
        <v>290</v>
      </c>
      <c r="D1345" s="54" t="s">
        <v>3326</v>
      </c>
      <c r="E1345" s="54" t="s">
        <v>3327</v>
      </c>
      <c r="F1345" s="54" t="s">
        <v>3328</v>
      </c>
      <c r="G1345" s="54" t="s">
        <v>3329</v>
      </c>
      <c r="H1345" s="54" t="n">
        <v>22227</v>
      </c>
      <c r="I1345" s="54" t="s">
        <v>295</v>
      </c>
      <c r="J1345" s="54" t="s">
        <v>414</v>
      </c>
    </row>
    <row r="1346" customFormat="false" ht="15" hidden="false" customHeight="true" outlineLevel="0" collapsed="false">
      <c r="A1346" s="54" t="n">
        <v>20260710</v>
      </c>
      <c r="B1346" s="54" t="s">
        <v>289</v>
      </c>
      <c r="C1346" s="54" t="s">
        <v>290</v>
      </c>
      <c r="D1346" s="54" t="s">
        <v>3326</v>
      </c>
      <c r="E1346" s="54" t="s">
        <v>3327</v>
      </c>
      <c r="F1346" s="54" t="s">
        <v>3330</v>
      </c>
      <c r="G1346" s="54" t="s">
        <v>2334</v>
      </c>
      <c r="H1346" s="54" t="n">
        <v>10948</v>
      </c>
      <c r="I1346" s="54" t="s">
        <v>295</v>
      </c>
      <c r="J1346" s="54" t="s">
        <v>414</v>
      </c>
    </row>
    <row r="1347" customFormat="false" ht="15" hidden="false" customHeight="true" outlineLevel="0" collapsed="false">
      <c r="A1347" s="54" t="n">
        <v>20260710</v>
      </c>
      <c r="B1347" s="54" t="s">
        <v>289</v>
      </c>
      <c r="C1347" s="54" t="s">
        <v>290</v>
      </c>
      <c r="D1347" s="54" t="s">
        <v>3331</v>
      </c>
      <c r="E1347" s="54" t="s">
        <v>3332</v>
      </c>
      <c r="F1347" s="54" t="s">
        <v>3333</v>
      </c>
      <c r="G1347" s="54" t="s">
        <v>3334</v>
      </c>
      <c r="H1347" s="54" t="n">
        <v>14890</v>
      </c>
      <c r="I1347" s="54" t="s">
        <v>295</v>
      </c>
      <c r="J1347" s="54" t="s">
        <v>852</v>
      </c>
    </row>
    <row r="1348" customFormat="false" ht="15" hidden="false" customHeight="true" outlineLevel="0" collapsed="false">
      <c r="A1348" s="54" t="n">
        <v>20260710</v>
      </c>
      <c r="B1348" s="54" t="s">
        <v>289</v>
      </c>
      <c r="C1348" s="54" t="s">
        <v>290</v>
      </c>
      <c r="D1348" s="54" t="s">
        <v>3331</v>
      </c>
      <c r="E1348" s="54" t="s">
        <v>3332</v>
      </c>
      <c r="F1348" s="54" t="s">
        <v>3335</v>
      </c>
      <c r="G1348" s="54" t="s">
        <v>3334</v>
      </c>
      <c r="H1348" s="54" t="n">
        <v>14889</v>
      </c>
      <c r="I1348" s="54" t="s">
        <v>360</v>
      </c>
      <c r="J1348" s="54" t="s">
        <v>852</v>
      </c>
    </row>
    <row r="1349" customFormat="false" ht="15" hidden="false" customHeight="true" outlineLevel="0" collapsed="false">
      <c r="A1349" s="54" t="n">
        <v>20260710</v>
      </c>
      <c r="B1349" s="54" t="s">
        <v>289</v>
      </c>
      <c r="C1349" s="54" t="s">
        <v>290</v>
      </c>
      <c r="D1349" s="54" t="s">
        <v>3331</v>
      </c>
      <c r="E1349" s="54" t="s">
        <v>3332</v>
      </c>
      <c r="F1349" s="54" t="s">
        <v>3336</v>
      </c>
      <c r="G1349" s="54" t="s">
        <v>3337</v>
      </c>
      <c r="H1349" s="54" t="n">
        <v>14705</v>
      </c>
      <c r="I1349" s="54" t="s">
        <v>360</v>
      </c>
      <c r="J1349" s="54" t="s">
        <v>852</v>
      </c>
    </row>
    <row r="1350" customFormat="false" ht="15" hidden="false" customHeight="true" outlineLevel="0" collapsed="false">
      <c r="A1350" s="54" t="n">
        <v>20260710</v>
      </c>
      <c r="B1350" s="54" t="s">
        <v>289</v>
      </c>
      <c r="C1350" s="54" t="s">
        <v>290</v>
      </c>
      <c r="D1350" s="54" t="s">
        <v>3331</v>
      </c>
      <c r="E1350" s="54" t="s">
        <v>3332</v>
      </c>
      <c r="F1350" s="54" t="s">
        <v>3336</v>
      </c>
      <c r="G1350" s="54" t="s">
        <v>3337</v>
      </c>
      <c r="H1350" s="54" t="n">
        <v>14705</v>
      </c>
      <c r="I1350" s="54" t="s">
        <v>295</v>
      </c>
      <c r="J1350" s="54" t="s">
        <v>852</v>
      </c>
    </row>
    <row r="1351" customFormat="false" ht="15" hidden="false" customHeight="true" outlineLevel="0" collapsed="false">
      <c r="A1351" s="54" t="n">
        <v>20260710</v>
      </c>
      <c r="B1351" s="54" t="s">
        <v>592</v>
      </c>
      <c r="C1351" s="54" t="s">
        <v>290</v>
      </c>
      <c r="D1351" s="54" t="s">
        <v>3338</v>
      </c>
      <c r="E1351" s="54" t="s">
        <v>3339</v>
      </c>
      <c r="F1351" s="54" t="s">
        <v>3340</v>
      </c>
      <c r="G1351" s="54" t="s">
        <v>3341</v>
      </c>
      <c r="H1351" s="54" t="n">
        <v>14780</v>
      </c>
      <c r="I1351" s="54" t="s">
        <v>295</v>
      </c>
      <c r="J1351" s="54" t="s">
        <v>597</v>
      </c>
    </row>
    <row r="1352" customFormat="false" ht="15" hidden="false" customHeight="true" outlineLevel="0" collapsed="false">
      <c r="A1352" s="54" t="n">
        <v>20260710</v>
      </c>
      <c r="B1352" s="54" t="s">
        <v>592</v>
      </c>
      <c r="C1352" s="54" t="s">
        <v>290</v>
      </c>
      <c r="D1352" s="54" t="s">
        <v>3338</v>
      </c>
      <c r="E1352" s="54" t="s">
        <v>3339</v>
      </c>
      <c r="F1352" s="54" t="s">
        <v>3342</v>
      </c>
      <c r="G1352" s="54" t="s">
        <v>3343</v>
      </c>
      <c r="H1352" s="54" t="n">
        <v>14576</v>
      </c>
      <c r="I1352" s="54" t="s">
        <v>295</v>
      </c>
      <c r="J1352" s="54" t="s">
        <v>597</v>
      </c>
    </row>
    <row r="1353" customFormat="false" ht="15" hidden="false" customHeight="true" outlineLevel="0" collapsed="false">
      <c r="A1353" s="54" t="n">
        <v>20260710</v>
      </c>
      <c r="B1353" s="54" t="s">
        <v>289</v>
      </c>
      <c r="C1353" s="54" t="s">
        <v>290</v>
      </c>
      <c r="D1353" s="54" t="s">
        <v>3344</v>
      </c>
      <c r="E1353" s="54" t="s">
        <v>3345</v>
      </c>
      <c r="F1353" s="54" t="s">
        <v>3346</v>
      </c>
      <c r="G1353" s="54" t="s">
        <v>3347</v>
      </c>
      <c r="H1353" s="54" t="n">
        <v>15694</v>
      </c>
      <c r="I1353" s="54" t="s">
        <v>295</v>
      </c>
      <c r="J1353" s="54" t="s">
        <v>578</v>
      </c>
    </row>
    <row r="1354" customFormat="false" ht="15" hidden="false" customHeight="true" outlineLevel="0" collapsed="false">
      <c r="A1354" s="54" t="n">
        <v>20260710</v>
      </c>
      <c r="B1354" s="54" t="s">
        <v>289</v>
      </c>
      <c r="C1354" s="54" t="s">
        <v>290</v>
      </c>
      <c r="D1354" s="54" t="s">
        <v>3344</v>
      </c>
      <c r="E1354" s="54" t="s">
        <v>3345</v>
      </c>
      <c r="F1354" s="54" t="s">
        <v>3267</v>
      </c>
      <c r="G1354" s="54" t="s">
        <v>3348</v>
      </c>
      <c r="H1354" s="54" t="n">
        <v>14580</v>
      </c>
      <c r="I1354" s="54" t="s">
        <v>295</v>
      </c>
      <c r="J1354" s="54" t="s">
        <v>578</v>
      </c>
    </row>
    <row r="1355" customFormat="false" ht="15" hidden="false" customHeight="true" outlineLevel="0" collapsed="false">
      <c r="A1355" s="54" t="n">
        <v>20260710</v>
      </c>
      <c r="B1355" s="54" t="s">
        <v>535</v>
      </c>
      <c r="C1355" s="54" t="s">
        <v>290</v>
      </c>
      <c r="D1355" s="54" t="s">
        <v>3349</v>
      </c>
      <c r="E1355" s="54" t="s">
        <v>3350</v>
      </c>
      <c r="F1355" s="54" t="s">
        <v>3351</v>
      </c>
      <c r="G1355" s="54" t="s">
        <v>3352</v>
      </c>
      <c r="H1355" s="54" t="n">
        <v>2787</v>
      </c>
      <c r="I1355" s="54" t="s">
        <v>295</v>
      </c>
      <c r="J1355" s="54" t="s">
        <v>811</v>
      </c>
    </row>
    <row r="1356" customFormat="false" ht="15" hidden="false" customHeight="true" outlineLevel="0" collapsed="false">
      <c r="A1356" s="54" t="n">
        <v>20260710</v>
      </c>
      <c r="B1356" s="54" t="s">
        <v>535</v>
      </c>
      <c r="C1356" s="54" t="s">
        <v>290</v>
      </c>
      <c r="D1356" s="54" t="s">
        <v>3349</v>
      </c>
      <c r="E1356" s="54" t="s">
        <v>3350</v>
      </c>
      <c r="F1356" s="54" t="s">
        <v>3353</v>
      </c>
      <c r="G1356" s="54" t="s">
        <v>3354</v>
      </c>
      <c r="H1356" s="54" t="n">
        <v>985</v>
      </c>
      <c r="I1356" s="54" t="s">
        <v>295</v>
      </c>
      <c r="J1356" s="54" t="s">
        <v>811</v>
      </c>
    </row>
    <row r="1357" customFormat="false" ht="15" hidden="false" customHeight="true" outlineLevel="0" collapsed="false">
      <c r="A1357" s="54" t="n">
        <v>20260710</v>
      </c>
      <c r="B1357" s="54" t="s">
        <v>535</v>
      </c>
      <c r="C1357" s="54" t="s">
        <v>290</v>
      </c>
      <c r="D1357" s="54" t="s">
        <v>3349</v>
      </c>
      <c r="E1357" s="54" t="s">
        <v>3350</v>
      </c>
      <c r="F1357" s="54" t="s">
        <v>3355</v>
      </c>
      <c r="G1357" s="54" t="s">
        <v>3356</v>
      </c>
      <c r="H1357" s="54" t="n">
        <v>1</v>
      </c>
      <c r="I1357" s="54" t="s">
        <v>295</v>
      </c>
      <c r="J1357" s="54" t="s">
        <v>811</v>
      </c>
    </row>
    <row r="1358" customFormat="false" ht="15" hidden="false" customHeight="true" outlineLevel="0" collapsed="false">
      <c r="A1358" s="54" t="n">
        <v>20260710</v>
      </c>
      <c r="B1358" s="54" t="s">
        <v>535</v>
      </c>
      <c r="C1358" s="54" t="s">
        <v>290</v>
      </c>
      <c r="D1358" s="54" t="s">
        <v>3349</v>
      </c>
      <c r="E1358" s="54" t="s">
        <v>3350</v>
      </c>
      <c r="F1358" s="54" t="s">
        <v>3357</v>
      </c>
      <c r="G1358" s="54" t="s">
        <v>1599</v>
      </c>
      <c r="H1358" s="54" t="n">
        <v>14007</v>
      </c>
      <c r="I1358" s="54" t="s">
        <v>295</v>
      </c>
      <c r="J1358" s="54" t="s">
        <v>811</v>
      </c>
    </row>
    <row r="1359" customFormat="false" ht="15" hidden="false" customHeight="true" outlineLevel="0" collapsed="false">
      <c r="A1359" s="54" t="n">
        <v>20260710</v>
      </c>
      <c r="B1359" s="54" t="s">
        <v>535</v>
      </c>
      <c r="C1359" s="54" t="s">
        <v>290</v>
      </c>
      <c r="D1359" s="54" t="s">
        <v>3349</v>
      </c>
      <c r="E1359" s="54" t="s">
        <v>3350</v>
      </c>
      <c r="F1359" s="54" t="s">
        <v>963</v>
      </c>
      <c r="G1359" s="54" t="s">
        <v>3358</v>
      </c>
      <c r="H1359" s="54" t="n">
        <v>355</v>
      </c>
      <c r="I1359" s="54" t="s">
        <v>295</v>
      </c>
      <c r="J1359" s="54" t="s">
        <v>811</v>
      </c>
    </row>
    <row r="1360" customFormat="false" ht="15" hidden="false" customHeight="true" outlineLevel="0" collapsed="false">
      <c r="A1360" s="54" t="n">
        <v>20260710</v>
      </c>
      <c r="B1360" s="54" t="s">
        <v>535</v>
      </c>
      <c r="C1360" s="54" t="s">
        <v>290</v>
      </c>
      <c r="D1360" s="54" t="s">
        <v>3349</v>
      </c>
      <c r="E1360" s="54" t="s">
        <v>3350</v>
      </c>
      <c r="F1360" s="54" t="s">
        <v>3359</v>
      </c>
      <c r="G1360" s="54" t="s">
        <v>3360</v>
      </c>
      <c r="H1360" s="54" t="n">
        <v>3530</v>
      </c>
      <c r="I1360" s="54" t="s">
        <v>295</v>
      </c>
      <c r="J1360" s="54" t="s">
        <v>811</v>
      </c>
    </row>
    <row r="1361" customFormat="false" ht="15" hidden="false" customHeight="true" outlineLevel="0" collapsed="false">
      <c r="A1361" s="54" t="n">
        <v>20260710</v>
      </c>
      <c r="B1361" s="54" t="s">
        <v>535</v>
      </c>
      <c r="C1361" s="54" t="s">
        <v>290</v>
      </c>
      <c r="D1361" s="54" t="s">
        <v>3349</v>
      </c>
      <c r="E1361" s="54" t="s">
        <v>3350</v>
      </c>
      <c r="F1361" s="54" t="s">
        <v>3361</v>
      </c>
      <c r="G1361" s="54" t="s">
        <v>929</v>
      </c>
      <c r="H1361" s="54" t="n">
        <v>6800</v>
      </c>
      <c r="I1361" s="54" t="s">
        <v>295</v>
      </c>
      <c r="J1361" s="54" t="s">
        <v>811</v>
      </c>
    </row>
    <row r="1362" customFormat="false" ht="15" hidden="false" customHeight="true" outlineLevel="0" collapsed="false">
      <c r="A1362" s="54" t="n">
        <v>20260710</v>
      </c>
      <c r="B1362" s="54" t="s">
        <v>306</v>
      </c>
      <c r="C1362" s="54" t="s">
        <v>290</v>
      </c>
      <c r="D1362" s="54" t="s">
        <v>3362</v>
      </c>
      <c r="E1362" s="54" t="s">
        <v>3363</v>
      </c>
      <c r="F1362" s="54" t="s">
        <v>2680</v>
      </c>
      <c r="G1362" s="54" t="s">
        <v>3364</v>
      </c>
      <c r="H1362" s="54" t="n">
        <v>15747</v>
      </c>
      <c r="I1362" s="54" t="s">
        <v>295</v>
      </c>
      <c r="J1362" s="54" t="s">
        <v>658</v>
      </c>
    </row>
    <row r="1363" customFormat="false" ht="15" hidden="false" customHeight="true" outlineLevel="0" collapsed="false">
      <c r="A1363" s="54" t="n">
        <v>20260710</v>
      </c>
      <c r="B1363" s="54" t="s">
        <v>306</v>
      </c>
      <c r="C1363" s="54" t="s">
        <v>290</v>
      </c>
      <c r="D1363" s="54" t="s">
        <v>3362</v>
      </c>
      <c r="E1363" s="54" t="s">
        <v>3363</v>
      </c>
      <c r="F1363" s="54" t="s">
        <v>3365</v>
      </c>
      <c r="G1363" s="54" t="s">
        <v>3366</v>
      </c>
      <c r="H1363" s="54" t="n">
        <v>13153</v>
      </c>
      <c r="I1363" s="54" t="s">
        <v>295</v>
      </c>
      <c r="J1363" s="54" t="s">
        <v>658</v>
      </c>
    </row>
    <row r="1364" customFormat="false" ht="15" hidden="false" customHeight="true" outlineLevel="0" collapsed="false">
      <c r="A1364" s="54" t="n">
        <v>20260710</v>
      </c>
      <c r="B1364" s="54" t="s">
        <v>289</v>
      </c>
      <c r="C1364" s="54" t="s">
        <v>290</v>
      </c>
      <c r="D1364" s="54" t="s">
        <v>3367</v>
      </c>
      <c r="E1364" s="54" t="s">
        <v>3368</v>
      </c>
      <c r="F1364" s="54" t="s">
        <v>1292</v>
      </c>
      <c r="G1364" s="54" t="s">
        <v>804</v>
      </c>
      <c r="H1364" s="54" t="n">
        <v>14391</v>
      </c>
      <c r="I1364" s="54" t="s">
        <v>295</v>
      </c>
      <c r="J1364" s="54" t="s">
        <v>459</v>
      </c>
    </row>
    <row r="1365" customFormat="false" ht="15" hidden="false" customHeight="true" outlineLevel="0" collapsed="false">
      <c r="A1365" s="54" t="n">
        <v>20260710</v>
      </c>
      <c r="B1365" s="54" t="s">
        <v>289</v>
      </c>
      <c r="C1365" s="54" t="s">
        <v>290</v>
      </c>
      <c r="D1365" s="54" t="s">
        <v>3367</v>
      </c>
      <c r="E1365" s="54" t="s">
        <v>3368</v>
      </c>
      <c r="F1365" s="54" t="s">
        <v>3369</v>
      </c>
      <c r="G1365" s="54" t="s">
        <v>984</v>
      </c>
      <c r="H1365" s="54" t="n">
        <v>14450</v>
      </c>
      <c r="I1365" s="54" t="s">
        <v>295</v>
      </c>
      <c r="J1365" s="54" t="s">
        <v>459</v>
      </c>
    </row>
    <row r="1366" customFormat="false" ht="15" hidden="false" customHeight="true" outlineLevel="0" collapsed="false">
      <c r="A1366" s="54" t="n">
        <v>20260710</v>
      </c>
      <c r="B1366" s="54" t="s">
        <v>168</v>
      </c>
      <c r="C1366" s="54" t="s">
        <v>290</v>
      </c>
      <c r="D1366" s="54" t="s">
        <v>3370</v>
      </c>
      <c r="E1366" s="54" t="s">
        <v>3371</v>
      </c>
      <c r="F1366" s="54" t="s">
        <v>3372</v>
      </c>
      <c r="G1366" s="54" t="s">
        <v>3373</v>
      </c>
      <c r="H1366" s="54" t="n">
        <v>14770</v>
      </c>
      <c r="I1366" s="54" t="s">
        <v>295</v>
      </c>
      <c r="J1366" s="54" t="s">
        <v>516</v>
      </c>
    </row>
    <row r="1367" customFormat="false" ht="15" hidden="false" customHeight="true" outlineLevel="0" collapsed="false">
      <c r="A1367" s="54" t="n">
        <v>20260710</v>
      </c>
      <c r="B1367" s="54" t="s">
        <v>168</v>
      </c>
      <c r="C1367" s="54" t="s">
        <v>290</v>
      </c>
      <c r="D1367" s="54" t="s">
        <v>3370</v>
      </c>
      <c r="E1367" s="54" t="s">
        <v>3371</v>
      </c>
      <c r="F1367" s="54" t="s">
        <v>3374</v>
      </c>
      <c r="G1367" s="54" t="s">
        <v>3375</v>
      </c>
      <c r="H1367" s="54" t="n">
        <v>5072</v>
      </c>
      <c r="I1367" s="54" t="s">
        <v>295</v>
      </c>
      <c r="J1367" s="54" t="s">
        <v>516</v>
      </c>
    </row>
    <row r="1368" customFormat="false" ht="15" hidden="false" customHeight="true" outlineLevel="0" collapsed="false">
      <c r="A1368" s="54" t="n">
        <v>20260710</v>
      </c>
      <c r="B1368" s="54" t="s">
        <v>168</v>
      </c>
      <c r="C1368" s="54" t="s">
        <v>290</v>
      </c>
      <c r="D1368" s="54" t="s">
        <v>3370</v>
      </c>
      <c r="E1368" s="54" t="s">
        <v>3371</v>
      </c>
      <c r="F1368" s="54" t="s">
        <v>3376</v>
      </c>
      <c r="G1368" s="54" t="s">
        <v>3377</v>
      </c>
      <c r="H1368" s="54" t="n">
        <v>9192</v>
      </c>
      <c r="I1368" s="54" t="s">
        <v>295</v>
      </c>
      <c r="J1368" s="54" t="s">
        <v>516</v>
      </c>
    </row>
    <row r="1369" customFormat="false" ht="15" hidden="false" customHeight="true" outlineLevel="0" collapsed="false">
      <c r="A1369" s="54" t="n">
        <v>20260710</v>
      </c>
      <c r="B1369" s="54" t="s">
        <v>306</v>
      </c>
      <c r="C1369" s="54" t="s">
        <v>290</v>
      </c>
      <c r="D1369" s="54" t="s">
        <v>3378</v>
      </c>
      <c r="E1369" s="54" t="s">
        <v>3379</v>
      </c>
      <c r="F1369" s="54" t="s">
        <v>3380</v>
      </c>
      <c r="G1369" s="54" t="s">
        <v>3381</v>
      </c>
      <c r="H1369" s="54" t="n">
        <v>28800</v>
      </c>
      <c r="I1369" s="54" t="s">
        <v>295</v>
      </c>
      <c r="J1369" s="54" t="s">
        <v>989</v>
      </c>
    </row>
    <row r="1370" customFormat="false" ht="15" hidden="false" customHeight="true" outlineLevel="0" collapsed="false">
      <c r="A1370" s="54" t="n">
        <v>20260710</v>
      </c>
      <c r="B1370" s="54" t="s">
        <v>289</v>
      </c>
      <c r="C1370" s="54" t="s">
        <v>290</v>
      </c>
      <c r="D1370" s="54" t="s">
        <v>3382</v>
      </c>
      <c r="E1370" s="54" t="s">
        <v>3383</v>
      </c>
      <c r="F1370" s="54" t="s">
        <v>2893</v>
      </c>
      <c r="G1370" s="54" t="s">
        <v>3384</v>
      </c>
      <c r="H1370" s="54" t="n">
        <v>18410</v>
      </c>
      <c r="I1370" s="54" t="s">
        <v>295</v>
      </c>
      <c r="J1370" s="54" t="s">
        <v>423</v>
      </c>
    </row>
    <row r="1371" customFormat="false" ht="15" hidden="false" customHeight="true" outlineLevel="0" collapsed="false">
      <c r="A1371" s="54" t="n">
        <v>20260710</v>
      </c>
      <c r="B1371" s="54" t="s">
        <v>289</v>
      </c>
      <c r="C1371" s="54" t="s">
        <v>290</v>
      </c>
      <c r="D1371" s="54" t="s">
        <v>3382</v>
      </c>
      <c r="E1371" s="54" t="s">
        <v>3383</v>
      </c>
      <c r="F1371" s="54" t="s">
        <v>3385</v>
      </c>
      <c r="G1371" s="54" t="s">
        <v>3386</v>
      </c>
      <c r="H1371" s="54" t="n">
        <v>3501</v>
      </c>
      <c r="I1371" s="54" t="s">
        <v>295</v>
      </c>
      <c r="J1371" s="54" t="s">
        <v>423</v>
      </c>
    </row>
    <row r="1372" customFormat="false" ht="15" hidden="false" customHeight="true" outlineLevel="0" collapsed="false">
      <c r="A1372" s="54" t="n">
        <v>20260710</v>
      </c>
      <c r="B1372" s="54" t="s">
        <v>289</v>
      </c>
      <c r="C1372" s="54" t="s">
        <v>290</v>
      </c>
      <c r="D1372" s="54" t="s">
        <v>3382</v>
      </c>
      <c r="E1372" s="54" t="s">
        <v>3383</v>
      </c>
      <c r="F1372" s="54" t="s">
        <v>3387</v>
      </c>
      <c r="G1372" s="54" t="s">
        <v>3388</v>
      </c>
      <c r="H1372" s="54" t="n">
        <v>4481</v>
      </c>
      <c r="I1372" s="54" t="s">
        <v>295</v>
      </c>
      <c r="J1372" s="54" t="s">
        <v>423</v>
      </c>
    </row>
    <row r="1373" customFormat="false" ht="15" hidden="false" customHeight="true" outlineLevel="0" collapsed="false">
      <c r="A1373" s="54" t="n">
        <v>20260710</v>
      </c>
      <c r="B1373" s="54" t="s">
        <v>289</v>
      </c>
      <c r="C1373" s="54" t="s">
        <v>290</v>
      </c>
      <c r="D1373" s="54" t="s">
        <v>3389</v>
      </c>
      <c r="E1373" s="54" t="s">
        <v>3390</v>
      </c>
      <c r="F1373" s="54" t="s">
        <v>3391</v>
      </c>
      <c r="G1373" s="54" t="s">
        <v>2150</v>
      </c>
      <c r="H1373" s="54" t="n">
        <v>12889</v>
      </c>
      <c r="I1373" s="54" t="s">
        <v>295</v>
      </c>
      <c r="J1373" s="54" t="s">
        <v>1431</v>
      </c>
    </row>
    <row r="1374" customFormat="false" ht="15" hidden="false" customHeight="true" outlineLevel="0" collapsed="false">
      <c r="A1374" s="54" t="n">
        <v>20260710</v>
      </c>
      <c r="B1374" s="54" t="s">
        <v>289</v>
      </c>
      <c r="C1374" s="54" t="s">
        <v>290</v>
      </c>
      <c r="D1374" s="54" t="s">
        <v>3389</v>
      </c>
      <c r="E1374" s="54" t="s">
        <v>3390</v>
      </c>
      <c r="F1374" s="54" t="s">
        <v>3392</v>
      </c>
      <c r="G1374" s="54" t="s">
        <v>2224</v>
      </c>
      <c r="H1374" s="54" t="n">
        <v>12890</v>
      </c>
      <c r="I1374" s="54" t="s">
        <v>360</v>
      </c>
      <c r="J1374" s="54" t="s">
        <v>1431</v>
      </c>
    </row>
    <row r="1375" customFormat="false" ht="15" hidden="false" customHeight="true" outlineLevel="0" collapsed="false">
      <c r="A1375" s="54" t="n">
        <v>20260710</v>
      </c>
      <c r="B1375" s="54" t="s">
        <v>289</v>
      </c>
      <c r="C1375" s="54" t="s">
        <v>290</v>
      </c>
      <c r="D1375" s="54" t="s">
        <v>3389</v>
      </c>
      <c r="E1375" s="54" t="s">
        <v>3390</v>
      </c>
      <c r="F1375" s="54" t="s">
        <v>3393</v>
      </c>
      <c r="G1375" s="54" t="s">
        <v>2341</v>
      </c>
      <c r="H1375" s="54" t="n">
        <v>7405</v>
      </c>
      <c r="I1375" s="54" t="s">
        <v>360</v>
      </c>
      <c r="J1375" s="54" t="s">
        <v>1431</v>
      </c>
    </row>
    <row r="1376" customFormat="false" ht="15" hidden="false" customHeight="true" outlineLevel="0" collapsed="false">
      <c r="A1376" s="54" t="n">
        <v>20260710</v>
      </c>
      <c r="B1376" s="54" t="s">
        <v>289</v>
      </c>
      <c r="C1376" s="54" t="s">
        <v>290</v>
      </c>
      <c r="D1376" s="54" t="s">
        <v>3389</v>
      </c>
      <c r="E1376" s="54" t="s">
        <v>3390</v>
      </c>
      <c r="F1376" s="54" t="s">
        <v>3393</v>
      </c>
      <c r="G1376" s="54" t="s">
        <v>3394</v>
      </c>
      <c r="H1376" s="54" t="n">
        <v>7496</v>
      </c>
      <c r="I1376" s="54" t="s">
        <v>295</v>
      </c>
      <c r="J1376" s="54" t="s">
        <v>1431</v>
      </c>
    </row>
    <row r="1377" customFormat="false" ht="15" hidden="false" customHeight="true" outlineLevel="0" collapsed="false">
      <c r="A1377" s="54" t="n">
        <v>20260710</v>
      </c>
      <c r="B1377" s="54" t="s">
        <v>289</v>
      </c>
      <c r="C1377" s="54" t="s">
        <v>290</v>
      </c>
      <c r="D1377" s="54" t="s">
        <v>3389</v>
      </c>
      <c r="E1377" s="54" t="s">
        <v>3390</v>
      </c>
      <c r="F1377" s="54" t="s">
        <v>3395</v>
      </c>
      <c r="G1377" s="54" t="s">
        <v>905</v>
      </c>
      <c r="H1377" s="54" t="n">
        <v>6447</v>
      </c>
      <c r="I1377" s="54" t="s">
        <v>295</v>
      </c>
      <c r="J1377" s="54" t="s">
        <v>1431</v>
      </c>
    </row>
    <row r="1378" customFormat="false" ht="15" hidden="false" customHeight="true" outlineLevel="0" collapsed="false">
      <c r="A1378" s="54" t="n">
        <v>20260710</v>
      </c>
      <c r="B1378" s="54" t="s">
        <v>289</v>
      </c>
      <c r="C1378" s="54" t="s">
        <v>290</v>
      </c>
      <c r="D1378" s="54" t="s">
        <v>3389</v>
      </c>
      <c r="E1378" s="54" t="s">
        <v>3390</v>
      </c>
      <c r="F1378" s="54" t="s">
        <v>3395</v>
      </c>
      <c r="G1378" s="54" t="s">
        <v>984</v>
      </c>
      <c r="H1378" s="54" t="n">
        <v>6448</v>
      </c>
      <c r="I1378" s="54" t="s">
        <v>360</v>
      </c>
      <c r="J1378" s="54" t="s">
        <v>1431</v>
      </c>
    </row>
    <row r="1379" customFormat="false" ht="15" hidden="false" customHeight="true" outlineLevel="0" collapsed="false">
      <c r="A1379" s="54" t="n">
        <v>20260710</v>
      </c>
      <c r="B1379" s="54" t="s">
        <v>688</v>
      </c>
      <c r="C1379" s="54" t="s">
        <v>290</v>
      </c>
      <c r="D1379" s="54" t="s">
        <v>3396</v>
      </c>
      <c r="E1379" s="54" t="s">
        <v>3397</v>
      </c>
      <c r="F1379" s="54" t="s">
        <v>3398</v>
      </c>
      <c r="G1379" s="54" t="s">
        <v>851</v>
      </c>
      <c r="H1379" s="54" t="n">
        <v>15050</v>
      </c>
      <c r="I1379" s="54" t="s">
        <v>295</v>
      </c>
      <c r="J1379" s="54" t="s">
        <v>779</v>
      </c>
    </row>
    <row r="1380" customFormat="false" ht="15" hidden="false" customHeight="true" outlineLevel="0" collapsed="false">
      <c r="A1380" s="54" t="n">
        <v>20260710</v>
      </c>
      <c r="B1380" s="54" t="s">
        <v>688</v>
      </c>
      <c r="C1380" s="54" t="s">
        <v>290</v>
      </c>
      <c r="D1380" s="54" t="s">
        <v>3396</v>
      </c>
      <c r="E1380" s="54" t="s">
        <v>3397</v>
      </c>
      <c r="F1380" s="54" t="s">
        <v>3399</v>
      </c>
      <c r="G1380" s="54" t="s">
        <v>2162</v>
      </c>
      <c r="H1380" s="54" t="n">
        <v>12432</v>
      </c>
      <c r="I1380" s="54" t="s">
        <v>295</v>
      </c>
      <c r="J1380" s="54" t="s">
        <v>779</v>
      </c>
    </row>
    <row r="1381" customFormat="false" ht="15" hidden="false" customHeight="true" outlineLevel="0" collapsed="false">
      <c r="A1381" s="54" t="n">
        <v>20260710</v>
      </c>
      <c r="B1381" s="54" t="s">
        <v>289</v>
      </c>
      <c r="C1381" s="54" t="s">
        <v>307</v>
      </c>
      <c r="D1381" s="54" t="s">
        <v>3400</v>
      </c>
      <c r="E1381" s="54" t="s">
        <v>3401</v>
      </c>
      <c r="F1381" s="54" t="s">
        <v>3323</v>
      </c>
      <c r="G1381" s="54" t="s">
        <v>3402</v>
      </c>
      <c r="H1381" s="54" t="n">
        <v>16955</v>
      </c>
      <c r="I1381" s="54" t="s">
        <v>295</v>
      </c>
      <c r="J1381" s="54" t="s">
        <v>1950</v>
      </c>
    </row>
    <row r="1382" customFormat="false" ht="15" hidden="false" customHeight="true" outlineLevel="0" collapsed="false">
      <c r="A1382" s="54" t="n">
        <v>20260710</v>
      </c>
      <c r="B1382" s="54" t="s">
        <v>289</v>
      </c>
      <c r="C1382" s="54" t="s">
        <v>307</v>
      </c>
      <c r="D1382" s="54" t="s">
        <v>3400</v>
      </c>
      <c r="E1382" s="54" t="s">
        <v>3401</v>
      </c>
      <c r="F1382" s="54" t="s">
        <v>3403</v>
      </c>
      <c r="G1382" s="54" t="s">
        <v>2660</v>
      </c>
      <c r="H1382" s="54" t="n">
        <v>12039</v>
      </c>
      <c r="I1382" s="54" t="s">
        <v>295</v>
      </c>
      <c r="J1382" s="54" t="s">
        <v>1950</v>
      </c>
    </row>
    <row r="1383" customFormat="false" ht="15" hidden="false" customHeight="true" outlineLevel="0" collapsed="false">
      <c r="A1383" s="54" t="n">
        <v>20260710</v>
      </c>
      <c r="B1383" s="54" t="s">
        <v>306</v>
      </c>
      <c r="C1383" s="54" t="s">
        <v>290</v>
      </c>
      <c r="D1383" s="54" t="s">
        <v>3404</v>
      </c>
      <c r="E1383" s="54" t="s">
        <v>3405</v>
      </c>
      <c r="F1383" s="54" t="s">
        <v>3406</v>
      </c>
      <c r="G1383" s="54" t="s">
        <v>3407</v>
      </c>
      <c r="H1383" s="54" t="n">
        <v>19817</v>
      </c>
      <c r="I1383" s="54" t="s">
        <v>295</v>
      </c>
      <c r="J1383" s="54" t="s">
        <v>375</v>
      </c>
    </row>
    <row r="1384" customFormat="false" ht="15" hidden="false" customHeight="true" outlineLevel="0" collapsed="false">
      <c r="A1384" s="54" t="n">
        <v>20260710</v>
      </c>
      <c r="B1384" s="54" t="s">
        <v>306</v>
      </c>
      <c r="C1384" s="54" t="s">
        <v>290</v>
      </c>
      <c r="D1384" s="54" t="s">
        <v>3404</v>
      </c>
      <c r="E1384" s="54" t="s">
        <v>3405</v>
      </c>
      <c r="F1384" s="54" t="s">
        <v>3408</v>
      </c>
      <c r="G1384" s="54" t="s">
        <v>3409</v>
      </c>
      <c r="H1384" s="54" t="n">
        <v>13045</v>
      </c>
      <c r="I1384" s="54" t="s">
        <v>295</v>
      </c>
      <c r="J1384" s="54" t="s">
        <v>375</v>
      </c>
    </row>
    <row r="1385" customFormat="false" ht="15" hidden="false" customHeight="true" outlineLevel="0" collapsed="false">
      <c r="A1385" s="54" t="n">
        <v>20260710</v>
      </c>
      <c r="B1385" s="54" t="s">
        <v>306</v>
      </c>
      <c r="C1385" s="54" t="s">
        <v>290</v>
      </c>
      <c r="D1385" s="54" t="s">
        <v>3410</v>
      </c>
      <c r="E1385" s="54" t="s">
        <v>3411</v>
      </c>
      <c r="F1385" s="54" t="s">
        <v>3412</v>
      </c>
      <c r="G1385" s="54" t="s">
        <v>3413</v>
      </c>
      <c r="H1385" s="54" t="n">
        <v>11396</v>
      </c>
      <c r="I1385" s="54" t="s">
        <v>295</v>
      </c>
      <c r="J1385" s="54" t="s">
        <v>473</v>
      </c>
    </row>
    <row r="1386" customFormat="false" ht="15" hidden="false" customHeight="true" outlineLevel="0" collapsed="false">
      <c r="A1386" s="54" t="n">
        <v>20260710</v>
      </c>
      <c r="B1386" s="54" t="s">
        <v>306</v>
      </c>
      <c r="C1386" s="54" t="s">
        <v>290</v>
      </c>
      <c r="D1386" s="54" t="s">
        <v>3410</v>
      </c>
      <c r="E1386" s="54" t="s">
        <v>3411</v>
      </c>
      <c r="F1386" s="54" t="s">
        <v>3412</v>
      </c>
      <c r="G1386" s="54" t="s">
        <v>3414</v>
      </c>
      <c r="H1386" s="54" t="n">
        <v>11398</v>
      </c>
      <c r="I1386" s="54" t="s">
        <v>315</v>
      </c>
      <c r="J1386" s="54" t="s">
        <v>473</v>
      </c>
    </row>
    <row r="1387" customFormat="false" ht="15" hidden="false" customHeight="true" outlineLevel="0" collapsed="false">
      <c r="A1387" s="54" t="n">
        <v>20260710</v>
      </c>
      <c r="B1387" s="54" t="s">
        <v>306</v>
      </c>
      <c r="C1387" s="54" t="s">
        <v>290</v>
      </c>
      <c r="D1387" s="54" t="s">
        <v>3410</v>
      </c>
      <c r="E1387" s="54" t="s">
        <v>3411</v>
      </c>
      <c r="F1387" s="54" t="s">
        <v>3415</v>
      </c>
      <c r="G1387" s="54" t="s">
        <v>3416</v>
      </c>
      <c r="H1387" s="54" t="n">
        <v>13596</v>
      </c>
      <c r="I1387" s="54" t="s">
        <v>295</v>
      </c>
      <c r="J1387" s="54" t="s">
        <v>473</v>
      </c>
    </row>
    <row r="1388" customFormat="false" ht="15" hidden="false" customHeight="true" outlineLevel="0" collapsed="false">
      <c r="A1388" s="54" t="n">
        <v>20260710</v>
      </c>
      <c r="B1388" s="54" t="s">
        <v>306</v>
      </c>
      <c r="C1388" s="54" t="s">
        <v>290</v>
      </c>
      <c r="D1388" s="54" t="s">
        <v>3410</v>
      </c>
      <c r="E1388" s="54" t="s">
        <v>3411</v>
      </c>
      <c r="F1388" s="54" t="s">
        <v>3417</v>
      </c>
      <c r="G1388" s="54" t="s">
        <v>3418</v>
      </c>
      <c r="H1388" s="54" t="n">
        <v>4953</v>
      </c>
      <c r="I1388" s="54" t="s">
        <v>315</v>
      </c>
      <c r="J1388" s="54" t="s">
        <v>473</v>
      </c>
    </row>
    <row r="1389" customFormat="false" ht="15" hidden="false" customHeight="true" outlineLevel="0" collapsed="false">
      <c r="A1389" s="54" t="n">
        <v>20260710</v>
      </c>
      <c r="B1389" s="54" t="s">
        <v>306</v>
      </c>
      <c r="C1389" s="54" t="s">
        <v>290</v>
      </c>
      <c r="D1389" s="54" t="s">
        <v>3410</v>
      </c>
      <c r="E1389" s="54" t="s">
        <v>3411</v>
      </c>
      <c r="F1389" s="54" t="s">
        <v>3419</v>
      </c>
      <c r="G1389" s="54" t="s">
        <v>3420</v>
      </c>
      <c r="H1389" s="54" t="n">
        <v>1610</v>
      </c>
      <c r="I1389" s="54" t="s">
        <v>315</v>
      </c>
      <c r="J1389" s="54" t="s">
        <v>473</v>
      </c>
    </row>
    <row r="1390" customFormat="false" ht="15" hidden="false" customHeight="true" outlineLevel="0" collapsed="false">
      <c r="A1390" s="54" t="n">
        <v>20260710</v>
      </c>
      <c r="B1390" s="54" t="s">
        <v>306</v>
      </c>
      <c r="C1390" s="54" t="s">
        <v>290</v>
      </c>
      <c r="D1390" s="54" t="s">
        <v>3410</v>
      </c>
      <c r="E1390" s="54" t="s">
        <v>3411</v>
      </c>
      <c r="F1390" s="54" t="s">
        <v>3421</v>
      </c>
      <c r="G1390" s="54" t="s">
        <v>3422</v>
      </c>
      <c r="H1390" s="54" t="n">
        <v>2492</v>
      </c>
      <c r="I1390" s="54" t="s">
        <v>315</v>
      </c>
      <c r="J1390" s="54" t="s">
        <v>473</v>
      </c>
    </row>
    <row r="1391" customFormat="false" ht="15" hidden="false" customHeight="true" outlineLevel="0" collapsed="false">
      <c r="A1391" s="54" t="n">
        <v>20260710</v>
      </c>
      <c r="B1391" s="54" t="s">
        <v>306</v>
      </c>
      <c r="C1391" s="54" t="s">
        <v>290</v>
      </c>
      <c r="D1391" s="54" t="s">
        <v>3410</v>
      </c>
      <c r="E1391" s="54" t="s">
        <v>3411</v>
      </c>
      <c r="F1391" s="54" t="s">
        <v>3423</v>
      </c>
      <c r="G1391" s="54" t="s">
        <v>3424</v>
      </c>
      <c r="H1391" s="54" t="n">
        <v>4297</v>
      </c>
      <c r="I1391" s="54" t="s">
        <v>295</v>
      </c>
      <c r="J1391" s="54" t="s">
        <v>473</v>
      </c>
    </row>
    <row r="1392" customFormat="false" ht="15" hidden="false" customHeight="true" outlineLevel="0" collapsed="false">
      <c r="A1392" s="54" t="n">
        <v>20260710</v>
      </c>
      <c r="B1392" s="54" t="s">
        <v>306</v>
      </c>
      <c r="C1392" s="54" t="s">
        <v>290</v>
      </c>
      <c r="D1392" s="54" t="s">
        <v>3410</v>
      </c>
      <c r="E1392" s="54" t="s">
        <v>3411</v>
      </c>
      <c r="F1392" s="54" t="s">
        <v>3423</v>
      </c>
      <c r="G1392" s="54" t="s">
        <v>3425</v>
      </c>
      <c r="H1392" s="54" t="n">
        <v>4299</v>
      </c>
      <c r="I1392" s="54" t="s">
        <v>315</v>
      </c>
      <c r="J1392" s="54" t="s">
        <v>473</v>
      </c>
    </row>
    <row r="1393" customFormat="false" ht="15" hidden="false" customHeight="true" outlineLevel="0" collapsed="false">
      <c r="A1393" s="54" t="n">
        <v>20260710</v>
      </c>
      <c r="B1393" s="54" t="s">
        <v>289</v>
      </c>
      <c r="C1393" s="54" t="s">
        <v>290</v>
      </c>
      <c r="D1393" s="54" t="s">
        <v>3426</v>
      </c>
      <c r="E1393" s="54" t="s">
        <v>3427</v>
      </c>
      <c r="F1393" s="54" t="s">
        <v>3428</v>
      </c>
      <c r="G1393" s="54" t="s">
        <v>3429</v>
      </c>
      <c r="H1393" s="54" t="n">
        <v>18058</v>
      </c>
      <c r="I1393" s="54" t="s">
        <v>295</v>
      </c>
      <c r="J1393" s="54" t="s">
        <v>569</v>
      </c>
    </row>
    <row r="1394" customFormat="false" ht="15" hidden="false" customHeight="true" outlineLevel="0" collapsed="false">
      <c r="A1394" s="54" t="n">
        <v>20260710</v>
      </c>
      <c r="B1394" s="54" t="s">
        <v>289</v>
      </c>
      <c r="C1394" s="54" t="s">
        <v>290</v>
      </c>
      <c r="D1394" s="54" t="s">
        <v>3426</v>
      </c>
      <c r="E1394" s="54" t="s">
        <v>3427</v>
      </c>
      <c r="F1394" s="54" t="s">
        <v>3430</v>
      </c>
      <c r="G1394" s="54" t="s">
        <v>3429</v>
      </c>
      <c r="H1394" s="54" t="n">
        <v>18057</v>
      </c>
      <c r="I1394" s="54" t="s">
        <v>360</v>
      </c>
      <c r="J1394" s="54" t="s">
        <v>569</v>
      </c>
    </row>
    <row r="1395" customFormat="false" ht="15" hidden="false" customHeight="true" outlineLevel="0" collapsed="false">
      <c r="A1395" s="54" t="n">
        <v>20260710</v>
      </c>
      <c r="B1395" s="54" t="s">
        <v>289</v>
      </c>
      <c r="C1395" s="54" t="s">
        <v>290</v>
      </c>
      <c r="D1395" s="54" t="s">
        <v>3426</v>
      </c>
      <c r="E1395" s="54" t="s">
        <v>3427</v>
      </c>
      <c r="F1395" s="54" t="s">
        <v>3431</v>
      </c>
      <c r="G1395" s="54" t="s">
        <v>3432</v>
      </c>
      <c r="H1395" s="54" t="n">
        <v>6854</v>
      </c>
      <c r="I1395" s="54" t="s">
        <v>360</v>
      </c>
      <c r="J1395" s="54" t="s">
        <v>569</v>
      </c>
    </row>
    <row r="1396" customFormat="false" ht="15" hidden="false" customHeight="true" outlineLevel="0" collapsed="false">
      <c r="A1396" s="54" t="n">
        <v>20260710</v>
      </c>
      <c r="B1396" s="54" t="s">
        <v>289</v>
      </c>
      <c r="C1396" s="54" t="s">
        <v>290</v>
      </c>
      <c r="D1396" s="54" t="s">
        <v>3426</v>
      </c>
      <c r="E1396" s="54" t="s">
        <v>3427</v>
      </c>
      <c r="F1396" s="54" t="s">
        <v>3431</v>
      </c>
      <c r="G1396" s="54" t="s">
        <v>3432</v>
      </c>
      <c r="H1396" s="54" t="n">
        <v>6854</v>
      </c>
      <c r="I1396" s="54" t="s">
        <v>295</v>
      </c>
      <c r="J1396" s="54" t="s">
        <v>569</v>
      </c>
    </row>
    <row r="1397" customFormat="false" ht="15" hidden="false" customHeight="true" outlineLevel="0" collapsed="false">
      <c r="A1397" s="54" t="n">
        <v>20260710</v>
      </c>
      <c r="B1397" s="54" t="s">
        <v>289</v>
      </c>
      <c r="C1397" s="54" t="s">
        <v>290</v>
      </c>
      <c r="D1397" s="54" t="s">
        <v>3426</v>
      </c>
      <c r="E1397" s="54" t="s">
        <v>3427</v>
      </c>
      <c r="F1397" s="54" t="s">
        <v>3433</v>
      </c>
      <c r="G1397" s="54" t="s">
        <v>3434</v>
      </c>
      <c r="H1397" s="54" t="n">
        <v>3634</v>
      </c>
      <c r="I1397" s="54" t="s">
        <v>295</v>
      </c>
      <c r="J1397" s="54" t="s">
        <v>569</v>
      </c>
    </row>
    <row r="1398" customFormat="false" ht="15" hidden="false" customHeight="true" outlineLevel="0" collapsed="false">
      <c r="A1398" s="54" t="n">
        <v>20260710</v>
      </c>
      <c r="B1398" s="54" t="s">
        <v>289</v>
      </c>
      <c r="C1398" s="54" t="s">
        <v>290</v>
      </c>
      <c r="D1398" s="54" t="s">
        <v>3426</v>
      </c>
      <c r="E1398" s="54" t="s">
        <v>3427</v>
      </c>
      <c r="F1398" s="54" t="s">
        <v>3435</v>
      </c>
      <c r="G1398" s="54" t="s">
        <v>3434</v>
      </c>
      <c r="H1398" s="54" t="n">
        <v>3633</v>
      </c>
      <c r="I1398" s="54" t="s">
        <v>360</v>
      </c>
      <c r="J1398" s="54" t="s">
        <v>569</v>
      </c>
    </row>
    <row r="1399" customFormat="false" ht="15" hidden="false" customHeight="true" outlineLevel="0" collapsed="false">
      <c r="A1399" s="54" t="n">
        <v>20260710</v>
      </c>
      <c r="B1399" s="54" t="s">
        <v>289</v>
      </c>
      <c r="C1399" s="54" t="s">
        <v>290</v>
      </c>
      <c r="D1399" s="54" t="s">
        <v>3436</v>
      </c>
      <c r="E1399" s="54" t="s">
        <v>3437</v>
      </c>
      <c r="F1399" s="54" t="s">
        <v>3438</v>
      </c>
      <c r="G1399" s="54" t="s">
        <v>3439</v>
      </c>
      <c r="H1399" s="54" t="n">
        <v>8</v>
      </c>
      <c r="I1399" s="54" t="s">
        <v>295</v>
      </c>
      <c r="J1399" s="54" t="s">
        <v>459</v>
      </c>
    </row>
    <row r="1400" customFormat="false" ht="15" hidden="false" customHeight="true" outlineLevel="0" collapsed="false">
      <c r="A1400" s="54" t="n">
        <v>20260710</v>
      </c>
      <c r="B1400" s="54" t="s">
        <v>289</v>
      </c>
      <c r="C1400" s="54" t="s">
        <v>290</v>
      </c>
      <c r="D1400" s="54" t="s">
        <v>3436</v>
      </c>
      <c r="E1400" s="54" t="s">
        <v>3437</v>
      </c>
      <c r="F1400" s="54" t="s">
        <v>3440</v>
      </c>
      <c r="G1400" s="54" t="s">
        <v>3441</v>
      </c>
      <c r="H1400" s="54" t="n">
        <v>14726</v>
      </c>
      <c r="I1400" s="54" t="s">
        <v>295</v>
      </c>
      <c r="J1400" s="54" t="s">
        <v>459</v>
      </c>
    </row>
    <row r="1401" customFormat="false" ht="15" hidden="false" customHeight="true" outlineLevel="0" collapsed="false">
      <c r="A1401" s="54" t="n">
        <v>20260710</v>
      </c>
      <c r="B1401" s="54" t="s">
        <v>289</v>
      </c>
      <c r="C1401" s="54" t="s">
        <v>290</v>
      </c>
      <c r="D1401" s="54" t="s">
        <v>3436</v>
      </c>
      <c r="E1401" s="54" t="s">
        <v>3437</v>
      </c>
      <c r="F1401" s="54" t="s">
        <v>3442</v>
      </c>
      <c r="G1401" s="54" t="s">
        <v>3443</v>
      </c>
      <c r="H1401" s="54" t="n">
        <v>10563</v>
      </c>
      <c r="I1401" s="54" t="s">
        <v>295</v>
      </c>
      <c r="J1401" s="54" t="s">
        <v>459</v>
      </c>
    </row>
    <row r="1402" customFormat="false" ht="15" hidden="false" customHeight="true" outlineLevel="0" collapsed="false">
      <c r="A1402" s="54" t="n">
        <v>20260710</v>
      </c>
      <c r="B1402" s="54" t="s">
        <v>289</v>
      </c>
      <c r="C1402" s="54" t="s">
        <v>290</v>
      </c>
      <c r="D1402" s="54" t="s">
        <v>403</v>
      </c>
      <c r="E1402" s="54" t="s">
        <v>404</v>
      </c>
      <c r="F1402" s="54" t="s">
        <v>3444</v>
      </c>
      <c r="G1402" s="54" t="s">
        <v>3445</v>
      </c>
      <c r="H1402" s="54" t="n">
        <v>16024</v>
      </c>
      <c r="I1402" s="54" t="s">
        <v>295</v>
      </c>
      <c r="J1402" s="54" t="s">
        <v>407</v>
      </c>
    </row>
    <row r="1403" customFormat="false" ht="15" hidden="false" customHeight="true" outlineLevel="0" collapsed="false">
      <c r="A1403" s="54" t="n">
        <v>20260710</v>
      </c>
      <c r="B1403" s="54" t="s">
        <v>289</v>
      </c>
      <c r="C1403" s="54" t="s">
        <v>290</v>
      </c>
      <c r="D1403" s="54" t="s">
        <v>403</v>
      </c>
      <c r="E1403" s="54" t="s">
        <v>404</v>
      </c>
      <c r="F1403" s="54" t="s">
        <v>3446</v>
      </c>
      <c r="G1403" s="54" t="s">
        <v>3445</v>
      </c>
      <c r="H1403" s="54" t="n">
        <v>16023</v>
      </c>
      <c r="I1403" s="54" t="s">
        <v>360</v>
      </c>
      <c r="J1403" s="54" t="s">
        <v>407</v>
      </c>
    </row>
    <row r="1404" customFormat="false" ht="15" hidden="false" customHeight="true" outlineLevel="0" collapsed="false">
      <c r="A1404" s="54" t="n">
        <v>20260710</v>
      </c>
      <c r="B1404" s="54" t="s">
        <v>289</v>
      </c>
      <c r="C1404" s="54" t="s">
        <v>290</v>
      </c>
      <c r="D1404" s="54" t="s">
        <v>403</v>
      </c>
      <c r="E1404" s="54" t="s">
        <v>404</v>
      </c>
      <c r="F1404" s="54" t="s">
        <v>3447</v>
      </c>
      <c r="G1404" s="54" t="s">
        <v>3448</v>
      </c>
      <c r="H1404" s="54" t="n">
        <v>13577</v>
      </c>
      <c r="I1404" s="54" t="s">
        <v>360</v>
      </c>
      <c r="J1404" s="54" t="s">
        <v>407</v>
      </c>
    </row>
    <row r="1405" customFormat="false" ht="15" hidden="false" customHeight="true" outlineLevel="0" collapsed="false">
      <c r="A1405" s="54" t="n">
        <v>20260710</v>
      </c>
      <c r="B1405" s="54" t="s">
        <v>289</v>
      </c>
      <c r="C1405" s="54" t="s">
        <v>290</v>
      </c>
      <c r="D1405" s="54" t="s">
        <v>403</v>
      </c>
      <c r="E1405" s="54" t="s">
        <v>404</v>
      </c>
      <c r="F1405" s="54" t="s">
        <v>3447</v>
      </c>
      <c r="G1405" s="54" t="s">
        <v>3448</v>
      </c>
      <c r="H1405" s="54" t="n">
        <v>13577</v>
      </c>
      <c r="I1405" s="54" t="s">
        <v>295</v>
      </c>
      <c r="J1405" s="54" t="s">
        <v>407</v>
      </c>
    </row>
    <row r="1406" customFormat="false" ht="15" hidden="false" customHeight="true" outlineLevel="0" collapsed="false">
      <c r="A1406" s="54" t="n">
        <v>20260710</v>
      </c>
      <c r="B1406" s="54" t="s">
        <v>306</v>
      </c>
      <c r="C1406" s="54" t="s">
        <v>307</v>
      </c>
      <c r="D1406" s="54" t="s">
        <v>3449</v>
      </c>
      <c r="E1406" s="54" t="s">
        <v>3450</v>
      </c>
      <c r="F1406" s="54" t="s">
        <v>3451</v>
      </c>
      <c r="G1406" s="54" t="s">
        <v>3452</v>
      </c>
      <c r="H1406" s="54" t="n">
        <v>5</v>
      </c>
      <c r="I1406" s="54" t="s">
        <v>315</v>
      </c>
      <c r="J1406" s="54" t="s">
        <v>392</v>
      </c>
    </row>
    <row r="1407" customFormat="false" ht="15" hidden="false" customHeight="true" outlineLevel="0" collapsed="false">
      <c r="A1407" s="54" t="n">
        <v>20260710</v>
      </c>
      <c r="B1407" s="54" t="s">
        <v>306</v>
      </c>
      <c r="C1407" s="54" t="s">
        <v>307</v>
      </c>
      <c r="D1407" s="54" t="s">
        <v>3449</v>
      </c>
      <c r="E1407" s="54" t="s">
        <v>3450</v>
      </c>
      <c r="F1407" s="54" t="s">
        <v>3451</v>
      </c>
      <c r="G1407" s="54" t="s">
        <v>3452</v>
      </c>
      <c r="H1407" s="54" t="n">
        <v>5</v>
      </c>
      <c r="I1407" s="54" t="s">
        <v>295</v>
      </c>
      <c r="J1407" s="54" t="s">
        <v>392</v>
      </c>
    </row>
    <row r="1408" customFormat="false" ht="15" hidden="false" customHeight="true" outlineLevel="0" collapsed="false">
      <c r="A1408" s="54" t="n">
        <v>20260710</v>
      </c>
      <c r="B1408" s="54" t="s">
        <v>306</v>
      </c>
      <c r="C1408" s="54" t="s">
        <v>307</v>
      </c>
      <c r="D1408" s="54" t="s">
        <v>3449</v>
      </c>
      <c r="E1408" s="54" t="s">
        <v>3450</v>
      </c>
      <c r="F1408" s="54" t="s">
        <v>3453</v>
      </c>
      <c r="G1408" s="54" t="s">
        <v>3454</v>
      </c>
      <c r="H1408" s="54" t="n">
        <v>18204</v>
      </c>
      <c r="I1408" s="54" t="s">
        <v>315</v>
      </c>
      <c r="J1408" s="54" t="s">
        <v>392</v>
      </c>
    </row>
    <row r="1409" customFormat="false" ht="15" hidden="false" customHeight="true" outlineLevel="0" collapsed="false">
      <c r="A1409" s="54" t="n">
        <v>20260710</v>
      </c>
      <c r="B1409" s="54" t="s">
        <v>306</v>
      </c>
      <c r="C1409" s="54" t="s">
        <v>307</v>
      </c>
      <c r="D1409" s="54" t="s">
        <v>3449</v>
      </c>
      <c r="E1409" s="54" t="s">
        <v>3450</v>
      </c>
      <c r="F1409" s="54" t="s">
        <v>3453</v>
      </c>
      <c r="G1409" s="54" t="s">
        <v>3454</v>
      </c>
      <c r="H1409" s="54" t="n">
        <v>18204</v>
      </c>
      <c r="I1409" s="54" t="s">
        <v>295</v>
      </c>
      <c r="J1409" s="54" t="s">
        <v>392</v>
      </c>
    </row>
    <row r="1410" customFormat="false" ht="15" hidden="false" customHeight="true" outlineLevel="0" collapsed="false">
      <c r="A1410" s="54" t="n">
        <v>20260710</v>
      </c>
      <c r="B1410" s="54" t="s">
        <v>306</v>
      </c>
      <c r="C1410" s="54" t="s">
        <v>307</v>
      </c>
      <c r="D1410" s="54" t="s">
        <v>3449</v>
      </c>
      <c r="E1410" s="54" t="s">
        <v>3450</v>
      </c>
      <c r="F1410" s="54" t="s">
        <v>1476</v>
      </c>
      <c r="G1410" s="54" t="s">
        <v>3455</v>
      </c>
      <c r="H1410" s="54" t="n">
        <v>5360</v>
      </c>
      <c r="I1410" s="54" t="s">
        <v>315</v>
      </c>
      <c r="J1410" s="54" t="s">
        <v>392</v>
      </c>
    </row>
    <row r="1411" customFormat="false" ht="15" hidden="false" customHeight="true" outlineLevel="0" collapsed="false">
      <c r="A1411" s="54" t="n">
        <v>20260710</v>
      </c>
      <c r="B1411" s="54" t="s">
        <v>306</v>
      </c>
      <c r="C1411" s="54" t="s">
        <v>307</v>
      </c>
      <c r="D1411" s="54" t="s">
        <v>3449</v>
      </c>
      <c r="E1411" s="54" t="s">
        <v>3450</v>
      </c>
      <c r="F1411" s="54" t="s">
        <v>739</v>
      </c>
      <c r="G1411" s="54" t="s">
        <v>3455</v>
      </c>
      <c r="H1411" s="54" t="n">
        <v>2448</v>
      </c>
      <c r="I1411" s="54" t="s">
        <v>295</v>
      </c>
      <c r="J1411" s="54" t="s">
        <v>392</v>
      </c>
    </row>
    <row r="1412" customFormat="false" ht="15" hidden="false" customHeight="true" outlineLevel="0" collapsed="false">
      <c r="A1412" s="54" t="n">
        <v>20260710</v>
      </c>
      <c r="B1412" s="54" t="s">
        <v>306</v>
      </c>
      <c r="C1412" s="54" t="s">
        <v>307</v>
      </c>
      <c r="D1412" s="54" t="s">
        <v>3449</v>
      </c>
      <c r="E1412" s="54" t="s">
        <v>3450</v>
      </c>
      <c r="F1412" s="54" t="s">
        <v>3456</v>
      </c>
      <c r="G1412" s="54" t="s">
        <v>905</v>
      </c>
      <c r="H1412" s="54" t="n">
        <v>11771</v>
      </c>
      <c r="I1412" s="54" t="s">
        <v>315</v>
      </c>
      <c r="J1412" s="54" t="s">
        <v>392</v>
      </c>
    </row>
    <row r="1413" customFormat="false" ht="15" hidden="false" customHeight="true" outlineLevel="0" collapsed="false">
      <c r="A1413" s="54" t="n">
        <v>20260710</v>
      </c>
      <c r="B1413" s="54" t="s">
        <v>306</v>
      </c>
      <c r="C1413" s="54" t="s">
        <v>307</v>
      </c>
      <c r="D1413" s="54" t="s">
        <v>3449</v>
      </c>
      <c r="E1413" s="54" t="s">
        <v>3450</v>
      </c>
      <c r="F1413" s="54" t="s">
        <v>3456</v>
      </c>
      <c r="G1413" s="54" t="s">
        <v>905</v>
      </c>
      <c r="H1413" s="54" t="n">
        <v>11771</v>
      </c>
      <c r="I1413" s="54" t="s">
        <v>295</v>
      </c>
      <c r="J1413" s="54" t="s">
        <v>392</v>
      </c>
    </row>
    <row r="1414" customFormat="false" ht="15" hidden="false" customHeight="true" outlineLevel="0" collapsed="false">
      <c r="A1414" s="54" t="n">
        <v>20260710</v>
      </c>
      <c r="B1414" s="54" t="s">
        <v>289</v>
      </c>
      <c r="C1414" s="54" t="s">
        <v>307</v>
      </c>
      <c r="D1414" s="54" t="s">
        <v>3457</v>
      </c>
      <c r="E1414" s="54" t="s">
        <v>3458</v>
      </c>
      <c r="F1414" s="54" t="s">
        <v>1825</v>
      </c>
      <c r="G1414" s="54" t="s">
        <v>3459</v>
      </c>
      <c r="H1414" s="54" t="n">
        <v>18042</v>
      </c>
      <c r="I1414" s="54" t="s">
        <v>295</v>
      </c>
      <c r="J1414" s="54" t="s">
        <v>1191</v>
      </c>
    </row>
    <row r="1415" customFormat="false" ht="15" hidden="false" customHeight="true" outlineLevel="0" collapsed="false">
      <c r="A1415" s="54" t="n">
        <v>20260710</v>
      </c>
      <c r="B1415" s="54" t="s">
        <v>289</v>
      </c>
      <c r="C1415" s="54" t="s">
        <v>307</v>
      </c>
      <c r="D1415" s="54" t="s">
        <v>3457</v>
      </c>
      <c r="E1415" s="54" t="s">
        <v>3458</v>
      </c>
      <c r="F1415" s="54" t="s">
        <v>2300</v>
      </c>
      <c r="G1415" s="54" t="s">
        <v>3460</v>
      </c>
      <c r="H1415" s="54" t="n">
        <v>14564</v>
      </c>
      <c r="I1415" s="54" t="s">
        <v>295</v>
      </c>
      <c r="J1415" s="54" t="s">
        <v>1191</v>
      </c>
    </row>
    <row r="1416" customFormat="false" ht="15" hidden="false" customHeight="true" outlineLevel="0" collapsed="false">
      <c r="A1416" s="54" t="n">
        <v>20260710</v>
      </c>
      <c r="B1416" s="54" t="s">
        <v>188</v>
      </c>
      <c r="C1416" s="54" t="s">
        <v>307</v>
      </c>
      <c r="D1416" s="54" t="s">
        <v>3461</v>
      </c>
      <c r="E1416" s="54" t="s">
        <v>3462</v>
      </c>
      <c r="F1416" s="54" t="s">
        <v>3463</v>
      </c>
      <c r="G1416" s="54" t="s">
        <v>3464</v>
      </c>
      <c r="H1416" s="54" t="n">
        <v>18007</v>
      </c>
      <c r="I1416" s="54" t="s">
        <v>295</v>
      </c>
      <c r="J1416" s="54" t="s">
        <v>2393</v>
      </c>
    </row>
    <row r="1417" customFormat="false" ht="15" hidden="false" customHeight="true" outlineLevel="0" collapsed="false">
      <c r="A1417" s="54" t="n">
        <v>20260710</v>
      </c>
      <c r="B1417" s="54" t="s">
        <v>188</v>
      </c>
      <c r="C1417" s="54" t="s">
        <v>307</v>
      </c>
      <c r="D1417" s="54" t="s">
        <v>3461</v>
      </c>
      <c r="E1417" s="54" t="s">
        <v>3462</v>
      </c>
      <c r="F1417" s="54" t="s">
        <v>612</v>
      </c>
      <c r="G1417" s="54" t="s">
        <v>3465</v>
      </c>
      <c r="H1417" s="54" t="n">
        <v>26</v>
      </c>
      <c r="I1417" s="54" t="s">
        <v>295</v>
      </c>
      <c r="J1417" s="54" t="s">
        <v>2393</v>
      </c>
    </row>
    <row r="1418" customFormat="false" ht="15" hidden="false" customHeight="true" outlineLevel="0" collapsed="false">
      <c r="A1418" s="54" t="n">
        <v>20260710</v>
      </c>
      <c r="B1418" s="54" t="s">
        <v>188</v>
      </c>
      <c r="C1418" s="54" t="s">
        <v>307</v>
      </c>
      <c r="D1418" s="54" t="s">
        <v>3461</v>
      </c>
      <c r="E1418" s="54" t="s">
        <v>3462</v>
      </c>
      <c r="F1418" s="54" t="s">
        <v>3466</v>
      </c>
      <c r="G1418" s="54" t="s">
        <v>2324</v>
      </c>
      <c r="H1418" s="54" t="n">
        <v>10605</v>
      </c>
      <c r="I1418" s="54" t="s">
        <v>295</v>
      </c>
      <c r="J1418" s="54" t="s">
        <v>2393</v>
      </c>
    </row>
    <row r="1419" customFormat="false" ht="15" hidden="false" customHeight="true" outlineLevel="0" collapsed="false">
      <c r="A1419" s="54" t="n">
        <v>20260710</v>
      </c>
      <c r="B1419" s="54" t="s">
        <v>289</v>
      </c>
      <c r="C1419" s="54" t="s">
        <v>290</v>
      </c>
      <c r="D1419" s="54" t="s">
        <v>3467</v>
      </c>
      <c r="E1419" s="54" t="s">
        <v>3468</v>
      </c>
      <c r="F1419" s="54" t="s">
        <v>3469</v>
      </c>
      <c r="G1419" s="54" t="s">
        <v>3470</v>
      </c>
      <c r="H1419" s="54" t="n">
        <v>18792</v>
      </c>
      <c r="I1419" s="54" t="s">
        <v>295</v>
      </c>
      <c r="J1419" s="54" t="s">
        <v>1355</v>
      </c>
    </row>
    <row r="1420" customFormat="false" ht="15" hidden="false" customHeight="true" outlineLevel="0" collapsed="false">
      <c r="A1420" s="54" t="n">
        <v>20260710</v>
      </c>
      <c r="B1420" s="54" t="s">
        <v>289</v>
      </c>
      <c r="C1420" s="54" t="s">
        <v>290</v>
      </c>
      <c r="D1420" s="54" t="s">
        <v>3467</v>
      </c>
      <c r="E1420" s="54" t="s">
        <v>3468</v>
      </c>
      <c r="F1420" s="54" t="s">
        <v>3471</v>
      </c>
      <c r="G1420" s="54" t="s">
        <v>3472</v>
      </c>
      <c r="H1420" s="54" t="n">
        <v>10350</v>
      </c>
      <c r="I1420" s="54" t="s">
        <v>295</v>
      </c>
      <c r="J1420" s="54" t="s">
        <v>1355</v>
      </c>
    </row>
    <row r="1421" customFormat="false" ht="15" hidden="false" customHeight="true" outlineLevel="0" collapsed="false">
      <c r="A1421" s="54" t="n">
        <v>20260710</v>
      </c>
      <c r="B1421" s="54" t="s">
        <v>688</v>
      </c>
      <c r="C1421" s="54" t="s">
        <v>307</v>
      </c>
      <c r="D1421" s="54" t="s">
        <v>3473</v>
      </c>
      <c r="E1421" s="54" t="s">
        <v>161</v>
      </c>
      <c r="F1421" s="54" t="s">
        <v>3474</v>
      </c>
      <c r="G1421" s="54" t="s">
        <v>920</v>
      </c>
      <c r="H1421" s="54" t="n">
        <v>18326</v>
      </c>
      <c r="I1421" s="54" t="s">
        <v>315</v>
      </c>
      <c r="J1421" s="54" t="s">
        <v>142</v>
      </c>
    </row>
    <row r="1422" customFormat="false" ht="15" hidden="false" customHeight="true" outlineLevel="0" collapsed="false">
      <c r="A1422" s="54" t="n">
        <v>20260710</v>
      </c>
      <c r="B1422" s="54" t="s">
        <v>688</v>
      </c>
      <c r="C1422" s="54" t="s">
        <v>307</v>
      </c>
      <c r="D1422" s="54" t="s">
        <v>3473</v>
      </c>
      <c r="E1422" s="54" t="s">
        <v>161</v>
      </c>
      <c r="F1422" s="54" t="s">
        <v>3475</v>
      </c>
      <c r="G1422" s="54" t="s">
        <v>2572</v>
      </c>
      <c r="H1422" s="54" t="n">
        <v>18314</v>
      </c>
      <c r="I1422" s="54" t="s">
        <v>295</v>
      </c>
      <c r="J1422" s="54" t="s">
        <v>142</v>
      </c>
    </row>
    <row r="1423" customFormat="false" ht="15" hidden="false" customHeight="true" outlineLevel="0" collapsed="false">
      <c r="A1423" s="54" t="n">
        <v>20260710</v>
      </c>
      <c r="B1423" s="54" t="s">
        <v>688</v>
      </c>
      <c r="C1423" s="54" t="s">
        <v>307</v>
      </c>
      <c r="D1423" s="54" t="s">
        <v>3473</v>
      </c>
      <c r="E1423" s="54" t="s">
        <v>161</v>
      </c>
      <c r="F1423" s="54" t="s">
        <v>3476</v>
      </c>
      <c r="G1423" s="54" t="s">
        <v>3477</v>
      </c>
      <c r="H1423" s="54" t="n">
        <v>10511</v>
      </c>
      <c r="I1423" s="54" t="s">
        <v>315</v>
      </c>
      <c r="J1423" s="54" t="s">
        <v>142</v>
      </c>
    </row>
    <row r="1424" customFormat="false" ht="15" hidden="false" customHeight="true" outlineLevel="0" collapsed="false">
      <c r="A1424" s="54" t="n">
        <v>20260710</v>
      </c>
      <c r="B1424" s="54" t="s">
        <v>688</v>
      </c>
      <c r="C1424" s="54" t="s">
        <v>307</v>
      </c>
      <c r="D1424" s="54" t="s">
        <v>3473</v>
      </c>
      <c r="E1424" s="54" t="s">
        <v>161</v>
      </c>
      <c r="F1424" s="54" t="s">
        <v>3478</v>
      </c>
      <c r="G1424" s="54" t="s">
        <v>3479</v>
      </c>
      <c r="H1424" s="54" t="n">
        <v>10352</v>
      </c>
      <c r="I1424" s="54" t="s">
        <v>295</v>
      </c>
      <c r="J1424" s="54" t="s">
        <v>142</v>
      </c>
    </row>
    <row r="1425" customFormat="false" ht="15" hidden="false" customHeight="true" outlineLevel="0" collapsed="false">
      <c r="A1425" s="54" t="n">
        <v>20260710</v>
      </c>
      <c r="B1425" s="54" t="s">
        <v>688</v>
      </c>
      <c r="C1425" s="54" t="s">
        <v>307</v>
      </c>
      <c r="D1425" s="54" t="s">
        <v>3473</v>
      </c>
      <c r="E1425" s="54" t="s">
        <v>161</v>
      </c>
      <c r="F1425" s="54" t="s">
        <v>3480</v>
      </c>
      <c r="G1425" s="54" t="s">
        <v>3481</v>
      </c>
      <c r="H1425" s="54" t="n">
        <v>2864</v>
      </c>
      <c r="I1425" s="54" t="s">
        <v>315</v>
      </c>
      <c r="J1425" s="54" t="s">
        <v>142</v>
      </c>
    </row>
    <row r="1426" customFormat="false" ht="15" hidden="false" customHeight="true" outlineLevel="0" collapsed="false">
      <c r="A1426" s="54" t="n">
        <v>20260710</v>
      </c>
      <c r="B1426" s="54" t="s">
        <v>688</v>
      </c>
      <c r="C1426" s="54" t="s">
        <v>307</v>
      </c>
      <c r="D1426" s="54" t="s">
        <v>3473</v>
      </c>
      <c r="E1426" s="54" t="s">
        <v>161</v>
      </c>
      <c r="F1426" s="54" t="s">
        <v>3480</v>
      </c>
      <c r="G1426" s="54" t="s">
        <v>3481</v>
      </c>
      <c r="H1426" s="54" t="n">
        <v>2864</v>
      </c>
      <c r="I1426" s="54" t="s">
        <v>295</v>
      </c>
      <c r="J1426" s="54" t="s">
        <v>142</v>
      </c>
    </row>
    <row r="1427" customFormat="false" ht="15" hidden="false" customHeight="true" outlineLevel="0" collapsed="false">
      <c r="A1427" s="54" t="n">
        <v>20260710</v>
      </c>
      <c r="B1427" s="54" t="s">
        <v>688</v>
      </c>
      <c r="C1427" s="54" t="s">
        <v>307</v>
      </c>
      <c r="D1427" s="54" t="s">
        <v>3473</v>
      </c>
      <c r="E1427" s="54" t="s">
        <v>161</v>
      </c>
      <c r="F1427" s="54" t="s">
        <v>3482</v>
      </c>
      <c r="G1427" s="54" t="s">
        <v>1945</v>
      </c>
      <c r="H1427" s="54" t="n">
        <v>683</v>
      </c>
      <c r="I1427" s="54" t="s">
        <v>295</v>
      </c>
      <c r="J1427" s="54" t="s">
        <v>142</v>
      </c>
    </row>
    <row r="1428" customFormat="false" ht="15" hidden="false" customHeight="true" outlineLevel="0" collapsed="false">
      <c r="A1428" s="54" t="n">
        <v>20260710</v>
      </c>
      <c r="B1428" s="54" t="s">
        <v>688</v>
      </c>
      <c r="C1428" s="54" t="s">
        <v>307</v>
      </c>
      <c r="D1428" s="54" t="s">
        <v>3473</v>
      </c>
      <c r="E1428" s="54" t="s">
        <v>161</v>
      </c>
      <c r="F1428" s="54" t="s">
        <v>3483</v>
      </c>
      <c r="G1428" s="54" t="s">
        <v>1044</v>
      </c>
      <c r="H1428" s="54" t="n">
        <v>693</v>
      </c>
      <c r="I1428" s="54" t="s">
        <v>315</v>
      </c>
      <c r="J1428" s="54" t="s">
        <v>142</v>
      </c>
    </row>
    <row r="1429" customFormat="false" ht="15" hidden="false" customHeight="true" outlineLevel="0" collapsed="false">
      <c r="A1429" s="54" t="n">
        <v>20260710</v>
      </c>
      <c r="B1429" s="54" t="s">
        <v>289</v>
      </c>
      <c r="C1429" s="54" t="s">
        <v>290</v>
      </c>
      <c r="D1429" s="54" t="s">
        <v>3484</v>
      </c>
      <c r="E1429" s="54" t="s">
        <v>3485</v>
      </c>
      <c r="F1429" s="54" t="s">
        <v>3486</v>
      </c>
      <c r="G1429" s="54" t="s">
        <v>3487</v>
      </c>
      <c r="H1429" s="54" t="n">
        <v>15568</v>
      </c>
      <c r="I1429" s="54" t="s">
        <v>295</v>
      </c>
      <c r="J1429" s="54" t="s">
        <v>578</v>
      </c>
    </row>
    <row r="1430" customFormat="false" ht="15" hidden="false" customHeight="true" outlineLevel="0" collapsed="false">
      <c r="A1430" s="54" t="n">
        <v>20260710</v>
      </c>
      <c r="B1430" s="54" t="s">
        <v>289</v>
      </c>
      <c r="C1430" s="54" t="s">
        <v>290</v>
      </c>
      <c r="D1430" s="54" t="s">
        <v>3484</v>
      </c>
      <c r="E1430" s="54" t="s">
        <v>3485</v>
      </c>
      <c r="F1430" s="54" t="s">
        <v>3488</v>
      </c>
      <c r="G1430" s="54" t="s">
        <v>1195</v>
      </c>
      <c r="H1430" s="54" t="n">
        <v>14325</v>
      </c>
      <c r="I1430" s="54" t="s">
        <v>295</v>
      </c>
      <c r="J1430" s="54" t="s">
        <v>578</v>
      </c>
    </row>
    <row r="1431" customFormat="false" ht="15" hidden="false" customHeight="true" outlineLevel="0" collapsed="false">
      <c r="A1431" s="54" t="n">
        <v>20260710</v>
      </c>
      <c r="B1431" s="54" t="s">
        <v>592</v>
      </c>
      <c r="C1431" s="54" t="s">
        <v>290</v>
      </c>
      <c r="D1431" s="54" t="s">
        <v>3489</v>
      </c>
      <c r="E1431" s="54" t="s">
        <v>3490</v>
      </c>
      <c r="F1431" s="54" t="s">
        <v>2884</v>
      </c>
      <c r="G1431" s="54" t="s">
        <v>3491</v>
      </c>
      <c r="H1431" s="54" t="n">
        <v>17211</v>
      </c>
      <c r="I1431" s="54" t="s">
        <v>295</v>
      </c>
      <c r="J1431" s="54" t="s">
        <v>597</v>
      </c>
    </row>
    <row r="1432" customFormat="false" ht="15" hidden="false" customHeight="true" outlineLevel="0" collapsed="false">
      <c r="A1432" s="54" t="n">
        <v>20260710</v>
      </c>
      <c r="B1432" s="54" t="s">
        <v>592</v>
      </c>
      <c r="C1432" s="54" t="s">
        <v>290</v>
      </c>
      <c r="D1432" s="54" t="s">
        <v>3489</v>
      </c>
      <c r="E1432" s="54" t="s">
        <v>3490</v>
      </c>
      <c r="F1432" s="54" t="s">
        <v>3492</v>
      </c>
      <c r="G1432" s="54" t="s">
        <v>3493</v>
      </c>
      <c r="H1432" s="54" t="n">
        <v>9065</v>
      </c>
      <c r="I1432" s="54" t="s">
        <v>295</v>
      </c>
      <c r="J1432" s="54" t="s">
        <v>597</v>
      </c>
    </row>
    <row r="1433" customFormat="false" ht="15" hidden="false" customHeight="true" outlineLevel="0" collapsed="false">
      <c r="A1433" s="54" t="n">
        <v>20260710</v>
      </c>
      <c r="B1433" s="54" t="s">
        <v>592</v>
      </c>
      <c r="C1433" s="54" t="s">
        <v>290</v>
      </c>
      <c r="D1433" s="54" t="s">
        <v>3489</v>
      </c>
      <c r="E1433" s="54" t="s">
        <v>3490</v>
      </c>
      <c r="F1433" s="54" t="s">
        <v>3494</v>
      </c>
      <c r="G1433" s="54" t="s">
        <v>3495</v>
      </c>
      <c r="H1433" s="54" t="n">
        <v>2148</v>
      </c>
      <c r="I1433" s="54" t="s">
        <v>295</v>
      </c>
      <c r="J1433" s="54" t="s">
        <v>597</v>
      </c>
    </row>
    <row r="1434" customFormat="false" ht="15" hidden="false" customHeight="true" outlineLevel="0" collapsed="false">
      <c r="A1434" s="54" t="n">
        <v>20260710</v>
      </c>
      <c r="B1434" s="54" t="s">
        <v>306</v>
      </c>
      <c r="C1434" s="54" t="s">
        <v>307</v>
      </c>
      <c r="D1434" s="54" t="s">
        <v>3496</v>
      </c>
      <c r="E1434" s="54" t="s">
        <v>3497</v>
      </c>
      <c r="F1434" s="54" t="s">
        <v>3498</v>
      </c>
      <c r="G1434" s="54" t="s">
        <v>2042</v>
      </c>
      <c r="H1434" s="54" t="n">
        <v>17309</v>
      </c>
      <c r="I1434" s="54" t="s">
        <v>295</v>
      </c>
      <c r="J1434" s="54" t="s">
        <v>392</v>
      </c>
    </row>
    <row r="1435" customFormat="false" ht="15" hidden="false" customHeight="true" outlineLevel="0" collapsed="false">
      <c r="A1435" s="54" t="n">
        <v>20260710</v>
      </c>
      <c r="B1435" s="54" t="s">
        <v>306</v>
      </c>
      <c r="C1435" s="54" t="s">
        <v>307</v>
      </c>
      <c r="D1435" s="54" t="s">
        <v>3496</v>
      </c>
      <c r="E1435" s="54" t="s">
        <v>3497</v>
      </c>
      <c r="F1435" s="54" t="s">
        <v>3499</v>
      </c>
      <c r="G1435" s="54" t="s">
        <v>2948</v>
      </c>
      <c r="H1435" s="54" t="n">
        <v>1620</v>
      </c>
      <c r="I1435" s="54" t="s">
        <v>295</v>
      </c>
      <c r="J1435" s="54" t="s">
        <v>392</v>
      </c>
    </row>
    <row r="1436" customFormat="false" ht="15" hidden="false" customHeight="true" outlineLevel="0" collapsed="false">
      <c r="A1436" s="54" t="n">
        <v>20260710</v>
      </c>
      <c r="B1436" s="54" t="s">
        <v>306</v>
      </c>
      <c r="C1436" s="54" t="s">
        <v>307</v>
      </c>
      <c r="D1436" s="54" t="s">
        <v>3496</v>
      </c>
      <c r="E1436" s="54" t="s">
        <v>3497</v>
      </c>
      <c r="F1436" s="54" t="s">
        <v>3500</v>
      </c>
      <c r="G1436" s="54" t="s">
        <v>3088</v>
      </c>
      <c r="H1436" s="54" t="n">
        <v>5315</v>
      </c>
      <c r="I1436" s="54" t="s">
        <v>295</v>
      </c>
      <c r="J1436" s="54" t="s">
        <v>392</v>
      </c>
    </row>
    <row r="1437" customFormat="false" ht="15" hidden="false" customHeight="true" outlineLevel="0" collapsed="false">
      <c r="A1437" s="54" t="n">
        <v>20260710</v>
      </c>
      <c r="B1437" s="54" t="s">
        <v>306</v>
      </c>
      <c r="C1437" s="54" t="s">
        <v>307</v>
      </c>
      <c r="D1437" s="54" t="s">
        <v>3496</v>
      </c>
      <c r="E1437" s="54" t="s">
        <v>3497</v>
      </c>
      <c r="F1437" s="54" t="s">
        <v>3501</v>
      </c>
      <c r="G1437" s="54" t="s">
        <v>3502</v>
      </c>
      <c r="H1437" s="54" t="n">
        <v>3001</v>
      </c>
      <c r="I1437" s="54" t="s">
        <v>295</v>
      </c>
      <c r="J1437" s="54" t="s">
        <v>392</v>
      </c>
    </row>
    <row r="1438" customFormat="false" ht="15" hidden="false" customHeight="true" outlineLevel="0" collapsed="false">
      <c r="A1438" s="54" t="n">
        <v>20260710</v>
      </c>
      <c r="B1438" s="54" t="s">
        <v>306</v>
      </c>
      <c r="C1438" s="54" t="s">
        <v>307</v>
      </c>
      <c r="D1438" s="54" t="s">
        <v>3496</v>
      </c>
      <c r="E1438" s="54" t="s">
        <v>3497</v>
      </c>
      <c r="F1438" s="54" t="s">
        <v>3503</v>
      </c>
      <c r="G1438" s="54" t="s">
        <v>3504</v>
      </c>
      <c r="H1438" s="54" t="n">
        <v>5128</v>
      </c>
      <c r="I1438" s="54" t="s">
        <v>295</v>
      </c>
      <c r="J1438" s="54" t="s">
        <v>392</v>
      </c>
    </row>
    <row r="1439" customFormat="false" ht="15" hidden="false" customHeight="true" outlineLevel="0" collapsed="false">
      <c r="A1439" s="54" t="n">
        <v>20260710</v>
      </c>
      <c r="B1439" s="54" t="s">
        <v>289</v>
      </c>
      <c r="C1439" s="54" t="s">
        <v>290</v>
      </c>
      <c r="D1439" s="54" t="s">
        <v>410</v>
      </c>
      <c r="E1439" s="54" t="s">
        <v>411</v>
      </c>
      <c r="F1439" s="54" t="s">
        <v>3505</v>
      </c>
      <c r="G1439" s="54" t="s">
        <v>3506</v>
      </c>
      <c r="H1439" s="54" t="n">
        <v>129</v>
      </c>
      <c r="I1439" s="54" t="s">
        <v>295</v>
      </c>
      <c r="J1439" s="54" t="s">
        <v>414</v>
      </c>
    </row>
    <row r="1440" customFormat="false" ht="15" hidden="false" customHeight="true" outlineLevel="0" collapsed="false">
      <c r="A1440" s="54" t="n">
        <v>20260710</v>
      </c>
      <c r="B1440" s="54" t="s">
        <v>289</v>
      </c>
      <c r="C1440" s="54" t="s">
        <v>290</v>
      </c>
      <c r="D1440" s="54" t="s">
        <v>410</v>
      </c>
      <c r="E1440" s="54" t="s">
        <v>411</v>
      </c>
      <c r="F1440" s="54" t="s">
        <v>3507</v>
      </c>
      <c r="G1440" s="54" t="s">
        <v>3508</v>
      </c>
      <c r="H1440" s="54" t="n">
        <v>22084</v>
      </c>
      <c r="I1440" s="54" t="s">
        <v>295</v>
      </c>
      <c r="J1440" s="54" t="s">
        <v>414</v>
      </c>
    </row>
    <row r="1441" customFormat="false" ht="15" hidden="false" customHeight="true" outlineLevel="0" collapsed="false">
      <c r="A1441" s="54" t="n">
        <v>20260710</v>
      </c>
      <c r="B1441" s="54" t="s">
        <v>289</v>
      </c>
      <c r="C1441" s="54" t="s">
        <v>290</v>
      </c>
      <c r="D1441" s="54" t="s">
        <v>410</v>
      </c>
      <c r="E1441" s="54" t="s">
        <v>411</v>
      </c>
      <c r="F1441" s="54" t="s">
        <v>3509</v>
      </c>
      <c r="G1441" s="54" t="s">
        <v>3510</v>
      </c>
      <c r="H1441" s="54" t="n">
        <v>11097</v>
      </c>
      <c r="I1441" s="54" t="s">
        <v>295</v>
      </c>
      <c r="J1441" s="54" t="s">
        <v>414</v>
      </c>
    </row>
    <row r="1442" customFormat="false" ht="15" hidden="false" customHeight="true" outlineLevel="0" collapsed="false">
      <c r="A1442" s="54" t="n">
        <v>20260710</v>
      </c>
      <c r="B1442" s="54" t="s">
        <v>306</v>
      </c>
      <c r="C1442" s="54" t="s">
        <v>290</v>
      </c>
      <c r="D1442" s="54" t="s">
        <v>3511</v>
      </c>
      <c r="E1442" s="54" t="s">
        <v>3512</v>
      </c>
      <c r="F1442" s="54" t="s">
        <v>3513</v>
      </c>
      <c r="G1442" s="54" t="s">
        <v>3514</v>
      </c>
      <c r="H1442" s="54" t="n">
        <v>28800</v>
      </c>
      <c r="I1442" s="54" t="s">
        <v>295</v>
      </c>
      <c r="J1442" s="54" t="s">
        <v>989</v>
      </c>
    </row>
    <row r="1443" customFormat="false" ht="15" hidden="false" customHeight="true" outlineLevel="0" collapsed="false">
      <c r="A1443" s="54" t="n">
        <v>20260710</v>
      </c>
      <c r="B1443" s="54" t="s">
        <v>168</v>
      </c>
      <c r="C1443" s="54" t="s">
        <v>290</v>
      </c>
      <c r="D1443" s="54" t="s">
        <v>3515</v>
      </c>
      <c r="E1443" s="54" t="s">
        <v>3516</v>
      </c>
      <c r="F1443" s="54" t="s">
        <v>1098</v>
      </c>
      <c r="G1443" s="54" t="s">
        <v>1543</v>
      </c>
      <c r="H1443" s="54" t="n">
        <v>17833</v>
      </c>
      <c r="I1443" s="54" t="s">
        <v>295</v>
      </c>
      <c r="J1443" s="54" t="s">
        <v>516</v>
      </c>
    </row>
    <row r="1444" customFormat="false" ht="15" hidden="false" customHeight="true" outlineLevel="0" collapsed="false">
      <c r="A1444" s="54" t="n">
        <v>20260710</v>
      </c>
      <c r="B1444" s="54" t="s">
        <v>535</v>
      </c>
      <c r="C1444" s="54" t="s">
        <v>290</v>
      </c>
      <c r="D1444" s="54" t="s">
        <v>3517</v>
      </c>
      <c r="E1444" s="54" t="s">
        <v>3518</v>
      </c>
      <c r="F1444" s="54" t="s">
        <v>3519</v>
      </c>
      <c r="G1444" s="54" t="s">
        <v>3520</v>
      </c>
      <c r="H1444" s="54" t="n">
        <v>2785</v>
      </c>
      <c r="I1444" s="54" t="s">
        <v>295</v>
      </c>
      <c r="J1444" s="54" t="s">
        <v>734</v>
      </c>
    </row>
    <row r="1445" customFormat="false" ht="15" hidden="false" customHeight="true" outlineLevel="0" collapsed="false">
      <c r="A1445" s="54" t="n">
        <v>20260710</v>
      </c>
      <c r="B1445" s="54" t="s">
        <v>535</v>
      </c>
      <c r="C1445" s="54" t="s">
        <v>290</v>
      </c>
      <c r="D1445" s="54" t="s">
        <v>3517</v>
      </c>
      <c r="E1445" s="54" t="s">
        <v>3518</v>
      </c>
      <c r="F1445" s="54" t="s">
        <v>3521</v>
      </c>
      <c r="G1445" s="54" t="s">
        <v>3522</v>
      </c>
      <c r="H1445" s="54" t="n">
        <v>9519</v>
      </c>
      <c r="I1445" s="54" t="s">
        <v>295</v>
      </c>
      <c r="J1445" s="54" t="s">
        <v>734</v>
      </c>
    </row>
    <row r="1446" customFormat="false" ht="15" hidden="false" customHeight="true" outlineLevel="0" collapsed="false">
      <c r="A1446" s="54" t="n">
        <v>20260710</v>
      </c>
      <c r="B1446" s="54" t="s">
        <v>535</v>
      </c>
      <c r="C1446" s="54" t="s">
        <v>290</v>
      </c>
      <c r="D1446" s="54" t="s">
        <v>3517</v>
      </c>
      <c r="E1446" s="54" t="s">
        <v>3518</v>
      </c>
      <c r="F1446" s="54" t="s">
        <v>3523</v>
      </c>
      <c r="G1446" s="54" t="s">
        <v>3524</v>
      </c>
      <c r="H1446" s="54" t="n">
        <v>4631</v>
      </c>
      <c r="I1446" s="54" t="s">
        <v>295</v>
      </c>
      <c r="J1446" s="54" t="s">
        <v>734</v>
      </c>
    </row>
    <row r="1447" customFormat="false" ht="15" hidden="false" customHeight="true" outlineLevel="0" collapsed="false">
      <c r="A1447" s="54" t="n">
        <v>20260710</v>
      </c>
      <c r="B1447" s="54" t="s">
        <v>535</v>
      </c>
      <c r="C1447" s="54" t="s">
        <v>290</v>
      </c>
      <c r="D1447" s="54" t="s">
        <v>3517</v>
      </c>
      <c r="E1447" s="54" t="s">
        <v>3518</v>
      </c>
      <c r="F1447" s="54" t="s">
        <v>3525</v>
      </c>
      <c r="G1447" s="54" t="s">
        <v>3526</v>
      </c>
      <c r="H1447" s="54" t="n">
        <v>1186</v>
      </c>
      <c r="I1447" s="54" t="s">
        <v>295</v>
      </c>
      <c r="J1447" s="54" t="s">
        <v>734</v>
      </c>
    </row>
    <row r="1448" customFormat="false" ht="15" hidden="false" customHeight="true" outlineLevel="0" collapsed="false">
      <c r="A1448" s="54" t="n">
        <v>20260710</v>
      </c>
      <c r="B1448" s="54" t="s">
        <v>535</v>
      </c>
      <c r="C1448" s="54" t="s">
        <v>290</v>
      </c>
      <c r="D1448" s="54" t="s">
        <v>3517</v>
      </c>
      <c r="E1448" s="54" t="s">
        <v>3518</v>
      </c>
      <c r="F1448" s="54" t="s">
        <v>3527</v>
      </c>
      <c r="G1448" s="54" t="s">
        <v>984</v>
      </c>
      <c r="H1448" s="54" t="n">
        <v>10325</v>
      </c>
      <c r="I1448" s="54" t="s">
        <v>295</v>
      </c>
      <c r="J1448" s="54" t="s">
        <v>734</v>
      </c>
    </row>
    <row r="1449" customFormat="false" ht="15" hidden="false" customHeight="true" outlineLevel="0" collapsed="false">
      <c r="A1449" s="54" t="n">
        <v>20260710</v>
      </c>
      <c r="B1449" s="54" t="s">
        <v>306</v>
      </c>
      <c r="C1449" s="54" t="s">
        <v>307</v>
      </c>
      <c r="D1449" s="54" t="s">
        <v>3528</v>
      </c>
      <c r="E1449" s="54" t="s">
        <v>727</v>
      </c>
      <c r="F1449" s="54" t="s">
        <v>2181</v>
      </c>
      <c r="G1449" s="54" t="s">
        <v>3529</v>
      </c>
      <c r="H1449" s="54" t="n">
        <v>14947</v>
      </c>
      <c r="I1449" s="54" t="s">
        <v>295</v>
      </c>
      <c r="J1449" s="54" t="s">
        <v>693</v>
      </c>
    </row>
    <row r="1450" customFormat="false" ht="15" hidden="false" customHeight="true" outlineLevel="0" collapsed="false">
      <c r="A1450" s="54" t="n">
        <v>20260710</v>
      </c>
      <c r="B1450" s="54" t="s">
        <v>306</v>
      </c>
      <c r="C1450" s="54" t="s">
        <v>307</v>
      </c>
      <c r="D1450" s="54" t="s">
        <v>3528</v>
      </c>
      <c r="E1450" s="54" t="s">
        <v>727</v>
      </c>
      <c r="F1450" s="54" t="s">
        <v>1476</v>
      </c>
      <c r="G1450" s="54" t="s">
        <v>3530</v>
      </c>
      <c r="H1450" s="54" t="n">
        <v>13679</v>
      </c>
      <c r="I1450" s="54" t="s">
        <v>295</v>
      </c>
      <c r="J1450" s="54" t="s">
        <v>693</v>
      </c>
    </row>
    <row r="1451" customFormat="false" ht="15" hidden="false" customHeight="true" outlineLevel="0" collapsed="false">
      <c r="A1451" s="54" t="n">
        <v>20260710</v>
      </c>
      <c r="B1451" s="54" t="s">
        <v>289</v>
      </c>
      <c r="C1451" s="54" t="s">
        <v>290</v>
      </c>
      <c r="D1451" s="54" t="s">
        <v>3531</v>
      </c>
      <c r="E1451" s="54" t="s">
        <v>3532</v>
      </c>
      <c r="F1451" s="54" t="s">
        <v>3533</v>
      </c>
      <c r="G1451" s="54" t="s">
        <v>3534</v>
      </c>
      <c r="H1451" s="54" t="n">
        <v>8071</v>
      </c>
      <c r="I1451" s="54" t="s">
        <v>295</v>
      </c>
      <c r="J1451" s="54" t="s">
        <v>1355</v>
      </c>
    </row>
    <row r="1452" customFormat="false" ht="15" hidden="false" customHeight="true" outlineLevel="0" collapsed="false">
      <c r="A1452" s="54" t="n">
        <v>20260710</v>
      </c>
      <c r="B1452" s="54" t="s">
        <v>289</v>
      </c>
      <c r="C1452" s="54" t="s">
        <v>290</v>
      </c>
      <c r="D1452" s="54" t="s">
        <v>3531</v>
      </c>
      <c r="E1452" s="54" t="s">
        <v>3532</v>
      </c>
      <c r="F1452" s="54" t="s">
        <v>3535</v>
      </c>
      <c r="G1452" s="54" t="s">
        <v>3536</v>
      </c>
      <c r="H1452" s="54" t="n">
        <v>5892</v>
      </c>
      <c r="I1452" s="54" t="s">
        <v>295</v>
      </c>
      <c r="J1452" s="54" t="s">
        <v>1355</v>
      </c>
    </row>
    <row r="1453" customFormat="false" ht="15" hidden="false" customHeight="true" outlineLevel="0" collapsed="false">
      <c r="A1453" s="54" t="n">
        <v>20260710</v>
      </c>
      <c r="B1453" s="54" t="s">
        <v>289</v>
      </c>
      <c r="C1453" s="54" t="s">
        <v>290</v>
      </c>
      <c r="D1453" s="54" t="s">
        <v>3531</v>
      </c>
      <c r="E1453" s="54" t="s">
        <v>3532</v>
      </c>
      <c r="F1453" s="54" t="s">
        <v>2768</v>
      </c>
      <c r="G1453" s="54" t="s">
        <v>3219</v>
      </c>
      <c r="H1453" s="54" t="n">
        <v>220</v>
      </c>
      <c r="I1453" s="54" t="s">
        <v>295</v>
      </c>
      <c r="J1453" s="54" t="s">
        <v>1355</v>
      </c>
    </row>
    <row r="1454" customFormat="false" ht="15" hidden="false" customHeight="true" outlineLevel="0" collapsed="false">
      <c r="A1454" s="54" t="n">
        <v>20260710</v>
      </c>
      <c r="B1454" s="54" t="s">
        <v>289</v>
      </c>
      <c r="C1454" s="54" t="s">
        <v>290</v>
      </c>
      <c r="D1454" s="54" t="s">
        <v>3531</v>
      </c>
      <c r="E1454" s="54" t="s">
        <v>3532</v>
      </c>
      <c r="F1454" s="54" t="s">
        <v>3537</v>
      </c>
      <c r="G1454" s="54" t="s">
        <v>3538</v>
      </c>
      <c r="H1454" s="54" t="n">
        <v>7126</v>
      </c>
      <c r="I1454" s="54" t="s">
        <v>295</v>
      </c>
      <c r="J1454" s="54" t="s">
        <v>1355</v>
      </c>
    </row>
    <row r="1455" customFormat="false" ht="15" hidden="false" customHeight="true" outlineLevel="0" collapsed="false">
      <c r="A1455" s="54" t="n">
        <v>20260710</v>
      </c>
      <c r="B1455" s="54" t="s">
        <v>289</v>
      </c>
      <c r="C1455" s="54" t="s">
        <v>290</v>
      </c>
      <c r="D1455" s="54" t="s">
        <v>3531</v>
      </c>
      <c r="E1455" s="54" t="s">
        <v>3532</v>
      </c>
      <c r="F1455" s="54" t="s">
        <v>3539</v>
      </c>
      <c r="G1455" s="54" t="s">
        <v>3540</v>
      </c>
      <c r="H1455" s="54" t="n">
        <v>7616</v>
      </c>
      <c r="I1455" s="54" t="s">
        <v>295</v>
      </c>
      <c r="J1455" s="54" t="s">
        <v>1355</v>
      </c>
    </row>
    <row r="1456" customFormat="false" ht="15" hidden="false" customHeight="true" outlineLevel="0" collapsed="false">
      <c r="A1456" s="54" t="n">
        <v>20260710</v>
      </c>
      <c r="B1456" s="54" t="s">
        <v>306</v>
      </c>
      <c r="C1456" s="54" t="s">
        <v>290</v>
      </c>
      <c r="D1456" s="54" t="s">
        <v>3541</v>
      </c>
      <c r="E1456" s="54" t="s">
        <v>3542</v>
      </c>
      <c r="F1456" s="54" t="s">
        <v>3543</v>
      </c>
      <c r="G1456" s="54" t="s">
        <v>3544</v>
      </c>
      <c r="H1456" s="54" t="n">
        <v>9893</v>
      </c>
      <c r="I1456" s="54" t="s">
        <v>295</v>
      </c>
      <c r="J1456" s="54" t="s">
        <v>2289</v>
      </c>
    </row>
    <row r="1457" customFormat="false" ht="15" hidden="false" customHeight="true" outlineLevel="0" collapsed="false">
      <c r="A1457" s="54" t="n">
        <v>20260710</v>
      </c>
      <c r="B1457" s="54" t="s">
        <v>306</v>
      </c>
      <c r="C1457" s="54" t="s">
        <v>290</v>
      </c>
      <c r="D1457" s="54" t="s">
        <v>3541</v>
      </c>
      <c r="E1457" s="54" t="s">
        <v>3542</v>
      </c>
      <c r="F1457" s="54" t="s">
        <v>3545</v>
      </c>
      <c r="G1457" s="54" t="s">
        <v>3546</v>
      </c>
      <c r="H1457" s="54" t="n">
        <v>4184</v>
      </c>
      <c r="I1457" s="54" t="s">
        <v>295</v>
      </c>
      <c r="J1457" s="54" t="s">
        <v>2289</v>
      </c>
    </row>
    <row r="1458" customFormat="false" ht="15" hidden="false" customHeight="true" outlineLevel="0" collapsed="false">
      <c r="A1458" s="54" t="n">
        <v>20260710</v>
      </c>
      <c r="B1458" s="54" t="s">
        <v>306</v>
      </c>
      <c r="C1458" s="54" t="s">
        <v>290</v>
      </c>
      <c r="D1458" s="54" t="s">
        <v>3541</v>
      </c>
      <c r="E1458" s="54" t="s">
        <v>3542</v>
      </c>
      <c r="F1458" s="54" t="s">
        <v>3547</v>
      </c>
      <c r="G1458" s="54" t="s">
        <v>3548</v>
      </c>
      <c r="H1458" s="54" t="n">
        <v>14443</v>
      </c>
      <c r="I1458" s="54" t="s">
        <v>295</v>
      </c>
      <c r="J1458" s="54" t="s">
        <v>2289</v>
      </c>
    </row>
    <row r="1459" customFormat="false" ht="15" hidden="false" customHeight="true" outlineLevel="0" collapsed="false">
      <c r="A1459" s="54" t="n">
        <v>20260710</v>
      </c>
      <c r="B1459" s="54" t="s">
        <v>289</v>
      </c>
      <c r="C1459" s="54" t="s">
        <v>290</v>
      </c>
      <c r="D1459" s="54" t="s">
        <v>3549</v>
      </c>
      <c r="E1459" s="54" t="s">
        <v>3550</v>
      </c>
      <c r="F1459" s="54" t="s">
        <v>3551</v>
      </c>
      <c r="G1459" s="54" t="s">
        <v>3552</v>
      </c>
      <c r="H1459" s="54" t="n">
        <v>16214</v>
      </c>
      <c r="I1459" s="54" t="s">
        <v>295</v>
      </c>
      <c r="J1459" s="54" t="s">
        <v>407</v>
      </c>
    </row>
    <row r="1460" customFormat="false" ht="15" hidden="false" customHeight="true" outlineLevel="0" collapsed="false">
      <c r="A1460" s="54" t="n">
        <v>20260710</v>
      </c>
      <c r="B1460" s="54" t="s">
        <v>289</v>
      </c>
      <c r="C1460" s="54" t="s">
        <v>290</v>
      </c>
      <c r="D1460" s="54" t="s">
        <v>3549</v>
      </c>
      <c r="E1460" s="54" t="s">
        <v>3550</v>
      </c>
      <c r="F1460" s="54" t="s">
        <v>3553</v>
      </c>
      <c r="G1460" s="54" t="s">
        <v>3552</v>
      </c>
      <c r="H1460" s="54" t="n">
        <v>16213</v>
      </c>
      <c r="I1460" s="54" t="s">
        <v>360</v>
      </c>
      <c r="J1460" s="54" t="s">
        <v>407</v>
      </c>
    </row>
    <row r="1461" customFormat="false" ht="15" hidden="false" customHeight="true" outlineLevel="0" collapsed="false">
      <c r="A1461" s="54" t="n">
        <v>20260710</v>
      </c>
      <c r="B1461" s="54" t="s">
        <v>289</v>
      </c>
      <c r="C1461" s="54" t="s">
        <v>290</v>
      </c>
      <c r="D1461" s="54" t="s">
        <v>3549</v>
      </c>
      <c r="E1461" s="54" t="s">
        <v>3550</v>
      </c>
      <c r="F1461" s="54" t="s">
        <v>3554</v>
      </c>
      <c r="G1461" s="54" t="s">
        <v>3555</v>
      </c>
      <c r="H1461" s="54" t="n">
        <v>12523</v>
      </c>
      <c r="I1461" s="54" t="s">
        <v>360</v>
      </c>
      <c r="J1461" s="54" t="s">
        <v>407</v>
      </c>
    </row>
    <row r="1462" customFormat="false" ht="15" hidden="false" customHeight="true" outlineLevel="0" collapsed="false">
      <c r="A1462" s="54" t="n">
        <v>20260710</v>
      </c>
      <c r="B1462" s="54" t="s">
        <v>289</v>
      </c>
      <c r="C1462" s="54" t="s">
        <v>290</v>
      </c>
      <c r="D1462" s="54" t="s">
        <v>3549</v>
      </c>
      <c r="E1462" s="54" t="s">
        <v>3550</v>
      </c>
      <c r="F1462" s="54" t="s">
        <v>3554</v>
      </c>
      <c r="G1462" s="54" t="s">
        <v>3555</v>
      </c>
      <c r="H1462" s="54" t="n">
        <v>12523</v>
      </c>
      <c r="I1462" s="54" t="s">
        <v>295</v>
      </c>
      <c r="J1462" s="54" t="s">
        <v>407</v>
      </c>
    </row>
    <row r="1463" customFormat="false" ht="15" hidden="false" customHeight="true" outlineLevel="0" collapsed="false">
      <c r="A1463" s="54" t="n">
        <v>20260710</v>
      </c>
      <c r="B1463" s="54" t="s">
        <v>289</v>
      </c>
      <c r="C1463" s="54" t="s">
        <v>290</v>
      </c>
      <c r="D1463" s="54" t="s">
        <v>3549</v>
      </c>
      <c r="E1463" s="54" t="s">
        <v>3550</v>
      </c>
      <c r="F1463" s="54" t="s">
        <v>3556</v>
      </c>
      <c r="G1463" s="54" t="s">
        <v>3557</v>
      </c>
      <c r="H1463" s="54" t="n">
        <v>398</v>
      </c>
      <c r="I1463" s="54" t="s">
        <v>295</v>
      </c>
      <c r="J1463" s="54" t="s">
        <v>407</v>
      </c>
    </row>
    <row r="1464" customFormat="false" ht="15" hidden="false" customHeight="true" outlineLevel="0" collapsed="false">
      <c r="A1464" s="54" t="n">
        <v>20260710</v>
      </c>
      <c r="B1464" s="54" t="s">
        <v>289</v>
      </c>
      <c r="C1464" s="54" t="s">
        <v>290</v>
      </c>
      <c r="D1464" s="54" t="s">
        <v>3558</v>
      </c>
      <c r="E1464" s="54" t="s">
        <v>3559</v>
      </c>
      <c r="F1464" s="54" t="s">
        <v>3560</v>
      </c>
      <c r="G1464" s="54" t="s">
        <v>2876</v>
      </c>
      <c r="H1464" s="54" t="n">
        <v>14656</v>
      </c>
      <c r="I1464" s="54" t="s">
        <v>295</v>
      </c>
      <c r="J1464" s="54" t="s">
        <v>874</v>
      </c>
    </row>
    <row r="1465" customFormat="false" ht="15" hidden="false" customHeight="true" outlineLevel="0" collapsed="false">
      <c r="A1465" s="54" t="n">
        <v>20260710</v>
      </c>
      <c r="B1465" s="54" t="s">
        <v>289</v>
      </c>
      <c r="C1465" s="54" t="s">
        <v>290</v>
      </c>
      <c r="D1465" s="54" t="s">
        <v>3558</v>
      </c>
      <c r="E1465" s="54" t="s">
        <v>3559</v>
      </c>
      <c r="F1465" s="54" t="s">
        <v>3561</v>
      </c>
      <c r="G1465" s="54" t="s">
        <v>1055</v>
      </c>
      <c r="H1465" s="54" t="n">
        <v>14581</v>
      </c>
      <c r="I1465" s="54" t="s">
        <v>295</v>
      </c>
      <c r="J1465" s="54" t="s">
        <v>874</v>
      </c>
    </row>
    <row r="1466" customFormat="false" ht="15" hidden="false" customHeight="true" outlineLevel="0" collapsed="false">
      <c r="A1466" s="54" t="n">
        <v>20260710</v>
      </c>
      <c r="B1466" s="54" t="s">
        <v>306</v>
      </c>
      <c r="C1466" s="54" t="s">
        <v>290</v>
      </c>
      <c r="D1466" s="54" t="s">
        <v>3562</v>
      </c>
      <c r="E1466" s="54" t="s">
        <v>3563</v>
      </c>
      <c r="F1466" s="54" t="s">
        <v>3564</v>
      </c>
      <c r="G1466" s="54" t="s">
        <v>3565</v>
      </c>
      <c r="H1466" s="54" t="n">
        <v>28800</v>
      </c>
      <c r="I1466" s="54" t="s">
        <v>295</v>
      </c>
      <c r="J1466" s="54" t="s">
        <v>1067</v>
      </c>
    </row>
    <row r="1467" customFormat="false" ht="15" hidden="false" customHeight="true" outlineLevel="0" collapsed="false">
      <c r="A1467" s="54" t="n">
        <v>20260710</v>
      </c>
      <c r="B1467" s="54" t="s">
        <v>289</v>
      </c>
      <c r="C1467" s="54" t="s">
        <v>290</v>
      </c>
      <c r="D1467" s="54" t="s">
        <v>3566</v>
      </c>
      <c r="E1467" s="54" t="s">
        <v>569</v>
      </c>
      <c r="F1467" s="54" t="s">
        <v>3567</v>
      </c>
      <c r="G1467" s="54" t="s">
        <v>3568</v>
      </c>
      <c r="H1467" s="54" t="n">
        <v>19997</v>
      </c>
      <c r="I1467" s="54" t="s">
        <v>295</v>
      </c>
      <c r="J1467" s="54" t="s">
        <v>3569</v>
      </c>
    </row>
    <row r="1468" customFormat="false" ht="15" hidden="false" customHeight="true" outlineLevel="0" collapsed="false">
      <c r="A1468" s="54" t="n">
        <v>20260710</v>
      </c>
      <c r="B1468" s="54" t="s">
        <v>688</v>
      </c>
      <c r="C1468" s="54" t="s">
        <v>290</v>
      </c>
      <c r="D1468" s="54" t="s">
        <v>3570</v>
      </c>
      <c r="E1468" s="54" t="s">
        <v>3571</v>
      </c>
      <c r="F1468" s="54" t="s">
        <v>3572</v>
      </c>
      <c r="G1468" s="54" t="s">
        <v>3573</v>
      </c>
      <c r="H1468" s="54" t="n">
        <v>18201</v>
      </c>
      <c r="I1468" s="54" t="s">
        <v>295</v>
      </c>
      <c r="J1468" s="54" t="s">
        <v>997</v>
      </c>
    </row>
    <row r="1469" customFormat="false" ht="15" hidden="false" customHeight="true" outlineLevel="0" collapsed="false">
      <c r="A1469" s="54" t="n">
        <v>20260710</v>
      </c>
      <c r="B1469" s="54" t="s">
        <v>688</v>
      </c>
      <c r="C1469" s="54" t="s">
        <v>290</v>
      </c>
      <c r="D1469" s="54" t="s">
        <v>3570</v>
      </c>
      <c r="E1469" s="54" t="s">
        <v>3571</v>
      </c>
      <c r="F1469" s="54" t="s">
        <v>3574</v>
      </c>
      <c r="G1469" s="54" t="s">
        <v>3575</v>
      </c>
      <c r="H1469" s="54" t="n">
        <v>8009</v>
      </c>
      <c r="I1469" s="54" t="s">
        <v>295</v>
      </c>
      <c r="J1469" s="54" t="s">
        <v>997</v>
      </c>
    </row>
    <row r="1470" customFormat="false" ht="15" hidden="false" customHeight="true" outlineLevel="0" collapsed="false">
      <c r="A1470" s="54" t="n">
        <v>20260710</v>
      </c>
      <c r="B1470" s="54" t="s">
        <v>688</v>
      </c>
      <c r="C1470" s="54" t="s">
        <v>290</v>
      </c>
      <c r="D1470" s="54" t="s">
        <v>3570</v>
      </c>
      <c r="E1470" s="54" t="s">
        <v>3571</v>
      </c>
      <c r="F1470" s="54" t="s">
        <v>3576</v>
      </c>
      <c r="G1470" s="54" t="s">
        <v>3577</v>
      </c>
      <c r="H1470" s="54" t="n">
        <v>2459</v>
      </c>
      <c r="I1470" s="54" t="s">
        <v>295</v>
      </c>
      <c r="J1470" s="54" t="s">
        <v>997</v>
      </c>
    </row>
    <row r="1471" customFormat="false" ht="15" hidden="false" customHeight="true" outlineLevel="0" collapsed="false">
      <c r="A1471" s="54" t="n">
        <v>20260710</v>
      </c>
      <c r="B1471" s="54" t="s">
        <v>535</v>
      </c>
      <c r="C1471" s="54" t="s">
        <v>290</v>
      </c>
      <c r="D1471" s="54" t="s">
        <v>3578</v>
      </c>
      <c r="E1471" s="54" t="s">
        <v>3579</v>
      </c>
      <c r="F1471" s="54" t="s">
        <v>1611</v>
      </c>
      <c r="G1471" s="54" t="s">
        <v>568</v>
      </c>
      <c r="H1471" s="54" t="n">
        <v>18474</v>
      </c>
      <c r="I1471" s="54" t="s">
        <v>295</v>
      </c>
      <c r="J1471" s="54" t="s">
        <v>779</v>
      </c>
    </row>
    <row r="1472" customFormat="false" ht="15" hidden="false" customHeight="true" outlineLevel="0" collapsed="false">
      <c r="A1472" s="54" t="n">
        <v>20260710</v>
      </c>
      <c r="B1472" s="54" t="s">
        <v>535</v>
      </c>
      <c r="C1472" s="54" t="s">
        <v>290</v>
      </c>
      <c r="D1472" s="54" t="s">
        <v>3578</v>
      </c>
      <c r="E1472" s="54" t="s">
        <v>3579</v>
      </c>
      <c r="F1472" s="54" t="s">
        <v>3580</v>
      </c>
      <c r="G1472" s="54" t="s">
        <v>1416</v>
      </c>
      <c r="H1472" s="54" t="n">
        <v>3</v>
      </c>
      <c r="I1472" s="54" t="s">
        <v>295</v>
      </c>
      <c r="J1472" s="54" t="s">
        <v>779</v>
      </c>
    </row>
    <row r="1473" customFormat="false" ht="15" hidden="false" customHeight="true" outlineLevel="0" collapsed="false">
      <c r="A1473" s="54" t="n">
        <v>20260710</v>
      </c>
      <c r="B1473" s="54" t="s">
        <v>535</v>
      </c>
      <c r="C1473" s="54" t="s">
        <v>290</v>
      </c>
      <c r="D1473" s="54" t="s">
        <v>3578</v>
      </c>
      <c r="E1473" s="54" t="s">
        <v>3579</v>
      </c>
      <c r="F1473" s="54" t="s">
        <v>2260</v>
      </c>
      <c r="G1473" s="54" t="s">
        <v>3581</v>
      </c>
      <c r="H1473" s="54" t="n">
        <v>11062</v>
      </c>
      <c r="I1473" s="54" t="s">
        <v>295</v>
      </c>
      <c r="J1473" s="54" t="s">
        <v>779</v>
      </c>
    </row>
    <row r="1474" customFormat="false" ht="15" hidden="false" customHeight="true" outlineLevel="0" collapsed="false">
      <c r="A1474" s="54" t="n">
        <v>20260710</v>
      </c>
      <c r="B1474" s="54" t="s">
        <v>306</v>
      </c>
      <c r="C1474" s="54" t="s">
        <v>307</v>
      </c>
      <c r="D1474" s="54" t="s">
        <v>3582</v>
      </c>
      <c r="E1474" s="54" t="s">
        <v>3583</v>
      </c>
      <c r="F1474" s="54" t="s">
        <v>3584</v>
      </c>
      <c r="G1474" s="54" t="s">
        <v>1423</v>
      </c>
      <c r="H1474" s="54" t="n">
        <v>18148</v>
      </c>
      <c r="I1474" s="54" t="s">
        <v>295</v>
      </c>
      <c r="J1474" s="54" t="s">
        <v>752</v>
      </c>
    </row>
    <row r="1475" customFormat="false" ht="15" hidden="false" customHeight="true" outlineLevel="0" collapsed="false">
      <c r="A1475" s="54" t="n">
        <v>20260710</v>
      </c>
      <c r="B1475" s="54" t="s">
        <v>306</v>
      </c>
      <c r="C1475" s="54" t="s">
        <v>307</v>
      </c>
      <c r="D1475" s="54" t="s">
        <v>3582</v>
      </c>
      <c r="E1475" s="54" t="s">
        <v>3583</v>
      </c>
      <c r="F1475" s="54" t="s">
        <v>3585</v>
      </c>
      <c r="G1475" s="54" t="s">
        <v>3586</v>
      </c>
      <c r="H1475" s="54" t="n">
        <v>11041</v>
      </c>
      <c r="I1475" s="54" t="s">
        <v>295</v>
      </c>
      <c r="J1475" s="54" t="s">
        <v>752</v>
      </c>
    </row>
    <row r="1476" customFormat="false" ht="15" hidden="false" customHeight="true" outlineLevel="0" collapsed="false">
      <c r="A1476" s="54" t="n">
        <v>20260710</v>
      </c>
      <c r="B1476" s="54" t="s">
        <v>289</v>
      </c>
      <c r="C1476" s="54" t="s">
        <v>290</v>
      </c>
      <c r="D1476" s="54" t="s">
        <v>3587</v>
      </c>
      <c r="E1476" s="54" t="s">
        <v>3588</v>
      </c>
      <c r="F1476" s="54" t="s">
        <v>3589</v>
      </c>
      <c r="G1476" s="54" t="s">
        <v>1685</v>
      </c>
      <c r="H1476" s="54" t="n">
        <v>18258</v>
      </c>
      <c r="I1476" s="54" t="s">
        <v>295</v>
      </c>
      <c r="J1476" s="54" t="s">
        <v>1016</v>
      </c>
    </row>
    <row r="1477" customFormat="false" ht="15" hidden="false" customHeight="true" outlineLevel="0" collapsed="false">
      <c r="A1477" s="54" t="n">
        <v>20260710</v>
      </c>
      <c r="B1477" s="54" t="s">
        <v>289</v>
      </c>
      <c r="C1477" s="54" t="s">
        <v>290</v>
      </c>
      <c r="D1477" s="54" t="s">
        <v>3587</v>
      </c>
      <c r="E1477" s="54" t="s">
        <v>3588</v>
      </c>
      <c r="F1477" s="54" t="s">
        <v>3590</v>
      </c>
      <c r="G1477" s="54" t="s">
        <v>1049</v>
      </c>
      <c r="H1477" s="54" t="n">
        <v>11156</v>
      </c>
      <c r="I1477" s="54" t="s">
        <v>295</v>
      </c>
      <c r="J1477" s="54" t="s">
        <v>1016</v>
      </c>
    </row>
    <row r="1478" customFormat="false" ht="15" hidden="false" customHeight="true" outlineLevel="0" collapsed="false">
      <c r="A1478" s="54" t="n">
        <v>20260710</v>
      </c>
      <c r="B1478" s="54" t="s">
        <v>306</v>
      </c>
      <c r="C1478" s="54" t="s">
        <v>290</v>
      </c>
      <c r="D1478" s="54" t="s">
        <v>3591</v>
      </c>
      <c r="E1478" s="54" t="s">
        <v>3592</v>
      </c>
      <c r="F1478" s="54" t="s">
        <v>3593</v>
      </c>
      <c r="G1478" s="54" t="s">
        <v>3594</v>
      </c>
      <c r="H1478" s="54" t="n">
        <v>25505</v>
      </c>
      <c r="I1478" s="54" t="s">
        <v>295</v>
      </c>
      <c r="J1478" s="54" t="s">
        <v>335</v>
      </c>
    </row>
    <row r="1479" customFormat="false" ht="15" hidden="false" customHeight="true" outlineLevel="0" collapsed="false">
      <c r="A1479" s="54" t="n">
        <v>20260710</v>
      </c>
      <c r="B1479" s="54" t="s">
        <v>306</v>
      </c>
      <c r="C1479" s="54" t="s">
        <v>290</v>
      </c>
      <c r="D1479" s="54" t="s">
        <v>3591</v>
      </c>
      <c r="E1479" s="54" t="s">
        <v>3592</v>
      </c>
      <c r="F1479" s="54" t="s">
        <v>3595</v>
      </c>
      <c r="G1479" s="54" t="s">
        <v>3596</v>
      </c>
      <c r="H1479" s="54" t="n">
        <v>25536</v>
      </c>
      <c r="I1479" s="54" t="s">
        <v>315</v>
      </c>
      <c r="J1479" s="54" t="s">
        <v>335</v>
      </c>
    </row>
    <row r="1480" customFormat="false" ht="15" hidden="false" customHeight="true" outlineLevel="0" collapsed="false">
      <c r="A1480" s="54" t="n">
        <v>20260710</v>
      </c>
      <c r="B1480" s="54" t="s">
        <v>306</v>
      </c>
      <c r="C1480" s="54" t="s">
        <v>290</v>
      </c>
      <c r="D1480" s="54" t="s">
        <v>3591</v>
      </c>
      <c r="E1480" s="54" t="s">
        <v>3592</v>
      </c>
      <c r="F1480" s="54" t="s">
        <v>3597</v>
      </c>
      <c r="G1480" s="54" t="s">
        <v>2106</v>
      </c>
      <c r="H1480" s="54" t="n">
        <v>3714</v>
      </c>
      <c r="I1480" s="54" t="s">
        <v>295</v>
      </c>
      <c r="J1480" s="54" t="s">
        <v>335</v>
      </c>
    </row>
    <row r="1481" customFormat="false" ht="15" hidden="false" customHeight="true" outlineLevel="0" collapsed="false">
      <c r="A1481" s="54" t="n">
        <v>20260710</v>
      </c>
      <c r="B1481" s="54" t="s">
        <v>306</v>
      </c>
      <c r="C1481" s="54" t="s">
        <v>290</v>
      </c>
      <c r="D1481" s="54" t="s">
        <v>3591</v>
      </c>
      <c r="E1481" s="54" t="s">
        <v>3592</v>
      </c>
      <c r="F1481" s="54" t="s">
        <v>3598</v>
      </c>
      <c r="G1481" s="54" t="s">
        <v>1195</v>
      </c>
      <c r="H1481" s="54" t="n">
        <v>3715</v>
      </c>
      <c r="I1481" s="54" t="s">
        <v>315</v>
      </c>
      <c r="J1481" s="54" t="s">
        <v>335</v>
      </c>
    </row>
    <row r="1482" customFormat="false" ht="15" hidden="false" customHeight="true" outlineLevel="0" collapsed="false">
      <c r="A1482" s="54" t="n">
        <v>20260710</v>
      </c>
      <c r="B1482" s="54" t="s">
        <v>168</v>
      </c>
      <c r="C1482" s="54" t="s">
        <v>290</v>
      </c>
      <c r="D1482" s="54" t="s">
        <v>3599</v>
      </c>
      <c r="E1482" s="54" t="s">
        <v>3600</v>
      </c>
      <c r="F1482" s="54" t="s">
        <v>3601</v>
      </c>
      <c r="G1482" s="54" t="s">
        <v>1276</v>
      </c>
      <c r="H1482" s="54" t="n">
        <v>16919</v>
      </c>
      <c r="I1482" s="54" t="s">
        <v>295</v>
      </c>
      <c r="J1482" s="54" t="s">
        <v>1709</v>
      </c>
    </row>
    <row r="1483" customFormat="false" ht="15" hidden="false" customHeight="true" outlineLevel="0" collapsed="false">
      <c r="A1483" s="54" t="n">
        <v>20260710</v>
      </c>
      <c r="B1483" s="54" t="s">
        <v>168</v>
      </c>
      <c r="C1483" s="54" t="s">
        <v>290</v>
      </c>
      <c r="D1483" s="54" t="s">
        <v>3599</v>
      </c>
      <c r="E1483" s="54" t="s">
        <v>3600</v>
      </c>
      <c r="F1483" s="54" t="s">
        <v>3602</v>
      </c>
      <c r="G1483" s="54" t="s">
        <v>3603</v>
      </c>
      <c r="H1483" s="54" t="n">
        <v>12042</v>
      </c>
      <c r="I1483" s="54" t="s">
        <v>295</v>
      </c>
      <c r="J1483" s="54" t="s">
        <v>1709</v>
      </c>
    </row>
    <row r="1484" customFormat="false" ht="15" hidden="false" customHeight="true" outlineLevel="0" collapsed="false">
      <c r="A1484" s="54" t="n">
        <v>20260710</v>
      </c>
      <c r="B1484" s="54" t="s">
        <v>289</v>
      </c>
      <c r="C1484" s="54" t="s">
        <v>290</v>
      </c>
      <c r="D1484" s="54" t="s">
        <v>3604</v>
      </c>
      <c r="E1484" s="54" t="s">
        <v>3605</v>
      </c>
      <c r="F1484" s="54" t="s">
        <v>3606</v>
      </c>
      <c r="G1484" s="54" t="s">
        <v>1401</v>
      </c>
      <c r="H1484" s="54" t="n">
        <v>21734</v>
      </c>
      <c r="I1484" s="54" t="s">
        <v>360</v>
      </c>
      <c r="J1484" s="54" t="s">
        <v>569</v>
      </c>
    </row>
    <row r="1485" customFormat="false" ht="15" hidden="false" customHeight="true" outlineLevel="0" collapsed="false">
      <c r="A1485" s="54" t="n">
        <v>20260710</v>
      </c>
      <c r="B1485" s="54" t="s">
        <v>289</v>
      </c>
      <c r="C1485" s="54" t="s">
        <v>290</v>
      </c>
      <c r="D1485" s="54" t="s">
        <v>3604</v>
      </c>
      <c r="E1485" s="54" t="s">
        <v>3605</v>
      </c>
      <c r="F1485" s="54" t="s">
        <v>3606</v>
      </c>
      <c r="G1485" s="54" t="s">
        <v>1401</v>
      </c>
      <c r="H1485" s="54" t="n">
        <v>21734</v>
      </c>
      <c r="I1485" s="54" t="s">
        <v>295</v>
      </c>
      <c r="J1485" s="54" t="s">
        <v>569</v>
      </c>
    </row>
    <row r="1486" customFormat="false" ht="15" hidden="false" customHeight="true" outlineLevel="0" collapsed="false">
      <c r="A1486" s="54" t="n">
        <v>20260710</v>
      </c>
      <c r="B1486" s="54" t="s">
        <v>289</v>
      </c>
      <c r="C1486" s="54" t="s">
        <v>290</v>
      </c>
      <c r="D1486" s="54" t="s">
        <v>3604</v>
      </c>
      <c r="E1486" s="54" t="s">
        <v>3605</v>
      </c>
      <c r="F1486" s="54" t="s">
        <v>3607</v>
      </c>
      <c r="G1486" s="54" t="s">
        <v>3608</v>
      </c>
      <c r="H1486" s="54" t="n">
        <v>8053</v>
      </c>
      <c r="I1486" s="54" t="s">
        <v>360</v>
      </c>
      <c r="J1486" s="54" t="s">
        <v>569</v>
      </c>
    </row>
    <row r="1487" customFormat="false" ht="15" hidden="false" customHeight="true" outlineLevel="0" collapsed="false">
      <c r="A1487" s="54" t="n">
        <v>20260710</v>
      </c>
      <c r="B1487" s="54" t="s">
        <v>289</v>
      </c>
      <c r="C1487" s="54" t="s">
        <v>290</v>
      </c>
      <c r="D1487" s="54" t="s">
        <v>3604</v>
      </c>
      <c r="E1487" s="54" t="s">
        <v>3605</v>
      </c>
      <c r="F1487" s="54" t="s">
        <v>3607</v>
      </c>
      <c r="G1487" s="54" t="s">
        <v>3608</v>
      </c>
      <c r="H1487" s="54" t="n">
        <v>8053</v>
      </c>
      <c r="I1487" s="54" t="s">
        <v>295</v>
      </c>
      <c r="J1487" s="54" t="s">
        <v>569</v>
      </c>
    </row>
    <row r="1488" customFormat="false" ht="15" hidden="false" customHeight="true" outlineLevel="0" collapsed="false">
      <c r="A1488" s="54" t="n">
        <v>20260710</v>
      </c>
      <c r="B1488" s="54" t="s">
        <v>289</v>
      </c>
      <c r="C1488" s="54" t="s">
        <v>290</v>
      </c>
      <c r="D1488" s="54" t="s">
        <v>3604</v>
      </c>
      <c r="E1488" s="54" t="s">
        <v>3605</v>
      </c>
      <c r="F1488" s="54" t="s">
        <v>3609</v>
      </c>
      <c r="G1488" s="54" t="s">
        <v>3610</v>
      </c>
      <c r="H1488" s="54" t="n">
        <v>2004</v>
      </c>
      <c r="I1488" s="54" t="s">
        <v>360</v>
      </c>
      <c r="J1488" s="54" t="s">
        <v>569</v>
      </c>
    </row>
    <row r="1489" customFormat="false" ht="15" hidden="false" customHeight="true" outlineLevel="0" collapsed="false">
      <c r="A1489" s="54" t="n">
        <v>20260710</v>
      </c>
      <c r="B1489" s="54" t="s">
        <v>289</v>
      </c>
      <c r="C1489" s="54" t="s">
        <v>290</v>
      </c>
      <c r="D1489" s="54" t="s">
        <v>3604</v>
      </c>
      <c r="E1489" s="54" t="s">
        <v>3605</v>
      </c>
      <c r="F1489" s="54" t="s">
        <v>3609</v>
      </c>
      <c r="G1489" s="54" t="s">
        <v>3610</v>
      </c>
      <c r="H1489" s="54" t="n">
        <v>2004</v>
      </c>
      <c r="I1489" s="54" t="s">
        <v>295</v>
      </c>
      <c r="J1489" s="54" t="s">
        <v>569</v>
      </c>
    </row>
    <row r="1490" customFormat="false" ht="15" hidden="false" customHeight="true" outlineLevel="0" collapsed="false">
      <c r="A1490" s="54" t="n">
        <v>20260710</v>
      </c>
      <c r="B1490" s="54" t="s">
        <v>289</v>
      </c>
      <c r="C1490" s="54" t="s">
        <v>290</v>
      </c>
      <c r="D1490" s="54" t="s">
        <v>3611</v>
      </c>
      <c r="E1490" s="54" t="s">
        <v>3612</v>
      </c>
      <c r="F1490" s="54" t="s">
        <v>3613</v>
      </c>
      <c r="G1490" s="54" t="s">
        <v>3614</v>
      </c>
      <c r="H1490" s="54" t="n">
        <v>21057</v>
      </c>
      <c r="I1490" s="54" t="s">
        <v>360</v>
      </c>
      <c r="J1490" s="54" t="s">
        <v>631</v>
      </c>
    </row>
    <row r="1491" customFormat="false" ht="15" hidden="false" customHeight="true" outlineLevel="0" collapsed="false">
      <c r="A1491" s="54" t="n">
        <v>20260710</v>
      </c>
      <c r="B1491" s="54" t="s">
        <v>289</v>
      </c>
      <c r="C1491" s="54" t="s">
        <v>290</v>
      </c>
      <c r="D1491" s="54" t="s">
        <v>3611</v>
      </c>
      <c r="E1491" s="54" t="s">
        <v>3612</v>
      </c>
      <c r="F1491" s="54" t="s">
        <v>3615</v>
      </c>
      <c r="G1491" s="54" t="s">
        <v>3614</v>
      </c>
      <c r="H1491" s="54" t="n">
        <v>21050</v>
      </c>
      <c r="I1491" s="54" t="s">
        <v>295</v>
      </c>
      <c r="J1491" s="54" t="s">
        <v>631</v>
      </c>
    </row>
    <row r="1492" customFormat="false" ht="15" hidden="false" customHeight="true" outlineLevel="0" collapsed="false">
      <c r="A1492" s="54" t="n">
        <v>20260710</v>
      </c>
      <c r="B1492" s="54" t="s">
        <v>289</v>
      </c>
      <c r="C1492" s="54" t="s">
        <v>290</v>
      </c>
      <c r="D1492" s="54" t="s">
        <v>3611</v>
      </c>
      <c r="E1492" s="54" t="s">
        <v>3612</v>
      </c>
      <c r="F1492" s="54" t="s">
        <v>3616</v>
      </c>
      <c r="G1492" s="54" t="s">
        <v>2016</v>
      </c>
      <c r="H1492" s="54" t="n">
        <v>4854</v>
      </c>
      <c r="I1492" s="54" t="s">
        <v>360</v>
      </c>
      <c r="J1492" s="54" t="s">
        <v>631</v>
      </c>
    </row>
    <row r="1493" customFormat="false" ht="15" hidden="false" customHeight="true" outlineLevel="0" collapsed="false">
      <c r="A1493" s="54" t="n">
        <v>20260710</v>
      </c>
      <c r="B1493" s="54" t="s">
        <v>289</v>
      </c>
      <c r="C1493" s="54" t="s">
        <v>290</v>
      </c>
      <c r="D1493" s="54" t="s">
        <v>3611</v>
      </c>
      <c r="E1493" s="54" t="s">
        <v>3612</v>
      </c>
      <c r="F1493" s="54" t="s">
        <v>3616</v>
      </c>
      <c r="G1493" s="54" t="s">
        <v>2016</v>
      </c>
      <c r="H1493" s="54" t="n">
        <v>4854</v>
      </c>
      <c r="I1493" s="54" t="s">
        <v>295</v>
      </c>
      <c r="J1493" s="54" t="s">
        <v>631</v>
      </c>
    </row>
    <row r="1494" customFormat="false" ht="15" hidden="false" customHeight="true" outlineLevel="0" collapsed="false">
      <c r="A1494" s="54" t="n">
        <v>20260710</v>
      </c>
      <c r="B1494" s="54" t="s">
        <v>306</v>
      </c>
      <c r="C1494" s="54" t="s">
        <v>307</v>
      </c>
      <c r="D1494" s="54" t="s">
        <v>3617</v>
      </c>
      <c r="E1494" s="54" t="s">
        <v>3618</v>
      </c>
      <c r="F1494" s="54" t="s">
        <v>3619</v>
      </c>
      <c r="G1494" s="54" t="s">
        <v>3620</v>
      </c>
      <c r="H1494" s="54" t="n">
        <v>25545</v>
      </c>
      <c r="I1494" s="54" t="s">
        <v>295</v>
      </c>
      <c r="J1494" s="54" t="s">
        <v>752</v>
      </c>
    </row>
    <row r="1495" customFormat="false" ht="15" hidden="false" customHeight="true" outlineLevel="0" collapsed="false">
      <c r="A1495" s="54" t="n">
        <v>20260710</v>
      </c>
      <c r="B1495" s="54" t="s">
        <v>306</v>
      </c>
      <c r="C1495" s="54" t="s">
        <v>307</v>
      </c>
      <c r="D1495" s="54" t="s">
        <v>3617</v>
      </c>
      <c r="E1495" s="54" t="s">
        <v>3618</v>
      </c>
      <c r="F1495" s="54" t="s">
        <v>3621</v>
      </c>
      <c r="G1495" s="54" t="s">
        <v>3622</v>
      </c>
      <c r="H1495" s="54" t="n">
        <v>7381</v>
      </c>
      <c r="I1495" s="54" t="s">
        <v>295</v>
      </c>
      <c r="J1495" s="54" t="s">
        <v>752</v>
      </c>
    </row>
    <row r="1496" customFormat="false" ht="15" hidden="false" customHeight="true" outlineLevel="0" collapsed="false">
      <c r="A1496" s="54" t="n">
        <v>20260710</v>
      </c>
      <c r="B1496" s="54" t="s">
        <v>306</v>
      </c>
      <c r="C1496" s="54" t="s">
        <v>307</v>
      </c>
      <c r="D1496" s="54" t="s">
        <v>3623</v>
      </c>
      <c r="E1496" s="54" t="s">
        <v>3624</v>
      </c>
      <c r="F1496" s="54" t="s">
        <v>1765</v>
      </c>
      <c r="G1496" s="54" t="s">
        <v>1089</v>
      </c>
      <c r="H1496" s="54" t="n">
        <v>21798</v>
      </c>
      <c r="I1496" s="54" t="s">
        <v>315</v>
      </c>
      <c r="J1496" s="54" t="s">
        <v>392</v>
      </c>
    </row>
    <row r="1497" customFormat="false" ht="15" hidden="false" customHeight="true" outlineLevel="0" collapsed="false">
      <c r="A1497" s="54" t="n">
        <v>20260710</v>
      </c>
      <c r="B1497" s="54" t="s">
        <v>306</v>
      </c>
      <c r="C1497" s="54" t="s">
        <v>307</v>
      </c>
      <c r="D1497" s="54" t="s">
        <v>3623</v>
      </c>
      <c r="E1497" s="54" t="s">
        <v>3624</v>
      </c>
      <c r="F1497" s="54" t="s">
        <v>1765</v>
      </c>
      <c r="G1497" s="54" t="s">
        <v>1089</v>
      </c>
      <c r="H1497" s="54" t="n">
        <v>21798</v>
      </c>
      <c r="I1497" s="54" t="s">
        <v>295</v>
      </c>
      <c r="J1497" s="54" t="s">
        <v>392</v>
      </c>
    </row>
    <row r="1498" customFormat="false" ht="15" hidden="false" customHeight="true" outlineLevel="0" collapsed="false">
      <c r="A1498" s="54" t="n">
        <v>20260710</v>
      </c>
      <c r="B1498" s="54" t="s">
        <v>306</v>
      </c>
      <c r="C1498" s="54" t="s">
        <v>307</v>
      </c>
      <c r="D1498" s="54" t="s">
        <v>3623</v>
      </c>
      <c r="E1498" s="54" t="s">
        <v>3624</v>
      </c>
      <c r="F1498" s="54" t="s">
        <v>3625</v>
      </c>
      <c r="G1498" s="54" t="s">
        <v>3626</v>
      </c>
      <c r="H1498" s="54" t="n">
        <v>9805</v>
      </c>
      <c r="I1498" s="54" t="s">
        <v>295</v>
      </c>
      <c r="J1498" s="54" t="s">
        <v>392</v>
      </c>
    </row>
    <row r="1499" customFormat="false" ht="15" hidden="false" customHeight="true" outlineLevel="0" collapsed="false">
      <c r="A1499" s="54" t="n">
        <v>20260710</v>
      </c>
      <c r="B1499" s="54" t="s">
        <v>306</v>
      </c>
      <c r="C1499" s="54" t="s">
        <v>307</v>
      </c>
      <c r="D1499" s="54" t="s">
        <v>3623</v>
      </c>
      <c r="E1499" s="54" t="s">
        <v>3624</v>
      </c>
      <c r="F1499" s="54" t="s">
        <v>3627</v>
      </c>
      <c r="G1499" s="54" t="s">
        <v>3628</v>
      </c>
      <c r="H1499" s="54" t="n">
        <v>9785</v>
      </c>
      <c r="I1499" s="54" t="s">
        <v>315</v>
      </c>
      <c r="J1499" s="54" t="s">
        <v>392</v>
      </c>
    </row>
    <row r="1500" customFormat="false" ht="15" hidden="false" customHeight="true" outlineLevel="0" collapsed="false">
      <c r="A1500" s="54" t="n">
        <v>20260710</v>
      </c>
      <c r="B1500" s="54" t="s">
        <v>306</v>
      </c>
      <c r="C1500" s="54" t="s">
        <v>307</v>
      </c>
      <c r="D1500" s="54" t="s">
        <v>3623</v>
      </c>
      <c r="E1500" s="54" t="s">
        <v>3624</v>
      </c>
      <c r="F1500" s="54" t="s">
        <v>3629</v>
      </c>
      <c r="G1500" s="54" t="s">
        <v>3630</v>
      </c>
      <c r="H1500" s="54" t="n">
        <v>273</v>
      </c>
      <c r="I1500" s="54" t="s">
        <v>295</v>
      </c>
      <c r="J1500" s="54" t="s">
        <v>392</v>
      </c>
    </row>
    <row r="1501" customFormat="false" ht="15" hidden="false" customHeight="true" outlineLevel="0" collapsed="false">
      <c r="A1501" s="54" t="n">
        <v>20260710</v>
      </c>
      <c r="B1501" s="54" t="s">
        <v>306</v>
      </c>
      <c r="C1501" s="54" t="s">
        <v>307</v>
      </c>
      <c r="D1501" s="54" t="s">
        <v>3623</v>
      </c>
      <c r="E1501" s="54" t="s">
        <v>3624</v>
      </c>
      <c r="F1501" s="54" t="s">
        <v>3631</v>
      </c>
      <c r="G1501" s="54" t="s">
        <v>722</v>
      </c>
      <c r="H1501" s="54" t="n">
        <v>652</v>
      </c>
      <c r="I1501" s="54" t="s">
        <v>295</v>
      </c>
      <c r="J1501" s="54" t="s">
        <v>392</v>
      </c>
    </row>
    <row r="1502" customFormat="false" ht="15" hidden="false" customHeight="true" outlineLevel="0" collapsed="false">
      <c r="A1502" s="54" t="n">
        <v>20260710</v>
      </c>
      <c r="B1502" s="54" t="s">
        <v>306</v>
      </c>
      <c r="C1502" s="54" t="s">
        <v>307</v>
      </c>
      <c r="D1502" s="54" t="s">
        <v>3623</v>
      </c>
      <c r="E1502" s="54" t="s">
        <v>3624</v>
      </c>
      <c r="F1502" s="54" t="s">
        <v>3632</v>
      </c>
      <c r="G1502" s="54" t="s">
        <v>722</v>
      </c>
      <c r="H1502" s="54" t="n">
        <v>651</v>
      </c>
      <c r="I1502" s="54" t="s">
        <v>315</v>
      </c>
      <c r="J1502" s="54" t="s">
        <v>392</v>
      </c>
    </row>
    <row r="1503" customFormat="false" ht="15" hidden="false" customHeight="true" outlineLevel="0" collapsed="false">
      <c r="A1503" s="54" t="n">
        <v>20260710</v>
      </c>
      <c r="B1503" s="54" t="s">
        <v>306</v>
      </c>
      <c r="C1503" s="54" t="s">
        <v>307</v>
      </c>
      <c r="D1503" s="54" t="s">
        <v>3633</v>
      </c>
      <c r="E1503" s="54" t="s">
        <v>3634</v>
      </c>
      <c r="F1503" s="54" t="s">
        <v>3635</v>
      </c>
      <c r="G1503" s="54" t="s">
        <v>3636</v>
      </c>
      <c r="H1503" s="54" t="n">
        <v>19261</v>
      </c>
      <c r="I1503" s="54" t="s">
        <v>295</v>
      </c>
      <c r="J1503" s="54" t="s">
        <v>312</v>
      </c>
    </row>
    <row r="1504" customFormat="false" ht="15" hidden="false" customHeight="true" outlineLevel="0" collapsed="false">
      <c r="A1504" s="54" t="n">
        <v>20260710</v>
      </c>
      <c r="B1504" s="54" t="s">
        <v>306</v>
      </c>
      <c r="C1504" s="54" t="s">
        <v>307</v>
      </c>
      <c r="D1504" s="54" t="s">
        <v>3633</v>
      </c>
      <c r="E1504" s="54" t="s">
        <v>3634</v>
      </c>
      <c r="F1504" s="54" t="s">
        <v>1666</v>
      </c>
      <c r="G1504" s="54" t="s">
        <v>1423</v>
      </c>
      <c r="H1504" s="54" t="n">
        <v>4</v>
      </c>
      <c r="I1504" s="54" t="s">
        <v>295</v>
      </c>
      <c r="J1504" s="54" t="s">
        <v>312</v>
      </c>
    </row>
    <row r="1505" customFormat="false" ht="15" hidden="false" customHeight="true" outlineLevel="0" collapsed="false">
      <c r="A1505" s="54" t="n">
        <v>20260710</v>
      </c>
      <c r="B1505" s="54" t="s">
        <v>306</v>
      </c>
      <c r="C1505" s="54" t="s">
        <v>307</v>
      </c>
      <c r="D1505" s="54" t="s">
        <v>3633</v>
      </c>
      <c r="E1505" s="54" t="s">
        <v>3634</v>
      </c>
      <c r="F1505" s="54" t="s">
        <v>3637</v>
      </c>
      <c r="G1505" s="54" t="s">
        <v>3638</v>
      </c>
      <c r="H1505" s="54" t="n">
        <v>319</v>
      </c>
      <c r="I1505" s="54" t="s">
        <v>295</v>
      </c>
      <c r="J1505" s="54" t="s">
        <v>312</v>
      </c>
    </row>
    <row r="1506" customFormat="false" ht="15" hidden="false" customHeight="true" outlineLevel="0" collapsed="false">
      <c r="A1506" s="54" t="n">
        <v>20260710</v>
      </c>
      <c r="B1506" s="54" t="s">
        <v>306</v>
      </c>
      <c r="C1506" s="54" t="s">
        <v>307</v>
      </c>
      <c r="D1506" s="54" t="s">
        <v>3633</v>
      </c>
      <c r="E1506" s="54" t="s">
        <v>3634</v>
      </c>
      <c r="F1506" s="54" t="s">
        <v>3639</v>
      </c>
      <c r="G1506" s="54" t="s">
        <v>2461</v>
      </c>
      <c r="H1506" s="54" t="n">
        <v>13345</v>
      </c>
      <c r="I1506" s="54" t="s">
        <v>295</v>
      </c>
      <c r="J1506" s="54" t="s">
        <v>312</v>
      </c>
    </row>
    <row r="1507" customFormat="false" ht="15" hidden="false" customHeight="true" outlineLevel="0" collapsed="false">
      <c r="A1507" s="54" t="n">
        <v>20260710</v>
      </c>
      <c r="B1507" s="54" t="s">
        <v>289</v>
      </c>
      <c r="C1507" s="54" t="s">
        <v>307</v>
      </c>
      <c r="D1507" s="54" t="s">
        <v>3640</v>
      </c>
      <c r="E1507" s="54" t="s">
        <v>3641</v>
      </c>
      <c r="F1507" s="54" t="s">
        <v>3642</v>
      </c>
      <c r="G1507" s="54" t="s">
        <v>2167</v>
      </c>
      <c r="H1507" s="54" t="n">
        <v>14018</v>
      </c>
      <c r="I1507" s="54" t="s">
        <v>295</v>
      </c>
      <c r="J1507" s="54" t="s">
        <v>707</v>
      </c>
    </row>
    <row r="1508" customFormat="false" ht="15" hidden="false" customHeight="true" outlineLevel="0" collapsed="false">
      <c r="A1508" s="54" t="n">
        <v>20260710</v>
      </c>
      <c r="B1508" s="54" t="s">
        <v>289</v>
      </c>
      <c r="C1508" s="54" t="s">
        <v>307</v>
      </c>
      <c r="D1508" s="54" t="s">
        <v>3640</v>
      </c>
      <c r="E1508" s="54" t="s">
        <v>3641</v>
      </c>
      <c r="F1508" s="54" t="s">
        <v>3643</v>
      </c>
      <c r="G1508" s="54" t="s">
        <v>3644</v>
      </c>
      <c r="H1508" s="54" t="n">
        <v>9740</v>
      </c>
      <c r="I1508" s="54" t="s">
        <v>295</v>
      </c>
      <c r="J1508" s="54" t="s">
        <v>707</v>
      </c>
    </row>
    <row r="1509" customFormat="false" ht="15" hidden="false" customHeight="true" outlineLevel="0" collapsed="false">
      <c r="A1509" s="54" t="n">
        <v>20260710</v>
      </c>
      <c r="B1509" s="54" t="s">
        <v>289</v>
      </c>
      <c r="C1509" s="54" t="s">
        <v>307</v>
      </c>
      <c r="D1509" s="54" t="s">
        <v>3640</v>
      </c>
      <c r="E1509" s="54" t="s">
        <v>3641</v>
      </c>
      <c r="F1509" s="54" t="s">
        <v>3645</v>
      </c>
      <c r="G1509" s="54" t="s">
        <v>3646</v>
      </c>
      <c r="H1509" s="54" t="n">
        <v>3876</v>
      </c>
      <c r="I1509" s="54" t="s">
        <v>295</v>
      </c>
      <c r="J1509" s="54" t="s">
        <v>707</v>
      </c>
    </row>
    <row r="1510" customFormat="false" ht="15" hidden="false" customHeight="true" outlineLevel="0" collapsed="false">
      <c r="A1510" s="54" t="n">
        <v>20260710</v>
      </c>
      <c r="B1510" s="54" t="s">
        <v>592</v>
      </c>
      <c r="C1510" s="54" t="s">
        <v>290</v>
      </c>
      <c r="D1510" s="54" t="s">
        <v>3647</v>
      </c>
      <c r="E1510" s="54" t="s">
        <v>3648</v>
      </c>
      <c r="F1510" s="54" t="s">
        <v>3649</v>
      </c>
      <c r="G1510" s="54" t="s">
        <v>3650</v>
      </c>
      <c r="H1510" s="54" t="n">
        <v>12078</v>
      </c>
      <c r="I1510" s="54" t="s">
        <v>295</v>
      </c>
      <c r="J1510" s="54" t="s">
        <v>1381</v>
      </c>
    </row>
    <row r="1511" customFormat="false" ht="15" hidden="false" customHeight="true" outlineLevel="0" collapsed="false">
      <c r="A1511" s="54" t="n">
        <v>20260710</v>
      </c>
      <c r="B1511" s="54" t="s">
        <v>592</v>
      </c>
      <c r="C1511" s="54" t="s">
        <v>290</v>
      </c>
      <c r="D1511" s="54" t="s">
        <v>3647</v>
      </c>
      <c r="E1511" s="54" t="s">
        <v>3648</v>
      </c>
      <c r="F1511" s="54" t="s">
        <v>3651</v>
      </c>
      <c r="G1511" s="54" t="s">
        <v>905</v>
      </c>
      <c r="H1511" s="54" t="n">
        <v>17054</v>
      </c>
      <c r="I1511" s="54" t="s">
        <v>295</v>
      </c>
      <c r="J1511" s="54" t="s">
        <v>1381</v>
      </c>
    </row>
    <row r="1512" customFormat="false" ht="15" hidden="false" customHeight="true" outlineLevel="0" collapsed="false">
      <c r="A1512" s="54" t="n">
        <v>20260710</v>
      </c>
      <c r="B1512" s="54" t="s">
        <v>168</v>
      </c>
      <c r="C1512" s="54" t="s">
        <v>290</v>
      </c>
      <c r="D1512" s="54" t="s">
        <v>3652</v>
      </c>
      <c r="E1512" s="54" t="s">
        <v>3653</v>
      </c>
      <c r="F1512" s="54" t="s">
        <v>3654</v>
      </c>
      <c r="G1512" s="54" t="s">
        <v>3655</v>
      </c>
      <c r="H1512" s="54" t="n">
        <v>14405</v>
      </c>
      <c r="I1512" s="54" t="s">
        <v>295</v>
      </c>
      <c r="J1512" s="54" t="s">
        <v>818</v>
      </c>
    </row>
    <row r="1513" customFormat="false" ht="15" hidden="false" customHeight="true" outlineLevel="0" collapsed="false">
      <c r="A1513" s="54" t="n">
        <v>20260710</v>
      </c>
      <c r="B1513" s="54" t="s">
        <v>168</v>
      </c>
      <c r="C1513" s="54" t="s">
        <v>290</v>
      </c>
      <c r="D1513" s="54" t="s">
        <v>3652</v>
      </c>
      <c r="E1513" s="54" t="s">
        <v>3653</v>
      </c>
      <c r="F1513" s="54" t="s">
        <v>3656</v>
      </c>
      <c r="G1513" s="54" t="s">
        <v>3657</v>
      </c>
      <c r="H1513" s="54" t="n">
        <v>14351</v>
      </c>
      <c r="I1513" s="54" t="s">
        <v>295</v>
      </c>
      <c r="J1513" s="54" t="s">
        <v>818</v>
      </c>
    </row>
    <row r="1514" customFormat="false" ht="15" hidden="false" customHeight="true" outlineLevel="0" collapsed="false">
      <c r="A1514" s="54" t="n">
        <v>20260710</v>
      </c>
      <c r="B1514" s="54" t="s">
        <v>306</v>
      </c>
      <c r="C1514" s="54" t="s">
        <v>290</v>
      </c>
      <c r="D1514" s="54" t="s">
        <v>3658</v>
      </c>
      <c r="E1514" s="54" t="s">
        <v>3659</v>
      </c>
      <c r="F1514" s="54" t="s">
        <v>3660</v>
      </c>
      <c r="G1514" s="54" t="s">
        <v>3661</v>
      </c>
      <c r="H1514" s="54" t="n">
        <v>17999</v>
      </c>
      <c r="I1514" s="54" t="s">
        <v>295</v>
      </c>
      <c r="J1514" s="54" t="s">
        <v>368</v>
      </c>
    </row>
    <row r="1515" customFormat="false" ht="15" hidden="false" customHeight="true" outlineLevel="0" collapsed="false">
      <c r="A1515" s="54" t="n">
        <v>20260710</v>
      </c>
      <c r="B1515" s="54" t="s">
        <v>306</v>
      </c>
      <c r="C1515" s="54" t="s">
        <v>290</v>
      </c>
      <c r="D1515" s="54" t="s">
        <v>3658</v>
      </c>
      <c r="E1515" s="54" t="s">
        <v>3659</v>
      </c>
      <c r="F1515" s="54" t="s">
        <v>3662</v>
      </c>
      <c r="G1515" s="54" t="s">
        <v>3661</v>
      </c>
      <c r="H1515" s="54" t="n">
        <v>17990</v>
      </c>
      <c r="I1515" s="54" t="s">
        <v>315</v>
      </c>
      <c r="J1515" s="54" t="s">
        <v>368</v>
      </c>
    </row>
    <row r="1516" customFormat="false" ht="15" hidden="false" customHeight="true" outlineLevel="0" collapsed="false">
      <c r="A1516" s="54" t="n">
        <v>20260710</v>
      </c>
      <c r="B1516" s="54" t="s">
        <v>306</v>
      </c>
      <c r="C1516" s="54" t="s">
        <v>290</v>
      </c>
      <c r="D1516" s="54" t="s">
        <v>3658</v>
      </c>
      <c r="E1516" s="54" t="s">
        <v>3659</v>
      </c>
      <c r="F1516" s="54" t="s">
        <v>3663</v>
      </c>
      <c r="G1516" s="54" t="s">
        <v>3664</v>
      </c>
      <c r="H1516" s="54" t="n">
        <v>10695</v>
      </c>
      <c r="I1516" s="54" t="s">
        <v>295</v>
      </c>
      <c r="J1516" s="54" t="s">
        <v>368</v>
      </c>
    </row>
    <row r="1517" customFormat="false" ht="15" hidden="false" customHeight="true" outlineLevel="0" collapsed="false">
      <c r="A1517" s="54" t="n">
        <v>20260710</v>
      </c>
      <c r="B1517" s="54" t="s">
        <v>306</v>
      </c>
      <c r="C1517" s="54" t="s">
        <v>290</v>
      </c>
      <c r="D1517" s="54" t="s">
        <v>3658</v>
      </c>
      <c r="E1517" s="54" t="s">
        <v>3659</v>
      </c>
      <c r="F1517" s="54" t="s">
        <v>3665</v>
      </c>
      <c r="G1517" s="54" t="s">
        <v>3664</v>
      </c>
      <c r="H1517" s="54" t="n">
        <v>10694</v>
      </c>
      <c r="I1517" s="54" t="s">
        <v>315</v>
      </c>
      <c r="J1517" s="54" t="s">
        <v>368</v>
      </c>
    </row>
    <row r="1518" customFormat="false" ht="15" hidden="false" customHeight="true" outlineLevel="0" collapsed="false">
      <c r="A1518" s="54" t="n">
        <v>20260710</v>
      </c>
      <c r="B1518" s="54" t="s">
        <v>306</v>
      </c>
      <c r="C1518" s="54" t="s">
        <v>290</v>
      </c>
      <c r="D1518" s="54" t="s">
        <v>3666</v>
      </c>
      <c r="E1518" s="54" t="s">
        <v>3667</v>
      </c>
      <c r="F1518" s="54" t="s">
        <v>3668</v>
      </c>
      <c r="G1518" s="54" t="s">
        <v>3669</v>
      </c>
      <c r="H1518" s="54" t="n">
        <v>10612</v>
      </c>
      <c r="I1518" s="54" t="s">
        <v>1642</v>
      </c>
      <c r="J1518" s="54" t="s">
        <v>1067</v>
      </c>
    </row>
    <row r="1519" customFormat="false" ht="15" hidden="false" customHeight="true" outlineLevel="0" collapsed="false">
      <c r="A1519" s="54" t="n">
        <v>20260710</v>
      </c>
      <c r="B1519" s="54" t="s">
        <v>306</v>
      </c>
      <c r="C1519" s="54" t="s">
        <v>290</v>
      </c>
      <c r="D1519" s="54" t="s">
        <v>3666</v>
      </c>
      <c r="E1519" s="54" t="s">
        <v>3667</v>
      </c>
      <c r="F1519" s="54" t="s">
        <v>3668</v>
      </c>
      <c r="G1519" s="54" t="s">
        <v>3670</v>
      </c>
      <c r="H1519" s="54" t="n">
        <v>10716</v>
      </c>
      <c r="I1519" s="54" t="s">
        <v>295</v>
      </c>
      <c r="J1519" s="54" t="s">
        <v>1067</v>
      </c>
    </row>
    <row r="1520" customFormat="false" ht="15" hidden="false" customHeight="true" outlineLevel="0" collapsed="false">
      <c r="A1520" s="54" t="n">
        <v>20260710</v>
      </c>
      <c r="B1520" s="54" t="s">
        <v>306</v>
      </c>
      <c r="C1520" s="54" t="s">
        <v>290</v>
      </c>
      <c r="D1520" s="54" t="s">
        <v>3666</v>
      </c>
      <c r="E1520" s="54" t="s">
        <v>3667</v>
      </c>
      <c r="F1520" s="54" t="s">
        <v>3671</v>
      </c>
      <c r="G1520" s="54" t="s">
        <v>3672</v>
      </c>
      <c r="H1520" s="54" t="n">
        <v>450</v>
      </c>
      <c r="I1520" s="54" t="s">
        <v>295</v>
      </c>
      <c r="J1520" s="54" t="s">
        <v>1067</v>
      </c>
    </row>
    <row r="1521" customFormat="false" ht="15" hidden="false" customHeight="true" outlineLevel="0" collapsed="false">
      <c r="A1521" s="54" t="n">
        <v>20260710</v>
      </c>
      <c r="B1521" s="54" t="s">
        <v>306</v>
      </c>
      <c r="C1521" s="54" t="s">
        <v>290</v>
      </c>
      <c r="D1521" s="54" t="s">
        <v>3666</v>
      </c>
      <c r="E1521" s="54" t="s">
        <v>3667</v>
      </c>
      <c r="F1521" s="54" t="s">
        <v>3673</v>
      </c>
      <c r="G1521" s="54" t="s">
        <v>3674</v>
      </c>
      <c r="H1521" s="54" t="n">
        <v>3625</v>
      </c>
      <c r="I1521" s="54" t="s">
        <v>295</v>
      </c>
      <c r="J1521" s="54" t="s">
        <v>1067</v>
      </c>
    </row>
    <row r="1522" customFormat="false" ht="15" hidden="false" customHeight="true" outlineLevel="0" collapsed="false">
      <c r="A1522" s="54" t="n">
        <v>20260710</v>
      </c>
      <c r="B1522" s="54" t="s">
        <v>306</v>
      </c>
      <c r="C1522" s="54" t="s">
        <v>290</v>
      </c>
      <c r="D1522" s="54" t="s">
        <v>3666</v>
      </c>
      <c r="E1522" s="54" t="s">
        <v>3667</v>
      </c>
      <c r="F1522" s="54" t="s">
        <v>3675</v>
      </c>
      <c r="G1522" s="54" t="s">
        <v>3674</v>
      </c>
      <c r="H1522" s="54" t="n">
        <v>3624</v>
      </c>
      <c r="I1522" s="54" t="s">
        <v>1642</v>
      </c>
      <c r="J1522" s="54" t="s">
        <v>1067</v>
      </c>
    </row>
    <row r="1523" customFormat="false" ht="15" hidden="false" customHeight="true" outlineLevel="0" collapsed="false">
      <c r="A1523" s="54" t="n">
        <v>20260710</v>
      </c>
      <c r="B1523" s="54" t="s">
        <v>306</v>
      </c>
      <c r="C1523" s="54" t="s">
        <v>290</v>
      </c>
      <c r="D1523" s="54" t="s">
        <v>3666</v>
      </c>
      <c r="E1523" s="54" t="s">
        <v>3667</v>
      </c>
      <c r="F1523" s="54" t="s">
        <v>3676</v>
      </c>
      <c r="G1523" s="54" t="s">
        <v>3677</v>
      </c>
      <c r="H1523" s="54" t="n">
        <v>6</v>
      </c>
      <c r="I1523" s="54" t="s">
        <v>1642</v>
      </c>
      <c r="J1523" s="54" t="s">
        <v>1067</v>
      </c>
    </row>
    <row r="1524" customFormat="false" ht="15" hidden="false" customHeight="true" outlineLevel="0" collapsed="false">
      <c r="A1524" s="54" t="n">
        <v>20260710</v>
      </c>
      <c r="B1524" s="54" t="s">
        <v>306</v>
      </c>
      <c r="C1524" s="54" t="s">
        <v>290</v>
      </c>
      <c r="D1524" s="54" t="s">
        <v>3666</v>
      </c>
      <c r="E1524" s="54" t="s">
        <v>3667</v>
      </c>
      <c r="F1524" s="54" t="s">
        <v>3676</v>
      </c>
      <c r="G1524" s="54" t="s">
        <v>3677</v>
      </c>
      <c r="H1524" s="54" t="n">
        <v>6</v>
      </c>
      <c r="I1524" s="54" t="s">
        <v>295</v>
      </c>
      <c r="J1524" s="54" t="s">
        <v>1067</v>
      </c>
    </row>
    <row r="1525" customFormat="false" ht="15" hidden="false" customHeight="true" outlineLevel="0" collapsed="false">
      <c r="A1525" s="54" t="n">
        <v>20260710</v>
      </c>
      <c r="B1525" s="54" t="s">
        <v>306</v>
      </c>
      <c r="C1525" s="54" t="s">
        <v>290</v>
      </c>
      <c r="D1525" s="54" t="s">
        <v>3666</v>
      </c>
      <c r="E1525" s="54" t="s">
        <v>3667</v>
      </c>
      <c r="F1525" s="54" t="s">
        <v>3678</v>
      </c>
      <c r="G1525" s="54" t="s">
        <v>1048</v>
      </c>
      <c r="H1525" s="54" t="n">
        <v>4</v>
      </c>
      <c r="I1525" s="54" t="s">
        <v>1642</v>
      </c>
      <c r="J1525" s="54" t="s">
        <v>1067</v>
      </c>
    </row>
    <row r="1526" customFormat="false" ht="15" hidden="false" customHeight="true" outlineLevel="0" collapsed="false">
      <c r="A1526" s="54" t="n">
        <v>20260710</v>
      </c>
      <c r="B1526" s="54" t="s">
        <v>306</v>
      </c>
      <c r="C1526" s="54" t="s">
        <v>290</v>
      </c>
      <c r="D1526" s="54" t="s">
        <v>3666</v>
      </c>
      <c r="E1526" s="54" t="s">
        <v>3667</v>
      </c>
      <c r="F1526" s="54" t="s">
        <v>3678</v>
      </c>
      <c r="G1526" s="54" t="s">
        <v>3679</v>
      </c>
      <c r="H1526" s="54" t="n">
        <v>14382</v>
      </c>
      <c r="I1526" s="54" t="s">
        <v>295</v>
      </c>
      <c r="J1526" s="54" t="s">
        <v>1067</v>
      </c>
    </row>
    <row r="1527" customFormat="false" ht="15" hidden="false" customHeight="true" outlineLevel="0" collapsed="false">
      <c r="A1527" s="54" t="n">
        <v>20260710</v>
      </c>
      <c r="B1527" s="54" t="s">
        <v>688</v>
      </c>
      <c r="C1527" s="54" t="s">
        <v>307</v>
      </c>
      <c r="D1527" s="54" t="s">
        <v>3680</v>
      </c>
      <c r="E1527" s="54" t="s">
        <v>154</v>
      </c>
      <c r="F1527" s="54" t="s">
        <v>3681</v>
      </c>
      <c r="G1527" s="54" t="s">
        <v>3682</v>
      </c>
      <c r="H1527" s="54" t="n">
        <v>18252</v>
      </c>
      <c r="I1527" s="54" t="s">
        <v>295</v>
      </c>
      <c r="J1527" s="54" t="s">
        <v>142</v>
      </c>
    </row>
    <row r="1528" customFormat="false" ht="15" hidden="false" customHeight="true" outlineLevel="0" collapsed="false">
      <c r="A1528" s="54" t="n">
        <v>20260710</v>
      </c>
      <c r="B1528" s="54" t="s">
        <v>688</v>
      </c>
      <c r="C1528" s="54" t="s">
        <v>307</v>
      </c>
      <c r="D1528" s="54" t="s">
        <v>3680</v>
      </c>
      <c r="E1528" s="54" t="s">
        <v>154</v>
      </c>
      <c r="F1528" s="54" t="s">
        <v>3683</v>
      </c>
      <c r="G1528" s="54" t="s">
        <v>929</v>
      </c>
      <c r="H1528" s="54" t="n">
        <v>14390</v>
      </c>
      <c r="I1528" s="54" t="s">
        <v>295</v>
      </c>
      <c r="J1528" s="54" t="s">
        <v>142</v>
      </c>
    </row>
    <row r="1529" customFormat="false" ht="15" hidden="false" customHeight="true" outlineLevel="0" collapsed="false">
      <c r="A1529" s="54" t="n">
        <v>20260710</v>
      </c>
      <c r="B1529" s="54" t="s">
        <v>289</v>
      </c>
      <c r="C1529" s="54" t="s">
        <v>290</v>
      </c>
      <c r="D1529" s="54" t="s">
        <v>419</v>
      </c>
      <c r="E1529" s="54" t="s">
        <v>420</v>
      </c>
      <c r="F1529" s="54" t="s">
        <v>3684</v>
      </c>
      <c r="G1529" s="54" t="s">
        <v>2150</v>
      </c>
      <c r="H1529" s="54" t="n">
        <v>14310</v>
      </c>
      <c r="I1529" s="54" t="s">
        <v>360</v>
      </c>
      <c r="J1529" s="54" t="s">
        <v>423</v>
      </c>
    </row>
    <row r="1530" customFormat="false" ht="15" hidden="false" customHeight="true" outlineLevel="0" collapsed="false">
      <c r="A1530" s="54" t="n">
        <v>20260710</v>
      </c>
      <c r="B1530" s="54" t="s">
        <v>289</v>
      </c>
      <c r="C1530" s="54" t="s">
        <v>290</v>
      </c>
      <c r="D1530" s="54" t="s">
        <v>419</v>
      </c>
      <c r="E1530" s="54" t="s">
        <v>420</v>
      </c>
      <c r="F1530" s="54" t="s">
        <v>3684</v>
      </c>
      <c r="G1530" s="54" t="s">
        <v>2150</v>
      </c>
      <c r="H1530" s="54" t="n">
        <v>14310</v>
      </c>
      <c r="I1530" s="54" t="s">
        <v>295</v>
      </c>
      <c r="J1530" s="54" t="s">
        <v>423</v>
      </c>
    </row>
    <row r="1531" customFormat="false" ht="15" hidden="false" customHeight="true" outlineLevel="0" collapsed="false">
      <c r="A1531" s="54" t="n">
        <v>20260710</v>
      </c>
      <c r="B1531" s="54" t="s">
        <v>289</v>
      </c>
      <c r="C1531" s="54" t="s">
        <v>290</v>
      </c>
      <c r="D1531" s="54" t="s">
        <v>419</v>
      </c>
      <c r="E1531" s="54" t="s">
        <v>420</v>
      </c>
      <c r="F1531" s="54" t="s">
        <v>3685</v>
      </c>
      <c r="G1531" s="54" t="s">
        <v>3686</v>
      </c>
      <c r="H1531" s="54" t="n">
        <v>3147</v>
      </c>
      <c r="I1531" s="54" t="s">
        <v>295</v>
      </c>
      <c r="J1531" s="54" t="s">
        <v>423</v>
      </c>
    </row>
    <row r="1532" customFormat="false" ht="15" hidden="false" customHeight="true" outlineLevel="0" collapsed="false">
      <c r="A1532" s="54" t="n">
        <v>20260710</v>
      </c>
      <c r="B1532" s="54" t="s">
        <v>289</v>
      </c>
      <c r="C1532" s="54" t="s">
        <v>290</v>
      </c>
      <c r="D1532" s="54" t="s">
        <v>419</v>
      </c>
      <c r="E1532" s="54" t="s">
        <v>420</v>
      </c>
      <c r="F1532" s="54" t="s">
        <v>3685</v>
      </c>
      <c r="G1532" s="54" t="s">
        <v>3687</v>
      </c>
      <c r="H1532" s="54" t="n">
        <v>3150</v>
      </c>
      <c r="I1532" s="54" t="s">
        <v>360</v>
      </c>
      <c r="J1532" s="54" t="s">
        <v>423</v>
      </c>
    </row>
    <row r="1533" customFormat="false" ht="15" hidden="false" customHeight="true" outlineLevel="0" collapsed="false">
      <c r="A1533" s="54" t="n">
        <v>20260710</v>
      </c>
      <c r="B1533" s="54" t="s">
        <v>289</v>
      </c>
      <c r="C1533" s="54" t="s">
        <v>290</v>
      </c>
      <c r="D1533" s="54" t="s">
        <v>419</v>
      </c>
      <c r="E1533" s="54" t="s">
        <v>420</v>
      </c>
      <c r="F1533" s="54" t="s">
        <v>3688</v>
      </c>
      <c r="G1533" s="54" t="s">
        <v>1989</v>
      </c>
      <c r="H1533" s="54" t="n">
        <v>11129</v>
      </c>
      <c r="I1533" s="54" t="s">
        <v>295</v>
      </c>
      <c r="J1533" s="54" t="s">
        <v>423</v>
      </c>
    </row>
    <row r="1534" customFormat="false" ht="15" hidden="false" customHeight="true" outlineLevel="0" collapsed="false">
      <c r="A1534" s="54" t="n">
        <v>20260710</v>
      </c>
      <c r="B1534" s="54" t="s">
        <v>289</v>
      </c>
      <c r="C1534" s="54" t="s">
        <v>290</v>
      </c>
      <c r="D1534" s="54" t="s">
        <v>419</v>
      </c>
      <c r="E1534" s="54" t="s">
        <v>420</v>
      </c>
      <c r="F1534" s="54" t="s">
        <v>3689</v>
      </c>
      <c r="G1534" s="54" t="s">
        <v>1989</v>
      </c>
      <c r="H1534" s="54" t="n">
        <v>11128</v>
      </c>
      <c r="I1534" s="54" t="s">
        <v>360</v>
      </c>
      <c r="J1534" s="54" t="s">
        <v>423</v>
      </c>
    </row>
    <row r="1535" customFormat="false" ht="15" hidden="false" customHeight="true" outlineLevel="0" collapsed="false">
      <c r="A1535" s="54" t="n">
        <v>20260710</v>
      </c>
      <c r="B1535" s="54" t="s">
        <v>535</v>
      </c>
      <c r="C1535" s="54" t="s">
        <v>290</v>
      </c>
      <c r="D1535" s="54" t="s">
        <v>3690</v>
      </c>
      <c r="E1535" s="54" t="s">
        <v>3691</v>
      </c>
      <c r="F1535" s="54" t="s">
        <v>3692</v>
      </c>
      <c r="G1535" s="54" t="s">
        <v>804</v>
      </c>
      <c r="H1535" s="54" t="n">
        <v>14305</v>
      </c>
      <c r="I1535" s="54" t="s">
        <v>295</v>
      </c>
      <c r="J1535" s="54" t="s">
        <v>677</v>
      </c>
    </row>
    <row r="1536" customFormat="false" ht="15" hidden="false" customHeight="true" outlineLevel="0" collapsed="false">
      <c r="A1536" s="54" t="n">
        <v>20260710</v>
      </c>
      <c r="B1536" s="54" t="s">
        <v>535</v>
      </c>
      <c r="C1536" s="54" t="s">
        <v>290</v>
      </c>
      <c r="D1536" s="54" t="s">
        <v>3690</v>
      </c>
      <c r="E1536" s="54" t="s">
        <v>3691</v>
      </c>
      <c r="F1536" s="54" t="s">
        <v>3693</v>
      </c>
      <c r="G1536" s="54" t="s">
        <v>3694</v>
      </c>
      <c r="H1536" s="54" t="n">
        <v>3012</v>
      </c>
      <c r="I1536" s="54" t="s">
        <v>295</v>
      </c>
      <c r="J1536" s="54" t="s">
        <v>677</v>
      </c>
    </row>
    <row r="1537" customFormat="false" ht="15" hidden="false" customHeight="true" outlineLevel="0" collapsed="false">
      <c r="A1537" s="54" t="n">
        <v>20260710</v>
      </c>
      <c r="B1537" s="54" t="s">
        <v>535</v>
      </c>
      <c r="C1537" s="54" t="s">
        <v>290</v>
      </c>
      <c r="D1537" s="54" t="s">
        <v>3690</v>
      </c>
      <c r="E1537" s="54" t="s">
        <v>3691</v>
      </c>
      <c r="F1537" s="54" t="s">
        <v>3695</v>
      </c>
      <c r="G1537" s="54" t="s">
        <v>1958</v>
      </c>
      <c r="H1537" s="54" t="n">
        <v>11318</v>
      </c>
      <c r="I1537" s="54" t="s">
        <v>295</v>
      </c>
      <c r="J1537" s="54" t="s">
        <v>677</v>
      </c>
    </row>
    <row r="1538" customFormat="false" ht="15" hidden="false" customHeight="true" outlineLevel="0" collapsed="false">
      <c r="A1538" s="54" t="n">
        <v>20260710</v>
      </c>
      <c r="B1538" s="54" t="s">
        <v>535</v>
      </c>
      <c r="C1538" s="54" t="s">
        <v>290</v>
      </c>
      <c r="D1538" s="54" t="s">
        <v>3696</v>
      </c>
      <c r="E1538" s="54" t="s">
        <v>3697</v>
      </c>
      <c r="F1538" s="54" t="s">
        <v>3698</v>
      </c>
      <c r="G1538" s="54" t="s">
        <v>3699</v>
      </c>
      <c r="H1538" s="54" t="n">
        <v>14041</v>
      </c>
      <c r="I1538" s="54" t="s">
        <v>295</v>
      </c>
      <c r="J1538" s="54" t="s">
        <v>1984</v>
      </c>
    </row>
    <row r="1539" customFormat="false" ht="15" hidden="false" customHeight="true" outlineLevel="0" collapsed="false">
      <c r="A1539" s="54" t="n">
        <v>20260710</v>
      </c>
      <c r="B1539" s="54" t="s">
        <v>535</v>
      </c>
      <c r="C1539" s="54" t="s">
        <v>290</v>
      </c>
      <c r="D1539" s="54" t="s">
        <v>3696</v>
      </c>
      <c r="E1539" s="54" t="s">
        <v>3697</v>
      </c>
      <c r="F1539" s="54" t="s">
        <v>3700</v>
      </c>
      <c r="G1539" s="54" t="s">
        <v>1195</v>
      </c>
      <c r="H1539" s="54" t="n">
        <v>14178</v>
      </c>
      <c r="I1539" s="54" t="s">
        <v>295</v>
      </c>
      <c r="J1539" s="54" t="s">
        <v>1984</v>
      </c>
    </row>
    <row r="1540" customFormat="false" ht="15" hidden="false" customHeight="true" outlineLevel="0" collapsed="false">
      <c r="A1540" s="54" t="n">
        <v>20260710</v>
      </c>
      <c r="B1540" s="54" t="s">
        <v>289</v>
      </c>
      <c r="C1540" s="54" t="s">
        <v>290</v>
      </c>
      <c r="D1540" s="54" t="s">
        <v>3701</v>
      </c>
      <c r="E1540" s="54" t="s">
        <v>3702</v>
      </c>
      <c r="F1540" s="54" t="s">
        <v>3703</v>
      </c>
      <c r="G1540" s="54" t="s">
        <v>3704</v>
      </c>
      <c r="H1540" s="54" t="n">
        <v>634</v>
      </c>
      <c r="I1540" s="54" t="s">
        <v>295</v>
      </c>
      <c r="J1540" s="54" t="s">
        <v>631</v>
      </c>
    </row>
    <row r="1541" customFormat="false" ht="15" hidden="false" customHeight="true" outlineLevel="0" collapsed="false">
      <c r="A1541" s="54" t="n">
        <v>20260710</v>
      </c>
      <c r="B1541" s="54" t="s">
        <v>289</v>
      </c>
      <c r="C1541" s="54" t="s">
        <v>290</v>
      </c>
      <c r="D1541" s="54" t="s">
        <v>3701</v>
      </c>
      <c r="E1541" s="54" t="s">
        <v>3702</v>
      </c>
      <c r="F1541" s="54" t="s">
        <v>3705</v>
      </c>
      <c r="G1541" s="54" t="s">
        <v>3706</v>
      </c>
      <c r="H1541" s="54" t="n">
        <v>9439</v>
      </c>
      <c r="I1541" s="54" t="s">
        <v>295</v>
      </c>
      <c r="J1541" s="54" t="s">
        <v>631</v>
      </c>
    </row>
    <row r="1542" customFormat="false" ht="15" hidden="false" customHeight="true" outlineLevel="0" collapsed="false">
      <c r="A1542" s="54" t="n">
        <v>20260710</v>
      </c>
      <c r="B1542" s="54" t="s">
        <v>289</v>
      </c>
      <c r="C1542" s="54" t="s">
        <v>290</v>
      </c>
      <c r="D1542" s="54" t="s">
        <v>3701</v>
      </c>
      <c r="E1542" s="54" t="s">
        <v>3702</v>
      </c>
      <c r="F1542" s="54" t="s">
        <v>3707</v>
      </c>
      <c r="G1542" s="54" t="s">
        <v>3708</v>
      </c>
      <c r="H1542" s="54" t="n">
        <v>8416</v>
      </c>
      <c r="I1542" s="54" t="s">
        <v>295</v>
      </c>
      <c r="J1542" s="54" t="s">
        <v>631</v>
      </c>
    </row>
    <row r="1543" customFormat="false" ht="15" hidden="false" customHeight="true" outlineLevel="0" collapsed="false">
      <c r="A1543" s="54" t="n">
        <v>20260710</v>
      </c>
      <c r="B1543" s="54" t="s">
        <v>289</v>
      </c>
      <c r="C1543" s="54" t="s">
        <v>290</v>
      </c>
      <c r="D1543" s="54" t="s">
        <v>3701</v>
      </c>
      <c r="E1543" s="54" t="s">
        <v>3702</v>
      </c>
      <c r="F1543" s="54" t="s">
        <v>2794</v>
      </c>
      <c r="G1543" s="54" t="s">
        <v>3709</v>
      </c>
      <c r="H1543" s="54" t="n">
        <v>3023</v>
      </c>
      <c r="I1543" s="54" t="s">
        <v>295</v>
      </c>
      <c r="J1543" s="54" t="s">
        <v>631</v>
      </c>
    </row>
    <row r="1544" customFormat="false" ht="15" hidden="false" customHeight="true" outlineLevel="0" collapsed="false">
      <c r="A1544" s="54" t="n">
        <v>20260710</v>
      </c>
      <c r="B1544" s="54" t="s">
        <v>289</v>
      </c>
      <c r="C1544" s="54" t="s">
        <v>290</v>
      </c>
      <c r="D1544" s="54" t="s">
        <v>3701</v>
      </c>
      <c r="E1544" s="54" t="s">
        <v>3702</v>
      </c>
      <c r="F1544" s="54" t="s">
        <v>1536</v>
      </c>
      <c r="G1544" s="54" t="s">
        <v>3710</v>
      </c>
      <c r="H1544" s="54" t="n">
        <v>7548</v>
      </c>
      <c r="I1544" s="54" t="s">
        <v>295</v>
      </c>
      <c r="J1544" s="54" t="s">
        <v>631</v>
      </c>
    </row>
    <row r="1545" customFormat="false" ht="15" hidden="false" customHeight="true" outlineLevel="0" collapsed="false">
      <c r="A1545" s="54" t="n">
        <v>20260710</v>
      </c>
      <c r="B1545" s="54" t="s">
        <v>757</v>
      </c>
      <c r="C1545" s="54" t="s">
        <v>307</v>
      </c>
      <c r="D1545" s="54" t="s">
        <v>3711</v>
      </c>
      <c r="E1545" s="54" t="s">
        <v>3712</v>
      </c>
      <c r="F1545" s="54" t="s">
        <v>3713</v>
      </c>
      <c r="G1545" s="54" t="s">
        <v>3714</v>
      </c>
      <c r="H1545" s="54" t="n">
        <v>17849</v>
      </c>
      <c r="I1545" s="54" t="s">
        <v>295</v>
      </c>
      <c r="J1545" s="54" t="s">
        <v>762</v>
      </c>
    </row>
    <row r="1546" customFormat="false" ht="15" hidden="false" customHeight="true" outlineLevel="0" collapsed="false">
      <c r="A1546" s="54" t="n">
        <v>20260710</v>
      </c>
      <c r="B1546" s="54" t="s">
        <v>757</v>
      </c>
      <c r="C1546" s="54" t="s">
        <v>307</v>
      </c>
      <c r="D1546" s="54" t="s">
        <v>3711</v>
      </c>
      <c r="E1546" s="54" t="s">
        <v>3712</v>
      </c>
      <c r="F1546" s="54" t="s">
        <v>3715</v>
      </c>
      <c r="G1546" s="54" t="s">
        <v>984</v>
      </c>
      <c r="H1546" s="54" t="n">
        <v>10810</v>
      </c>
      <c r="I1546" s="54" t="s">
        <v>295</v>
      </c>
      <c r="J1546" s="54" t="s">
        <v>762</v>
      </c>
    </row>
    <row r="1547" customFormat="false" ht="15" hidden="false" customHeight="true" outlineLevel="0" collapsed="false">
      <c r="A1547" s="54" t="n">
        <v>20260710</v>
      </c>
      <c r="B1547" s="54" t="s">
        <v>688</v>
      </c>
      <c r="C1547" s="54" t="s">
        <v>307</v>
      </c>
      <c r="D1547" s="54" t="s">
        <v>3716</v>
      </c>
      <c r="E1547" s="54" t="s">
        <v>218</v>
      </c>
      <c r="F1547" s="54" t="s">
        <v>3717</v>
      </c>
      <c r="G1547" s="54" t="s">
        <v>3718</v>
      </c>
      <c r="H1547" s="54" t="n">
        <v>18606</v>
      </c>
      <c r="I1547" s="54" t="s">
        <v>295</v>
      </c>
      <c r="J1547" s="54" t="s">
        <v>745</v>
      </c>
    </row>
    <row r="1548" customFormat="false" ht="15" hidden="false" customHeight="true" outlineLevel="0" collapsed="false">
      <c r="A1548" s="54" t="n">
        <v>20260710</v>
      </c>
      <c r="B1548" s="54" t="s">
        <v>688</v>
      </c>
      <c r="C1548" s="54" t="s">
        <v>307</v>
      </c>
      <c r="D1548" s="54" t="s">
        <v>3716</v>
      </c>
      <c r="E1548" s="54" t="s">
        <v>218</v>
      </c>
      <c r="F1548" s="54" t="s">
        <v>3719</v>
      </c>
      <c r="G1548" s="54" t="s">
        <v>3720</v>
      </c>
      <c r="H1548" s="54" t="n">
        <v>24</v>
      </c>
      <c r="I1548" s="54" t="s">
        <v>295</v>
      </c>
      <c r="J1548" s="54" t="s">
        <v>745</v>
      </c>
    </row>
    <row r="1549" customFormat="false" ht="15" hidden="false" customHeight="true" outlineLevel="0" collapsed="false">
      <c r="A1549" s="54" t="n">
        <v>20260710</v>
      </c>
      <c r="B1549" s="54" t="s">
        <v>688</v>
      </c>
      <c r="C1549" s="54" t="s">
        <v>307</v>
      </c>
      <c r="D1549" s="54" t="s">
        <v>3716</v>
      </c>
      <c r="E1549" s="54" t="s">
        <v>218</v>
      </c>
      <c r="F1549" s="54" t="s">
        <v>3721</v>
      </c>
      <c r="G1549" s="54" t="s">
        <v>984</v>
      </c>
      <c r="H1549" s="54" t="n">
        <v>14115</v>
      </c>
      <c r="I1549" s="54" t="s">
        <v>295</v>
      </c>
      <c r="J1549" s="54" t="s">
        <v>745</v>
      </c>
    </row>
    <row r="1550" customFormat="false" ht="15" hidden="false" customHeight="true" outlineLevel="0" collapsed="false">
      <c r="A1550" s="54" t="n">
        <v>20260710</v>
      </c>
      <c r="B1550" s="54" t="s">
        <v>289</v>
      </c>
      <c r="C1550" s="54" t="s">
        <v>307</v>
      </c>
      <c r="D1550" s="54" t="s">
        <v>3722</v>
      </c>
      <c r="E1550" s="54" t="s">
        <v>3723</v>
      </c>
      <c r="F1550" s="54" t="s">
        <v>2311</v>
      </c>
      <c r="G1550" s="54" t="s">
        <v>3724</v>
      </c>
      <c r="H1550" s="54" t="n">
        <v>13076</v>
      </c>
      <c r="I1550" s="54" t="s">
        <v>295</v>
      </c>
      <c r="J1550" s="54" t="s">
        <v>1441</v>
      </c>
    </row>
    <row r="1551" customFormat="false" ht="15" hidden="false" customHeight="true" outlineLevel="0" collapsed="false">
      <c r="A1551" s="54" t="n">
        <v>20260710</v>
      </c>
      <c r="B1551" s="54" t="s">
        <v>289</v>
      </c>
      <c r="C1551" s="54" t="s">
        <v>307</v>
      </c>
      <c r="D1551" s="54" t="s">
        <v>3722</v>
      </c>
      <c r="E1551" s="54" t="s">
        <v>3723</v>
      </c>
      <c r="F1551" s="54" t="s">
        <v>3725</v>
      </c>
      <c r="G1551" s="54" t="s">
        <v>2538</v>
      </c>
      <c r="H1551" s="54" t="n">
        <v>4761</v>
      </c>
      <c r="I1551" s="54" t="s">
        <v>295</v>
      </c>
      <c r="J1551" s="54" t="s">
        <v>1441</v>
      </c>
    </row>
    <row r="1552" customFormat="false" ht="15" hidden="false" customHeight="true" outlineLevel="0" collapsed="false">
      <c r="A1552" s="54" t="n">
        <v>20260710</v>
      </c>
      <c r="B1552" s="54" t="s">
        <v>289</v>
      </c>
      <c r="C1552" s="54" t="s">
        <v>307</v>
      </c>
      <c r="D1552" s="54" t="s">
        <v>3722</v>
      </c>
      <c r="E1552" s="54" t="s">
        <v>3723</v>
      </c>
      <c r="F1552" s="54" t="s">
        <v>1089</v>
      </c>
      <c r="G1552" s="54" t="s">
        <v>2673</v>
      </c>
      <c r="H1552" s="54" t="n">
        <v>14399</v>
      </c>
      <c r="I1552" s="54" t="s">
        <v>295</v>
      </c>
      <c r="J1552" s="54" t="s">
        <v>1441</v>
      </c>
    </row>
    <row r="1553" customFormat="false" ht="15" hidden="false" customHeight="true" outlineLevel="0" collapsed="false">
      <c r="A1553" s="54" t="n">
        <v>20260710</v>
      </c>
      <c r="B1553" s="54" t="s">
        <v>306</v>
      </c>
      <c r="C1553" s="54" t="s">
        <v>290</v>
      </c>
      <c r="D1553" s="54" t="s">
        <v>3726</v>
      </c>
      <c r="E1553" s="54" t="s">
        <v>3727</v>
      </c>
      <c r="F1553" s="54" t="s">
        <v>3728</v>
      </c>
      <c r="G1553" s="54" t="s">
        <v>3729</v>
      </c>
      <c r="H1553" s="54" t="n">
        <v>28843</v>
      </c>
      <c r="I1553" s="54" t="s">
        <v>295</v>
      </c>
      <c r="J1553" s="54" t="s">
        <v>375</v>
      </c>
    </row>
    <row r="1554" customFormat="false" ht="15" hidden="false" customHeight="true" outlineLevel="0" collapsed="false">
      <c r="A1554" s="54" t="n">
        <v>20260710</v>
      </c>
      <c r="B1554" s="54" t="s">
        <v>306</v>
      </c>
      <c r="C1554" s="54" t="s">
        <v>307</v>
      </c>
      <c r="D1554" s="54" t="s">
        <v>3730</v>
      </c>
      <c r="E1554" s="54" t="s">
        <v>3731</v>
      </c>
      <c r="F1554" s="54" t="s">
        <v>3732</v>
      </c>
      <c r="G1554" s="54" t="s">
        <v>3733</v>
      </c>
      <c r="H1554" s="54" t="n">
        <v>22609</v>
      </c>
      <c r="I1554" s="54" t="s">
        <v>295</v>
      </c>
      <c r="J1554" s="54" t="s">
        <v>727</v>
      </c>
    </row>
    <row r="1555" customFormat="false" ht="15" hidden="false" customHeight="true" outlineLevel="0" collapsed="false">
      <c r="A1555" s="54" t="n">
        <v>20260710</v>
      </c>
      <c r="B1555" s="54" t="s">
        <v>306</v>
      </c>
      <c r="C1555" s="54" t="s">
        <v>307</v>
      </c>
      <c r="D1555" s="54" t="s">
        <v>3730</v>
      </c>
      <c r="E1555" s="54" t="s">
        <v>3731</v>
      </c>
      <c r="F1555" s="54" t="s">
        <v>1581</v>
      </c>
      <c r="G1555" s="54" t="s">
        <v>1859</v>
      </c>
      <c r="H1555" s="54" t="n">
        <v>6223</v>
      </c>
      <c r="I1555" s="54" t="s">
        <v>295</v>
      </c>
      <c r="J1555" s="54" t="s">
        <v>727</v>
      </c>
    </row>
    <row r="1556" customFormat="false" ht="15" hidden="false" customHeight="true" outlineLevel="0" collapsed="false">
      <c r="A1556" s="54" t="n">
        <v>20260710</v>
      </c>
      <c r="B1556" s="54" t="s">
        <v>289</v>
      </c>
      <c r="C1556" s="54" t="s">
        <v>290</v>
      </c>
      <c r="D1556" s="54" t="s">
        <v>3734</v>
      </c>
      <c r="E1556" s="54" t="s">
        <v>3735</v>
      </c>
      <c r="F1556" s="54" t="s">
        <v>3736</v>
      </c>
      <c r="G1556" s="54" t="s">
        <v>3737</v>
      </c>
      <c r="H1556" s="54" t="n">
        <v>9453</v>
      </c>
      <c r="I1556" s="54" t="s">
        <v>295</v>
      </c>
      <c r="J1556" s="54" t="s">
        <v>1463</v>
      </c>
    </row>
    <row r="1557" customFormat="false" ht="15" hidden="false" customHeight="true" outlineLevel="0" collapsed="false">
      <c r="A1557" s="54" t="n">
        <v>20260710</v>
      </c>
      <c r="B1557" s="54" t="s">
        <v>289</v>
      </c>
      <c r="C1557" s="54" t="s">
        <v>290</v>
      </c>
      <c r="D1557" s="54" t="s">
        <v>3734</v>
      </c>
      <c r="E1557" s="54" t="s">
        <v>3735</v>
      </c>
      <c r="F1557" s="54" t="s">
        <v>3738</v>
      </c>
      <c r="G1557" s="54" t="s">
        <v>3739</v>
      </c>
      <c r="H1557" s="54" t="n">
        <v>10196</v>
      </c>
      <c r="I1557" s="54" t="s">
        <v>295</v>
      </c>
      <c r="J1557" s="54" t="s">
        <v>1463</v>
      </c>
    </row>
    <row r="1558" customFormat="false" ht="15" hidden="false" customHeight="true" outlineLevel="0" collapsed="false">
      <c r="A1558" s="54" t="n">
        <v>20260710</v>
      </c>
      <c r="B1558" s="54" t="s">
        <v>289</v>
      </c>
      <c r="C1558" s="54" t="s">
        <v>290</v>
      </c>
      <c r="D1558" s="54" t="s">
        <v>3734</v>
      </c>
      <c r="E1558" s="54" t="s">
        <v>3735</v>
      </c>
      <c r="F1558" s="54" t="s">
        <v>3740</v>
      </c>
      <c r="G1558" s="54" t="s">
        <v>3741</v>
      </c>
      <c r="H1558" s="54" t="n">
        <v>7479</v>
      </c>
      <c r="I1558" s="54" t="s">
        <v>295</v>
      </c>
      <c r="J1558" s="54" t="s">
        <v>1463</v>
      </c>
    </row>
    <row r="1559" customFormat="false" ht="15" hidden="false" customHeight="true" outlineLevel="0" collapsed="false">
      <c r="A1559" s="54" t="n">
        <v>20260710</v>
      </c>
      <c r="B1559" s="54" t="s">
        <v>289</v>
      </c>
      <c r="C1559" s="54" t="s">
        <v>290</v>
      </c>
      <c r="D1559" s="54" t="s">
        <v>3742</v>
      </c>
      <c r="E1559" s="54" t="s">
        <v>3743</v>
      </c>
      <c r="F1559" s="54" t="s">
        <v>3202</v>
      </c>
      <c r="G1559" s="54" t="s">
        <v>3744</v>
      </c>
      <c r="H1559" s="54" t="n">
        <v>14631</v>
      </c>
      <c r="I1559" s="54" t="s">
        <v>295</v>
      </c>
      <c r="J1559" s="54" t="s">
        <v>1431</v>
      </c>
    </row>
    <row r="1560" customFormat="false" ht="15" hidden="false" customHeight="true" outlineLevel="0" collapsed="false">
      <c r="A1560" s="54" t="n">
        <v>20260710</v>
      </c>
      <c r="B1560" s="54" t="s">
        <v>289</v>
      </c>
      <c r="C1560" s="54" t="s">
        <v>290</v>
      </c>
      <c r="D1560" s="54" t="s">
        <v>3742</v>
      </c>
      <c r="E1560" s="54" t="s">
        <v>3743</v>
      </c>
      <c r="F1560" s="54" t="s">
        <v>3745</v>
      </c>
      <c r="G1560" s="54" t="s">
        <v>1043</v>
      </c>
      <c r="H1560" s="54" t="n">
        <v>14440</v>
      </c>
      <c r="I1560" s="54" t="s">
        <v>295</v>
      </c>
      <c r="J1560" s="54" t="s">
        <v>1431</v>
      </c>
    </row>
    <row r="1561" customFormat="false" ht="15" hidden="false" customHeight="true" outlineLevel="0" collapsed="false">
      <c r="A1561" s="54" t="n">
        <v>20260710</v>
      </c>
      <c r="B1561" s="54" t="s">
        <v>306</v>
      </c>
      <c r="C1561" s="54" t="s">
        <v>290</v>
      </c>
      <c r="D1561" s="54" t="s">
        <v>3746</v>
      </c>
      <c r="E1561" s="54" t="s">
        <v>3747</v>
      </c>
      <c r="F1561" s="54" t="s">
        <v>3748</v>
      </c>
      <c r="G1561" s="54" t="s">
        <v>3749</v>
      </c>
      <c r="H1561" s="54" t="n">
        <v>14485</v>
      </c>
      <c r="I1561" s="54" t="s">
        <v>295</v>
      </c>
      <c r="J1561" s="54" t="s">
        <v>375</v>
      </c>
    </row>
    <row r="1562" customFormat="false" ht="15" hidden="false" customHeight="true" outlineLevel="0" collapsed="false">
      <c r="A1562" s="54" t="n">
        <v>20260710</v>
      </c>
      <c r="B1562" s="54" t="s">
        <v>306</v>
      </c>
      <c r="C1562" s="54" t="s">
        <v>290</v>
      </c>
      <c r="D1562" s="54" t="s">
        <v>3746</v>
      </c>
      <c r="E1562" s="54" t="s">
        <v>3747</v>
      </c>
      <c r="F1562" s="54" t="s">
        <v>3750</v>
      </c>
      <c r="G1562" s="54" t="s">
        <v>3751</v>
      </c>
      <c r="H1562" s="54" t="n">
        <v>4908</v>
      </c>
      <c r="I1562" s="54" t="s">
        <v>295</v>
      </c>
      <c r="J1562" s="54" t="s">
        <v>375</v>
      </c>
    </row>
    <row r="1563" customFormat="false" ht="15" hidden="false" customHeight="true" outlineLevel="0" collapsed="false">
      <c r="A1563" s="54" t="n">
        <v>20260710</v>
      </c>
      <c r="B1563" s="54" t="s">
        <v>306</v>
      </c>
      <c r="C1563" s="54" t="s">
        <v>290</v>
      </c>
      <c r="D1563" s="54" t="s">
        <v>3746</v>
      </c>
      <c r="E1563" s="54" t="s">
        <v>3747</v>
      </c>
      <c r="F1563" s="54" t="s">
        <v>3752</v>
      </c>
      <c r="G1563" s="54" t="s">
        <v>3753</v>
      </c>
      <c r="H1563" s="54" t="n">
        <v>11270</v>
      </c>
      <c r="I1563" s="54" t="s">
        <v>295</v>
      </c>
      <c r="J1563" s="54" t="s">
        <v>375</v>
      </c>
    </row>
    <row r="1564" customFormat="false" ht="15" hidden="false" customHeight="true" outlineLevel="0" collapsed="false">
      <c r="A1564" s="54" t="n">
        <v>20260710</v>
      </c>
      <c r="B1564" s="54" t="s">
        <v>535</v>
      </c>
      <c r="C1564" s="54" t="s">
        <v>290</v>
      </c>
      <c r="D1564" s="54" t="s">
        <v>3754</v>
      </c>
      <c r="E1564" s="54" t="s">
        <v>3755</v>
      </c>
      <c r="F1564" s="54" t="s">
        <v>2504</v>
      </c>
      <c r="G1564" s="54" t="s">
        <v>2158</v>
      </c>
      <c r="H1564" s="54" t="n">
        <v>14140</v>
      </c>
      <c r="I1564" s="54" t="s">
        <v>295</v>
      </c>
      <c r="J1564" s="54" t="s">
        <v>1370</v>
      </c>
    </row>
    <row r="1565" customFormat="false" ht="15" hidden="false" customHeight="true" outlineLevel="0" collapsed="false">
      <c r="A1565" s="54" t="n">
        <v>20260710</v>
      </c>
      <c r="B1565" s="54" t="s">
        <v>535</v>
      </c>
      <c r="C1565" s="54" t="s">
        <v>290</v>
      </c>
      <c r="D1565" s="54" t="s">
        <v>3754</v>
      </c>
      <c r="E1565" s="54" t="s">
        <v>3755</v>
      </c>
      <c r="F1565" s="54" t="s">
        <v>787</v>
      </c>
      <c r="G1565" s="54" t="s">
        <v>3756</v>
      </c>
      <c r="H1565" s="54" t="n">
        <v>12418</v>
      </c>
      <c r="I1565" s="54" t="s">
        <v>295</v>
      </c>
      <c r="J1565" s="54" t="s">
        <v>1370</v>
      </c>
    </row>
    <row r="1566" customFormat="false" ht="15" hidden="false" customHeight="true" outlineLevel="0" collapsed="false">
      <c r="A1566" s="54" t="n">
        <v>20260710</v>
      </c>
      <c r="B1566" s="54" t="s">
        <v>535</v>
      </c>
      <c r="C1566" s="54" t="s">
        <v>290</v>
      </c>
      <c r="D1566" s="54" t="s">
        <v>3754</v>
      </c>
      <c r="E1566" s="54" t="s">
        <v>3755</v>
      </c>
      <c r="F1566" s="54" t="s">
        <v>3757</v>
      </c>
      <c r="G1566" s="54" t="s">
        <v>984</v>
      </c>
      <c r="H1566" s="54" t="n">
        <v>1770</v>
      </c>
      <c r="I1566" s="54" t="s">
        <v>295</v>
      </c>
      <c r="J1566" s="54" t="s">
        <v>1370</v>
      </c>
    </row>
    <row r="1567" customFormat="false" ht="15" hidden="false" customHeight="true" outlineLevel="0" collapsed="false">
      <c r="A1567" s="54" t="n">
        <v>20260710</v>
      </c>
      <c r="B1567" s="54" t="s">
        <v>497</v>
      </c>
      <c r="C1567" s="54" t="s">
        <v>307</v>
      </c>
      <c r="D1567" s="54" t="s">
        <v>3758</v>
      </c>
      <c r="E1567" s="54" t="s">
        <v>3759</v>
      </c>
      <c r="F1567" s="54" t="s">
        <v>3760</v>
      </c>
      <c r="G1567" s="54" t="s">
        <v>3761</v>
      </c>
      <c r="H1567" s="54" t="n">
        <v>1030</v>
      </c>
      <c r="I1567" s="54" t="s">
        <v>295</v>
      </c>
      <c r="J1567" s="54" t="s">
        <v>894</v>
      </c>
    </row>
    <row r="1568" customFormat="false" ht="15" hidden="false" customHeight="true" outlineLevel="0" collapsed="false">
      <c r="A1568" s="54" t="n">
        <v>20260710</v>
      </c>
      <c r="B1568" s="54" t="s">
        <v>497</v>
      </c>
      <c r="C1568" s="54" t="s">
        <v>307</v>
      </c>
      <c r="D1568" s="54" t="s">
        <v>3758</v>
      </c>
      <c r="E1568" s="54" t="s">
        <v>3759</v>
      </c>
      <c r="F1568" s="54" t="s">
        <v>3762</v>
      </c>
      <c r="G1568" s="54" t="s">
        <v>3763</v>
      </c>
      <c r="H1568" s="54" t="n">
        <v>14930</v>
      </c>
      <c r="I1568" s="54" t="s">
        <v>295</v>
      </c>
      <c r="J1568" s="54" t="s">
        <v>894</v>
      </c>
    </row>
    <row r="1569" customFormat="false" ht="15" hidden="false" customHeight="true" outlineLevel="0" collapsed="false">
      <c r="A1569" s="54" t="n">
        <v>20260710</v>
      </c>
      <c r="B1569" s="54" t="s">
        <v>497</v>
      </c>
      <c r="C1569" s="54" t="s">
        <v>307</v>
      </c>
      <c r="D1569" s="54" t="s">
        <v>3758</v>
      </c>
      <c r="E1569" s="54" t="s">
        <v>3759</v>
      </c>
      <c r="F1569" s="54" t="s">
        <v>3764</v>
      </c>
      <c r="G1569" s="54" t="s">
        <v>3765</v>
      </c>
      <c r="H1569" s="54" t="n">
        <v>13841</v>
      </c>
      <c r="I1569" s="54" t="s">
        <v>295</v>
      </c>
      <c r="J1569" s="54" t="s">
        <v>894</v>
      </c>
    </row>
    <row r="1570" customFormat="false" ht="15" hidden="false" customHeight="true" outlineLevel="0" collapsed="false">
      <c r="A1570" s="54" t="n">
        <v>20260710</v>
      </c>
      <c r="B1570" s="54" t="s">
        <v>306</v>
      </c>
      <c r="C1570" s="54" t="s">
        <v>290</v>
      </c>
      <c r="D1570" s="54" t="s">
        <v>3766</v>
      </c>
      <c r="E1570" s="54" t="s">
        <v>3767</v>
      </c>
      <c r="F1570" s="54" t="s">
        <v>1184</v>
      </c>
      <c r="G1570" s="54" t="s">
        <v>3768</v>
      </c>
      <c r="H1570" s="54" t="n">
        <v>23698</v>
      </c>
      <c r="I1570" s="54" t="s">
        <v>295</v>
      </c>
      <c r="J1570" s="54" t="s">
        <v>375</v>
      </c>
    </row>
    <row r="1571" customFormat="false" ht="15" hidden="false" customHeight="true" outlineLevel="0" collapsed="false">
      <c r="A1571" s="54" t="n">
        <v>20260710</v>
      </c>
      <c r="B1571" s="54" t="s">
        <v>306</v>
      </c>
      <c r="C1571" s="54" t="s">
        <v>290</v>
      </c>
      <c r="D1571" s="54" t="s">
        <v>3766</v>
      </c>
      <c r="E1571" s="54" t="s">
        <v>3767</v>
      </c>
      <c r="F1571" s="54" t="s">
        <v>3769</v>
      </c>
      <c r="G1571" s="54" t="s">
        <v>3770</v>
      </c>
      <c r="H1571" s="54" t="n">
        <v>8932</v>
      </c>
      <c r="I1571" s="54" t="s">
        <v>295</v>
      </c>
      <c r="J1571" s="54" t="s">
        <v>375</v>
      </c>
    </row>
    <row r="1572" customFormat="false" ht="15" hidden="false" customHeight="true" outlineLevel="0" collapsed="false">
      <c r="A1572" s="54" t="n">
        <v>20260710</v>
      </c>
      <c r="B1572" s="54" t="s">
        <v>289</v>
      </c>
      <c r="C1572" s="54" t="s">
        <v>290</v>
      </c>
      <c r="D1572" s="54" t="s">
        <v>3771</v>
      </c>
      <c r="E1572" s="54" t="s">
        <v>3772</v>
      </c>
      <c r="F1572" s="54" t="s">
        <v>2657</v>
      </c>
      <c r="G1572" s="54" t="s">
        <v>3773</v>
      </c>
      <c r="H1572" s="54" t="n">
        <v>23648</v>
      </c>
      <c r="I1572" s="54" t="s">
        <v>295</v>
      </c>
      <c r="J1572" s="54" t="s">
        <v>852</v>
      </c>
    </row>
    <row r="1573" customFormat="false" ht="15" hidden="false" customHeight="true" outlineLevel="0" collapsed="false">
      <c r="A1573" s="54" t="n">
        <v>20260710</v>
      </c>
      <c r="B1573" s="54" t="s">
        <v>289</v>
      </c>
      <c r="C1573" s="54" t="s">
        <v>290</v>
      </c>
      <c r="D1573" s="54" t="s">
        <v>3771</v>
      </c>
      <c r="E1573" s="54" t="s">
        <v>3772</v>
      </c>
      <c r="F1573" s="54" t="s">
        <v>2657</v>
      </c>
      <c r="G1573" s="54" t="s">
        <v>3774</v>
      </c>
      <c r="H1573" s="54" t="n">
        <v>23649</v>
      </c>
      <c r="I1573" s="54" t="s">
        <v>360</v>
      </c>
      <c r="J1573" s="54" t="s">
        <v>852</v>
      </c>
    </row>
    <row r="1574" customFormat="false" ht="15" hidden="false" customHeight="true" outlineLevel="0" collapsed="false">
      <c r="A1574" s="54" t="n">
        <v>20260710</v>
      </c>
      <c r="B1574" s="54" t="s">
        <v>289</v>
      </c>
      <c r="C1574" s="54" t="s">
        <v>290</v>
      </c>
      <c r="D1574" s="54" t="s">
        <v>3771</v>
      </c>
      <c r="E1574" s="54" t="s">
        <v>3772</v>
      </c>
      <c r="F1574" s="54" t="s">
        <v>1325</v>
      </c>
      <c r="G1574" s="54" t="s">
        <v>3775</v>
      </c>
      <c r="H1574" s="54" t="n">
        <v>12940</v>
      </c>
      <c r="I1574" s="54" t="s">
        <v>360</v>
      </c>
      <c r="J1574" s="54" t="s">
        <v>852</v>
      </c>
    </row>
    <row r="1575" customFormat="false" ht="15" hidden="false" customHeight="true" outlineLevel="0" collapsed="false">
      <c r="A1575" s="54" t="n">
        <v>20260710</v>
      </c>
      <c r="B1575" s="54" t="s">
        <v>289</v>
      </c>
      <c r="C1575" s="54" t="s">
        <v>290</v>
      </c>
      <c r="D1575" s="54" t="s">
        <v>3771</v>
      </c>
      <c r="E1575" s="54" t="s">
        <v>3772</v>
      </c>
      <c r="F1575" s="54" t="s">
        <v>1325</v>
      </c>
      <c r="G1575" s="54" t="s">
        <v>3775</v>
      </c>
      <c r="H1575" s="54" t="n">
        <v>12940</v>
      </c>
      <c r="I1575" s="54" t="s">
        <v>295</v>
      </c>
      <c r="J1575" s="54" t="s">
        <v>852</v>
      </c>
    </row>
    <row r="1576" customFormat="false" ht="15" hidden="false" customHeight="true" outlineLevel="0" collapsed="false">
      <c r="A1576" s="54" t="n">
        <v>20260710</v>
      </c>
      <c r="B1576" s="54" t="s">
        <v>289</v>
      </c>
      <c r="C1576" s="54" t="s">
        <v>290</v>
      </c>
      <c r="D1576" s="54" t="s">
        <v>3776</v>
      </c>
      <c r="E1576" s="54" t="s">
        <v>3777</v>
      </c>
      <c r="F1576" s="54" t="s">
        <v>3778</v>
      </c>
      <c r="G1576" s="54" t="s">
        <v>3779</v>
      </c>
      <c r="H1576" s="54" t="n">
        <v>18647</v>
      </c>
      <c r="I1576" s="54" t="s">
        <v>295</v>
      </c>
      <c r="J1576" s="54" t="s">
        <v>1463</v>
      </c>
    </row>
    <row r="1577" customFormat="false" ht="15" hidden="false" customHeight="true" outlineLevel="0" collapsed="false">
      <c r="A1577" s="54" t="n">
        <v>20260710</v>
      </c>
      <c r="B1577" s="54" t="s">
        <v>289</v>
      </c>
      <c r="C1577" s="54" t="s">
        <v>290</v>
      </c>
      <c r="D1577" s="54" t="s">
        <v>3776</v>
      </c>
      <c r="E1577" s="54" t="s">
        <v>3777</v>
      </c>
      <c r="F1577" s="54" t="s">
        <v>3780</v>
      </c>
      <c r="G1577" s="54" t="s">
        <v>3781</v>
      </c>
      <c r="H1577" s="54" t="n">
        <v>8473</v>
      </c>
      <c r="I1577" s="54" t="s">
        <v>295</v>
      </c>
      <c r="J1577" s="54" t="s">
        <v>1463</v>
      </c>
    </row>
    <row r="1578" customFormat="false" ht="15" hidden="false" customHeight="true" outlineLevel="0" collapsed="false">
      <c r="A1578" s="54" t="n">
        <v>20260710</v>
      </c>
      <c r="B1578" s="54" t="s">
        <v>289</v>
      </c>
      <c r="C1578" s="54" t="s">
        <v>290</v>
      </c>
      <c r="D1578" s="54" t="s">
        <v>3776</v>
      </c>
      <c r="E1578" s="54" t="s">
        <v>3777</v>
      </c>
      <c r="F1578" s="54" t="s">
        <v>3782</v>
      </c>
      <c r="G1578" s="54" t="s">
        <v>2624</v>
      </c>
      <c r="H1578" s="54" t="n">
        <v>2030</v>
      </c>
      <c r="I1578" s="54" t="s">
        <v>295</v>
      </c>
      <c r="J1578" s="54" t="s">
        <v>1463</v>
      </c>
    </row>
    <row r="1579" customFormat="false" ht="15" hidden="false" customHeight="true" outlineLevel="0" collapsed="false">
      <c r="A1579" s="54" t="n">
        <v>20260710</v>
      </c>
      <c r="B1579" s="54" t="s">
        <v>306</v>
      </c>
      <c r="C1579" s="54" t="s">
        <v>290</v>
      </c>
      <c r="D1579" s="54" t="s">
        <v>3783</v>
      </c>
      <c r="E1579" s="54" t="s">
        <v>3784</v>
      </c>
      <c r="F1579" s="54" t="s">
        <v>3785</v>
      </c>
      <c r="G1579" s="54" t="s">
        <v>3786</v>
      </c>
      <c r="H1579" s="54" t="n">
        <v>20707</v>
      </c>
      <c r="I1579" s="54" t="s">
        <v>295</v>
      </c>
      <c r="J1579" s="54" t="s">
        <v>433</v>
      </c>
    </row>
    <row r="1580" customFormat="false" ht="15" hidden="false" customHeight="true" outlineLevel="0" collapsed="false">
      <c r="A1580" s="54" t="n">
        <v>20260710</v>
      </c>
      <c r="B1580" s="54" t="s">
        <v>306</v>
      </c>
      <c r="C1580" s="54" t="s">
        <v>290</v>
      </c>
      <c r="D1580" s="54" t="s">
        <v>3783</v>
      </c>
      <c r="E1580" s="54" t="s">
        <v>3784</v>
      </c>
      <c r="F1580" s="54" t="s">
        <v>3787</v>
      </c>
      <c r="G1580" s="54" t="s">
        <v>3788</v>
      </c>
      <c r="H1580" s="54" t="n">
        <v>8215</v>
      </c>
      <c r="I1580" s="54" t="s">
        <v>295</v>
      </c>
      <c r="J1580" s="54" t="s">
        <v>433</v>
      </c>
    </row>
    <row r="1581" customFormat="false" ht="15" hidden="false" customHeight="true" outlineLevel="0" collapsed="false">
      <c r="A1581" s="54" t="n">
        <v>20260710</v>
      </c>
      <c r="B1581" s="54" t="s">
        <v>306</v>
      </c>
      <c r="C1581" s="54" t="s">
        <v>290</v>
      </c>
      <c r="D1581" s="54" t="s">
        <v>3789</v>
      </c>
      <c r="E1581" s="54" t="s">
        <v>3790</v>
      </c>
      <c r="F1581" s="54" t="s">
        <v>3791</v>
      </c>
      <c r="G1581" s="54" t="s">
        <v>3792</v>
      </c>
      <c r="H1581" s="54" t="n">
        <v>10028</v>
      </c>
      <c r="I1581" s="54" t="s">
        <v>295</v>
      </c>
      <c r="J1581" s="54" t="s">
        <v>375</v>
      </c>
    </row>
    <row r="1582" customFormat="false" ht="15" hidden="false" customHeight="true" outlineLevel="0" collapsed="false">
      <c r="A1582" s="54" t="n">
        <v>20260710</v>
      </c>
      <c r="B1582" s="54" t="s">
        <v>306</v>
      </c>
      <c r="C1582" s="54" t="s">
        <v>290</v>
      </c>
      <c r="D1582" s="54" t="s">
        <v>3789</v>
      </c>
      <c r="E1582" s="54" t="s">
        <v>3790</v>
      </c>
      <c r="F1582" s="54" t="s">
        <v>3793</v>
      </c>
      <c r="G1582" s="54" t="s">
        <v>3794</v>
      </c>
      <c r="H1582" s="54" t="n">
        <v>6048</v>
      </c>
      <c r="I1582" s="54" t="s">
        <v>295</v>
      </c>
      <c r="J1582" s="54" t="s">
        <v>375</v>
      </c>
    </row>
    <row r="1583" customFormat="false" ht="15" hidden="false" customHeight="true" outlineLevel="0" collapsed="false">
      <c r="A1583" s="54" t="n">
        <v>20260710</v>
      </c>
      <c r="B1583" s="54" t="s">
        <v>306</v>
      </c>
      <c r="C1583" s="54" t="s">
        <v>290</v>
      </c>
      <c r="D1583" s="54" t="s">
        <v>3789</v>
      </c>
      <c r="E1583" s="54" t="s">
        <v>3790</v>
      </c>
      <c r="F1583" s="54" t="s">
        <v>3795</v>
      </c>
      <c r="G1583" s="54" t="s">
        <v>3796</v>
      </c>
      <c r="H1583" s="54" t="n">
        <v>5174</v>
      </c>
      <c r="I1583" s="54" t="s">
        <v>295</v>
      </c>
      <c r="J1583" s="54" t="s">
        <v>375</v>
      </c>
    </row>
    <row r="1584" customFormat="false" ht="15" hidden="false" customHeight="true" outlineLevel="0" collapsed="false">
      <c r="A1584" s="54" t="n">
        <v>20260710</v>
      </c>
      <c r="B1584" s="54" t="s">
        <v>306</v>
      </c>
      <c r="C1584" s="54" t="s">
        <v>290</v>
      </c>
      <c r="D1584" s="54" t="s">
        <v>3789</v>
      </c>
      <c r="E1584" s="54" t="s">
        <v>3790</v>
      </c>
      <c r="F1584" s="54" t="s">
        <v>3797</v>
      </c>
      <c r="G1584" s="54" t="s">
        <v>3798</v>
      </c>
      <c r="H1584" s="54" t="n">
        <v>2306</v>
      </c>
      <c r="I1584" s="54" t="s">
        <v>295</v>
      </c>
      <c r="J1584" s="54" t="s">
        <v>375</v>
      </c>
    </row>
    <row r="1585" customFormat="false" ht="15" hidden="false" customHeight="true" outlineLevel="0" collapsed="false">
      <c r="A1585" s="54" t="n">
        <v>20260710</v>
      </c>
      <c r="B1585" s="54" t="s">
        <v>306</v>
      </c>
      <c r="C1585" s="54" t="s">
        <v>290</v>
      </c>
      <c r="D1585" s="54" t="s">
        <v>3789</v>
      </c>
      <c r="E1585" s="54" t="s">
        <v>3790</v>
      </c>
      <c r="F1585" s="54" t="s">
        <v>3799</v>
      </c>
      <c r="G1585" s="54" t="s">
        <v>3800</v>
      </c>
      <c r="H1585" s="54" t="n">
        <v>7987</v>
      </c>
      <c r="I1585" s="54" t="s">
        <v>295</v>
      </c>
      <c r="J1585" s="54" t="s">
        <v>375</v>
      </c>
    </row>
    <row r="1586" customFormat="false" ht="15" hidden="false" customHeight="true" outlineLevel="0" collapsed="false">
      <c r="A1586" s="54" t="n">
        <v>20260710</v>
      </c>
      <c r="B1586" s="54" t="s">
        <v>168</v>
      </c>
      <c r="C1586" s="54" t="s">
        <v>290</v>
      </c>
      <c r="D1586" s="54" t="s">
        <v>3801</v>
      </c>
      <c r="E1586" s="54" t="s">
        <v>3802</v>
      </c>
      <c r="F1586" s="54" t="s">
        <v>3803</v>
      </c>
      <c r="G1586" s="54" t="s">
        <v>3804</v>
      </c>
      <c r="H1586" s="54" t="n">
        <v>12825</v>
      </c>
      <c r="I1586" s="54" t="s">
        <v>295</v>
      </c>
      <c r="J1586" s="54" t="s">
        <v>818</v>
      </c>
    </row>
    <row r="1587" customFormat="false" ht="15" hidden="false" customHeight="true" outlineLevel="0" collapsed="false">
      <c r="A1587" s="54" t="n">
        <v>20260710</v>
      </c>
      <c r="B1587" s="54" t="s">
        <v>168</v>
      </c>
      <c r="C1587" s="54" t="s">
        <v>290</v>
      </c>
      <c r="D1587" s="54" t="s">
        <v>3801</v>
      </c>
      <c r="E1587" s="54" t="s">
        <v>3802</v>
      </c>
      <c r="F1587" s="54" t="s">
        <v>3805</v>
      </c>
      <c r="G1587" s="54" t="s">
        <v>3806</v>
      </c>
      <c r="H1587" s="54" t="n">
        <v>16125</v>
      </c>
      <c r="I1587" s="54" t="s">
        <v>295</v>
      </c>
      <c r="J1587" s="54" t="s">
        <v>818</v>
      </c>
    </row>
    <row r="1588" customFormat="false" ht="15" hidden="false" customHeight="true" outlineLevel="0" collapsed="false">
      <c r="A1588" s="54" t="n">
        <v>20260710</v>
      </c>
      <c r="B1588" s="54" t="s">
        <v>306</v>
      </c>
      <c r="C1588" s="54" t="s">
        <v>290</v>
      </c>
      <c r="D1588" s="54" t="s">
        <v>3807</v>
      </c>
      <c r="E1588" s="54" t="s">
        <v>3808</v>
      </c>
      <c r="F1588" s="54" t="s">
        <v>3809</v>
      </c>
      <c r="G1588" s="54" t="s">
        <v>3810</v>
      </c>
      <c r="H1588" s="54" t="n">
        <v>17769</v>
      </c>
      <c r="I1588" s="54" t="s">
        <v>295</v>
      </c>
      <c r="J1588" s="54" t="s">
        <v>433</v>
      </c>
    </row>
    <row r="1589" customFormat="false" ht="15" hidden="false" customHeight="true" outlineLevel="0" collapsed="false">
      <c r="A1589" s="54" t="n">
        <v>20260710</v>
      </c>
      <c r="B1589" s="54" t="s">
        <v>306</v>
      </c>
      <c r="C1589" s="54" t="s">
        <v>290</v>
      </c>
      <c r="D1589" s="54" t="s">
        <v>3807</v>
      </c>
      <c r="E1589" s="54" t="s">
        <v>3808</v>
      </c>
      <c r="F1589" s="54" t="s">
        <v>3811</v>
      </c>
      <c r="G1589" s="54" t="s">
        <v>1041</v>
      </c>
      <c r="H1589" s="54" t="n">
        <v>13</v>
      </c>
      <c r="I1589" s="54" t="s">
        <v>295</v>
      </c>
      <c r="J1589" s="54" t="s">
        <v>433</v>
      </c>
    </row>
    <row r="1590" customFormat="false" ht="15" hidden="false" customHeight="true" outlineLevel="0" collapsed="false">
      <c r="A1590" s="54" t="n">
        <v>20260710</v>
      </c>
      <c r="B1590" s="54" t="s">
        <v>306</v>
      </c>
      <c r="C1590" s="54" t="s">
        <v>290</v>
      </c>
      <c r="D1590" s="54" t="s">
        <v>3807</v>
      </c>
      <c r="E1590" s="54" t="s">
        <v>3808</v>
      </c>
      <c r="F1590" s="54" t="s">
        <v>3812</v>
      </c>
      <c r="G1590" s="54" t="s">
        <v>3813</v>
      </c>
      <c r="H1590" s="54" t="n">
        <v>650</v>
      </c>
      <c r="I1590" s="54" t="s">
        <v>295</v>
      </c>
      <c r="J1590" s="54" t="s">
        <v>433</v>
      </c>
    </row>
    <row r="1591" customFormat="false" ht="15" hidden="false" customHeight="true" outlineLevel="0" collapsed="false">
      <c r="A1591" s="54" t="n">
        <v>20260710</v>
      </c>
      <c r="B1591" s="54" t="s">
        <v>306</v>
      </c>
      <c r="C1591" s="54" t="s">
        <v>290</v>
      </c>
      <c r="D1591" s="54" t="s">
        <v>3807</v>
      </c>
      <c r="E1591" s="54" t="s">
        <v>3808</v>
      </c>
      <c r="F1591" s="54" t="s">
        <v>3814</v>
      </c>
      <c r="G1591" s="54" t="s">
        <v>3815</v>
      </c>
      <c r="H1591" s="54" t="n">
        <v>9399</v>
      </c>
      <c r="I1591" s="54" t="s">
        <v>295</v>
      </c>
      <c r="J1591" s="54" t="s">
        <v>433</v>
      </c>
    </row>
    <row r="1592" customFormat="false" ht="15" hidden="false" customHeight="true" outlineLevel="0" collapsed="false">
      <c r="A1592" s="54" t="n">
        <v>20260710</v>
      </c>
      <c r="B1592" s="54" t="s">
        <v>289</v>
      </c>
      <c r="C1592" s="54" t="s">
        <v>290</v>
      </c>
      <c r="D1592" s="54" t="s">
        <v>3816</v>
      </c>
      <c r="E1592" s="54" t="s">
        <v>3817</v>
      </c>
      <c r="F1592" s="54" t="s">
        <v>3818</v>
      </c>
      <c r="G1592" s="54" t="s">
        <v>3819</v>
      </c>
      <c r="H1592" s="54" t="n">
        <v>14655</v>
      </c>
      <c r="I1592" s="54" t="s">
        <v>295</v>
      </c>
      <c r="J1592" s="54" t="s">
        <v>459</v>
      </c>
    </row>
    <row r="1593" customFormat="false" ht="15" hidden="false" customHeight="true" outlineLevel="0" collapsed="false">
      <c r="A1593" s="54" t="n">
        <v>20260710</v>
      </c>
      <c r="B1593" s="54" t="s">
        <v>289</v>
      </c>
      <c r="C1593" s="54" t="s">
        <v>290</v>
      </c>
      <c r="D1593" s="54" t="s">
        <v>3816</v>
      </c>
      <c r="E1593" s="54" t="s">
        <v>3817</v>
      </c>
      <c r="F1593" s="54" t="s">
        <v>3820</v>
      </c>
      <c r="G1593" s="54" t="s">
        <v>3821</v>
      </c>
      <c r="H1593" s="54" t="n">
        <v>189</v>
      </c>
      <c r="I1593" s="54" t="s">
        <v>295</v>
      </c>
      <c r="J1593" s="54" t="s">
        <v>459</v>
      </c>
    </row>
    <row r="1594" customFormat="false" ht="15" hidden="false" customHeight="true" outlineLevel="0" collapsed="false">
      <c r="A1594" s="54" t="n">
        <v>20260710</v>
      </c>
      <c r="B1594" s="54" t="s">
        <v>289</v>
      </c>
      <c r="C1594" s="54" t="s">
        <v>290</v>
      </c>
      <c r="D1594" s="54" t="s">
        <v>3816</v>
      </c>
      <c r="E1594" s="54" t="s">
        <v>3817</v>
      </c>
      <c r="F1594" s="54" t="s">
        <v>2606</v>
      </c>
      <c r="G1594" s="54" t="s">
        <v>3822</v>
      </c>
      <c r="H1594" s="54" t="n">
        <v>11032</v>
      </c>
      <c r="I1594" s="54" t="s">
        <v>295</v>
      </c>
      <c r="J1594" s="54" t="s">
        <v>459</v>
      </c>
    </row>
    <row r="1595" customFormat="false" ht="15" hidden="false" customHeight="true" outlineLevel="0" collapsed="false">
      <c r="A1595" s="54" t="n">
        <v>20260710</v>
      </c>
      <c r="B1595" s="54" t="s">
        <v>289</v>
      </c>
      <c r="C1595" s="54" t="s">
        <v>290</v>
      </c>
      <c r="D1595" s="54" t="s">
        <v>3823</v>
      </c>
      <c r="E1595" s="54" t="s">
        <v>3824</v>
      </c>
      <c r="F1595" s="54" t="s">
        <v>3825</v>
      </c>
      <c r="G1595" s="54" t="s">
        <v>3826</v>
      </c>
      <c r="H1595" s="54" t="n">
        <v>33</v>
      </c>
      <c r="I1595" s="54" t="s">
        <v>295</v>
      </c>
      <c r="J1595" s="54" t="s">
        <v>1355</v>
      </c>
    </row>
    <row r="1596" customFormat="false" ht="15" hidden="false" customHeight="true" outlineLevel="0" collapsed="false">
      <c r="A1596" s="54" t="n">
        <v>20260710</v>
      </c>
      <c r="B1596" s="54" t="s">
        <v>289</v>
      </c>
      <c r="C1596" s="54" t="s">
        <v>290</v>
      </c>
      <c r="D1596" s="54" t="s">
        <v>3823</v>
      </c>
      <c r="E1596" s="54" t="s">
        <v>3824</v>
      </c>
      <c r="F1596" s="54" t="s">
        <v>3827</v>
      </c>
      <c r="G1596" s="54" t="s">
        <v>3828</v>
      </c>
      <c r="H1596" s="54" t="n">
        <v>22134</v>
      </c>
      <c r="I1596" s="54" t="s">
        <v>295</v>
      </c>
      <c r="J1596" s="54" t="s">
        <v>1355</v>
      </c>
    </row>
    <row r="1597" customFormat="false" ht="15" hidden="false" customHeight="true" outlineLevel="0" collapsed="false">
      <c r="A1597" s="54" t="n">
        <v>20260710</v>
      </c>
      <c r="B1597" s="54" t="s">
        <v>289</v>
      </c>
      <c r="C1597" s="54" t="s">
        <v>290</v>
      </c>
      <c r="D1597" s="54" t="s">
        <v>3823</v>
      </c>
      <c r="E1597" s="54" t="s">
        <v>3824</v>
      </c>
      <c r="F1597" s="54" t="s">
        <v>3829</v>
      </c>
      <c r="G1597" s="54" t="s">
        <v>3830</v>
      </c>
      <c r="H1597" s="54" t="n">
        <v>7637</v>
      </c>
      <c r="I1597" s="54" t="s">
        <v>295</v>
      </c>
      <c r="J1597" s="54" t="s">
        <v>1355</v>
      </c>
    </row>
    <row r="1598" customFormat="false" ht="15" hidden="false" customHeight="true" outlineLevel="0" collapsed="false">
      <c r="A1598" s="54" t="n">
        <v>20260710</v>
      </c>
      <c r="B1598" s="54" t="s">
        <v>168</v>
      </c>
      <c r="C1598" s="54" t="s">
        <v>290</v>
      </c>
      <c r="D1598" s="54" t="s">
        <v>3831</v>
      </c>
      <c r="E1598" s="54" t="s">
        <v>3832</v>
      </c>
      <c r="F1598" s="54" t="s">
        <v>3833</v>
      </c>
      <c r="G1598" s="54" t="s">
        <v>3834</v>
      </c>
      <c r="H1598" s="54" t="n">
        <v>5335</v>
      </c>
      <c r="I1598" s="54" t="s">
        <v>295</v>
      </c>
      <c r="J1598" s="54" t="s">
        <v>516</v>
      </c>
    </row>
    <row r="1599" customFormat="false" ht="15" hidden="false" customHeight="true" outlineLevel="0" collapsed="false">
      <c r="A1599" s="54" t="n">
        <v>20260710</v>
      </c>
      <c r="B1599" s="54" t="s">
        <v>168</v>
      </c>
      <c r="C1599" s="54" t="s">
        <v>290</v>
      </c>
      <c r="D1599" s="54" t="s">
        <v>3831</v>
      </c>
      <c r="E1599" s="54" t="s">
        <v>3832</v>
      </c>
      <c r="F1599" s="54" t="s">
        <v>3835</v>
      </c>
      <c r="G1599" s="54" t="s">
        <v>3836</v>
      </c>
      <c r="H1599" s="54" t="n">
        <v>13045</v>
      </c>
      <c r="I1599" s="54" t="s">
        <v>295</v>
      </c>
      <c r="J1599" s="54" t="s">
        <v>516</v>
      </c>
    </row>
    <row r="1600" customFormat="false" ht="15" hidden="false" customHeight="true" outlineLevel="0" collapsed="false">
      <c r="A1600" s="54" t="n">
        <v>20260710</v>
      </c>
      <c r="B1600" s="54" t="s">
        <v>168</v>
      </c>
      <c r="C1600" s="54" t="s">
        <v>290</v>
      </c>
      <c r="D1600" s="54" t="s">
        <v>3831</v>
      </c>
      <c r="E1600" s="54" t="s">
        <v>3832</v>
      </c>
      <c r="F1600" s="54" t="s">
        <v>3837</v>
      </c>
      <c r="G1600" s="54" t="s">
        <v>3838</v>
      </c>
      <c r="H1600" s="54" t="n">
        <v>10881</v>
      </c>
      <c r="I1600" s="54" t="s">
        <v>295</v>
      </c>
      <c r="J1600" s="54" t="s">
        <v>516</v>
      </c>
    </row>
    <row r="1601" customFormat="false" ht="15" hidden="false" customHeight="true" outlineLevel="0" collapsed="false">
      <c r="A1601" s="54" t="n">
        <v>20260710</v>
      </c>
      <c r="B1601" s="54" t="s">
        <v>168</v>
      </c>
      <c r="C1601" s="54" t="s">
        <v>290</v>
      </c>
      <c r="D1601" s="54" t="s">
        <v>3839</v>
      </c>
      <c r="E1601" s="54" t="s">
        <v>3840</v>
      </c>
      <c r="F1601" s="54" t="s">
        <v>3841</v>
      </c>
      <c r="G1601" s="54" t="s">
        <v>3029</v>
      </c>
      <c r="H1601" s="54" t="n">
        <v>14659</v>
      </c>
      <c r="I1601" s="54" t="s">
        <v>295</v>
      </c>
      <c r="J1601" s="54" t="s">
        <v>818</v>
      </c>
    </row>
    <row r="1602" customFormat="false" ht="15" hidden="false" customHeight="true" outlineLevel="0" collapsed="false">
      <c r="A1602" s="54" t="n">
        <v>20260710</v>
      </c>
      <c r="B1602" s="54" t="s">
        <v>168</v>
      </c>
      <c r="C1602" s="54" t="s">
        <v>290</v>
      </c>
      <c r="D1602" s="54" t="s">
        <v>3839</v>
      </c>
      <c r="E1602" s="54" t="s">
        <v>3840</v>
      </c>
      <c r="F1602" s="54" t="s">
        <v>3842</v>
      </c>
      <c r="G1602" s="54" t="s">
        <v>3843</v>
      </c>
      <c r="H1602" s="54" t="n">
        <v>6603</v>
      </c>
      <c r="I1602" s="54" t="s">
        <v>295</v>
      </c>
      <c r="J1602" s="54" t="s">
        <v>818</v>
      </c>
    </row>
    <row r="1603" customFormat="false" ht="15" hidden="false" customHeight="true" outlineLevel="0" collapsed="false">
      <c r="A1603" s="54" t="n">
        <v>20260710</v>
      </c>
      <c r="B1603" s="54" t="s">
        <v>168</v>
      </c>
      <c r="C1603" s="54" t="s">
        <v>290</v>
      </c>
      <c r="D1603" s="54" t="s">
        <v>3839</v>
      </c>
      <c r="E1603" s="54" t="s">
        <v>3840</v>
      </c>
      <c r="F1603" s="54" t="s">
        <v>3844</v>
      </c>
      <c r="G1603" s="54" t="s">
        <v>3377</v>
      </c>
      <c r="H1603" s="54" t="n">
        <v>7876</v>
      </c>
      <c r="I1603" s="54" t="s">
        <v>295</v>
      </c>
      <c r="J1603" s="54" t="s">
        <v>818</v>
      </c>
    </row>
    <row r="1604" customFormat="false" ht="15" hidden="false" customHeight="true" outlineLevel="0" collapsed="false">
      <c r="A1604" s="54" t="n">
        <v>20260710</v>
      </c>
      <c r="B1604" s="54" t="s">
        <v>592</v>
      </c>
      <c r="C1604" s="54" t="s">
        <v>290</v>
      </c>
      <c r="D1604" s="54" t="s">
        <v>3845</v>
      </c>
      <c r="E1604" s="54" t="s">
        <v>3846</v>
      </c>
      <c r="F1604" s="54" t="s">
        <v>3847</v>
      </c>
      <c r="G1604" s="54" t="s">
        <v>3848</v>
      </c>
      <c r="H1604" s="54" t="n">
        <v>17348</v>
      </c>
      <c r="I1604" s="54" t="s">
        <v>295</v>
      </c>
      <c r="J1604" s="54" t="s">
        <v>1381</v>
      </c>
    </row>
    <row r="1605" customFormat="false" ht="15" hidden="false" customHeight="true" outlineLevel="0" collapsed="false">
      <c r="A1605" s="54" t="n">
        <v>20260710</v>
      </c>
      <c r="B1605" s="54" t="s">
        <v>592</v>
      </c>
      <c r="C1605" s="54" t="s">
        <v>290</v>
      </c>
      <c r="D1605" s="54" t="s">
        <v>3845</v>
      </c>
      <c r="E1605" s="54" t="s">
        <v>3846</v>
      </c>
      <c r="F1605" s="54" t="s">
        <v>1425</v>
      </c>
      <c r="G1605" s="54" t="s">
        <v>3849</v>
      </c>
      <c r="H1605" s="54" t="n">
        <v>1218</v>
      </c>
      <c r="I1605" s="54" t="s">
        <v>295</v>
      </c>
      <c r="J1605" s="54" t="s">
        <v>1381</v>
      </c>
    </row>
    <row r="1606" customFormat="false" ht="15" hidden="false" customHeight="true" outlineLevel="0" collapsed="false">
      <c r="A1606" s="54" t="n">
        <v>20260710</v>
      </c>
      <c r="B1606" s="54" t="s">
        <v>592</v>
      </c>
      <c r="C1606" s="54" t="s">
        <v>290</v>
      </c>
      <c r="D1606" s="54" t="s">
        <v>3845</v>
      </c>
      <c r="E1606" s="54" t="s">
        <v>3846</v>
      </c>
      <c r="F1606" s="54" t="s">
        <v>3850</v>
      </c>
      <c r="G1606" s="54" t="s">
        <v>3851</v>
      </c>
      <c r="H1606" s="54" t="n">
        <v>1429</v>
      </c>
      <c r="I1606" s="54" t="s">
        <v>295</v>
      </c>
      <c r="J1606" s="54" t="s">
        <v>1381</v>
      </c>
    </row>
    <row r="1607" customFormat="false" ht="15" hidden="false" customHeight="true" outlineLevel="0" collapsed="false">
      <c r="A1607" s="54" t="n">
        <v>20260710</v>
      </c>
      <c r="B1607" s="54" t="s">
        <v>592</v>
      </c>
      <c r="C1607" s="54" t="s">
        <v>290</v>
      </c>
      <c r="D1607" s="54" t="s">
        <v>3845</v>
      </c>
      <c r="E1607" s="54" t="s">
        <v>3846</v>
      </c>
      <c r="F1607" s="54" t="s">
        <v>3852</v>
      </c>
      <c r="G1607" s="54" t="s">
        <v>3853</v>
      </c>
      <c r="H1607" s="54" t="n">
        <v>8767</v>
      </c>
      <c r="I1607" s="54" t="s">
        <v>295</v>
      </c>
      <c r="J1607" s="54" t="s">
        <v>1381</v>
      </c>
    </row>
    <row r="1608" customFormat="false" ht="15" hidden="false" customHeight="true" outlineLevel="0" collapsed="false">
      <c r="A1608" s="54" t="n">
        <v>20260710</v>
      </c>
      <c r="B1608" s="54" t="s">
        <v>306</v>
      </c>
      <c r="C1608" s="54" t="s">
        <v>290</v>
      </c>
      <c r="D1608" s="54" t="s">
        <v>3854</v>
      </c>
      <c r="E1608" s="54" t="s">
        <v>3855</v>
      </c>
      <c r="F1608" s="54" t="s">
        <v>3856</v>
      </c>
      <c r="G1608" s="54" t="s">
        <v>3857</v>
      </c>
      <c r="H1608" s="54" t="n">
        <v>17901</v>
      </c>
      <c r="I1608" s="54" t="s">
        <v>295</v>
      </c>
      <c r="J1608" s="54" t="s">
        <v>433</v>
      </c>
    </row>
    <row r="1609" customFormat="false" ht="15" hidden="false" customHeight="true" outlineLevel="0" collapsed="false">
      <c r="A1609" s="54" t="n">
        <v>20260710</v>
      </c>
      <c r="B1609" s="54" t="s">
        <v>306</v>
      </c>
      <c r="C1609" s="54" t="s">
        <v>290</v>
      </c>
      <c r="D1609" s="54" t="s">
        <v>3854</v>
      </c>
      <c r="E1609" s="54" t="s">
        <v>3855</v>
      </c>
      <c r="F1609" s="54" t="s">
        <v>3858</v>
      </c>
      <c r="G1609" s="54" t="s">
        <v>3859</v>
      </c>
      <c r="H1609" s="54" t="n">
        <v>11587</v>
      </c>
      <c r="I1609" s="54" t="s">
        <v>295</v>
      </c>
      <c r="J1609" s="54" t="s">
        <v>433</v>
      </c>
    </row>
    <row r="1610" customFormat="false" ht="15" hidden="false" customHeight="true" outlineLevel="0" collapsed="false">
      <c r="A1610" s="54" t="n">
        <v>20260710</v>
      </c>
      <c r="B1610" s="54" t="s">
        <v>306</v>
      </c>
      <c r="C1610" s="54" t="s">
        <v>290</v>
      </c>
      <c r="D1610" s="54" t="s">
        <v>3860</v>
      </c>
      <c r="E1610" s="54" t="s">
        <v>3861</v>
      </c>
      <c r="F1610" s="54" t="s">
        <v>3862</v>
      </c>
      <c r="G1610" s="54" t="s">
        <v>2771</v>
      </c>
      <c r="H1610" s="54" t="n">
        <v>19351</v>
      </c>
      <c r="I1610" s="54" t="s">
        <v>315</v>
      </c>
      <c r="J1610" s="54" t="s">
        <v>375</v>
      </c>
    </row>
    <row r="1611" customFormat="false" ht="15" hidden="false" customHeight="true" outlineLevel="0" collapsed="false">
      <c r="A1611" s="54" t="n">
        <v>20260710</v>
      </c>
      <c r="B1611" s="54" t="s">
        <v>306</v>
      </c>
      <c r="C1611" s="54" t="s">
        <v>290</v>
      </c>
      <c r="D1611" s="54" t="s">
        <v>3860</v>
      </c>
      <c r="E1611" s="54" t="s">
        <v>3861</v>
      </c>
      <c r="F1611" s="54" t="s">
        <v>3862</v>
      </c>
      <c r="G1611" s="54" t="s">
        <v>2771</v>
      </c>
      <c r="H1611" s="54" t="n">
        <v>19351</v>
      </c>
      <c r="I1611" s="54" t="s">
        <v>295</v>
      </c>
      <c r="J1611" s="54" t="s">
        <v>375</v>
      </c>
    </row>
    <row r="1612" customFormat="false" ht="15" hidden="false" customHeight="true" outlineLevel="0" collapsed="false">
      <c r="A1612" s="54" t="n">
        <v>20260710</v>
      </c>
      <c r="B1612" s="54" t="s">
        <v>306</v>
      </c>
      <c r="C1612" s="54" t="s">
        <v>290</v>
      </c>
      <c r="D1612" s="54" t="s">
        <v>3860</v>
      </c>
      <c r="E1612" s="54" t="s">
        <v>3861</v>
      </c>
      <c r="F1612" s="54" t="s">
        <v>3863</v>
      </c>
      <c r="G1612" s="54" t="s">
        <v>3864</v>
      </c>
      <c r="H1612" s="54" t="n">
        <v>10852</v>
      </c>
      <c r="I1612" s="54" t="s">
        <v>295</v>
      </c>
      <c r="J1612" s="54" t="s">
        <v>375</v>
      </c>
    </row>
    <row r="1613" customFormat="false" ht="15" hidden="false" customHeight="true" outlineLevel="0" collapsed="false">
      <c r="A1613" s="54" t="n">
        <v>20260710</v>
      </c>
      <c r="B1613" s="54" t="s">
        <v>306</v>
      </c>
      <c r="C1613" s="54" t="s">
        <v>290</v>
      </c>
      <c r="D1613" s="54" t="s">
        <v>3860</v>
      </c>
      <c r="E1613" s="54" t="s">
        <v>3861</v>
      </c>
      <c r="F1613" s="54" t="s">
        <v>3863</v>
      </c>
      <c r="G1613" s="54" t="s">
        <v>3865</v>
      </c>
      <c r="H1613" s="54" t="n">
        <v>10856</v>
      </c>
      <c r="I1613" s="54" t="s">
        <v>315</v>
      </c>
      <c r="J1613" s="54" t="s">
        <v>375</v>
      </c>
    </row>
    <row r="1614" customFormat="false" ht="15" hidden="false" customHeight="true" outlineLevel="0" collapsed="false">
      <c r="A1614" s="54" t="n">
        <v>20260710</v>
      </c>
      <c r="B1614" s="54" t="s">
        <v>535</v>
      </c>
      <c r="C1614" s="54" t="s">
        <v>290</v>
      </c>
      <c r="D1614" s="54" t="s">
        <v>3866</v>
      </c>
      <c r="E1614" s="54" t="s">
        <v>3867</v>
      </c>
      <c r="F1614" s="54" t="s">
        <v>3868</v>
      </c>
      <c r="G1614" s="54" t="s">
        <v>3869</v>
      </c>
      <c r="H1614" s="54" t="n">
        <v>18183</v>
      </c>
      <c r="I1614" s="54" t="s">
        <v>295</v>
      </c>
      <c r="J1614" s="54" t="s">
        <v>811</v>
      </c>
    </row>
    <row r="1615" customFormat="false" ht="15" hidden="false" customHeight="true" outlineLevel="0" collapsed="false">
      <c r="A1615" s="54" t="n">
        <v>20260710</v>
      </c>
      <c r="B1615" s="54" t="s">
        <v>535</v>
      </c>
      <c r="C1615" s="54" t="s">
        <v>290</v>
      </c>
      <c r="D1615" s="54" t="s">
        <v>3866</v>
      </c>
      <c r="E1615" s="54" t="s">
        <v>3867</v>
      </c>
      <c r="F1615" s="54" t="s">
        <v>3870</v>
      </c>
      <c r="G1615" s="54" t="s">
        <v>2027</v>
      </c>
      <c r="H1615" s="54" t="n">
        <v>10744</v>
      </c>
      <c r="I1615" s="54" t="s">
        <v>295</v>
      </c>
      <c r="J1615" s="54" t="s">
        <v>811</v>
      </c>
    </row>
    <row r="1616" customFormat="false" ht="15" hidden="false" customHeight="true" outlineLevel="0" collapsed="false">
      <c r="A1616" s="54" t="n">
        <v>20260710</v>
      </c>
      <c r="B1616" s="54" t="s">
        <v>289</v>
      </c>
      <c r="C1616" s="54" t="s">
        <v>290</v>
      </c>
      <c r="D1616" s="54" t="s">
        <v>3871</v>
      </c>
      <c r="E1616" s="54" t="s">
        <v>3872</v>
      </c>
      <c r="F1616" s="54" t="s">
        <v>3873</v>
      </c>
      <c r="G1616" s="54" t="s">
        <v>3874</v>
      </c>
      <c r="H1616" s="54" t="n">
        <v>15993</v>
      </c>
      <c r="I1616" s="54" t="s">
        <v>295</v>
      </c>
      <c r="J1616" s="54" t="s">
        <v>569</v>
      </c>
    </row>
    <row r="1617" customFormat="false" ht="15" hidden="false" customHeight="true" outlineLevel="0" collapsed="false">
      <c r="A1617" s="54" t="n">
        <v>20260710</v>
      </c>
      <c r="B1617" s="54" t="s">
        <v>289</v>
      </c>
      <c r="C1617" s="54" t="s">
        <v>290</v>
      </c>
      <c r="D1617" s="54" t="s">
        <v>3871</v>
      </c>
      <c r="E1617" s="54" t="s">
        <v>3872</v>
      </c>
      <c r="F1617" s="54" t="s">
        <v>3875</v>
      </c>
      <c r="G1617" s="54" t="s">
        <v>3876</v>
      </c>
      <c r="H1617" s="54" t="n">
        <v>438</v>
      </c>
      <c r="I1617" s="54" t="s">
        <v>295</v>
      </c>
      <c r="J1617" s="54" t="s">
        <v>569</v>
      </c>
    </row>
    <row r="1618" customFormat="false" ht="15" hidden="false" customHeight="true" outlineLevel="0" collapsed="false">
      <c r="A1618" s="54" t="n">
        <v>20260710</v>
      </c>
      <c r="B1618" s="54" t="s">
        <v>289</v>
      </c>
      <c r="C1618" s="54" t="s">
        <v>290</v>
      </c>
      <c r="D1618" s="54" t="s">
        <v>3871</v>
      </c>
      <c r="E1618" s="54" t="s">
        <v>3872</v>
      </c>
      <c r="F1618" s="54" t="s">
        <v>3877</v>
      </c>
      <c r="G1618" s="54" t="s">
        <v>3878</v>
      </c>
      <c r="H1618" s="54" t="n">
        <v>13742</v>
      </c>
      <c r="I1618" s="54" t="s">
        <v>295</v>
      </c>
      <c r="J1618" s="54" t="s">
        <v>569</v>
      </c>
    </row>
    <row r="1619" customFormat="false" ht="15" hidden="false" customHeight="true" outlineLevel="0" collapsed="false">
      <c r="A1619" s="54" t="n">
        <v>20260710</v>
      </c>
      <c r="B1619" s="54" t="s">
        <v>289</v>
      </c>
      <c r="C1619" s="54" t="s">
        <v>290</v>
      </c>
      <c r="D1619" s="54" t="s">
        <v>3871</v>
      </c>
      <c r="E1619" s="54" t="s">
        <v>3872</v>
      </c>
      <c r="F1619" s="54" t="s">
        <v>3879</v>
      </c>
      <c r="G1619" s="54" t="s">
        <v>3880</v>
      </c>
      <c r="H1619" s="54" t="n">
        <v>1843</v>
      </c>
      <c r="I1619" s="54" t="s">
        <v>295</v>
      </c>
      <c r="J1619" s="54" t="s">
        <v>569</v>
      </c>
    </row>
    <row r="1620" customFormat="false" ht="15" hidden="false" customHeight="true" outlineLevel="0" collapsed="false">
      <c r="A1620" s="54" t="n">
        <v>20260710</v>
      </c>
      <c r="B1620" s="54" t="s">
        <v>289</v>
      </c>
      <c r="C1620" s="54" t="s">
        <v>290</v>
      </c>
      <c r="D1620" s="54" t="s">
        <v>3881</v>
      </c>
      <c r="E1620" s="54" t="s">
        <v>3882</v>
      </c>
      <c r="F1620" s="54" t="s">
        <v>3883</v>
      </c>
      <c r="G1620" s="54" t="s">
        <v>1036</v>
      </c>
      <c r="H1620" s="54" t="n">
        <v>18022</v>
      </c>
      <c r="I1620" s="54" t="s">
        <v>295</v>
      </c>
      <c r="J1620" s="54" t="s">
        <v>569</v>
      </c>
    </row>
    <row r="1621" customFormat="false" ht="15" hidden="false" customHeight="true" outlineLevel="0" collapsed="false">
      <c r="A1621" s="54" t="n">
        <v>20260710</v>
      </c>
      <c r="B1621" s="54" t="s">
        <v>289</v>
      </c>
      <c r="C1621" s="54" t="s">
        <v>290</v>
      </c>
      <c r="D1621" s="54" t="s">
        <v>3881</v>
      </c>
      <c r="E1621" s="54" t="s">
        <v>3882</v>
      </c>
      <c r="F1621" s="54" t="s">
        <v>719</v>
      </c>
      <c r="G1621" s="54" t="s">
        <v>3884</v>
      </c>
      <c r="H1621" s="54" t="n">
        <v>11242</v>
      </c>
      <c r="I1621" s="54" t="s">
        <v>295</v>
      </c>
      <c r="J1621" s="54" t="s">
        <v>569</v>
      </c>
    </row>
    <row r="1622" customFormat="false" ht="15" hidden="false" customHeight="true" outlineLevel="0" collapsed="false">
      <c r="A1622" s="54" t="n">
        <v>20260710</v>
      </c>
      <c r="B1622" s="54" t="s">
        <v>289</v>
      </c>
      <c r="C1622" s="54" t="s">
        <v>290</v>
      </c>
      <c r="D1622" s="54" t="s">
        <v>3885</v>
      </c>
      <c r="E1622" s="54" t="s">
        <v>3886</v>
      </c>
      <c r="F1622" s="54" t="s">
        <v>3887</v>
      </c>
      <c r="G1622" s="54" t="s">
        <v>3888</v>
      </c>
      <c r="H1622" s="54" t="n">
        <v>18631</v>
      </c>
      <c r="I1622" s="54" t="s">
        <v>295</v>
      </c>
      <c r="J1622" s="54" t="s">
        <v>569</v>
      </c>
    </row>
    <row r="1623" customFormat="false" ht="15" hidden="false" customHeight="true" outlineLevel="0" collapsed="false">
      <c r="A1623" s="54" t="n">
        <v>20260710</v>
      </c>
      <c r="B1623" s="54" t="s">
        <v>289</v>
      </c>
      <c r="C1623" s="54" t="s">
        <v>290</v>
      </c>
      <c r="D1623" s="54" t="s">
        <v>3885</v>
      </c>
      <c r="E1623" s="54" t="s">
        <v>3886</v>
      </c>
      <c r="F1623" s="54" t="s">
        <v>947</v>
      </c>
      <c r="G1623" s="54" t="s">
        <v>1128</v>
      </c>
      <c r="H1623" s="54" t="n">
        <v>10395</v>
      </c>
      <c r="I1623" s="54" t="s">
        <v>295</v>
      </c>
      <c r="J1623" s="54" t="s">
        <v>569</v>
      </c>
    </row>
    <row r="1624" customFormat="false" ht="15" hidden="false" customHeight="true" outlineLevel="0" collapsed="false">
      <c r="A1624" s="54" t="n">
        <v>20260710</v>
      </c>
      <c r="B1624" s="54" t="s">
        <v>306</v>
      </c>
      <c r="C1624" s="54" t="s">
        <v>307</v>
      </c>
      <c r="D1624" s="54" t="s">
        <v>3889</v>
      </c>
      <c r="E1624" s="54" t="s">
        <v>3890</v>
      </c>
      <c r="F1624" s="54" t="s">
        <v>3891</v>
      </c>
      <c r="G1624" s="54" t="s">
        <v>3892</v>
      </c>
      <c r="H1624" s="54" t="n">
        <v>6</v>
      </c>
      <c r="I1624" s="54" t="s">
        <v>295</v>
      </c>
      <c r="J1624" s="54" t="s">
        <v>2347</v>
      </c>
    </row>
    <row r="1625" customFormat="false" ht="15" hidden="false" customHeight="true" outlineLevel="0" collapsed="false">
      <c r="A1625" s="54" t="n">
        <v>20260710</v>
      </c>
      <c r="B1625" s="54" t="s">
        <v>306</v>
      </c>
      <c r="C1625" s="54" t="s">
        <v>307</v>
      </c>
      <c r="D1625" s="54" t="s">
        <v>3889</v>
      </c>
      <c r="E1625" s="54" t="s">
        <v>3890</v>
      </c>
      <c r="F1625" s="54" t="s">
        <v>3893</v>
      </c>
      <c r="G1625" s="54" t="s">
        <v>3892</v>
      </c>
      <c r="H1625" s="54" t="n">
        <v>5</v>
      </c>
      <c r="I1625" s="54" t="s">
        <v>315</v>
      </c>
      <c r="J1625" s="54" t="s">
        <v>2347</v>
      </c>
    </row>
    <row r="1626" customFormat="false" ht="15" hidden="false" customHeight="true" outlineLevel="0" collapsed="false">
      <c r="A1626" s="54" t="n">
        <v>20260710</v>
      </c>
      <c r="B1626" s="54" t="s">
        <v>306</v>
      </c>
      <c r="C1626" s="54" t="s">
        <v>307</v>
      </c>
      <c r="D1626" s="54" t="s">
        <v>3889</v>
      </c>
      <c r="E1626" s="54" t="s">
        <v>3890</v>
      </c>
      <c r="F1626" s="54" t="s">
        <v>3894</v>
      </c>
      <c r="G1626" s="54" t="s">
        <v>3895</v>
      </c>
      <c r="H1626" s="54" t="n">
        <v>16462</v>
      </c>
      <c r="I1626" s="54" t="s">
        <v>315</v>
      </c>
      <c r="J1626" s="54" t="s">
        <v>2347</v>
      </c>
    </row>
    <row r="1627" customFormat="false" ht="15" hidden="false" customHeight="true" outlineLevel="0" collapsed="false">
      <c r="A1627" s="54" t="n">
        <v>20260710</v>
      </c>
      <c r="B1627" s="54" t="s">
        <v>306</v>
      </c>
      <c r="C1627" s="54" t="s">
        <v>307</v>
      </c>
      <c r="D1627" s="54" t="s">
        <v>3889</v>
      </c>
      <c r="E1627" s="54" t="s">
        <v>3890</v>
      </c>
      <c r="F1627" s="54" t="s">
        <v>3894</v>
      </c>
      <c r="G1627" s="54" t="s">
        <v>3895</v>
      </c>
      <c r="H1627" s="54" t="n">
        <v>16462</v>
      </c>
      <c r="I1627" s="54" t="s">
        <v>295</v>
      </c>
      <c r="J1627" s="54" t="s">
        <v>2347</v>
      </c>
    </row>
    <row r="1628" customFormat="false" ht="15" hidden="false" customHeight="true" outlineLevel="0" collapsed="false">
      <c r="A1628" s="54" t="n">
        <v>20260710</v>
      </c>
      <c r="B1628" s="54" t="s">
        <v>306</v>
      </c>
      <c r="C1628" s="54" t="s">
        <v>307</v>
      </c>
      <c r="D1628" s="54" t="s">
        <v>3889</v>
      </c>
      <c r="E1628" s="54" t="s">
        <v>3890</v>
      </c>
      <c r="F1628" s="54" t="s">
        <v>3896</v>
      </c>
      <c r="G1628" s="54" t="s">
        <v>3897</v>
      </c>
      <c r="H1628" s="54" t="n">
        <v>2403</v>
      </c>
      <c r="I1628" s="54" t="s">
        <v>315</v>
      </c>
      <c r="J1628" s="54" t="s">
        <v>2347</v>
      </c>
    </row>
    <row r="1629" customFormat="false" ht="15" hidden="false" customHeight="true" outlineLevel="0" collapsed="false">
      <c r="A1629" s="54" t="n">
        <v>20260710</v>
      </c>
      <c r="B1629" s="54" t="s">
        <v>306</v>
      </c>
      <c r="C1629" s="54" t="s">
        <v>307</v>
      </c>
      <c r="D1629" s="54" t="s">
        <v>3889</v>
      </c>
      <c r="E1629" s="54" t="s">
        <v>3890</v>
      </c>
      <c r="F1629" s="54" t="s">
        <v>3896</v>
      </c>
      <c r="G1629" s="54" t="s">
        <v>3897</v>
      </c>
      <c r="H1629" s="54" t="n">
        <v>2403</v>
      </c>
      <c r="I1629" s="54" t="s">
        <v>295</v>
      </c>
      <c r="J1629" s="54" t="s">
        <v>2347</v>
      </c>
    </row>
    <row r="1630" customFormat="false" ht="15" hidden="false" customHeight="true" outlineLevel="0" collapsed="false">
      <c r="A1630" s="54" t="n">
        <v>20260710</v>
      </c>
      <c r="B1630" s="54" t="s">
        <v>306</v>
      </c>
      <c r="C1630" s="54" t="s">
        <v>307</v>
      </c>
      <c r="D1630" s="54" t="s">
        <v>3889</v>
      </c>
      <c r="E1630" s="54" t="s">
        <v>3890</v>
      </c>
      <c r="F1630" s="54" t="s">
        <v>3898</v>
      </c>
      <c r="G1630" s="54" t="s">
        <v>3899</v>
      </c>
      <c r="H1630" s="54" t="n">
        <v>13605</v>
      </c>
      <c r="I1630" s="54" t="s">
        <v>315</v>
      </c>
      <c r="J1630" s="54" t="s">
        <v>2347</v>
      </c>
    </row>
    <row r="1631" customFormat="false" ht="15" hidden="false" customHeight="true" outlineLevel="0" collapsed="false">
      <c r="A1631" s="54" t="n">
        <v>20260710</v>
      </c>
      <c r="B1631" s="54" t="s">
        <v>306</v>
      </c>
      <c r="C1631" s="54" t="s">
        <v>307</v>
      </c>
      <c r="D1631" s="54" t="s">
        <v>3889</v>
      </c>
      <c r="E1631" s="54" t="s">
        <v>3890</v>
      </c>
      <c r="F1631" s="54" t="s">
        <v>3898</v>
      </c>
      <c r="G1631" s="54" t="s">
        <v>3899</v>
      </c>
      <c r="H1631" s="54" t="n">
        <v>13605</v>
      </c>
      <c r="I1631" s="54" t="s">
        <v>295</v>
      </c>
      <c r="J1631" s="54" t="s">
        <v>2347</v>
      </c>
    </row>
    <row r="1632" customFormat="false" ht="15" hidden="false" customHeight="true" outlineLevel="0" collapsed="false">
      <c r="A1632" s="54" t="n">
        <v>20260710</v>
      </c>
      <c r="B1632" s="54" t="s">
        <v>289</v>
      </c>
      <c r="C1632" s="54" t="s">
        <v>290</v>
      </c>
      <c r="D1632" s="54" t="s">
        <v>3900</v>
      </c>
      <c r="E1632" s="54" t="s">
        <v>3901</v>
      </c>
      <c r="F1632" s="54" t="s">
        <v>3902</v>
      </c>
      <c r="G1632" s="54" t="s">
        <v>3903</v>
      </c>
      <c r="H1632" s="54" t="n">
        <v>4</v>
      </c>
      <c r="I1632" s="54" t="s">
        <v>360</v>
      </c>
      <c r="J1632" s="54" t="s">
        <v>1463</v>
      </c>
    </row>
    <row r="1633" customFormat="false" ht="15" hidden="false" customHeight="true" outlineLevel="0" collapsed="false">
      <c r="A1633" s="54" t="n">
        <v>20260710</v>
      </c>
      <c r="B1633" s="54" t="s">
        <v>289</v>
      </c>
      <c r="C1633" s="54" t="s">
        <v>290</v>
      </c>
      <c r="D1633" s="54" t="s">
        <v>3900</v>
      </c>
      <c r="E1633" s="54" t="s">
        <v>3901</v>
      </c>
      <c r="F1633" s="54" t="s">
        <v>3902</v>
      </c>
      <c r="G1633" s="54" t="s">
        <v>3903</v>
      </c>
      <c r="H1633" s="54" t="n">
        <v>4</v>
      </c>
      <c r="I1633" s="54" t="s">
        <v>295</v>
      </c>
      <c r="J1633" s="54" t="s">
        <v>1463</v>
      </c>
    </row>
    <row r="1634" customFormat="false" ht="15" hidden="false" customHeight="true" outlineLevel="0" collapsed="false">
      <c r="A1634" s="54" t="n">
        <v>20260710</v>
      </c>
      <c r="B1634" s="54" t="s">
        <v>289</v>
      </c>
      <c r="C1634" s="54" t="s">
        <v>290</v>
      </c>
      <c r="D1634" s="54" t="s">
        <v>3900</v>
      </c>
      <c r="E1634" s="54" t="s">
        <v>3901</v>
      </c>
      <c r="F1634" s="54" t="s">
        <v>3904</v>
      </c>
      <c r="G1634" s="54" t="s">
        <v>3905</v>
      </c>
      <c r="H1634" s="54" t="n">
        <v>14631</v>
      </c>
      <c r="I1634" s="54" t="s">
        <v>360</v>
      </c>
      <c r="J1634" s="54" t="s">
        <v>1463</v>
      </c>
    </row>
    <row r="1635" customFormat="false" ht="15" hidden="false" customHeight="true" outlineLevel="0" collapsed="false">
      <c r="A1635" s="54" t="n">
        <v>20260710</v>
      </c>
      <c r="B1635" s="54" t="s">
        <v>289</v>
      </c>
      <c r="C1635" s="54" t="s">
        <v>290</v>
      </c>
      <c r="D1635" s="54" t="s">
        <v>3900</v>
      </c>
      <c r="E1635" s="54" t="s">
        <v>3901</v>
      </c>
      <c r="F1635" s="54" t="s">
        <v>3904</v>
      </c>
      <c r="G1635" s="54" t="s">
        <v>3905</v>
      </c>
      <c r="H1635" s="54" t="n">
        <v>14631</v>
      </c>
      <c r="I1635" s="54" t="s">
        <v>295</v>
      </c>
      <c r="J1635" s="54" t="s">
        <v>1463</v>
      </c>
    </row>
    <row r="1636" customFormat="false" ht="15" hidden="false" customHeight="true" outlineLevel="0" collapsed="false">
      <c r="A1636" s="54" t="n">
        <v>20260710</v>
      </c>
      <c r="B1636" s="54" t="s">
        <v>289</v>
      </c>
      <c r="C1636" s="54" t="s">
        <v>290</v>
      </c>
      <c r="D1636" s="54" t="s">
        <v>3900</v>
      </c>
      <c r="E1636" s="54" t="s">
        <v>3901</v>
      </c>
      <c r="F1636" s="54" t="s">
        <v>3906</v>
      </c>
      <c r="G1636" s="54" t="s">
        <v>3907</v>
      </c>
      <c r="H1636" s="54" t="n">
        <v>7672</v>
      </c>
      <c r="I1636" s="54" t="s">
        <v>360</v>
      </c>
      <c r="J1636" s="54" t="s">
        <v>1463</v>
      </c>
    </row>
    <row r="1637" customFormat="false" ht="15" hidden="false" customHeight="true" outlineLevel="0" collapsed="false">
      <c r="A1637" s="54" t="n">
        <v>20260710</v>
      </c>
      <c r="B1637" s="54" t="s">
        <v>289</v>
      </c>
      <c r="C1637" s="54" t="s">
        <v>290</v>
      </c>
      <c r="D1637" s="54" t="s">
        <v>3900</v>
      </c>
      <c r="E1637" s="54" t="s">
        <v>3901</v>
      </c>
      <c r="F1637" s="54" t="s">
        <v>3906</v>
      </c>
      <c r="G1637" s="54" t="s">
        <v>3907</v>
      </c>
      <c r="H1637" s="54" t="n">
        <v>7672</v>
      </c>
      <c r="I1637" s="54" t="s">
        <v>295</v>
      </c>
      <c r="J1637" s="54" t="s">
        <v>1463</v>
      </c>
    </row>
    <row r="1638" customFormat="false" ht="15" hidden="false" customHeight="true" outlineLevel="0" collapsed="false">
      <c r="A1638" s="54" t="n">
        <v>20260710</v>
      </c>
      <c r="B1638" s="54" t="s">
        <v>289</v>
      </c>
      <c r="C1638" s="54" t="s">
        <v>290</v>
      </c>
      <c r="D1638" s="54" t="s">
        <v>3900</v>
      </c>
      <c r="E1638" s="54" t="s">
        <v>3901</v>
      </c>
      <c r="F1638" s="54" t="s">
        <v>3908</v>
      </c>
      <c r="G1638" s="54" t="s">
        <v>3909</v>
      </c>
      <c r="H1638" s="54" t="n">
        <v>6736</v>
      </c>
      <c r="I1638" s="54" t="s">
        <v>295</v>
      </c>
      <c r="J1638" s="54" t="s">
        <v>1463</v>
      </c>
    </row>
    <row r="1639" customFormat="false" ht="15" hidden="false" customHeight="true" outlineLevel="0" collapsed="false">
      <c r="A1639" s="54" t="n">
        <v>20260710</v>
      </c>
      <c r="B1639" s="54" t="s">
        <v>289</v>
      </c>
      <c r="C1639" s="54" t="s">
        <v>290</v>
      </c>
      <c r="D1639" s="54" t="s">
        <v>3900</v>
      </c>
      <c r="E1639" s="54" t="s">
        <v>3901</v>
      </c>
      <c r="F1639" s="54" t="s">
        <v>3910</v>
      </c>
      <c r="G1639" s="54" t="s">
        <v>3909</v>
      </c>
      <c r="H1639" s="54" t="n">
        <v>6706</v>
      </c>
      <c r="I1639" s="54" t="s">
        <v>360</v>
      </c>
      <c r="J1639" s="54" t="s">
        <v>1463</v>
      </c>
    </row>
    <row r="1640" customFormat="false" ht="15" hidden="false" customHeight="true" outlineLevel="0" collapsed="false">
      <c r="A1640" s="54" t="n">
        <v>20260710</v>
      </c>
      <c r="B1640" s="54" t="s">
        <v>306</v>
      </c>
      <c r="C1640" s="54" t="s">
        <v>290</v>
      </c>
      <c r="D1640" s="54" t="s">
        <v>3911</v>
      </c>
      <c r="E1640" s="54" t="s">
        <v>3912</v>
      </c>
      <c r="F1640" s="54" t="s">
        <v>3913</v>
      </c>
      <c r="G1640" s="54" t="s">
        <v>3914</v>
      </c>
      <c r="H1640" s="54" t="n">
        <v>21958</v>
      </c>
      <c r="I1640" s="54" t="s">
        <v>295</v>
      </c>
      <c r="J1640" s="54" t="s">
        <v>368</v>
      </c>
    </row>
    <row r="1641" customFormat="false" ht="15" hidden="false" customHeight="true" outlineLevel="0" collapsed="false">
      <c r="A1641" s="54" t="n">
        <v>20260710</v>
      </c>
      <c r="B1641" s="54" t="s">
        <v>306</v>
      </c>
      <c r="C1641" s="54" t="s">
        <v>290</v>
      </c>
      <c r="D1641" s="54" t="s">
        <v>3911</v>
      </c>
      <c r="E1641" s="54" t="s">
        <v>3912</v>
      </c>
      <c r="F1641" s="54" t="s">
        <v>3915</v>
      </c>
      <c r="G1641" s="54" t="s">
        <v>3914</v>
      </c>
      <c r="H1641" s="54" t="n">
        <v>21956</v>
      </c>
      <c r="I1641" s="54" t="s">
        <v>315</v>
      </c>
      <c r="J1641" s="54" t="s">
        <v>368</v>
      </c>
    </row>
    <row r="1642" customFormat="false" ht="15" hidden="false" customHeight="true" outlineLevel="0" collapsed="false">
      <c r="A1642" s="54" t="n">
        <v>20260710</v>
      </c>
      <c r="B1642" s="54" t="s">
        <v>306</v>
      </c>
      <c r="C1642" s="54" t="s">
        <v>290</v>
      </c>
      <c r="D1642" s="54" t="s">
        <v>3911</v>
      </c>
      <c r="E1642" s="54" t="s">
        <v>3912</v>
      </c>
      <c r="F1642" s="54" t="s">
        <v>3916</v>
      </c>
      <c r="G1642" s="54" t="s">
        <v>3917</v>
      </c>
      <c r="H1642" s="54" t="n">
        <v>7166</v>
      </c>
      <c r="I1642" s="54" t="s">
        <v>295</v>
      </c>
      <c r="J1642" s="54" t="s">
        <v>368</v>
      </c>
    </row>
    <row r="1643" customFormat="false" ht="15" hidden="false" customHeight="true" outlineLevel="0" collapsed="false">
      <c r="A1643" s="54" t="n">
        <v>20260710</v>
      </c>
      <c r="B1643" s="54" t="s">
        <v>306</v>
      </c>
      <c r="C1643" s="54" t="s">
        <v>290</v>
      </c>
      <c r="D1643" s="54" t="s">
        <v>3911</v>
      </c>
      <c r="E1643" s="54" t="s">
        <v>3912</v>
      </c>
      <c r="F1643" s="54" t="s">
        <v>3918</v>
      </c>
      <c r="G1643" s="54" t="s">
        <v>3917</v>
      </c>
      <c r="H1643" s="54" t="n">
        <v>7165</v>
      </c>
      <c r="I1643" s="54" t="s">
        <v>315</v>
      </c>
      <c r="J1643" s="54" t="s">
        <v>368</v>
      </c>
    </row>
    <row r="1644" customFormat="false" ht="15" hidden="false" customHeight="true" outlineLevel="0" collapsed="false">
      <c r="A1644" s="54" t="n">
        <v>20260710</v>
      </c>
      <c r="B1644" s="54" t="s">
        <v>306</v>
      </c>
      <c r="C1644" s="54" t="s">
        <v>290</v>
      </c>
      <c r="D1644" s="54" t="s">
        <v>3919</v>
      </c>
      <c r="E1644" s="54" t="s">
        <v>3920</v>
      </c>
      <c r="F1644" s="54" t="s">
        <v>1664</v>
      </c>
      <c r="G1644" s="54" t="s">
        <v>3921</v>
      </c>
      <c r="H1644" s="54" t="n">
        <v>16870</v>
      </c>
      <c r="I1644" s="54" t="s">
        <v>295</v>
      </c>
      <c r="J1644" s="54" t="s">
        <v>375</v>
      </c>
    </row>
    <row r="1645" customFormat="false" ht="15" hidden="false" customHeight="true" outlineLevel="0" collapsed="false">
      <c r="A1645" s="54" t="n">
        <v>20260710</v>
      </c>
      <c r="B1645" s="54" t="s">
        <v>306</v>
      </c>
      <c r="C1645" s="54" t="s">
        <v>290</v>
      </c>
      <c r="D1645" s="54" t="s">
        <v>3919</v>
      </c>
      <c r="E1645" s="54" t="s">
        <v>3920</v>
      </c>
      <c r="F1645" s="54" t="s">
        <v>3922</v>
      </c>
      <c r="G1645" s="54" t="s">
        <v>3923</v>
      </c>
      <c r="H1645" s="54" t="n">
        <v>12214</v>
      </c>
      <c r="I1645" s="54" t="s">
        <v>295</v>
      </c>
      <c r="J1645" s="54" t="s">
        <v>375</v>
      </c>
    </row>
    <row r="1646" customFormat="false" ht="15" hidden="false" customHeight="true" outlineLevel="0" collapsed="false">
      <c r="A1646" s="54" t="n">
        <v>20260710</v>
      </c>
      <c r="B1646" s="54" t="s">
        <v>306</v>
      </c>
      <c r="C1646" s="54" t="s">
        <v>290</v>
      </c>
      <c r="D1646" s="54" t="s">
        <v>3924</v>
      </c>
      <c r="E1646" s="54" t="s">
        <v>433</v>
      </c>
      <c r="F1646" s="54" t="s">
        <v>3925</v>
      </c>
      <c r="G1646" s="54" t="s">
        <v>3926</v>
      </c>
      <c r="H1646" s="54" t="n">
        <v>28800</v>
      </c>
      <c r="I1646" s="54" t="s">
        <v>295</v>
      </c>
      <c r="J1646" s="54" t="s">
        <v>1960</v>
      </c>
    </row>
    <row r="1647" customFormat="false" ht="15" hidden="false" customHeight="true" outlineLevel="0" collapsed="false">
      <c r="A1647" s="54" t="n">
        <v>20260710</v>
      </c>
      <c r="B1647" s="54" t="s">
        <v>497</v>
      </c>
      <c r="C1647" s="54" t="s">
        <v>290</v>
      </c>
      <c r="D1647" s="54" t="s">
        <v>3927</v>
      </c>
      <c r="E1647" s="54" t="s">
        <v>3928</v>
      </c>
      <c r="F1647" s="54" t="s">
        <v>3929</v>
      </c>
      <c r="G1647" s="54" t="s">
        <v>1357</v>
      </c>
      <c r="H1647" s="54" t="n">
        <v>17908</v>
      </c>
      <c r="I1647" s="54" t="s">
        <v>295</v>
      </c>
      <c r="J1647" s="54" t="s">
        <v>811</v>
      </c>
    </row>
    <row r="1648" customFormat="false" ht="15" hidden="false" customHeight="true" outlineLevel="0" collapsed="false">
      <c r="A1648" s="54" t="n">
        <v>20260710</v>
      </c>
      <c r="B1648" s="54" t="s">
        <v>497</v>
      </c>
      <c r="C1648" s="54" t="s">
        <v>290</v>
      </c>
      <c r="D1648" s="54" t="s">
        <v>3927</v>
      </c>
      <c r="E1648" s="54" t="s">
        <v>3928</v>
      </c>
      <c r="F1648" s="54" t="s">
        <v>3929</v>
      </c>
      <c r="G1648" s="54" t="s">
        <v>3930</v>
      </c>
      <c r="H1648" s="54" t="n">
        <v>28800</v>
      </c>
      <c r="I1648" s="54" t="s">
        <v>315</v>
      </c>
      <c r="J1648" s="54" t="s">
        <v>811</v>
      </c>
    </row>
    <row r="1649" customFormat="false" ht="15" hidden="false" customHeight="true" outlineLevel="0" collapsed="false">
      <c r="A1649" s="54" t="n">
        <v>20260710</v>
      </c>
      <c r="B1649" s="54" t="s">
        <v>497</v>
      </c>
      <c r="C1649" s="54" t="s">
        <v>290</v>
      </c>
      <c r="D1649" s="54" t="s">
        <v>3927</v>
      </c>
      <c r="E1649" s="54" t="s">
        <v>3928</v>
      </c>
      <c r="F1649" s="54" t="s">
        <v>3931</v>
      </c>
      <c r="G1649" s="54" t="s">
        <v>3932</v>
      </c>
      <c r="H1649" s="54" t="n">
        <v>7164</v>
      </c>
      <c r="I1649" s="54" t="s">
        <v>295</v>
      </c>
      <c r="J1649" s="54" t="s">
        <v>811</v>
      </c>
    </row>
    <row r="1650" customFormat="false" ht="15" hidden="false" customHeight="true" outlineLevel="0" collapsed="false">
      <c r="A1650" s="54" t="n">
        <v>20260710</v>
      </c>
      <c r="B1650" s="54" t="s">
        <v>306</v>
      </c>
      <c r="C1650" s="54" t="s">
        <v>290</v>
      </c>
      <c r="D1650" s="54" t="s">
        <v>429</v>
      </c>
      <c r="E1650" s="54" t="s">
        <v>430</v>
      </c>
      <c r="F1650" s="54" t="s">
        <v>3933</v>
      </c>
      <c r="G1650" s="54" t="s">
        <v>3934</v>
      </c>
      <c r="H1650" s="54" t="n">
        <v>14441</v>
      </c>
      <c r="I1650" s="54" t="s">
        <v>315</v>
      </c>
      <c r="J1650" s="54" t="s">
        <v>433</v>
      </c>
    </row>
    <row r="1651" customFormat="false" ht="15" hidden="false" customHeight="true" outlineLevel="0" collapsed="false">
      <c r="A1651" s="54" t="n">
        <v>20260710</v>
      </c>
      <c r="B1651" s="54" t="s">
        <v>306</v>
      </c>
      <c r="C1651" s="54" t="s">
        <v>290</v>
      </c>
      <c r="D1651" s="54" t="s">
        <v>429</v>
      </c>
      <c r="E1651" s="54" t="s">
        <v>430</v>
      </c>
      <c r="F1651" s="54" t="s">
        <v>3933</v>
      </c>
      <c r="G1651" s="54" t="s">
        <v>3934</v>
      </c>
      <c r="H1651" s="54" t="n">
        <v>14441</v>
      </c>
      <c r="I1651" s="54" t="s">
        <v>295</v>
      </c>
      <c r="J1651" s="54" t="s">
        <v>433</v>
      </c>
    </row>
    <row r="1652" customFormat="false" ht="15" hidden="false" customHeight="true" outlineLevel="0" collapsed="false">
      <c r="A1652" s="54" t="n">
        <v>20260710</v>
      </c>
      <c r="B1652" s="54" t="s">
        <v>306</v>
      </c>
      <c r="C1652" s="54" t="s">
        <v>290</v>
      </c>
      <c r="D1652" s="54" t="s">
        <v>429</v>
      </c>
      <c r="E1652" s="54" t="s">
        <v>430</v>
      </c>
      <c r="F1652" s="54" t="s">
        <v>3935</v>
      </c>
      <c r="G1652" s="54" t="s">
        <v>1055</v>
      </c>
      <c r="H1652" s="54" t="n">
        <v>14370</v>
      </c>
      <c r="I1652" s="54" t="s">
        <v>315</v>
      </c>
      <c r="J1652" s="54" t="s">
        <v>433</v>
      </c>
    </row>
    <row r="1653" customFormat="false" ht="15" hidden="false" customHeight="true" outlineLevel="0" collapsed="false">
      <c r="A1653" s="54" t="n">
        <v>20260710</v>
      </c>
      <c r="B1653" s="54" t="s">
        <v>306</v>
      </c>
      <c r="C1653" s="54" t="s">
        <v>290</v>
      </c>
      <c r="D1653" s="54" t="s">
        <v>429</v>
      </c>
      <c r="E1653" s="54" t="s">
        <v>430</v>
      </c>
      <c r="F1653" s="54" t="s">
        <v>3935</v>
      </c>
      <c r="G1653" s="54" t="s">
        <v>1055</v>
      </c>
      <c r="H1653" s="54" t="n">
        <v>14370</v>
      </c>
      <c r="I1653" s="54" t="s">
        <v>295</v>
      </c>
      <c r="J1653" s="54" t="s">
        <v>433</v>
      </c>
    </row>
    <row r="1654" customFormat="false" ht="15" hidden="false" customHeight="true" outlineLevel="0" collapsed="false">
      <c r="A1654" s="54" t="n">
        <v>20260710</v>
      </c>
      <c r="B1654" s="54" t="s">
        <v>289</v>
      </c>
      <c r="C1654" s="54" t="s">
        <v>290</v>
      </c>
      <c r="D1654" s="54" t="s">
        <v>3936</v>
      </c>
      <c r="E1654" s="54" t="s">
        <v>3937</v>
      </c>
      <c r="F1654" s="54" t="s">
        <v>2138</v>
      </c>
      <c r="G1654" s="54" t="s">
        <v>3938</v>
      </c>
      <c r="H1654" s="54" t="n">
        <v>14927</v>
      </c>
      <c r="I1654" s="54" t="s">
        <v>295</v>
      </c>
      <c r="J1654" s="54" t="s">
        <v>1431</v>
      </c>
    </row>
    <row r="1655" customFormat="false" ht="15" hidden="false" customHeight="true" outlineLevel="0" collapsed="false">
      <c r="A1655" s="54" t="n">
        <v>20260710</v>
      </c>
      <c r="B1655" s="54" t="s">
        <v>289</v>
      </c>
      <c r="C1655" s="54" t="s">
        <v>290</v>
      </c>
      <c r="D1655" s="54" t="s">
        <v>3936</v>
      </c>
      <c r="E1655" s="54" t="s">
        <v>3937</v>
      </c>
      <c r="F1655" s="54" t="s">
        <v>3939</v>
      </c>
      <c r="G1655" s="54" t="s">
        <v>709</v>
      </c>
      <c r="H1655" s="54" t="n">
        <v>14257</v>
      </c>
      <c r="I1655" s="54" t="s">
        <v>295</v>
      </c>
      <c r="J1655" s="54" t="s">
        <v>1431</v>
      </c>
    </row>
    <row r="1656" customFormat="false" ht="15" hidden="false" customHeight="true" outlineLevel="0" collapsed="false">
      <c r="A1656" s="54" t="n">
        <v>20260710</v>
      </c>
      <c r="B1656" s="54" t="s">
        <v>306</v>
      </c>
      <c r="C1656" s="54" t="s">
        <v>290</v>
      </c>
      <c r="D1656" s="54" t="s">
        <v>3940</v>
      </c>
      <c r="E1656" s="54" t="s">
        <v>3941</v>
      </c>
      <c r="F1656" s="54" t="s">
        <v>3942</v>
      </c>
      <c r="G1656" s="54" t="s">
        <v>3943</v>
      </c>
      <c r="H1656" s="54" t="n">
        <v>18222</v>
      </c>
      <c r="I1656" s="54" t="s">
        <v>295</v>
      </c>
      <c r="J1656" s="54" t="s">
        <v>2289</v>
      </c>
    </row>
    <row r="1657" customFormat="false" ht="15" hidden="false" customHeight="true" outlineLevel="0" collapsed="false">
      <c r="A1657" s="54" t="n">
        <v>20260710</v>
      </c>
      <c r="B1657" s="54" t="s">
        <v>306</v>
      </c>
      <c r="C1657" s="54" t="s">
        <v>290</v>
      </c>
      <c r="D1657" s="54" t="s">
        <v>3940</v>
      </c>
      <c r="E1657" s="54" t="s">
        <v>3941</v>
      </c>
      <c r="F1657" s="54" t="s">
        <v>2150</v>
      </c>
      <c r="G1657" s="54" t="s">
        <v>3003</v>
      </c>
      <c r="H1657" s="54" t="n">
        <v>32</v>
      </c>
      <c r="I1657" s="54" t="s">
        <v>295</v>
      </c>
      <c r="J1657" s="54" t="s">
        <v>2289</v>
      </c>
    </row>
    <row r="1658" customFormat="false" ht="15" hidden="false" customHeight="true" outlineLevel="0" collapsed="false">
      <c r="A1658" s="54" t="n">
        <v>20260710</v>
      </c>
      <c r="B1658" s="54" t="s">
        <v>306</v>
      </c>
      <c r="C1658" s="54" t="s">
        <v>290</v>
      </c>
      <c r="D1658" s="54" t="s">
        <v>3940</v>
      </c>
      <c r="E1658" s="54" t="s">
        <v>3941</v>
      </c>
      <c r="F1658" s="54" t="s">
        <v>2816</v>
      </c>
      <c r="G1658" s="54" t="s">
        <v>3944</v>
      </c>
      <c r="H1658" s="54" t="n">
        <v>3</v>
      </c>
      <c r="I1658" s="54" t="s">
        <v>295</v>
      </c>
      <c r="J1658" s="54" t="s">
        <v>2289</v>
      </c>
    </row>
    <row r="1659" customFormat="false" ht="15" hidden="false" customHeight="true" outlineLevel="0" collapsed="false">
      <c r="A1659" s="54" t="n">
        <v>20260710</v>
      </c>
      <c r="B1659" s="54" t="s">
        <v>306</v>
      </c>
      <c r="C1659" s="54" t="s">
        <v>290</v>
      </c>
      <c r="D1659" s="54" t="s">
        <v>3940</v>
      </c>
      <c r="E1659" s="54" t="s">
        <v>3941</v>
      </c>
      <c r="F1659" s="54" t="s">
        <v>3945</v>
      </c>
      <c r="G1659" s="54" t="s">
        <v>3946</v>
      </c>
      <c r="H1659" s="54" t="n">
        <v>11612</v>
      </c>
      <c r="I1659" s="54" t="s">
        <v>295</v>
      </c>
      <c r="J1659" s="54" t="s">
        <v>2289</v>
      </c>
    </row>
    <row r="1660" customFormat="false" ht="15" hidden="false" customHeight="true" outlineLevel="0" collapsed="false">
      <c r="A1660" s="54" t="n">
        <v>20260710</v>
      </c>
      <c r="B1660" s="54" t="s">
        <v>289</v>
      </c>
      <c r="C1660" s="54" t="s">
        <v>307</v>
      </c>
      <c r="D1660" s="54" t="s">
        <v>3947</v>
      </c>
      <c r="E1660" s="54" t="s">
        <v>3948</v>
      </c>
      <c r="F1660" s="54" t="s">
        <v>3498</v>
      </c>
      <c r="G1660" s="54" t="s">
        <v>3949</v>
      </c>
      <c r="H1660" s="54" t="n">
        <v>22917</v>
      </c>
      <c r="I1660" s="54" t="s">
        <v>295</v>
      </c>
      <c r="J1660" s="54" t="s">
        <v>1441</v>
      </c>
    </row>
    <row r="1661" customFormat="false" ht="15" hidden="false" customHeight="true" outlineLevel="0" collapsed="false">
      <c r="A1661" s="54" t="n">
        <v>20260710</v>
      </c>
      <c r="B1661" s="54" t="s">
        <v>289</v>
      </c>
      <c r="C1661" s="54" t="s">
        <v>307</v>
      </c>
      <c r="D1661" s="54" t="s">
        <v>3947</v>
      </c>
      <c r="E1661" s="54" t="s">
        <v>3948</v>
      </c>
      <c r="F1661" s="54" t="s">
        <v>3950</v>
      </c>
      <c r="G1661" s="54" t="s">
        <v>3830</v>
      </c>
      <c r="H1661" s="54" t="n">
        <v>5901</v>
      </c>
      <c r="I1661" s="54" t="s">
        <v>295</v>
      </c>
      <c r="J1661" s="54" t="s">
        <v>1441</v>
      </c>
    </row>
    <row r="1662" customFormat="false" ht="15" hidden="false" customHeight="true" outlineLevel="0" collapsed="false">
      <c r="A1662" s="54" t="n">
        <v>20260710</v>
      </c>
      <c r="B1662" s="54" t="s">
        <v>188</v>
      </c>
      <c r="C1662" s="54" t="s">
        <v>307</v>
      </c>
      <c r="D1662" s="54" t="s">
        <v>3951</v>
      </c>
      <c r="E1662" s="54" t="s">
        <v>3952</v>
      </c>
      <c r="F1662" s="54" t="s">
        <v>3953</v>
      </c>
      <c r="G1662" s="54" t="s">
        <v>3954</v>
      </c>
      <c r="H1662" s="54" t="n">
        <v>14766</v>
      </c>
      <c r="I1662" s="54" t="s">
        <v>295</v>
      </c>
      <c r="J1662" s="54" t="s">
        <v>2393</v>
      </c>
    </row>
    <row r="1663" customFormat="false" ht="15" hidden="false" customHeight="true" outlineLevel="0" collapsed="false">
      <c r="A1663" s="54" t="n">
        <v>20260710</v>
      </c>
      <c r="B1663" s="54" t="s">
        <v>188</v>
      </c>
      <c r="C1663" s="54" t="s">
        <v>307</v>
      </c>
      <c r="D1663" s="54" t="s">
        <v>3951</v>
      </c>
      <c r="E1663" s="54" t="s">
        <v>3952</v>
      </c>
      <c r="F1663" s="54" t="s">
        <v>3955</v>
      </c>
      <c r="G1663" s="54" t="s">
        <v>3956</v>
      </c>
      <c r="H1663" s="54" t="n">
        <v>6595</v>
      </c>
      <c r="I1663" s="54" t="s">
        <v>295</v>
      </c>
      <c r="J1663" s="54" t="s">
        <v>2393</v>
      </c>
    </row>
    <row r="1664" customFormat="false" ht="15" hidden="false" customHeight="true" outlineLevel="0" collapsed="false">
      <c r="A1664" s="54" t="n">
        <v>20260710</v>
      </c>
      <c r="B1664" s="54" t="s">
        <v>188</v>
      </c>
      <c r="C1664" s="54" t="s">
        <v>307</v>
      </c>
      <c r="D1664" s="54" t="s">
        <v>3951</v>
      </c>
      <c r="E1664" s="54" t="s">
        <v>3952</v>
      </c>
      <c r="F1664" s="54" t="s">
        <v>3957</v>
      </c>
      <c r="G1664" s="54" t="s">
        <v>3958</v>
      </c>
      <c r="H1664" s="54" t="n">
        <v>7776</v>
      </c>
      <c r="I1664" s="54" t="s">
        <v>295</v>
      </c>
      <c r="J1664" s="54" t="s">
        <v>2393</v>
      </c>
    </row>
    <row r="1665" customFormat="false" ht="15" hidden="false" customHeight="true" outlineLevel="0" collapsed="false">
      <c r="A1665" s="54" t="n">
        <v>20260710</v>
      </c>
      <c r="B1665" s="54" t="s">
        <v>289</v>
      </c>
      <c r="C1665" s="54" t="s">
        <v>307</v>
      </c>
      <c r="D1665" s="54" t="s">
        <v>3959</v>
      </c>
      <c r="E1665" s="54" t="s">
        <v>3960</v>
      </c>
      <c r="F1665" s="54" t="s">
        <v>1387</v>
      </c>
      <c r="G1665" s="54" t="s">
        <v>3961</v>
      </c>
      <c r="H1665" s="54" t="n">
        <v>18231</v>
      </c>
      <c r="I1665" s="54" t="s">
        <v>295</v>
      </c>
      <c r="J1665" s="54" t="s">
        <v>361</v>
      </c>
    </row>
    <row r="1666" customFormat="false" ht="15" hidden="false" customHeight="true" outlineLevel="0" collapsed="false">
      <c r="A1666" s="54" t="n">
        <v>20260710</v>
      </c>
      <c r="B1666" s="54" t="s">
        <v>289</v>
      </c>
      <c r="C1666" s="54" t="s">
        <v>307</v>
      </c>
      <c r="D1666" s="54" t="s">
        <v>3959</v>
      </c>
      <c r="E1666" s="54" t="s">
        <v>3960</v>
      </c>
      <c r="F1666" s="54" t="s">
        <v>3962</v>
      </c>
      <c r="G1666" s="54" t="s">
        <v>2684</v>
      </c>
      <c r="H1666" s="54" t="n">
        <v>10554</v>
      </c>
      <c r="I1666" s="54" t="s">
        <v>295</v>
      </c>
      <c r="J1666" s="54" t="s">
        <v>361</v>
      </c>
    </row>
    <row r="1667" customFormat="false" ht="15" hidden="false" customHeight="true" outlineLevel="0" collapsed="false">
      <c r="A1667" s="54" t="n">
        <v>20260710</v>
      </c>
      <c r="B1667" s="54" t="s">
        <v>535</v>
      </c>
      <c r="C1667" s="54" t="s">
        <v>307</v>
      </c>
      <c r="D1667" s="54" t="s">
        <v>3963</v>
      </c>
      <c r="E1667" s="54" t="s">
        <v>3964</v>
      </c>
      <c r="F1667" s="54" t="s">
        <v>3965</v>
      </c>
      <c r="G1667" s="54" t="s">
        <v>3966</v>
      </c>
      <c r="H1667" s="54" t="n">
        <v>191</v>
      </c>
      <c r="I1667" s="54" t="s">
        <v>295</v>
      </c>
      <c r="J1667" s="54" t="s">
        <v>540</v>
      </c>
    </row>
    <row r="1668" customFormat="false" ht="15" hidden="false" customHeight="true" outlineLevel="0" collapsed="false">
      <c r="A1668" s="54" t="n">
        <v>20260710</v>
      </c>
      <c r="B1668" s="54" t="s">
        <v>535</v>
      </c>
      <c r="C1668" s="54" t="s">
        <v>307</v>
      </c>
      <c r="D1668" s="54" t="s">
        <v>3963</v>
      </c>
      <c r="E1668" s="54" t="s">
        <v>3964</v>
      </c>
      <c r="F1668" s="54" t="s">
        <v>2439</v>
      </c>
      <c r="G1668" s="54" t="s">
        <v>2876</v>
      </c>
      <c r="H1668" s="54" t="n">
        <v>14752</v>
      </c>
      <c r="I1668" s="54" t="s">
        <v>295</v>
      </c>
      <c r="J1668" s="54" t="s">
        <v>540</v>
      </c>
    </row>
    <row r="1669" customFormat="false" ht="15" hidden="false" customHeight="true" outlineLevel="0" collapsed="false">
      <c r="A1669" s="54" t="n">
        <v>20260710</v>
      </c>
      <c r="B1669" s="54" t="s">
        <v>535</v>
      </c>
      <c r="C1669" s="54" t="s">
        <v>307</v>
      </c>
      <c r="D1669" s="54" t="s">
        <v>3963</v>
      </c>
      <c r="E1669" s="54" t="s">
        <v>3964</v>
      </c>
      <c r="F1669" s="54" t="s">
        <v>3967</v>
      </c>
      <c r="G1669" s="54" t="s">
        <v>3968</v>
      </c>
      <c r="H1669" s="54" t="n">
        <v>17833</v>
      </c>
      <c r="I1669" s="54" t="s">
        <v>295</v>
      </c>
      <c r="J1669" s="54" t="s">
        <v>540</v>
      </c>
    </row>
    <row r="1670" customFormat="false" ht="15" hidden="false" customHeight="true" outlineLevel="0" collapsed="false">
      <c r="A1670" s="54" t="n">
        <v>20260710</v>
      </c>
      <c r="B1670" s="54" t="s">
        <v>306</v>
      </c>
      <c r="C1670" s="54" t="s">
        <v>290</v>
      </c>
      <c r="D1670" s="54" t="s">
        <v>3969</v>
      </c>
      <c r="E1670" s="54" t="s">
        <v>3970</v>
      </c>
      <c r="F1670" s="54" t="s">
        <v>3971</v>
      </c>
      <c r="G1670" s="54" t="s">
        <v>3972</v>
      </c>
      <c r="H1670" s="54" t="n">
        <v>17023</v>
      </c>
      <c r="I1670" s="54" t="s">
        <v>295</v>
      </c>
      <c r="J1670" s="54" t="s">
        <v>1067</v>
      </c>
    </row>
    <row r="1671" customFormat="false" ht="15" hidden="false" customHeight="true" outlineLevel="0" collapsed="false">
      <c r="A1671" s="54" t="n">
        <v>20260710</v>
      </c>
      <c r="B1671" s="54" t="s">
        <v>306</v>
      </c>
      <c r="C1671" s="54" t="s">
        <v>290</v>
      </c>
      <c r="D1671" s="54" t="s">
        <v>3969</v>
      </c>
      <c r="E1671" s="54" t="s">
        <v>3970</v>
      </c>
      <c r="F1671" s="54" t="s">
        <v>845</v>
      </c>
      <c r="G1671" s="54" t="s">
        <v>3973</v>
      </c>
      <c r="H1671" s="54" t="n">
        <v>11810</v>
      </c>
      <c r="I1671" s="54" t="s">
        <v>295</v>
      </c>
      <c r="J1671" s="54" t="s">
        <v>1067</v>
      </c>
    </row>
    <row r="1672" customFormat="false" ht="15" hidden="false" customHeight="true" outlineLevel="0" collapsed="false">
      <c r="A1672" s="54" t="n">
        <v>20260710</v>
      </c>
      <c r="B1672" s="54" t="s">
        <v>289</v>
      </c>
      <c r="C1672" s="54" t="s">
        <v>290</v>
      </c>
      <c r="D1672" s="54" t="s">
        <v>3974</v>
      </c>
      <c r="E1672" s="54" t="s">
        <v>3975</v>
      </c>
      <c r="F1672" s="54" t="s">
        <v>3976</v>
      </c>
      <c r="G1672" s="54" t="s">
        <v>3977</v>
      </c>
      <c r="H1672" s="54" t="n">
        <v>15323</v>
      </c>
      <c r="I1672" s="54" t="s">
        <v>295</v>
      </c>
      <c r="J1672" s="54" t="s">
        <v>1463</v>
      </c>
    </row>
    <row r="1673" customFormat="false" ht="15" hidden="false" customHeight="true" outlineLevel="0" collapsed="false">
      <c r="A1673" s="54" t="n">
        <v>20260710</v>
      </c>
      <c r="B1673" s="54" t="s">
        <v>289</v>
      </c>
      <c r="C1673" s="54" t="s">
        <v>290</v>
      </c>
      <c r="D1673" s="54" t="s">
        <v>3974</v>
      </c>
      <c r="E1673" s="54" t="s">
        <v>3975</v>
      </c>
      <c r="F1673" s="54" t="s">
        <v>3614</v>
      </c>
      <c r="G1673" s="54" t="s">
        <v>3978</v>
      </c>
      <c r="H1673" s="54" t="n">
        <v>11955</v>
      </c>
      <c r="I1673" s="54" t="s">
        <v>295</v>
      </c>
      <c r="J1673" s="54" t="s">
        <v>1463</v>
      </c>
    </row>
    <row r="1674" customFormat="false" ht="15" hidden="false" customHeight="true" outlineLevel="0" collapsed="false">
      <c r="A1674" s="54" t="n">
        <v>20260710</v>
      </c>
      <c r="B1674" s="54" t="s">
        <v>306</v>
      </c>
      <c r="C1674" s="54" t="s">
        <v>290</v>
      </c>
      <c r="D1674" s="54" t="s">
        <v>3979</v>
      </c>
      <c r="E1674" s="54" t="s">
        <v>3980</v>
      </c>
      <c r="F1674" s="54" t="s">
        <v>3704</v>
      </c>
      <c r="G1674" s="54" t="s">
        <v>3981</v>
      </c>
      <c r="H1674" s="54" t="n">
        <v>344</v>
      </c>
      <c r="I1674" s="54" t="s">
        <v>295</v>
      </c>
      <c r="J1674" s="54" t="s">
        <v>1265</v>
      </c>
    </row>
    <row r="1675" customFormat="false" ht="15" hidden="false" customHeight="true" outlineLevel="0" collapsed="false">
      <c r="A1675" s="54" t="n">
        <v>20260710</v>
      </c>
      <c r="B1675" s="54" t="s">
        <v>306</v>
      </c>
      <c r="C1675" s="54" t="s">
        <v>290</v>
      </c>
      <c r="D1675" s="54" t="s">
        <v>3979</v>
      </c>
      <c r="E1675" s="54" t="s">
        <v>3980</v>
      </c>
      <c r="F1675" s="54" t="s">
        <v>3982</v>
      </c>
      <c r="G1675" s="54" t="s">
        <v>3983</v>
      </c>
      <c r="H1675" s="54" t="n">
        <v>1524</v>
      </c>
      <c r="I1675" s="54" t="s">
        <v>295</v>
      </c>
      <c r="J1675" s="54" t="s">
        <v>1265</v>
      </c>
    </row>
    <row r="1676" customFormat="false" ht="15" hidden="false" customHeight="true" outlineLevel="0" collapsed="false">
      <c r="A1676" s="54" t="n">
        <v>20260710</v>
      </c>
      <c r="B1676" s="54" t="s">
        <v>306</v>
      </c>
      <c r="C1676" s="54" t="s">
        <v>290</v>
      </c>
      <c r="D1676" s="54" t="s">
        <v>3979</v>
      </c>
      <c r="E1676" s="54" t="s">
        <v>3980</v>
      </c>
      <c r="F1676" s="54" t="s">
        <v>3984</v>
      </c>
      <c r="G1676" s="54" t="s">
        <v>3985</v>
      </c>
      <c r="H1676" s="54" t="n">
        <v>11101</v>
      </c>
      <c r="I1676" s="54" t="s">
        <v>295</v>
      </c>
      <c r="J1676" s="54" t="s">
        <v>1265</v>
      </c>
    </row>
    <row r="1677" customFormat="false" ht="15" hidden="false" customHeight="true" outlineLevel="0" collapsed="false">
      <c r="A1677" s="54" t="n">
        <v>20260710</v>
      </c>
      <c r="B1677" s="54" t="s">
        <v>306</v>
      </c>
      <c r="C1677" s="54" t="s">
        <v>290</v>
      </c>
      <c r="D1677" s="54" t="s">
        <v>3979</v>
      </c>
      <c r="E1677" s="54" t="s">
        <v>3980</v>
      </c>
      <c r="F1677" s="54" t="s">
        <v>3986</v>
      </c>
      <c r="G1677" s="54" t="s">
        <v>3987</v>
      </c>
      <c r="H1677" s="54" t="n">
        <v>3134</v>
      </c>
      <c r="I1677" s="54" t="s">
        <v>295</v>
      </c>
      <c r="J1677" s="54" t="s">
        <v>1265</v>
      </c>
    </row>
    <row r="1678" customFormat="false" ht="15" hidden="false" customHeight="true" outlineLevel="0" collapsed="false">
      <c r="A1678" s="54" t="n">
        <v>20260710</v>
      </c>
      <c r="B1678" s="54" t="s">
        <v>306</v>
      </c>
      <c r="C1678" s="54" t="s">
        <v>290</v>
      </c>
      <c r="D1678" s="54" t="s">
        <v>3979</v>
      </c>
      <c r="E1678" s="54" t="s">
        <v>3980</v>
      </c>
      <c r="F1678" s="54" t="s">
        <v>3988</v>
      </c>
      <c r="G1678" s="54" t="s">
        <v>3989</v>
      </c>
      <c r="H1678" s="54" t="n">
        <v>5586</v>
      </c>
      <c r="I1678" s="54" t="s">
        <v>295</v>
      </c>
      <c r="J1678" s="54" t="s">
        <v>1265</v>
      </c>
    </row>
    <row r="1679" customFormat="false" ht="15" hidden="false" customHeight="true" outlineLevel="0" collapsed="false">
      <c r="A1679" s="54" t="n">
        <v>20260710</v>
      </c>
      <c r="B1679" s="54" t="s">
        <v>306</v>
      </c>
      <c r="C1679" s="54" t="s">
        <v>290</v>
      </c>
      <c r="D1679" s="54" t="s">
        <v>3979</v>
      </c>
      <c r="E1679" s="54" t="s">
        <v>3980</v>
      </c>
      <c r="F1679" s="54" t="s">
        <v>3990</v>
      </c>
      <c r="G1679" s="54" t="s">
        <v>2568</v>
      </c>
      <c r="H1679" s="54" t="n">
        <v>7335</v>
      </c>
      <c r="I1679" s="54" t="s">
        <v>295</v>
      </c>
      <c r="J1679" s="54" t="s">
        <v>1265</v>
      </c>
    </row>
    <row r="1680" customFormat="false" ht="15" hidden="false" customHeight="true" outlineLevel="0" collapsed="false">
      <c r="A1680" s="54" t="n">
        <v>20260710</v>
      </c>
      <c r="B1680" s="54" t="s">
        <v>306</v>
      </c>
      <c r="C1680" s="54" t="s">
        <v>290</v>
      </c>
      <c r="D1680" s="54" t="s">
        <v>3991</v>
      </c>
      <c r="E1680" s="54" t="s">
        <v>3992</v>
      </c>
      <c r="F1680" s="54" t="s">
        <v>3993</v>
      </c>
      <c r="G1680" s="54" t="s">
        <v>3994</v>
      </c>
      <c r="H1680" s="54" t="n">
        <v>28800</v>
      </c>
      <c r="I1680" s="54" t="s">
        <v>295</v>
      </c>
      <c r="J1680" s="54" t="s">
        <v>433</v>
      </c>
    </row>
    <row r="1681" customFormat="false" ht="15" hidden="false" customHeight="true" outlineLevel="0" collapsed="false">
      <c r="A1681" s="54" t="n">
        <v>20260710</v>
      </c>
      <c r="B1681" s="54" t="s">
        <v>306</v>
      </c>
      <c r="C1681" s="54" t="s">
        <v>290</v>
      </c>
      <c r="D1681" s="54" t="s">
        <v>3991</v>
      </c>
      <c r="E1681" s="54" t="s">
        <v>3992</v>
      </c>
      <c r="F1681" s="54" t="s">
        <v>3995</v>
      </c>
      <c r="G1681" s="54" t="s">
        <v>3996</v>
      </c>
      <c r="H1681" s="54" t="n">
        <v>65</v>
      </c>
      <c r="I1681" s="54" t="s">
        <v>295</v>
      </c>
      <c r="J1681" s="54" t="s">
        <v>433</v>
      </c>
    </row>
    <row r="1682" customFormat="false" ht="15" hidden="false" customHeight="true" outlineLevel="0" collapsed="false">
      <c r="A1682" s="54" t="n">
        <v>20260710</v>
      </c>
      <c r="B1682" s="54" t="s">
        <v>289</v>
      </c>
      <c r="C1682" s="54" t="s">
        <v>290</v>
      </c>
      <c r="D1682" s="54" t="s">
        <v>3997</v>
      </c>
      <c r="E1682" s="54" t="s">
        <v>3998</v>
      </c>
      <c r="F1682" s="54" t="s">
        <v>3999</v>
      </c>
      <c r="G1682" s="54" t="s">
        <v>4000</v>
      </c>
      <c r="H1682" s="54" t="n">
        <v>1462</v>
      </c>
      <c r="I1682" s="54" t="s">
        <v>360</v>
      </c>
      <c r="J1682" s="54" t="s">
        <v>578</v>
      </c>
    </row>
    <row r="1683" customFormat="false" ht="15" hidden="false" customHeight="true" outlineLevel="0" collapsed="false">
      <c r="A1683" s="54" t="n">
        <v>20260710</v>
      </c>
      <c r="B1683" s="54" t="s">
        <v>289</v>
      </c>
      <c r="C1683" s="54" t="s">
        <v>290</v>
      </c>
      <c r="D1683" s="54" t="s">
        <v>3997</v>
      </c>
      <c r="E1683" s="54" t="s">
        <v>3998</v>
      </c>
      <c r="F1683" s="54" t="s">
        <v>3999</v>
      </c>
      <c r="G1683" s="54" t="s">
        <v>4001</v>
      </c>
      <c r="H1683" s="54" t="n">
        <v>1463</v>
      </c>
      <c r="I1683" s="54" t="s">
        <v>295</v>
      </c>
      <c r="J1683" s="54" t="s">
        <v>578</v>
      </c>
    </row>
    <row r="1684" customFormat="false" ht="15" hidden="false" customHeight="true" outlineLevel="0" collapsed="false">
      <c r="A1684" s="54" t="n">
        <v>20260710</v>
      </c>
      <c r="B1684" s="54" t="s">
        <v>289</v>
      </c>
      <c r="C1684" s="54" t="s">
        <v>290</v>
      </c>
      <c r="D1684" s="54" t="s">
        <v>3997</v>
      </c>
      <c r="E1684" s="54" t="s">
        <v>3998</v>
      </c>
      <c r="F1684" s="54" t="s">
        <v>4002</v>
      </c>
      <c r="G1684" s="54" t="s">
        <v>4003</v>
      </c>
      <c r="H1684" s="54" t="n">
        <v>12760</v>
      </c>
      <c r="I1684" s="54" t="s">
        <v>360</v>
      </c>
      <c r="J1684" s="54" t="s">
        <v>578</v>
      </c>
    </row>
    <row r="1685" customFormat="false" ht="15" hidden="false" customHeight="true" outlineLevel="0" collapsed="false">
      <c r="A1685" s="54" t="n">
        <v>20260710</v>
      </c>
      <c r="B1685" s="54" t="s">
        <v>289</v>
      </c>
      <c r="C1685" s="54" t="s">
        <v>290</v>
      </c>
      <c r="D1685" s="54" t="s">
        <v>3997</v>
      </c>
      <c r="E1685" s="54" t="s">
        <v>3998</v>
      </c>
      <c r="F1685" s="54" t="s">
        <v>4002</v>
      </c>
      <c r="G1685" s="54" t="s">
        <v>4003</v>
      </c>
      <c r="H1685" s="54" t="n">
        <v>12760</v>
      </c>
      <c r="I1685" s="54" t="s">
        <v>295</v>
      </c>
      <c r="J1685" s="54" t="s">
        <v>578</v>
      </c>
    </row>
    <row r="1686" customFormat="false" ht="15" hidden="false" customHeight="true" outlineLevel="0" collapsed="false">
      <c r="A1686" s="54" t="n">
        <v>20260710</v>
      </c>
      <c r="B1686" s="54" t="s">
        <v>289</v>
      </c>
      <c r="C1686" s="54" t="s">
        <v>290</v>
      </c>
      <c r="D1686" s="54" t="s">
        <v>3997</v>
      </c>
      <c r="E1686" s="54" t="s">
        <v>3998</v>
      </c>
      <c r="F1686" s="54" t="s">
        <v>2533</v>
      </c>
      <c r="G1686" s="54" t="s">
        <v>4004</v>
      </c>
      <c r="H1686" s="54" t="n">
        <v>14655</v>
      </c>
      <c r="I1686" s="54" t="s">
        <v>360</v>
      </c>
      <c r="J1686" s="54" t="s">
        <v>578</v>
      </c>
    </row>
    <row r="1687" customFormat="false" ht="15" hidden="false" customHeight="true" outlineLevel="0" collapsed="false">
      <c r="A1687" s="54" t="n">
        <v>20260710</v>
      </c>
      <c r="B1687" s="54" t="s">
        <v>289</v>
      </c>
      <c r="C1687" s="54" t="s">
        <v>290</v>
      </c>
      <c r="D1687" s="54" t="s">
        <v>3997</v>
      </c>
      <c r="E1687" s="54" t="s">
        <v>3998</v>
      </c>
      <c r="F1687" s="54" t="s">
        <v>2533</v>
      </c>
      <c r="G1687" s="54" t="s">
        <v>4004</v>
      </c>
      <c r="H1687" s="54" t="n">
        <v>14655</v>
      </c>
      <c r="I1687" s="54" t="s">
        <v>295</v>
      </c>
      <c r="J1687" s="54" t="s">
        <v>578</v>
      </c>
    </row>
    <row r="1688" customFormat="false" ht="15" hidden="false" customHeight="true" outlineLevel="0" collapsed="false">
      <c r="A1688" s="54" t="n">
        <v>20260710</v>
      </c>
      <c r="B1688" s="54" t="s">
        <v>289</v>
      </c>
      <c r="C1688" s="54" t="s">
        <v>290</v>
      </c>
      <c r="D1688" s="54" t="s">
        <v>4005</v>
      </c>
      <c r="E1688" s="54" t="s">
        <v>4006</v>
      </c>
      <c r="F1688" s="54" t="s">
        <v>4007</v>
      </c>
      <c r="G1688" s="54" t="s">
        <v>4008</v>
      </c>
      <c r="H1688" s="54" t="n">
        <v>4</v>
      </c>
      <c r="I1688" s="54" t="s">
        <v>295</v>
      </c>
      <c r="J1688" s="54" t="s">
        <v>303</v>
      </c>
    </row>
    <row r="1689" customFormat="false" ht="15" hidden="false" customHeight="true" outlineLevel="0" collapsed="false">
      <c r="A1689" s="54" t="n">
        <v>20260710</v>
      </c>
      <c r="B1689" s="54" t="s">
        <v>289</v>
      </c>
      <c r="C1689" s="54" t="s">
        <v>290</v>
      </c>
      <c r="D1689" s="54" t="s">
        <v>4005</v>
      </c>
      <c r="E1689" s="54" t="s">
        <v>4006</v>
      </c>
      <c r="F1689" s="54" t="s">
        <v>4009</v>
      </c>
      <c r="G1689" s="54" t="s">
        <v>4010</v>
      </c>
      <c r="H1689" s="54" t="n">
        <v>6165</v>
      </c>
      <c r="I1689" s="54" t="s">
        <v>295</v>
      </c>
      <c r="J1689" s="54" t="s">
        <v>303</v>
      </c>
    </row>
    <row r="1690" customFormat="false" ht="15" hidden="false" customHeight="true" outlineLevel="0" collapsed="false">
      <c r="A1690" s="54" t="n">
        <v>20260710</v>
      </c>
      <c r="B1690" s="54" t="s">
        <v>289</v>
      </c>
      <c r="C1690" s="54" t="s">
        <v>290</v>
      </c>
      <c r="D1690" s="54" t="s">
        <v>4005</v>
      </c>
      <c r="E1690" s="54" t="s">
        <v>4006</v>
      </c>
      <c r="F1690" s="54" t="s">
        <v>4011</v>
      </c>
      <c r="G1690" s="54" t="s">
        <v>4012</v>
      </c>
      <c r="H1690" s="54" t="n">
        <v>592</v>
      </c>
      <c r="I1690" s="54" t="s">
        <v>295</v>
      </c>
      <c r="J1690" s="54" t="s">
        <v>303</v>
      </c>
    </row>
    <row r="1691" customFormat="false" ht="15" hidden="false" customHeight="true" outlineLevel="0" collapsed="false">
      <c r="A1691" s="54" t="n">
        <v>20260710</v>
      </c>
      <c r="B1691" s="54" t="s">
        <v>289</v>
      </c>
      <c r="C1691" s="54" t="s">
        <v>290</v>
      </c>
      <c r="D1691" s="54" t="s">
        <v>4005</v>
      </c>
      <c r="E1691" s="54" t="s">
        <v>4006</v>
      </c>
      <c r="F1691" s="54" t="s">
        <v>4013</v>
      </c>
      <c r="G1691" s="54" t="s">
        <v>4014</v>
      </c>
      <c r="H1691" s="54" t="n">
        <v>141</v>
      </c>
      <c r="I1691" s="54" t="s">
        <v>295</v>
      </c>
      <c r="J1691" s="54" t="s">
        <v>303</v>
      </c>
    </row>
    <row r="1692" customFormat="false" ht="15" hidden="false" customHeight="true" outlineLevel="0" collapsed="false">
      <c r="A1692" s="54" t="n">
        <v>20260710</v>
      </c>
      <c r="B1692" s="54" t="s">
        <v>289</v>
      </c>
      <c r="C1692" s="54" t="s">
        <v>290</v>
      </c>
      <c r="D1692" s="54" t="s">
        <v>4005</v>
      </c>
      <c r="E1692" s="54" t="s">
        <v>4006</v>
      </c>
      <c r="F1692" s="54" t="s">
        <v>4015</v>
      </c>
      <c r="G1692" s="54" t="s">
        <v>4016</v>
      </c>
      <c r="H1692" s="54" t="n">
        <v>15717</v>
      </c>
      <c r="I1692" s="54" t="s">
        <v>295</v>
      </c>
      <c r="J1692" s="54" t="s">
        <v>303</v>
      </c>
    </row>
    <row r="1693" customFormat="false" ht="15" hidden="false" customHeight="true" outlineLevel="0" collapsed="false">
      <c r="A1693" s="54" t="n">
        <v>20260710</v>
      </c>
      <c r="B1693" s="54" t="s">
        <v>289</v>
      </c>
      <c r="C1693" s="54" t="s">
        <v>290</v>
      </c>
      <c r="D1693" s="54" t="s">
        <v>4005</v>
      </c>
      <c r="E1693" s="54" t="s">
        <v>4006</v>
      </c>
      <c r="F1693" s="54" t="s">
        <v>2235</v>
      </c>
      <c r="G1693" s="54" t="s">
        <v>4017</v>
      </c>
      <c r="H1693" s="54" t="n">
        <v>10604</v>
      </c>
      <c r="I1693" s="54" t="s">
        <v>295</v>
      </c>
      <c r="J1693" s="54" t="s">
        <v>303</v>
      </c>
    </row>
    <row r="1694" customFormat="false" ht="15" hidden="false" customHeight="true" outlineLevel="0" collapsed="false">
      <c r="A1694" s="54" t="n">
        <v>20260710</v>
      </c>
      <c r="B1694" s="54" t="s">
        <v>289</v>
      </c>
      <c r="C1694" s="54" t="s">
        <v>290</v>
      </c>
      <c r="D1694" s="54" t="s">
        <v>4005</v>
      </c>
      <c r="E1694" s="54" t="s">
        <v>4006</v>
      </c>
      <c r="F1694" s="54" t="s">
        <v>4018</v>
      </c>
      <c r="G1694" s="54" t="s">
        <v>4019</v>
      </c>
      <c r="H1694" s="54" t="n">
        <v>4</v>
      </c>
      <c r="I1694" s="54" t="s">
        <v>295</v>
      </c>
      <c r="J1694" s="54" t="s">
        <v>303</v>
      </c>
    </row>
    <row r="1695" customFormat="false" ht="15" hidden="false" customHeight="true" outlineLevel="0" collapsed="false">
      <c r="A1695" s="54" t="n">
        <v>20260710</v>
      </c>
      <c r="B1695" s="54" t="s">
        <v>535</v>
      </c>
      <c r="C1695" s="54" t="s">
        <v>290</v>
      </c>
      <c r="D1695" s="54" t="s">
        <v>4020</v>
      </c>
      <c r="E1695" s="54" t="s">
        <v>4021</v>
      </c>
      <c r="F1695" s="54" t="s">
        <v>712</v>
      </c>
      <c r="G1695" s="54" t="s">
        <v>3487</v>
      </c>
      <c r="H1695" s="54" t="n">
        <v>14597</v>
      </c>
      <c r="I1695" s="54" t="s">
        <v>295</v>
      </c>
      <c r="J1695" s="54" t="s">
        <v>1370</v>
      </c>
    </row>
    <row r="1696" customFormat="false" ht="15" hidden="false" customHeight="true" outlineLevel="0" collapsed="false">
      <c r="A1696" s="54" t="n">
        <v>20260710</v>
      </c>
      <c r="B1696" s="54" t="s">
        <v>535</v>
      </c>
      <c r="C1696" s="54" t="s">
        <v>290</v>
      </c>
      <c r="D1696" s="54" t="s">
        <v>4020</v>
      </c>
      <c r="E1696" s="54" t="s">
        <v>4021</v>
      </c>
      <c r="F1696" s="54" t="s">
        <v>4022</v>
      </c>
      <c r="G1696" s="54" t="s">
        <v>4023</v>
      </c>
      <c r="H1696" s="54" t="n">
        <v>2290</v>
      </c>
      <c r="I1696" s="54" t="s">
        <v>295</v>
      </c>
      <c r="J1696" s="54" t="s">
        <v>1370</v>
      </c>
    </row>
    <row r="1697" customFormat="false" ht="15" hidden="false" customHeight="true" outlineLevel="0" collapsed="false">
      <c r="A1697" s="54" t="n">
        <v>20260710</v>
      </c>
      <c r="B1697" s="54" t="s">
        <v>535</v>
      </c>
      <c r="C1697" s="54" t="s">
        <v>290</v>
      </c>
      <c r="D1697" s="54" t="s">
        <v>4020</v>
      </c>
      <c r="E1697" s="54" t="s">
        <v>4021</v>
      </c>
      <c r="F1697" s="54" t="s">
        <v>4024</v>
      </c>
      <c r="G1697" s="54" t="s">
        <v>905</v>
      </c>
      <c r="H1697" s="54" t="n">
        <v>11963</v>
      </c>
      <c r="I1697" s="54" t="s">
        <v>295</v>
      </c>
      <c r="J1697" s="54" t="s">
        <v>1370</v>
      </c>
    </row>
    <row r="1698" customFormat="false" ht="15" hidden="false" customHeight="true" outlineLevel="0" collapsed="false">
      <c r="A1698" s="54" t="n">
        <v>20260710</v>
      </c>
      <c r="B1698" s="54" t="s">
        <v>168</v>
      </c>
      <c r="C1698" s="54" t="s">
        <v>290</v>
      </c>
      <c r="D1698" s="54" t="s">
        <v>4025</v>
      </c>
      <c r="E1698" s="54" t="s">
        <v>4026</v>
      </c>
      <c r="F1698" s="54" t="s">
        <v>4027</v>
      </c>
      <c r="G1698" s="54" t="s">
        <v>4028</v>
      </c>
      <c r="H1698" s="54" t="n">
        <v>11067</v>
      </c>
      <c r="I1698" s="54" t="s">
        <v>295</v>
      </c>
      <c r="J1698" s="54" t="s">
        <v>818</v>
      </c>
    </row>
    <row r="1699" customFormat="false" ht="15" hidden="false" customHeight="true" outlineLevel="0" collapsed="false">
      <c r="A1699" s="54" t="n">
        <v>20260710</v>
      </c>
      <c r="B1699" s="54" t="s">
        <v>168</v>
      </c>
      <c r="C1699" s="54" t="s">
        <v>290</v>
      </c>
      <c r="D1699" s="54" t="s">
        <v>4025</v>
      </c>
      <c r="E1699" s="54" t="s">
        <v>4026</v>
      </c>
      <c r="F1699" s="54" t="s">
        <v>3682</v>
      </c>
      <c r="G1699" s="54" t="s">
        <v>3289</v>
      </c>
      <c r="H1699" s="54" t="n">
        <v>17888</v>
      </c>
      <c r="I1699" s="54" t="s">
        <v>295</v>
      </c>
      <c r="J1699" s="54" t="s">
        <v>818</v>
      </c>
    </row>
    <row r="1700" customFormat="false" ht="15" hidden="false" customHeight="true" outlineLevel="0" collapsed="false">
      <c r="A1700" s="54" t="n">
        <v>20260710</v>
      </c>
      <c r="B1700" s="54" t="s">
        <v>306</v>
      </c>
      <c r="C1700" s="54" t="s">
        <v>290</v>
      </c>
      <c r="D1700" s="54" t="s">
        <v>4029</v>
      </c>
      <c r="E1700" s="54" t="s">
        <v>4030</v>
      </c>
      <c r="F1700" s="54" t="s">
        <v>712</v>
      </c>
      <c r="G1700" s="54" t="s">
        <v>1163</v>
      </c>
      <c r="H1700" s="54" t="n">
        <v>14490</v>
      </c>
      <c r="I1700" s="54" t="s">
        <v>295</v>
      </c>
      <c r="J1700" s="54" t="s">
        <v>375</v>
      </c>
    </row>
    <row r="1701" customFormat="false" ht="15" hidden="false" customHeight="true" outlineLevel="0" collapsed="false">
      <c r="A1701" s="54" t="n">
        <v>20260710</v>
      </c>
      <c r="B1701" s="54" t="s">
        <v>306</v>
      </c>
      <c r="C1701" s="54" t="s">
        <v>290</v>
      </c>
      <c r="D1701" s="54" t="s">
        <v>4029</v>
      </c>
      <c r="E1701" s="54" t="s">
        <v>4030</v>
      </c>
      <c r="F1701" s="54" t="s">
        <v>4031</v>
      </c>
      <c r="G1701" s="54" t="s">
        <v>789</v>
      </c>
      <c r="H1701" s="54" t="n">
        <v>14413</v>
      </c>
      <c r="I1701" s="54" t="s">
        <v>295</v>
      </c>
      <c r="J1701" s="54" t="s">
        <v>375</v>
      </c>
    </row>
    <row r="1702" customFormat="false" ht="15" hidden="false" customHeight="true" outlineLevel="0" collapsed="false">
      <c r="A1702" s="54" t="n">
        <v>20260710</v>
      </c>
      <c r="B1702" s="54" t="s">
        <v>306</v>
      </c>
      <c r="C1702" s="54" t="s">
        <v>290</v>
      </c>
      <c r="D1702" s="54" t="s">
        <v>4032</v>
      </c>
      <c r="E1702" s="54" t="s">
        <v>4033</v>
      </c>
      <c r="F1702" s="54" t="s">
        <v>4034</v>
      </c>
      <c r="G1702" s="54" t="s">
        <v>3986</v>
      </c>
      <c r="H1702" s="54" t="n">
        <v>406</v>
      </c>
      <c r="I1702" s="54" t="s">
        <v>295</v>
      </c>
      <c r="J1702" s="54" t="s">
        <v>4035</v>
      </c>
    </row>
    <row r="1703" customFormat="false" ht="15" hidden="false" customHeight="true" outlineLevel="0" collapsed="false">
      <c r="A1703" s="54" t="n">
        <v>20260710</v>
      </c>
      <c r="B1703" s="54" t="s">
        <v>306</v>
      </c>
      <c r="C1703" s="54" t="s">
        <v>290</v>
      </c>
      <c r="D1703" s="54" t="s">
        <v>4032</v>
      </c>
      <c r="E1703" s="54" t="s">
        <v>4033</v>
      </c>
      <c r="F1703" s="54" t="s">
        <v>4036</v>
      </c>
      <c r="G1703" s="54" t="s">
        <v>4037</v>
      </c>
      <c r="H1703" s="54" t="n">
        <v>23369</v>
      </c>
      <c r="I1703" s="54" t="s">
        <v>295</v>
      </c>
      <c r="J1703" s="54" t="s">
        <v>4035</v>
      </c>
    </row>
    <row r="1704" customFormat="false" ht="15" hidden="false" customHeight="true" outlineLevel="0" collapsed="false">
      <c r="A1704" s="54" t="n">
        <v>20260710</v>
      </c>
      <c r="B1704" s="54" t="s">
        <v>306</v>
      </c>
      <c r="C1704" s="54" t="s">
        <v>290</v>
      </c>
      <c r="D1704" s="54" t="s">
        <v>4032</v>
      </c>
      <c r="E1704" s="54" t="s">
        <v>4033</v>
      </c>
      <c r="F1704" s="54" t="s">
        <v>4038</v>
      </c>
      <c r="G1704" s="54" t="s">
        <v>4039</v>
      </c>
      <c r="H1704" s="54" t="n">
        <v>6957</v>
      </c>
      <c r="I1704" s="54" t="s">
        <v>295</v>
      </c>
      <c r="J1704" s="54" t="s">
        <v>4035</v>
      </c>
    </row>
    <row r="1705" customFormat="false" ht="15" hidden="false" customHeight="true" outlineLevel="0" collapsed="false">
      <c r="A1705" s="54" t="n">
        <v>20260710</v>
      </c>
      <c r="B1705" s="54" t="s">
        <v>535</v>
      </c>
      <c r="C1705" s="54" t="s">
        <v>290</v>
      </c>
      <c r="D1705" s="54" t="s">
        <v>4040</v>
      </c>
      <c r="E1705" s="54" t="s">
        <v>4041</v>
      </c>
      <c r="F1705" s="54" t="s">
        <v>4042</v>
      </c>
      <c r="G1705" s="54" t="s">
        <v>4043</v>
      </c>
      <c r="H1705" s="54" t="n">
        <v>2210</v>
      </c>
      <c r="I1705" s="54" t="s">
        <v>295</v>
      </c>
      <c r="J1705" s="54" t="s">
        <v>811</v>
      </c>
    </row>
    <row r="1706" customFormat="false" ht="15" hidden="false" customHeight="true" outlineLevel="0" collapsed="false">
      <c r="A1706" s="54" t="n">
        <v>20260710</v>
      </c>
      <c r="B1706" s="54" t="s">
        <v>535</v>
      </c>
      <c r="C1706" s="54" t="s">
        <v>290</v>
      </c>
      <c r="D1706" s="54" t="s">
        <v>4040</v>
      </c>
      <c r="E1706" s="54" t="s">
        <v>4041</v>
      </c>
      <c r="F1706" s="54" t="s">
        <v>4044</v>
      </c>
      <c r="G1706" s="54" t="s">
        <v>4045</v>
      </c>
      <c r="H1706" s="54" t="n">
        <v>6792</v>
      </c>
      <c r="I1706" s="54" t="s">
        <v>295</v>
      </c>
      <c r="J1706" s="54" t="s">
        <v>811</v>
      </c>
    </row>
    <row r="1707" customFormat="false" ht="15" hidden="false" customHeight="true" outlineLevel="0" collapsed="false">
      <c r="A1707" s="54" t="n">
        <v>20260710</v>
      </c>
      <c r="B1707" s="54" t="s">
        <v>535</v>
      </c>
      <c r="C1707" s="54" t="s">
        <v>290</v>
      </c>
      <c r="D1707" s="54" t="s">
        <v>4040</v>
      </c>
      <c r="E1707" s="54" t="s">
        <v>4041</v>
      </c>
      <c r="F1707" s="54" t="s">
        <v>4046</v>
      </c>
      <c r="G1707" s="54" t="s">
        <v>4047</v>
      </c>
      <c r="H1707" s="54" t="n">
        <v>392</v>
      </c>
      <c r="I1707" s="54" t="s">
        <v>295</v>
      </c>
      <c r="J1707" s="54" t="s">
        <v>811</v>
      </c>
    </row>
    <row r="1708" customFormat="false" ht="15" hidden="false" customHeight="true" outlineLevel="0" collapsed="false">
      <c r="A1708" s="54" t="n">
        <v>20260710</v>
      </c>
      <c r="B1708" s="54" t="s">
        <v>535</v>
      </c>
      <c r="C1708" s="54" t="s">
        <v>290</v>
      </c>
      <c r="D1708" s="54" t="s">
        <v>4040</v>
      </c>
      <c r="E1708" s="54" t="s">
        <v>4041</v>
      </c>
      <c r="F1708" s="54" t="s">
        <v>4048</v>
      </c>
      <c r="G1708" s="54" t="s">
        <v>4049</v>
      </c>
      <c r="H1708" s="54" t="n">
        <v>1026</v>
      </c>
      <c r="I1708" s="54" t="s">
        <v>295</v>
      </c>
      <c r="J1708" s="54" t="s">
        <v>811</v>
      </c>
    </row>
    <row r="1709" customFormat="false" ht="15" hidden="false" customHeight="true" outlineLevel="0" collapsed="false">
      <c r="A1709" s="54" t="n">
        <v>20260710</v>
      </c>
      <c r="B1709" s="54" t="s">
        <v>535</v>
      </c>
      <c r="C1709" s="54" t="s">
        <v>290</v>
      </c>
      <c r="D1709" s="54" t="s">
        <v>4040</v>
      </c>
      <c r="E1709" s="54" t="s">
        <v>4041</v>
      </c>
      <c r="F1709" s="54" t="s">
        <v>4050</v>
      </c>
      <c r="G1709" s="54" t="s">
        <v>4051</v>
      </c>
      <c r="H1709" s="54" t="n">
        <v>5594</v>
      </c>
      <c r="I1709" s="54" t="s">
        <v>295</v>
      </c>
      <c r="J1709" s="54" t="s">
        <v>811</v>
      </c>
    </row>
    <row r="1710" customFormat="false" ht="15" hidden="false" customHeight="true" outlineLevel="0" collapsed="false">
      <c r="A1710" s="54" t="n">
        <v>20260710</v>
      </c>
      <c r="B1710" s="54" t="s">
        <v>535</v>
      </c>
      <c r="C1710" s="54" t="s">
        <v>290</v>
      </c>
      <c r="D1710" s="54" t="s">
        <v>4040</v>
      </c>
      <c r="E1710" s="54" t="s">
        <v>4041</v>
      </c>
      <c r="F1710" s="54" t="s">
        <v>4052</v>
      </c>
      <c r="G1710" s="54" t="s">
        <v>1400</v>
      </c>
      <c r="H1710" s="54" t="n">
        <v>1285</v>
      </c>
      <c r="I1710" s="54" t="s">
        <v>295</v>
      </c>
      <c r="J1710" s="54" t="s">
        <v>811</v>
      </c>
    </row>
    <row r="1711" customFormat="false" ht="15" hidden="false" customHeight="true" outlineLevel="0" collapsed="false">
      <c r="A1711" s="54" t="n">
        <v>20260710</v>
      </c>
      <c r="B1711" s="54" t="s">
        <v>535</v>
      </c>
      <c r="C1711" s="54" t="s">
        <v>290</v>
      </c>
      <c r="D1711" s="54" t="s">
        <v>4040</v>
      </c>
      <c r="E1711" s="54" t="s">
        <v>4041</v>
      </c>
      <c r="F1711" s="54" t="s">
        <v>4053</v>
      </c>
      <c r="G1711" s="54" t="s">
        <v>3289</v>
      </c>
      <c r="H1711" s="54" t="n">
        <v>10867</v>
      </c>
      <c r="I1711" s="54" t="s">
        <v>295</v>
      </c>
      <c r="J1711" s="54" t="s">
        <v>811</v>
      </c>
    </row>
    <row r="1712" customFormat="false" ht="15" hidden="false" customHeight="true" outlineLevel="0" collapsed="false">
      <c r="A1712" s="54" t="n">
        <v>20260710</v>
      </c>
      <c r="B1712" s="54" t="s">
        <v>688</v>
      </c>
      <c r="C1712" s="54" t="s">
        <v>307</v>
      </c>
      <c r="D1712" s="54" t="s">
        <v>4054</v>
      </c>
      <c r="E1712" s="54" t="s">
        <v>147</v>
      </c>
      <c r="F1712" s="54" t="s">
        <v>4055</v>
      </c>
      <c r="G1712" s="54" t="s">
        <v>4056</v>
      </c>
      <c r="H1712" s="54" t="n">
        <v>4481</v>
      </c>
      <c r="I1712" s="54" t="s">
        <v>295</v>
      </c>
      <c r="J1712" s="54" t="s">
        <v>745</v>
      </c>
    </row>
    <row r="1713" customFormat="false" ht="15" hidden="false" customHeight="true" outlineLevel="0" collapsed="false">
      <c r="A1713" s="54" t="n">
        <v>20260710</v>
      </c>
      <c r="B1713" s="54" t="s">
        <v>688</v>
      </c>
      <c r="C1713" s="54" t="s">
        <v>307</v>
      </c>
      <c r="D1713" s="54" t="s">
        <v>4054</v>
      </c>
      <c r="E1713" s="54" t="s">
        <v>147</v>
      </c>
      <c r="F1713" s="54" t="s">
        <v>2561</v>
      </c>
      <c r="G1713" s="54" t="s">
        <v>4057</v>
      </c>
      <c r="H1713" s="54" t="n">
        <v>4127</v>
      </c>
      <c r="I1713" s="54" t="s">
        <v>295</v>
      </c>
      <c r="J1713" s="54" t="s">
        <v>745</v>
      </c>
    </row>
    <row r="1714" customFormat="false" ht="15" hidden="false" customHeight="true" outlineLevel="0" collapsed="false">
      <c r="A1714" s="54" t="n">
        <v>20260710</v>
      </c>
      <c r="B1714" s="54" t="s">
        <v>688</v>
      </c>
      <c r="C1714" s="54" t="s">
        <v>307</v>
      </c>
      <c r="D1714" s="54" t="s">
        <v>4054</v>
      </c>
      <c r="E1714" s="54" t="s">
        <v>147</v>
      </c>
      <c r="F1714" s="54" t="s">
        <v>4058</v>
      </c>
      <c r="G1714" s="54" t="s">
        <v>4059</v>
      </c>
      <c r="H1714" s="54" t="n">
        <v>5973</v>
      </c>
      <c r="I1714" s="54" t="s">
        <v>295</v>
      </c>
      <c r="J1714" s="54" t="s">
        <v>745</v>
      </c>
    </row>
    <row r="1715" customFormat="false" ht="15" hidden="false" customHeight="true" outlineLevel="0" collapsed="false">
      <c r="A1715" s="54" t="n">
        <v>20260710</v>
      </c>
      <c r="B1715" s="54" t="s">
        <v>688</v>
      </c>
      <c r="C1715" s="54" t="s">
        <v>307</v>
      </c>
      <c r="D1715" s="54" t="s">
        <v>4054</v>
      </c>
      <c r="E1715" s="54" t="s">
        <v>147</v>
      </c>
      <c r="F1715" s="54" t="s">
        <v>4060</v>
      </c>
      <c r="G1715" s="54" t="s">
        <v>2995</v>
      </c>
      <c r="H1715" s="54" t="n">
        <v>14087</v>
      </c>
      <c r="I1715" s="54" t="s">
        <v>295</v>
      </c>
      <c r="J1715" s="54" t="s">
        <v>745</v>
      </c>
    </row>
    <row r="1716" customFormat="false" ht="15" hidden="false" customHeight="true" outlineLevel="0" collapsed="false">
      <c r="A1716" s="54" t="n">
        <v>20260710</v>
      </c>
      <c r="B1716" s="54" t="s">
        <v>306</v>
      </c>
      <c r="C1716" s="54" t="s">
        <v>307</v>
      </c>
      <c r="D1716" s="54" t="s">
        <v>4061</v>
      </c>
      <c r="E1716" s="54" t="s">
        <v>4062</v>
      </c>
      <c r="F1716" s="54" t="s">
        <v>819</v>
      </c>
      <c r="G1716" s="54" t="s">
        <v>4063</v>
      </c>
      <c r="H1716" s="54" t="n">
        <v>15192</v>
      </c>
      <c r="I1716" s="54" t="s">
        <v>295</v>
      </c>
      <c r="J1716" s="54" t="s">
        <v>392</v>
      </c>
    </row>
    <row r="1717" customFormat="false" ht="15" hidden="false" customHeight="true" outlineLevel="0" collapsed="false">
      <c r="A1717" s="54" t="n">
        <v>20260710</v>
      </c>
      <c r="B1717" s="54" t="s">
        <v>306</v>
      </c>
      <c r="C1717" s="54" t="s">
        <v>307</v>
      </c>
      <c r="D1717" s="54" t="s">
        <v>4061</v>
      </c>
      <c r="E1717" s="54" t="s">
        <v>4062</v>
      </c>
      <c r="F1717" s="54" t="s">
        <v>4064</v>
      </c>
      <c r="G1717" s="54" t="s">
        <v>4065</v>
      </c>
      <c r="H1717" s="54" t="n">
        <v>5996</v>
      </c>
      <c r="I1717" s="54" t="s">
        <v>295</v>
      </c>
      <c r="J1717" s="54" t="s">
        <v>392</v>
      </c>
    </row>
    <row r="1718" customFormat="false" ht="15" hidden="false" customHeight="true" outlineLevel="0" collapsed="false">
      <c r="A1718" s="54" t="n">
        <v>20260710</v>
      </c>
      <c r="B1718" s="54" t="s">
        <v>306</v>
      </c>
      <c r="C1718" s="54" t="s">
        <v>307</v>
      </c>
      <c r="D1718" s="54" t="s">
        <v>4061</v>
      </c>
      <c r="E1718" s="54" t="s">
        <v>4062</v>
      </c>
      <c r="F1718" s="54" t="s">
        <v>2431</v>
      </c>
      <c r="G1718" s="54" t="s">
        <v>2402</v>
      </c>
      <c r="H1718" s="54" t="n">
        <v>10765</v>
      </c>
      <c r="I1718" s="54" t="s">
        <v>295</v>
      </c>
      <c r="J1718" s="54" t="s">
        <v>392</v>
      </c>
    </row>
    <row r="1719" customFormat="false" ht="15" hidden="false" customHeight="true" outlineLevel="0" collapsed="false">
      <c r="A1719" s="54" t="n">
        <v>20260710</v>
      </c>
      <c r="B1719" s="54" t="s">
        <v>289</v>
      </c>
      <c r="C1719" s="54" t="s">
        <v>290</v>
      </c>
      <c r="D1719" s="54" t="s">
        <v>4066</v>
      </c>
      <c r="E1719" s="54" t="s">
        <v>4067</v>
      </c>
      <c r="F1719" s="54" t="s">
        <v>4068</v>
      </c>
      <c r="G1719" s="54" t="s">
        <v>4069</v>
      </c>
      <c r="H1719" s="54" t="n">
        <v>28800</v>
      </c>
      <c r="I1719" s="54" t="s">
        <v>360</v>
      </c>
      <c r="J1719" s="54" t="s">
        <v>852</v>
      </c>
    </row>
    <row r="1720" customFormat="false" ht="15" hidden="false" customHeight="true" outlineLevel="0" collapsed="false">
      <c r="A1720" s="54" t="n">
        <v>20260710</v>
      </c>
      <c r="B1720" s="54" t="s">
        <v>289</v>
      </c>
      <c r="C1720" s="54" t="s">
        <v>290</v>
      </c>
      <c r="D1720" s="54" t="s">
        <v>4066</v>
      </c>
      <c r="E1720" s="54" t="s">
        <v>4067</v>
      </c>
      <c r="F1720" s="54" t="s">
        <v>4068</v>
      </c>
      <c r="G1720" s="54" t="s">
        <v>4069</v>
      </c>
      <c r="H1720" s="54" t="n">
        <v>28800</v>
      </c>
      <c r="I1720" s="54" t="s">
        <v>295</v>
      </c>
      <c r="J1720" s="54" t="s">
        <v>852</v>
      </c>
    </row>
    <row r="1721" customFormat="false" ht="15" hidden="false" customHeight="true" outlineLevel="0" collapsed="false">
      <c r="A1721" s="54" t="n">
        <v>20260710</v>
      </c>
      <c r="B1721" s="54" t="s">
        <v>306</v>
      </c>
      <c r="C1721" s="54" t="s">
        <v>307</v>
      </c>
      <c r="D1721" s="54" t="s">
        <v>4070</v>
      </c>
      <c r="E1721" s="54" t="s">
        <v>4071</v>
      </c>
      <c r="F1721" s="54" t="s">
        <v>603</v>
      </c>
      <c r="G1721" s="54" t="s">
        <v>4072</v>
      </c>
      <c r="H1721" s="54" t="n">
        <v>12240</v>
      </c>
      <c r="I1721" s="54" t="s">
        <v>295</v>
      </c>
      <c r="J1721" s="54" t="s">
        <v>752</v>
      </c>
    </row>
    <row r="1722" customFormat="false" ht="15" hidden="false" customHeight="true" outlineLevel="0" collapsed="false">
      <c r="A1722" s="54" t="n">
        <v>20260710</v>
      </c>
      <c r="B1722" s="54" t="s">
        <v>306</v>
      </c>
      <c r="C1722" s="54" t="s">
        <v>307</v>
      </c>
      <c r="D1722" s="54" t="s">
        <v>4070</v>
      </c>
      <c r="E1722" s="54" t="s">
        <v>4071</v>
      </c>
      <c r="F1722" s="54" t="s">
        <v>4073</v>
      </c>
      <c r="G1722" s="54" t="s">
        <v>4074</v>
      </c>
      <c r="H1722" s="54" t="n">
        <v>2605</v>
      </c>
      <c r="I1722" s="54" t="s">
        <v>295</v>
      </c>
      <c r="J1722" s="54" t="s">
        <v>752</v>
      </c>
    </row>
    <row r="1723" customFormat="false" ht="15" hidden="false" customHeight="true" outlineLevel="0" collapsed="false">
      <c r="A1723" s="54" t="n">
        <v>20260710</v>
      </c>
      <c r="B1723" s="54" t="s">
        <v>306</v>
      </c>
      <c r="C1723" s="54" t="s">
        <v>307</v>
      </c>
      <c r="D1723" s="54" t="s">
        <v>4070</v>
      </c>
      <c r="E1723" s="54" t="s">
        <v>4071</v>
      </c>
      <c r="F1723" s="54" t="s">
        <v>4075</v>
      </c>
      <c r="G1723" s="54" t="s">
        <v>4076</v>
      </c>
      <c r="H1723" s="54" t="n">
        <v>13933</v>
      </c>
      <c r="I1723" s="54" t="s">
        <v>295</v>
      </c>
      <c r="J1723" s="54" t="s">
        <v>752</v>
      </c>
    </row>
    <row r="1724" customFormat="false" ht="15" hidden="false" customHeight="true" outlineLevel="0" collapsed="false">
      <c r="A1724" s="54" t="n">
        <v>20260710</v>
      </c>
      <c r="B1724" s="54" t="s">
        <v>306</v>
      </c>
      <c r="C1724" s="54" t="s">
        <v>290</v>
      </c>
      <c r="D1724" s="54" t="s">
        <v>4077</v>
      </c>
      <c r="E1724" s="54" t="s">
        <v>4078</v>
      </c>
      <c r="F1724" s="54" t="s">
        <v>4079</v>
      </c>
      <c r="G1724" s="54" t="s">
        <v>2999</v>
      </c>
      <c r="H1724" s="54" t="n">
        <v>14915</v>
      </c>
      <c r="I1724" s="54" t="s">
        <v>295</v>
      </c>
      <c r="J1724" s="54" t="s">
        <v>1027</v>
      </c>
    </row>
    <row r="1725" customFormat="false" ht="15" hidden="false" customHeight="true" outlineLevel="0" collapsed="false">
      <c r="A1725" s="54" t="n">
        <v>20260710</v>
      </c>
      <c r="B1725" s="54" t="s">
        <v>306</v>
      </c>
      <c r="C1725" s="54" t="s">
        <v>290</v>
      </c>
      <c r="D1725" s="54" t="s">
        <v>4077</v>
      </c>
      <c r="E1725" s="54" t="s">
        <v>4078</v>
      </c>
      <c r="F1725" s="54" t="s">
        <v>4080</v>
      </c>
      <c r="G1725" s="54" t="s">
        <v>2999</v>
      </c>
      <c r="H1725" s="54" t="n">
        <v>14914</v>
      </c>
      <c r="I1725" s="54" t="s">
        <v>315</v>
      </c>
      <c r="J1725" s="54" t="s">
        <v>1027</v>
      </c>
    </row>
    <row r="1726" customFormat="false" ht="15" hidden="false" customHeight="true" outlineLevel="0" collapsed="false">
      <c r="A1726" s="54" t="n">
        <v>20260710</v>
      </c>
      <c r="B1726" s="54" t="s">
        <v>306</v>
      </c>
      <c r="C1726" s="54" t="s">
        <v>290</v>
      </c>
      <c r="D1726" s="54" t="s">
        <v>4077</v>
      </c>
      <c r="E1726" s="54" t="s">
        <v>4078</v>
      </c>
      <c r="F1726" s="54" t="s">
        <v>4081</v>
      </c>
      <c r="G1726" s="54" t="s">
        <v>4082</v>
      </c>
      <c r="H1726" s="54" t="n">
        <v>14210</v>
      </c>
      <c r="I1726" s="54" t="s">
        <v>315</v>
      </c>
      <c r="J1726" s="54" t="s">
        <v>1027</v>
      </c>
    </row>
    <row r="1727" customFormat="false" ht="15" hidden="false" customHeight="true" outlineLevel="0" collapsed="false">
      <c r="A1727" s="54" t="n">
        <v>20260710</v>
      </c>
      <c r="B1727" s="54" t="s">
        <v>306</v>
      </c>
      <c r="C1727" s="54" t="s">
        <v>290</v>
      </c>
      <c r="D1727" s="54" t="s">
        <v>4077</v>
      </c>
      <c r="E1727" s="54" t="s">
        <v>4078</v>
      </c>
      <c r="F1727" s="54" t="s">
        <v>4081</v>
      </c>
      <c r="G1727" s="54" t="s">
        <v>4082</v>
      </c>
      <c r="H1727" s="54" t="n">
        <v>14210</v>
      </c>
      <c r="I1727" s="54" t="s">
        <v>295</v>
      </c>
      <c r="J1727" s="54" t="s">
        <v>1027</v>
      </c>
    </row>
    <row r="1728" customFormat="false" ht="15" hidden="false" customHeight="true" outlineLevel="0" collapsed="false">
      <c r="A1728" s="54" t="n">
        <v>20260710</v>
      </c>
      <c r="B1728" s="54" t="s">
        <v>497</v>
      </c>
      <c r="C1728" s="54" t="s">
        <v>307</v>
      </c>
      <c r="D1728" s="54" t="s">
        <v>4083</v>
      </c>
      <c r="E1728" s="54" t="s">
        <v>4084</v>
      </c>
      <c r="F1728" s="54" t="s">
        <v>4085</v>
      </c>
      <c r="G1728" s="54" t="s">
        <v>4086</v>
      </c>
      <c r="H1728" s="54" t="n">
        <v>18031</v>
      </c>
      <c r="I1728" s="54" t="s">
        <v>295</v>
      </c>
      <c r="J1728" s="54" t="s">
        <v>894</v>
      </c>
    </row>
    <row r="1729" customFormat="false" ht="15" hidden="false" customHeight="true" outlineLevel="0" collapsed="false">
      <c r="A1729" s="54" t="n">
        <v>20260710</v>
      </c>
      <c r="B1729" s="54" t="s">
        <v>497</v>
      </c>
      <c r="C1729" s="54" t="s">
        <v>307</v>
      </c>
      <c r="D1729" s="54" t="s">
        <v>4083</v>
      </c>
      <c r="E1729" s="54" t="s">
        <v>4084</v>
      </c>
      <c r="F1729" s="54" t="s">
        <v>4087</v>
      </c>
      <c r="G1729" s="54" t="s">
        <v>4088</v>
      </c>
      <c r="H1729" s="54" t="n">
        <v>10688</v>
      </c>
      <c r="I1729" s="54" t="s">
        <v>295</v>
      </c>
      <c r="J1729" s="54" t="s">
        <v>894</v>
      </c>
    </row>
    <row r="1730" customFormat="false" ht="15" hidden="false" customHeight="true" outlineLevel="0" collapsed="false">
      <c r="A1730" s="54" t="n">
        <v>20260710</v>
      </c>
      <c r="B1730" s="54" t="s">
        <v>497</v>
      </c>
      <c r="C1730" s="54" t="s">
        <v>307</v>
      </c>
      <c r="D1730" s="54" t="s">
        <v>4089</v>
      </c>
      <c r="E1730" s="54" t="s">
        <v>4090</v>
      </c>
      <c r="F1730" s="54" t="s">
        <v>3704</v>
      </c>
      <c r="G1730" s="54" t="s">
        <v>3453</v>
      </c>
      <c r="H1730" s="54" t="n">
        <v>99</v>
      </c>
      <c r="I1730" s="54" t="s">
        <v>295</v>
      </c>
      <c r="J1730" s="54" t="s">
        <v>894</v>
      </c>
    </row>
    <row r="1731" customFormat="false" ht="15" hidden="false" customHeight="true" outlineLevel="0" collapsed="false">
      <c r="A1731" s="54" t="n">
        <v>20260710</v>
      </c>
      <c r="B1731" s="54" t="s">
        <v>497</v>
      </c>
      <c r="C1731" s="54" t="s">
        <v>307</v>
      </c>
      <c r="D1731" s="54" t="s">
        <v>4089</v>
      </c>
      <c r="E1731" s="54" t="s">
        <v>4090</v>
      </c>
      <c r="F1731" s="54" t="s">
        <v>4091</v>
      </c>
      <c r="G1731" s="54" t="s">
        <v>4092</v>
      </c>
      <c r="H1731" s="54" t="n">
        <v>15121</v>
      </c>
      <c r="I1731" s="54" t="s">
        <v>295</v>
      </c>
      <c r="J1731" s="54" t="s">
        <v>894</v>
      </c>
    </row>
    <row r="1732" customFormat="false" ht="15" hidden="false" customHeight="true" outlineLevel="0" collapsed="false">
      <c r="A1732" s="54" t="n">
        <v>20260710</v>
      </c>
      <c r="B1732" s="54" t="s">
        <v>497</v>
      </c>
      <c r="C1732" s="54" t="s">
        <v>307</v>
      </c>
      <c r="D1732" s="54" t="s">
        <v>4089</v>
      </c>
      <c r="E1732" s="54" t="s">
        <v>4090</v>
      </c>
      <c r="F1732" s="54" t="s">
        <v>4093</v>
      </c>
      <c r="G1732" s="54" t="s">
        <v>4094</v>
      </c>
      <c r="H1732" s="54" t="n">
        <v>1571</v>
      </c>
      <c r="I1732" s="54" t="s">
        <v>295</v>
      </c>
      <c r="J1732" s="54" t="s">
        <v>894</v>
      </c>
    </row>
    <row r="1733" customFormat="false" ht="15" hidden="false" customHeight="true" outlineLevel="0" collapsed="false">
      <c r="A1733" s="54" t="n">
        <v>20260710</v>
      </c>
      <c r="B1733" s="54" t="s">
        <v>497</v>
      </c>
      <c r="C1733" s="54" t="s">
        <v>307</v>
      </c>
      <c r="D1733" s="54" t="s">
        <v>4089</v>
      </c>
      <c r="E1733" s="54" t="s">
        <v>4090</v>
      </c>
      <c r="F1733" s="54" t="s">
        <v>4095</v>
      </c>
      <c r="G1733" s="54" t="s">
        <v>1049</v>
      </c>
      <c r="H1733" s="54" t="n">
        <v>10766</v>
      </c>
      <c r="I1733" s="54" t="s">
        <v>295</v>
      </c>
      <c r="J1733" s="54" t="s">
        <v>894</v>
      </c>
    </row>
    <row r="1734" customFormat="false" ht="15" hidden="false" customHeight="true" outlineLevel="0" collapsed="false">
      <c r="A1734" s="54" t="n">
        <v>20260710</v>
      </c>
      <c r="B1734" s="54" t="s">
        <v>289</v>
      </c>
      <c r="C1734" s="54" t="s">
        <v>290</v>
      </c>
      <c r="D1734" s="54" t="s">
        <v>435</v>
      </c>
      <c r="E1734" s="54" t="s">
        <v>436</v>
      </c>
      <c r="F1734" s="54" t="s">
        <v>4096</v>
      </c>
      <c r="G1734" s="54" t="s">
        <v>3247</v>
      </c>
      <c r="H1734" s="54" t="n">
        <v>28800</v>
      </c>
      <c r="I1734" s="54" t="s">
        <v>315</v>
      </c>
      <c r="J1734" s="54" t="s">
        <v>439</v>
      </c>
    </row>
    <row r="1735" customFormat="false" ht="15" hidden="false" customHeight="true" outlineLevel="0" collapsed="false">
      <c r="A1735" s="54" t="n">
        <v>20260710</v>
      </c>
      <c r="B1735" s="54" t="s">
        <v>289</v>
      </c>
      <c r="C1735" s="54" t="s">
        <v>290</v>
      </c>
      <c r="D1735" s="54" t="s">
        <v>4097</v>
      </c>
      <c r="E1735" s="54" t="s">
        <v>4098</v>
      </c>
      <c r="F1735" s="54" t="s">
        <v>4099</v>
      </c>
      <c r="G1735" s="54" t="s">
        <v>4100</v>
      </c>
      <c r="H1735" s="54" t="n">
        <v>20086</v>
      </c>
      <c r="I1735" s="54" t="s">
        <v>295</v>
      </c>
      <c r="J1735" s="54" t="s">
        <v>2306</v>
      </c>
    </row>
    <row r="1736" customFormat="false" ht="15" hidden="false" customHeight="true" outlineLevel="0" collapsed="false">
      <c r="A1736" s="54" t="n">
        <v>20260710</v>
      </c>
      <c r="B1736" s="54" t="s">
        <v>289</v>
      </c>
      <c r="C1736" s="54" t="s">
        <v>290</v>
      </c>
      <c r="D1736" s="54" t="s">
        <v>4097</v>
      </c>
      <c r="E1736" s="54" t="s">
        <v>4098</v>
      </c>
      <c r="F1736" s="54" t="s">
        <v>4101</v>
      </c>
      <c r="G1736" s="54" t="s">
        <v>4102</v>
      </c>
      <c r="H1736" s="54" t="n">
        <v>9859</v>
      </c>
      <c r="I1736" s="54" t="s">
        <v>295</v>
      </c>
      <c r="J1736" s="54" t="s">
        <v>2306</v>
      </c>
    </row>
    <row r="1737" customFormat="false" ht="15" hidden="false" customHeight="true" outlineLevel="0" collapsed="false">
      <c r="A1737" s="54" t="n">
        <v>20260710</v>
      </c>
      <c r="B1737" s="54" t="s">
        <v>289</v>
      </c>
      <c r="C1737" s="54" t="s">
        <v>290</v>
      </c>
      <c r="D1737" s="54" t="s">
        <v>4103</v>
      </c>
      <c r="E1737" s="54" t="s">
        <v>4104</v>
      </c>
      <c r="F1737" s="54" t="s">
        <v>4105</v>
      </c>
      <c r="G1737" s="54" t="s">
        <v>4106</v>
      </c>
      <c r="H1737" s="54" t="n">
        <v>23500</v>
      </c>
      <c r="I1737" s="54" t="s">
        <v>295</v>
      </c>
      <c r="J1737" s="54" t="s">
        <v>1355</v>
      </c>
    </row>
    <row r="1738" customFormat="false" ht="15" hidden="false" customHeight="true" outlineLevel="0" collapsed="false">
      <c r="A1738" s="54" t="n">
        <v>20260710</v>
      </c>
      <c r="B1738" s="54" t="s">
        <v>289</v>
      </c>
      <c r="C1738" s="54" t="s">
        <v>290</v>
      </c>
      <c r="D1738" s="54" t="s">
        <v>4103</v>
      </c>
      <c r="E1738" s="54" t="s">
        <v>4104</v>
      </c>
      <c r="F1738" s="54" t="s">
        <v>4107</v>
      </c>
      <c r="G1738" s="54" t="s">
        <v>4106</v>
      </c>
      <c r="H1738" s="54" t="n">
        <v>23499</v>
      </c>
      <c r="I1738" s="54" t="s">
        <v>360</v>
      </c>
      <c r="J1738" s="54" t="s">
        <v>1355</v>
      </c>
    </row>
    <row r="1739" customFormat="false" ht="15" hidden="false" customHeight="true" outlineLevel="0" collapsed="false">
      <c r="A1739" s="54" t="n">
        <v>20260710</v>
      </c>
      <c r="B1739" s="54" t="s">
        <v>289</v>
      </c>
      <c r="C1739" s="54" t="s">
        <v>290</v>
      </c>
      <c r="D1739" s="54" t="s">
        <v>4103</v>
      </c>
      <c r="E1739" s="54" t="s">
        <v>4104</v>
      </c>
      <c r="F1739" s="54" t="s">
        <v>4108</v>
      </c>
      <c r="G1739" s="54" t="s">
        <v>1286</v>
      </c>
      <c r="H1739" s="54" t="n">
        <v>5819</v>
      </c>
      <c r="I1739" s="54" t="s">
        <v>360</v>
      </c>
      <c r="J1739" s="54" t="s">
        <v>1355</v>
      </c>
    </row>
    <row r="1740" customFormat="false" ht="15" hidden="false" customHeight="true" outlineLevel="0" collapsed="false">
      <c r="A1740" s="54" t="n">
        <v>20260710</v>
      </c>
      <c r="B1740" s="54" t="s">
        <v>289</v>
      </c>
      <c r="C1740" s="54" t="s">
        <v>290</v>
      </c>
      <c r="D1740" s="54" t="s">
        <v>4103</v>
      </c>
      <c r="E1740" s="54" t="s">
        <v>4104</v>
      </c>
      <c r="F1740" s="54" t="s">
        <v>4108</v>
      </c>
      <c r="G1740" s="54" t="s">
        <v>1286</v>
      </c>
      <c r="H1740" s="54" t="n">
        <v>5819</v>
      </c>
      <c r="I1740" s="54" t="s">
        <v>295</v>
      </c>
      <c r="J1740" s="54" t="s">
        <v>1355</v>
      </c>
    </row>
    <row r="1741" customFormat="false" ht="15" hidden="false" customHeight="true" outlineLevel="0" collapsed="false">
      <c r="A1741" s="54" t="n">
        <v>20260710</v>
      </c>
      <c r="B1741" s="54" t="s">
        <v>535</v>
      </c>
      <c r="C1741" s="54" t="s">
        <v>290</v>
      </c>
      <c r="D1741" s="54" t="s">
        <v>4109</v>
      </c>
      <c r="E1741" s="54" t="s">
        <v>4110</v>
      </c>
      <c r="F1741" s="54" t="s">
        <v>4111</v>
      </c>
      <c r="G1741" s="54" t="s">
        <v>1751</v>
      </c>
      <c r="H1741" s="54" t="n">
        <v>14497</v>
      </c>
      <c r="I1741" s="54" t="s">
        <v>295</v>
      </c>
      <c r="J1741" s="54" t="s">
        <v>1452</v>
      </c>
    </row>
    <row r="1742" customFormat="false" ht="15" hidden="false" customHeight="true" outlineLevel="0" collapsed="false">
      <c r="A1742" s="54" t="n">
        <v>20260710</v>
      </c>
      <c r="B1742" s="54" t="s">
        <v>535</v>
      </c>
      <c r="C1742" s="54" t="s">
        <v>290</v>
      </c>
      <c r="D1742" s="54" t="s">
        <v>4109</v>
      </c>
      <c r="E1742" s="54" t="s">
        <v>4110</v>
      </c>
      <c r="F1742" s="54" t="s">
        <v>4112</v>
      </c>
      <c r="G1742" s="54" t="s">
        <v>905</v>
      </c>
      <c r="H1742" s="54" t="n">
        <v>14443</v>
      </c>
      <c r="I1742" s="54" t="s">
        <v>295</v>
      </c>
      <c r="J1742" s="54" t="s">
        <v>1452</v>
      </c>
    </row>
    <row r="1743" customFormat="false" ht="15" hidden="false" customHeight="true" outlineLevel="0" collapsed="false">
      <c r="A1743" s="54" t="n">
        <v>20260710</v>
      </c>
      <c r="B1743" s="54" t="s">
        <v>289</v>
      </c>
      <c r="C1743" s="54" t="s">
        <v>290</v>
      </c>
      <c r="D1743" s="54" t="s">
        <v>4113</v>
      </c>
      <c r="E1743" s="54" t="s">
        <v>4114</v>
      </c>
      <c r="F1743" s="54" t="s">
        <v>3668</v>
      </c>
      <c r="G1743" s="54" t="s">
        <v>1926</v>
      </c>
      <c r="H1743" s="54" t="n">
        <v>14480</v>
      </c>
      <c r="I1743" s="54" t="s">
        <v>360</v>
      </c>
      <c r="J1743" s="54" t="s">
        <v>874</v>
      </c>
    </row>
    <row r="1744" customFormat="false" ht="15" hidden="false" customHeight="true" outlineLevel="0" collapsed="false">
      <c r="A1744" s="54" t="n">
        <v>20260710</v>
      </c>
      <c r="B1744" s="54" t="s">
        <v>289</v>
      </c>
      <c r="C1744" s="54" t="s">
        <v>290</v>
      </c>
      <c r="D1744" s="54" t="s">
        <v>4113</v>
      </c>
      <c r="E1744" s="54" t="s">
        <v>4114</v>
      </c>
      <c r="F1744" s="54" t="s">
        <v>3668</v>
      </c>
      <c r="G1744" s="54" t="s">
        <v>1926</v>
      </c>
      <c r="H1744" s="54" t="n">
        <v>14480</v>
      </c>
      <c r="I1744" s="54" t="s">
        <v>295</v>
      </c>
      <c r="J1744" s="54" t="s">
        <v>874</v>
      </c>
    </row>
    <row r="1745" customFormat="false" ht="15" hidden="false" customHeight="true" outlineLevel="0" collapsed="false">
      <c r="A1745" s="54" t="n">
        <v>20260710</v>
      </c>
      <c r="B1745" s="54" t="s">
        <v>289</v>
      </c>
      <c r="C1745" s="54" t="s">
        <v>290</v>
      </c>
      <c r="D1745" s="54" t="s">
        <v>4113</v>
      </c>
      <c r="E1745" s="54" t="s">
        <v>4114</v>
      </c>
      <c r="F1745" s="54" t="s">
        <v>4115</v>
      </c>
      <c r="G1745" s="54" t="s">
        <v>4116</v>
      </c>
      <c r="H1745" s="54" t="n">
        <v>12862</v>
      </c>
      <c r="I1745" s="54" t="s">
        <v>295</v>
      </c>
      <c r="J1745" s="54" t="s">
        <v>874</v>
      </c>
    </row>
    <row r="1746" customFormat="false" ht="15" hidden="false" customHeight="true" outlineLevel="0" collapsed="false">
      <c r="A1746" s="54" t="n">
        <v>20260710</v>
      </c>
      <c r="B1746" s="54" t="s">
        <v>289</v>
      </c>
      <c r="C1746" s="54" t="s">
        <v>290</v>
      </c>
      <c r="D1746" s="54" t="s">
        <v>4113</v>
      </c>
      <c r="E1746" s="54" t="s">
        <v>4114</v>
      </c>
      <c r="F1746" s="54" t="s">
        <v>4115</v>
      </c>
      <c r="G1746" s="54" t="s">
        <v>4117</v>
      </c>
      <c r="H1746" s="54" t="n">
        <v>12884</v>
      </c>
      <c r="I1746" s="54" t="s">
        <v>360</v>
      </c>
      <c r="J1746" s="54" t="s">
        <v>874</v>
      </c>
    </row>
    <row r="1747" customFormat="false" ht="15" hidden="false" customHeight="true" outlineLevel="0" collapsed="false">
      <c r="A1747" s="54" t="n">
        <v>20260710</v>
      </c>
      <c r="B1747" s="54" t="s">
        <v>289</v>
      </c>
      <c r="C1747" s="54" t="s">
        <v>290</v>
      </c>
      <c r="D1747" s="54" t="s">
        <v>4113</v>
      </c>
      <c r="E1747" s="54" t="s">
        <v>4114</v>
      </c>
      <c r="F1747" s="54" t="s">
        <v>4118</v>
      </c>
      <c r="G1747" s="54" t="s">
        <v>4119</v>
      </c>
      <c r="H1747" s="54" t="n">
        <v>1531</v>
      </c>
      <c r="I1747" s="54" t="s">
        <v>295</v>
      </c>
      <c r="J1747" s="54" t="s">
        <v>874</v>
      </c>
    </row>
    <row r="1748" customFormat="false" ht="15" hidden="false" customHeight="true" outlineLevel="0" collapsed="false">
      <c r="A1748" s="54" t="n">
        <v>20260710</v>
      </c>
      <c r="B1748" s="54" t="s">
        <v>289</v>
      </c>
      <c r="C1748" s="54" t="s">
        <v>290</v>
      </c>
      <c r="D1748" s="54" t="s">
        <v>4113</v>
      </c>
      <c r="E1748" s="54" t="s">
        <v>4114</v>
      </c>
      <c r="F1748" s="54" t="s">
        <v>4120</v>
      </c>
      <c r="G1748" s="54" t="s">
        <v>4119</v>
      </c>
      <c r="H1748" s="54" t="n">
        <v>1530</v>
      </c>
      <c r="I1748" s="54" t="s">
        <v>360</v>
      </c>
      <c r="J1748" s="54" t="s">
        <v>874</v>
      </c>
    </row>
    <row r="1749" customFormat="false" ht="15" hidden="false" customHeight="true" outlineLevel="0" collapsed="false">
      <c r="A1749" s="54" t="n">
        <v>20260710</v>
      </c>
      <c r="B1749" s="54" t="s">
        <v>306</v>
      </c>
      <c r="C1749" s="54" t="s">
        <v>290</v>
      </c>
      <c r="D1749" s="54" t="s">
        <v>4121</v>
      </c>
      <c r="E1749" s="54" t="s">
        <v>4122</v>
      </c>
      <c r="F1749" s="54" t="s">
        <v>4123</v>
      </c>
      <c r="G1749" s="54" t="s">
        <v>4124</v>
      </c>
      <c r="H1749" s="54" t="n">
        <v>11729</v>
      </c>
      <c r="I1749" s="54" t="s">
        <v>295</v>
      </c>
      <c r="J1749" s="54" t="s">
        <v>368</v>
      </c>
    </row>
    <row r="1750" customFormat="false" ht="15" hidden="false" customHeight="true" outlineLevel="0" collapsed="false">
      <c r="A1750" s="54" t="n">
        <v>20260710</v>
      </c>
      <c r="B1750" s="54" t="s">
        <v>306</v>
      </c>
      <c r="C1750" s="54" t="s">
        <v>290</v>
      </c>
      <c r="D1750" s="54" t="s">
        <v>4121</v>
      </c>
      <c r="E1750" s="54" t="s">
        <v>4122</v>
      </c>
      <c r="F1750" s="54" t="s">
        <v>4125</v>
      </c>
      <c r="G1750" s="54" t="s">
        <v>4126</v>
      </c>
      <c r="H1750" s="54" t="n">
        <v>11726</v>
      </c>
      <c r="I1750" s="54" t="s">
        <v>315</v>
      </c>
      <c r="J1750" s="54" t="s">
        <v>368</v>
      </c>
    </row>
    <row r="1751" customFormat="false" ht="15" hidden="false" customHeight="true" outlineLevel="0" collapsed="false">
      <c r="A1751" s="54" t="n">
        <v>20260710</v>
      </c>
      <c r="B1751" s="54" t="s">
        <v>306</v>
      </c>
      <c r="C1751" s="54" t="s">
        <v>290</v>
      </c>
      <c r="D1751" s="54" t="s">
        <v>4121</v>
      </c>
      <c r="E1751" s="54" t="s">
        <v>4122</v>
      </c>
      <c r="F1751" s="54" t="s">
        <v>4127</v>
      </c>
      <c r="G1751" s="54" t="s">
        <v>4128</v>
      </c>
      <c r="H1751" s="54" t="n">
        <v>2896</v>
      </c>
      <c r="I1751" s="54" t="s">
        <v>295</v>
      </c>
      <c r="J1751" s="54" t="s">
        <v>368</v>
      </c>
    </row>
    <row r="1752" customFormat="false" ht="15" hidden="false" customHeight="true" outlineLevel="0" collapsed="false">
      <c r="A1752" s="54" t="n">
        <v>20260710</v>
      </c>
      <c r="B1752" s="54" t="s">
        <v>306</v>
      </c>
      <c r="C1752" s="54" t="s">
        <v>290</v>
      </c>
      <c r="D1752" s="54" t="s">
        <v>4121</v>
      </c>
      <c r="E1752" s="54" t="s">
        <v>4122</v>
      </c>
      <c r="F1752" s="54" t="s">
        <v>4129</v>
      </c>
      <c r="G1752" s="54" t="s">
        <v>4130</v>
      </c>
      <c r="H1752" s="54" t="n">
        <v>13309</v>
      </c>
      <c r="I1752" s="54" t="s">
        <v>315</v>
      </c>
      <c r="J1752" s="54" t="s">
        <v>368</v>
      </c>
    </row>
    <row r="1753" customFormat="false" ht="15" hidden="false" customHeight="true" outlineLevel="0" collapsed="false">
      <c r="A1753" s="54" t="n">
        <v>20260710</v>
      </c>
      <c r="B1753" s="54" t="s">
        <v>306</v>
      </c>
      <c r="C1753" s="54" t="s">
        <v>290</v>
      </c>
      <c r="D1753" s="54" t="s">
        <v>4121</v>
      </c>
      <c r="E1753" s="54" t="s">
        <v>4122</v>
      </c>
      <c r="F1753" s="54" t="s">
        <v>4129</v>
      </c>
      <c r="G1753" s="54" t="s">
        <v>4130</v>
      </c>
      <c r="H1753" s="54" t="n">
        <v>13309</v>
      </c>
      <c r="I1753" s="54" t="s">
        <v>295</v>
      </c>
      <c r="J1753" s="54" t="s">
        <v>368</v>
      </c>
    </row>
    <row r="1754" customFormat="false" ht="15" hidden="false" customHeight="true" outlineLevel="0" collapsed="false">
      <c r="A1754" s="54" t="n">
        <v>20260710</v>
      </c>
      <c r="B1754" s="54" t="s">
        <v>306</v>
      </c>
      <c r="C1754" s="54" t="s">
        <v>290</v>
      </c>
      <c r="D1754" s="54" t="s">
        <v>4121</v>
      </c>
      <c r="E1754" s="54" t="s">
        <v>4122</v>
      </c>
      <c r="F1754" s="54" t="s">
        <v>4131</v>
      </c>
      <c r="G1754" s="54" t="s">
        <v>4132</v>
      </c>
      <c r="H1754" s="54" t="n">
        <v>1023</v>
      </c>
      <c r="I1754" s="54" t="s">
        <v>295</v>
      </c>
      <c r="J1754" s="54" t="s">
        <v>368</v>
      </c>
    </row>
    <row r="1755" customFormat="false" ht="15" hidden="false" customHeight="true" outlineLevel="0" collapsed="false">
      <c r="A1755" s="54" t="n">
        <v>20260710</v>
      </c>
      <c r="B1755" s="54" t="s">
        <v>306</v>
      </c>
      <c r="C1755" s="54" t="s">
        <v>290</v>
      </c>
      <c r="D1755" s="54" t="s">
        <v>4121</v>
      </c>
      <c r="E1755" s="54" t="s">
        <v>4122</v>
      </c>
      <c r="F1755" s="54" t="s">
        <v>4131</v>
      </c>
      <c r="G1755" s="54" t="s">
        <v>4133</v>
      </c>
      <c r="H1755" s="54" t="n">
        <v>1024</v>
      </c>
      <c r="I1755" s="54" t="s">
        <v>315</v>
      </c>
      <c r="J1755" s="54" t="s">
        <v>368</v>
      </c>
    </row>
    <row r="1756" customFormat="false" ht="15" hidden="false" customHeight="true" outlineLevel="0" collapsed="false">
      <c r="A1756" s="54" t="n">
        <v>20260710</v>
      </c>
      <c r="B1756" s="54" t="s">
        <v>306</v>
      </c>
      <c r="C1756" s="54" t="s">
        <v>290</v>
      </c>
      <c r="D1756" s="54" t="s">
        <v>4134</v>
      </c>
      <c r="E1756" s="54" t="s">
        <v>4135</v>
      </c>
      <c r="F1756" s="54" t="s">
        <v>4136</v>
      </c>
      <c r="G1756" s="54" t="s">
        <v>4137</v>
      </c>
      <c r="H1756" s="54" t="n">
        <v>18031</v>
      </c>
      <c r="I1756" s="54" t="s">
        <v>315</v>
      </c>
      <c r="J1756" s="54" t="s">
        <v>989</v>
      </c>
    </row>
    <row r="1757" customFormat="false" ht="15" hidden="false" customHeight="true" outlineLevel="0" collapsed="false">
      <c r="A1757" s="54" t="n">
        <v>20260710</v>
      </c>
      <c r="B1757" s="54" t="s">
        <v>306</v>
      </c>
      <c r="C1757" s="54" t="s">
        <v>290</v>
      </c>
      <c r="D1757" s="54" t="s">
        <v>4134</v>
      </c>
      <c r="E1757" s="54" t="s">
        <v>4135</v>
      </c>
      <c r="F1757" s="54" t="s">
        <v>4136</v>
      </c>
      <c r="G1757" s="54" t="s">
        <v>4137</v>
      </c>
      <c r="H1757" s="54" t="n">
        <v>18031</v>
      </c>
      <c r="I1757" s="54" t="s">
        <v>295</v>
      </c>
      <c r="J1757" s="54" t="s">
        <v>989</v>
      </c>
    </row>
    <row r="1758" customFormat="false" ht="15" hidden="false" customHeight="true" outlineLevel="0" collapsed="false">
      <c r="A1758" s="54" t="n">
        <v>20260710</v>
      </c>
      <c r="B1758" s="54" t="s">
        <v>306</v>
      </c>
      <c r="C1758" s="54" t="s">
        <v>290</v>
      </c>
      <c r="D1758" s="54" t="s">
        <v>4134</v>
      </c>
      <c r="E1758" s="54" t="s">
        <v>4135</v>
      </c>
      <c r="F1758" s="54" t="s">
        <v>4138</v>
      </c>
      <c r="G1758" s="54" t="s">
        <v>2488</v>
      </c>
      <c r="H1758" s="54" t="n">
        <v>14473</v>
      </c>
      <c r="I1758" s="54" t="s">
        <v>315</v>
      </c>
      <c r="J1758" s="54" t="s">
        <v>989</v>
      </c>
    </row>
    <row r="1759" customFormat="false" ht="15" hidden="false" customHeight="true" outlineLevel="0" collapsed="false">
      <c r="A1759" s="54" t="n">
        <v>20260710</v>
      </c>
      <c r="B1759" s="54" t="s">
        <v>306</v>
      </c>
      <c r="C1759" s="54" t="s">
        <v>290</v>
      </c>
      <c r="D1759" s="54" t="s">
        <v>4134</v>
      </c>
      <c r="E1759" s="54" t="s">
        <v>4135</v>
      </c>
      <c r="F1759" s="54" t="s">
        <v>4138</v>
      </c>
      <c r="G1759" s="54" t="s">
        <v>2488</v>
      </c>
      <c r="H1759" s="54" t="n">
        <v>14473</v>
      </c>
      <c r="I1759" s="54" t="s">
        <v>295</v>
      </c>
      <c r="J1759" s="54" t="s">
        <v>989</v>
      </c>
    </row>
    <row r="1760" customFormat="false" ht="15" hidden="false" customHeight="true" outlineLevel="0" collapsed="false">
      <c r="A1760" s="54" t="n">
        <v>20260710</v>
      </c>
      <c r="B1760" s="54" t="s">
        <v>306</v>
      </c>
      <c r="C1760" s="54" t="s">
        <v>290</v>
      </c>
      <c r="D1760" s="54" t="s">
        <v>4139</v>
      </c>
      <c r="E1760" s="54" t="s">
        <v>4140</v>
      </c>
      <c r="F1760" s="54" t="s">
        <v>4141</v>
      </c>
      <c r="G1760" s="54" t="s">
        <v>4142</v>
      </c>
      <c r="H1760" s="54" t="n">
        <v>20695</v>
      </c>
      <c r="I1760" s="54" t="s">
        <v>295</v>
      </c>
      <c r="J1760" s="54" t="s">
        <v>375</v>
      </c>
    </row>
    <row r="1761" customFormat="false" ht="15" hidden="false" customHeight="true" outlineLevel="0" collapsed="false">
      <c r="A1761" s="54" t="n">
        <v>20260710</v>
      </c>
      <c r="B1761" s="54" t="s">
        <v>592</v>
      </c>
      <c r="C1761" s="54" t="s">
        <v>290</v>
      </c>
      <c r="D1761" s="54" t="s">
        <v>4143</v>
      </c>
      <c r="E1761" s="54" t="s">
        <v>4144</v>
      </c>
      <c r="F1761" s="54" t="s">
        <v>4145</v>
      </c>
      <c r="G1761" s="54" t="s">
        <v>4146</v>
      </c>
      <c r="H1761" s="54" t="n">
        <v>10872</v>
      </c>
      <c r="I1761" s="54" t="s">
        <v>295</v>
      </c>
      <c r="J1761" s="54" t="s">
        <v>1381</v>
      </c>
    </row>
    <row r="1762" customFormat="false" ht="15" hidden="false" customHeight="true" outlineLevel="0" collapsed="false">
      <c r="A1762" s="54" t="n">
        <v>20260710</v>
      </c>
      <c r="B1762" s="54" t="s">
        <v>592</v>
      </c>
      <c r="C1762" s="54" t="s">
        <v>290</v>
      </c>
      <c r="D1762" s="54" t="s">
        <v>4143</v>
      </c>
      <c r="E1762" s="54" t="s">
        <v>4144</v>
      </c>
      <c r="F1762" s="54" t="s">
        <v>4147</v>
      </c>
      <c r="G1762" s="54" t="s">
        <v>2902</v>
      </c>
      <c r="H1762" s="54" t="n">
        <v>2955</v>
      </c>
      <c r="I1762" s="54" t="s">
        <v>295</v>
      </c>
      <c r="J1762" s="54" t="s">
        <v>1381</v>
      </c>
    </row>
    <row r="1763" customFormat="false" ht="15" hidden="false" customHeight="true" outlineLevel="0" collapsed="false">
      <c r="A1763" s="54" t="n">
        <v>20260710</v>
      </c>
      <c r="B1763" s="54" t="s">
        <v>592</v>
      </c>
      <c r="C1763" s="54" t="s">
        <v>290</v>
      </c>
      <c r="D1763" s="54" t="s">
        <v>4143</v>
      </c>
      <c r="E1763" s="54" t="s">
        <v>4144</v>
      </c>
      <c r="F1763" s="54" t="s">
        <v>4148</v>
      </c>
      <c r="G1763" s="54" t="s">
        <v>4149</v>
      </c>
      <c r="H1763" s="54" t="n">
        <v>15292</v>
      </c>
      <c r="I1763" s="54" t="s">
        <v>295</v>
      </c>
      <c r="J1763" s="54" t="s">
        <v>1381</v>
      </c>
    </row>
    <row r="1764" customFormat="false" ht="15" hidden="false" customHeight="true" outlineLevel="0" collapsed="false">
      <c r="A1764" s="54" t="n">
        <v>20260710</v>
      </c>
      <c r="B1764" s="54" t="s">
        <v>592</v>
      </c>
      <c r="C1764" s="54" t="s">
        <v>290</v>
      </c>
      <c r="D1764" s="54" t="s">
        <v>4150</v>
      </c>
      <c r="E1764" s="54" t="s">
        <v>4151</v>
      </c>
      <c r="F1764" s="54" t="s">
        <v>4152</v>
      </c>
      <c r="G1764" s="54" t="s">
        <v>4153</v>
      </c>
      <c r="H1764" s="54" t="n">
        <v>15293</v>
      </c>
      <c r="I1764" s="54" t="s">
        <v>295</v>
      </c>
      <c r="J1764" s="54" t="s">
        <v>597</v>
      </c>
    </row>
    <row r="1765" customFormat="false" ht="15" hidden="false" customHeight="true" outlineLevel="0" collapsed="false">
      <c r="A1765" s="54" t="n">
        <v>20260710</v>
      </c>
      <c r="B1765" s="54" t="s">
        <v>592</v>
      </c>
      <c r="C1765" s="54" t="s">
        <v>290</v>
      </c>
      <c r="D1765" s="54" t="s">
        <v>4150</v>
      </c>
      <c r="E1765" s="54" t="s">
        <v>4151</v>
      </c>
      <c r="F1765" s="54" t="s">
        <v>4154</v>
      </c>
      <c r="G1765" s="54" t="s">
        <v>4155</v>
      </c>
      <c r="H1765" s="54" t="n">
        <v>14465</v>
      </c>
      <c r="I1765" s="54" t="s">
        <v>295</v>
      </c>
      <c r="J1765" s="54" t="s">
        <v>597</v>
      </c>
    </row>
    <row r="1766" customFormat="false" ht="15" hidden="false" customHeight="true" outlineLevel="0" collapsed="false">
      <c r="A1766" s="54" t="n">
        <v>20260710</v>
      </c>
      <c r="B1766" s="54" t="s">
        <v>535</v>
      </c>
      <c r="C1766" s="54" t="s">
        <v>290</v>
      </c>
      <c r="D1766" s="54" t="s">
        <v>4156</v>
      </c>
      <c r="E1766" s="54" t="s">
        <v>4157</v>
      </c>
      <c r="F1766" s="54" t="s">
        <v>4158</v>
      </c>
      <c r="G1766" s="54" t="s">
        <v>1535</v>
      </c>
      <c r="H1766" s="54" t="n">
        <v>17993</v>
      </c>
      <c r="I1766" s="54" t="s">
        <v>295</v>
      </c>
      <c r="J1766" s="54" t="s">
        <v>779</v>
      </c>
    </row>
    <row r="1767" customFormat="false" ht="15" hidden="false" customHeight="true" outlineLevel="0" collapsed="false">
      <c r="A1767" s="54" t="n">
        <v>20260710</v>
      </c>
      <c r="B1767" s="54" t="s">
        <v>535</v>
      </c>
      <c r="C1767" s="54" t="s">
        <v>290</v>
      </c>
      <c r="D1767" s="54" t="s">
        <v>4156</v>
      </c>
      <c r="E1767" s="54" t="s">
        <v>4157</v>
      </c>
      <c r="F1767" s="54" t="s">
        <v>2260</v>
      </c>
      <c r="G1767" s="54" t="s">
        <v>4159</v>
      </c>
      <c r="H1767" s="54" t="n">
        <v>7974</v>
      </c>
      <c r="I1767" s="54" t="s">
        <v>295</v>
      </c>
      <c r="J1767" s="54" t="s">
        <v>779</v>
      </c>
    </row>
    <row r="1768" customFormat="false" ht="15" hidden="false" customHeight="true" outlineLevel="0" collapsed="false">
      <c r="A1768" s="54" t="n">
        <v>20260710</v>
      </c>
      <c r="B1768" s="54" t="s">
        <v>535</v>
      </c>
      <c r="C1768" s="54" t="s">
        <v>290</v>
      </c>
      <c r="D1768" s="54" t="s">
        <v>4156</v>
      </c>
      <c r="E1768" s="54" t="s">
        <v>4157</v>
      </c>
      <c r="F1768" s="54" t="s">
        <v>4160</v>
      </c>
      <c r="G1768" s="54" t="s">
        <v>1043</v>
      </c>
      <c r="H1768" s="54" t="n">
        <v>2827</v>
      </c>
      <c r="I1768" s="54" t="s">
        <v>295</v>
      </c>
      <c r="J1768" s="54" t="s">
        <v>779</v>
      </c>
    </row>
    <row r="1769" customFormat="false" ht="15" hidden="false" customHeight="true" outlineLevel="0" collapsed="false">
      <c r="A1769" s="54" t="n">
        <v>20260710</v>
      </c>
      <c r="B1769" s="54" t="s">
        <v>289</v>
      </c>
      <c r="C1769" s="54" t="s">
        <v>290</v>
      </c>
      <c r="D1769" s="54" t="s">
        <v>4161</v>
      </c>
      <c r="E1769" s="54" t="s">
        <v>4162</v>
      </c>
      <c r="F1769" s="54" t="s">
        <v>2667</v>
      </c>
      <c r="G1769" s="54" t="s">
        <v>4163</v>
      </c>
      <c r="H1769" s="54" t="n">
        <v>14576</v>
      </c>
      <c r="I1769" s="54" t="s">
        <v>360</v>
      </c>
      <c r="J1769" s="54" t="s">
        <v>569</v>
      </c>
    </row>
    <row r="1770" customFormat="false" ht="15" hidden="false" customHeight="true" outlineLevel="0" collapsed="false">
      <c r="A1770" s="54" t="n">
        <v>20260710</v>
      </c>
      <c r="B1770" s="54" t="s">
        <v>289</v>
      </c>
      <c r="C1770" s="54" t="s">
        <v>290</v>
      </c>
      <c r="D1770" s="54" t="s">
        <v>4161</v>
      </c>
      <c r="E1770" s="54" t="s">
        <v>4162</v>
      </c>
      <c r="F1770" s="54" t="s">
        <v>2667</v>
      </c>
      <c r="G1770" s="54" t="s">
        <v>4163</v>
      </c>
      <c r="H1770" s="54" t="n">
        <v>14576</v>
      </c>
      <c r="I1770" s="54" t="s">
        <v>295</v>
      </c>
      <c r="J1770" s="54" t="s">
        <v>569</v>
      </c>
    </row>
    <row r="1771" customFormat="false" ht="15" hidden="false" customHeight="true" outlineLevel="0" collapsed="false">
      <c r="A1771" s="54" t="n">
        <v>20260710</v>
      </c>
      <c r="B1771" s="54" t="s">
        <v>289</v>
      </c>
      <c r="C1771" s="54" t="s">
        <v>290</v>
      </c>
      <c r="D1771" s="54" t="s">
        <v>4161</v>
      </c>
      <c r="E1771" s="54" t="s">
        <v>4162</v>
      </c>
      <c r="F1771" s="54" t="s">
        <v>4164</v>
      </c>
      <c r="G1771" s="54" t="s">
        <v>4165</v>
      </c>
      <c r="H1771" s="54" t="n">
        <v>14730</v>
      </c>
      <c r="I1771" s="54" t="s">
        <v>360</v>
      </c>
      <c r="J1771" s="54" t="s">
        <v>569</v>
      </c>
    </row>
    <row r="1772" customFormat="false" ht="15" hidden="false" customHeight="true" outlineLevel="0" collapsed="false">
      <c r="A1772" s="54" t="n">
        <v>20260710</v>
      </c>
      <c r="B1772" s="54" t="s">
        <v>289</v>
      </c>
      <c r="C1772" s="54" t="s">
        <v>290</v>
      </c>
      <c r="D1772" s="54" t="s">
        <v>4161</v>
      </c>
      <c r="E1772" s="54" t="s">
        <v>4162</v>
      </c>
      <c r="F1772" s="54" t="s">
        <v>4164</v>
      </c>
      <c r="G1772" s="54" t="s">
        <v>4165</v>
      </c>
      <c r="H1772" s="54" t="n">
        <v>14730</v>
      </c>
      <c r="I1772" s="54" t="s">
        <v>295</v>
      </c>
      <c r="J1772" s="54" t="s">
        <v>569</v>
      </c>
    </row>
    <row r="1773" customFormat="false" ht="15" hidden="false" customHeight="true" outlineLevel="0" collapsed="false">
      <c r="A1773" s="54" t="n">
        <v>20260710</v>
      </c>
      <c r="B1773" s="54" t="s">
        <v>306</v>
      </c>
      <c r="C1773" s="54" t="s">
        <v>290</v>
      </c>
      <c r="D1773" s="54" t="s">
        <v>4166</v>
      </c>
      <c r="E1773" s="54" t="s">
        <v>4167</v>
      </c>
      <c r="F1773" s="54" t="s">
        <v>4168</v>
      </c>
      <c r="G1773" s="54" t="s">
        <v>4169</v>
      </c>
      <c r="H1773" s="54" t="n">
        <v>28800</v>
      </c>
      <c r="I1773" s="54" t="s">
        <v>295</v>
      </c>
      <c r="J1773" s="54" t="s">
        <v>1067</v>
      </c>
    </row>
    <row r="1774" customFormat="false" ht="15" hidden="false" customHeight="true" outlineLevel="0" collapsed="false">
      <c r="A1774" s="54" t="n">
        <v>20260710</v>
      </c>
      <c r="B1774" s="54" t="s">
        <v>289</v>
      </c>
      <c r="C1774" s="54" t="s">
        <v>290</v>
      </c>
      <c r="D1774" s="54" t="s">
        <v>4170</v>
      </c>
      <c r="E1774" s="54" t="s">
        <v>4171</v>
      </c>
      <c r="F1774" s="54" t="s">
        <v>4172</v>
      </c>
      <c r="G1774" s="54" t="s">
        <v>4173</v>
      </c>
      <c r="H1774" s="54" t="n">
        <v>11</v>
      </c>
      <c r="I1774" s="54" t="s">
        <v>295</v>
      </c>
      <c r="J1774" s="54" t="s">
        <v>296</v>
      </c>
    </row>
    <row r="1775" customFormat="false" ht="15" hidden="false" customHeight="true" outlineLevel="0" collapsed="false">
      <c r="A1775" s="54" t="n">
        <v>20260710</v>
      </c>
      <c r="B1775" s="54" t="s">
        <v>289</v>
      </c>
      <c r="C1775" s="54" t="s">
        <v>290</v>
      </c>
      <c r="D1775" s="54" t="s">
        <v>4170</v>
      </c>
      <c r="E1775" s="54" t="s">
        <v>4171</v>
      </c>
      <c r="F1775" s="54" t="s">
        <v>4174</v>
      </c>
      <c r="G1775" s="54" t="s">
        <v>4175</v>
      </c>
      <c r="H1775" s="54" t="n">
        <v>2921</v>
      </c>
      <c r="I1775" s="54" t="s">
        <v>295</v>
      </c>
      <c r="J1775" s="54" t="s">
        <v>296</v>
      </c>
    </row>
    <row r="1776" customFormat="false" ht="15" hidden="false" customHeight="true" outlineLevel="0" collapsed="false">
      <c r="A1776" s="54" t="n">
        <v>20260710</v>
      </c>
      <c r="B1776" s="54" t="s">
        <v>289</v>
      </c>
      <c r="C1776" s="54" t="s">
        <v>290</v>
      </c>
      <c r="D1776" s="54" t="s">
        <v>4170</v>
      </c>
      <c r="E1776" s="54" t="s">
        <v>4171</v>
      </c>
      <c r="F1776" s="54" t="s">
        <v>4176</v>
      </c>
      <c r="G1776" s="54" t="s">
        <v>4177</v>
      </c>
      <c r="H1776" s="54" t="n">
        <v>67</v>
      </c>
      <c r="I1776" s="54" t="s">
        <v>295</v>
      </c>
      <c r="J1776" s="54" t="s">
        <v>296</v>
      </c>
    </row>
    <row r="1777" customFormat="false" ht="15" hidden="false" customHeight="true" outlineLevel="0" collapsed="false">
      <c r="A1777" s="54" t="n">
        <v>20260710</v>
      </c>
      <c r="B1777" s="54" t="s">
        <v>289</v>
      </c>
      <c r="C1777" s="54" t="s">
        <v>290</v>
      </c>
      <c r="D1777" s="54" t="s">
        <v>4170</v>
      </c>
      <c r="E1777" s="54" t="s">
        <v>4171</v>
      </c>
      <c r="F1777" s="54" t="s">
        <v>4178</v>
      </c>
      <c r="G1777" s="54" t="s">
        <v>4179</v>
      </c>
      <c r="H1777" s="54" t="n">
        <v>69</v>
      </c>
      <c r="I1777" s="54" t="s">
        <v>295</v>
      </c>
      <c r="J1777" s="54" t="s">
        <v>296</v>
      </c>
    </row>
    <row r="1778" customFormat="false" ht="15" hidden="false" customHeight="true" outlineLevel="0" collapsed="false">
      <c r="A1778" s="54" t="n">
        <v>20260710</v>
      </c>
      <c r="B1778" s="54" t="s">
        <v>289</v>
      </c>
      <c r="C1778" s="54" t="s">
        <v>290</v>
      </c>
      <c r="D1778" s="54" t="s">
        <v>4170</v>
      </c>
      <c r="E1778" s="54" t="s">
        <v>4171</v>
      </c>
      <c r="F1778" s="54" t="s">
        <v>4180</v>
      </c>
      <c r="G1778" s="54" t="s">
        <v>4181</v>
      </c>
      <c r="H1778" s="54" t="n">
        <v>15181</v>
      </c>
      <c r="I1778" s="54" t="s">
        <v>295</v>
      </c>
      <c r="J1778" s="54" t="s">
        <v>296</v>
      </c>
    </row>
    <row r="1779" customFormat="false" ht="15" hidden="false" customHeight="true" outlineLevel="0" collapsed="false">
      <c r="A1779" s="54" t="n">
        <v>20260710</v>
      </c>
      <c r="B1779" s="54" t="s">
        <v>289</v>
      </c>
      <c r="C1779" s="54" t="s">
        <v>290</v>
      </c>
      <c r="D1779" s="54" t="s">
        <v>4170</v>
      </c>
      <c r="E1779" s="54" t="s">
        <v>4171</v>
      </c>
      <c r="F1779" s="54" t="s">
        <v>4182</v>
      </c>
      <c r="G1779" s="54" t="s">
        <v>1282</v>
      </c>
      <c r="H1779" s="54" t="n">
        <v>10856</v>
      </c>
      <c r="I1779" s="54" t="s">
        <v>295</v>
      </c>
      <c r="J1779" s="54" t="s">
        <v>296</v>
      </c>
    </row>
    <row r="1780" customFormat="false" ht="15" hidden="false" customHeight="true" outlineLevel="0" collapsed="false">
      <c r="A1780" s="54" t="n">
        <v>20260710</v>
      </c>
      <c r="B1780" s="54" t="s">
        <v>289</v>
      </c>
      <c r="C1780" s="54" t="s">
        <v>290</v>
      </c>
      <c r="D1780" s="54" t="s">
        <v>4170</v>
      </c>
      <c r="E1780" s="54" t="s">
        <v>4171</v>
      </c>
      <c r="F1780" s="54" t="s">
        <v>4183</v>
      </c>
      <c r="G1780" s="54" t="s">
        <v>4184</v>
      </c>
      <c r="H1780" s="54" t="n">
        <v>115</v>
      </c>
      <c r="I1780" s="54" t="s">
        <v>295</v>
      </c>
      <c r="J1780" s="54" t="s">
        <v>296</v>
      </c>
    </row>
    <row r="1781" customFormat="false" ht="15" hidden="false" customHeight="true" outlineLevel="0" collapsed="false">
      <c r="A1781" s="54" t="n">
        <v>20260710</v>
      </c>
      <c r="B1781" s="54" t="s">
        <v>289</v>
      </c>
      <c r="C1781" s="54" t="s">
        <v>290</v>
      </c>
      <c r="D1781" s="54" t="s">
        <v>4170</v>
      </c>
      <c r="E1781" s="54" t="s">
        <v>4171</v>
      </c>
      <c r="F1781" s="54" t="s">
        <v>4185</v>
      </c>
      <c r="G1781" s="54" t="s">
        <v>4186</v>
      </c>
      <c r="H1781" s="54" t="n">
        <v>3613</v>
      </c>
      <c r="I1781" s="54" t="s">
        <v>295</v>
      </c>
      <c r="J1781" s="54" t="s">
        <v>296</v>
      </c>
    </row>
    <row r="1782" customFormat="false" ht="15" hidden="false" customHeight="true" outlineLevel="0" collapsed="false">
      <c r="A1782" s="54" t="n">
        <v>20260710</v>
      </c>
      <c r="B1782" s="54" t="s">
        <v>688</v>
      </c>
      <c r="C1782" s="54" t="s">
        <v>307</v>
      </c>
      <c r="D1782" s="54" t="s">
        <v>4187</v>
      </c>
      <c r="E1782" s="54" t="s">
        <v>4188</v>
      </c>
      <c r="F1782" s="54" t="s">
        <v>4189</v>
      </c>
      <c r="G1782" s="54" t="s">
        <v>4190</v>
      </c>
      <c r="H1782" s="54" t="n">
        <v>31</v>
      </c>
      <c r="I1782" s="54" t="s">
        <v>295</v>
      </c>
      <c r="J1782" s="54" t="s">
        <v>745</v>
      </c>
    </row>
    <row r="1783" customFormat="false" ht="15" hidden="false" customHeight="true" outlineLevel="0" collapsed="false">
      <c r="A1783" s="54" t="n">
        <v>20260710</v>
      </c>
      <c r="B1783" s="54" t="s">
        <v>688</v>
      </c>
      <c r="C1783" s="54" t="s">
        <v>307</v>
      </c>
      <c r="D1783" s="54" t="s">
        <v>4187</v>
      </c>
      <c r="E1783" s="54" t="s">
        <v>4188</v>
      </c>
      <c r="F1783" s="54" t="s">
        <v>2783</v>
      </c>
      <c r="G1783" s="54" t="s">
        <v>1126</v>
      </c>
      <c r="H1783" s="54" t="n">
        <v>18387</v>
      </c>
      <c r="I1783" s="54" t="s">
        <v>295</v>
      </c>
      <c r="J1783" s="54" t="s">
        <v>745</v>
      </c>
    </row>
    <row r="1784" customFormat="false" ht="15" hidden="false" customHeight="true" outlineLevel="0" collapsed="false">
      <c r="A1784" s="54" t="n">
        <v>20260710</v>
      </c>
      <c r="B1784" s="54" t="s">
        <v>688</v>
      </c>
      <c r="C1784" s="54" t="s">
        <v>307</v>
      </c>
      <c r="D1784" s="54" t="s">
        <v>4187</v>
      </c>
      <c r="E1784" s="54" t="s">
        <v>4188</v>
      </c>
      <c r="F1784" s="54" t="s">
        <v>4191</v>
      </c>
      <c r="G1784" s="54" t="s">
        <v>694</v>
      </c>
      <c r="H1784" s="54" t="n">
        <v>10549</v>
      </c>
      <c r="I1784" s="54" t="s">
        <v>295</v>
      </c>
      <c r="J1784" s="54" t="s">
        <v>745</v>
      </c>
    </row>
    <row r="1785" customFormat="false" ht="15" hidden="false" customHeight="true" outlineLevel="0" collapsed="false">
      <c r="A1785" s="54" t="n">
        <v>20260710</v>
      </c>
      <c r="B1785" s="54" t="s">
        <v>168</v>
      </c>
      <c r="C1785" s="54" t="s">
        <v>290</v>
      </c>
      <c r="D1785" s="54" t="s">
        <v>4192</v>
      </c>
      <c r="E1785" s="54" t="s">
        <v>4193</v>
      </c>
      <c r="F1785" s="54" t="s">
        <v>4194</v>
      </c>
      <c r="G1785" s="54" t="s">
        <v>4195</v>
      </c>
      <c r="H1785" s="54" t="n">
        <v>28800</v>
      </c>
      <c r="I1785" s="54" t="s">
        <v>295</v>
      </c>
      <c r="J1785" s="54" t="s">
        <v>516</v>
      </c>
    </row>
    <row r="1786" customFormat="false" ht="15" hidden="false" customHeight="true" outlineLevel="0" collapsed="false">
      <c r="A1786" s="54" t="n">
        <v>20260710</v>
      </c>
      <c r="B1786" s="54" t="s">
        <v>289</v>
      </c>
      <c r="C1786" s="54" t="s">
        <v>290</v>
      </c>
      <c r="D1786" s="54" t="s">
        <v>4196</v>
      </c>
      <c r="E1786" s="54" t="s">
        <v>4197</v>
      </c>
      <c r="F1786" s="54" t="s">
        <v>4198</v>
      </c>
      <c r="G1786" s="54" t="s">
        <v>4199</v>
      </c>
      <c r="H1786" s="54" t="n">
        <v>24215</v>
      </c>
      <c r="I1786" s="54" t="s">
        <v>295</v>
      </c>
      <c r="J1786" s="54" t="s">
        <v>874</v>
      </c>
    </row>
    <row r="1787" customFormat="false" ht="15" hidden="false" customHeight="true" outlineLevel="0" collapsed="false">
      <c r="A1787" s="54" t="n">
        <v>20260710</v>
      </c>
      <c r="B1787" s="54" t="s">
        <v>289</v>
      </c>
      <c r="C1787" s="54" t="s">
        <v>290</v>
      </c>
      <c r="D1787" s="54" t="s">
        <v>4196</v>
      </c>
      <c r="E1787" s="54" t="s">
        <v>4197</v>
      </c>
      <c r="F1787" s="54" t="s">
        <v>4200</v>
      </c>
      <c r="G1787" s="54" t="s">
        <v>2957</v>
      </c>
      <c r="H1787" s="54" t="n">
        <v>5204</v>
      </c>
      <c r="I1787" s="54" t="s">
        <v>295</v>
      </c>
      <c r="J1787" s="54" t="s">
        <v>874</v>
      </c>
    </row>
    <row r="1788" customFormat="false" ht="15" hidden="false" customHeight="true" outlineLevel="0" collapsed="false">
      <c r="A1788" s="54" t="n">
        <v>20260710</v>
      </c>
      <c r="B1788" s="54" t="s">
        <v>289</v>
      </c>
      <c r="C1788" s="54" t="s">
        <v>290</v>
      </c>
      <c r="D1788" s="54" t="s">
        <v>4201</v>
      </c>
      <c r="E1788" s="54" t="s">
        <v>4202</v>
      </c>
      <c r="F1788" s="54" t="s">
        <v>4203</v>
      </c>
      <c r="G1788" s="54" t="s">
        <v>4204</v>
      </c>
      <c r="H1788" s="54" t="n">
        <v>6929</v>
      </c>
      <c r="I1788" s="54" t="s">
        <v>295</v>
      </c>
      <c r="J1788" s="54" t="s">
        <v>509</v>
      </c>
    </row>
    <row r="1789" customFormat="false" ht="15" hidden="false" customHeight="true" outlineLevel="0" collapsed="false">
      <c r="A1789" s="54" t="n">
        <v>20260710</v>
      </c>
      <c r="B1789" s="54" t="s">
        <v>289</v>
      </c>
      <c r="C1789" s="54" t="s">
        <v>290</v>
      </c>
      <c r="D1789" s="54" t="s">
        <v>4201</v>
      </c>
      <c r="E1789" s="54" t="s">
        <v>4202</v>
      </c>
      <c r="F1789" s="54" t="s">
        <v>4205</v>
      </c>
      <c r="G1789" s="54" t="s">
        <v>4206</v>
      </c>
      <c r="H1789" s="54" t="n">
        <v>7736</v>
      </c>
      <c r="I1789" s="54" t="s">
        <v>295</v>
      </c>
      <c r="J1789" s="54" t="s">
        <v>509</v>
      </c>
    </row>
    <row r="1790" customFormat="false" ht="15" hidden="false" customHeight="true" outlineLevel="0" collapsed="false">
      <c r="A1790" s="54" t="n">
        <v>20260710</v>
      </c>
      <c r="B1790" s="54" t="s">
        <v>289</v>
      </c>
      <c r="C1790" s="54" t="s">
        <v>290</v>
      </c>
      <c r="D1790" s="54" t="s">
        <v>4201</v>
      </c>
      <c r="E1790" s="54" t="s">
        <v>4202</v>
      </c>
      <c r="F1790" s="54" t="s">
        <v>4207</v>
      </c>
      <c r="G1790" s="54" t="s">
        <v>4208</v>
      </c>
      <c r="H1790" s="54" t="n">
        <v>12579</v>
      </c>
      <c r="I1790" s="54" t="s">
        <v>295</v>
      </c>
      <c r="J1790" s="54" t="s">
        <v>509</v>
      </c>
    </row>
    <row r="1791" customFormat="false" ht="15" hidden="false" customHeight="true" outlineLevel="0" collapsed="false">
      <c r="A1791" s="54" t="n">
        <v>20260710</v>
      </c>
      <c r="B1791" s="54" t="s">
        <v>289</v>
      </c>
      <c r="C1791" s="54" t="s">
        <v>290</v>
      </c>
      <c r="D1791" s="54" t="s">
        <v>4201</v>
      </c>
      <c r="E1791" s="54" t="s">
        <v>4202</v>
      </c>
      <c r="F1791" s="54" t="s">
        <v>4209</v>
      </c>
      <c r="G1791" s="54" t="s">
        <v>709</v>
      </c>
      <c r="H1791" s="54" t="n">
        <v>57</v>
      </c>
      <c r="I1791" s="54" t="s">
        <v>295</v>
      </c>
      <c r="J1791" s="54" t="s">
        <v>509</v>
      </c>
    </row>
    <row r="1792" customFormat="false" ht="15" hidden="false" customHeight="true" outlineLevel="0" collapsed="false">
      <c r="A1792" s="54" t="n">
        <v>20260710</v>
      </c>
      <c r="B1792" s="54" t="s">
        <v>592</v>
      </c>
      <c r="C1792" s="54" t="s">
        <v>290</v>
      </c>
      <c r="D1792" s="54" t="s">
        <v>4210</v>
      </c>
      <c r="E1792" s="54" t="s">
        <v>4211</v>
      </c>
      <c r="F1792" s="54" t="s">
        <v>4212</v>
      </c>
      <c r="G1792" s="54" t="s">
        <v>4213</v>
      </c>
      <c r="H1792" s="54" t="n">
        <v>19102</v>
      </c>
      <c r="I1792" s="54" t="s">
        <v>295</v>
      </c>
      <c r="J1792" s="54" t="s">
        <v>597</v>
      </c>
    </row>
    <row r="1793" customFormat="false" ht="15" hidden="false" customHeight="true" outlineLevel="0" collapsed="false">
      <c r="A1793" s="54" t="n">
        <v>20260710</v>
      </c>
      <c r="B1793" s="54" t="s">
        <v>592</v>
      </c>
      <c r="C1793" s="54" t="s">
        <v>290</v>
      </c>
      <c r="D1793" s="54" t="s">
        <v>4210</v>
      </c>
      <c r="E1793" s="54" t="s">
        <v>4211</v>
      </c>
      <c r="F1793" s="54" t="s">
        <v>4214</v>
      </c>
      <c r="G1793" s="54" t="s">
        <v>3581</v>
      </c>
      <c r="H1793" s="54" t="n">
        <v>10310</v>
      </c>
      <c r="I1793" s="54" t="s">
        <v>295</v>
      </c>
      <c r="J1793" s="54" t="s">
        <v>597</v>
      </c>
    </row>
    <row r="1794" customFormat="false" ht="15" hidden="false" customHeight="true" outlineLevel="0" collapsed="false">
      <c r="A1794" s="54" t="n">
        <v>20260710</v>
      </c>
      <c r="B1794" s="54" t="s">
        <v>306</v>
      </c>
      <c r="C1794" s="54" t="s">
        <v>290</v>
      </c>
      <c r="D1794" s="54" t="s">
        <v>4215</v>
      </c>
      <c r="E1794" s="54" t="s">
        <v>4216</v>
      </c>
      <c r="F1794" s="54" t="s">
        <v>4217</v>
      </c>
      <c r="G1794" s="54" t="s">
        <v>4218</v>
      </c>
      <c r="H1794" s="54" t="n">
        <v>14813</v>
      </c>
      <c r="I1794" s="54" t="s">
        <v>295</v>
      </c>
      <c r="J1794" s="54" t="s">
        <v>375</v>
      </c>
    </row>
    <row r="1795" customFormat="false" ht="15" hidden="false" customHeight="true" outlineLevel="0" collapsed="false">
      <c r="A1795" s="54" t="n">
        <v>20260710</v>
      </c>
      <c r="B1795" s="54" t="s">
        <v>306</v>
      </c>
      <c r="C1795" s="54" t="s">
        <v>290</v>
      </c>
      <c r="D1795" s="54" t="s">
        <v>4215</v>
      </c>
      <c r="E1795" s="54" t="s">
        <v>4216</v>
      </c>
      <c r="F1795" s="54" t="s">
        <v>4219</v>
      </c>
      <c r="G1795" s="54" t="s">
        <v>984</v>
      </c>
      <c r="H1795" s="54" t="n">
        <v>14037</v>
      </c>
      <c r="I1795" s="54" t="s">
        <v>295</v>
      </c>
      <c r="J1795" s="54" t="s">
        <v>375</v>
      </c>
    </row>
    <row r="1796" customFormat="false" ht="15" hidden="false" customHeight="true" outlineLevel="0" collapsed="false">
      <c r="A1796" s="54" t="n">
        <v>20260710</v>
      </c>
      <c r="B1796" s="54" t="s">
        <v>289</v>
      </c>
      <c r="C1796" s="54" t="s">
        <v>290</v>
      </c>
      <c r="D1796" s="54" t="s">
        <v>4220</v>
      </c>
      <c r="E1796" s="54" t="s">
        <v>4221</v>
      </c>
      <c r="F1796" s="54" t="s">
        <v>1830</v>
      </c>
      <c r="G1796" s="54" t="s">
        <v>1193</v>
      </c>
      <c r="H1796" s="54" t="n">
        <v>16869</v>
      </c>
      <c r="I1796" s="54" t="s">
        <v>295</v>
      </c>
      <c r="J1796" s="54" t="s">
        <v>423</v>
      </c>
    </row>
    <row r="1797" customFormat="false" ht="15" hidden="false" customHeight="true" outlineLevel="0" collapsed="false">
      <c r="A1797" s="54" t="n">
        <v>20260710</v>
      </c>
      <c r="B1797" s="54" t="s">
        <v>289</v>
      </c>
      <c r="C1797" s="54" t="s">
        <v>290</v>
      </c>
      <c r="D1797" s="54" t="s">
        <v>4220</v>
      </c>
      <c r="E1797" s="54" t="s">
        <v>4221</v>
      </c>
      <c r="F1797" s="54" t="s">
        <v>4222</v>
      </c>
      <c r="G1797" s="54" t="s">
        <v>4223</v>
      </c>
      <c r="H1797" s="54" t="n">
        <v>11874</v>
      </c>
      <c r="I1797" s="54" t="s">
        <v>295</v>
      </c>
      <c r="J1797" s="54" t="s">
        <v>423</v>
      </c>
    </row>
    <row r="1798" customFormat="false" ht="15" hidden="false" customHeight="true" outlineLevel="0" collapsed="false">
      <c r="A1798" s="54" t="n">
        <v>20260710</v>
      </c>
      <c r="B1798" s="54" t="s">
        <v>306</v>
      </c>
      <c r="C1798" s="54" t="s">
        <v>290</v>
      </c>
      <c r="D1798" s="54" t="s">
        <v>4224</v>
      </c>
      <c r="E1798" s="54" t="s">
        <v>4225</v>
      </c>
      <c r="F1798" s="54" t="s">
        <v>4226</v>
      </c>
      <c r="G1798" s="54" t="s">
        <v>2281</v>
      </c>
      <c r="H1798" s="54" t="n">
        <v>4120</v>
      </c>
      <c r="I1798" s="54" t="s">
        <v>295</v>
      </c>
      <c r="J1798" s="54" t="s">
        <v>433</v>
      </c>
    </row>
    <row r="1799" customFormat="false" ht="15" hidden="false" customHeight="true" outlineLevel="0" collapsed="false">
      <c r="A1799" s="54" t="n">
        <v>20260710</v>
      </c>
      <c r="B1799" s="54" t="s">
        <v>306</v>
      </c>
      <c r="C1799" s="54" t="s">
        <v>290</v>
      </c>
      <c r="D1799" s="54" t="s">
        <v>4224</v>
      </c>
      <c r="E1799" s="54" t="s">
        <v>4225</v>
      </c>
      <c r="F1799" s="54" t="s">
        <v>4227</v>
      </c>
      <c r="G1799" s="54" t="s">
        <v>2281</v>
      </c>
      <c r="H1799" s="54" t="n">
        <v>4119</v>
      </c>
      <c r="I1799" s="54" t="s">
        <v>315</v>
      </c>
      <c r="J1799" s="54" t="s">
        <v>433</v>
      </c>
    </row>
    <row r="1800" customFormat="false" ht="15" hidden="false" customHeight="true" outlineLevel="0" collapsed="false">
      <c r="A1800" s="54" t="n">
        <v>20260710</v>
      </c>
      <c r="B1800" s="54" t="s">
        <v>306</v>
      </c>
      <c r="C1800" s="54" t="s">
        <v>290</v>
      </c>
      <c r="D1800" s="54" t="s">
        <v>4224</v>
      </c>
      <c r="E1800" s="54" t="s">
        <v>4225</v>
      </c>
      <c r="F1800" s="54" t="s">
        <v>4228</v>
      </c>
      <c r="G1800" s="54" t="s">
        <v>2508</v>
      </c>
      <c r="H1800" s="54" t="n">
        <v>14428</v>
      </c>
      <c r="I1800" s="54" t="s">
        <v>295</v>
      </c>
      <c r="J1800" s="54" t="s">
        <v>433</v>
      </c>
    </row>
    <row r="1801" customFormat="false" ht="15" hidden="false" customHeight="true" outlineLevel="0" collapsed="false">
      <c r="A1801" s="54" t="n">
        <v>20260710</v>
      </c>
      <c r="B1801" s="54" t="s">
        <v>306</v>
      </c>
      <c r="C1801" s="54" t="s">
        <v>290</v>
      </c>
      <c r="D1801" s="54" t="s">
        <v>4224</v>
      </c>
      <c r="E1801" s="54" t="s">
        <v>4225</v>
      </c>
      <c r="F1801" s="54" t="s">
        <v>4228</v>
      </c>
      <c r="G1801" s="54" t="s">
        <v>2994</v>
      </c>
      <c r="H1801" s="54" t="n">
        <v>14429</v>
      </c>
      <c r="I1801" s="54" t="s">
        <v>315</v>
      </c>
      <c r="J1801" s="54" t="s">
        <v>433</v>
      </c>
    </row>
    <row r="1802" customFormat="false" ht="15" hidden="false" customHeight="true" outlineLevel="0" collapsed="false">
      <c r="A1802" s="54" t="n">
        <v>20260710</v>
      </c>
      <c r="B1802" s="54" t="s">
        <v>306</v>
      </c>
      <c r="C1802" s="54" t="s">
        <v>290</v>
      </c>
      <c r="D1802" s="54" t="s">
        <v>4229</v>
      </c>
      <c r="E1802" s="54" t="s">
        <v>4230</v>
      </c>
      <c r="F1802" s="54" t="s">
        <v>4231</v>
      </c>
      <c r="G1802" s="54" t="s">
        <v>4232</v>
      </c>
      <c r="H1802" s="54" t="n">
        <v>16187</v>
      </c>
      <c r="I1802" s="54" t="s">
        <v>295</v>
      </c>
      <c r="J1802" s="54" t="s">
        <v>1067</v>
      </c>
    </row>
    <row r="1803" customFormat="false" ht="15" hidden="false" customHeight="true" outlineLevel="0" collapsed="false">
      <c r="A1803" s="54" t="n">
        <v>20260710</v>
      </c>
      <c r="B1803" s="54" t="s">
        <v>306</v>
      </c>
      <c r="C1803" s="54" t="s">
        <v>290</v>
      </c>
      <c r="D1803" s="54" t="s">
        <v>4229</v>
      </c>
      <c r="E1803" s="54" t="s">
        <v>4230</v>
      </c>
      <c r="F1803" s="54" t="s">
        <v>4233</v>
      </c>
      <c r="G1803" s="54" t="s">
        <v>4234</v>
      </c>
      <c r="H1803" s="54" t="n">
        <v>15371</v>
      </c>
      <c r="I1803" s="54" t="s">
        <v>295</v>
      </c>
      <c r="J1803" s="54" t="s">
        <v>1067</v>
      </c>
    </row>
    <row r="1804" customFormat="false" ht="15" hidden="false" customHeight="true" outlineLevel="0" collapsed="false">
      <c r="A1804" s="54" t="n">
        <v>20260710</v>
      </c>
      <c r="B1804" s="54" t="s">
        <v>306</v>
      </c>
      <c r="C1804" s="54" t="s">
        <v>290</v>
      </c>
      <c r="D1804" s="54" t="s">
        <v>4235</v>
      </c>
      <c r="E1804" s="54" t="s">
        <v>4236</v>
      </c>
      <c r="F1804" s="54" t="s">
        <v>4237</v>
      </c>
      <c r="G1804" s="54" t="s">
        <v>4238</v>
      </c>
      <c r="H1804" s="54" t="n">
        <v>3680</v>
      </c>
      <c r="I1804" s="54" t="s">
        <v>295</v>
      </c>
      <c r="J1804" s="54" t="s">
        <v>989</v>
      </c>
    </row>
    <row r="1805" customFormat="false" ht="15" hidden="false" customHeight="true" outlineLevel="0" collapsed="false">
      <c r="A1805" s="54" t="n">
        <v>20260710</v>
      </c>
      <c r="B1805" s="54" t="s">
        <v>306</v>
      </c>
      <c r="C1805" s="54" t="s">
        <v>290</v>
      </c>
      <c r="D1805" s="54" t="s">
        <v>4235</v>
      </c>
      <c r="E1805" s="54" t="s">
        <v>4236</v>
      </c>
      <c r="F1805" s="54" t="s">
        <v>4239</v>
      </c>
      <c r="G1805" s="54" t="s">
        <v>4240</v>
      </c>
      <c r="H1805" s="54" t="n">
        <v>17769</v>
      </c>
      <c r="I1805" s="54" t="s">
        <v>295</v>
      </c>
      <c r="J1805" s="54" t="s">
        <v>989</v>
      </c>
    </row>
    <row r="1806" customFormat="false" ht="15" hidden="false" customHeight="true" outlineLevel="0" collapsed="false">
      <c r="A1806" s="54" t="n">
        <v>20260710</v>
      </c>
      <c r="B1806" s="54" t="s">
        <v>306</v>
      </c>
      <c r="C1806" s="54" t="s">
        <v>290</v>
      </c>
      <c r="D1806" s="54" t="s">
        <v>4235</v>
      </c>
      <c r="E1806" s="54" t="s">
        <v>4236</v>
      </c>
      <c r="F1806" s="54" t="s">
        <v>4241</v>
      </c>
      <c r="G1806" s="54" t="s">
        <v>4242</v>
      </c>
      <c r="H1806" s="54" t="n">
        <v>10287</v>
      </c>
      <c r="I1806" s="54" t="s">
        <v>295</v>
      </c>
      <c r="J1806" s="54" t="s">
        <v>989</v>
      </c>
    </row>
    <row r="1807" customFormat="false" ht="15" hidden="false" customHeight="true" outlineLevel="0" collapsed="false">
      <c r="A1807" s="54" t="n">
        <v>20260710</v>
      </c>
      <c r="B1807" s="54" t="s">
        <v>306</v>
      </c>
      <c r="C1807" s="54" t="s">
        <v>307</v>
      </c>
      <c r="D1807" s="54" t="s">
        <v>4243</v>
      </c>
      <c r="E1807" s="54" t="s">
        <v>4244</v>
      </c>
      <c r="F1807" s="54" t="s">
        <v>4245</v>
      </c>
      <c r="G1807" s="54" t="s">
        <v>4246</v>
      </c>
      <c r="H1807" s="54" t="n">
        <v>18374</v>
      </c>
      <c r="I1807" s="54" t="s">
        <v>315</v>
      </c>
      <c r="J1807" s="54" t="s">
        <v>4247</v>
      </c>
    </row>
    <row r="1808" customFormat="false" ht="15" hidden="false" customHeight="true" outlineLevel="0" collapsed="false">
      <c r="A1808" s="54" t="n">
        <v>20260710</v>
      </c>
      <c r="B1808" s="54" t="s">
        <v>306</v>
      </c>
      <c r="C1808" s="54" t="s">
        <v>307</v>
      </c>
      <c r="D1808" s="54" t="s">
        <v>4243</v>
      </c>
      <c r="E1808" s="54" t="s">
        <v>4244</v>
      </c>
      <c r="F1808" s="54" t="s">
        <v>4245</v>
      </c>
      <c r="G1808" s="54" t="s">
        <v>4246</v>
      </c>
      <c r="H1808" s="54" t="n">
        <v>18374</v>
      </c>
      <c r="I1808" s="54" t="s">
        <v>295</v>
      </c>
      <c r="J1808" s="54" t="s">
        <v>4247</v>
      </c>
    </row>
    <row r="1809" customFormat="false" ht="15" hidden="false" customHeight="true" outlineLevel="0" collapsed="false">
      <c r="A1809" s="54" t="n">
        <v>20260710</v>
      </c>
      <c r="B1809" s="54" t="s">
        <v>306</v>
      </c>
      <c r="C1809" s="54" t="s">
        <v>307</v>
      </c>
      <c r="D1809" s="54" t="s">
        <v>4248</v>
      </c>
      <c r="E1809" s="54" t="s">
        <v>4249</v>
      </c>
      <c r="F1809" s="54" t="s">
        <v>4250</v>
      </c>
      <c r="G1809" s="54" t="s">
        <v>4251</v>
      </c>
      <c r="H1809" s="54" t="n">
        <v>15623</v>
      </c>
      <c r="I1809" s="54" t="s">
        <v>295</v>
      </c>
      <c r="J1809" s="54" t="s">
        <v>2347</v>
      </c>
    </row>
    <row r="1810" customFormat="false" ht="15" hidden="false" customHeight="true" outlineLevel="0" collapsed="false">
      <c r="A1810" s="54" t="n">
        <v>20260710</v>
      </c>
      <c r="B1810" s="54" t="s">
        <v>306</v>
      </c>
      <c r="C1810" s="54" t="s">
        <v>307</v>
      </c>
      <c r="D1810" s="54" t="s">
        <v>4248</v>
      </c>
      <c r="E1810" s="54" t="s">
        <v>4249</v>
      </c>
      <c r="F1810" s="54" t="s">
        <v>4252</v>
      </c>
      <c r="G1810" s="54" t="s">
        <v>4253</v>
      </c>
      <c r="H1810" s="54" t="n">
        <v>15</v>
      </c>
      <c r="I1810" s="54" t="s">
        <v>295</v>
      </c>
      <c r="J1810" s="54" t="s">
        <v>2347</v>
      </c>
    </row>
    <row r="1811" customFormat="false" ht="15" hidden="false" customHeight="true" outlineLevel="0" collapsed="false">
      <c r="A1811" s="54" t="n">
        <v>20260710</v>
      </c>
      <c r="B1811" s="54" t="s">
        <v>306</v>
      </c>
      <c r="C1811" s="54" t="s">
        <v>307</v>
      </c>
      <c r="D1811" s="54" t="s">
        <v>4248</v>
      </c>
      <c r="E1811" s="54" t="s">
        <v>4249</v>
      </c>
      <c r="F1811" s="54" t="s">
        <v>4254</v>
      </c>
      <c r="G1811" s="54" t="s">
        <v>4255</v>
      </c>
      <c r="H1811" s="54" t="n">
        <v>7847</v>
      </c>
      <c r="I1811" s="54" t="s">
        <v>295</v>
      </c>
      <c r="J1811" s="54" t="s">
        <v>2347</v>
      </c>
    </row>
    <row r="1812" customFormat="false" ht="15" hidden="false" customHeight="true" outlineLevel="0" collapsed="false">
      <c r="A1812" s="54" t="n">
        <v>20260710</v>
      </c>
      <c r="B1812" s="54" t="s">
        <v>306</v>
      </c>
      <c r="C1812" s="54" t="s">
        <v>307</v>
      </c>
      <c r="D1812" s="54" t="s">
        <v>4248</v>
      </c>
      <c r="E1812" s="54" t="s">
        <v>4249</v>
      </c>
      <c r="F1812" s="54" t="s">
        <v>4256</v>
      </c>
      <c r="G1812" s="54" t="s">
        <v>4257</v>
      </c>
      <c r="H1812" s="54" t="n">
        <v>9218</v>
      </c>
      <c r="I1812" s="54" t="s">
        <v>295</v>
      </c>
      <c r="J1812" s="54" t="s">
        <v>2347</v>
      </c>
    </row>
    <row r="1813" customFormat="false" ht="15" hidden="false" customHeight="true" outlineLevel="0" collapsed="false">
      <c r="A1813" s="54" t="n">
        <v>20260710</v>
      </c>
      <c r="B1813" s="54" t="s">
        <v>306</v>
      </c>
      <c r="C1813" s="54" t="s">
        <v>307</v>
      </c>
      <c r="D1813" s="54" t="s">
        <v>4258</v>
      </c>
      <c r="E1813" s="54" t="s">
        <v>4259</v>
      </c>
      <c r="F1813" s="54" t="s">
        <v>4260</v>
      </c>
      <c r="G1813" s="54" t="s">
        <v>2504</v>
      </c>
      <c r="H1813" s="54" t="n">
        <v>419</v>
      </c>
      <c r="I1813" s="54" t="s">
        <v>295</v>
      </c>
      <c r="J1813" s="54" t="s">
        <v>392</v>
      </c>
    </row>
    <row r="1814" customFormat="false" ht="15" hidden="false" customHeight="true" outlineLevel="0" collapsed="false">
      <c r="A1814" s="54" t="n">
        <v>20260710</v>
      </c>
      <c r="B1814" s="54" t="s">
        <v>306</v>
      </c>
      <c r="C1814" s="54" t="s">
        <v>307</v>
      </c>
      <c r="D1814" s="54" t="s">
        <v>4258</v>
      </c>
      <c r="E1814" s="54" t="s">
        <v>4259</v>
      </c>
      <c r="F1814" s="54" t="s">
        <v>4261</v>
      </c>
      <c r="G1814" s="54" t="s">
        <v>4262</v>
      </c>
      <c r="H1814" s="54" t="n">
        <v>19339</v>
      </c>
      <c r="I1814" s="54" t="s">
        <v>295</v>
      </c>
      <c r="J1814" s="54" t="s">
        <v>392</v>
      </c>
    </row>
    <row r="1815" customFormat="false" ht="15" hidden="false" customHeight="true" outlineLevel="0" collapsed="false">
      <c r="A1815" s="54" t="n">
        <v>20260710</v>
      </c>
      <c r="B1815" s="54" t="s">
        <v>306</v>
      </c>
      <c r="C1815" s="54" t="s">
        <v>307</v>
      </c>
      <c r="D1815" s="54" t="s">
        <v>4258</v>
      </c>
      <c r="E1815" s="54" t="s">
        <v>4259</v>
      </c>
      <c r="F1815" s="54" t="s">
        <v>4263</v>
      </c>
      <c r="G1815" s="54" t="s">
        <v>905</v>
      </c>
      <c r="H1815" s="54" t="n">
        <v>9020</v>
      </c>
      <c r="I1815" s="54" t="s">
        <v>295</v>
      </c>
      <c r="J1815" s="54" t="s">
        <v>392</v>
      </c>
    </row>
    <row r="1816" customFormat="false" ht="15" hidden="false" customHeight="true" outlineLevel="0" collapsed="false">
      <c r="A1816" s="54" t="n">
        <v>20260710</v>
      </c>
      <c r="B1816" s="54" t="s">
        <v>306</v>
      </c>
      <c r="C1816" s="54" t="s">
        <v>307</v>
      </c>
      <c r="D1816" s="54" t="s">
        <v>4264</v>
      </c>
      <c r="E1816" s="54" t="s">
        <v>4265</v>
      </c>
      <c r="F1816" s="54" t="s">
        <v>1167</v>
      </c>
      <c r="G1816" s="54" t="s">
        <v>4266</v>
      </c>
      <c r="H1816" s="54" t="n">
        <v>22852</v>
      </c>
      <c r="I1816" s="54" t="s">
        <v>315</v>
      </c>
      <c r="J1816" s="54" t="s">
        <v>392</v>
      </c>
    </row>
    <row r="1817" customFormat="false" ht="15" hidden="false" customHeight="true" outlineLevel="0" collapsed="false">
      <c r="A1817" s="54" t="n">
        <v>20260710</v>
      </c>
      <c r="B1817" s="54" t="s">
        <v>306</v>
      </c>
      <c r="C1817" s="54" t="s">
        <v>307</v>
      </c>
      <c r="D1817" s="54" t="s">
        <v>4264</v>
      </c>
      <c r="E1817" s="54" t="s">
        <v>4265</v>
      </c>
      <c r="F1817" s="54" t="s">
        <v>1167</v>
      </c>
      <c r="G1817" s="54" t="s">
        <v>4266</v>
      </c>
      <c r="H1817" s="54" t="n">
        <v>22852</v>
      </c>
      <c r="I1817" s="54" t="s">
        <v>295</v>
      </c>
      <c r="J1817" s="54" t="s">
        <v>392</v>
      </c>
    </row>
    <row r="1818" customFormat="false" ht="15" hidden="false" customHeight="true" outlineLevel="0" collapsed="false">
      <c r="A1818" s="54" t="n">
        <v>20260710</v>
      </c>
      <c r="B1818" s="54" t="s">
        <v>306</v>
      </c>
      <c r="C1818" s="54" t="s">
        <v>307</v>
      </c>
      <c r="D1818" s="54" t="s">
        <v>4264</v>
      </c>
      <c r="E1818" s="54" t="s">
        <v>4265</v>
      </c>
      <c r="F1818" s="54" t="s">
        <v>4267</v>
      </c>
      <c r="G1818" s="54" t="s">
        <v>4268</v>
      </c>
      <c r="H1818" s="54" t="n">
        <v>5458</v>
      </c>
      <c r="I1818" s="54" t="s">
        <v>315</v>
      </c>
      <c r="J1818" s="54" t="s">
        <v>392</v>
      </c>
    </row>
    <row r="1819" customFormat="false" ht="15" hidden="false" customHeight="true" outlineLevel="0" collapsed="false">
      <c r="A1819" s="54" t="n">
        <v>20260710</v>
      </c>
      <c r="B1819" s="54" t="s">
        <v>306</v>
      </c>
      <c r="C1819" s="54" t="s">
        <v>307</v>
      </c>
      <c r="D1819" s="54" t="s">
        <v>4264</v>
      </c>
      <c r="E1819" s="54" t="s">
        <v>4265</v>
      </c>
      <c r="F1819" s="54" t="s">
        <v>4267</v>
      </c>
      <c r="G1819" s="54" t="s">
        <v>4268</v>
      </c>
      <c r="H1819" s="54" t="n">
        <v>5458</v>
      </c>
      <c r="I1819" s="54" t="s">
        <v>295</v>
      </c>
      <c r="J1819" s="54" t="s">
        <v>392</v>
      </c>
    </row>
    <row r="1820" customFormat="false" ht="15" hidden="false" customHeight="true" outlineLevel="0" collapsed="false">
      <c r="A1820" s="54" t="n">
        <v>20260710</v>
      </c>
      <c r="B1820" s="54" t="s">
        <v>306</v>
      </c>
      <c r="C1820" s="54" t="s">
        <v>307</v>
      </c>
      <c r="D1820" s="54" t="s">
        <v>4264</v>
      </c>
      <c r="E1820" s="54" t="s">
        <v>4265</v>
      </c>
      <c r="F1820" s="54" t="s">
        <v>4269</v>
      </c>
      <c r="G1820" s="54" t="s">
        <v>4270</v>
      </c>
      <c r="H1820" s="54" t="n">
        <v>4262</v>
      </c>
      <c r="I1820" s="54" t="s">
        <v>295</v>
      </c>
      <c r="J1820" s="54" t="s">
        <v>392</v>
      </c>
    </row>
    <row r="1821" customFormat="false" ht="15" hidden="false" customHeight="true" outlineLevel="0" collapsed="false">
      <c r="A1821" s="54" t="n">
        <v>20260710</v>
      </c>
      <c r="B1821" s="54" t="s">
        <v>306</v>
      </c>
      <c r="C1821" s="54" t="s">
        <v>307</v>
      </c>
      <c r="D1821" s="54" t="s">
        <v>4264</v>
      </c>
      <c r="E1821" s="54" t="s">
        <v>4265</v>
      </c>
      <c r="F1821" s="54" t="s">
        <v>4269</v>
      </c>
      <c r="G1821" s="54" t="s">
        <v>4271</v>
      </c>
      <c r="H1821" s="54" t="n">
        <v>4293</v>
      </c>
      <c r="I1821" s="54" t="s">
        <v>315</v>
      </c>
      <c r="J1821" s="54" t="s">
        <v>392</v>
      </c>
    </row>
    <row r="1822" customFormat="false" ht="15" hidden="false" customHeight="true" outlineLevel="0" collapsed="false">
      <c r="A1822" s="54" t="n">
        <v>20260710</v>
      </c>
      <c r="B1822" s="54" t="s">
        <v>289</v>
      </c>
      <c r="C1822" s="54" t="s">
        <v>307</v>
      </c>
      <c r="D1822" s="54" t="s">
        <v>4272</v>
      </c>
      <c r="E1822" s="54" t="s">
        <v>4273</v>
      </c>
      <c r="F1822" s="54" t="s">
        <v>4274</v>
      </c>
      <c r="G1822" s="54" t="s">
        <v>4275</v>
      </c>
      <c r="H1822" s="54" t="n">
        <v>15545</v>
      </c>
      <c r="I1822" s="54" t="s">
        <v>295</v>
      </c>
      <c r="J1822" s="54" t="s">
        <v>1074</v>
      </c>
    </row>
    <row r="1823" customFormat="false" ht="15" hidden="false" customHeight="true" outlineLevel="0" collapsed="false">
      <c r="A1823" s="54" t="n">
        <v>20260710</v>
      </c>
      <c r="B1823" s="54" t="s">
        <v>306</v>
      </c>
      <c r="C1823" s="54" t="s">
        <v>307</v>
      </c>
      <c r="D1823" s="54" t="s">
        <v>4276</v>
      </c>
      <c r="E1823" s="54" t="s">
        <v>4277</v>
      </c>
      <c r="F1823" s="54" t="s">
        <v>4278</v>
      </c>
      <c r="G1823" s="54" t="s">
        <v>4279</v>
      </c>
      <c r="H1823" s="54" t="n">
        <v>18882</v>
      </c>
      <c r="I1823" s="54" t="s">
        <v>295</v>
      </c>
      <c r="J1823" s="54" t="s">
        <v>752</v>
      </c>
    </row>
    <row r="1824" customFormat="false" ht="15" hidden="false" customHeight="true" outlineLevel="0" collapsed="false">
      <c r="A1824" s="54" t="n">
        <v>20260710</v>
      </c>
      <c r="B1824" s="54" t="s">
        <v>306</v>
      </c>
      <c r="C1824" s="54" t="s">
        <v>307</v>
      </c>
      <c r="D1824" s="54" t="s">
        <v>4276</v>
      </c>
      <c r="E1824" s="54" t="s">
        <v>4277</v>
      </c>
      <c r="F1824" s="54" t="s">
        <v>2633</v>
      </c>
      <c r="G1824" s="54" t="s">
        <v>4280</v>
      </c>
      <c r="H1824" s="54" t="n">
        <v>230</v>
      </c>
      <c r="I1824" s="54" t="s">
        <v>295</v>
      </c>
      <c r="J1824" s="54" t="s">
        <v>752</v>
      </c>
    </row>
    <row r="1825" customFormat="false" ht="15" hidden="false" customHeight="true" outlineLevel="0" collapsed="false">
      <c r="A1825" s="54" t="n">
        <v>20260710</v>
      </c>
      <c r="B1825" s="54" t="s">
        <v>306</v>
      </c>
      <c r="C1825" s="54" t="s">
        <v>307</v>
      </c>
      <c r="D1825" s="54" t="s">
        <v>4276</v>
      </c>
      <c r="E1825" s="54" t="s">
        <v>4277</v>
      </c>
      <c r="F1825" s="54" t="s">
        <v>4281</v>
      </c>
      <c r="G1825" s="54" t="s">
        <v>4282</v>
      </c>
      <c r="H1825" s="54" t="n">
        <v>2680</v>
      </c>
      <c r="I1825" s="54" t="s">
        <v>295</v>
      </c>
      <c r="J1825" s="54" t="s">
        <v>752</v>
      </c>
    </row>
    <row r="1826" customFormat="false" ht="15" hidden="false" customHeight="true" outlineLevel="0" collapsed="false">
      <c r="A1826" s="54" t="n">
        <v>20260710</v>
      </c>
      <c r="B1826" s="54" t="s">
        <v>306</v>
      </c>
      <c r="C1826" s="54" t="s">
        <v>307</v>
      </c>
      <c r="D1826" s="54" t="s">
        <v>4276</v>
      </c>
      <c r="E1826" s="54" t="s">
        <v>4277</v>
      </c>
      <c r="F1826" s="54" t="s">
        <v>4283</v>
      </c>
      <c r="G1826" s="54" t="s">
        <v>4284</v>
      </c>
      <c r="H1826" s="54" t="n">
        <v>7189</v>
      </c>
      <c r="I1826" s="54" t="s">
        <v>295</v>
      </c>
      <c r="J1826" s="54" t="s">
        <v>752</v>
      </c>
    </row>
    <row r="1827" customFormat="false" ht="15" hidden="false" customHeight="true" outlineLevel="0" collapsed="false">
      <c r="A1827" s="54" t="n">
        <v>20260710</v>
      </c>
      <c r="B1827" s="54" t="s">
        <v>289</v>
      </c>
      <c r="C1827" s="54" t="s">
        <v>290</v>
      </c>
      <c r="D1827" s="54" t="s">
        <v>4285</v>
      </c>
      <c r="E1827" s="54" t="s">
        <v>4286</v>
      </c>
      <c r="F1827" s="54" t="s">
        <v>4287</v>
      </c>
      <c r="G1827" s="54" t="s">
        <v>2051</v>
      </c>
      <c r="H1827" s="54" t="n">
        <v>15187</v>
      </c>
      <c r="I1827" s="54" t="s">
        <v>295</v>
      </c>
      <c r="J1827" s="54" t="s">
        <v>2306</v>
      </c>
    </row>
    <row r="1828" customFormat="false" ht="15" hidden="false" customHeight="true" outlineLevel="0" collapsed="false">
      <c r="A1828" s="54" t="n">
        <v>20260710</v>
      </c>
      <c r="B1828" s="54" t="s">
        <v>289</v>
      </c>
      <c r="C1828" s="54" t="s">
        <v>290</v>
      </c>
      <c r="D1828" s="54" t="s">
        <v>4285</v>
      </c>
      <c r="E1828" s="54" t="s">
        <v>4286</v>
      </c>
      <c r="F1828" s="54" t="s">
        <v>821</v>
      </c>
      <c r="G1828" s="54" t="s">
        <v>4288</v>
      </c>
      <c r="H1828" s="54" t="n">
        <v>570</v>
      </c>
      <c r="I1828" s="54" t="s">
        <v>295</v>
      </c>
      <c r="J1828" s="54" t="s">
        <v>2306</v>
      </c>
    </row>
    <row r="1829" customFormat="false" ht="15" hidden="false" customHeight="true" outlineLevel="0" collapsed="false">
      <c r="A1829" s="54" t="n">
        <v>20260710</v>
      </c>
      <c r="B1829" s="54" t="s">
        <v>289</v>
      </c>
      <c r="C1829" s="54" t="s">
        <v>290</v>
      </c>
      <c r="D1829" s="54" t="s">
        <v>4285</v>
      </c>
      <c r="E1829" s="54" t="s">
        <v>4286</v>
      </c>
      <c r="F1829" s="54" t="s">
        <v>4289</v>
      </c>
      <c r="G1829" s="54" t="s">
        <v>4290</v>
      </c>
      <c r="H1829" s="54" t="n">
        <v>772</v>
      </c>
      <c r="I1829" s="54" t="s">
        <v>295</v>
      </c>
      <c r="J1829" s="54" t="s">
        <v>2306</v>
      </c>
    </row>
    <row r="1830" customFormat="false" ht="15" hidden="false" customHeight="true" outlineLevel="0" collapsed="false">
      <c r="A1830" s="54" t="n">
        <v>20260710</v>
      </c>
      <c r="B1830" s="54" t="s">
        <v>289</v>
      </c>
      <c r="C1830" s="54" t="s">
        <v>290</v>
      </c>
      <c r="D1830" s="54" t="s">
        <v>4285</v>
      </c>
      <c r="E1830" s="54" t="s">
        <v>4286</v>
      </c>
      <c r="F1830" s="54" t="s">
        <v>4291</v>
      </c>
      <c r="G1830" s="54" t="s">
        <v>4292</v>
      </c>
      <c r="H1830" s="54" t="n">
        <v>933</v>
      </c>
      <c r="I1830" s="54" t="s">
        <v>295</v>
      </c>
      <c r="J1830" s="54" t="s">
        <v>2306</v>
      </c>
    </row>
    <row r="1831" customFormat="false" ht="15" hidden="false" customHeight="true" outlineLevel="0" collapsed="false">
      <c r="A1831" s="54" t="n">
        <v>20260710</v>
      </c>
      <c r="B1831" s="54" t="s">
        <v>289</v>
      </c>
      <c r="C1831" s="54" t="s">
        <v>290</v>
      </c>
      <c r="D1831" s="54" t="s">
        <v>4285</v>
      </c>
      <c r="E1831" s="54" t="s">
        <v>4286</v>
      </c>
      <c r="F1831" s="54" t="s">
        <v>4293</v>
      </c>
      <c r="G1831" s="54" t="s">
        <v>4294</v>
      </c>
      <c r="H1831" s="54" t="n">
        <v>11229</v>
      </c>
      <c r="I1831" s="54" t="s">
        <v>295</v>
      </c>
      <c r="J1831" s="54" t="s">
        <v>2306</v>
      </c>
    </row>
    <row r="1832" customFormat="false" ht="15" hidden="false" customHeight="true" outlineLevel="0" collapsed="false">
      <c r="A1832" s="54" t="n">
        <v>20260710</v>
      </c>
      <c r="B1832" s="54" t="s">
        <v>289</v>
      </c>
      <c r="C1832" s="54" t="s">
        <v>290</v>
      </c>
      <c r="D1832" s="54" t="s">
        <v>4295</v>
      </c>
      <c r="E1832" s="54" t="s">
        <v>4296</v>
      </c>
      <c r="F1832" s="54" t="s">
        <v>1109</v>
      </c>
      <c r="G1832" s="54" t="s">
        <v>751</v>
      </c>
      <c r="H1832" s="54" t="n">
        <v>14493</v>
      </c>
      <c r="I1832" s="54" t="s">
        <v>295</v>
      </c>
      <c r="J1832" s="54" t="s">
        <v>578</v>
      </c>
    </row>
    <row r="1833" customFormat="false" ht="15" hidden="false" customHeight="true" outlineLevel="0" collapsed="false">
      <c r="A1833" s="54" t="n">
        <v>20260710</v>
      </c>
      <c r="B1833" s="54" t="s">
        <v>289</v>
      </c>
      <c r="C1833" s="54" t="s">
        <v>290</v>
      </c>
      <c r="D1833" s="54" t="s">
        <v>4295</v>
      </c>
      <c r="E1833" s="54" t="s">
        <v>4296</v>
      </c>
      <c r="F1833" s="54" t="s">
        <v>753</v>
      </c>
      <c r="G1833" s="54" t="s">
        <v>766</v>
      </c>
      <c r="H1833" s="54" t="n">
        <v>14343</v>
      </c>
      <c r="I1833" s="54" t="s">
        <v>295</v>
      </c>
      <c r="J1833" s="54" t="s">
        <v>578</v>
      </c>
    </row>
    <row r="1834" customFormat="false" ht="15" hidden="false" customHeight="true" outlineLevel="0" collapsed="false">
      <c r="A1834" s="54" t="n">
        <v>20260710</v>
      </c>
      <c r="B1834" s="54" t="s">
        <v>306</v>
      </c>
      <c r="C1834" s="54" t="s">
        <v>290</v>
      </c>
      <c r="D1834" s="54" t="s">
        <v>4297</v>
      </c>
      <c r="E1834" s="54" t="s">
        <v>4298</v>
      </c>
      <c r="F1834" s="54" t="s">
        <v>4299</v>
      </c>
      <c r="G1834" s="54" t="s">
        <v>4300</v>
      </c>
      <c r="H1834" s="54" t="n">
        <v>194</v>
      </c>
      <c r="I1834" s="54" t="s">
        <v>295</v>
      </c>
      <c r="J1834" s="54" t="s">
        <v>375</v>
      </c>
    </row>
    <row r="1835" customFormat="false" ht="15" hidden="false" customHeight="true" outlineLevel="0" collapsed="false">
      <c r="A1835" s="54" t="n">
        <v>20260710</v>
      </c>
      <c r="B1835" s="54" t="s">
        <v>306</v>
      </c>
      <c r="C1835" s="54" t="s">
        <v>290</v>
      </c>
      <c r="D1835" s="54" t="s">
        <v>4297</v>
      </c>
      <c r="E1835" s="54" t="s">
        <v>4298</v>
      </c>
      <c r="F1835" s="54" t="s">
        <v>4301</v>
      </c>
      <c r="G1835" s="54" t="s">
        <v>4302</v>
      </c>
      <c r="H1835" s="54" t="n">
        <v>16529</v>
      </c>
      <c r="I1835" s="54" t="s">
        <v>295</v>
      </c>
      <c r="J1835" s="54" t="s">
        <v>375</v>
      </c>
    </row>
    <row r="1836" customFormat="false" ht="15" hidden="false" customHeight="true" outlineLevel="0" collapsed="false">
      <c r="A1836" s="54" t="n">
        <v>20260710</v>
      </c>
      <c r="B1836" s="54" t="s">
        <v>306</v>
      </c>
      <c r="C1836" s="54" t="s">
        <v>290</v>
      </c>
      <c r="D1836" s="54" t="s">
        <v>4297</v>
      </c>
      <c r="E1836" s="54" t="s">
        <v>4298</v>
      </c>
      <c r="F1836" s="54" t="s">
        <v>4303</v>
      </c>
      <c r="G1836" s="54" t="s">
        <v>4304</v>
      </c>
      <c r="H1836" s="54" t="n">
        <v>5625</v>
      </c>
      <c r="I1836" s="54" t="s">
        <v>295</v>
      </c>
      <c r="J1836" s="54" t="s">
        <v>375</v>
      </c>
    </row>
    <row r="1837" customFormat="false" ht="15" hidden="false" customHeight="true" outlineLevel="0" collapsed="false">
      <c r="A1837" s="54" t="n">
        <v>20260710</v>
      </c>
      <c r="B1837" s="54" t="s">
        <v>306</v>
      </c>
      <c r="C1837" s="54" t="s">
        <v>290</v>
      </c>
      <c r="D1837" s="54" t="s">
        <v>4297</v>
      </c>
      <c r="E1837" s="54" t="s">
        <v>4298</v>
      </c>
      <c r="F1837" s="54" t="s">
        <v>4305</v>
      </c>
      <c r="G1837" s="54" t="s">
        <v>4306</v>
      </c>
      <c r="H1837" s="54" t="n">
        <v>7648</v>
      </c>
      <c r="I1837" s="54" t="s">
        <v>295</v>
      </c>
      <c r="J1837" s="54" t="s">
        <v>375</v>
      </c>
    </row>
    <row r="1838" customFormat="false" ht="15" hidden="false" customHeight="true" outlineLevel="0" collapsed="false">
      <c r="A1838" s="54" t="n">
        <v>20260710</v>
      </c>
      <c r="B1838" s="54" t="s">
        <v>306</v>
      </c>
      <c r="C1838" s="54" t="s">
        <v>290</v>
      </c>
      <c r="D1838" s="54" t="s">
        <v>4297</v>
      </c>
      <c r="E1838" s="54" t="s">
        <v>4298</v>
      </c>
      <c r="F1838" s="54" t="s">
        <v>4307</v>
      </c>
      <c r="G1838" s="54" t="s">
        <v>4308</v>
      </c>
      <c r="H1838" s="54" t="n">
        <v>93</v>
      </c>
      <c r="I1838" s="54" t="s">
        <v>295</v>
      </c>
      <c r="J1838" s="54" t="s">
        <v>375</v>
      </c>
    </row>
    <row r="1839" customFormat="false" ht="15" hidden="false" customHeight="true" outlineLevel="0" collapsed="false">
      <c r="A1839" s="54" t="n">
        <v>20260710</v>
      </c>
      <c r="B1839" s="54" t="s">
        <v>306</v>
      </c>
      <c r="C1839" s="54" t="s">
        <v>290</v>
      </c>
      <c r="D1839" s="54" t="s">
        <v>4297</v>
      </c>
      <c r="E1839" s="54" t="s">
        <v>4298</v>
      </c>
      <c r="F1839" s="54" t="s">
        <v>4309</v>
      </c>
      <c r="G1839" s="54" t="s">
        <v>4310</v>
      </c>
      <c r="H1839" s="54" t="n">
        <v>2537</v>
      </c>
      <c r="I1839" s="54" t="s">
        <v>295</v>
      </c>
      <c r="J1839" s="54" t="s">
        <v>375</v>
      </c>
    </row>
    <row r="1840" customFormat="false" ht="15" hidden="false" customHeight="true" outlineLevel="0" collapsed="false">
      <c r="A1840" s="54" t="n">
        <v>20260710</v>
      </c>
      <c r="B1840" s="54" t="s">
        <v>289</v>
      </c>
      <c r="C1840" s="54" t="s">
        <v>290</v>
      </c>
      <c r="D1840" s="54" t="s">
        <v>4311</v>
      </c>
      <c r="E1840" s="54" t="s">
        <v>4312</v>
      </c>
      <c r="F1840" s="54" t="s">
        <v>4313</v>
      </c>
      <c r="G1840" s="54" t="s">
        <v>4314</v>
      </c>
      <c r="H1840" s="54" t="n">
        <v>5</v>
      </c>
      <c r="I1840" s="54" t="s">
        <v>295</v>
      </c>
      <c r="J1840" s="54" t="s">
        <v>578</v>
      </c>
    </row>
    <row r="1841" customFormat="false" ht="15" hidden="false" customHeight="true" outlineLevel="0" collapsed="false">
      <c r="A1841" s="54" t="n">
        <v>20260710</v>
      </c>
      <c r="B1841" s="54" t="s">
        <v>289</v>
      </c>
      <c r="C1841" s="54" t="s">
        <v>290</v>
      </c>
      <c r="D1841" s="54" t="s">
        <v>4311</v>
      </c>
      <c r="E1841" s="54" t="s">
        <v>4312</v>
      </c>
      <c r="F1841" s="54" t="s">
        <v>4315</v>
      </c>
      <c r="G1841" s="54" t="s">
        <v>4316</v>
      </c>
      <c r="H1841" s="54" t="n">
        <v>3124</v>
      </c>
      <c r="I1841" s="54" t="s">
        <v>295</v>
      </c>
      <c r="J1841" s="54" t="s">
        <v>578</v>
      </c>
    </row>
    <row r="1842" customFormat="false" ht="15" hidden="false" customHeight="true" outlineLevel="0" collapsed="false">
      <c r="A1842" s="54" t="n">
        <v>20260710</v>
      </c>
      <c r="B1842" s="54" t="s">
        <v>289</v>
      </c>
      <c r="C1842" s="54" t="s">
        <v>290</v>
      </c>
      <c r="D1842" s="54" t="s">
        <v>4311</v>
      </c>
      <c r="E1842" s="54" t="s">
        <v>4312</v>
      </c>
      <c r="F1842" s="54" t="s">
        <v>4317</v>
      </c>
      <c r="G1842" s="54" t="s">
        <v>4318</v>
      </c>
      <c r="H1842" s="54" t="n">
        <v>11532</v>
      </c>
      <c r="I1842" s="54" t="s">
        <v>295</v>
      </c>
      <c r="J1842" s="54" t="s">
        <v>578</v>
      </c>
    </row>
    <row r="1843" customFormat="false" ht="15" hidden="false" customHeight="true" outlineLevel="0" collapsed="false">
      <c r="A1843" s="54" t="n">
        <v>20260710</v>
      </c>
      <c r="B1843" s="54" t="s">
        <v>289</v>
      </c>
      <c r="C1843" s="54" t="s">
        <v>290</v>
      </c>
      <c r="D1843" s="54" t="s">
        <v>4311</v>
      </c>
      <c r="E1843" s="54" t="s">
        <v>4312</v>
      </c>
      <c r="F1843" s="54" t="s">
        <v>4319</v>
      </c>
      <c r="G1843" s="54" t="s">
        <v>4320</v>
      </c>
      <c r="H1843" s="54" t="n">
        <v>886</v>
      </c>
      <c r="I1843" s="54" t="s">
        <v>295</v>
      </c>
      <c r="J1843" s="54" t="s">
        <v>578</v>
      </c>
    </row>
    <row r="1844" customFormat="false" ht="15" hidden="false" customHeight="true" outlineLevel="0" collapsed="false">
      <c r="A1844" s="54" t="n">
        <v>20260710</v>
      </c>
      <c r="B1844" s="54" t="s">
        <v>289</v>
      </c>
      <c r="C1844" s="54" t="s">
        <v>290</v>
      </c>
      <c r="D1844" s="54" t="s">
        <v>4311</v>
      </c>
      <c r="E1844" s="54" t="s">
        <v>4312</v>
      </c>
      <c r="F1844" s="54" t="s">
        <v>4321</v>
      </c>
      <c r="G1844" s="54" t="s">
        <v>4322</v>
      </c>
      <c r="H1844" s="54" t="n">
        <v>13960</v>
      </c>
      <c r="I1844" s="54" t="s">
        <v>295</v>
      </c>
      <c r="J1844" s="54" t="s">
        <v>578</v>
      </c>
    </row>
    <row r="1845" customFormat="false" ht="15" hidden="false" customHeight="true" outlineLevel="0" collapsed="false">
      <c r="A1845" s="54" t="n">
        <v>20260710</v>
      </c>
      <c r="B1845" s="54" t="s">
        <v>188</v>
      </c>
      <c r="C1845" s="54" t="s">
        <v>307</v>
      </c>
      <c r="D1845" s="54" t="s">
        <v>4323</v>
      </c>
      <c r="E1845" s="54" t="s">
        <v>4324</v>
      </c>
      <c r="F1845" s="54" t="s">
        <v>4325</v>
      </c>
      <c r="G1845" s="54" t="s">
        <v>3856</v>
      </c>
      <c r="H1845" s="54" t="n">
        <v>3</v>
      </c>
      <c r="I1845" s="54" t="s">
        <v>295</v>
      </c>
      <c r="J1845" s="54" t="s">
        <v>2393</v>
      </c>
    </row>
    <row r="1846" customFormat="false" ht="15" hidden="false" customHeight="true" outlineLevel="0" collapsed="false">
      <c r="A1846" s="54" t="n">
        <v>20260710</v>
      </c>
      <c r="B1846" s="54" t="s">
        <v>188</v>
      </c>
      <c r="C1846" s="54" t="s">
        <v>307</v>
      </c>
      <c r="D1846" s="54" t="s">
        <v>4323</v>
      </c>
      <c r="E1846" s="54" t="s">
        <v>4324</v>
      </c>
      <c r="F1846" s="54" t="s">
        <v>3606</v>
      </c>
      <c r="G1846" s="54" t="s">
        <v>4326</v>
      </c>
      <c r="H1846" s="54" t="n">
        <v>18172</v>
      </c>
      <c r="I1846" s="54" t="s">
        <v>295</v>
      </c>
      <c r="J1846" s="54" t="s">
        <v>2393</v>
      </c>
    </row>
    <row r="1847" customFormat="false" ht="15" hidden="false" customHeight="true" outlineLevel="0" collapsed="false">
      <c r="A1847" s="54" t="n">
        <v>20260710</v>
      </c>
      <c r="B1847" s="54" t="s">
        <v>188</v>
      </c>
      <c r="C1847" s="54" t="s">
        <v>307</v>
      </c>
      <c r="D1847" s="54" t="s">
        <v>4323</v>
      </c>
      <c r="E1847" s="54" t="s">
        <v>4324</v>
      </c>
      <c r="F1847" s="54" t="s">
        <v>2704</v>
      </c>
      <c r="G1847" s="54" t="s">
        <v>4327</v>
      </c>
      <c r="H1847" s="54" t="n">
        <v>10860</v>
      </c>
      <c r="I1847" s="54" t="s">
        <v>295</v>
      </c>
      <c r="J1847" s="54" t="s">
        <v>2393</v>
      </c>
    </row>
    <row r="1848" customFormat="false" ht="15" hidden="false" customHeight="true" outlineLevel="0" collapsed="false">
      <c r="A1848" s="54" t="n">
        <v>20260710</v>
      </c>
      <c r="B1848" s="54" t="s">
        <v>688</v>
      </c>
      <c r="C1848" s="54" t="s">
        <v>307</v>
      </c>
      <c r="D1848" s="54" t="s">
        <v>4328</v>
      </c>
      <c r="E1848" s="54" t="s">
        <v>4329</v>
      </c>
      <c r="F1848" s="54" t="s">
        <v>4330</v>
      </c>
      <c r="G1848" s="54" t="s">
        <v>4331</v>
      </c>
      <c r="H1848" s="54" t="n">
        <v>18419</v>
      </c>
      <c r="I1848" s="54" t="s">
        <v>295</v>
      </c>
      <c r="J1848" s="54" t="s">
        <v>142</v>
      </c>
    </row>
    <row r="1849" customFormat="false" ht="15" hidden="false" customHeight="true" outlineLevel="0" collapsed="false">
      <c r="A1849" s="54" t="n">
        <v>20260710</v>
      </c>
      <c r="B1849" s="54" t="s">
        <v>688</v>
      </c>
      <c r="C1849" s="54" t="s">
        <v>307</v>
      </c>
      <c r="D1849" s="54" t="s">
        <v>4328</v>
      </c>
      <c r="E1849" s="54" t="s">
        <v>4329</v>
      </c>
      <c r="F1849" s="54" t="s">
        <v>4332</v>
      </c>
      <c r="G1849" s="54" t="s">
        <v>905</v>
      </c>
      <c r="H1849" s="54" t="n">
        <v>14131</v>
      </c>
      <c r="I1849" s="54" t="s">
        <v>295</v>
      </c>
      <c r="J1849" s="54" t="s">
        <v>142</v>
      </c>
    </row>
    <row r="1850" customFormat="false" ht="15" hidden="false" customHeight="true" outlineLevel="0" collapsed="false">
      <c r="A1850" s="54" t="n">
        <v>20260710</v>
      </c>
      <c r="B1850" s="54" t="s">
        <v>757</v>
      </c>
      <c r="C1850" s="54" t="s">
        <v>307</v>
      </c>
      <c r="D1850" s="54" t="s">
        <v>4333</v>
      </c>
      <c r="E1850" s="54" t="s">
        <v>4334</v>
      </c>
      <c r="F1850" s="54" t="s">
        <v>3092</v>
      </c>
      <c r="G1850" s="54" t="s">
        <v>4335</v>
      </c>
      <c r="H1850" s="54" t="n">
        <v>15392</v>
      </c>
      <c r="I1850" s="54" t="s">
        <v>295</v>
      </c>
      <c r="J1850" s="54" t="s">
        <v>762</v>
      </c>
    </row>
    <row r="1851" customFormat="false" ht="15" hidden="false" customHeight="true" outlineLevel="0" collapsed="false">
      <c r="A1851" s="54" t="n">
        <v>20260710</v>
      </c>
      <c r="B1851" s="54" t="s">
        <v>757</v>
      </c>
      <c r="C1851" s="54" t="s">
        <v>307</v>
      </c>
      <c r="D1851" s="54" t="s">
        <v>4333</v>
      </c>
      <c r="E1851" s="54" t="s">
        <v>4334</v>
      </c>
      <c r="F1851" s="54" t="s">
        <v>4336</v>
      </c>
      <c r="G1851" s="54" t="s">
        <v>787</v>
      </c>
      <c r="H1851" s="54" t="n">
        <v>2770</v>
      </c>
      <c r="I1851" s="54" t="s">
        <v>295</v>
      </c>
      <c r="J1851" s="54" t="s">
        <v>762</v>
      </c>
    </row>
    <row r="1852" customFormat="false" ht="15" hidden="false" customHeight="true" outlineLevel="0" collapsed="false">
      <c r="A1852" s="54" t="n">
        <v>20260710</v>
      </c>
      <c r="B1852" s="54" t="s">
        <v>757</v>
      </c>
      <c r="C1852" s="54" t="s">
        <v>307</v>
      </c>
      <c r="D1852" s="54" t="s">
        <v>4333</v>
      </c>
      <c r="E1852" s="54" t="s">
        <v>4334</v>
      </c>
      <c r="F1852" s="54" t="s">
        <v>4337</v>
      </c>
      <c r="G1852" s="54" t="s">
        <v>766</v>
      </c>
      <c r="H1852" s="54" t="n">
        <v>10850</v>
      </c>
      <c r="I1852" s="54" t="s">
        <v>295</v>
      </c>
      <c r="J1852" s="54" t="s">
        <v>762</v>
      </c>
    </row>
    <row r="1853" customFormat="false" ht="15" hidden="false" customHeight="true" outlineLevel="0" collapsed="false">
      <c r="A1853" s="54" t="n">
        <v>20260710</v>
      </c>
      <c r="B1853" s="54" t="s">
        <v>306</v>
      </c>
      <c r="C1853" s="54" t="s">
        <v>290</v>
      </c>
      <c r="D1853" s="54" t="s">
        <v>4338</v>
      </c>
      <c r="E1853" s="54" t="s">
        <v>4339</v>
      </c>
      <c r="F1853" s="54" t="s">
        <v>4340</v>
      </c>
      <c r="G1853" s="54" t="s">
        <v>2730</v>
      </c>
      <c r="H1853" s="54" t="n">
        <v>22675</v>
      </c>
      <c r="I1853" s="54" t="s">
        <v>315</v>
      </c>
      <c r="J1853" s="54" t="s">
        <v>368</v>
      </c>
    </row>
    <row r="1854" customFormat="false" ht="15" hidden="false" customHeight="true" outlineLevel="0" collapsed="false">
      <c r="A1854" s="54" t="n">
        <v>20260710</v>
      </c>
      <c r="B1854" s="54" t="s">
        <v>306</v>
      </c>
      <c r="C1854" s="54" t="s">
        <v>290</v>
      </c>
      <c r="D1854" s="54" t="s">
        <v>4338</v>
      </c>
      <c r="E1854" s="54" t="s">
        <v>4339</v>
      </c>
      <c r="F1854" s="54" t="s">
        <v>4340</v>
      </c>
      <c r="G1854" s="54" t="s">
        <v>2730</v>
      </c>
      <c r="H1854" s="54" t="n">
        <v>22675</v>
      </c>
      <c r="I1854" s="54" t="s">
        <v>295</v>
      </c>
      <c r="J1854" s="54" t="s">
        <v>368</v>
      </c>
    </row>
    <row r="1855" customFormat="false" ht="15" hidden="false" customHeight="true" outlineLevel="0" collapsed="false">
      <c r="A1855" s="54" t="n">
        <v>20260710</v>
      </c>
      <c r="B1855" s="54" t="s">
        <v>306</v>
      </c>
      <c r="C1855" s="54" t="s">
        <v>290</v>
      </c>
      <c r="D1855" s="54" t="s">
        <v>4338</v>
      </c>
      <c r="E1855" s="54" t="s">
        <v>4339</v>
      </c>
      <c r="F1855" s="54" t="s">
        <v>2579</v>
      </c>
      <c r="G1855" s="54" t="s">
        <v>4341</v>
      </c>
      <c r="H1855" s="54" t="n">
        <v>1580</v>
      </c>
      <c r="I1855" s="54" t="s">
        <v>295</v>
      </c>
      <c r="J1855" s="54" t="s">
        <v>368</v>
      </c>
    </row>
    <row r="1856" customFormat="false" ht="15" hidden="false" customHeight="true" outlineLevel="0" collapsed="false">
      <c r="A1856" s="54" t="n">
        <v>20260710</v>
      </c>
      <c r="B1856" s="54" t="s">
        <v>306</v>
      </c>
      <c r="C1856" s="54" t="s">
        <v>290</v>
      </c>
      <c r="D1856" s="54" t="s">
        <v>4338</v>
      </c>
      <c r="E1856" s="54" t="s">
        <v>4339</v>
      </c>
      <c r="F1856" s="54" t="s">
        <v>4342</v>
      </c>
      <c r="G1856" s="54" t="s">
        <v>4341</v>
      </c>
      <c r="H1856" s="54" t="n">
        <v>1578</v>
      </c>
      <c r="I1856" s="54" t="s">
        <v>315</v>
      </c>
      <c r="J1856" s="54" t="s">
        <v>368</v>
      </c>
    </row>
    <row r="1857" customFormat="false" ht="15" hidden="false" customHeight="true" outlineLevel="0" collapsed="false">
      <c r="A1857" s="54" t="n">
        <v>20260710</v>
      </c>
      <c r="B1857" s="54" t="s">
        <v>306</v>
      </c>
      <c r="C1857" s="54" t="s">
        <v>290</v>
      </c>
      <c r="D1857" s="54" t="s">
        <v>4338</v>
      </c>
      <c r="E1857" s="54" t="s">
        <v>4339</v>
      </c>
      <c r="F1857" s="54" t="s">
        <v>4343</v>
      </c>
      <c r="G1857" s="54" t="s">
        <v>4344</v>
      </c>
      <c r="H1857" s="54" t="n">
        <v>2254</v>
      </c>
      <c r="I1857" s="54" t="s">
        <v>295</v>
      </c>
      <c r="J1857" s="54" t="s">
        <v>368</v>
      </c>
    </row>
    <row r="1858" customFormat="false" ht="15" hidden="false" customHeight="true" outlineLevel="0" collapsed="false">
      <c r="A1858" s="54" t="n">
        <v>20260710</v>
      </c>
      <c r="B1858" s="54" t="s">
        <v>306</v>
      </c>
      <c r="C1858" s="54" t="s">
        <v>290</v>
      </c>
      <c r="D1858" s="54" t="s">
        <v>4338</v>
      </c>
      <c r="E1858" s="54" t="s">
        <v>4339</v>
      </c>
      <c r="F1858" s="54" t="s">
        <v>4345</v>
      </c>
      <c r="G1858" s="54" t="s">
        <v>4346</v>
      </c>
      <c r="H1858" s="54" t="n">
        <v>3242</v>
      </c>
      <c r="I1858" s="54" t="s">
        <v>295</v>
      </c>
      <c r="J1858" s="54" t="s">
        <v>368</v>
      </c>
    </row>
    <row r="1859" customFormat="false" ht="15" hidden="false" customHeight="true" outlineLevel="0" collapsed="false">
      <c r="A1859" s="54" t="n">
        <v>20260710</v>
      </c>
      <c r="B1859" s="54" t="s">
        <v>306</v>
      </c>
      <c r="C1859" s="54" t="s">
        <v>290</v>
      </c>
      <c r="D1859" s="54" t="s">
        <v>4338</v>
      </c>
      <c r="E1859" s="54" t="s">
        <v>4339</v>
      </c>
      <c r="F1859" s="54" t="s">
        <v>4347</v>
      </c>
      <c r="G1859" s="54" t="s">
        <v>4348</v>
      </c>
      <c r="H1859" s="54" t="n">
        <v>14</v>
      </c>
      <c r="I1859" s="54" t="s">
        <v>295</v>
      </c>
      <c r="J1859" s="54" t="s">
        <v>368</v>
      </c>
    </row>
    <row r="1860" customFormat="false" ht="15" hidden="false" customHeight="true" outlineLevel="0" collapsed="false">
      <c r="A1860" s="54" t="n">
        <v>20260710</v>
      </c>
      <c r="B1860" s="54" t="s">
        <v>306</v>
      </c>
      <c r="C1860" s="54" t="s">
        <v>290</v>
      </c>
      <c r="D1860" s="54" t="s">
        <v>4338</v>
      </c>
      <c r="E1860" s="54" t="s">
        <v>4339</v>
      </c>
      <c r="F1860" s="54" t="s">
        <v>4347</v>
      </c>
      <c r="G1860" s="54" t="s">
        <v>4349</v>
      </c>
      <c r="H1860" s="54" t="n">
        <v>16</v>
      </c>
      <c r="I1860" s="54" t="s">
        <v>315</v>
      </c>
      <c r="J1860" s="54" t="s">
        <v>368</v>
      </c>
    </row>
    <row r="1861" customFormat="false" ht="15" hidden="false" customHeight="true" outlineLevel="0" collapsed="false">
      <c r="A1861" s="54" t="n">
        <v>20260710</v>
      </c>
      <c r="B1861" s="54" t="s">
        <v>688</v>
      </c>
      <c r="C1861" s="54" t="s">
        <v>307</v>
      </c>
      <c r="D1861" s="54" t="s">
        <v>4350</v>
      </c>
      <c r="E1861" s="54" t="s">
        <v>4351</v>
      </c>
      <c r="F1861" s="54" t="s">
        <v>4352</v>
      </c>
      <c r="G1861" s="54" t="s">
        <v>4353</v>
      </c>
      <c r="H1861" s="54" t="n">
        <v>6</v>
      </c>
      <c r="I1861" s="54" t="s">
        <v>295</v>
      </c>
      <c r="J1861" s="54" t="s">
        <v>142</v>
      </c>
    </row>
    <row r="1862" customFormat="false" ht="15" hidden="false" customHeight="true" outlineLevel="0" collapsed="false">
      <c r="A1862" s="54" t="n">
        <v>20260710</v>
      </c>
      <c r="B1862" s="54" t="s">
        <v>688</v>
      </c>
      <c r="C1862" s="54" t="s">
        <v>307</v>
      </c>
      <c r="D1862" s="54" t="s">
        <v>4350</v>
      </c>
      <c r="E1862" s="54" t="s">
        <v>4351</v>
      </c>
      <c r="F1862" s="54" t="s">
        <v>4354</v>
      </c>
      <c r="G1862" s="54" t="s">
        <v>4355</v>
      </c>
      <c r="H1862" s="54" t="n">
        <v>10886</v>
      </c>
      <c r="I1862" s="54" t="s">
        <v>295</v>
      </c>
      <c r="J1862" s="54" t="s">
        <v>142</v>
      </c>
    </row>
    <row r="1863" customFormat="false" ht="15" hidden="false" customHeight="true" outlineLevel="0" collapsed="false">
      <c r="A1863" s="54" t="n">
        <v>20260710</v>
      </c>
      <c r="B1863" s="54" t="s">
        <v>688</v>
      </c>
      <c r="C1863" s="54" t="s">
        <v>307</v>
      </c>
      <c r="D1863" s="54" t="s">
        <v>4350</v>
      </c>
      <c r="E1863" s="54" t="s">
        <v>4351</v>
      </c>
      <c r="F1863" s="54" t="s">
        <v>4356</v>
      </c>
      <c r="G1863" s="54" t="s">
        <v>4357</v>
      </c>
      <c r="H1863" s="54" t="n">
        <v>14385</v>
      </c>
      <c r="I1863" s="54" t="s">
        <v>295</v>
      </c>
      <c r="J1863" s="54" t="s">
        <v>142</v>
      </c>
    </row>
    <row r="1864" customFormat="false" ht="15" hidden="false" customHeight="true" outlineLevel="0" collapsed="false">
      <c r="A1864" s="54" t="n">
        <v>20260710</v>
      </c>
      <c r="B1864" s="54" t="s">
        <v>688</v>
      </c>
      <c r="C1864" s="54" t="s">
        <v>307</v>
      </c>
      <c r="D1864" s="54" t="s">
        <v>4350</v>
      </c>
      <c r="E1864" s="54" t="s">
        <v>4351</v>
      </c>
      <c r="F1864" s="54" t="s">
        <v>4358</v>
      </c>
      <c r="G1864" s="54" t="s">
        <v>2958</v>
      </c>
      <c r="H1864" s="54" t="n">
        <v>2881</v>
      </c>
      <c r="I1864" s="54" t="s">
        <v>295</v>
      </c>
      <c r="J1864" s="54" t="s">
        <v>142</v>
      </c>
    </row>
    <row r="1865" customFormat="false" ht="15" hidden="false" customHeight="true" outlineLevel="0" collapsed="false">
      <c r="A1865" s="54" t="n">
        <v>20260710</v>
      </c>
      <c r="B1865" s="54" t="s">
        <v>289</v>
      </c>
      <c r="C1865" s="54" t="s">
        <v>290</v>
      </c>
      <c r="D1865" s="54" t="s">
        <v>4359</v>
      </c>
      <c r="E1865" s="54" t="s">
        <v>4360</v>
      </c>
      <c r="F1865" s="54" t="s">
        <v>4361</v>
      </c>
      <c r="G1865" s="54" t="s">
        <v>1685</v>
      </c>
      <c r="H1865" s="54" t="n">
        <v>14544</v>
      </c>
      <c r="I1865" s="54" t="s">
        <v>295</v>
      </c>
      <c r="J1865" s="54" t="s">
        <v>439</v>
      </c>
    </row>
    <row r="1866" customFormat="false" ht="15" hidden="false" customHeight="true" outlineLevel="0" collapsed="false">
      <c r="A1866" s="54" t="n">
        <v>20260710</v>
      </c>
      <c r="B1866" s="54" t="s">
        <v>289</v>
      </c>
      <c r="C1866" s="54" t="s">
        <v>290</v>
      </c>
      <c r="D1866" s="54" t="s">
        <v>4359</v>
      </c>
      <c r="E1866" s="54" t="s">
        <v>4360</v>
      </c>
      <c r="F1866" s="54" t="s">
        <v>3369</v>
      </c>
      <c r="G1866" s="54" t="s">
        <v>789</v>
      </c>
      <c r="H1866" s="54" t="n">
        <v>14453</v>
      </c>
      <c r="I1866" s="54" t="s">
        <v>295</v>
      </c>
      <c r="J1866" s="54" t="s">
        <v>439</v>
      </c>
    </row>
    <row r="1867" customFormat="false" ht="15" hidden="false" customHeight="true" outlineLevel="0" collapsed="false">
      <c r="A1867" s="54" t="n">
        <v>20260710</v>
      </c>
      <c r="B1867" s="54" t="s">
        <v>306</v>
      </c>
      <c r="C1867" s="54" t="s">
        <v>290</v>
      </c>
      <c r="D1867" s="54" t="s">
        <v>4362</v>
      </c>
      <c r="E1867" s="54" t="s">
        <v>4363</v>
      </c>
      <c r="F1867" s="54" t="s">
        <v>4364</v>
      </c>
      <c r="G1867" s="54" t="s">
        <v>4365</v>
      </c>
      <c r="H1867" s="54" t="n">
        <v>15173</v>
      </c>
      <c r="I1867" s="54" t="s">
        <v>295</v>
      </c>
      <c r="J1867" s="54" t="s">
        <v>2289</v>
      </c>
    </row>
    <row r="1868" customFormat="false" ht="15" hidden="false" customHeight="true" outlineLevel="0" collapsed="false">
      <c r="A1868" s="54" t="n">
        <v>20260710</v>
      </c>
      <c r="B1868" s="54" t="s">
        <v>306</v>
      </c>
      <c r="C1868" s="54" t="s">
        <v>290</v>
      </c>
      <c r="D1868" s="54" t="s">
        <v>4362</v>
      </c>
      <c r="E1868" s="54" t="s">
        <v>4363</v>
      </c>
      <c r="F1868" s="54" t="s">
        <v>4366</v>
      </c>
      <c r="G1868" s="54" t="s">
        <v>3289</v>
      </c>
      <c r="H1868" s="54" t="n">
        <v>14246</v>
      </c>
      <c r="I1868" s="54" t="s">
        <v>295</v>
      </c>
      <c r="J1868" s="54" t="s">
        <v>2289</v>
      </c>
    </row>
    <row r="1869" customFormat="false" ht="15" hidden="false" customHeight="true" outlineLevel="0" collapsed="false">
      <c r="A1869" s="54" t="n">
        <v>20260710</v>
      </c>
      <c r="B1869" s="54" t="s">
        <v>535</v>
      </c>
      <c r="C1869" s="54" t="s">
        <v>290</v>
      </c>
      <c r="D1869" s="54" t="s">
        <v>4367</v>
      </c>
      <c r="E1869" s="54" t="s">
        <v>4368</v>
      </c>
      <c r="F1869" s="54" t="s">
        <v>4369</v>
      </c>
      <c r="G1869" s="54" t="s">
        <v>4370</v>
      </c>
      <c r="H1869" s="54" t="n">
        <v>5434</v>
      </c>
      <c r="I1869" s="54" t="s">
        <v>295</v>
      </c>
      <c r="J1869" s="54" t="s">
        <v>1452</v>
      </c>
    </row>
    <row r="1870" customFormat="false" ht="15" hidden="false" customHeight="true" outlineLevel="0" collapsed="false">
      <c r="A1870" s="54" t="n">
        <v>20260710</v>
      </c>
      <c r="B1870" s="54" t="s">
        <v>535</v>
      </c>
      <c r="C1870" s="54" t="s">
        <v>290</v>
      </c>
      <c r="D1870" s="54" t="s">
        <v>4367</v>
      </c>
      <c r="E1870" s="54" t="s">
        <v>4368</v>
      </c>
      <c r="F1870" s="54" t="s">
        <v>4371</v>
      </c>
      <c r="G1870" s="54" t="s">
        <v>3375</v>
      </c>
      <c r="H1870" s="54" t="n">
        <v>12589</v>
      </c>
      <c r="I1870" s="54" t="s">
        <v>295</v>
      </c>
      <c r="J1870" s="54" t="s">
        <v>1452</v>
      </c>
    </row>
    <row r="1871" customFormat="false" ht="15" hidden="false" customHeight="true" outlineLevel="0" collapsed="false">
      <c r="A1871" s="54" t="n">
        <v>20260710</v>
      </c>
      <c r="B1871" s="54" t="s">
        <v>535</v>
      </c>
      <c r="C1871" s="54" t="s">
        <v>290</v>
      </c>
      <c r="D1871" s="54" t="s">
        <v>4367</v>
      </c>
      <c r="E1871" s="54" t="s">
        <v>4368</v>
      </c>
      <c r="F1871" s="54" t="s">
        <v>3715</v>
      </c>
      <c r="G1871" s="54" t="s">
        <v>905</v>
      </c>
      <c r="H1871" s="54" t="n">
        <v>10809</v>
      </c>
      <c r="I1871" s="54" t="s">
        <v>295</v>
      </c>
      <c r="J1871" s="54" t="s">
        <v>1452</v>
      </c>
    </row>
    <row r="1872" customFormat="false" ht="15" hidden="false" customHeight="true" outlineLevel="0" collapsed="false">
      <c r="A1872" s="54" t="n">
        <v>20260710</v>
      </c>
      <c r="B1872" s="54" t="s">
        <v>289</v>
      </c>
      <c r="C1872" s="54" t="s">
        <v>290</v>
      </c>
      <c r="D1872" s="54" t="s">
        <v>4372</v>
      </c>
      <c r="E1872" s="54" t="s">
        <v>4373</v>
      </c>
      <c r="F1872" s="54" t="s">
        <v>4374</v>
      </c>
      <c r="G1872" s="54" t="s">
        <v>4375</v>
      </c>
      <c r="H1872" s="54" t="n">
        <v>15143</v>
      </c>
      <c r="I1872" s="54" t="s">
        <v>295</v>
      </c>
      <c r="J1872" s="54" t="s">
        <v>874</v>
      </c>
    </row>
    <row r="1873" customFormat="false" ht="15" hidden="false" customHeight="true" outlineLevel="0" collapsed="false">
      <c r="A1873" s="54" t="n">
        <v>20260710</v>
      </c>
      <c r="B1873" s="54" t="s">
        <v>289</v>
      </c>
      <c r="C1873" s="54" t="s">
        <v>290</v>
      </c>
      <c r="D1873" s="54" t="s">
        <v>4372</v>
      </c>
      <c r="E1873" s="54" t="s">
        <v>4373</v>
      </c>
      <c r="F1873" s="54" t="s">
        <v>4376</v>
      </c>
      <c r="G1873" s="54" t="s">
        <v>766</v>
      </c>
      <c r="H1873" s="54" t="n">
        <v>14772</v>
      </c>
      <c r="I1873" s="54" t="s">
        <v>295</v>
      </c>
      <c r="J1873" s="54" t="s">
        <v>874</v>
      </c>
    </row>
    <row r="1874" customFormat="false" ht="15" hidden="false" customHeight="true" outlineLevel="0" collapsed="false">
      <c r="A1874" s="54" t="n">
        <v>20260710</v>
      </c>
      <c r="B1874" s="54" t="s">
        <v>289</v>
      </c>
      <c r="C1874" s="54" t="s">
        <v>307</v>
      </c>
      <c r="D1874" s="54" t="s">
        <v>4377</v>
      </c>
      <c r="E1874" s="54" t="s">
        <v>4378</v>
      </c>
      <c r="F1874" s="54" t="s">
        <v>2138</v>
      </c>
      <c r="G1874" s="54" t="s">
        <v>4379</v>
      </c>
      <c r="H1874" s="54" t="n">
        <v>12</v>
      </c>
      <c r="I1874" s="54" t="s">
        <v>295</v>
      </c>
      <c r="J1874" s="54" t="s">
        <v>1659</v>
      </c>
    </row>
    <row r="1875" customFormat="false" ht="15" hidden="false" customHeight="true" outlineLevel="0" collapsed="false">
      <c r="A1875" s="54" t="n">
        <v>20260710</v>
      </c>
      <c r="B1875" s="54" t="s">
        <v>289</v>
      </c>
      <c r="C1875" s="54" t="s">
        <v>307</v>
      </c>
      <c r="D1875" s="54" t="s">
        <v>4377</v>
      </c>
      <c r="E1875" s="54" t="s">
        <v>4378</v>
      </c>
      <c r="F1875" s="54" t="s">
        <v>4380</v>
      </c>
      <c r="G1875" s="54" t="s">
        <v>1400</v>
      </c>
      <c r="H1875" s="54" t="n">
        <v>18020</v>
      </c>
      <c r="I1875" s="54" t="s">
        <v>295</v>
      </c>
      <c r="J1875" s="54" t="s">
        <v>1659</v>
      </c>
    </row>
    <row r="1876" customFormat="false" ht="15" hidden="false" customHeight="true" outlineLevel="0" collapsed="false">
      <c r="A1876" s="54" t="n">
        <v>20260710</v>
      </c>
      <c r="B1876" s="54" t="s">
        <v>289</v>
      </c>
      <c r="C1876" s="54" t="s">
        <v>307</v>
      </c>
      <c r="D1876" s="54" t="s">
        <v>4377</v>
      </c>
      <c r="E1876" s="54" t="s">
        <v>4378</v>
      </c>
      <c r="F1876" s="54" t="s">
        <v>3990</v>
      </c>
      <c r="G1876" s="54" t="s">
        <v>4381</v>
      </c>
      <c r="H1876" s="54" t="n">
        <v>14584</v>
      </c>
      <c r="I1876" s="54" t="s">
        <v>295</v>
      </c>
      <c r="J1876" s="54" t="s">
        <v>1659</v>
      </c>
    </row>
    <row r="1877" customFormat="false" ht="15" hidden="false" customHeight="true" outlineLevel="0" collapsed="false">
      <c r="A1877" s="54" t="n">
        <v>20260710</v>
      </c>
      <c r="B1877" s="54" t="s">
        <v>306</v>
      </c>
      <c r="C1877" s="54" t="s">
        <v>290</v>
      </c>
      <c r="D1877" s="54" t="s">
        <v>4382</v>
      </c>
      <c r="E1877" s="54" t="s">
        <v>4383</v>
      </c>
      <c r="F1877" s="54" t="s">
        <v>4384</v>
      </c>
      <c r="G1877" s="54" t="s">
        <v>3744</v>
      </c>
      <c r="H1877" s="54" t="n">
        <v>15339</v>
      </c>
      <c r="I1877" s="54" t="s">
        <v>315</v>
      </c>
      <c r="J1877" s="54" t="s">
        <v>1027</v>
      </c>
    </row>
    <row r="1878" customFormat="false" ht="15" hidden="false" customHeight="true" outlineLevel="0" collapsed="false">
      <c r="A1878" s="54" t="n">
        <v>20260710</v>
      </c>
      <c r="B1878" s="54" t="s">
        <v>306</v>
      </c>
      <c r="C1878" s="54" t="s">
        <v>290</v>
      </c>
      <c r="D1878" s="54" t="s">
        <v>4382</v>
      </c>
      <c r="E1878" s="54" t="s">
        <v>4383</v>
      </c>
      <c r="F1878" s="54" t="s">
        <v>4384</v>
      </c>
      <c r="G1878" s="54" t="s">
        <v>3744</v>
      </c>
      <c r="H1878" s="54" t="n">
        <v>15339</v>
      </c>
      <c r="I1878" s="54" t="s">
        <v>295</v>
      </c>
      <c r="J1878" s="54" t="s">
        <v>1027</v>
      </c>
    </row>
    <row r="1879" customFormat="false" ht="15" hidden="false" customHeight="true" outlineLevel="0" collapsed="false">
      <c r="A1879" s="54" t="n">
        <v>20260710</v>
      </c>
      <c r="B1879" s="54" t="s">
        <v>306</v>
      </c>
      <c r="C1879" s="54" t="s">
        <v>290</v>
      </c>
      <c r="D1879" s="54" t="s">
        <v>4382</v>
      </c>
      <c r="E1879" s="54" t="s">
        <v>4383</v>
      </c>
      <c r="F1879" s="54" t="s">
        <v>4385</v>
      </c>
      <c r="G1879" s="54" t="s">
        <v>4386</v>
      </c>
      <c r="H1879" s="54" t="n">
        <v>12812</v>
      </c>
      <c r="I1879" s="54" t="s">
        <v>295</v>
      </c>
      <c r="J1879" s="54" t="s">
        <v>1027</v>
      </c>
    </row>
    <row r="1880" customFormat="false" ht="15" hidden="false" customHeight="true" outlineLevel="0" collapsed="false">
      <c r="A1880" s="54" t="n">
        <v>20260710</v>
      </c>
      <c r="B1880" s="54" t="s">
        <v>306</v>
      </c>
      <c r="C1880" s="54" t="s">
        <v>290</v>
      </c>
      <c r="D1880" s="54" t="s">
        <v>4382</v>
      </c>
      <c r="E1880" s="54" t="s">
        <v>4383</v>
      </c>
      <c r="F1880" s="54" t="s">
        <v>4387</v>
      </c>
      <c r="G1880" s="54" t="s">
        <v>4386</v>
      </c>
      <c r="H1880" s="54" t="n">
        <v>12811</v>
      </c>
      <c r="I1880" s="54" t="s">
        <v>315</v>
      </c>
      <c r="J1880" s="54" t="s">
        <v>1027</v>
      </c>
    </row>
    <row r="1881" customFormat="false" ht="15" hidden="false" customHeight="true" outlineLevel="0" collapsed="false">
      <c r="A1881" s="54" t="n">
        <v>20260710</v>
      </c>
      <c r="B1881" s="54" t="s">
        <v>306</v>
      </c>
      <c r="C1881" s="54" t="s">
        <v>290</v>
      </c>
      <c r="D1881" s="54" t="s">
        <v>4382</v>
      </c>
      <c r="E1881" s="54" t="s">
        <v>4383</v>
      </c>
      <c r="F1881" s="54" t="s">
        <v>4388</v>
      </c>
      <c r="G1881" s="54" t="s">
        <v>4389</v>
      </c>
      <c r="H1881" s="54" t="n">
        <v>1110</v>
      </c>
      <c r="I1881" s="54" t="s">
        <v>295</v>
      </c>
      <c r="J1881" s="54" t="s">
        <v>1027</v>
      </c>
    </row>
    <row r="1882" customFormat="false" ht="15" hidden="false" customHeight="true" outlineLevel="0" collapsed="false">
      <c r="A1882" s="54" t="n">
        <v>20260710</v>
      </c>
      <c r="B1882" s="54" t="s">
        <v>306</v>
      </c>
      <c r="C1882" s="54" t="s">
        <v>290</v>
      </c>
      <c r="D1882" s="54" t="s">
        <v>4382</v>
      </c>
      <c r="E1882" s="54" t="s">
        <v>4383</v>
      </c>
      <c r="F1882" s="54" t="s">
        <v>4390</v>
      </c>
      <c r="G1882" s="54" t="s">
        <v>4389</v>
      </c>
      <c r="H1882" s="54" t="n">
        <v>1108</v>
      </c>
      <c r="I1882" s="54" t="s">
        <v>315</v>
      </c>
      <c r="J1882" s="54" t="s">
        <v>1027</v>
      </c>
    </row>
    <row r="1883" customFormat="false" ht="15" hidden="false" customHeight="true" outlineLevel="0" collapsed="false">
      <c r="A1883" s="54" t="n">
        <v>20260710</v>
      </c>
      <c r="B1883" s="54" t="s">
        <v>289</v>
      </c>
      <c r="C1883" s="54" t="s">
        <v>307</v>
      </c>
      <c r="D1883" s="54" t="s">
        <v>4391</v>
      </c>
      <c r="E1883" s="54" t="s">
        <v>4392</v>
      </c>
      <c r="F1883" s="54" t="s">
        <v>4393</v>
      </c>
      <c r="G1883" s="54" t="s">
        <v>4394</v>
      </c>
      <c r="H1883" s="54" t="n">
        <v>16180</v>
      </c>
      <c r="I1883" s="54" t="s">
        <v>295</v>
      </c>
      <c r="J1883" s="54" t="s">
        <v>1191</v>
      </c>
    </row>
    <row r="1884" customFormat="false" ht="15" hidden="false" customHeight="true" outlineLevel="0" collapsed="false">
      <c r="A1884" s="54" t="n">
        <v>20260710</v>
      </c>
      <c r="B1884" s="54" t="s">
        <v>289</v>
      </c>
      <c r="C1884" s="54" t="s">
        <v>307</v>
      </c>
      <c r="D1884" s="54" t="s">
        <v>4391</v>
      </c>
      <c r="E1884" s="54" t="s">
        <v>4392</v>
      </c>
      <c r="F1884" s="54" t="s">
        <v>4395</v>
      </c>
      <c r="G1884" s="54" t="s">
        <v>4396</v>
      </c>
      <c r="H1884" s="54" t="n">
        <v>12577</v>
      </c>
      <c r="I1884" s="54" t="s">
        <v>295</v>
      </c>
      <c r="J1884" s="54" t="s">
        <v>1191</v>
      </c>
    </row>
    <row r="1885" customFormat="false" ht="15" hidden="false" customHeight="true" outlineLevel="0" collapsed="false">
      <c r="A1885" s="54" t="n">
        <v>20260710</v>
      </c>
      <c r="B1885" s="54" t="s">
        <v>188</v>
      </c>
      <c r="C1885" s="54" t="s">
        <v>307</v>
      </c>
      <c r="D1885" s="54" t="s">
        <v>4397</v>
      </c>
      <c r="E1885" s="54" t="s">
        <v>4398</v>
      </c>
      <c r="F1885" s="54" t="s">
        <v>2368</v>
      </c>
      <c r="G1885" s="54" t="s">
        <v>1293</v>
      </c>
      <c r="H1885" s="54" t="n">
        <v>18009</v>
      </c>
      <c r="I1885" s="54" t="s">
        <v>295</v>
      </c>
      <c r="J1885" s="54" t="s">
        <v>2393</v>
      </c>
    </row>
    <row r="1886" customFormat="false" ht="15" hidden="false" customHeight="true" outlineLevel="0" collapsed="false">
      <c r="A1886" s="54" t="n">
        <v>20260710</v>
      </c>
      <c r="B1886" s="54" t="s">
        <v>188</v>
      </c>
      <c r="C1886" s="54" t="s">
        <v>307</v>
      </c>
      <c r="D1886" s="54" t="s">
        <v>4397</v>
      </c>
      <c r="E1886" s="54" t="s">
        <v>4398</v>
      </c>
      <c r="F1886" s="54" t="s">
        <v>4399</v>
      </c>
      <c r="G1886" s="54" t="s">
        <v>3056</v>
      </c>
      <c r="H1886" s="54" t="n">
        <v>10727</v>
      </c>
      <c r="I1886" s="54" t="s">
        <v>295</v>
      </c>
      <c r="J1886" s="54" t="s">
        <v>2393</v>
      </c>
    </row>
    <row r="1887" customFormat="false" ht="15" hidden="false" customHeight="true" outlineLevel="0" collapsed="false">
      <c r="A1887" s="54" t="n">
        <v>20260710</v>
      </c>
      <c r="B1887" s="54" t="s">
        <v>306</v>
      </c>
      <c r="C1887" s="54" t="s">
        <v>290</v>
      </c>
      <c r="D1887" s="54" t="s">
        <v>4400</v>
      </c>
      <c r="E1887" s="54" t="s">
        <v>4401</v>
      </c>
      <c r="F1887" s="54" t="s">
        <v>4402</v>
      </c>
      <c r="G1887" s="54" t="s">
        <v>4403</v>
      </c>
      <c r="H1887" s="54" t="n">
        <v>28800</v>
      </c>
      <c r="I1887" s="54" t="s">
        <v>295</v>
      </c>
      <c r="J1887" s="54" t="s">
        <v>1027</v>
      </c>
    </row>
    <row r="1888" customFormat="false" ht="15" hidden="false" customHeight="true" outlineLevel="0" collapsed="false">
      <c r="A1888" s="54" t="n">
        <v>20260710</v>
      </c>
      <c r="B1888" s="54" t="s">
        <v>306</v>
      </c>
      <c r="C1888" s="54" t="s">
        <v>290</v>
      </c>
      <c r="D1888" s="54" t="s">
        <v>4400</v>
      </c>
      <c r="E1888" s="54" t="s">
        <v>4401</v>
      </c>
      <c r="F1888" s="54" t="s">
        <v>4404</v>
      </c>
      <c r="G1888" s="54" t="s">
        <v>4405</v>
      </c>
      <c r="H1888" s="54" t="n">
        <v>28825</v>
      </c>
      <c r="I1888" s="54" t="s">
        <v>315</v>
      </c>
      <c r="J1888" s="54" t="s">
        <v>1027</v>
      </c>
    </row>
    <row r="1889" customFormat="false" ht="15" hidden="false" customHeight="true" outlineLevel="0" collapsed="false">
      <c r="A1889" s="54" t="n">
        <v>20260710</v>
      </c>
      <c r="B1889" s="54" t="s">
        <v>535</v>
      </c>
      <c r="C1889" s="54" t="s">
        <v>290</v>
      </c>
      <c r="D1889" s="54" t="s">
        <v>4406</v>
      </c>
      <c r="E1889" s="54" t="s">
        <v>4407</v>
      </c>
      <c r="F1889" s="54" t="s">
        <v>4408</v>
      </c>
      <c r="G1889" s="54" t="s">
        <v>4409</v>
      </c>
      <c r="H1889" s="54" t="n">
        <v>17905</v>
      </c>
      <c r="I1889" s="54" t="s">
        <v>295</v>
      </c>
      <c r="J1889" s="54" t="s">
        <v>734</v>
      </c>
    </row>
    <row r="1890" customFormat="false" ht="15" hidden="false" customHeight="true" outlineLevel="0" collapsed="false">
      <c r="A1890" s="54" t="n">
        <v>20260710</v>
      </c>
      <c r="B1890" s="54" t="s">
        <v>535</v>
      </c>
      <c r="C1890" s="54" t="s">
        <v>290</v>
      </c>
      <c r="D1890" s="54" t="s">
        <v>4406</v>
      </c>
      <c r="E1890" s="54" t="s">
        <v>4407</v>
      </c>
      <c r="F1890" s="54" t="s">
        <v>4410</v>
      </c>
      <c r="G1890" s="54" t="s">
        <v>1667</v>
      </c>
      <c r="H1890" s="54" t="n">
        <v>10588</v>
      </c>
      <c r="I1890" s="54" t="s">
        <v>295</v>
      </c>
      <c r="J1890" s="54" t="s">
        <v>734</v>
      </c>
    </row>
    <row r="1891" customFormat="false" ht="15" hidden="false" customHeight="true" outlineLevel="0" collapsed="false">
      <c r="A1891" s="54" t="n">
        <v>20260710</v>
      </c>
      <c r="B1891" s="54" t="s">
        <v>306</v>
      </c>
      <c r="C1891" s="54" t="s">
        <v>290</v>
      </c>
      <c r="D1891" s="54" t="s">
        <v>4411</v>
      </c>
      <c r="E1891" s="54" t="s">
        <v>4412</v>
      </c>
      <c r="F1891" s="54" t="s">
        <v>4413</v>
      </c>
      <c r="G1891" s="54" t="s">
        <v>4414</v>
      </c>
      <c r="H1891" s="54" t="n">
        <v>9132</v>
      </c>
      <c r="I1891" s="54" t="s">
        <v>315</v>
      </c>
      <c r="J1891" s="54" t="s">
        <v>375</v>
      </c>
    </row>
    <row r="1892" customFormat="false" ht="15" hidden="false" customHeight="true" outlineLevel="0" collapsed="false">
      <c r="A1892" s="54" t="n">
        <v>20260710</v>
      </c>
      <c r="B1892" s="54" t="s">
        <v>306</v>
      </c>
      <c r="C1892" s="54" t="s">
        <v>290</v>
      </c>
      <c r="D1892" s="54" t="s">
        <v>4411</v>
      </c>
      <c r="E1892" s="54" t="s">
        <v>4412</v>
      </c>
      <c r="F1892" s="54" t="s">
        <v>4413</v>
      </c>
      <c r="G1892" s="54" t="s">
        <v>4414</v>
      </c>
      <c r="H1892" s="54" t="n">
        <v>9132</v>
      </c>
      <c r="I1892" s="54" t="s">
        <v>295</v>
      </c>
      <c r="J1892" s="54" t="s">
        <v>375</v>
      </c>
    </row>
    <row r="1893" customFormat="false" ht="15" hidden="false" customHeight="true" outlineLevel="0" collapsed="false">
      <c r="A1893" s="54" t="n">
        <v>20260710</v>
      </c>
      <c r="B1893" s="54" t="s">
        <v>306</v>
      </c>
      <c r="C1893" s="54" t="s">
        <v>290</v>
      </c>
      <c r="D1893" s="54" t="s">
        <v>4411</v>
      </c>
      <c r="E1893" s="54" t="s">
        <v>4412</v>
      </c>
      <c r="F1893" s="54" t="s">
        <v>4415</v>
      </c>
      <c r="G1893" s="54" t="s">
        <v>4416</v>
      </c>
      <c r="H1893" s="54" t="n">
        <v>11326</v>
      </c>
      <c r="I1893" s="54" t="s">
        <v>315</v>
      </c>
      <c r="J1893" s="54" t="s">
        <v>375</v>
      </c>
    </row>
    <row r="1894" customFormat="false" ht="15" hidden="false" customHeight="true" outlineLevel="0" collapsed="false">
      <c r="A1894" s="54" t="n">
        <v>20260710</v>
      </c>
      <c r="B1894" s="54" t="s">
        <v>306</v>
      </c>
      <c r="C1894" s="54" t="s">
        <v>290</v>
      </c>
      <c r="D1894" s="54" t="s">
        <v>4411</v>
      </c>
      <c r="E1894" s="54" t="s">
        <v>4412</v>
      </c>
      <c r="F1894" s="54" t="s">
        <v>4415</v>
      </c>
      <c r="G1894" s="54" t="s">
        <v>4416</v>
      </c>
      <c r="H1894" s="54" t="n">
        <v>11326</v>
      </c>
      <c r="I1894" s="54" t="s">
        <v>295</v>
      </c>
      <c r="J1894" s="54" t="s">
        <v>375</v>
      </c>
    </row>
    <row r="1895" customFormat="false" ht="15" hidden="false" customHeight="true" outlineLevel="0" collapsed="false">
      <c r="A1895" s="54" t="n">
        <v>20260710</v>
      </c>
      <c r="B1895" s="54" t="s">
        <v>688</v>
      </c>
      <c r="C1895" s="54" t="s">
        <v>290</v>
      </c>
      <c r="D1895" s="54" t="s">
        <v>4417</v>
      </c>
      <c r="E1895" s="54" t="s">
        <v>4418</v>
      </c>
      <c r="F1895" s="54" t="s">
        <v>4419</v>
      </c>
      <c r="G1895" s="54" t="s">
        <v>738</v>
      </c>
      <c r="H1895" s="54" t="n">
        <v>10631</v>
      </c>
      <c r="I1895" s="54" t="s">
        <v>295</v>
      </c>
      <c r="J1895" s="54" t="s">
        <v>779</v>
      </c>
    </row>
    <row r="1896" customFormat="false" ht="15" hidden="false" customHeight="true" outlineLevel="0" collapsed="false">
      <c r="A1896" s="54" t="n">
        <v>20260710</v>
      </c>
      <c r="B1896" s="54" t="s">
        <v>688</v>
      </c>
      <c r="C1896" s="54" t="s">
        <v>290</v>
      </c>
      <c r="D1896" s="54" t="s">
        <v>4417</v>
      </c>
      <c r="E1896" s="54" t="s">
        <v>4418</v>
      </c>
      <c r="F1896" s="54" t="s">
        <v>4420</v>
      </c>
      <c r="G1896" s="54" t="s">
        <v>4421</v>
      </c>
      <c r="H1896" s="54" t="n">
        <v>2120</v>
      </c>
      <c r="I1896" s="54" t="s">
        <v>295</v>
      </c>
      <c r="J1896" s="54" t="s">
        <v>779</v>
      </c>
    </row>
    <row r="1897" customFormat="false" ht="15" hidden="false" customHeight="true" outlineLevel="0" collapsed="false">
      <c r="A1897" s="54" t="n">
        <v>20260710</v>
      </c>
      <c r="B1897" s="54" t="s">
        <v>688</v>
      </c>
      <c r="C1897" s="54" t="s">
        <v>290</v>
      </c>
      <c r="D1897" s="54" t="s">
        <v>4417</v>
      </c>
      <c r="E1897" s="54" t="s">
        <v>4418</v>
      </c>
      <c r="F1897" s="54" t="s">
        <v>4422</v>
      </c>
      <c r="G1897" s="54" t="s">
        <v>2624</v>
      </c>
      <c r="H1897" s="54" t="n">
        <v>15691</v>
      </c>
      <c r="I1897" s="54" t="s">
        <v>295</v>
      </c>
      <c r="J1897" s="54" t="s">
        <v>779</v>
      </c>
    </row>
    <row r="1898" customFormat="false" ht="15" hidden="false" customHeight="true" outlineLevel="0" collapsed="false">
      <c r="A1898" s="54" t="n">
        <v>20260710</v>
      </c>
      <c r="B1898" s="54" t="s">
        <v>289</v>
      </c>
      <c r="C1898" s="54" t="s">
        <v>290</v>
      </c>
      <c r="D1898" s="54" t="s">
        <v>4423</v>
      </c>
      <c r="E1898" s="54" t="s">
        <v>4424</v>
      </c>
      <c r="F1898" s="54" t="s">
        <v>4425</v>
      </c>
      <c r="G1898" s="54" t="s">
        <v>4426</v>
      </c>
      <c r="H1898" s="54" t="n">
        <v>26</v>
      </c>
      <c r="I1898" s="54" t="s">
        <v>295</v>
      </c>
      <c r="J1898" s="54" t="s">
        <v>1016</v>
      </c>
    </row>
    <row r="1899" customFormat="false" ht="15" hidden="false" customHeight="true" outlineLevel="0" collapsed="false">
      <c r="A1899" s="54" t="n">
        <v>20260710</v>
      </c>
      <c r="B1899" s="54" t="s">
        <v>289</v>
      </c>
      <c r="C1899" s="54" t="s">
        <v>290</v>
      </c>
      <c r="D1899" s="54" t="s">
        <v>4423</v>
      </c>
      <c r="E1899" s="54" t="s">
        <v>4424</v>
      </c>
      <c r="F1899" s="54" t="s">
        <v>4427</v>
      </c>
      <c r="G1899" s="54" t="s">
        <v>4428</v>
      </c>
      <c r="H1899" s="54" t="n">
        <v>15006</v>
      </c>
      <c r="I1899" s="54" t="s">
        <v>295</v>
      </c>
      <c r="J1899" s="54" t="s">
        <v>1016</v>
      </c>
    </row>
    <row r="1900" customFormat="false" ht="15" hidden="false" customHeight="true" outlineLevel="0" collapsed="false">
      <c r="A1900" s="54" t="n">
        <v>20260710</v>
      </c>
      <c r="B1900" s="54" t="s">
        <v>289</v>
      </c>
      <c r="C1900" s="54" t="s">
        <v>290</v>
      </c>
      <c r="D1900" s="54" t="s">
        <v>4423</v>
      </c>
      <c r="E1900" s="54" t="s">
        <v>4424</v>
      </c>
      <c r="F1900" s="54" t="s">
        <v>4429</v>
      </c>
      <c r="G1900" s="54" t="s">
        <v>1044</v>
      </c>
      <c r="H1900" s="54" t="n">
        <v>14550</v>
      </c>
      <c r="I1900" s="54" t="s">
        <v>295</v>
      </c>
      <c r="J1900" s="54" t="s">
        <v>1016</v>
      </c>
    </row>
    <row r="1901" customFormat="false" ht="15" hidden="false" customHeight="true" outlineLevel="0" collapsed="false">
      <c r="A1901" s="54" t="n">
        <v>20260710</v>
      </c>
      <c r="B1901" s="54" t="s">
        <v>306</v>
      </c>
      <c r="C1901" s="54" t="s">
        <v>307</v>
      </c>
      <c r="D1901" s="54" t="s">
        <v>4430</v>
      </c>
      <c r="E1901" s="54" t="s">
        <v>4431</v>
      </c>
      <c r="F1901" s="54" t="s">
        <v>1830</v>
      </c>
      <c r="G1901" s="54" t="s">
        <v>4432</v>
      </c>
      <c r="H1901" s="54" t="n">
        <v>16502</v>
      </c>
      <c r="I1901" s="54" t="s">
        <v>295</v>
      </c>
      <c r="J1901" s="54" t="s">
        <v>392</v>
      </c>
    </row>
    <row r="1902" customFormat="false" ht="15" hidden="false" customHeight="true" outlineLevel="0" collapsed="false">
      <c r="A1902" s="54" t="n">
        <v>20260710</v>
      </c>
      <c r="B1902" s="54" t="s">
        <v>306</v>
      </c>
      <c r="C1902" s="54" t="s">
        <v>307</v>
      </c>
      <c r="D1902" s="54" t="s">
        <v>4430</v>
      </c>
      <c r="E1902" s="54" t="s">
        <v>4431</v>
      </c>
      <c r="F1902" s="54" t="s">
        <v>1830</v>
      </c>
      <c r="G1902" s="54" t="s">
        <v>4433</v>
      </c>
      <c r="H1902" s="54" t="n">
        <v>16523</v>
      </c>
      <c r="I1902" s="54" t="s">
        <v>315</v>
      </c>
      <c r="J1902" s="54" t="s">
        <v>392</v>
      </c>
    </row>
    <row r="1903" customFormat="false" ht="15" hidden="false" customHeight="true" outlineLevel="0" collapsed="false">
      <c r="A1903" s="54" t="n">
        <v>20260710</v>
      </c>
      <c r="B1903" s="54" t="s">
        <v>306</v>
      </c>
      <c r="C1903" s="54" t="s">
        <v>307</v>
      </c>
      <c r="D1903" s="54" t="s">
        <v>4430</v>
      </c>
      <c r="E1903" s="54" t="s">
        <v>4431</v>
      </c>
      <c r="F1903" s="54" t="s">
        <v>4434</v>
      </c>
      <c r="G1903" s="54" t="s">
        <v>4435</v>
      </c>
      <c r="H1903" s="54" t="n">
        <v>1431</v>
      </c>
      <c r="I1903" s="54" t="s">
        <v>295</v>
      </c>
      <c r="J1903" s="54" t="s">
        <v>392</v>
      </c>
    </row>
    <row r="1904" customFormat="false" ht="15" hidden="false" customHeight="true" outlineLevel="0" collapsed="false">
      <c r="A1904" s="54" t="n">
        <v>20260710</v>
      </c>
      <c r="B1904" s="54" t="s">
        <v>306</v>
      </c>
      <c r="C1904" s="54" t="s">
        <v>307</v>
      </c>
      <c r="D1904" s="54" t="s">
        <v>4430</v>
      </c>
      <c r="E1904" s="54" t="s">
        <v>4431</v>
      </c>
      <c r="F1904" s="54" t="s">
        <v>4436</v>
      </c>
      <c r="G1904" s="54" t="s">
        <v>4435</v>
      </c>
      <c r="H1904" s="54" t="n">
        <v>1429</v>
      </c>
      <c r="I1904" s="54" t="s">
        <v>315</v>
      </c>
      <c r="J1904" s="54" t="s">
        <v>392</v>
      </c>
    </row>
    <row r="1905" customFormat="false" ht="15" hidden="false" customHeight="true" outlineLevel="0" collapsed="false">
      <c r="A1905" s="54" t="n">
        <v>20260710</v>
      </c>
      <c r="B1905" s="54" t="s">
        <v>306</v>
      </c>
      <c r="C1905" s="54" t="s">
        <v>307</v>
      </c>
      <c r="D1905" s="54" t="s">
        <v>4430</v>
      </c>
      <c r="E1905" s="54" t="s">
        <v>4431</v>
      </c>
      <c r="F1905" s="54" t="s">
        <v>1111</v>
      </c>
      <c r="G1905" s="54" t="s">
        <v>4437</v>
      </c>
      <c r="H1905" s="54" t="n">
        <v>14503</v>
      </c>
      <c r="I1905" s="54" t="s">
        <v>315</v>
      </c>
      <c r="J1905" s="54" t="s">
        <v>392</v>
      </c>
    </row>
    <row r="1906" customFormat="false" ht="15" hidden="false" customHeight="true" outlineLevel="0" collapsed="false">
      <c r="A1906" s="54" t="n">
        <v>20260710</v>
      </c>
      <c r="B1906" s="54" t="s">
        <v>306</v>
      </c>
      <c r="C1906" s="54" t="s">
        <v>307</v>
      </c>
      <c r="D1906" s="54" t="s">
        <v>4430</v>
      </c>
      <c r="E1906" s="54" t="s">
        <v>4431</v>
      </c>
      <c r="F1906" s="54" t="s">
        <v>1111</v>
      </c>
      <c r="G1906" s="54" t="s">
        <v>4437</v>
      </c>
      <c r="H1906" s="54" t="n">
        <v>14503</v>
      </c>
      <c r="I1906" s="54" t="s">
        <v>295</v>
      </c>
      <c r="J1906" s="54" t="s">
        <v>392</v>
      </c>
    </row>
    <row r="1907" customFormat="false" ht="15" hidden="false" customHeight="true" outlineLevel="0" collapsed="false">
      <c r="A1907" s="54" t="n">
        <v>20260710</v>
      </c>
      <c r="B1907" s="54" t="s">
        <v>688</v>
      </c>
      <c r="C1907" s="54" t="s">
        <v>307</v>
      </c>
      <c r="D1907" s="54" t="s">
        <v>4438</v>
      </c>
      <c r="E1907" s="54" t="s">
        <v>4439</v>
      </c>
      <c r="F1907" s="54" t="s">
        <v>4440</v>
      </c>
      <c r="G1907" s="54" t="s">
        <v>1760</v>
      </c>
      <c r="H1907" s="54" t="n">
        <v>10752</v>
      </c>
      <c r="I1907" s="54" t="s">
        <v>295</v>
      </c>
      <c r="J1907" s="54" t="s">
        <v>142</v>
      </c>
    </row>
    <row r="1908" customFormat="false" ht="15" hidden="false" customHeight="true" outlineLevel="0" collapsed="false">
      <c r="A1908" s="54" t="n">
        <v>20260710</v>
      </c>
      <c r="B1908" s="54" t="s">
        <v>688</v>
      </c>
      <c r="C1908" s="54" t="s">
        <v>307</v>
      </c>
      <c r="D1908" s="54" t="s">
        <v>4438</v>
      </c>
      <c r="E1908" s="54" t="s">
        <v>4439</v>
      </c>
      <c r="F1908" s="54" t="s">
        <v>4441</v>
      </c>
      <c r="G1908" s="54" t="s">
        <v>4442</v>
      </c>
      <c r="H1908" s="54" t="n">
        <v>14234</v>
      </c>
      <c r="I1908" s="54" t="s">
        <v>295</v>
      </c>
      <c r="J1908" s="54" t="s">
        <v>142</v>
      </c>
    </row>
    <row r="1909" customFormat="false" ht="15" hidden="false" customHeight="true" outlineLevel="0" collapsed="false">
      <c r="A1909" s="54" t="n">
        <v>20260710</v>
      </c>
      <c r="B1909" s="54" t="s">
        <v>688</v>
      </c>
      <c r="C1909" s="54" t="s">
        <v>307</v>
      </c>
      <c r="D1909" s="54" t="s">
        <v>4438</v>
      </c>
      <c r="E1909" s="54" t="s">
        <v>4439</v>
      </c>
      <c r="F1909" s="54" t="s">
        <v>4443</v>
      </c>
      <c r="G1909" s="54" t="s">
        <v>4444</v>
      </c>
      <c r="H1909" s="54" t="n">
        <v>2907</v>
      </c>
      <c r="I1909" s="54" t="s">
        <v>295</v>
      </c>
      <c r="J1909" s="54" t="s">
        <v>142</v>
      </c>
    </row>
    <row r="1910" customFormat="false" ht="15" hidden="false" customHeight="true" outlineLevel="0" collapsed="false">
      <c r="A1910" s="54" t="n">
        <v>20260710</v>
      </c>
      <c r="B1910" s="54" t="s">
        <v>688</v>
      </c>
      <c r="C1910" s="54" t="s">
        <v>307</v>
      </c>
      <c r="D1910" s="54" t="s">
        <v>4445</v>
      </c>
      <c r="E1910" s="54" t="s">
        <v>153</v>
      </c>
      <c r="F1910" s="54" t="s">
        <v>4446</v>
      </c>
      <c r="G1910" s="54" t="s">
        <v>2836</v>
      </c>
      <c r="H1910" s="54" t="n">
        <v>18547</v>
      </c>
      <c r="I1910" s="54" t="s">
        <v>295</v>
      </c>
      <c r="J1910" s="54" t="s">
        <v>142</v>
      </c>
    </row>
    <row r="1911" customFormat="false" ht="15" hidden="false" customHeight="true" outlineLevel="0" collapsed="false">
      <c r="A1911" s="54" t="n">
        <v>20260710</v>
      </c>
      <c r="B1911" s="54" t="s">
        <v>688</v>
      </c>
      <c r="C1911" s="54" t="s">
        <v>307</v>
      </c>
      <c r="D1911" s="54" t="s">
        <v>4445</v>
      </c>
      <c r="E1911" s="54" t="s">
        <v>153</v>
      </c>
      <c r="F1911" s="54" t="s">
        <v>3745</v>
      </c>
      <c r="G1911" s="54" t="s">
        <v>929</v>
      </c>
      <c r="H1911" s="54" t="n">
        <v>14433</v>
      </c>
      <c r="I1911" s="54" t="s">
        <v>295</v>
      </c>
      <c r="J1911" s="54" t="s">
        <v>142</v>
      </c>
    </row>
    <row r="1912" customFormat="false" ht="15" hidden="false" customHeight="true" outlineLevel="0" collapsed="false">
      <c r="A1912" s="54" t="n">
        <v>20260710</v>
      </c>
      <c r="B1912" s="54" t="s">
        <v>168</v>
      </c>
      <c r="C1912" s="54" t="s">
        <v>307</v>
      </c>
      <c r="D1912" s="54" t="s">
        <v>4447</v>
      </c>
      <c r="E1912" s="54" t="s">
        <v>4448</v>
      </c>
      <c r="F1912" s="54" t="s">
        <v>3201</v>
      </c>
      <c r="G1912" s="54" t="s">
        <v>804</v>
      </c>
      <c r="H1912" s="54" t="n">
        <v>14582</v>
      </c>
      <c r="I1912" s="54" t="s">
        <v>295</v>
      </c>
      <c r="J1912" s="54" t="s">
        <v>326</v>
      </c>
    </row>
    <row r="1913" customFormat="false" ht="15" hidden="false" customHeight="true" outlineLevel="0" collapsed="false">
      <c r="A1913" s="54" t="n">
        <v>20260710</v>
      </c>
      <c r="B1913" s="54" t="s">
        <v>168</v>
      </c>
      <c r="C1913" s="54" t="s">
        <v>307</v>
      </c>
      <c r="D1913" s="54" t="s">
        <v>4447</v>
      </c>
      <c r="E1913" s="54" t="s">
        <v>4448</v>
      </c>
      <c r="F1913" s="54" t="s">
        <v>4449</v>
      </c>
      <c r="G1913" s="54" t="s">
        <v>1128</v>
      </c>
      <c r="H1913" s="54" t="n">
        <v>14653</v>
      </c>
      <c r="I1913" s="54" t="s">
        <v>295</v>
      </c>
      <c r="J1913" s="54" t="s">
        <v>326</v>
      </c>
    </row>
    <row r="1914" customFormat="false" ht="15" hidden="false" customHeight="true" outlineLevel="0" collapsed="false">
      <c r="A1914" s="54" t="n">
        <v>20260710</v>
      </c>
      <c r="B1914" s="54" t="s">
        <v>306</v>
      </c>
      <c r="C1914" s="54" t="s">
        <v>290</v>
      </c>
      <c r="D1914" s="54" t="s">
        <v>4450</v>
      </c>
      <c r="E1914" s="54" t="s">
        <v>4451</v>
      </c>
      <c r="F1914" s="54" t="s">
        <v>4452</v>
      </c>
      <c r="G1914" s="54" t="s">
        <v>754</v>
      </c>
      <c r="H1914" s="54" t="n">
        <v>15992</v>
      </c>
      <c r="I1914" s="54" t="s">
        <v>295</v>
      </c>
      <c r="J1914" s="54" t="s">
        <v>375</v>
      </c>
    </row>
    <row r="1915" customFormat="false" ht="15" hidden="false" customHeight="true" outlineLevel="0" collapsed="false">
      <c r="A1915" s="54" t="n">
        <v>20260710</v>
      </c>
      <c r="B1915" s="54" t="s">
        <v>306</v>
      </c>
      <c r="C1915" s="54" t="s">
        <v>290</v>
      </c>
      <c r="D1915" s="54" t="s">
        <v>4450</v>
      </c>
      <c r="E1915" s="54" t="s">
        <v>4451</v>
      </c>
      <c r="F1915" s="54" t="s">
        <v>4453</v>
      </c>
      <c r="G1915" s="54" t="s">
        <v>4454</v>
      </c>
      <c r="H1915" s="54" t="n">
        <v>14672</v>
      </c>
      <c r="I1915" s="54" t="s">
        <v>295</v>
      </c>
      <c r="J1915" s="54" t="s">
        <v>375</v>
      </c>
    </row>
    <row r="1916" customFormat="false" ht="15" hidden="false" customHeight="true" outlineLevel="0" collapsed="false">
      <c r="A1916" s="54" t="n">
        <v>20260710</v>
      </c>
      <c r="B1916" s="54" t="s">
        <v>592</v>
      </c>
      <c r="C1916" s="54" t="s">
        <v>290</v>
      </c>
      <c r="D1916" s="54" t="s">
        <v>4455</v>
      </c>
      <c r="E1916" s="54" t="s">
        <v>4456</v>
      </c>
      <c r="F1916" s="54" t="s">
        <v>4457</v>
      </c>
      <c r="G1916" s="54" t="s">
        <v>4458</v>
      </c>
      <c r="H1916" s="54" t="n">
        <v>14582</v>
      </c>
      <c r="I1916" s="54" t="s">
        <v>295</v>
      </c>
      <c r="J1916" s="54" t="s">
        <v>1381</v>
      </c>
    </row>
    <row r="1917" customFormat="false" ht="15" hidden="false" customHeight="true" outlineLevel="0" collapsed="false">
      <c r="A1917" s="54" t="n">
        <v>20260710</v>
      </c>
      <c r="B1917" s="54" t="s">
        <v>592</v>
      </c>
      <c r="C1917" s="54" t="s">
        <v>290</v>
      </c>
      <c r="D1917" s="54" t="s">
        <v>4455</v>
      </c>
      <c r="E1917" s="54" t="s">
        <v>4456</v>
      </c>
      <c r="F1917" s="54" t="s">
        <v>4459</v>
      </c>
      <c r="G1917" s="54" t="s">
        <v>4460</v>
      </c>
      <c r="H1917" s="54" t="n">
        <v>14359</v>
      </c>
      <c r="I1917" s="54" t="s">
        <v>295</v>
      </c>
      <c r="J1917" s="54" t="s">
        <v>1381</v>
      </c>
    </row>
    <row r="1918" customFormat="false" ht="15" hidden="false" customHeight="true" outlineLevel="0" collapsed="false">
      <c r="A1918" s="54" t="n">
        <v>20260710</v>
      </c>
      <c r="B1918" s="54" t="s">
        <v>289</v>
      </c>
      <c r="C1918" s="54" t="s">
        <v>290</v>
      </c>
      <c r="D1918" s="54" t="s">
        <v>4461</v>
      </c>
      <c r="E1918" s="54" t="s">
        <v>4462</v>
      </c>
      <c r="F1918" s="54" t="s">
        <v>4463</v>
      </c>
      <c r="G1918" s="54" t="s">
        <v>1799</v>
      </c>
      <c r="H1918" s="54" t="n">
        <v>18728</v>
      </c>
      <c r="I1918" s="54" t="s">
        <v>295</v>
      </c>
      <c r="J1918" s="54" t="s">
        <v>509</v>
      </c>
    </row>
    <row r="1919" customFormat="false" ht="15" hidden="false" customHeight="true" outlineLevel="0" collapsed="false">
      <c r="A1919" s="54" t="n">
        <v>20260710</v>
      </c>
      <c r="B1919" s="54" t="s">
        <v>289</v>
      </c>
      <c r="C1919" s="54" t="s">
        <v>290</v>
      </c>
      <c r="D1919" s="54" t="s">
        <v>4461</v>
      </c>
      <c r="E1919" s="54" t="s">
        <v>4462</v>
      </c>
      <c r="F1919" s="54" t="s">
        <v>4464</v>
      </c>
      <c r="G1919" s="54" t="s">
        <v>4465</v>
      </c>
      <c r="H1919" s="54" t="n">
        <v>10520</v>
      </c>
      <c r="I1919" s="54" t="s">
        <v>295</v>
      </c>
      <c r="J1919" s="54" t="s">
        <v>509</v>
      </c>
    </row>
    <row r="1920" customFormat="false" ht="15" hidden="false" customHeight="true" outlineLevel="0" collapsed="false">
      <c r="A1920" s="54" t="n">
        <v>20260710</v>
      </c>
      <c r="B1920" s="54" t="s">
        <v>289</v>
      </c>
      <c r="C1920" s="54" t="s">
        <v>290</v>
      </c>
      <c r="D1920" s="54" t="s">
        <v>455</v>
      </c>
      <c r="E1920" s="54" t="s">
        <v>456</v>
      </c>
      <c r="F1920" s="54" t="s">
        <v>900</v>
      </c>
      <c r="G1920" s="54" t="s">
        <v>4466</v>
      </c>
      <c r="H1920" s="54" t="n">
        <v>16817</v>
      </c>
      <c r="I1920" s="54" t="s">
        <v>295</v>
      </c>
      <c r="J1920" s="54" t="s">
        <v>459</v>
      </c>
    </row>
    <row r="1921" customFormat="false" ht="15" hidden="false" customHeight="true" outlineLevel="0" collapsed="false">
      <c r="A1921" s="54" t="n">
        <v>20260710</v>
      </c>
      <c r="B1921" s="54" t="s">
        <v>289</v>
      </c>
      <c r="C1921" s="54" t="s">
        <v>290</v>
      </c>
      <c r="D1921" s="54" t="s">
        <v>455</v>
      </c>
      <c r="E1921" s="54" t="s">
        <v>456</v>
      </c>
      <c r="F1921" s="54" t="s">
        <v>2737</v>
      </c>
      <c r="G1921" s="54" t="s">
        <v>4466</v>
      </c>
      <c r="H1921" s="54" t="n">
        <v>16816</v>
      </c>
      <c r="I1921" s="54" t="s">
        <v>360</v>
      </c>
      <c r="J1921" s="54" t="s">
        <v>459</v>
      </c>
    </row>
    <row r="1922" customFormat="false" ht="15" hidden="false" customHeight="true" outlineLevel="0" collapsed="false">
      <c r="A1922" s="54" t="n">
        <v>20260710</v>
      </c>
      <c r="B1922" s="54" t="s">
        <v>289</v>
      </c>
      <c r="C1922" s="54" t="s">
        <v>290</v>
      </c>
      <c r="D1922" s="54" t="s">
        <v>455</v>
      </c>
      <c r="E1922" s="54" t="s">
        <v>456</v>
      </c>
      <c r="F1922" s="54" t="s">
        <v>4467</v>
      </c>
      <c r="G1922" s="54" t="s">
        <v>3435</v>
      </c>
      <c r="H1922" s="54" t="n">
        <v>6487</v>
      </c>
      <c r="I1922" s="54" t="s">
        <v>360</v>
      </c>
      <c r="J1922" s="54" t="s">
        <v>459</v>
      </c>
    </row>
    <row r="1923" customFormat="false" ht="15" hidden="false" customHeight="true" outlineLevel="0" collapsed="false">
      <c r="A1923" s="54" t="n">
        <v>20260710</v>
      </c>
      <c r="B1923" s="54" t="s">
        <v>289</v>
      </c>
      <c r="C1923" s="54" t="s">
        <v>290</v>
      </c>
      <c r="D1923" s="54" t="s">
        <v>455</v>
      </c>
      <c r="E1923" s="54" t="s">
        <v>456</v>
      </c>
      <c r="F1923" s="54" t="s">
        <v>4467</v>
      </c>
      <c r="G1923" s="54" t="s">
        <v>3435</v>
      </c>
      <c r="H1923" s="54" t="n">
        <v>6487</v>
      </c>
      <c r="I1923" s="54" t="s">
        <v>295</v>
      </c>
      <c r="J1923" s="54" t="s">
        <v>459</v>
      </c>
    </row>
    <row r="1924" customFormat="false" ht="15" hidden="false" customHeight="true" outlineLevel="0" collapsed="false">
      <c r="A1924" s="54" t="n">
        <v>20260710</v>
      </c>
      <c r="B1924" s="54" t="s">
        <v>289</v>
      </c>
      <c r="C1924" s="54" t="s">
        <v>290</v>
      </c>
      <c r="D1924" s="54" t="s">
        <v>455</v>
      </c>
      <c r="E1924" s="54" t="s">
        <v>456</v>
      </c>
      <c r="F1924" s="54" t="s">
        <v>4468</v>
      </c>
      <c r="G1924" s="54" t="s">
        <v>4469</v>
      </c>
      <c r="H1924" s="54" t="n">
        <v>1493</v>
      </c>
      <c r="I1924" s="54" t="s">
        <v>295</v>
      </c>
      <c r="J1924" s="54" t="s">
        <v>459</v>
      </c>
    </row>
    <row r="1925" customFormat="false" ht="15" hidden="false" customHeight="true" outlineLevel="0" collapsed="false">
      <c r="A1925" s="54" t="n">
        <v>20260710</v>
      </c>
      <c r="B1925" s="54" t="s">
        <v>289</v>
      </c>
      <c r="C1925" s="54" t="s">
        <v>290</v>
      </c>
      <c r="D1925" s="54" t="s">
        <v>455</v>
      </c>
      <c r="E1925" s="54" t="s">
        <v>456</v>
      </c>
      <c r="F1925" s="54" t="s">
        <v>4470</v>
      </c>
      <c r="G1925" s="54" t="s">
        <v>4469</v>
      </c>
      <c r="H1925" s="54" t="n">
        <v>1492</v>
      </c>
      <c r="I1925" s="54" t="s">
        <v>360</v>
      </c>
      <c r="J1925" s="54" t="s">
        <v>459</v>
      </c>
    </row>
    <row r="1926" customFormat="false" ht="15" hidden="false" customHeight="true" outlineLevel="0" collapsed="false">
      <c r="A1926" s="54" t="n">
        <v>20260710</v>
      </c>
      <c r="B1926" s="54" t="s">
        <v>289</v>
      </c>
      <c r="C1926" s="54" t="s">
        <v>290</v>
      </c>
      <c r="D1926" s="54" t="s">
        <v>455</v>
      </c>
      <c r="E1926" s="54" t="s">
        <v>456</v>
      </c>
      <c r="F1926" s="54" t="s">
        <v>4471</v>
      </c>
      <c r="G1926" s="54" t="s">
        <v>4472</v>
      </c>
      <c r="H1926" s="54" t="n">
        <v>3469</v>
      </c>
      <c r="I1926" s="54" t="s">
        <v>295</v>
      </c>
      <c r="J1926" s="54" t="s">
        <v>459</v>
      </c>
    </row>
    <row r="1927" customFormat="false" ht="15" hidden="false" customHeight="true" outlineLevel="0" collapsed="false">
      <c r="A1927" s="54" t="n">
        <v>20260710</v>
      </c>
      <c r="B1927" s="54" t="s">
        <v>289</v>
      </c>
      <c r="C1927" s="54" t="s">
        <v>290</v>
      </c>
      <c r="D1927" s="54" t="s">
        <v>455</v>
      </c>
      <c r="E1927" s="54" t="s">
        <v>456</v>
      </c>
      <c r="F1927" s="54" t="s">
        <v>4473</v>
      </c>
      <c r="G1927" s="54" t="s">
        <v>4472</v>
      </c>
      <c r="H1927" s="54" t="n">
        <v>3468</v>
      </c>
      <c r="I1927" s="54" t="s">
        <v>360</v>
      </c>
      <c r="J1927" s="54" t="s">
        <v>459</v>
      </c>
    </row>
    <row r="1928" customFormat="false" ht="15" hidden="false" customHeight="true" outlineLevel="0" collapsed="false">
      <c r="A1928" s="54" t="n">
        <v>20260710</v>
      </c>
      <c r="B1928" s="54" t="s">
        <v>289</v>
      </c>
      <c r="C1928" s="54" t="s">
        <v>307</v>
      </c>
      <c r="D1928" s="54" t="s">
        <v>4474</v>
      </c>
      <c r="E1928" s="54" t="s">
        <v>4475</v>
      </c>
      <c r="F1928" s="54" t="s">
        <v>4476</v>
      </c>
      <c r="G1928" s="54" t="s">
        <v>4477</v>
      </c>
      <c r="H1928" s="54" t="n">
        <v>16097</v>
      </c>
      <c r="I1928" s="54" t="s">
        <v>295</v>
      </c>
      <c r="J1928" s="54" t="s">
        <v>1074</v>
      </c>
    </row>
    <row r="1929" customFormat="false" ht="15" hidden="false" customHeight="true" outlineLevel="0" collapsed="false">
      <c r="A1929" s="54" t="n">
        <v>20260710</v>
      </c>
      <c r="B1929" s="54" t="s">
        <v>289</v>
      </c>
      <c r="C1929" s="54" t="s">
        <v>307</v>
      </c>
      <c r="D1929" s="54" t="s">
        <v>4474</v>
      </c>
      <c r="E1929" s="54" t="s">
        <v>4475</v>
      </c>
      <c r="F1929" s="54" t="s">
        <v>4478</v>
      </c>
      <c r="G1929" s="54" t="s">
        <v>1078</v>
      </c>
      <c r="H1929" s="54" t="n">
        <v>13546</v>
      </c>
      <c r="I1929" s="54" t="s">
        <v>295</v>
      </c>
      <c r="J1929" s="54" t="s">
        <v>1074</v>
      </c>
    </row>
    <row r="1930" customFormat="false" ht="15" hidden="false" customHeight="true" outlineLevel="0" collapsed="false">
      <c r="A1930" s="54" t="n">
        <v>20260710</v>
      </c>
      <c r="B1930" s="54" t="s">
        <v>289</v>
      </c>
      <c r="C1930" s="54" t="s">
        <v>290</v>
      </c>
      <c r="D1930" s="54" t="s">
        <v>4479</v>
      </c>
      <c r="E1930" s="54" t="s">
        <v>4480</v>
      </c>
      <c r="F1930" s="54" t="s">
        <v>1113</v>
      </c>
      <c r="G1930" s="54" t="s">
        <v>3021</v>
      </c>
      <c r="H1930" s="54" t="n">
        <v>19402</v>
      </c>
      <c r="I1930" s="54" t="s">
        <v>295</v>
      </c>
      <c r="J1930" s="54" t="s">
        <v>1355</v>
      </c>
    </row>
    <row r="1931" customFormat="false" ht="15" hidden="false" customHeight="true" outlineLevel="0" collapsed="false">
      <c r="A1931" s="54" t="n">
        <v>20260710</v>
      </c>
      <c r="B1931" s="54" t="s">
        <v>289</v>
      </c>
      <c r="C1931" s="54" t="s">
        <v>290</v>
      </c>
      <c r="D1931" s="54" t="s">
        <v>4479</v>
      </c>
      <c r="E1931" s="54" t="s">
        <v>4480</v>
      </c>
      <c r="F1931" s="54" t="s">
        <v>4481</v>
      </c>
      <c r="G1931" s="54" t="s">
        <v>4482</v>
      </c>
      <c r="H1931" s="54" t="n">
        <v>9761</v>
      </c>
      <c r="I1931" s="54" t="s">
        <v>295</v>
      </c>
      <c r="J1931" s="54" t="s">
        <v>1355</v>
      </c>
    </row>
    <row r="1932" customFormat="false" ht="15" hidden="false" customHeight="true" outlineLevel="0" collapsed="false">
      <c r="A1932" s="54" t="n">
        <v>20260710</v>
      </c>
      <c r="B1932" s="54" t="s">
        <v>289</v>
      </c>
      <c r="C1932" s="54" t="s">
        <v>290</v>
      </c>
      <c r="D1932" s="54" t="s">
        <v>4483</v>
      </c>
      <c r="E1932" s="54" t="s">
        <v>4484</v>
      </c>
      <c r="F1932" s="54" t="s">
        <v>4485</v>
      </c>
      <c r="G1932" s="54" t="s">
        <v>4486</v>
      </c>
      <c r="H1932" s="54" t="n">
        <v>19835</v>
      </c>
      <c r="I1932" s="54" t="s">
        <v>295</v>
      </c>
      <c r="J1932" s="54" t="s">
        <v>578</v>
      </c>
    </row>
    <row r="1933" customFormat="false" ht="15" hidden="false" customHeight="true" outlineLevel="0" collapsed="false">
      <c r="A1933" s="54" t="n">
        <v>20260710</v>
      </c>
      <c r="B1933" s="54" t="s">
        <v>289</v>
      </c>
      <c r="C1933" s="54" t="s">
        <v>290</v>
      </c>
      <c r="D1933" s="54" t="s">
        <v>4483</v>
      </c>
      <c r="E1933" s="54" t="s">
        <v>4484</v>
      </c>
      <c r="F1933" s="54" t="s">
        <v>4487</v>
      </c>
      <c r="G1933" s="54" t="s">
        <v>1037</v>
      </c>
      <c r="H1933" s="54" t="n">
        <v>10067</v>
      </c>
      <c r="I1933" s="54" t="s">
        <v>295</v>
      </c>
      <c r="J1933" s="54" t="s">
        <v>578</v>
      </c>
    </row>
    <row r="1934" customFormat="false" ht="15" hidden="false" customHeight="true" outlineLevel="0" collapsed="false">
      <c r="A1934" s="54" t="n">
        <v>20260710</v>
      </c>
      <c r="B1934" s="54" t="s">
        <v>535</v>
      </c>
      <c r="C1934" s="54" t="s">
        <v>290</v>
      </c>
      <c r="D1934" s="54" t="s">
        <v>4488</v>
      </c>
      <c r="E1934" s="54" t="s">
        <v>4489</v>
      </c>
      <c r="F1934" s="54" t="s">
        <v>2998</v>
      </c>
      <c r="G1934" s="54" t="s">
        <v>3894</v>
      </c>
      <c r="H1934" s="54" t="n">
        <v>9</v>
      </c>
      <c r="I1934" s="54" t="s">
        <v>295</v>
      </c>
      <c r="J1934" s="54" t="s">
        <v>779</v>
      </c>
    </row>
    <row r="1935" customFormat="false" ht="15" hidden="false" customHeight="true" outlineLevel="0" collapsed="false">
      <c r="A1935" s="54" t="n">
        <v>20260710</v>
      </c>
      <c r="B1935" s="54" t="s">
        <v>535</v>
      </c>
      <c r="C1935" s="54" t="s">
        <v>290</v>
      </c>
      <c r="D1935" s="54" t="s">
        <v>4488</v>
      </c>
      <c r="E1935" s="54" t="s">
        <v>4489</v>
      </c>
      <c r="F1935" s="54" t="s">
        <v>2026</v>
      </c>
      <c r="G1935" s="54" t="s">
        <v>2299</v>
      </c>
      <c r="H1935" s="54" t="n">
        <v>18013</v>
      </c>
      <c r="I1935" s="54" t="s">
        <v>295</v>
      </c>
      <c r="J1935" s="54" t="s">
        <v>779</v>
      </c>
    </row>
    <row r="1936" customFormat="false" ht="15" hidden="false" customHeight="true" outlineLevel="0" collapsed="false">
      <c r="A1936" s="54" t="n">
        <v>20260710</v>
      </c>
      <c r="B1936" s="54" t="s">
        <v>535</v>
      </c>
      <c r="C1936" s="54" t="s">
        <v>290</v>
      </c>
      <c r="D1936" s="54" t="s">
        <v>4488</v>
      </c>
      <c r="E1936" s="54" t="s">
        <v>4489</v>
      </c>
      <c r="F1936" s="54" t="s">
        <v>4490</v>
      </c>
      <c r="G1936" s="54" t="s">
        <v>1553</v>
      </c>
      <c r="H1936" s="54" t="n">
        <v>10718</v>
      </c>
      <c r="I1936" s="54" t="s">
        <v>295</v>
      </c>
      <c r="J1936" s="54" t="s">
        <v>779</v>
      </c>
    </row>
    <row r="1937" customFormat="false" ht="15" hidden="false" customHeight="true" outlineLevel="0" collapsed="false">
      <c r="A1937" s="54" t="n">
        <v>20260710</v>
      </c>
      <c r="B1937" s="54" t="s">
        <v>306</v>
      </c>
      <c r="C1937" s="54" t="s">
        <v>290</v>
      </c>
      <c r="D1937" s="54" t="s">
        <v>4491</v>
      </c>
      <c r="E1937" s="54" t="s">
        <v>4492</v>
      </c>
      <c r="F1937" s="54" t="s">
        <v>4493</v>
      </c>
      <c r="G1937" s="54" t="s">
        <v>4494</v>
      </c>
      <c r="H1937" s="54" t="n">
        <v>16715</v>
      </c>
      <c r="I1937" s="54" t="s">
        <v>295</v>
      </c>
      <c r="J1937" s="54" t="s">
        <v>1027</v>
      </c>
    </row>
    <row r="1938" customFormat="false" ht="15" hidden="false" customHeight="true" outlineLevel="0" collapsed="false">
      <c r="A1938" s="54" t="n">
        <v>20260710</v>
      </c>
      <c r="B1938" s="54" t="s">
        <v>306</v>
      </c>
      <c r="C1938" s="54" t="s">
        <v>290</v>
      </c>
      <c r="D1938" s="54" t="s">
        <v>4491</v>
      </c>
      <c r="E1938" s="54" t="s">
        <v>4492</v>
      </c>
      <c r="F1938" s="54" t="s">
        <v>4495</v>
      </c>
      <c r="G1938" s="54" t="s">
        <v>4494</v>
      </c>
      <c r="H1938" s="54" t="n">
        <v>16714</v>
      </c>
      <c r="I1938" s="54" t="s">
        <v>315</v>
      </c>
      <c r="J1938" s="54" t="s">
        <v>1027</v>
      </c>
    </row>
    <row r="1939" customFormat="false" ht="15" hidden="false" customHeight="true" outlineLevel="0" collapsed="false">
      <c r="A1939" s="54" t="n">
        <v>20260710</v>
      </c>
      <c r="B1939" s="54" t="s">
        <v>306</v>
      </c>
      <c r="C1939" s="54" t="s">
        <v>290</v>
      </c>
      <c r="D1939" s="54" t="s">
        <v>4491</v>
      </c>
      <c r="E1939" s="54" t="s">
        <v>4492</v>
      </c>
      <c r="F1939" s="54" t="s">
        <v>4496</v>
      </c>
      <c r="G1939" s="54" t="s">
        <v>4497</v>
      </c>
      <c r="H1939" s="54" t="n">
        <v>12223</v>
      </c>
      <c r="I1939" s="54" t="s">
        <v>295</v>
      </c>
      <c r="J1939" s="54" t="s">
        <v>1027</v>
      </c>
    </row>
    <row r="1940" customFormat="false" ht="15" hidden="false" customHeight="true" outlineLevel="0" collapsed="false">
      <c r="A1940" s="54" t="n">
        <v>20260710</v>
      </c>
      <c r="B1940" s="54" t="s">
        <v>306</v>
      </c>
      <c r="C1940" s="54" t="s">
        <v>290</v>
      </c>
      <c r="D1940" s="54" t="s">
        <v>4491</v>
      </c>
      <c r="E1940" s="54" t="s">
        <v>4492</v>
      </c>
      <c r="F1940" s="54" t="s">
        <v>4498</v>
      </c>
      <c r="G1940" s="54" t="s">
        <v>4497</v>
      </c>
      <c r="H1940" s="54" t="n">
        <v>12222</v>
      </c>
      <c r="I1940" s="54" t="s">
        <v>315</v>
      </c>
      <c r="J1940" s="54" t="s">
        <v>1027</v>
      </c>
    </row>
    <row r="1941" customFormat="false" ht="15" hidden="false" customHeight="true" outlineLevel="0" collapsed="false">
      <c r="A1941" s="54" t="n">
        <v>20260710</v>
      </c>
      <c r="B1941" s="54" t="s">
        <v>497</v>
      </c>
      <c r="C1941" s="54" t="s">
        <v>307</v>
      </c>
      <c r="D1941" s="54" t="s">
        <v>4499</v>
      </c>
      <c r="E1941" s="54" t="s">
        <v>4500</v>
      </c>
      <c r="F1941" s="54" t="s">
        <v>4501</v>
      </c>
      <c r="G1941" s="54" t="s">
        <v>4502</v>
      </c>
      <c r="H1941" s="54" t="n">
        <v>17237</v>
      </c>
      <c r="I1941" s="54" t="s">
        <v>295</v>
      </c>
      <c r="J1941" s="54" t="s">
        <v>894</v>
      </c>
    </row>
    <row r="1942" customFormat="false" ht="15" hidden="false" customHeight="true" outlineLevel="0" collapsed="false">
      <c r="A1942" s="54" t="n">
        <v>20260710</v>
      </c>
      <c r="B1942" s="54" t="s">
        <v>497</v>
      </c>
      <c r="C1942" s="54" t="s">
        <v>307</v>
      </c>
      <c r="D1942" s="54" t="s">
        <v>4499</v>
      </c>
      <c r="E1942" s="54" t="s">
        <v>4500</v>
      </c>
      <c r="F1942" s="54" t="s">
        <v>4503</v>
      </c>
      <c r="G1942" s="54" t="s">
        <v>3830</v>
      </c>
      <c r="H1942" s="54" t="n">
        <v>12888</v>
      </c>
      <c r="I1942" s="54" t="s">
        <v>295</v>
      </c>
      <c r="J1942" s="54" t="s">
        <v>894</v>
      </c>
    </row>
    <row r="1943" customFormat="false" ht="15" hidden="false" customHeight="true" outlineLevel="0" collapsed="false">
      <c r="A1943" s="54" t="n">
        <v>20260710</v>
      </c>
      <c r="B1943" s="54" t="s">
        <v>306</v>
      </c>
      <c r="C1943" s="54" t="s">
        <v>290</v>
      </c>
      <c r="D1943" s="54" t="s">
        <v>4504</v>
      </c>
      <c r="E1943" s="54" t="s">
        <v>4505</v>
      </c>
      <c r="F1943" s="54" t="s">
        <v>4506</v>
      </c>
      <c r="G1943" s="54" t="s">
        <v>4507</v>
      </c>
      <c r="H1943" s="54" t="n">
        <v>11019</v>
      </c>
      <c r="I1943" s="54" t="s">
        <v>295</v>
      </c>
      <c r="J1943" s="54" t="s">
        <v>2159</v>
      </c>
    </row>
    <row r="1944" customFormat="false" ht="15" hidden="false" customHeight="true" outlineLevel="0" collapsed="false">
      <c r="A1944" s="54" t="n">
        <v>20260710</v>
      </c>
      <c r="B1944" s="54" t="s">
        <v>306</v>
      </c>
      <c r="C1944" s="54" t="s">
        <v>290</v>
      </c>
      <c r="D1944" s="54" t="s">
        <v>4504</v>
      </c>
      <c r="E1944" s="54" t="s">
        <v>4505</v>
      </c>
      <c r="F1944" s="54" t="s">
        <v>4508</v>
      </c>
      <c r="G1944" s="54" t="s">
        <v>4509</v>
      </c>
      <c r="H1944" s="54" t="n">
        <v>15326</v>
      </c>
      <c r="I1944" s="54" t="s">
        <v>295</v>
      </c>
      <c r="J1944" s="54" t="s">
        <v>2159</v>
      </c>
    </row>
    <row r="1945" customFormat="false" ht="15" hidden="false" customHeight="true" outlineLevel="0" collapsed="false">
      <c r="A1945" s="54" t="n">
        <v>20260710</v>
      </c>
      <c r="B1945" s="54" t="s">
        <v>306</v>
      </c>
      <c r="C1945" s="54" t="s">
        <v>290</v>
      </c>
      <c r="D1945" s="54" t="s">
        <v>4504</v>
      </c>
      <c r="E1945" s="54" t="s">
        <v>4505</v>
      </c>
      <c r="F1945" s="54" t="s">
        <v>4510</v>
      </c>
      <c r="G1945" s="54" t="s">
        <v>4511</v>
      </c>
      <c r="H1945" s="54" t="n">
        <v>4723</v>
      </c>
      <c r="I1945" s="54" t="s">
        <v>295</v>
      </c>
      <c r="J1945" s="54" t="s">
        <v>2159</v>
      </c>
    </row>
    <row r="1946" customFormat="false" ht="15" hidden="false" customHeight="true" outlineLevel="0" collapsed="false">
      <c r="A1946" s="54" t="n">
        <v>20260710</v>
      </c>
      <c r="B1946" s="54" t="s">
        <v>306</v>
      </c>
      <c r="C1946" s="54" t="s">
        <v>290</v>
      </c>
      <c r="D1946" s="54" t="s">
        <v>4504</v>
      </c>
      <c r="E1946" s="54" t="s">
        <v>4505</v>
      </c>
      <c r="F1946" s="54" t="s">
        <v>4512</v>
      </c>
      <c r="G1946" s="54" t="s">
        <v>4513</v>
      </c>
      <c r="H1946" s="54" t="n">
        <v>574</v>
      </c>
      <c r="I1946" s="54" t="s">
        <v>295</v>
      </c>
      <c r="J1946" s="54" t="s">
        <v>2159</v>
      </c>
    </row>
    <row r="1947" customFormat="false" ht="15" hidden="false" customHeight="true" outlineLevel="0" collapsed="false">
      <c r="A1947" s="54" t="n">
        <v>20260710</v>
      </c>
      <c r="B1947" s="54" t="s">
        <v>306</v>
      </c>
      <c r="C1947" s="54" t="s">
        <v>290</v>
      </c>
      <c r="D1947" s="54" t="s">
        <v>4514</v>
      </c>
      <c r="E1947" s="54" t="s">
        <v>4515</v>
      </c>
      <c r="F1947" s="54" t="s">
        <v>1153</v>
      </c>
      <c r="G1947" s="54" t="s">
        <v>4516</v>
      </c>
      <c r="H1947" s="54" t="n">
        <v>18285</v>
      </c>
      <c r="I1947" s="54" t="s">
        <v>315</v>
      </c>
      <c r="J1947" s="54" t="s">
        <v>368</v>
      </c>
    </row>
    <row r="1948" customFormat="false" ht="15" hidden="false" customHeight="true" outlineLevel="0" collapsed="false">
      <c r="A1948" s="54" t="n">
        <v>20260710</v>
      </c>
      <c r="B1948" s="54" t="s">
        <v>306</v>
      </c>
      <c r="C1948" s="54" t="s">
        <v>290</v>
      </c>
      <c r="D1948" s="54" t="s">
        <v>4514</v>
      </c>
      <c r="E1948" s="54" t="s">
        <v>4515</v>
      </c>
      <c r="F1948" s="54" t="s">
        <v>1153</v>
      </c>
      <c r="G1948" s="54" t="s">
        <v>4516</v>
      </c>
      <c r="H1948" s="54" t="n">
        <v>18285</v>
      </c>
      <c r="I1948" s="54" t="s">
        <v>295</v>
      </c>
      <c r="J1948" s="54" t="s">
        <v>368</v>
      </c>
    </row>
    <row r="1949" customFormat="false" ht="15" hidden="false" customHeight="true" outlineLevel="0" collapsed="false">
      <c r="A1949" s="54" t="n">
        <v>20260710</v>
      </c>
      <c r="B1949" s="54" t="s">
        <v>306</v>
      </c>
      <c r="C1949" s="54" t="s">
        <v>290</v>
      </c>
      <c r="D1949" s="54" t="s">
        <v>4514</v>
      </c>
      <c r="E1949" s="54" t="s">
        <v>4515</v>
      </c>
      <c r="F1949" s="54" t="s">
        <v>4517</v>
      </c>
      <c r="G1949" s="54" t="s">
        <v>2924</v>
      </c>
      <c r="H1949" s="54" t="n">
        <v>62</v>
      </c>
      <c r="I1949" s="54" t="s">
        <v>295</v>
      </c>
      <c r="J1949" s="54" t="s">
        <v>368</v>
      </c>
    </row>
    <row r="1950" customFormat="false" ht="15" hidden="false" customHeight="true" outlineLevel="0" collapsed="false">
      <c r="A1950" s="54" t="n">
        <v>20260710</v>
      </c>
      <c r="B1950" s="54" t="s">
        <v>306</v>
      </c>
      <c r="C1950" s="54" t="s">
        <v>290</v>
      </c>
      <c r="D1950" s="54" t="s">
        <v>4514</v>
      </c>
      <c r="E1950" s="54" t="s">
        <v>4515</v>
      </c>
      <c r="F1950" s="54" t="s">
        <v>4518</v>
      </c>
      <c r="G1950" s="54" t="s">
        <v>2924</v>
      </c>
      <c r="H1950" s="54" t="n">
        <v>61</v>
      </c>
      <c r="I1950" s="54" t="s">
        <v>315</v>
      </c>
      <c r="J1950" s="54" t="s">
        <v>368</v>
      </c>
    </row>
    <row r="1951" customFormat="false" ht="15" hidden="false" customHeight="true" outlineLevel="0" collapsed="false">
      <c r="A1951" s="54" t="n">
        <v>20260710</v>
      </c>
      <c r="B1951" s="54" t="s">
        <v>306</v>
      </c>
      <c r="C1951" s="54" t="s">
        <v>290</v>
      </c>
      <c r="D1951" s="54" t="s">
        <v>4514</v>
      </c>
      <c r="E1951" s="54" t="s">
        <v>4515</v>
      </c>
      <c r="F1951" s="54" t="s">
        <v>3869</v>
      </c>
      <c r="G1951" s="54" t="s">
        <v>3621</v>
      </c>
      <c r="H1951" s="54" t="n">
        <v>10819</v>
      </c>
      <c r="I1951" s="54" t="s">
        <v>295</v>
      </c>
      <c r="J1951" s="54" t="s">
        <v>368</v>
      </c>
    </row>
    <row r="1952" customFormat="false" ht="15" hidden="false" customHeight="true" outlineLevel="0" collapsed="false">
      <c r="A1952" s="54" t="n">
        <v>20260710</v>
      </c>
      <c r="B1952" s="54" t="s">
        <v>306</v>
      </c>
      <c r="C1952" s="54" t="s">
        <v>290</v>
      </c>
      <c r="D1952" s="54" t="s">
        <v>4514</v>
      </c>
      <c r="E1952" s="54" t="s">
        <v>4515</v>
      </c>
      <c r="F1952" s="54" t="s">
        <v>761</v>
      </c>
      <c r="G1952" s="54" t="s">
        <v>3621</v>
      </c>
      <c r="H1952" s="54" t="n">
        <v>10818</v>
      </c>
      <c r="I1952" s="54" t="s">
        <v>315</v>
      </c>
      <c r="J1952" s="54" t="s">
        <v>368</v>
      </c>
    </row>
    <row r="1953" customFormat="false" ht="15" hidden="false" customHeight="true" outlineLevel="0" collapsed="false">
      <c r="A1953" s="54" t="n">
        <v>20260710</v>
      </c>
      <c r="B1953" s="54" t="s">
        <v>535</v>
      </c>
      <c r="C1953" s="54" t="s">
        <v>290</v>
      </c>
      <c r="D1953" s="54" t="s">
        <v>4519</v>
      </c>
      <c r="E1953" s="54" t="s">
        <v>4520</v>
      </c>
      <c r="F1953" s="54" t="s">
        <v>4521</v>
      </c>
      <c r="G1953" s="54" t="s">
        <v>2299</v>
      </c>
      <c r="H1953" s="54" t="n">
        <v>17975</v>
      </c>
      <c r="I1953" s="54" t="s">
        <v>295</v>
      </c>
      <c r="J1953" s="54" t="s">
        <v>677</v>
      </c>
    </row>
    <row r="1954" customFormat="false" ht="15" hidden="false" customHeight="true" outlineLevel="0" collapsed="false">
      <c r="A1954" s="54" t="n">
        <v>20260710</v>
      </c>
      <c r="B1954" s="54" t="s">
        <v>535</v>
      </c>
      <c r="C1954" s="54" t="s">
        <v>290</v>
      </c>
      <c r="D1954" s="54" t="s">
        <v>4519</v>
      </c>
      <c r="E1954" s="54" t="s">
        <v>4520</v>
      </c>
      <c r="F1954" s="54" t="s">
        <v>4522</v>
      </c>
      <c r="G1954" s="54" t="s">
        <v>4523</v>
      </c>
      <c r="H1954" s="54" t="n">
        <v>17976</v>
      </c>
      <c r="I1954" s="54" t="s">
        <v>360</v>
      </c>
      <c r="J1954" s="54" t="s">
        <v>677</v>
      </c>
    </row>
    <row r="1955" customFormat="false" ht="15" hidden="false" customHeight="true" outlineLevel="0" collapsed="false">
      <c r="A1955" s="54" t="n">
        <v>20260710</v>
      </c>
      <c r="B1955" s="54" t="s">
        <v>535</v>
      </c>
      <c r="C1955" s="54" t="s">
        <v>290</v>
      </c>
      <c r="D1955" s="54" t="s">
        <v>4519</v>
      </c>
      <c r="E1955" s="54" t="s">
        <v>4520</v>
      </c>
      <c r="F1955" s="54" t="s">
        <v>4524</v>
      </c>
      <c r="G1955" s="54" t="s">
        <v>4525</v>
      </c>
      <c r="H1955" s="54" t="n">
        <v>758</v>
      </c>
      <c r="I1955" s="54" t="s">
        <v>295</v>
      </c>
      <c r="J1955" s="54" t="s">
        <v>677</v>
      </c>
    </row>
    <row r="1956" customFormat="false" ht="15" hidden="false" customHeight="true" outlineLevel="0" collapsed="false">
      <c r="A1956" s="54" t="n">
        <v>20260710</v>
      </c>
      <c r="B1956" s="54" t="s">
        <v>535</v>
      </c>
      <c r="C1956" s="54" t="s">
        <v>290</v>
      </c>
      <c r="D1956" s="54" t="s">
        <v>4519</v>
      </c>
      <c r="E1956" s="54" t="s">
        <v>4520</v>
      </c>
      <c r="F1956" s="54" t="s">
        <v>4524</v>
      </c>
      <c r="G1956" s="54" t="s">
        <v>4526</v>
      </c>
      <c r="H1956" s="54" t="n">
        <v>760</v>
      </c>
      <c r="I1956" s="54" t="s">
        <v>360</v>
      </c>
      <c r="J1956" s="54" t="s">
        <v>677</v>
      </c>
    </row>
    <row r="1957" customFormat="false" ht="15" hidden="false" customHeight="true" outlineLevel="0" collapsed="false">
      <c r="A1957" s="54" t="n">
        <v>20260710</v>
      </c>
      <c r="B1957" s="54" t="s">
        <v>535</v>
      </c>
      <c r="C1957" s="54" t="s">
        <v>290</v>
      </c>
      <c r="D1957" s="54" t="s">
        <v>4519</v>
      </c>
      <c r="E1957" s="54" t="s">
        <v>4520</v>
      </c>
      <c r="F1957" s="54" t="s">
        <v>4527</v>
      </c>
      <c r="G1957" s="54" t="s">
        <v>2939</v>
      </c>
      <c r="H1957" s="54" t="n">
        <v>10398</v>
      </c>
      <c r="I1957" s="54" t="s">
        <v>295</v>
      </c>
      <c r="J1957" s="54" t="s">
        <v>677</v>
      </c>
    </row>
    <row r="1958" customFormat="false" ht="15" hidden="false" customHeight="true" outlineLevel="0" collapsed="false">
      <c r="A1958" s="54" t="n">
        <v>20260710</v>
      </c>
      <c r="B1958" s="54" t="s">
        <v>535</v>
      </c>
      <c r="C1958" s="54" t="s">
        <v>290</v>
      </c>
      <c r="D1958" s="54" t="s">
        <v>4519</v>
      </c>
      <c r="E1958" s="54" t="s">
        <v>4520</v>
      </c>
      <c r="F1958" s="54" t="s">
        <v>2236</v>
      </c>
      <c r="G1958" s="54" t="s">
        <v>2660</v>
      </c>
      <c r="H1958" s="54" t="n">
        <v>10398</v>
      </c>
      <c r="I1958" s="54" t="s">
        <v>360</v>
      </c>
      <c r="J1958" s="54" t="s">
        <v>677</v>
      </c>
    </row>
    <row r="1959" customFormat="false" ht="15" hidden="false" customHeight="true" outlineLevel="0" collapsed="false">
      <c r="A1959" s="54" t="n">
        <v>20260710</v>
      </c>
      <c r="B1959" s="54" t="s">
        <v>535</v>
      </c>
      <c r="C1959" s="54" t="s">
        <v>290</v>
      </c>
      <c r="D1959" s="54" t="s">
        <v>4528</v>
      </c>
      <c r="E1959" s="54" t="s">
        <v>4529</v>
      </c>
      <c r="F1959" s="54" t="s">
        <v>792</v>
      </c>
      <c r="G1959" s="54" t="s">
        <v>1535</v>
      </c>
      <c r="H1959" s="54" t="n">
        <v>17874</v>
      </c>
      <c r="I1959" s="54" t="s">
        <v>295</v>
      </c>
      <c r="J1959" s="54" t="s">
        <v>1452</v>
      </c>
    </row>
    <row r="1960" customFormat="false" ht="15" hidden="false" customHeight="true" outlineLevel="0" collapsed="false">
      <c r="A1960" s="54" t="n">
        <v>20260710</v>
      </c>
      <c r="B1960" s="54" t="s">
        <v>535</v>
      </c>
      <c r="C1960" s="54" t="s">
        <v>290</v>
      </c>
      <c r="D1960" s="54" t="s">
        <v>4528</v>
      </c>
      <c r="E1960" s="54" t="s">
        <v>4529</v>
      </c>
      <c r="F1960" s="54" t="s">
        <v>4530</v>
      </c>
      <c r="G1960" s="54" t="s">
        <v>4531</v>
      </c>
      <c r="H1960" s="54" t="n">
        <v>6534</v>
      </c>
      <c r="I1960" s="54" t="s">
        <v>295</v>
      </c>
      <c r="J1960" s="54" t="s">
        <v>1452</v>
      </c>
    </row>
    <row r="1961" customFormat="false" ht="15" hidden="false" customHeight="true" outlineLevel="0" collapsed="false">
      <c r="A1961" s="54" t="n">
        <v>20260710</v>
      </c>
      <c r="B1961" s="54" t="s">
        <v>535</v>
      </c>
      <c r="C1961" s="54" t="s">
        <v>290</v>
      </c>
      <c r="D1961" s="54" t="s">
        <v>4528</v>
      </c>
      <c r="E1961" s="54" t="s">
        <v>4529</v>
      </c>
      <c r="F1961" s="54" t="s">
        <v>4532</v>
      </c>
      <c r="G1961" s="54" t="s">
        <v>4533</v>
      </c>
      <c r="H1961" s="54" t="n">
        <v>3317</v>
      </c>
      <c r="I1961" s="54" t="s">
        <v>295</v>
      </c>
      <c r="J1961" s="54" t="s">
        <v>1452</v>
      </c>
    </row>
    <row r="1962" customFormat="false" ht="15" hidden="false" customHeight="true" outlineLevel="0" collapsed="false">
      <c r="A1962" s="54" t="n">
        <v>20260710</v>
      </c>
      <c r="B1962" s="54" t="s">
        <v>535</v>
      </c>
      <c r="C1962" s="54" t="s">
        <v>290</v>
      </c>
      <c r="D1962" s="54" t="s">
        <v>4528</v>
      </c>
      <c r="E1962" s="54" t="s">
        <v>4529</v>
      </c>
      <c r="F1962" s="54" t="s">
        <v>1055</v>
      </c>
      <c r="G1962" s="54" t="s">
        <v>2027</v>
      </c>
      <c r="H1962" s="54" t="n">
        <v>19</v>
      </c>
      <c r="I1962" s="54" t="s">
        <v>295</v>
      </c>
      <c r="J1962" s="54" t="s">
        <v>1452</v>
      </c>
    </row>
    <row r="1963" customFormat="false" ht="15" hidden="false" customHeight="true" outlineLevel="0" collapsed="false">
      <c r="A1963" s="54" t="n">
        <v>20260710</v>
      </c>
      <c r="B1963" s="54" t="s">
        <v>306</v>
      </c>
      <c r="C1963" s="54" t="s">
        <v>290</v>
      </c>
      <c r="D1963" s="54" t="s">
        <v>4534</v>
      </c>
      <c r="E1963" s="54" t="s">
        <v>4535</v>
      </c>
      <c r="F1963" s="54" t="s">
        <v>4536</v>
      </c>
      <c r="G1963" s="54" t="s">
        <v>2526</v>
      </c>
      <c r="H1963" s="54" t="n">
        <v>18167</v>
      </c>
      <c r="I1963" s="54" t="s">
        <v>295</v>
      </c>
      <c r="J1963" s="54" t="s">
        <v>1265</v>
      </c>
    </row>
    <row r="1964" customFormat="false" ht="15" hidden="false" customHeight="true" outlineLevel="0" collapsed="false">
      <c r="A1964" s="54" t="n">
        <v>20260710</v>
      </c>
      <c r="B1964" s="54" t="s">
        <v>306</v>
      </c>
      <c r="C1964" s="54" t="s">
        <v>290</v>
      </c>
      <c r="D1964" s="54" t="s">
        <v>4534</v>
      </c>
      <c r="E1964" s="54" t="s">
        <v>4535</v>
      </c>
      <c r="F1964" s="54" t="s">
        <v>4537</v>
      </c>
      <c r="G1964" s="54" t="s">
        <v>4538</v>
      </c>
      <c r="H1964" s="54" t="n">
        <v>11971</v>
      </c>
      <c r="I1964" s="54" t="s">
        <v>295</v>
      </c>
      <c r="J1964" s="54" t="s">
        <v>1265</v>
      </c>
    </row>
    <row r="1965" customFormat="false" ht="15" hidden="false" customHeight="true" outlineLevel="0" collapsed="false">
      <c r="A1965" s="54" t="n">
        <v>20260710</v>
      </c>
      <c r="B1965" s="54" t="s">
        <v>535</v>
      </c>
      <c r="C1965" s="54" t="s">
        <v>290</v>
      </c>
      <c r="D1965" s="54" t="s">
        <v>4539</v>
      </c>
      <c r="E1965" s="54" t="s">
        <v>4540</v>
      </c>
      <c r="F1965" s="54" t="s">
        <v>4541</v>
      </c>
      <c r="G1965" s="54" t="s">
        <v>903</v>
      </c>
      <c r="H1965" s="54" t="n">
        <v>17816</v>
      </c>
      <c r="I1965" s="54" t="s">
        <v>295</v>
      </c>
      <c r="J1965" s="54" t="s">
        <v>677</v>
      </c>
    </row>
    <row r="1966" customFormat="false" ht="15" hidden="false" customHeight="true" outlineLevel="0" collapsed="false">
      <c r="A1966" s="54" t="n">
        <v>20260710</v>
      </c>
      <c r="B1966" s="54" t="s">
        <v>535</v>
      </c>
      <c r="C1966" s="54" t="s">
        <v>290</v>
      </c>
      <c r="D1966" s="54" t="s">
        <v>4539</v>
      </c>
      <c r="E1966" s="54" t="s">
        <v>4540</v>
      </c>
      <c r="F1966" s="54" t="s">
        <v>4542</v>
      </c>
      <c r="G1966" s="54" t="s">
        <v>929</v>
      </c>
      <c r="H1966" s="54" t="n">
        <v>10978</v>
      </c>
      <c r="I1966" s="54" t="s">
        <v>295</v>
      </c>
      <c r="J1966" s="54" t="s">
        <v>677</v>
      </c>
    </row>
    <row r="1967" customFormat="false" ht="15" hidden="false" customHeight="true" outlineLevel="0" collapsed="false">
      <c r="A1967" s="54" t="n">
        <v>20260710</v>
      </c>
      <c r="B1967" s="54" t="s">
        <v>289</v>
      </c>
      <c r="C1967" s="54" t="s">
        <v>307</v>
      </c>
      <c r="D1967" s="54" t="s">
        <v>4543</v>
      </c>
      <c r="E1967" s="54" t="s">
        <v>4544</v>
      </c>
      <c r="F1967" s="54" t="s">
        <v>4545</v>
      </c>
      <c r="G1967" s="54" t="s">
        <v>785</v>
      </c>
      <c r="H1967" s="54" t="n">
        <v>11570</v>
      </c>
      <c r="I1967" s="54" t="s">
        <v>360</v>
      </c>
      <c r="J1967" s="54" t="s">
        <v>1950</v>
      </c>
    </row>
    <row r="1968" customFormat="false" ht="15" hidden="false" customHeight="true" outlineLevel="0" collapsed="false">
      <c r="A1968" s="54" t="n">
        <v>20260710</v>
      </c>
      <c r="B1968" s="54" t="s">
        <v>289</v>
      </c>
      <c r="C1968" s="54" t="s">
        <v>307</v>
      </c>
      <c r="D1968" s="54" t="s">
        <v>4543</v>
      </c>
      <c r="E1968" s="54" t="s">
        <v>4544</v>
      </c>
      <c r="F1968" s="54" t="s">
        <v>4545</v>
      </c>
      <c r="G1968" s="54" t="s">
        <v>785</v>
      </c>
      <c r="H1968" s="54" t="n">
        <v>11570</v>
      </c>
      <c r="I1968" s="54" t="s">
        <v>295</v>
      </c>
      <c r="J1968" s="54" t="s">
        <v>1950</v>
      </c>
    </row>
    <row r="1969" customFormat="false" ht="15" hidden="false" customHeight="true" outlineLevel="0" collapsed="false">
      <c r="A1969" s="54" t="n">
        <v>20260710</v>
      </c>
      <c r="B1969" s="54" t="s">
        <v>289</v>
      </c>
      <c r="C1969" s="54" t="s">
        <v>307</v>
      </c>
      <c r="D1969" s="54" t="s">
        <v>4543</v>
      </c>
      <c r="E1969" s="54" t="s">
        <v>4544</v>
      </c>
      <c r="F1969" s="54" t="s">
        <v>786</v>
      </c>
      <c r="G1969" s="54" t="s">
        <v>4546</v>
      </c>
      <c r="H1969" s="54" t="n">
        <v>2250</v>
      </c>
      <c r="I1969" s="54" t="s">
        <v>295</v>
      </c>
      <c r="J1969" s="54" t="s">
        <v>1950</v>
      </c>
    </row>
    <row r="1970" customFormat="false" ht="15" hidden="false" customHeight="true" outlineLevel="0" collapsed="false">
      <c r="A1970" s="54" t="n">
        <v>20260710</v>
      </c>
      <c r="B1970" s="54" t="s">
        <v>289</v>
      </c>
      <c r="C1970" s="54" t="s">
        <v>307</v>
      </c>
      <c r="D1970" s="54" t="s">
        <v>4543</v>
      </c>
      <c r="E1970" s="54" t="s">
        <v>4544</v>
      </c>
      <c r="F1970" s="54" t="s">
        <v>4547</v>
      </c>
      <c r="G1970" s="54" t="s">
        <v>2624</v>
      </c>
      <c r="H1970" s="54" t="n">
        <v>15164</v>
      </c>
      <c r="I1970" s="54" t="s">
        <v>360</v>
      </c>
      <c r="J1970" s="54" t="s">
        <v>1950</v>
      </c>
    </row>
    <row r="1971" customFormat="false" ht="15" hidden="false" customHeight="true" outlineLevel="0" collapsed="false">
      <c r="A1971" s="54" t="n">
        <v>20260710</v>
      </c>
      <c r="B1971" s="54" t="s">
        <v>289</v>
      </c>
      <c r="C1971" s="54" t="s">
        <v>307</v>
      </c>
      <c r="D1971" s="54" t="s">
        <v>4543</v>
      </c>
      <c r="E1971" s="54" t="s">
        <v>4544</v>
      </c>
      <c r="F1971" s="54" t="s">
        <v>4547</v>
      </c>
      <c r="G1971" s="54" t="s">
        <v>2624</v>
      </c>
      <c r="H1971" s="54" t="n">
        <v>15164</v>
      </c>
      <c r="I1971" s="54" t="s">
        <v>295</v>
      </c>
      <c r="J1971" s="54" t="s">
        <v>1950</v>
      </c>
    </row>
    <row r="1972" customFormat="false" ht="15" hidden="false" customHeight="true" outlineLevel="0" collapsed="false">
      <c r="A1972" s="54" t="n">
        <v>20260710</v>
      </c>
      <c r="B1972" s="54" t="s">
        <v>306</v>
      </c>
      <c r="C1972" s="54" t="s">
        <v>290</v>
      </c>
      <c r="D1972" s="54" t="s">
        <v>4548</v>
      </c>
      <c r="E1972" s="54" t="s">
        <v>4549</v>
      </c>
      <c r="F1972" s="54" t="s">
        <v>4550</v>
      </c>
      <c r="G1972" s="54" t="s">
        <v>4551</v>
      </c>
      <c r="H1972" s="54" t="n">
        <v>14411</v>
      </c>
      <c r="I1972" s="54" t="s">
        <v>295</v>
      </c>
      <c r="J1972" s="54" t="s">
        <v>1027</v>
      </c>
    </row>
    <row r="1973" customFormat="false" ht="15" hidden="false" customHeight="true" outlineLevel="0" collapsed="false">
      <c r="A1973" s="54" t="n">
        <v>20260710</v>
      </c>
      <c r="B1973" s="54" t="s">
        <v>306</v>
      </c>
      <c r="C1973" s="54" t="s">
        <v>290</v>
      </c>
      <c r="D1973" s="54" t="s">
        <v>4548</v>
      </c>
      <c r="E1973" s="54" t="s">
        <v>4549</v>
      </c>
      <c r="F1973" s="54" t="s">
        <v>4552</v>
      </c>
      <c r="G1973" s="54" t="s">
        <v>4553</v>
      </c>
      <c r="H1973" s="54" t="n">
        <v>15718</v>
      </c>
      <c r="I1973" s="54" t="s">
        <v>295</v>
      </c>
      <c r="J1973" s="54" t="s">
        <v>1027</v>
      </c>
    </row>
    <row r="1974" customFormat="false" ht="15" hidden="false" customHeight="true" outlineLevel="0" collapsed="false">
      <c r="A1974" s="54" t="n">
        <v>20260710</v>
      </c>
      <c r="B1974" s="54" t="s">
        <v>289</v>
      </c>
      <c r="C1974" s="54" t="s">
        <v>307</v>
      </c>
      <c r="D1974" s="54" t="s">
        <v>4554</v>
      </c>
      <c r="E1974" s="54" t="s">
        <v>4555</v>
      </c>
      <c r="F1974" s="54" t="s">
        <v>4556</v>
      </c>
      <c r="G1974" s="54" t="s">
        <v>4557</v>
      </c>
      <c r="H1974" s="54" t="n">
        <v>4334</v>
      </c>
      <c r="I1974" s="54" t="s">
        <v>295</v>
      </c>
      <c r="J1974" s="54" t="s">
        <v>1133</v>
      </c>
    </row>
    <row r="1975" customFormat="false" ht="15" hidden="false" customHeight="true" outlineLevel="0" collapsed="false">
      <c r="A1975" s="54" t="n">
        <v>20260710</v>
      </c>
      <c r="B1975" s="54" t="s">
        <v>289</v>
      </c>
      <c r="C1975" s="54" t="s">
        <v>307</v>
      </c>
      <c r="D1975" s="54" t="s">
        <v>4554</v>
      </c>
      <c r="E1975" s="54" t="s">
        <v>4555</v>
      </c>
      <c r="F1975" s="54" t="s">
        <v>4558</v>
      </c>
      <c r="G1975" s="54" t="s">
        <v>4559</v>
      </c>
      <c r="H1975" s="54" t="n">
        <v>9024</v>
      </c>
      <c r="I1975" s="54" t="s">
        <v>295</v>
      </c>
      <c r="J1975" s="54" t="s">
        <v>1133</v>
      </c>
    </row>
    <row r="1976" customFormat="false" ht="15" hidden="false" customHeight="true" outlineLevel="0" collapsed="false">
      <c r="A1976" s="54" t="n">
        <v>20260710</v>
      </c>
      <c r="B1976" s="54" t="s">
        <v>289</v>
      </c>
      <c r="C1976" s="54" t="s">
        <v>307</v>
      </c>
      <c r="D1976" s="54" t="s">
        <v>4554</v>
      </c>
      <c r="E1976" s="54" t="s">
        <v>4555</v>
      </c>
      <c r="F1976" s="54" t="s">
        <v>4560</v>
      </c>
      <c r="G1976" s="54" t="s">
        <v>1274</v>
      </c>
      <c r="H1976" s="54" t="n">
        <v>5000</v>
      </c>
      <c r="I1976" s="54" t="s">
        <v>295</v>
      </c>
      <c r="J1976" s="54" t="s">
        <v>1133</v>
      </c>
    </row>
    <row r="1977" customFormat="false" ht="15" hidden="false" customHeight="true" outlineLevel="0" collapsed="false">
      <c r="A1977" s="54" t="n">
        <v>20260710</v>
      </c>
      <c r="B1977" s="54" t="s">
        <v>289</v>
      </c>
      <c r="C1977" s="54" t="s">
        <v>307</v>
      </c>
      <c r="D1977" s="54" t="s">
        <v>4554</v>
      </c>
      <c r="E1977" s="54" t="s">
        <v>4555</v>
      </c>
      <c r="F1977" s="54" t="s">
        <v>4561</v>
      </c>
      <c r="G1977" s="54" t="s">
        <v>4562</v>
      </c>
      <c r="H1977" s="54" t="n">
        <v>471</v>
      </c>
      <c r="I1977" s="54" t="s">
        <v>295</v>
      </c>
      <c r="J1977" s="54" t="s">
        <v>1133</v>
      </c>
    </row>
    <row r="1978" customFormat="false" ht="15" hidden="false" customHeight="true" outlineLevel="0" collapsed="false">
      <c r="A1978" s="54" t="n">
        <v>20260710</v>
      </c>
      <c r="B1978" s="54" t="s">
        <v>289</v>
      </c>
      <c r="C1978" s="54" t="s">
        <v>307</v>
      </c>
      <c r="D1978" s="54" t="s">
        <v>4554</v>
      </c>
      <c r="E1978" s="54" t="s">
        <v>4555</v>
      </c>
      <c r="F1978" s="54" t="s">
        <v>4563</v>
      </c>
      <c r="G1978" s="54" t="s">
        <v>4564</v>
      </c>
      <c r="H1978" s="54" t="n">
        <v>2358</v>
      </c>
      <c r="I1978" s="54" t="s">
        <v>295</v>
      </c>
      <c r="J1978" s="54" t="s">
        <v>1133</v>
      </c>
    </row>
    <row r="1979" customFormat="false" ht="15" hidden="false" customHeight="true" outlineLevel="0" collapsed="false">
      <c r="A1979" s="54" t="n">
        <v>20260710</v>
      </c>
      <c r="B1979" s="54" t="s">
        <v>289</v>
      </c>
      <c r="C1979" s="54" t="s">
        <v>307</v>
      </c>
      <c r="D1979" s="54" t="s">
        <v>4554</v>
      </c>
      <c r="E1979" s="54" t="s">
        <v>4555</v>
      </c>
      <c r="F1979" s="54" t="s">
        <v>4565</v>
      </c>
      <c r="G1979" s="54" t="s">
        <v>4566</v>
      </c>
      <c r="H1979" s="54" t="n">
        <v>216</v>
      </c>
      <c r="I1979" s="54" t="s">
        <v>295</v>
      </c>
      <c r="J1979" s="54" t="s">
        <v>1133</v>
      </c>
    </row>
    <row r="1980" customFormat="false" ht="15" hidden="false" customHeight="true" outlineLevel="0" collapsed="false">
      <c r="A1980" s="54" t="n">
        <v>20260710</v>
      </c>
      <c r="B1980" s="54" t="s">
        <v>289</v>
      </c>
      <c r="C1980" s="54" t="s">
        <v>307</v>
      </c>
      <c r="D1980" s="54" t="s">
        <v>4554</v>
      </c>
      <c r="E1980" s="54" t="s">
        <v>4555</v>
      </c>
      <c r="F1980" s="54" t="s">
        <v>4567</v>
      </c>
      <c r="G1980" s="54" t="s">
        <v>4568</v>
      </c>
      <c r="H1980" s="54" t="n">
        <v>399</v>
      </c>
      <c r="I1980" s="54" t="s">
        <v>295</v>
      </c>
      <c r="J1980" s="54" t="s">
        <v>1133</v>
      </c>
    </row>
    <row r="1981" customFormat="false" ht="15" hidden="false" customHeight="true" outlineLevel="0" collapsed="false">
      <c r="A1981" s="54" t="n">
        <v>20260710</v>
      </c>
      <c r="B1981" s="54" t="s">
        <v>289</v>
      </c>
      <c r="C1981" s="54" t="s">
        <v>307</v>
      </c>
      <c r="D1981" s="54" t="s">
        <v>4554</v>
      </c>
      <c r="E1981" s="54" t="s">
        <v>4555</v>
      </c>
      <c r="F1981" s="54" t="s">
        <v>4569</v>
      </c>
      <c r="G1981" s="54" t="s">
        <v>4570</v>
      </c>
      <c r="H1981" s="54" t="n">
        <v>282</v>
      </c>
      <c r="I1981" s="54" t="s">
        <v>295</v>
      </c>
      <c r="J1981" s="54" t="s">
        <v>1133</v>
      </c>
    </row>
    <row r="1982" customFormat="false" ht="15" hidden="false" customHeight="true" outlineLevel="0" collapsed="false">
      <c r="A1982" s="54" t="n">
        <v>20260710</v>
      </c>
      <c r="B1982" s="54" t="s">
        <v>289</v>
      </c>
      <c r="C1982" s="54" t="s">
        <v>307</v>
      </c>
      <c r="D1982" s="54" t="s">
        <v>4554</v>
      </c>
      <c r="E1982" s="54" t="s">
        <v>4555</v>
      </c>
      <c r="F1982" s="54" t="s">
        <v>4571</v>
      </c>
      <c r="G1982" s="54" t="s">
        <v>4572</v>
      </c>
      <c r="H1982" s="54" t="n">
        <v>346</v>
      </c>
      <c r="I1982" s="54" t="s">
        <v>295</v>
      </c>
      <c r="J1982" s="54" t="s">
        <v>1133</v>
      </c>
    </row>
    <row r="1983" customFormat="false" ht="15" hidden="false" customHeight="true" outlineLevel="0" collapsed="false">
      <c r="A1983" s="54" t="n">
        <v>20260710</v>
      </c>
      <c r="B1983" s="54" t="s">
        <v>289</v>
      </c>
      <c r="C1983" s="54" t="s">
        <v>307</v>
      </c>
      <c r="D1983" s="54" t="s">
        <v>4554</v>
      </c>
      <c r="E1983" s="54" t="s">
        <v>4555</v>
      </c>
      <c r="F1983" s="54" t="s">
        <v>4573</v>
      </c>
      <c r="G1983" s="54" t="s">
        <v>4574</v>
      </c>
      <c r="H1983" s="54" t="n">
        <v>413</v>
      </c>
      <c r="I1983" s="54" t="s">
        <v>295</v>
      </c>
      <c r="J1983" s="54" t="s">
        <v>1133</v>
      </c>
    </row>
    <row r="1984" customFormat="false" ht="15" hidden="false" customHeight="true" outlineLevel="0" collapsed="false">
      <c r="A1984" s="54" t="n">
        <v>20260710</v>
      </c>
      <c r="B1984" s="54" t="s">
        <v>289</v>
      </c>
      <c r="C1984" s="54" t="s">
        <v>307</v>
      </c>
      <c r="D1984" s="54" t="s">
        <v>4554</v>
      </c>
      <c r="E1984" s="54" t="s">
        <v>4555</v>
      </c>
      <c r="F1984" s="54" t="s">
        <v>4575</v>
      </c>
      <c r="G1984" s="54" t="s">
        <v>4576</v>
      </c>
      <c r="H1984" s="54" t="n">
        <v>509</v>
      </c>
      <c r="I1984" s="54" t="s">
        <v>295</v>
      </c>
      <c r="J1984" s="54" t="s">
        <v>1133</v>
      </c>
    </row>
    <row r="1985" customFormat="false" ht="15" hidden="false" customHeight="true" outlineLevel="0" collapsed="false">
      <c r="A1985" s="54" t="n">
        <v>20260710</v>
      </c>
      <c r="B1985" s="54" t="s">
        <v>289</v>
      </c>
      <c r="C1985" s="54" t="s">
        <v>307</v>
      </c>
      <c r="D1985" s="54" t="s">
        <v>4554</v>
      </c>
      <c r="E1985" s="54" t="s">
        <v>4555</v>
      </c>
      <c r="F1985" s="54" t="s">
        <v>4577</v>
      </c>
      <c r="G1985" s="54" t="s">
        <v>4578</v>
      </c>
      <c r="H1985" s="54" t="n">
        <v>2686</v>
      </c>
      <c r="I1985" s="54" t="s">
        <v>295</v>
      </c>
      <c r="J1985" s="54" t="s">
        <v>1133</v>
      </c>
    </row>
    <row r="1986" customFormat="false" ht="15" hidden="false" customHeight="true" outlineLevel="0" collapsed="false">
      <c r="A1986" s="54" t="n">
        <v>20260710</v>
      </c>
      <c r="B1986" s="54" t="s">
        <v>289</v>
      </c>
      <c r="C1986" s="54" t="s">
        <v>307</v>
      </c>
      <c r="D1986" s="54" t="s">
        <v>4554</v>
      </c>
      <c r="E1986" s="54" t="s">
        <v>4555</v>
      </c>
      <c r="F1986" s="54" t="s">
        <v>4579</v>
      </c>
      <c r="G1986" s="54" t="s">
        <v>4580</v>
      </c>
      <c r="H1986" s="54" t="n">
        <v>1233</v>
      </c>
      <c r="I1986" s="54" t="s">
        <v>295</v>
      </c>
      <c r="J1986" s="54" t="s">
        <v>1133</v>
      </c>
    </row>
    <row r="1987" customFormat="false" ht="15" hidden="false" customHeight="true" outlineLevel="0" collapsed="false">
      <c r="A1987" s="54" t="n">
        <v>20260710</v>
      </c>
      <c r="B1987" s="54" t="s">
        <v>289</v>
      </c>
      <c r="C1987" s="54" t="s">
        <v>307</v>
      </c>
      <c r="D1987" s="54" t="s">
        <v>4554</v>
      </c>
      <c r="E1987" s="54" t="s">
        <v>4555</v>
      </c>
      <c r="F1987" s="54" t="s">
        <v>4581</v>
      </c>
      <c r="G1987" s="54" t="s">
        <v>4582</v>
      </c>
      <c r="H1987" s="54" t="n">
        <v>618</v>
      </c>
      <c r="I1987" s="54" t="s">
        <v>295</v>
      </c>
      <c r="J1987" s="54" t="s">
        <v>1133</v>
      </c>
    </row>
    <row r="1988" customFormat="false" ht="15" hidden="false" customHeight="true" outlineLevel="0" collapsed="false">
      <c r="A1988" s="54" t="n">
        <v>20260710</v>
      </c>
      <c r="B1988" s="54" t="s">
        <v>289</v>
      </c>
      <c r="C1988" s="54" t="s">
        <v>307</v>
      </c>
      <c r="D1988" s="54" t="s">
        <v>4554</v>
      </c>
      <c r="E1988" s="54" t="s">
        <v>4555</v>
      </c>
      <c r="F1988" s="54" t="s">
        <v>4583</v>
      </c>
      <c r="G1988" s="54" t="s">
        <v>1448</v>
      </c>
      <c r="H1988" s="54" t="n">
        <v>1060</v>
      </c>
      <c r="I1988" s="54" t="s">
        <v>295</v>
      </c>
      <c r="J1988" s="54" t="s">
        <v>1133</v>
      </c>
    </row>
    <row r="1989" customFormat="false" ht="15" hidden="false" customHeight="true" outlineLevel="0" collapsed="false">
      <c r="A1989" s="54" t="n">
        <v>20260710</v>
      </c>
      <c r="B1989" s="54" t="s">
        <v>289</v>
      </c>
      <c r="C1989" s="54" t="s">
        <v>307</v>
      </c>
      <c r="D1989" s="54" t="s">
        <v>4584</v>
      </c>
      <c r="E1989" s="54" t="s">
        <v>1659</v>
      </c>
      <c r="F1989" s="54" t="s">
        <v>4585</v>
      </c>
      <c r="G1989" s="54" t="s">
        <v>4586</v>
      </c>
      <c r="H1989" s="54" t="n">
        <v>4026</v>
      </c>
      <c r="I1989" s="54" t="s">
        <v>295</v>
      </c>
      <c r="J1989" s="54" t="s">
        <v>3304</v>
      </c>
    </row>
    <row r="1990" customFormat="false" ht="15" hidden="false" customHeight="true" outlineLevel="0" collapsed="false">
      <c r="A1990" s="54" t="n">
        <v>20260710</v>
      </c>
      <c r="B1990" s="54" t="s">
        <v>757</v>
      </c>
      <c r="C1990" s="54" t="s">
        <v>307</v>
      </c>
      <c r="D1990" s="54" t="s">
        <v>4587</v>
      </c>
      <c r="E1990" s="54" t="s">
        <v>4588</v>
      </c>
      <c r="F1990" s="54" t="s">
        <v>4589</v>
      </c>
      <c r="G1990" s="54" t="s">
        <v>4590</v>
      </c>
      <c r="H1990" s="54" t="n">
        <v>15236</v>
      </c>
      <c r="I1990" s="54" t="s">
        <v>295</v>
      </c>
      <c r="J1990" s="54" t="s">
        <v>762</v>
      </c>
    </row>
    <row r="1991" customFormat="false" ht="15" hidden="false" customHeight="true" outlineLevel="0" collapsed="false">
      <c r="A1991" s="54" t="n">
        <v>20260710</v>
      </c>
      <c r="B1991" s="54" t="s">
        <v>757</v>
      </c>
      <c r="C1991" s="54" t="s">
        <v>307</v>
      </c>
      <c r="D1991" s="54" t="s">
        <v>4587</v>
      </c>
      <c r="E1991" s="54" t="s">
        <v>4588</v>
      </c>
      <c r="F1991" s="54" t="s">
        <v>4591</v>
      </c>
      <c r="G1991" s="54" t="s">
        <v>1110</v>
      </c>
      <c r="H1991" s="54" t="n">
        <v>2479</v>
      </c>
      <c r="I1991" s="54" t="s">
        <v>295</v>
      </c>
      <c r="J1991" s="54" t="s">
        <v>762</v>
      </c>
    </row>
    <row r="1992" customFormat="false" ht="15" hidden="false" customHeight="true" outlineLevel="0" collapsed="false">
      <c r="A1992" s="54" t="n">
        <v>20260710</v>
      </c>
      <c r="B1992" s="54" t="s">
        <v>757</v>
      </c>
      <c r="C1992" s="54" t="s">
        <v>307</v>
      </c>
      <c r="D1992" s="54" t="s">
        <v>4587</v>
      </c>
      <c r="E1992" s="54" t="s">
        <v>4588</v>
      </c>
      <c r="F1992" s="54" t="s">
        <v>4592</v>
      </c>
      <c r="G1992" s="54" t="s">
        <v>2106</v>
      </c>
      <c r="H1992" s="54" t="n">
        <v>10804</v>
      </c>
      <c r="I1992" s="54" t="s">
        <v>295</v>
      </c>
      <c r="J1992" s="54" t="s">
        <v>762</v>
      </c>
    </row>
    <row r="1993" customFormat="false" ht="15" hidden="false" customHeight="true" outlineLevel="0" collapsed="false">
      <c r="A1993" s="54" t="n">
        <v>20260710</v>
      </c>
      <c r="B1993" s="54" t="s">
        <v>289</v>
      </c>
      <c r="C1993" s="54" t="s">
        <v>290</v>
      </c>
      <c r="D1993" s="54" t="s">
        <v>4593</v>
      </c>
      <c r="E1993" s="54" t="s">
        <v>4594</v>
      </c>
      <c r="F1993" s="54" t="s">
        <v>1189</v>
      </c>
      <c r="G1993" s="54" t="s">
        <v>4595</v>
      </c>
      <c r="H1993" s="54" t="n">
        <v>18495</v>
      </c>
      <c r="I1993" s="54" t="s">
        <v>295</v>
      </c>
      <c r="J1993" s="54" t="s">
        <v>2306</v>
      </c>
    </row>
    <row r="1994" customFormat="false" ht="15" hidden="false" customHeight="true" outlineLevel="0" collapsed="false">
      <c r="A1994" s="54" t="n">
        <v>20260710</v>
      </c>
      <c r="B1994" s="54" t="s">
        <v>289</v>
      </c>
      <c r="C1994" s="54" t="s">
        <v>290</v>
      </c>
      <c r="D1994" s="54" t="s">
        <v>4593</v>
      </c>
      <c r="E1994" s="54" t="s">
        <v>4594</v>
      </c>
      <c r="F1994" s="54" t="s">
        <v>4596</v>
      </c>
      <c r="G1994" s="54" t="s">
        <v>623</v>
      </c>
      <c r="H1994" s="54" t="n">
        <v>10</v>
      </c>
      <c r="I1994" s="54" t="s">
        <v>295</v>
      </c>
      <c r="J1994" s="54" t="s">
        <v>2306</v>
      </c>
    </row>
    <row r="1995" customFormat="false" ht="15" hidden="false" customHeight="true" outlineLevel="0" collapsed="false">
      <c r="A1995" s="54" t="n">
        <v>20260710</v>
      </c>
      <c r="B1995" s="54" t="s">
        <v>289</v>
      </c>
      <c r="C1995" s="54" t="s">
        <v>290</v>
      </c>
      <c r="D1995" s="54" t="s">
        <v>4593</v>
      </c>
      <c r="E1995" s="54" t="s">
        <v>4594</v>
      </c>
      <c r="F1995" s="54" t="s">
        <v>4597</v>
      </c>
      <c r="G1995" s="54" t="s">
        <v>3679</v>
      </c>
      <c r="H1995" s="54" t="n">
        <v>10586</v>
      </c>
      <c r="I1995" s="54" t="s">
        <v>295</v>
      </c>
      <c r="J1995" s="54" t="s">
        <v>2306</v>
      </c>
    </row>
    <row r="1996" customFormat="false" ht="15" hidden="false" customHeight="true" outlineLevel="0" collapsed="false">
      <c r="A1996" s="54" t="n">
        <v>20260710</v>
      </c>
      <c r="B1996" s="54" t="s">
        <v>306</v>
      </c>
      <c r="C1996" s="54" t="s">
        <v>290</v>
      </c>
      <c r="D1996" s="54" t="s">
        <v>4598</v>
      </c>
      <c r="E1996" s="54" t="s">
        <v>4599</v>
      </c>
      <c r="F1996" s="54" t="s">
        <v>4600</v>
      </c>
      <c r="G1996" s="54" t="s">
        <v>4601</v>
      </c>
      <c r="H1996" s="54" t="n">
        <v>14909</v>
      </c>
      <c r="I1996" s="54" t="s">
        <v>295</v>
      </c>
      <c r="J1996" s="54" t="s">
        <v>989</v>
      </c>
    </row>
    <row r="1997" customFormat="false" ht="15" hidden="false" customHeight="true" outlineLevel="0" collapsed="false">
      <c r="A1997" s="54" t="n">
        <v>20260710</v>
      </c>
      <c r="B1997" s="54" t="s">
        <v>306</v>
      </c>
      <c r="C1997" s="54" t="s">
        <v>290</v>
      </c>
      <c r="D1997" s="54" t="s">
        <v>4598</v>
      </c>
      <c r="E1997" s="54" t="s">
        <v>4599</v>
      </c>
      <c r="F1997" s="54" t="s">
        <v>4602</v>
      </c>
      <c r="G1997" s="54" t="s">
        <v>4603</v>
      </c>
      <c r="H1997" s="54" t="n">
        <v>2133</v>
      </c>
      <c r="I1997" s="54" t="s">
        <v>295</v>
      </c>
      <c r="J1997" s="54" t="s">
        <v>989</v>
      </c>
    </row>
    <row r="1998" customFormat="false" ht="15" hidden="false" customHeight="true" outlineLevel="0" collapsed="false">
      <c r="A1998" s="54" t="n">
        <v>20260710</v>
      </c>
      <c r="B1998" s="54" t="s">
        <v>306</v>
      </c>
      <c r="C1998" s="54" t="s">
        <v>290</v>
      </c>
      <c r="D1998" s="54" t="s">
        <v>4598</v>
      </c>
      <c r="E1998" s="54" t="s">
        <v>4599</v>
      </c>
      <c r="F1998" s="54" t="s">
        <v>4604</v>
      </c>
      <c r="G1998" s="54" t="s">
        <v>4605</v>
      </c>
      <c r="H1998" s="54" t="n">
        <v>13752</v>
      </c>
      <c r="I1998" s="54" t="s">
        <v>295</v>
      </c>
      <c r="J1998" s="54" t="s">
        <v>989</v>
      </c>
    </row>
    <row r="1999" customFormat="false" ht="15" hidden="false" customHeight="true" outlineLevel="0" collapsed="false">
      <c r="A1999" s="54" t="n">
        <v>20260710</v>
      </c>
      <c r="B1999" s="54" t="s">
        <v>306</v>
      </c>
      <c r="C1999" s="54" t="s">
        <v>290</v>
      </c>
      <c r="D1999" s="54" t="s">
        <v>4598</v>
      </c>
      <c r="E1999" s="54" t="s">
        <v>4599</v>
      </c>
      <c r="F1999" s="54" t="s">
        <v>4606</v>
      </c>
      <c r="G1999" s="54" t="s">
        <v>4607</v>
      </c>
      <c r="H1999" s="54" t="n">
        <v>1615</v>
      </c>
      <c r="I1999" s="54" t="s">
        <v>295</v>
      </c>
      <c r="J1999" s="54" t="s">
        <v>989</v>
      </c>
    </row>
    <row r="2000" customFormat="false" ht="15" hidden="false" customHeight="true" outlineLevel="0" collapsed="false">
      <c r="A2000" s="54" t="n">
        <v>20260710</v>
      </c>
      <c r="B2000" s="54" t="s">
        <v>289</v>
      </c>
      <c r="C2000" s="54" t="s">
        <v>290</v>
      </c>
      <c r="D2000" s="54" t="s">
        <v>4608</v>
      </c>
      <c r="E2000" s="54" t="s">
        <v>4609</v>
      </c>
      <c r="F2000" s="54" t="s">
        <v>4610</v>
      </c>
      <c r="G2000" s="54" t="s">
        <v>4611</v>
      </c>
      <c r="H2000" s="54" t="n">
        <v>18</v>
      </c>
      <c r="I2000" s="54" t="s">
        <v>295</v>
      </c>
      <c r="J2000" s="54" t="s">
        <v>1355</v>
      </c>
    </row>
    <row r="2001" customFormat="false" ht="15" hidden="false" customHeight="true" outlineLevel="0" collapsed="false">
      <c r="A2001" s="54" t="n">
        <v>20260710</v>
      </c>
      <c r="B2001" s="54" t="s">
        <v>289</v>
      </c>
      <c r="C2001" s="54" t="s">
        <v>290</v>
      </c>
      <c r="D2001" s="54" t="s">
        <v>4608</v>
      </c>
      <c r="E2001" s="54" t="s">
        <v>4609</v>
      </c>
      <c r="F2001" s="54" t="s">
        <v>4612</v>
      </c>
      <c r="G2001" s="54" t="s">
        <v>4613</v>
      </c>
      <c r="H2001" s="54" t="n">
        <v>18343</v>
      </c>
      <c r="I2001" s="54" t="s">
        <v>295</v>
      </c>
      <c r="J2001" s="54" t="s">
        <v>1355</v>
      </c>
    </row>
    <row r="2002" customFormat="false" ht="15" hidden="false" customHeight="true" outlineLevel="0" collapsed="false">
      <c r="A2002" s="54" t="n">
        <v>20260710</v>
      </c>
      <c r="B2002" s="54" t="s">
        <v>289</v>
      </c>
      <c r="C2002" s="54" t="s">
        <v>290</v>
      </c>
      <c r="D2002" s="54" t="s">
        <v>4608</v>
      </c>
      <c r="E2002" s="54" t="s">
        <v>4609</v>
      </c>
      <c r="F2002" s="54" t="s">
        <v>4614</v>
      </c>
      <c r="G2002" s="54" t="s">
        <v>4615</v>
      </c>
      <c r="H2002" s="54" t="n">
        <v>6036</v>
      </c>
      <c r="I2002" s="54" t="s">
        <v>295</v>
      </c>
      <c r="J2002" s="54" t="s">
        <v>1355</v>
      </c>
    </row>
    <row r="2003" customFormat="false" ht="15" hidden="false" customHeight="true" outlineLevel="0" collapsed="false">
      <c r="A2003" s="54" t="n">
        <v>20260710</v>
      </c>
      <c r="B2003" s="54" t="s">
        <v>289</v>
      </c>
      <c r="C2003" s="54" t="s">
        <v>290</v>
      </c>
      <c r="D2003" s="54" t="s">
        <v>4608</v>
      </c>
      <c r="E2003" s="54" t="s">
        <v>4609</v>
      </c>
      <c r="F2003" s="54" t="s">
        <v>4616</v>
      </c>
      <c r="G2003" s="54" t="s">
        <v>4617</v>
      </c>
      <c r="H2003" s="54" t="n">
        <v>4805</v>
      </c>
      <c r="I2003" s="54" t="s">
        <v>295</v>
      </c>
      <c r="J2003" s="54" t="s">
        <v>1355</v>
      </c>
    </row>
    <row r="2004" customFormat="false" ht="15" hidden="false" customHeight="true" outlineLevel="0" collapsed="false">
      <c r="A2004" s="54" t="n">
        <v>20260710</v>
      </c>
      <c r="B2004" s="54" t="s">
        <v>306</v>
      </c>
      <c r="C2004" s="54" t="s">
        <v>290</v>
      </c>
      <c r="D2004" s="54" t="s">
        <v>4618</v>
      </c>
      <c r="E2004" s="54" t="s">
        <v>4619</v>
      </c>
      <c r="F2004" s="54" t="s">
        <v>4620</v>
      </c>
      <c r="G2004" s="54" t="s">
        <v>4621</v>
      </c>
      <c r="H2004" s="54" t="n">
        <v>17534</v>
      </c>
      <c r="I2004" s="54" t="s">
        <v>295</v>
      </c>
      <c r="J2004" s="54" t="s">
        <v>375</v>
      </c>
    </row>
    <row r="2005" customFormat="false" ht="15" hidden="false" customHeight="true" outlineLevel="0" collapsed="false">
      <c r="A2005" s="54" t="n">
        <v>20260710</v>
      </c>
      <c r="B2005" s="54" t="s">
        <v>306</v>
      </c>
      <c r="C2005" s="54" t="s">
        <v>290</v>
      </c>
      <c r="D2005" s="54" t="s">
        <v>4618</v>
      </c>
      <c r="E2005" s="54" t="s">
        <v>4619</v>
      </c>
      <c r="F2005" s="54" t="s">
        <v>4622</v>
      </c>
      <c r="G2005" s="54" t="s">
        <v>4623</v>
      </c>
      <c r="H2005" s="54" t="n">
        <v>12774</v>
      </c>
      <c r="I2005" s="54" t="s">
        <v>295</v>
      </c>
      <c r="J2005" s="54" t="s">
        <v>375</v>
      </c>
    </row>
    <row r="2006" customFormat="false" ht="15" hidden="false" customHeight="true" outlineLevel="0" collapsed="false">
      <c r="A2006" s="54" t="n">
        <v>20260710</v>
      </c>
      <c r="B2006" s="54" t="s">
        <v>688</v>
      </c>
      <c r="C2006" s="54" t="s">
        <v>290</v>
      </c>
      <c r="D2006" s="54" t="s">
        <v>4624</v>
      </c>
      <c r="E2006" s="54" t="s">
        <v>4625</v>
      </c>
      <c r="F2006" s="54" t="s">
        <v>4626</v>
      </c>
      <c r="G2006" s="54" t="s">
        <v>1395</v>
      </c>
      <c r="H2006" s="54" t="n">
        <v>13959</v>
      </c>
      <c r="I2006" s="54" t="s">
        <v>295</v>
      </c>
      <c r="J2006" s="54" t="s">
        <v>779</v>
      </c>
    </row>
    <row r="2007" customFormat="false" ht="15" hidden="false" customHeight="true" outlineLevel="0" collapsed="false">
      <c r="A2007" s="54" t="n">
        <v>20260710</v>
      </c>
      <c r="B2007" s="54" t="s">
        <v>688</v>
      </c>
      <c r="C2007" s="54" t="s">
        <v>290</v>
      </c>
      <c r="D2007" s="54" t="s">
        <v>4624</v>
      </c>
      <c r="E2007" s="54" t="s">
        <v>4625</v>
      </c>
      <c r="F2007" s="54" t="s">
        <v>4627</v>
      </c>
      <c r="G2007" s="54" t="s">
        <v>4628</v>
      </c>
      <c r="H2007" s="54" t="n">
        <v>2134</v>
      </c>
      <c r="I2007" s="54" t="s">
        <v>295</v>
      </c>
      <c r="J2007" s="54" t="s">
        <v>779</v>
      </c>
    </row>
    <row r="2008" customFormat="false" ht="15" hidden="false" customHeight="true" outlineLevel="0" collapsed="false">
      <c r="A2008" s="54" t="n">
        <v>20260710</v>
      </c>
      <c r="B2008" s="54" t="s">
        <v>688</v>
      </c>
      <c r="C2008" s="54" t="s">
        <v>290</v>
      </c>
      <c r="D2008" s="54" t="s">
        <v>4624</v>
      </c>
      <c r="E2008" s="54" t="s">
        <v>4625</v>
      </c>
      <c r="F2008" s="54" t="s">
        <v>4629</v>
      </c>
      <c r="G2008" s="54" t="s">
        <v>4630</v>
      </c>
      <c r="H2008" s="54" t="n">
        <v>8501</v>
      </c>
      <c r="I2008" s="54" t="s">
        <v>295</v>
      </c>
      <c r="J2008" s="54" t="s">
        <v>779</v>
      </c>
    </row>
    <row r="2009" customFormat="false" ht="15" hidden="false" customHeight="true" outlineLevel="0" collapsed="false">
      <c r="A2009" s="54" t="n">
        <v>20260710</v>
      </c>
      <c r="B2009" s="54" t="s">
        <v>688</v>
      </c>
      <c r="C2009" s="54" t="s">
        <v>290</v>
      </c>
      <c r="D2009" s="54" t="s">
        <v>4624</v>
      </c>
      <c r="E2009" s="54" t="s">
        <v>4625</v>
      </c>
      <c r="F2009" s="54" t="s">
        <v>4631</v>
      </c>
      <c r="G2009" s="54" t="s">
        <v>709</v>
      </c>
      <c r="H2009" s="54" t="n">
        <v>3164</v>
      </c>
      <c r="I2009" s="54" t="s">
        <v>295</v>
      </c>
      <c r="J2009" s="54" t="s">
        <v>779</v>
      </c>
    </row>
    <row r="2010" customFormat="false" ht="15" hidden="false" customHeight="true" outlineLevel="0" collapsed="false">
      <c r="A2010" s="54" t="n">
        <v>20260710</v>
      </c>
      <c r="B2010" s="54" t="s">
        <v>306</v>
      </c>
      <c r="C2010" s="54" t="s">
        <v>290</v>
      </c>
      <c r="D2010" s="54" t="s">
        <v>4632</v>
      </c>
      <c r="E2010" s="54" t="s">
        <v>4633</v>
      </c>
      <c r="F2010" s="54" t="s">
        <v>4634</v>
      </c>
      <c r="G2010" s="54" t="s">
        <v>1540</v>
      </c>
      <c r="H2010" s="54" t="n">
        <v>14542</v>
      </c>
      <c r="I2010" s="54" t="s">
        <v>295</v>
      </c>
      <c r="J2010" s="54" t="s">
        <v>375</v>
      </c>
    </row>
    <row r="2011" customFormat="false" ht="15" hidden="false" customHeight="true" outlineLevel="0" collapsed="false">
      <c r="A2011" s="54" t="n">
        <v>20260710</v>
      </c>
      <c r="B2011" s="54" t="s">
        <v>306</v>
      </c>
      <c r="C2011" s="54" t="s">
        <v>290</v>
      </c>
      <c r="D2011" s="54" t="s">
        <v>4632</v>
      </c>
      <c r="E2011" s="54" t="s">
        <v>4633</v>
      </c>
      <c r="F2011" s="54" t="s">
        <v>4326</v>
      </c>
      <c r="G2011" s="54" t="s">
        <v>4635</v>
      </c>
      <c r="H2011" s="54" t="n">
        <v>14658</v>
      </c>
      <c r="I2011" s="54" t="s">
        <v>295</v>
      </c>
      <c r="J2011" s="54" t="s">
        <v>375</v>
      </c>
    </row>
    <row r="2012" customFormat="false" ht="15" hidden="false" customHeight="true" outlineLevel="0" collapsed="false">
      <c r="A2012" s="54" t="n">
        <v>20260710</v>
      </c>
      <c r="B2012" s="54" t="s">
        <v>535</v>
      </c>
      <c r="C2012" s="54" t="s">
        <v>290</v>
      </c>
      <c r="D2012" s="54" t="s">
        <v>4636</v>
      </c>
      <c r="E2012" s="54" t="s">
        <v>4637</v>
      </c>
      <c r="F2012" s="54" t="s">
        <v>4638</v>
      </c>
      <c r="G2012" s="54" t="s">
        <v>4639</v>
      </c>
      <c r="H2012" s="54" t="n">
        <v>7</v>
      </c>
      <c r="I2012" s="54" t="s">
        <v>295</v>
      </c>
      <c r="J2012" s="54" t="s">
        <v>677</v>
      </c>
    </row>
    <row r="2013" customFormat="false" ht="15" hidden="false" customHeight="true" outlineLevel="0" collapsed="false">
      <c r="A2013" s="54" t="n">
        <v>20260710</v>
      </c>
      <c r="B2013" s="54" t="s">
        <v>535</v>
      </c>
      <c r="C2013" s="54" t="s">
        <v>290</v>
      </c>
      <c r="D2013" s="54" t="s">
        <v>4636</v>
      </c>
      <c r="E2013" s="54" t="s">
        <v>4637</v>
      </c>
      <c r="F2013" s="54" t="s">
        <v>4217</v>
      </c>
      <c r="G2013" s="54" t="s">
        <v>3375</v>
      </c>
      <c r="H2013" s="54" t="n">
        <v>17976</v>
      </c>
      <c r="I2013" s="54" t="s">
        <v>295</v>
      </c>
      <c r="J2013" s="54" t="s">
        <v>677</v>
      </c>
    </row>
    <row r="2014" customFormat="false" ht="15" hidden="false" customHeight="true" outlineLevel="0" collapsed="false">
      <c r="A2014" s="54" t="n">
        <v>20260710</v>
      </c>
      <c r="B2014" s="54" t="s">
        <v>535</v>
      </c>
      <c r="C2014" s="54" t="s">
        <v>290</v>
      </c>
      <c r="D2014" s="54" t="s">
        <v>4636</v>
      </c>
      <c r="E2014" s="54" t="s">
        <v>4637</v>
      </c>
      <c r="F2014" s="54" t="s">
        <v>4640</v>
      </c>
      <c r="G2014" s="54" t="s">
        <v>905</v>
      </c>
      <c r="H2014" s="54" t="n">
        <v>10879</v>
      </c>
      <c r="I2014" s="54" t="s">
        <v>295</v>
      </c>
      <c r="J2014" s="54" t="s">
        <v>677</v>
      </c>
    </row>
    <row r="2015" customFormat="false" ht="15" hidden="false" customHeight="true" outlineLevel="0" collapsed="false">
      <c r="A2015" s="54" t="n">
        <v>20260710</v>
      </c>
      <c r="B2015" s="54" t="s">
        <v>306</v>
      </c>
      <c r="C2015" s="54" t="s">
        <v>290</v>
      </c>
      <c r="D2015" s="54" t="s">
        <v>462</v>
      </c>
      <c r="E2015" s="54" t="s">
        <v>463</v>
      </c>
      <c r="F2015" s="54" t="s">
        <v>4641</v>
      </c>
      <c r="G2015" s="54" t="s">
        <v>4642</v>
      </c>
      <c r="H2015" s="54" t="n">
        <v>14591</v>
      </c>
      <c r="I2015" s="54" t="s">
        <v>295</v>
      </c>
      <c r="J2015" s="54" t="s">
        <v>352</v>
      </c>
    </row>
    <row r="2016" customFormat="false" ht="15" hidden="false" customHeight="true" outlineLevel="0" collapsed="false">
      <c r="A2016" s="54" t="n">
        <v>20260710</v>
      </c>
      <c r="B2016" s="54" t="s">
        <v>306</v>
      </c>
      <c r="C2016" s="54" t="s">
        <v>290</v>
      </c>
      <c r="D2016" s="54" t="s">
        <v>462</v>
      </c>
      <c r="E2016" s="54" t="s">
        <v>463</v>
      </c>
      <c r="F2016" s="54" t="s">
        <v>4643</v>
      </c>
      <c r="G2016" s="54" t="s">
        <v>4642</v>
      </c>
      <c r="H2016" s="54" t="n">
        <v>14590</v>
      </c>
      <c r="I2016" s="54" t="s">
        <v>315</v>
      </c>
      <c r="J2016" s="54" t="s">
        <v>352</v>
      </c>
    </row>
    <row r="2017" customFormat="false" ht="15" hidden="false" customHeight="true" outlineLevel="0" collapsed="false">
      <c r="A2017" s="54" t="n">
        <v>20260710</v>
      </c>
      <c r="B2017" s="54" t="s">
        <v>306</v>
      </c>
      <c r="C2017" s="54" t="s">
        <v>290</v>
      </c>
      <c r="D2017" s="54" t="s">
        <v>462</v>
      </c>
      <c r="E2017" s="54" t="s">
        <v>463</v>
      </c>
      <c r="F2017" s="54" t="s">
        <v>4644</v>
      </c>
      <c r="G2017" s="54" t="s">
        <v>4645</v>
      </c>
      <c r="H2017" s="54" t="n">
        <v>13010</v>
      </c>
      <c r="I2017" s="54" t="s">
        <v>315</v>
      </c>
      <c r="J2017" s="54" t="s">
        <v>352</v>
      </c>
    </row>
    <row r="2018" customFormat="false" ht="15" hidden="false" customHeight="true" outlineLevel="0" collapsed="false">
      <c r="A2018" s="54" t="n">
        <v>20260710</v>
      </c>
      <c r="B2018" s="54" t="s">
        <v>306</v>
      </c>
      <c r="C2018" s="54" t="s">
        <v>290</v>
      </c>
      <c r="D2018" s="54" t="s">
        <v>462</v>
      </c>
      <c r="E2018" s="54" t="s">
        <v>463</v>
      </c>
      <c r="F2018" s="54" t="s">
        <v>4644</v>
      </c>
      <c r="G2018" s="54" t="s">
        <v>4645</v>
      </c>
      <c r="H2018" s="54" t="n">
        <v>13010</v>
      </c>
      <c r="I2018" s="54" t="s">
        <v>295</v>
      </c>
      <c r="J2018" s="54" t="s">
        <v>352</v>
      </c>
    </row>
    <row r="2019" customFormat="false" ht="15" hidden="false" customHeight="true" outlineLevel="0" collapsed="false">
      <c r="A2019" s="54" t="n">
        <v>20260710</v>
      </c>
      <c r="B2019" s="54" t="s">
        <v>306</v>
      </c>
      <c r="C2019" s="54" t="s">
        <v>290</v>
      </c>
      <c r="D2019" s="54" t="s">
        <v>4646</v>
      </c>
      <c r="E2019" s="54" t="s">
        <v>4647</v>
      </c>
      <c r="F2019" s="54" t="s">
        <v>2907</v>
      </c>
      <c r="G2019" s="54" t="s">
        <v>4648</v>
      </c>
      <c r="H2019" s="54" t="n">
        <v>22104</v>
      </c>
      <c r="I2019" s="54" t="s">
        <v>315</v>
      </c>
      <c r="J2019" s="54" t="s">
        <v>375</v>
      </c>
    </row>
    <row r="2020" customFormat="false" ht="15" hidden="false" customHeight="true" outlineLevel="0" collapsed="false">
      <c r="A2020" s="54" t="n">
        <v>20260710</v>
      </c>
      <c r="B2020" s="54" t="s">
        <v>306</v>
      </c>
      <c r="C2020" s="54" t="s">
        <v>290</v>
      </c>
      <c r="D2020" s="54" t="s">
        <v>4646</v>
      </c>
      <c r="E2020" s="54" t="s">
        <v>4647</v>
      </c>
      <c r="F2020" s="54" t="s">
        <v>2907</v>
      </c>
      <c r="G2020" s="54" t="s">
        <v>4648</v>
      </c>
      <c r="H2020" s="54" t="n">
        <v>22104</v>
      </c>
      <c r="I2020" s="54" t="s">
        <v>295</v>
      </c>
      <c r="J2020" s="54" t="s">
        <v>375</v>
      </c>
    </row>
    <row r="2021" customFormat="false" ht="15" hidden="false" customHeight="true" outlineLevel="0" collapsed="false">
      <c r="A2021" s="54" t="n">
        <v>20260710</v>
      </c>
      <c r="B2021" s="54" t="s">
        <v>306</v>
      </c>
      <c r="C2021" s="54" t="s">
        <v>290</v>
      </c>
      <c r="D2021" s="54" t="s">
        <v>4646</v>
      </c>
      <c r="E2021" s="54" t="s">
        <v>4647</v>
      </c>
      <c r="F2021" s="54" t="s">
        <v>4649</v>
      </c>
      <c r="G2021" s="54" t="s">
        <v>4650</v>
      </c>
      <c r="H2021" s="54" t="n">
        <v>6478</v>
      </c>
      <c r="I2021" s="54" t="s">
        <v>315</v>
      </c>
      <c r="J2021" s="54" t="s">
        <v>375</v>
      </c>
    </row>
    <row r="2022" customFormat="false" ht="15" hidden="false" customHeight="true" outlineLevel="0" collapsed="false">
      <c r="A2022" s="54" t="n">
        <v>20260710</v>
      </c>
      <c r="B2022" s="54" t="s">
        <v>306</v>
      </c>
      <c r="C2022" s="54" t="s">
        <v>290</v>
      </c>
      <c r="D2022" s="54" t="s">
        <v>4646</v>
      </c>
      <c r="E2022" s="54" t="s">
        <v>4647</v>
      </c>
      <c r="F2022" s="54" t="s">
        <v>4649</v>
      </c>
      <c r="G2022" s="54" t="s">
        <v>4650</v>
      </c>
      <c r="H2022" s="54" t="n">
        <v>6478</v>
      </c>
      <c r="I2022" s="54" t="s">
        <v>295</v>
      </c>
      <c r="J2022" s="54" t="s">
        <v>375</v>
      </c>
    </row>
    <row r="2023" customFormat="false" ht="15" hidden="false" customHeight="true" outlineLevel="0" collapsed="false">
      <c r="A2023" s="54" t="n">
        <v>20260710</v>
      </c>
      <c r="B2023" s="54" t="s">
        <v>289</v>
      </c>
      <c r="C2023" s="54" t="s">
        <v>290</v>
      </c>
      <c r="D2023" s="54" t="s">
        <v>4651</v>
      </c>
      <c r="E2023" s="54" t="s">
        <v>4652</v>
      </c>
      <c r="F2023" s="54" t="s">
        <v>4653</v>
      </c>
      <c r="G2023" s="54" t="s">
        <v>4354</v>
      </c>
      <c r="H2023" s="54" t="n">
        <v>14906</v>
      </c>
      <c r="I2023" s="54" t="s">
        <v>295</v>
      </c>
      <c r="J2023" s="54" t="s">
        <v>439</v>
      </c>
    </row>
    <row r="2024" customFormat="false" ht="15" hidden="false" customHeight="true" outlineLevel="0" collapsed="false">
      <c r="A2024" s="54" t="n">
        <v>20260710</v>
      </c>
      <c r="B2024" s="54" t="s">
        <v>289</v>
      </c>
      <c r="C2024" s="54" t="s">
        <v>290</v>
      </c>
      <c r="D2024" s="54" t="s">
        <v>4651</v>
      </c>
      <c r="E2024" s="54" t="s">
        <v>4652</v>
      </c>
      <c r="F2024" s="54" t="s">
        <v>4654</v>
      </c>
      <c r="G2024" s="54" t="s">
        <v>4655</v>
      </c>
      <c r="H2024" s="54" t="n">
        <v>8785</v>
      </c>
      <c r="I2024" s="54" t="s">
        <v>295</v>
      </c>
      <c r="J2024" s="54" t="s">
        <v>439</v>
      </c>
    </row>
    <row r="2025" customFormat="false" ht="15" hidden="false" customHeight="true" outlineLevel="0" collapsed="false">
      <c r="A2025" s="54" t="n">
        <v>20260710</v>
      </c>
      <c r="B2025" s="54" t="s">
        <v>289</v>
      </c>
      <c r="C2025" s="54" t="s">
        <v>290</v>
      </c>
      <c r="D2025" s="54" t="s">
        <v>4651</v>
      </c>
      <c r="E2025" s="54" t="s">
        <v>4652</v>
      </c>
      <c r="F2025" s="54" t="s">
        <v>4656</v>
      </c>
      <c r="G2025" s="54" t="s">
        <v>4657</v>
      </c>
      <c r="H2025" s="54" t="n">
        <v>4940</v>
      </c>
      <c r="I2025" s="54" t="s">
        <v>295</v>
      </c>
      <c r="J2025" s="54" t="s">
        <v>439</v>
      </c>
    </row>
    <row r="2026" customFormat="false" ht="15" hidden="false" customHeight="true" outlineLevel="0" collapsed="false">
      <c r="A2026" s="54" t="n">
        <v>20260710</v>
      </c>
      <c r="B2026" s="54" t="s">
        <v>306</v>
      </c>
      <c r="C2026" s="54" t="s">
        <v>290</v>
      </c>
      <c r="D2026" s="54" t="s">
        <v>469</v>
      </c>
      <c r="E2026" s="54" t="s">
        <v>470</v>
      </c>
      <c r="F2026" s="54" t="s">
        <v>4658</v>
      </c>
      <c r="G2026" s="54" t="s">
        <v>4659</v>
      </c>
      <c r="H2026" s="54" t="n">
        <v>4591</v>
      </c>
      <c r="I2026" s="54" t="s">
        <v>295</v>
      </c>
      <c r="J2026" s="54" t="s">
        <v>473</v>
      </c>
    </row>
    <row r="2027" customFormat="false" ht="15" hidden="false" customHeight="true" outlineLevel="0" collapsed="false">
      <c r="A2027" s="54" t="n">
        <v>20260710</v>
      </c>
      <c r="B2027" s="54" t="s">
        <v>306</v>
      </c>
      <c r="C2027" s="54" t="s">
        <v>290</v>
      </c>
      <c r="D2027" s="54" t="s">
        <v>469</v>
      </c>
      <c r="E2027" s="54" t="s">
        <v>470</v>
      </c>
      <c r="F2027" s="54" t="s">
        <v>4660</v>
      </c>
      <c r="G2027" s="54" t="s">
        <v>4659</v>
      </c>
      <c r="H2027" s="54" t="n">
        <v>4590</v>
      </c>
      <c r="I2027" s="54" t="s">
        <v>315</v>
      </c>
      <c r="J2027" s="54" t="s">
        <v>473</v>
      </c>
    </row>
    <row r="2028" customFormat="false" ht="15" hidden="false" customHeight="true" outlineLevel="0" collapsed="false">
      <c r="A2028" s="54" t="n">
        <v>20260710</v>
      </c>
      <c r="B2028" s="54" t="s">
        <v>289</v>
      </c>
      <c r="C2028" s="54" t="s">
        <v>290</v>
      </c>
      <c r="D2028" s="54" t="s">
        <v>4661</v>
      </c>
      <c r="E2028" s="54" t="s">
        <v>4662</v>
      </c>
      <c r="F2028" s="54" t="s">
        <v>1411</v>
      </c>
      <c r="G2028" s="54" t="s">
        <v>1035</v>
      </c>
      <c r="H2028" s="54" t="n">
        <v>14573</v>
      </c>
      <c r="I2028" s="54" t="s">
        <v>295</v>
      </c>
      <c r="J2028" s="54" t="s">
        <v>1463</v>
      </c>
    </row>
    <row r="2029" customFormat="false" ht="15" hidden="false" customHeight="true" outlineLevel="0" collapsed="false">
      <c r="A2029" s="54" t="n">
        <v>20260710</v>
      </c>
      <c r="B2029" s="54" t="s">
        <v>289</v>
      </c>
      <c r="C2029" s="54" t="s">
        <v>290</v>
      </c>
      <c r="D2029" s="54" t="s">
        <v>4661</v>
      </c>
      <c r="E2029" s="54" t="s">
        <v>4662</v>
      </c>
      <c r="F2029" s="54" t="s">
        <v>2538</v>
      </c>
      <c r="G2029" s="54" t="s">
        <v>4663</v>
      </c>
      <c r="H2029" s="54" t="n">
        <v>121</v>
      </c>
      <c r="I2029" s="54" t="s">
        <v>295</v>
      </c>
      <c r="J2029" s="54" t="s">
        <v>1463</v>
      </c>
    </row>
    <row r="2030" customFormat="false" ht="15" hidden="false" customHeight="true" outlineLevel="0" collapsed="false">
      <c r="A2030" s="54" t="n">
        <v>20260710</v>
      </c>
      <c r="B2030" s="54" t="s">
        <v>289</v>
      </c>
      <c r="C2030" s="54" t="s">
        <v>290</v>
      </c>
      <c r="D2030" s="54" t="s">
        <v>4661</v>
      </c>
      <c r="E2030" s="54" t="s">
        <v>4662</v>
      </c>
      <c r="F2030" s="54" t="s">
        <v>4664</v>
      </c>
      <c r="G2030" s="54" t="s">
        <v>1553</v>
      </c>
      <c r="H2030" s="54" t="n">
        <v>14288</v>
      </c>
      <c r="I2030" s="54" t="s">
        <v>295</v>
      </c>
      <c r="J2030" s="54" t="s">
        <v>1463</v>
      </c>
    </row>
    <row r="2031" customFormat="false" ht="15" hidden="false" customHeight="true" outlineLevel="0" collapsed="false">
      <c r="A2031" s="54" t="n">
        <v>20260710</v>
      </c>
      <c r="B2031" s="54" t="s">
        <v>688</v>
      </c>
      <c r="C2031" s="54" t="s">
        <v>307</v>
      </c>
      <c r="D2031" s="54" t="s">
        <v>4665</v>
      </c>
      <c r="E2031" s="54" t="s">
        <v>4666</v>
      </c>
      <c r="F2031" s="54" t="s">
        <v>4667</v>
      </c>
      <c r="G2031" s="54" t="s">
        <v>4668</v>
      </c>
      <c r="H2031" s="54" t="n">
        <v>18223</v>
      </c>
      <c r="I2031" s="54" t="s">
        <v>295</v>
      </c>
      <c r="J2031" s="54" t="s">
        <v>693</v>
      </c>
    </row>
    <row r="2032" customFormat="false" ht="15" hidden="false" customHeight="true" outlineLevel="0" collapsed="false">
      <c r="A2032" s="54" t="n">
        <v>20260710</v>
      </c>
      <c r="B2032" s="54" t="s">
        <v>688</v>
      </c>
      <c r="C2032" s="54" t="s">
        <v>307</v>
      </c>
      <c r="D2032" s="54" t="s">
        <v>4665</v>
      </c>
      <c r="E2032" s="54" t="s">
        <v>4666</v>
      </c>
      <c r="F2032" s="54" t="s">
        <v>3627</v>
      </c>
      <c r="G2032" s="54" t="s">
        <v>4669</v>
      </c>
      <c r="H2032" s="54" t="n">
        <v>14503</v>
      </c>
      <c r="I2032" s="54" t="s">
        <v>295</v>
      </c>
      <c r="J2032" s="54" t="s">
        <v>693</v>
      </c>
    </row>
    <row r="2033" customFormat="false" ht="15" hidden="false" customHeight="true" outlineLevel="0" collapsed="false">
      <c r="A2033" s="54" t="n">
        <v>20260710</v>
      </c>
      <c r="B2033" s="54" t="s">
        <v>289</v>
      </c>
      <c r="C2033" s="54" t="s">
        <v>307</v>
      </c>
      <c r="D2033" s="54" t="s">
        <v>4670</v>
      </c>
      <c r="E2033" s="54" t="s">
        <v>4671</v>
      </c>
      <c r="F2033" s="54" t="s">
        <v>4672</v>
      </c>
      <c r="G2033" s="54" t="s">
        <v>4673</v>
      </c>
      <c r="H2033" s="54" t="n">
        <v>18382</v>
      </c>
      <c r="I2033" s="54" t="s">
        <v>295</v>
      </c>
      <c r="J2033" s="54" t="s">
        <v>1133</v>
      </c>
    </row>
    <row r="2034" customFormat="false" ht="15" hidden="false" customHeight="true" outlineLevel="0" collapsed="false">
      <c r="A2034" s="54" t="n">
        <v>20260710</v>
      </c>
      <c r="B2034" s="54" t="s">
        <v>289</v>
      </c>
      <c r="C2034" s="54" t="s">
        <v>307</v>
      </c>
      <c r="D2034" s="54" t="s">
        <v>4670</v>
      </c>
      <c r="E2034" s="54" t="s">
        <v>4671</v>
      </c>
      <c r="F2034" s="54" t="s">
        <v>4674</v>
      </c>
      <c r="G2034" s="54" t="s">
        <v>4675</v>
      </c>
      <c r="H2034" s="54" t="n">
        <v>14273</v>
      </c>
      <c r="I2034" s="54" t="s">
        <v>295</v>
      </c>
      <c r="J2034" s="54" t="s">
        <v>1133</v>
      </c>
    </row>
    <row r="2035" customFormat="false" ht="15" hidden="false" customHeight="true" outlineLevel="0" collapsed="false">
      <c r="A2035" s="54" t="n">
        <v>20260710</v>
      </c>
      <c r="B2035" s="54" t="s">
        <v>188</v>
      </c>
      <c r="C2035" s="54" t="s">
        <v>307</v>
      </c>
      <c r="D2035" s="54" t="s">
        <v>4676</v>
      </c>
      <c r="E2035" s="54" t="s">
        <v>4677</v>
      </c>
      <c r="F2035" s="54" t="s">
        <v>4678</v>
      </c>
      <c r="G2035" s="54" t="s">
        <v>4679</v>
      </c>
      <c r="H2035" s="54" t="n">
        <v>20013</v>
      </c>
      <c r="I2035" s="54" t="s">
        <v>295</v>
      </c>
      <c r="J2035" s="54" t="s">
        <v>2393</v>
      </c>
    </row>
    <row r="2036" customFormat="false" ht="15" hidden="false" customHeight="true" outlineLevel="0" collapsed="false">
      <c r="A2036" s="54" t="n">
        <v>20260710</v>
      </c>
      <c r="B2036" s="54" t="s">
        <v>188</v>
      </c>
      <c r="C2036" s="54" t="s">
        <v>307</v>
      </c>
      <c r="D2036" s="54" t="s">
        <v>4676</v>
      </c>
      <c r="E2036" s="54" t="s">
        <v>4677</v>
      </c>
      <c r="F2036" s="54" t="s">
        <v>4680</v>
      </c>
      <c r="G2036" s="54" t="s">
        <v>573</v>
      </c>
      <c r="H2036" s="54" t="n">
        <v>8926</v>
      </c>
      <c r="I2036" s="54" t="s">
        <v>295</v>
      </c>
      <c r="J2036" s="54" t="s">
        <v>2393</v>
      </c>
    </row>
    <row r="2037" customFormat="false" ht="15" hidden="false" customHeight="true" outlineLevel="0" collapsed="false">
      <c r="A2037" s="54" t="n">
        <v>20260710</v>
      </c>
      <c r="B2037" s="54" t="s">
        <v>592</v>
      </c>
      <c r="C2037" s="54" t="s">
        <v>290</v>
      </c>
      <c r="D2037" s="54" t="s">
        <v>4681</v>
      </c>
      <c r="E2037" s="54" t="s">
        <v>4682</v>
      </c>
      <c r="F2037" s="54" t="s">
        <v>4683</v>
      </c>
      <c r="G2037" s="54" t="s">
        <v>4684</v>
      </c>
      <c r="H2037" s="54" t="n">
        <v>14969</v>
      </c>
      <c r="I2037" s="54" t="s">
        <v>295</v>
      </c>
      <c r="J2037" s="54" t="s">
        <v>1381</v>
      </c>
    </row>
    <row r="2038" customFormat="false" ht="15" hidden="false" customHeight="true" outlineLevel="0" collapsed="false">
      <c r="A2038" s="54" t="n">
        <v>20260710</v>
      </c>
      <c r="B2038" s="54" t="s">
        <v>592</v>
      </c>
      <c r="C2038" s="54" t="s">
        <v>290</v>
      </c>
      <c r="D2038" s="54" t="s">
        <v>4681</v>
      </c>
      <c r="E2038" s="54" t="s">
        <v>4682</v>
      </c>
      <c r="F2038" s="54" t="s">
        <v>4685</v>
      </c>
      <c r="G2038" s="54" t="s">
        <v>4686</v>
      </c>
      <c r="H2038" s="54" t="n">
        <v>13803</v>
      </c>
      <c r="I2038" s="54" t="s">
        <v>295</v>
      </c>
      <c r="J2038" s="54" t="s">
        <v>1381</v>
      </c>
    </row>
    <row r="2039" customFormat="false" ht="15" hidden="false" customHeight="true" outlineLevel="0" collapsed="false">
      <c r="A2039" s="54" t="n">
        <v>20260710</v>
      </c>
      <c r="B2039" s="54" t="s">
        <v>306</v>
      </c>
      <c r="C2039" s="54" t="s">
        <v>290</v>
      </c>
      <c r="D2039" s="54" t="s">
        <v>4687</v>
      </c>
      <c r="E2039" s="54" t="s">
        <v>4688</v>
      </c>
      <c r="F2039" s="54" t="s">
        <v>4689</v>
      </c>
      <c r="G2039" s="54" t="s">
        <v>3464</v>
      </c>
      <c r="H2039" s="54" t="n">
        <v>10972</v>
      </c>
      <c r="I2039" s="54" t="s">
        <v>295</v>
      </c>
      <c r="J2039" s="54" t="s">
        <v>948</v>
      </c>
    </row>
    <row r="2040" customFormat="false" ht="15" hidden="false" customHeight="true" outlineLevel="0" collapsed="false">
      <c r="A2040" s="54" t="n">
        <v>20260710</v>
      </c>
      <c r="B2040" s="54" t="s">
        <v>306</v>
      </c>
      <c r="C2040" s="54" t="s">
        <v>290</v>
      </c>
      <c r="D2040" s="54" t="s">
        <v>4687</v>
      </c>
      <c r="E2040" s="54" t="s">
        <v>4688</v>
      </c>
      <c r="F2040" s="54" t="s">
        <v>682</v>
      </c>
      <c r="G2040" s="54" t="s">
        <v>4690</v>
      </c>
      <c r="H2040" s="54" t="n">
        <v>10680</v>
      </c>
      <c r="I2040" s="54" t="s">
        <v>295</v>
      </c>
      <c r="J2040" s="54" t="s">
        <v>948</v>
      </c>
    </row>
    <row r="2041" customFormat="false" ht="15" hidden="false" customHeight="true" outlineLevel="0" collapsed="false">
      <c r="A2041" s="54" t="n">
        <v>20260710</v>
      </c>
      <c r="B2041" s="54" t="s">
        <v>306</v>
      </c>
      <c r="C2041" s="54" t="s">
        <v>290</v>
      </c>
      <c r="D2041" s="54" t="s">
        <v>4687</v>
      </c>
      <c r="E2041" s="54" t="s">
        <v>4688</v>
      </c>
      <c r="F2041" s="54" t="s">
        <v>2618</v>
      </c>
      <c r="G2041" s="54" t="s">
        <v>4691</v>
      </c>
      <c r="H2041" s="54" t="n">
        <v>7157</v>
      </c>
      <c r="I2041" s="54" t="s">
        <v>295</v>
      </c>
      <c r="J2041" s="54" t="s">
        <v>948</v>
      </c>
    </row>
    <row r="2042" customFormat="false" ht="15" hidden="false" customHeight="true" outlineLevel="0" collapsed="false">
      <c r="A2042" s="54" t="n">
        <v>20260710</v>
      </c>
      <c r="B2042" s="54" t="s">
        <v>289</v>
      </c>
      <c r="C2042" s="54" t="s">
        <v>290</v>
      </c>
      <c r="D2042" s="54" t="s">
        <v>4692</v>
      </c>
      <c r="E2042" s="54" t="s">
        <v>4693</v>
      </c>
      <c r="F2042" s="54" t="s">
        <v>4694</v>
      </c>
      <c r="G2042" s="54" t="s">
        <v>4695</v>
      </c>
      <c r="H2042" s="54" t="n">
        <v>18394</v>
      </c>
      <c r="I2042" s="54" t="s">
        <v>295</v>
      </c>
      <c r="J2042" s="54" t="s">
        <v>631</v>
      </c>
    </row>
    <row r="2043" customFormat="false" ht="15" hidden="false" customHeight="true" outlineLevel="0" collapsed="false">
      <c r="A2043" s="54" t="n">
        <v>20260710</v>
      </c>
      <c r="B2043" s="54" t="s">
        <v>289</v>
      </c>
      <c r="C2043" s="54" t="s">
        <v>290</v>
      </c>
      <c r="D2043" s="54" t="s">
        <v>4692</v>
      </c>
      <c r="E2043" s="54" t="s">
        <v>4693</v>
      </c>
      <c r="F2043" s="54" t="s">
        <v>4283</v>
      </c>
      <c r="G2043" s="54" t="s">
        <v>4696</v>
      </c>
      <c r="H2043" s="54" t="n">
        <v>10814</v>
      </c>
      <c r="I2043" s="54" t="s">
        <v>295</v>
      </c>
      <c r="J2043" s="54" t="s">
        <v>631</v>
      </c>
    </row>
    <row r="2044" customFormat="false" ht="15" hidden="false" customHeight="true" outlineLevel="0" collapsed="false">
      <c r="A2044" s="54" t="n">
        <v>20260710</v>
      </c>
      <c r="B2044" s="54" t="s">
        <v>535</v>
      </c>
      <c r="C2044" s="54" t="s">
        <v>290</v>
      </c>
      <c r="D2044" s="54" t="s">
        <v>4697</v>
      </c>
      <c r="E2044" s="54" t="s">
        <v>4698</v>
      </c>
      <c r="F2044" s="54" t="s">
        <v>4699</v>
      </c>
      <c r="G2044" s="54" t="s">
        <v>1020</v>
      </c>
      <c r="H2044" s="54" t="n">
        <v>14434</v>
      </c>
      <c r="I2044" s="54" t="s">
        <v>295</v>
      </c>
      <c r="J2044" s="54" t="s">
        <v>677</v>
      </c>
    </row>
    <row r="2045" customFormat="false" ht="15" hidden="false" customHeight="true" outlineLevel="0" collapsed="false">
      <c r="A2045" s="54" t="n">
        <v>20260710</v>
      </c>
      <c r="B2045" s="54" t="s">
        <v>535</v>
      </c>
      <c r="C2045" s="54" t="s">
        <v>290</v>
      </c>
      <c r="D2045" s="54" t="s">
        <v>4697</v>
      </c>
      <c r="E2045" s="54" t="s">
        <v>4698</v>
      </c>
      <c r="F2045" s="54" t="s">
        <v>4700</v>
      </c>
      <c r="G2045" s="54" t="s">
        <v>4701</v>
      </c>
      <c r="H2045" s="54" t="n">
        <v>14271</v>
      </c>
      <c r="I2045" s="54" t="s">
        <v>295</v>
      </c>
      <c r="J2045" s="54" t="s">
        <v>677</v>
      </c>
    </row>
    <row r="2046" customFormat="false" ht="15" hidden="false" customHeight="true" outlineLevel="0" collapsed="false">
      <c r="A2046" s="54" t="n">
        <v>20260710</v>
      </c>
      <c r="B2046" s="54" t="s">
        <v>306</v>
      </c>
      <c r="C2046" s="54" t="s">
        <v>290</v>
      </c>
      <c r="D2046" s="54" t="s">
        <v>4702</v>
      </c>
      <c r="E2046" s="54" t="s">
        <v>4703</v>
      </c>
      <c r="F2046" s="54" t="s">
        <v>4704</v>
      </c>
      <c r="G2046" s="54" t="s">
        <v>4705</v>
      </c>
      <c r="H2046" s="54" t="n">
        <v>28800</v>
      </c>
      <c r="I2046" s="54" t="s">
        <v>295</v>
      </c>
      <c r="J2046" s="54" t="s">
        <v>989</v>
      </c>
    </row>
    <row r="2047" customFormat="false" ht="15" hidden="false" customHeight="true" outlineLevel="0" collapsed="false">
      <c r="A2047" s="54" t="n">
        <v>20260710</v>
      </c>
      <c r="B2047" s="54" t="s">
        <v>306</v>
      </c>
      <c r="C2047" s="54" t="s">
        <v>290</v>
      </c>
      <c r="D2047" s="54" t="s">
        <v>4702</v>
      </c>
      <c r="E2047" s="54" t="s">
        <v>4703</v>
      </c>
      <c r="F2047" s="54" t="s">
        <v>4706</v>
      </c>
      <c r="G2047" s="54" t="s">
        <v>4707</v>
      </c>
      <c r="H2047" s="54" t="n">
        <v>3639</v>
      </c>
      <c r="I2047" s="54" t="s">
        <v>295</v>
      </c>
      <c r="J2047" s="54" t="s">
        <v>989</v>
      </c>
    </row>
    <row r="2048" customFormat="false" ht="15" hidden="false" customHeight="true" outlineLevel="0" collapsed="false">
      <c r="A2048" s="54" t="n">
        <v>20260710</v>
      </c>
      <c r="B2048" s="54" t="s">
        <v>535</v>
      </c>
      <c r="C2048" s="54" t="s">
        <v>290</v>
      </c>
      <c r="D2048" s="54" t="s">
        <v>4708</v>
      </c>
      <c r="E2048" s="54" t="s">
        <v>4709</v>
      </c>
      <c r="F2048" s="54" t="s">
        <v>2079</v>
      </c>
      <c r="G2048" s="54" t="s">
        <v>4710</v>
      </c>
      <c r="H2048" s="54" t="n">
        <v>1</v>
      </c>
      <c r="I2048" s="54" t="s">
        <v>295</v>
      </c>
      <c r="J2048" s="54" t="s">
        <v>734</v>
      </c>
    </row>
    <row r="2049" customFormat="false" ht="15" hidden="false" customHeight="true" outlineLevel="0" collapsed="false">
      <c r="A2049" s="54" t="n">
        <v>20260710</v>
      </c>
      <c r="B2049" s="54" t="s">
        <v>535</v>
      </c>
      <c r="C2049" s="54" t="s">
        <v>290</v>
      </c>
      <c r="D2049" s="54" t="s">
        <v>4708</v>
      </c>
      <c r="E2049" s="54" t="s">
        <v>4709</v>
      </c>
      <c r="F2049" s="54" t="s">
        <v>4711</v>
      </c>
      <c r="G2049" s="54" t="s">
        <v>2199</v>
      </c>
      <c r="H2049" s="54" t="n">
        <v>14465</v>
      </c>
      <c r="I2049" s="54" t="s">
        <v>295</v>
      </c>
      <c r="J2049" s="54" t="s">
        <v>734</v>
      </c>
    </row>
    <row r="2050" customFormat="false" ht="15" hidden="false" customHeight="true" outlineLevel="0" collapsed="false">
      <c r="A2050" s="54" t="n">
        <v>20260710</v>
      </c>
      <c r="B2050" s="54" t="s">
        <v>535</v>
      </c>
      <c r="C2050" s="54" t="s">
        <v>290</v>
      </c>
      <c r="D2050" s="54" t="s">
        <v>4708</v>
      </c>
      <c r="E2050" s="54" t="s">
        <v>4709</v>
      </c>
      <c r="F2050" s="54" t="s">
        <v>4712</v>
      </c>
      <c r="G2050" s="54" t="s">
        <v>1502</v>
      </c>
      <c r="H2050" s="54" t="n">
        <v>14445</v>
      </c>
      <c r="I2050" s="54" t="s">
        <v>295</v>
      </c>
      <c r="J2050" s="54" t="s">
        <v>734</v>
      </c>
    </row>
    <row r="2051" customFormat="false" ht="15" hidden="false" customHeight="true" outlineLevel="0" collapsed="false">
      <c r="A2051" s="54" t="n">
        <v>20260710</v>
      </c>
      <c r="B2051" s="54" t="s">
        <v>688</v>
      </c>
      <c r="C2051" s="54" t="s">
        <v>307</v>
      </c>
      <c r="D2051" s="54" t="s">
        <v>4713</v>
      </c>
      <c r="E2051" s="54" t="s">
        <v>4714</v>
      </c>
      <c r="F2051" s="54" t="s">
        <v>4715</v>
      </c>
      <c r="G2051" s="54" t="s">
        <v>4716</v>
      </c>
      <c r="H2051" s="54" t="n">
        <v>4692</v>
      </c>
      <c r="I2051" s="54" t="s">
        <v>295</v>
      </c>
      <c r="J2051" s="54" t="s">
        <v>745</v>
      </c>
    </row>
    <row r="2052" customFormat="false" ht="15" hidden="false" customHeight="true" outlineLevel="0" collapsed="false">
      <c r="A2052" s="54" t="n">
        <v>20260710</v>
      </c>
      <c r="B2052" s="54" t="s">
        <v>688</v>
      </c>
      <c r="C2052" s="54" t="s">
        <v>307</v>
      </c>
      <c r="D2052" s="54" t="s">
        <v>4713</v>
      </c>
      <c r="E2052" s="54" t="s">
        <v>4714</v>
      </c>
      <c r="F2052" s="54" t="s">
        <v>4717</v>
      </c>
      <c r="G2052" s="54" t="s">
        <v>4718</v>
      </c>
      <c r="H2052" s="54" t="n">
        <v>6692</v>
      </c>
      <c r="I2052" s="54" t="s">
        <v>295</v>
      </c>
      <c r="J2052" s="54" t="s">
        <v>745</v>
      </c>
    </row>
    <row r="2053" customFormat="false" ht="15" hidden="false" customHeight="true" outlineLevel="0" collapsed="false">
      <c r="A2053" s="54" t="n">
        <v>20260710</v>
      </c>
      <c r="B2053" s="54" t="s">
        <v>688</v>
      </c>
      <c r="C2053" s="54" t="s">
        <v>307</v>
      </c>
      <c r="D2053" s="54" t="s">
        <v>4713</v>
      </c>
      <c r="E2053" s="54" t="s">
        <v>4714</v>
      </c>
      <c r="F2053" s="54" t="s">
        <v>4719</v>
      </c>
      <c r="G2053" s="54" t="s">
        <v>2958</v>
      </c>
      <c r="H2053" s="54" t="n">
        <v>18076</v>
      </c>
      <c r="I2053" s="54" t="s">
        <v>295</v>
      </c>
      <c r="J2053" s="54" t="s">
        <v>745</v>
      </c>
    </row>
    <row r="2054" customFormat="false" ht="15" hidden="false" customHeight="true" outlineLevel="0" collapsed="false">
      <c r="A2054" s="54" t="n">
        <v>20260710</v>
      </c>
      <c r="B2054" s="54" t="s">
        <v>306</v>
      </c>
      <c r="C2054" s="54" t="s">
        <v>290</v>
      </c>
      <c r="D2054" s="54" t="s">
        <v>4720</v>
      </c>
      <c r="E2054" s="54" t="s">
        <v>4721</v>
      </c>
      <c r="F2054" s="54" t="s">
        <v>4722</v>
      </c>
      <c r="G2054" s="54" t="s">
        <v>4723</v>
      </c>
      <c r="H2054" s="54" t="n">
        <v>18984</v>
      </c>
      <c r="I2054" s="54" t="s">
        <v>295</v>
      </c>
      <c r="J2054" s="54" t="s">
        <v>989</v>
      </c>
    </row>
    <row r="2055" customFormat="false" ht="15" hidden="false" customHeight="true" outlineLevel="0" collapsed="false">
      <c r="A2055" s="54" t="n">
        <v>20260710</v>
      </c>
      <c r="B2055" s="54" t="s">
        <v>306</v>
      </c>
      <c r="C2055" s="54" t="s">
        <v>290</v>
      </c>
      <c r="D2055" s="54" t="s">
        <v>4720</v>
      </c>
      <c r="E2055" s="54" t="s">
        <v>4721</v>
      </c>
      <c r="F2055" s="54" t="s">
        <v>4724</v>
      </c>
      <c r="G2055" s="54" t="s">
        <v>4725</v>
      </c>
      <c r="H2055" s="54" t="n">
        <v>1382</v>
      </c>
      <c r="I2055" s="54" t="s">
        <v>295</v>
      </c>
      <c r="J2055" s="54" t="s">
        <v>989</v>
      </c>
    </row>
    <row r="2056" customFormat="false" ht="15" hidden="false" customHeight="true" outlineLevel="0" collapsed="false">
      <c r="A2056" s="54" t="n">
        <v>20260710</v>
      </c>
      <c r="B2056" s="54" t="s">
        <v>306</v>
      </c>
      <c r="C2056" s="54" t="s">
        <v>290</v>
      </c>
      <c r="D2056" s="54" t="s">
        <v>4720</v>
      </c>
      <c r="E2056" s="54" t="s">
        <v>4721</v>
      </c>
      <c r="F2056" s="54" t="s">
        <v>4726</v>
      </c>
      <c r="G2056" s="54" t="s">
        <v>4727</v>
      </c>
      <c r="H2056" s="54" t="n">
        <v>3039</v>
      </c>
      <c r="I2056" s="54" t="s">
        <v>295</v>
      </c>
      <c r="J2056" s="54" t="s">
        <v>989</v>
      </c>
    </row>
    <row r="2057" customFormat="false" ht="15" hidden="false" customHeight="true" outlineLevel="0" collapsed="false">
      <c r="A2057" s="54" t="n">
        <v>20260710</v>
      </c>
      <c r="B2057" s="54" t="s">
        <v>306</v>
      </c>
      <c r="C2057" s="54" t="s">
        <v>290</v>
      </c>
      <c r="D2057" s="54" t="s">
        <v>4720</v>
      </c>
      <c r="E2057" s="54" t="s">
        <v>4721</v>
      </c>
      <c r="F2057" s="54" t="s">
        <v>4728</v>
      </c>
      <c r="G2057" s="54" t="s">
        <v>4729</v>
      </c>
      <c r="H2057" s="54" t="n">
        <v>1637</v>
      </c>
      <c r="I2057" s="54" t="s">
        <v>295</v>
      </c>
      <c r="J2057" s="54" t="s">
        <v>989</v>
      </c>
    </row>
    <row r="2058" customFormat="false" ht="15" hidden="false" customHeight="true" outlineLevel="0" collapsed="false">
      <c r="A2058" s="54" t="n">
        <v>20260710</v>
      </c>
      <c r="B2058" s="54" t="s">
        <v>306</v>
      </c>
      <c r="C2058" s="54" t="s">
        <v>290</v>
      </c>
      <c r="D2058" s="54" t="s">
        <v>4720</v>
      </c>
      <c r="E2058" s="54" t="s">
        <v>4721</v>
      </c>
      <c r="F2058" s="54" t="s">
        <v>4730</v>
      </c>
      <c r="G2058" s="54" t="s">
        <v>4731</v>
      </c>
      <c r="H2058" s="54" t="n">
        <v>3341</v>
      </c>
      <c r="I2058" s="54" t="s">
        <v>295</v>
      </c>
      <c r="J2058" s="54" t="s">
        <v>989</v>
      </c>
    </row>
    <row r="2059" customFormat="false" ht="15" hidden="false" customHeight="true" outlineLevel="0" collapsed="false">
      <c r="A2059" s="54" t="n">
        <v>20260710</v>
      </c>
      <c r="B2059" s="54" t="s">
        <v>306</v>
      </c>
      <c r="C2059" s="54" t="s">
        <v>290</v>
      </c>
      <c r="D2059" s="54" t="s">
        <v>4720</v>
      </c>
      <c r="E2059" s="54" t="s">
        <v>4721</v>
      </c>
      <c r="F2059" s="54" t="s">
        <v>4732</v>
      </c>
      <c r="G2059" s="54" t="s">
        <v>4733</v>
      </c>
      <c r="H2059" s="54" t="n">
        <v>2451</v>
      </c>
      <c r="I2059" s="54" t="s">
        <v>295</v>
      </c>
      <c r="J2059" s="54" t="s">
        <v>989</v>
      </c>
    </row>
    <row r="2060" customFormat="false" ht="15" hidden="false" customHeight="true" outlineLevel="0" collapsed="false">
      <c r="A2060" s="54" t="n">
        <v>20260710</v>
      </c>
      <c r="B2060" s="54" t="s">
        <v>306</v>
      </c>
      <c r="C2060" s="54" t="s">
        <v>290</v>
      </c>
      <c r="D2060" s="54" t="s">
        <v>4720</v>
      </c>
      <c r="E2060" s="54" t="s">
        <v>4721</v>
      </c>
      <c r="F2060" s="54" t="s">
        <v>4734</v>
      </c>
      <c r="G2060" s="54" t="s">
        <v>4735</v>
      </c>
      <c r="H2060" s="54" t="n">
        <v>461</v>
      </c>
      <c r="I2060" s="54" t="s">
        <v>295</v>
      </c>
      <c r="J2060" s="54" t="s">
        <v>989</v>
      </c>
    </row>
    <row r="2061" customFormat="false" ht="15" hidden="false" customHeight="true" outlineLevel="0" collapsed="false">
      <c r="A2061" s="54" t="n">
        <v>20260710</v>
      </c>
      <c r="B2061" s="54" t="s">
        <v>306</v>
      </c>
      <c r="C2061" s="54" t="s">
        <v>290</v>
      </c>
      <c r="D2061" s="54" t="s">
        <v>4720</v>
      </c>
      <c r="E2061" s="54" t="s">
        <v>4721</v>
      </c>
      <c r="F2061" s="54" t="s">
        <v>4736</v>
      </c>
      <c r="G2061" s="54" t="s">
        <v>4737</v>
      </c>
      <c r="H2061" s="54" t="n">
        <v>2</v>
      </c>
      <c r="I2061" s="54" t="s">
        <v>295</v>
      </c>
      <c r="J2061" s="54" t="s">
        <v>989</v>
      </c>
    </row>
    <row r="2062" customFormat="false" ht="15" hidden="false" customHeight="true" outlineLevel="0" collapsed="false">
      <c r="A2062" s="54" t="n">
        <v>20260710</v>
      </c>
      <c r="B2062" s="54" t="s">
        <v>306</v>
      </c>
      <c r="C2062" s="54" t="s">
        <v>290</v>
      </c>
      <c r="D2062" s="54" t="s">
        <v>4720</v>
      </c>
      <c r="E2062" s="54" t="s">
        <v>4721</v>
      </c>
      <c r="F2062" s="54" t="s">
        <v>4738</v>
      </c>
      <c r="G2062" s="54" t="s">
        <v>4739</v>
      </c>
      <c r="H2062" s="54" t="n">
        <v>2728</v>
      </c>
      <c r="I2062" s="54" t="s">
        <v>295</v>
      </c>
      <c r="J2062" s="54" t="s">
        <v>989</v>
      </c>
    </row>
    <row r="2063" customFormat="false" ht="15" hidden="false" customHeight="true" outlineLevel="0" collapsed="false">
      <c r="A2063" s="54" t="n">
        <v>20260710</v>
      </c>
      <c r="B2063" s="54" t="s">
        <v>592</v>
      </c>
      <c r="C2063" s="54" t="s">
        <v>290</v>
      </c>
      <c r="D2063" s="54" t="s">
        <v>4740</v>
      </c>
      <c r="E2063" s="54" t="s">
        <v>4741</v>
      </c>
      <c r="F2063" s="54" t="s">
        <v>3014</v>
      </c>
      <c r="G2063" s="54" t="s">
        <v>4742</v>
      </c>
      <c r="H2063" s="54" t="n">
        <v>14504</v>
      </c>
      <c r="I2063" s="54" t="s">
        <v>295</v>
      </c>
      <c r="J2063" s="54" t="s">
        <v>597</v>
      </c>
    </row>
    <row r="2064" customFormat="false" ht="15" hidden="false" customHeight="true" outlineLevel="0" collapsed="false">
      <c r="A2064" s="54" t="n">
        <v>20260710</v>
      </c>
      <c r="B2064" s="54" t="s">
        <v>592</v>
      </c>
      <c r="C2064" s="54" t="s">
        <v>290</v>
      </c>
      <c r="D2064" s="54" t="s">
        <v>4740</v>
      </c>
      <c r="E2064" s="54" t="s">
        <v>4741</v>
      </c>
      <c r="F2064" s="54" t="s">
        <v>4743</v>
      </c>
      <c r="G2064" s="54" t="s">
        <v>4744</v>
      </c>
      <c r="H2064" s="54" t="n">
        <v>208</v>
      </c>
      <c r="I2064" s="54" t="s">
        <v>295</v>
      </c>
      <c r="J2064" s="54" t="s">
        <v>597</v>
      </c>
    </row>
    <row r="2065" customFormat="false" ht="15" hidden="false" customHeight="true" outlineLevel="0" collapsed="false">
      <c r="A2065" s="54" t="n">
        <v>20260710</v>
      </c>
      <c r="B2065" s="54" t="s">
        <v>592</v>
      </c>
      <c r="C2065" s="54" t="s">
        <v>290</v>
      </c>
      <c r="D2065" s="54" t="s">
        <v>4740</v>
      </c>
      <c r="E2065" s="54" t="s">
        <v>4741</v>
      </c>
      <c r="F2065" s="54" t="s">
        <v>4745</v>
      </c>
      <c r="G2065" s="54" t="s">
        <v>4746</v>
      </c>
      <c r="H2065" s="54" t="n">
        <v>13912</v>
      </c>
      <c r="I2065" s="54" t="s">
        <v>295</v>
      </c>
      <c r="J2065" s="54" t="s">
        <v>597</v>
      </c>
    </row>
    <row r="2066" customFormat="false" ht="15" hidden="false" customHeight="true" outlineLevel="0" collapsed="false">
      <c r="A2066" s="54" t="n">
        <v>20260710</v>
      </c>
      <c r="B2066" s="54" t="s">
        <v>289</v>
      </c>
      <c r="C2066" s="54" t="s">
        <v>290</v>
      </c>
      <c r="D2066" s="54" t="s">
        <v>4747</v>
      </c>
      <c r="E2066" s="54" t="s">
        <v>4748</v>
      </c>
      <c r="F2066" s="54" t="s">
        <v>4749</v>
      </c>
      <c r="G2066" s="54" t="s">
        <v>4750</v>
      </c>
      <c r="H2066" s="54" t="n">
        <v>18834</v>
      </c>
      <c r="I2066" s="54" t="s">
        <v>295</v>
      </c>
      <c r="J2066" s="54" t="s">
        <v>439</v>
      </c>
    </row>
    <row r="2067" customFormat="false" ht="15" hidden="false" customHeight="true" outlineLevel="0" collapsed="false">
      <c r="A2067" s="54" t="n">
        <v>20260710</v>
      </c>
      <c r="B2067" s="54" t="s">
        <v>289</v>
      </c>
      <c r="C2067" s="54" t="s">
        <v>290</v>
      </c>
      <c r="D2067" s="54" t="s">
        <v>4747</v>
      </c>
      <c r="E2067" s="54" t="s">
        <v>4748</v>
      </c>
      <c r="F2067" s="54" t="s">
        <v>4751</v>
      </c>
      <c r="G2067" s="54" t="s">
        <v>4752</v>
      </c>
      <c r="H2067" s="54" t="n">
        <v>11029</v>
      </c>
      <c r="I2067" s="54" t="s">
        <v>295</v>
      </c>
      <c r="J2067" s="54" t="s">
        <v>439</v>
      </c>
    </row>
    <row r="2068" customFormat="false" ht="15" hidden="false" customHeight="true" outlineLevel="0" collapsed="false">
      <c r="A2068" s="54" t="n">
        <v>20260710</v>
      </c>
      <c r="B2068" s="54" t="s">
        <v>289</v>
      </c>
      <c r="C2068" s="54" t="s">
        <v>290</v>
      </c>
      <c r="D2068" s="54" t="s">
        <v>4753</v>
      </c>
      <c r="E2068" s="54" t="s">
        <v>4754</v>
      </c>
      <c r="F2068" s="54" t="s">
        <v>4755</v>
      </c>
      <c r="G2068" s="54" t="s">
        <v>4756</v>
      </c>
      <c r="H2068" s="54" t="n">
        <v>341</v>
      </c>
      <c r="I2068" s="54" t="s">
        <v>295</v>
      </c>
      <c r="J2068" s="54" t="s">
        <v>414</v>
      </c>
    </row>
    <row r="2069" customFormat="false" ht="15" hidden="false" customHeight="true" outlineLevel="0" collapsed="false">
      <c r="A2069" s="54" t="n">
        <v>20260710</v>
      </c>
      <c r="B2069" s="54" t="s">
        <v>289</v>
      </c>
      <c r="C2069" s="54" t="s">
        <v>290</v>
      </c>
      <c r="D2069" s="54" t="s">
        <v>4753</v>
      </c>
      <c r="E2069" s="54" t="s">
        <v>4754</v>
      </c>
      <c r="F2069" s="54" t="s">
        <v>4757</v>
      </c>
      <c r="G2069" s="54" t="s">
        <v>4758</v>
      </c>
      <c r="H2069" s="54" t="n">
        <v>238</v>
      </c>
      <c r="I2069" s="54" t="s">
        <v>295</v>
      </c>
      <c r="J2069" s="54" t="s">
        <v>414</v>
      </c>
    </row>
    <row r="2070" customFormat="false" ht="15" hidden="false" customHeight="true" outlineLevel="0" collapsed="false">
      <c r="A2070" s="54" t="n">
        <v>20260710</v>
      </c>
      <c r="B2070" s="54" t="s">
        <v>289</v>
      </c>
      <c r="C2070" s="54" t="s">
        <v>290</v>
      </c>
      <c r="D2070" s="54" t="s">
        <v>4753</v>
      </c>
      <c r="E2070" s="54" t="s">
        <v>4754</v>
      </c>
      <c r="F2070" s="54" t="s">
        <v>4759</v>
      </c>
      <c r="G2070" s="54" t="s">
        <v>4760</v>
      </c>
      <c r="H2070" s="54" t="n">
        <v>1061</v>
      </c>
      <c r="I2070" s="54" t="s">
        <v>295</v>
      </c>
      <c r="J2070" s="54" t="s">
        <v>414</v>
      </c>
    </row>
    <row r="2071" customFormat="false" ht="15" hidden="false" customHeight="true" outlineLevel="0" collapsed="false">
      <c r="A2071" s="54" t="n">
        <v>20260710</v>
      </c>
      <c r="B2071" s="54" t="s">
        <v>289</v>
      </c>
      <c r="C2071" s="54" t="s">
        <v>290</v>
      </c>
      <c r="D2071" s="54" t="s">
        <v>4753</v>
      </c>
      <c r="E2071" s="54" t="s">
        <v>4754</v>
      </c>
      <c r="F2071" s="54" t="s">
        <v>4761</v>
      </c>
      <c r="G2071" s="54" t="s">
        <v>4762</v>
      </c>
      <c r="H2071" s="54" t="n">
        <v>955</v>
      </c>
      <c r="I2071" s="54" t="s">
        <v>295</v>
      </c>
      <c r="J2071" s="54" t="s">
        <v>414</v>
      </c>
    </row>
    <row r="2072" customFormat="false" ht="15" hidden="false" customHeight="true" outlineLevel="0" collapsed="false">
      <c r="A2072" s="54" t="n">
        <v>20260710</v>
      </c>
      <c r="B2072" s="54" t="s">
        <v>289</v>
      </c>
      <c r="C2072" s="54" t="s">
        <v>290</v>
      </c>
      <c r="D2072" s="54" t="s">
        <v>4753</v>
      </c>
      <c r="E2072" s="54" t="s">
        <v>4754</v>
      </c>
      <c r="F2072" s="54" t="s">
        <v>4763</v>
      </c>
      <c r="G2072" s="54" t="s">
        <v>1169</v>
      </c>
      <c r="H2072" s="54" t="n">
        <v>9737</v>
      </c>
      <c r="I2072" s="54" t="s">
        <v>295</v>
      </c>
      <c r="J2072" s="54" t="s">
        <v>414</v>
      </c>
    </row>
    <row r="2073" customFormat="false" ht="15" hidden="false" customHeight="true" outlineLevel="0" collapsed="false">
      <c r="A2073" s="54" t="n">
        <v>20260710</v>
      </c>
      <c r="B2073" s="54" t="s">
        <v>289</v>
      </c>
      <c r="C2073" s="54" t="s">
        <v>290</v>
      </c>
      <c r="D2073" s="54" t="s">
        <v>4753</v>
      </c>
      <c r="E2073" s="54" t="s">
        <v>4754</v>
      </c>
      <c r="F2073" s="54" t="s">
        <v>1591</v>
      </c>
      <c r="G2073" s="54" t="s">
        <v>4764</v>
      </c>
      <c r="H2073" s="54" t="n">
        <v>8667</v>
      </c>
      <c r="I2073" s="54" t="s">
        <v>295</v>
      </c>
      <c r="J2073" s="54" t="s">
        <v>414</v>
      </c>
    </row>
    <row r="2074" customFormat="false" ht="15" hidden="false" customHeight="true" outlineLevel="0" collapsed="false">
      <c r="A2074" s="54" t="n">
        <v>20260710</v>
      </c>
      <c r="B2074" s="54" t="s">
        <v>289</v>
      </c>
      <c r="C2074" s="54" t="s">
        <v>290</v>
      </c>
      <c r="D2074" s="54" t="s">
        <v>4753</v>
      </c>
      <c r="E2074" s="54" t="s">
        <v>4754</v>
      </c>
      <c r="F2074" s="54" t="s">
        <v>4765</v>
      </c>
      <c r="G2074" s="54" t="s">
        <v>4766</v>
      </c>
      <c r="H2074" s="54" t="n">
        <v>11790</v>
      </c>
      <c r="I2074" s="54" t="s">
        <v>295</v>
      </c>
      <c r="J2074" s="54" t="s">
        <v>414</v>
      </c>
    </row>
    <row r="2075" customFormat="false" ht="15" hidden="false" customHeight="true" outlineLevel="0" collapsed="false">
      <c r="A2075" s="54" t="n">
        <v>20260710</v>
      </c>
      <c r="B2075" s="54" t="s">
        <v>188</v>
      </c>
      <c r="C2075" s="54" t="s">
        <v>307</v>
      </c>
      <c r="D2075" s="54" t="s">
        <v>4767</v>
      </c>
      <c r="E2075" s="54" t="s">
        <v>4768</v>
      </c>
      <c r="F2075" s="54" t="s">
        <v>4769</v>
      </c>
      <c r="G2075" s="54" t="s">
        <v>4770</v>
      </c>
      <c r="H2075" s="54" t="n">
        <v>17976</v>
      </c>
      <c r="I2075" s="54" t="s">
        <v>295</v>
      </c>
      <c r="J2075" s="54" t="s">
        <v>2393</v>
      </c>
    </row>
    <row r="2076" customFormat="false" ht="15" hidden="false" customHeight="true" outlineLevel="0" collapsed="false">
      <c r="A2076" s="54" t="n">
        <v>20260710</v>
      </c>
      <c r="B2076" s="54" t="s">
        <v>188</v>
      </c>
      <c r="C2076" s="54" t="s">
        <v>307</v>
      </c>
      <c r="D2076" s="54" t="s">
        <v>4767</v>
      </c>
      <c r="E2076" s="54" t="s">
        <v>4768</v>
      </c>
      <c r="F2076" s="54" t="s">
        <v>4771</v>
      </c>
      <c r="G2076" s="54" t="s">
        <v>4772</v>
      </c>
      <c r="H2076" s="54" t="n">
        <v>10550</v>
      </c>
      <c r="I2076" s="54" t="s">
        <v>295</v>
      </c>
      <c r="J2076" s="54" t="s">
        <v>2393</v>
      </c>
    </row>
    <row r="2077" customFormat="false" ht="15" hidden="false" customHeight="true" outlineLevel="0" collapsed="false">
      <c r="A2077" s="54" t="n">
        <v>20260710</v>
      </c>
      <c r="B2077" s="54" t="s">
        <v>306</v>
      </c>
      <c r="C2077" s="54" t="s">
        <v>307</v>
      </c>
      <c r="D2077" s="54" t="s">
        <v>4773</v>
      </c>
      <c r="E2077" s="54" t="s">
        <v>4774</v>
      </c>
      <c r="F2077" s="54" t="s">
        <v>3041</v>
      </c>
      <c r="G2077" s="54" t="s">
        <v>903</v>
      </c>
      <c r="H2077" s="54" t="n">
        <v>17988</v>
      </c>
      <c r="I2077" s="54" t="s">
        <v>295</v>
      </c>
      <c r="J2077" s="54" t="s">
        <v>312</v>
      </c>
    </row>
    <row r="2078" customFormat="false" ht="15" hidden="false" customHeight="true" outlineLevel="0" collapsed="false">
      <c r="A2078" s="54" t="n">
        <v>20260710</v>
      </c>
      <c r="B2078" s="54" t="s">
        <v>306</v>
      </c>
      <c r="C2078" s="54" t="s">
        <v>307</v>
      </c>
      <c r="D2078" s="54" t="s">
        <v>4773</v>
      </c>
      <c r="E2078" s="54" t="s">
        <v>4774</v>
      </c>
      <c r="F2078" s="54" t="s">
        <v>3990</v>
      </c>
      <c r="G2078" s="54" t="s">
        <v>4775</v>
      </c>
      <c r="H2078" s="54" t="n">
        <v>3933</v>
      </c>
      <c r="I2078" s="54" t="s">
        <v>295</v>
      </c>
      <c r="J2078" s="54" t="s">
        <v>312</v>
      </c>
    </row>
    <row r="2079" customFormat="false" ht="15" hidden="false" customHeight="true" outlineLevel="0" collapsed="false">
      <c r="A2079" s="54" t="n">
        <v>20260710</v>
      </c>
      <c r="B2079" s="54" t="s">
        <v>306</v>
      </c>
      <c r="C2079" s="54" t="s">
        <v>307</v>
      </c>
      <c r="D2079" s="54" t="s">
        <v>4773</v>
      </c>
      <c r="E2079" s="54" t="s">
        <v>4774</v>
      </c>
      <c r="F2079" s="54" t="s">
        <v>4776</v>
      </c>
      <c r="G2079" s="54" t="s">
        <v>1090</v>
      </c>
      <c r="H2079" s="54" t="n">
        <v>10415</v>
      </c>
      <c r="I2079" s="54" t="s">
        <v>295</v>
      </c>
      <c r="J2079" s="54" t="s">
        <v>312</v>
      </c>
    </row>
    <row r="2080" customFormat="false" ht="15" hidden="false" customHeight="true" outlineLevel="0" collapsed="false">
      <c r="A2080" s="54" t="n">
        <v>20260710</v>
      </c>
      <c r="B2080" s="54" t="s">
        <v>289</v>
      </c>
      <c r="C2080" s="54" t="s">
        <v>290</v>
      </c>
      <c r="D2080" s="54" t="s">
        <v>4777</v>
      </c>
      <c r="E2080" s="54" t="s">
        <v>4778</v>
      </c>
      <c r="F2080" s="54" t="s">
        <v>4779</v>
      </c>
      <c r="G2080" s="54" t="s">
        <v>4780</v>
      </c>
      <c r="H2080" s="54" t="n">
        <v>36</v>
      </c>
      <c r="I2080" s="54" t="s">
        <v>295</v>
      </c>
      <c r="J2080" s="54" t="s">
        <v>1016</v>
      </c>
    </row>
    <row r="2081" customFormat="false" ht="15" hidden="false" customHeight="true" outlineLevel="0" collapsed="false">
      <c r="A2081" s="54" t="n">
        <v>20260710</v>
      </c>
      <c r="B2081" s="54" t="s">
        <v>289</v>
      </c>
      <c r="C2081" s="54" t="s">
        <v>290</v>
      </c>
      <c r="D2081" s="54" t="s">
        <v>4777</v>
      </c>
      <c r="E2081" s="54" t="s">
        <v>4778</v>
      </c>
      <c r="F2081" s="54" t="s">
        <v>4781</v>
      </c>
      <c r="G2081" s="54" t="s">
        <v>4782</v>
      </c>
      <c r="H2081" s="54" t="n">
        <v>18166</v>
      </c>
      <c r="I2081" s="54" t="s">
        <v>295</v>
      </c>
      <c r="J2081" s="54" t="s">
        <v>1016</v>
      </c>
    </row>
    <row r="2082" customFormat="false" ht="15" hidden="false" customHeight="true" outlineLevel="0" collapsed="false">
      <c r="A2082" s="54" t="n">
        <v>20260710</v>
      </c>
      <c r="B2082" s="54" t="s">
        <v>289</v>
      </c>
      <c r="C2082" s="54" t="s">
        <v>290</v>
      </c>
      <c r="D2082" s="54" t="s">
        <v>4777</v>
      </c>
      <c r="E2082" s="54" t="s">
        <v>4778</v>
      </c>
      <c r="F2082" s="54" t="s">
        <v>2133</v>
      </c>
      <c r="G2082" s="54" t="s">
        <v>3224</v>
      </c>
      <c r="H2082" s="54" t="n">
        <v>10960</v>
      </c>
      <c r="I2082" s="54" t="s">
        <v>295</v>
      </c>
      <c r="J2082" s="54" t="s">
        <v>1016</v>
      </c>
    </row>
    <row r="2083" customFormat="false" ht="15" hidden="false" customHeight="true" outlineLevel="0" collapsed="false">
      <c r="A2083" s="54" t="n">
        <v>20260710</v>
      </c>
      <c r="B2083" s="54" t="s">
        <v>306</v>
      </c>
      <c r="C2083" s="54" t="s">
        <v>307</v>
      </c>
      <c r="D2083" s="54" t="s">
        <v>4783</v>
      </c>
      <c r="E2083" s="54" t="s">
        <v>4784</v>
      </c>
      <c r="F2083" s="54" t="s">
        <v>4785</v>
      </c>
      <c r="G2083" s="54" t="s">
        <v>4786</v>
      </c>
      <c r="H2083" s="54" t="n">
        <v>8187</v>
      </c>
      <c r="I2083" s="54" t="s">
        <v>295</v>
      </c>
      <c r="J2083" s="54" t="s">
        <v>392</v>
      </c>
    </row>
    <row r="2084" customFormat="false" ht="15" hidden="false" customHeight="true" outlineLevel="0" collapsed="false">
      <c r="A2084" s="54" t="n">
        <v>20260710</v>
      </c>
      <c r="B2084" s="54" t="s">
        <v>306</v>
      </c>
      <c r="C2084" s="54" t="s">
        <v>307</v>
      </c>
      <c r="D2084" s="54" t="s">
        <v>4783</v>
      </c>
      <c r="E2084" s="54" t="s">
        <v>4784</v>
      </c>
      <c r="F2084" s="54" t="s">
        <v>2032</v>
      </c>
      <c r="G2084" s="54" t="s">
        <v>4786</v>
      </c>
      <c r="H2084" s="54" t="n">
        <v>8186</v>
      </c>
      <c r="I2084" s="54" t="s">
        <v>315</v>
      </c>
      <c r="J2084" s="54" t="s">
        <v>392</v>
      </c>
    </row>
    <row r="2085" customFormat="false" ht="15" hidden="false" customHeight="true" outlineLevel="0" collapsed="false">
      <c r="A2085" s="54" t="n">
        <v>20260710</v>
      </c>
      <c r="B2085" s="54" t="s">
        <v>306</v>
      </c>
      <c r="C2085" s="54" t="s">
        <v>307</v>
      </c>
      <c r="D2085" s="54" t="s">
        <v>4783</v>
      </c>
      <c r="E2085" s="54" t="s">
        <v>4784</v>
      </c>
      <c r="F2085" s="54" t="s">
        <v>4787</v>
      </c>
      <c r="G2085" s="54" t="s">
        <v>4788</v>
      </c>
      <c r="H2085" s="54" t="n">
        <v>7330</v>
      </c>
      <c r="I2085" s="54" t="s">
        <v>295</v>
      </c>
      <c r="J2085" s="54" t="s">
        <v>392</v>
      </c>
    </row>
    <row r="2086" customFormat="false" ht="15" hidden="false" customHeight="true" outlineLevel="0" collapsed="false">
      <c r="A2086" s="54" t="n">
        <v>20260710</v>
      </c>
      <c r="B2086" s="54" t="s">
        <v>306</v>
      </c>
      <c r="C2086" s="54" t="s">
        <v>307</v>
      </c>
      <c r="D2086" s="54" t="s">
        <v>4783</v>
      </c>
      <c r="E2086" s="54" t="s">
        <v>4784</v>
      </c>
      <c r="F2086" s="54" t="s">
        <v>4787</v>
      </c>
      <c r="G2086" s="54" t="s">
        <v>4789</v>
      </c>
      <c r="H2086" s="54" t="n">
        <v>7490</v>
      </c>
      <c r="I2086" s="54" t="s">
        <v>315</v>
      </c>
      <c r="J2086" s="54" t="s">
        <v>392</v>
      </c>
    </row>
    <row r="2087" customFormat="false" ht="15" hidden="false" customHeight="true" outlineLevel="0" collapsed="false">
      <c r="A2087" s="54" t="n">
        <v>20260710</v>
      </c>
      <c r="B2087" s="54" t="s">
        <v>306</v>
      </c>
      <c r="C2087" s="54" t="s">
        <v>307</v>
      </c>
      <c r="D2087" s="54" t="s">
        <v>4783</v>
      </c>
      <c r="E2087" s="54" t="s">
        <v>4784</v>
      </c>
      <c r="F2087" s="54" t="s">
        <v>4056</v>
      </c>
      <c r="G2087" s="54" t="s">
        <v>4790</v>
      </c>
      <c r="H2087" s="54" t="n">
        <v>115</v>
      </c>
      <c r="I2087" s="54" t="s">
        <v>295</v>
      </c>
      <c r="J2087" s="54" t="s">
        <v>392</v>
      </c>
    </row>
    <row r="2088" customFormat="false" ht="15" hidden="false" customHeight="true" outlineLevel="0" collapsed="false">
      <c r="A2088" s="54" t="n">
        <v>20260710</v>
      </c>
      <c r="B2088" s="54" t="s">
        <v>306</v>
      </c>
      <c r="C2088" s="54" t="s">
        <v>307</v>
      </c>
      <c r="D2088" s="54" t="s">
        <v>4783</v>
      </c>
      <c r="E2088" s="54" t="s">
        <v>4784</v>
      </c>
      <c r="F2088" s="54" t="s">
        <v>4791</v>
      </c>
      <c r="G2088" s="54" t="s">
        <v>4792</v>
      </c>
      <c r="H2088" s="54" t="n">
        <v>2345</v>
      </c>
      <c r="I2088" s="54" t="s">
        <v>295</v>
      </c>
      <c r="J2088" s="54" t="s">
        <v>392</v>
      </c>
    </row>
    <row r="2089" customFormat="false" ht="15" hidden="false" customHeight="true" outlineLevel="0" collapsed="false">
      <c r="A2089" s="54" t="n">
        <v>20260710</v>
      </c>
      <c r="B2089" s="54" t="s">
        <v>306</v>
      </c>
      <c r="C2089" s="54" t="s">
        <v>307</v>
      </c>
      <c r="D2089" s="54" t="s">
        <v>4783</v>
      </c>
      <c r="E2089" s="54" t="s">
        <v>4784</v>
      </c>
      <c r="F2089" s="54" t="s">
        <v>1396</v>
      </c>
      <c r="G2089" s="54" t="s">
        <v>4792</v>
      </c>
      <c r="H2089" s="54" t="n">
        <v>2344</v>
      </c>
      <c r="I2089" s="54" t="s">
        <v>315</v>
      </c>
      <c r="J2089" s="54" t="s">
        <v>392</v>
      </c>
    </row>
    <row r="2090" customFormat="false" ht="15" hidden="false" customHeight="true" outlineLevel="0" collapsed="false">
      <c r="A2090" s="54" t="n">
        <v>20260710</v>
      </c>
      <c r="B2090" s="54" t="s">
        <v>306</v>
      </c>
      <c r="C2090" s="54" t="s">
        <v>307</v>
      </c>
      <c r="D2090" s="54" t="s">
        <v>4783</v>
      </c>
      <c r="E2090" s="54" t="s">
        <v>4784</v>
      </c>
      <c r="F2090" s="54" t="s">
        <v>765</v>
      </c>
      <c r="G2090" s="54" t="s">
        <v>4793</v>
      </c>
      <c r="H2090" s="54" t="n">
        <v>10254</v>
      </c>
      <c r="I2090" s="54" t="s">
        <v>315</v>
      </c>
      <c r="J2090" s="54" t="s">
        <v>392</v>
      </c>
    </row>
    <row r="2091" customFormat="false" ht="15" hidden="false" customHeight="true" outlineLevel="0" collapsed="false">
      <c r="A2091" s="54" t="n">
        <v>20260710</v>
      </c>
      <c r="B2091" s="54" t="s">
        <v>306</v>
      </c>
      <c r="C2091" s="54" t="s">
        <v>307</v>
      </c>
      <c r="D2091" s="54" t="s">
        <v>4783</v>
      </c>
      <c r="E2091" s="54" t="s">
        <v>4784</v>
      </c>
      <c r="F2091" s="54" t="s">
        <v>765</v>
      </c>
      <c r="G2091" s="54" t="s">
        <v>4793</v>
      </c>
      <c r="H2091" s="54" t="n">
        <v>10254</v>
      </c>
      <c r="I2091" s="54" t="s">
        <v>295</v>
      </c>
      <c r="J2091" s="54" t="s">
        <v>392</v>
      </c>
    </row>
    <row r="2092" customFormat="false" ht="15" hidden="false" customHeight="true" outlineLevel="0" collapsed="false">
      <c r="A2092" s="54" t="n">
        <v>20260710</v>
      </c>
      <c r="B2092" s="54" t="s">
        <v>306</v>
      </c>
      <c r="C2092" s="54" t="s">
        <v>307</v>
      </c>
      <c r="D2092" s="54" t="s">
        <v>4783</v>
      </c>
      <c r="E2092" s="54" t="s">
        <v>4784</v>
      </c>
      <c r="F2092" s="54" t="s">
        <v>4794</v>
      </c>
      <c r="G2092" s="54" t="s">
        <v>4795</v>
      </c>
      <c r="H2092" s="54" t="n">
        <v>4224</v>
      </c>
      <c r="I2092" s="54" t="s">
        <v>295</v>
      </c>
      <c r="J2092" s="54" t="s">
        <v>392</v>
      </c>
    </row>
    <row r="2093" customFormat="false" ht="15" hidden="false" customHeight="true" outlineLevel="0" collapsed="false">
      <c r="A2093" s="54" t="n">
        <v>20260710</v>
      </c>
      <c r="B2093" s="54" t="s">
        <v>306</v>
      </c>
      <c r="C2093" s="54" t="s">
        <v>307</v>
      </c>
      <c r="D2093" s="54" t="s">
        <v>4783</v>
      </c>
      <c r="E2093" s="54" t="s">
        <v>4784</v>
      </c>
      <c r="F2093" s="54" t="s">
        <v>4794</v>
      </c>
      <c r="G2093" s="54" t="s">
        <v>2178</v>
      </c>
      <c r="H2093" s="54" t="n">
        <v>4226</v>
      </c>
      <c r="I2093" s="54" t="s">
        <v>315</v>
      </c>
      <c r="J2093" s="54" t="s">
        <v>392</v>
      </c>
    </row>
    <row r="2094" customFormat="false" ht="15" hidden="false" customHeight="true" outlineLevel="0" collapsed="false">
      <c r="A2094" s="54" t="n">
        <v>20260710</v>
      </c>
      <c r="B2094" s="54" t="s">
        <v>289</v>
      </c>
      <c r="C2094" s="54" t="s">
        <v>290</v>
      </c>
      <c r="D2094" s="54" t="s">
        <v>4796</v>
      </c>
      <c r="E2094" s="54" t="s">
        <v>509</v>
      </c>
      <c r="F2094" s="54" t="s">
        <v>4797</v>
      </c>
      <c r="G2094" s="54" t="s">
        <v>1179</v>
      </c>
      <c r="H2094" s="54" t="n">
        <v>16019</v>
      </c>
      <c r="I2094" s="54" t="s">
        <v>295</v>
      </c>
      <c r="J2094" s="54" t="s">
        <v>1650</v>
      </c>
    </row>
    <row r="2095" customFormat="false" ht="15" hidden="false" customHeight="true" outlineLevel="0" collapsed="false">
      <c r="A2095" s="54" t="n">
        <v>20260710</v>
      </c>
      <c r="B2095" s="54" t="s">
        <v>289</v>
      </c>
      <c r="C2095" s="54" t="s">
        <v>290</v>
      </c>
      <c r="D2095" s="54" t="s">
        <v>4796</v>
      </c>
      <c r="E2095" s="54" t="s">
        <v>509</v>
      </c>
      <c r="F2095" s="54" t="s">
        <v>3504</v>
      </c>
      <c r="G2095" s="54" t="s">
        <v>4798</v>
      </c>
      <c r="H2095" s="54" t="n">
        <v>2</v>
      </c>
      <c r="I2095" s="54" t="s">
        <v>295</v>
      </c>
      <c r="J2095" s="54" t="s">
        <v>1650</v>
      </c>
    </row>
    <row r="2096" customFormat="false" ht="15" hidden="false" customHeight="true" outlineLevel="0" collapsed="false">
      <c r="A2096" s="54" t="n">
        <v>20260710</v>
      </c>
      <c r="B2096" s="54" t="s">
        <v>168</v>
      </c>
      <c r="C2096" s="54" t="s">
        <v>307</v>
      </c>
      <c r="D2096" s="54" t="s">
        <v>4799</v>
      </c>
      <c r="E2096" s="54" t="s">
        <v>4800</v>
      </c>
      <c r="F2096" s="54" t="s">
        <v>1539</v>
      </c>
      <c r="G2096" s="54" t="s">
        <v>4801</v>
      </c>
      <c r="H2096" s="54" t="n">
        <v>3200</v>
      </c>
      <c r="I2096" s="54" t="s">
        <v>295</v>
      </c>
      <c r="J2096" s="54" t="s">
        <v>326</v>
      </c>
    </row>
    <row r="2097" customFormat="false" ht="15" hidden="false" customHeight="true" outlineLevel="0" collapsed="false">
      <c r="A2097" s="54" t="n">
        <v>20260710</v>
      </c>
      <c r="B2097" s="54" t="s">
        <v>168</v>
      </c>
      <c r="C2097" s="54" t="s">
        <v>307</v>
      </c>
      <c r="D2097" s="54" t="s">
        <v>4799</v>
      </c>
      <c r="E2097" s="54" t="s">
        <v>4800</v>
      </c>
      <c r="F2097" s="54" t="s">
        <v>4802</v>
      </c>
      <c r="G2097" s="54" t="s">
        <v>2864</v>
      </c>
      <c r="H2097" s="54" t="n">
        <v>10988</v>
      </c>
      <c r="I2097" s="54" t="s">
        <v>295</v>
      </c>
      <c r="J2097" s="54" t="s">
        <v>326</v>
      </c>
    </row>
    <row r="2098" customFormat="false" ht="15" hidden="false" customHeight="true" outlineLevel="0" collapsed="false">
      <c r="A2098" s="54" t="n">
        <v>20260710</v>
      </c>
      <c r="B2098" s="54" t="s">
        <v>168</v>
      </c>
      <c r="C2098" s="54" t="s">
        <v>307</v>
      </c>
      <c r="D2098" s="54" t="s">
        <v>4799</v>
      </c>
      <c r="E2098" s="54" t="s">
        <v>4800</v>
      </c>
      <c r="F2098" s="54" t="s">
        <v>4792</v>
      </c>
      <c r="G2098" s="54" t="s">
        <v>1448</v>
      </c>
      <c r="H2098" s="54" t="n">
        <v>14622</v>
      </c>
      <c r="I2098" s="54" t="s">
        <v>295</v>
      </c>
      <c r="J2098" s="54" t="s">
        <v>326</v>
      </c>
    </row>
    <row r="2099" customFormat="false" ht="15" hidden="false" customHeight="true" outlineLevel="0" collapsed="false">
      <c r="A2099" s="54" t="n">
        <v>20260710</v>
      </c>
      <c r="B2099" s="54" t="s">
        <v>306</v>
      </c>
      <c r="C2099" s="54" t="s">
        <v>290</v>
      </c>
      <c r="D2099" s="54" t="s">
        <v>4803</v>
      </c>
      <c r="E2099" s="54" t="s">
        <v>4804</v>
      </c>
      <c r="F2099" s="54" t="s">
        <v>4805</v>
      </c>
      <c r="G2099" s="54" t="s">
        <v>4806</v>
      </c>
      <c r="H2099" s="54" t="n">
        <v>28800</v>
      </c>
      <c r="I2099" s="54" t="s">
        <v>295</v>
      </c>
      <c r="J2099" s="54" t="s">
        <v>368</v>
      </c>
    </row>
    <row r="2100" customFormat="false" ht="15" hidden="false" customHeight="true" outlineLevel="0" collapsed="false">
      <c r="A2100" s="54" t="n">
        <v>20260710</v>
      </c>
      <c r="B2100" s="54" t="s">
        <v>306</v>
      </c>
      <c r="C2100" s="54" t="s">
        <v>290</v>
      </c>
      <c r="D2100" s="54" t="s">
        <v>4803</v>
      </c>
      <c r="E2100" s="54" t="s">
        <v>4804</v>
      </c>
      <c r="F2100" s="54" t="s">
        <v>4807</v>
      </c>
      <c r="G2100" s="54" t="s">
        <v>4808</v>
      </c>
      <c r="H2100" s="54" t="n">
        <v>28823</v>
      </c>
      <c r="I2100" s="54" t="s">
        <v>315</v>
      </c>
      <c r="J2100" s="54" t="s">
        <v>368</v>
      </c>
    </row>
    <row r="2101" customFormat="false" ht="15" hidden="false" customHeight="true" outlineLevel="0" collapsed="false">
      <c r="A2101" s="54" t="n">
        <v>20260710</v>
      </c>
      <c r="B2101" s="54" t="s">
        <v>306</v>
      </c>
      <c r="C2101" s="54" t="s">
        <v>290</v>
      </c>
      <c r="D2101" s="54" t="s">
        <v>4809</v>
      </c>
      <c r="E2101" s="54" t="s">
        <v>4810</v>
      </c>
      <c r="F2101" s="54" t="s">
        <v>4811</v>
      </c>
      <c r="G2101" s="54" t="s">
        <v>4812</v>
      </c>
      <c r="H2101" s="54" t="n">
        <v>13218</v>
      </c>
      <c r="I2101" s="54" t="s">
        <v>295</v>
      </c>
      <c r="J2101" s="54" t="s">
        <v>368</v>
      </c>
    </row>
    <row r="2102" customFormat="false" ht="15" hidden="false" customHeight="true" outlineLevel="0" collapsed="false">
      <c r="A2102" s="54" t="n">
        <v>20260710</v>
      </c>
      <c r="B2102" s="54" t="s">
        <v>306</v>
      </c>
      <c r="C2102" s="54" t="s">
        <v>290</v>
      </c>
      <c r="D2102" s="54" t="s">
        <v>4809</v>
      </c>
      <c r="E2102" s="54" t="s">
        <v>4810</v>
      </c>
      <c r="F2102" s="54" t="s">
        <v>4813</v>
      </c>
      <c r="G2102" s="54" t="s">
        <v>4812</v>
      </c>
      <c r="H2102" s="54" t="n">
        <v>13217</v>
      </c>
      <c r="I2102" s="54" t="s">
        <v>315</v>
      </c>
      <c r="J2102" s="54" t="s">
        <v>368</v>
      </c>
    </row>
    <row r="2103" customFormat="false" ht="15" hidden="false" customHeight="true" outlineLevel="0" collapsed="false">
      <c r="A2103" s="54" t="n">
        <v>20260710</v>
      </c>
      <c r="B2103" s="54" t="s">
        <v>306</v>
      </c>
      <c r="C2103" s="54" t="s">
        <v>290</v>
      </c>
      <c r="D2103" s="54" t="s">
        <v>4809</v>
      </c>
      <c r="E2103" s="54" t="s">
        <v>4810</v>
      </c>
      <c r="F2103" s="54" t="s">
        <v>4814</v>
      </c>
      <c r="G2103" s="54" t="s">
        <v>4815</v>
      </c>
      <c r="H2103" s="54" t="n">
        <v>12912</v>
      </c>
      <c r="I2103" s="54" t="s">
        <v>295</v>
      </c>
      <c r="J2103" s="54" t="s">
        <v>368</v>
      </c>
    </row>
    <row r="2104" customFormat="false" ht="15" hidden="false" customHeight="true" outlineLevel="0" collapsed="false">
      <c r="A2104" s="54" t="n">
        <v>20260710</v>
      </c>
      <c r="B2104" s="54" t="s">
        <v>306</v>
      </c>
      <c r="C2104" s="54" t="s">
        <v>290</v>
      </c>
      <c r="D2104" s="54" t="s">
        <v>4809</v>
      </c>
      <c r="E2104" s="54" t="s">
        <v>4810</v>
      </c>
      <c r="F2104" s="54" t="s">
        <v>4814</v>
      </c>
      <c r="G2104" s="54" t="s">
        <v>4816</v>
      </c>
      <c r="H2104" s="54" t="n">
        <v>12914</v>
      </c>
      <c r="I2104" s="54" t="s">
        <v>315</v>
      </c>
      <c r="J2104" s="54" t="s">
        <v>368</v>
      </c>
    </row>
    <row r="2105" customFormat="false" ht="15" hidden="false" customHeight="true" outlineLevel="0" collapsed="false">
      <c r="A2105" s="54" t="n">
        <v>20260710</v>
      </c>
      <c r="B2105" s="54" t="s">
        <v>306</v>
      </c>
      <c r="C2105" s="54" t="s">
        <v>290</v>
      </c>
      <c r="D2105" s="54" t="s">
        <v>4809</v>
      </c>
      <c r="E2105" s="54" t="s">
        <v>4810</v>
      </c>
      <c r="F2105" s="54" t="s">
        <v>4817</v>
      </c>
      <c r="G2105" s="54" t="s">
        <v>4818</v>
      </c>
      <c r="H2105" s="54" t="n">
        <v>3110</v>
      </c>
      <c r="I2105" s="54" t="s">
        <v>295</v>
      </c>
      <c r="J2105" s="54" t="s">
        <v>368</v>
      </c>
    </row>
    <row r="2106" customFormat="false" ht="15" hidden="false" customHeight="true" outlineLevel="0" collapsed="false">
      <c r="A2106" s="54" t="n">
        <v>20260710</v>
      </c>
      <c r="B2106" s="54" t="s">
        <v>306</v>
      </c>
      <c r="C2106" s="54" t="s">
        <v>290</v>
      </c>
      <c r="D2106" s="54" t="s">
        <v>4809</v>
      </c>
      <c r="E2106" s="54" t="s">
        <v>4810</v>
      </c>
      <c r="F2106" s="54" t="s">
        <v>4817</v>
      </c>
      <c r="G2106" s="54" t="s">
        <v>4819</v>
      </c>
      <c r="H2106" s="54" t="n">
        <v>3111</v>
      </c>
      <c r="I2106" s="54" t="s">
        <v>315</v>
      </c>
      <c r="J2106" s="54" t="s">
        <v>368</v>
      </c>
    </row>
    <row r="2107" customFormat="false" ht="15" hidden="false" customHeight="true" outlineLevel="0" collapsed="false">
      <c r="A2107" s="54" t="n">
        <v>20260710</v>
      </c>
      <c r="B2107" s="54" t="s">
        <v>306</v>
      </c>
      <c r="C2107" s="54" t="s">
        <v>290</v>
      </c>
      <c r="D2107" s="54" t="s">
        <v>4820</v>
      </c>
      <c r="E2107" s="54" t="s">
        <v>4821</v>
      </c>
      <c r="F2107" s="54" t="s">
        <v>4822</v>
      </c>
      <c r="G2107" s="54" t="s">
        <v>4823</v>
      </c>
      <c r="H2107" s="54" t="n">
        <v>9968</v>
      </c>
      <c r="I2107" s="54" t="s">
        <v>295</v>
      </c>
      <c r="J2107" s="54" t="s">
        <v>375</v>
      </c>
    </row>
    <row r="2108" customFormat="false" ht="15" hidden="false" customHeight="true" outlineLevel="0" collapsed="false">
      <c r="A2108" s="54" t="n">
        <v>20260710</v>
      </c>
      <c r="B2108" s="54" t="s">
        <v>306</v>
      </c>
      <c r="C2108" s="54" t="s">
        <v>290</v>
      </c>
      <c r="D2108" s="54" t="s">
        <v>4820</v>
      </c>
      <c r="E2108" s="54" t="s">
        <v>4821</v>
      </c>
      <c r="F2108" s="54" t="s">
        <v>4824</v>
      </c>
      <c r="G2108" s="54" t="s">
        <v>851</v>
      </c>
      <c r="H2108" s="54" t="n">
        <v>7875</v>
      </c>
      <c r="I2108" s="54" t="s">
        <v>295</v>
      </c>
      <c r="J2108" s="54" t="s">
        <v>375</v>
      </c>
    </row>
    <row r="2109" customFormat="false" ht="15" hidden="false" customHeight="true" outlineLevel="0" collapsed="false">
      <c r="A2109" s="54" t="n">
        <v>20260710</v>
      </c>
      <c r="B2109" s="54" t="s">
        <v>306</v>
      </c>
      <c r="C2109" s="54" t="s">
        <v>290</v>
      </c>
      <c r="D2109" s="54" t="s">
        <v>4820</v>
      </c>
      <c r="E2109" s="54" t="s">
        <v>4821</v>
      </c>
      <c r="F2109" s="54" t="s">
        <v>1995</v>
      </c>
      <c r="G2109" s="54" t="s">
        <v>4825</v>
      </c>
      <c r="H2109" s="54" t="n">
        <v>12784</v>
      </c>
      <c r="I2109" s="54" t="s">
        <v>295</v>
      </c>
      <c r="J2109" s="54" t="s">
        <v>375</v>
      </c>
    </row>
    <row r="2110" customFormat="false" ht="15" hidden="false" customHeight="true" outlineLevel="0" collapsed="false">
      <c r="A2110" s="54" t="n">
        <v>20260710</v>
      </c>
      <c r="B2110" s="54" t="s">
        <v>688</v>
      </c>
      <c r="C2110" s="54" t="s">
        <v>307</v>
      </c>
      <c r="D2110" s="54" t="s">
        <v>4826</v>
      </c>
      <c r="E2110" s="54" t="s">
        <v>224</v>
      </c>
      <c r="F2110" s="54" t="s">
        <v>4827</v>
      </c>
      <c r="G2110" s="54" t="s">
        <v>4828</v>
      </c>
      <c r="H2110" s="54" t="n">
        <v>23</v>
      </c>
      <c r="I2110" s="54" t="s">
        <v>295</v>
      </c>
      <c r="J2110" s="54" t="s">
        <v>142</v>
      </c>
    </row>
    <row r="2111" customFormat="false" ht="15" hidden="false" customHeight="true" outlineLevel="0" collapsed="false">
      <c r="A2111" s="54" t="n">
        <v>20260710</v>
      </c>
      <c r="B2111" s="54" t="s">
        <v>688</v>
      </c>
      <c r="C2111" s="54" t="s">
        <v>307</v>
      </c>
      <c r="D2111" s="54" t="s">
        <v>4826</v>
      </c>
      <c r="E2111" s="54" t="s">
        <v>224</v>
      </c>
      <c r="F2111" s="54" t="s">
        <v>4829</v>
      </c>
      <c r="G2111" s="54" t="s">
        <v>2771</v>
      </c>
      <c r="H2111" s="54" t="n">
        <v>11070</v>
      </c>
      <c r="I2111" s="54" t="s">
        <v>295</v>
      </c>
      <c r="J2111" s="54" t="s">
        <v>142</v>
      </c>
    </row>
    <row r="2112" customFormat="false" ht="15" hidden="false" customHeight="true" outlineLevel="0" collapsed="false">
      <c r="A2112" s="54" t="n">
        <v>20260710</v>
      </c>
      <c r="B2112" s="54" t="s">
        <v>688</v>
      </c>
      <c r="C2112" s="54" t="s">
        <v>307</v>
      </c>
      <c r="D2112" s="54" t="s">
        <v>4826</v>
      </c>
      <c r="E2112" s="54" t="s">
        <v>224</v>
      </c>
      <c r="F2112" s="54" t="s">
        <v>4830</v>
      </c>
      <c r="G2112" s="54" t="s">
        <v>4831</v>
      </c>
      <c r="H2112" s="54" t="n">
        <v>18052</v>
      </c>
      <c r="I2112" s="54" t="s">
        <v>295</v>
      </c>
      <c r="J2112" s="54" t="s">
        <v>142</v>
      </c>
    </row>
    <row r="2113" customFormat="false" ht="15" hidden="false" customHeight="true" outlineLevel="0" collapsed="false">
      <c r="A2113" s="54" t="n">
        <v>20260710</v>
      </c>
      <c r="B2113" s="54" t="s">
        <v>535</v>
      </c>
      <c r="C2113" s="54" t="s">
        <v>307</v>
      </c>
      <c r="D2113" s="54" t="s">
        <v>4832</v>
      </c>
      <c r="E2113" s="54" t="s">
        <v>4833</v>
      </c>
      <c r="F2113" s="54" t="s">
        <v>957</v>
      </c>
      <c r="G2113" s="54" t="s">
        <v>4834</v>
      </c>
      <c r="H2113" s="54" t="n">
        <v>14491</v>
      </c>
      <c r="I2113" s="54" t="s">
        <v>295</v>
      </c>
      <c r="J2113" s="54" t="s">
        <v>540</v>
      </c>
    </row>
    <row r="2114" customFormat="false" ht="15" hidden="false" customHeight="true" outlineLevel="0" collapsed="false">
      <c r="A2114" s="54" t="n">
        <v>20260710</v>
      </c>
      <c r="B2114" s="54" t="s">
        <v>535</v>
      </c>
      <c r="C2114" s="54" t="s">
        <v>307</v>
      </c>
      <c r="D2114" s="54" t="s">
        <v>4832</v>
      </c>
      <c r="E2114" s="54" t="s">
        <v>4833</v>
      </c>
      <c r="F2114" s="54" t="s">
        <v>2658</v>
      </c>
      <c r="G2114" s="54" t="s">
        <v>806</v>
      </c>
      <c r="H2114" s="54" t="n">
        <v>14366</v>
      </c>
      <c r="I2114" s="54" t="s">
        <v>295</v>
      </c>
      <c r="J2114" s="54" t="s">
        <v>540</v>
      </c>
    </row>
    <row r="2115" customFormat="false" ht="15" hidden="false" customHeight="true" outlineLevel="0" collapsed="false">
      <c r="A2115" s="54" t="n">
        <v>20260710</v>
      </c>
      <c r="B2115" s="54" t="s">
        <v>306</v>
      </c>
      <c r="C2115" s="54" t="s">
        <v>290</v>
      </c>
      <c r="D2115" s="54" t="s">
        <v>4835</v>
      </c>
      <c r="E2115" s="54" t="s">
        <v>4836</v>
      </c>
      <c r="F2115" s="54" t="s">
        <v>4837</v>
      </c>
      <c r="G2115" s="54" t="s">
        <v>4838</v>
      </c>
      <c r="H2115" s="54" t="n">
        <v>10</v>
      </c>
      <c r="I2115" s="54" t="s">
        <v>1642</v>
      </c>
      <c r="J2115" s="54" t="s">
        <v>1067</v>
      </c>
    </row>
    <row r="2116" customFormat="false" ht="15" hidden="false" customHeight="true" outlineLevel="0" collapsed="false">
      <c r="A2116" s="54" t="n">
        <v>20260710</v>
      </c>
      <c r="B2116" s="54" t="s">
        <v>306</v>
      </c>
      <c r="C2116" s="54" t="s">
        <v>290</v>
      </c>
      <c r="D2116" s="54" t="s">
        <v>4835</v>
      </c>
      <c r="E2116" s="54" t="s">
        <v>4836</v>
      </c>
      <c r="F2116" s="54" t="s">
        <v>4837</v>
      </c>
      <c r="G2116" s="54" t="s">
        <v>4839</v>
      </c>
      <c r="H2116" s="54" t="n">
        <v>18478</v>
      </c>
      <c r="I2116" s="54" t="s">
        <v>295</v>
      </c>
      <c r="J2116" s="54" t="s">
        <v>1067</v>
      </c>
    </row>
    <row r="2117" customFormat="false" ht="15" hidden="false" customHeight="true" outlineLevel="0" collapsed="false">
      <c r="A2117" s="54" t="n">
        <v>20260710</v>
      </c>
      <c r="B2117" s="54" t="s">
        <v>306</v>
      </c>
      <c r="C2117" s="54" t="s">
        <v>290</v>
      </c>
      <c r="D2117" s="54" t="s">
        <v>4835</v>
      </c>
      <c r="E2117" s="54" t="s">
        <v>4836</v>
      </c>
      <c r="F2117" s="54" t="s">
        <v>4840</v>
      </c>
      <c r="G2117" s="54" t="s">
        <v>4841</v>
      </c>
      <c r="H2117" s="54" t="n">
        <v>7</v>
      </c>
      <c r="I2117" s="54" t="s">
        <v>1642</v>
      </c>
      <c r="J2117" s="54" t="s">
        <v>1067</v>
      </c>
    </row>
    <row r="2118" customFormat="false" ht="15" hidden="false" customHeight="true" outlineLevel="0" collapsed="false">
      <c r="A2118" s="54" t="n">
        <v>20260710</v>
      </c>
      <c r="B2118" s="54" t="s">
        <v>306</v>
      </c>
      <c r="C2118" s="54" t="s">
        <v>290</v>
      </c>
      <c r="D2118" s="54" t="s">
        <v>4835</v>
      </c>
      <c r="E2118" s="54" t="s">
        <v>4836</v>
      </c>
      <c r="F2118" s="54" t="s">
        <v>4840</v>
      </c>
      <c r="G2118" s="54" t="s">
        <v>1055</v>
      </c>
      <c r="H2118" s="54" t="n">
        <v>12335</v>
      </c>
      <c r="I2118" s="54" t="s">
        <v>295</v>
      </c>
      <c r="J2118" s="54" t="s">
        <v>1067</v>
      </c>
    </row>
    <row r="2119" customFormat="false" ht="15" hidden="false" customHeight="true" outlineLevel="0" collapsed="false">
      <c r="A2119" s="54" t="n">
        <v>20260710</v>
      </c>
      <c r="B2119" s="54" t="s">
        <v>306</v>
      </c>
      <c r="C2119" s="54" t="s">
        <v>307</v>
      </c>
      <c r="D2119" s="54" t="s">
        <v>4842</v>
      </c>
      <c r="E2119" s="54" t="s">
        <v>4843</v>
      </c>
      <c r="F2119" s="54" t="s">
        <v>4361</v>
      </c>
      <c r="G2119" s="54" t="s">
        <v>812</v>
      </c>
      <c r="H2119" s="54" t="n">
        <v>17992</v>
      </c>
      <c r="I2119" s="54" t="s">
        <v>295</v>
      </c>
      <c r="J2119" s="54" t="s">
        <v>727</v>
      </c>
    </row>
    <row r="2120" customFormat="false" ht="15" hidden="false" customHeight="true" outlineLevel="0" collapsed="false">
      <c r="A2120" s="54" t="n">
        <v>20260710</v>
      </c>
      <c r="B2120" s="54" t="s">
        <v>306</v>
      </c>
      <c r="C2120" s="54" t="s">
        <v>307</v>
      </c>
      <c r="D2120" s="54" t="s">
        <v>4842</v>
      </c>
      <c r="E2120" s="54" t="s">
        <v>4843</v>
      </c>
      <c r="F2120" s="54" t="s">
        <v>4844</v>
      </c>
      <c r="G2120" s="54" t="s">
        <v>1055</v>
      </c>
      <c r="H2120" s="54" t="n">
        <v>11205</v>
      </c>
      <c r="I2120" s="54" t="s">
        <v>295</v>
      </c>
      <c r="J2120" s="54" t="s">
        <v>727</v>
      </c>
    </row>
    <row r="2121" customFormat="false" ht="15" hidden="false" customHeight="true" outlineLevel="0" collapsed="false">
      <c r="A2121" s="54" t="n">
        <v>20260710</v>
      </c>
      <c r="B2121" s="54" t="s">
        <v>535</v>
      </c>
      <c r="C2121" s="54" t="s">
        <v>290</v>
      </c>
      <c r="D2121" s="54" t="s">
        <v>4845</v>
      </c>
      <c r="E2121" s="54" t="s">
        <v>4846</v>
      </c>
      <c r="F2121" s="54" t="s">
        <v>4847</v>
      </c>
      <c r="G2121" s="54" t="s">
        <v>4848</v>
      </c>
      <c r="H2121" s="54" t="n">
        <v>79</v>
      </c>
      <c r="I2121" s="54" t="s">
        <v>295</v>
      </c>
      <c r="J2121" s="54" t="s">
        <v>811</v>
      </c>
    </row>
    <row r="2122" customFormat="false" ht="15" hidden="false" customHeight="true" outlineLevel="0" collapsed="false">
      <c r="A2122" s="54" t="n">
        <v>20260710</v>
      </c>
      <c r="B2122" s="54" t="s">
        <v>535</v>
      </c>
      <c r="C2122" s="54" t="s">
        <v>290</v>
      </c>
      <c r="D2122" s="54" t="s">
        <v>4845</v>
      </c>
      <c r="E2122" s="54" t="s">
        <v>4846</v>
      </c>
      <c r="F2122" s="54" t="s">
        <v>4849</v>
      </c>
      <c r="G2122" s="54" t="s">
        <v>4850</v>
      </c>
      <c r="H2122" s="54" t="n">
        <v>18547</v>
      </c>
      <c r="I2122" s="54" t="s">
        <v>295</v>
      </c>
      <c r="J2122" s="54" t="s">
        <v>811</v>
      </c>
    </row>
    <row r="2123" customFormat="false" ht="15" hidden="false" customHeight="true" outlineLevel="0" collapsed="false">
      <c r="A2123" s="54" t="n">
        <v>20260710</v>
      </c>
      <c r="B2123" s="54" t="s">
        <v>535</v>
      </c>
      <c r="C2123" s="54" t="s">
        <v>290</v>
      </c>
      <c r="D2123" s="54" t="s">
        <v>4845</v>
      </c>
      <c r="E2123" s="54" t="s">
        <v>4846</v>
      </c>
      <c r="F2123" s="54" t="s">
        <v>4851</v>
      </c>
      <c r="G2123" s="54" t="s">
        <v>4852</v>
      </c>
      <c r="H2123" s="54" t="n">
        <v>10006</v>
      </c>
      <c r="I2123" s="54" t="s">
        <v>295</v>
      </c>
      <c r="J2123" s="54" t="s">
        <v>811</v>
      </c>
    </row>
    <row r="2124" customFormat="false" ht="15" hidden="false" customHeight="true" outlineLevel="0" collapsed="false">
      <c r="A2124" s="54" t="n">
        <v>20260710</v>
      </c>
      <c r="B2124" s="54" t="s">
        <v>535</v>
      </c>
      <c r="C2124" s="54" t="s">
        <v>290</v>
      </c>
      <c r="D2124" s="54" t="s">
        <v>4845</v>
      </c>
      <c r="E2124" s="54" t="s">
        <v>4846</v>
      </c>
      <c r="F2124" s="54" t="s">
        <v>4853</v>
      </c>
      <c r="G2124" s="54" t="s">
        <v>2063</v>
      </c>
      <c r="H2124" s="54" t="n">
        <v>726</v>
      </c>
      <c r="I2124" s="54" t="s">
        <v>295</v>
      </c>
      <c r="J2124" s="54" t="s">
        <v>811</v>
      </c>
    </row>
    <row r="2125" customFormat="false" ht="15" hidden="false" customHeight="true" outlineLevel="0" collapsed="false">
      <c r="A2125" s="54" t="n">
        <v>20260710</v>
      </c>
      <c r="B2125" s="54" t="s">
        <v>306</v>
      </c>
      <c r="C2125" s="54" t="s">
        <v>307</v>
      </c>
      <c r="D2125" s="54" t="s">
        <v>4854</v>
      </c>
      <c r="E2125" s="54" t="s">
        <v>4855</v>
      </c>
      <c r="F2125" s="54" t="s">
        <v>2348</v>
      </c>
      <c r="G2125" s="54" t="s">
        <v>2230</v>
      </c>
      <c r="H2125" s="54" t="n">
        <v>18781</v>
      </c>
      <c r="I2125" s="54" t="s">
        <v>295</v>
      </c>
      <c r="J2125" s="54" t="s">
        <v>2347</v>
      </c>
    </row>
    <row r="2126" customFormat="false" ht="15" hidden="false" customHeight="true" outlineLevel="0" collapsed="false">
      <c r="A2126" s="54" t="n">
        <v>20260710</v>
      </c>
      <c r="B2126" s="54" t="s">
        <v>306</v>
      </c>
      <c r="C2126" s="54" t="s">
        <v>307</v>
      </c>
      <c r="D2126" s="54" t="s">
        <v>4854</v>
      </c>
      <c r="E2126" s="54" t="s">
        <v>4855</v>
      </c>
      <c r="F2126" s="54" t="s">
        <v>705</v>
      </c>
      <c r="G2126" s="54" t="s">
        <v>4856</v>
      </c>
      <c r="H2126" s="54" t="n">
        <v>18778</v>
      </c>
      <c r="I2126" s="54" t="s">
        <v>315</v>
      </c>
      <c r="J2126" s="54" t="s">
        <v>2347</v>
      </c>
    </row>
    <row r="2127" customFormat="false" ht="15" hidden="false" customHeight="true" outlineLevel="0" collapsed="false">
      <c r="A2127" s="54" t="n">
        <v>20260710</v>
      </c>
      <c r="B2127" s="54" t="s">
        <v>306</v>
      </c>
      <c r="C2127" s="54" t="s">
        <v>307</v>
      </c>
      <c r="D2127" s="54" t="s">
        <v>4854</v>
      </c>
      <c r="E2127" s="54" t="s">
        <v>4855</v>
      </c>
      <c r="F2127" s="54" t="s">
        <v>4857</v>
      </c>
      <c r="G2127" s="54" t="s">
        <v>503</v>
      </c>
      <c r="H2127" s="54" t="n">
        <v>717</v>
      </c>
      <c r="I2127" s="54" t="s">
        <v>295</v>
      </c>
      <c r="J2127" s="54" t="s">
        <v>2347</v>
      </c>
    </row>
    <row r="2128" customFormat="false" ht="15" hidden="false" customHeight="true" outlineLevel="0" collapsed="false">
      <c r="A2128" s="54" t="n">
        <v>20260710</v>
      </c>
      <c r="B2128" s="54" t="s">
        <v>306</v>
      </c>
      <c r="C2128" s="54" t="s">
        <v>307</v>
      </c>
      <c r="D2128" s="54" t="s">
        <v>4854</v>
      </c>
      <c r="E2128" s="54" t="s">
        <v>4855</v>
      </c>
      <c r="F2128" s="54" t="s">
        <v>3949</v>
      </c>
      <c r="G2128" s="54" t="s">
        <v>4858</v>
      </c>
      <c r="H2128" s="54" t="n">
        <v>42</v>
      </c>
      <c r="I2128" s="54" t="s">
        <v>295</v>
      </c>
      <c r="J2128" s="54" t="s">
        <v>2347</v>
      </c>
    </row>
    <row r="2129" customFormat="false" ht="15" hidden="false" customHeight="true" outlineLevel="0" collapsed="false">
      <c r="A2129" s="54" t="n">
        <v>20260710</v>
      </c>
      <c r="B2129" s="54" t="s">
        <v>306</v>
      </c>
      <c r="C2129" s="54" t="s">
        <v>307</v>
      </c>
      <c r="D2129" s="54" t="s">
        <v>4854</v>
      </c>
      <c r="E2129" s="54" t="s">
        <v>4855</v>
      </c>
      <c r="F2129" s="54" t="s">
        <v>3949</v>
      </c>
      <c r="G2129" s="54" t="s">
        <v>4859</v>
      </c>
      <c r="H2129" s="54" t="n">
        <v>43</v>
      </c>
      <c r="I2129" s="54" t="s">
        <v>315</v>
      </c>
      <c r="J2129" s="54" t="s">
        <v>2347</v>
      </c>
    </row>
    <row r="2130" customFormat="false" ht="15" hidden="false" customHeight="true" outlineLevel="0" collapsed="false">
      <c r="A2130" s="54" t="n">
        <v>20260710</v>
      </c>
      <c r="B2130" s="54" t="s">
        <v>306</v>
      </c>
      <c r="C2130" s="54" t="s">
        <v>307</v>
      </c>
      <c r="D2130" s="54" t="s">
        <v>4854</v>
      </c>
      <c r="E2130" s="54" t="s">
        <v>4855</v>
      </c>
      <c r="F2130" s="54" t="s">
        <v>4860</v>
      </c>
      <c r="G2130" s="54" t="s">
        <v>4861</v>
      </c>
      <c r="H2130" s="54" t="n">
        <v>12908</v>
      </c>
      <c r="I2130" s="54" t="s">
        <v>315</v>
      </c>
      <c r="J2130" s="54" t="s">
        <v>2347</v>
      </c>
    </row>
    <row r="2131" customFormat="false" ht="15" hidden="false" customHeight="true" outlineLevel="0" collapsed="false">
      <c r="A2131" s="54" t="n">
        <v>20260710</v>
      </c>
      <c r="B2131" s="54" t="s">
        <v>306</v>
      </c>
      <c r="C2131" s="54" t="s">
        <v>307</v>
      </c>
      <c r="D2131" s="54" t="s">
        <v>4854</v>
      </c>
      <c r="E2131" s="54" t="s">
        <v>4855</v>
      </c>
      <c r="F2131" s="54" t="s">
        <v>4860</v>
      </c>
      <c r="G2131" s="54" t="s">
        <v>4861</v>
      </c>
      <c r="H2131" s="54" t="n">
        <v>12908</v>
      </c>
      <c r="I2131" s="54" t="s">
        <v>295</v>
      </c>
      <c r="J2131" s="54" t="s">
        <v>2347</v>
      </c>
    </row>
    <row r="2132" customFormat="false" ht="15" hidden="false" customHeight="true" outlineLevel="0" collapsed="false">
      <c r="A2132" s="54" t="n">
        <v>20260710</v>
      </c>
      <c r="B2132" s="54" t="s">
        <v>168</v>
      </c>
      <c r="C2132" s="54" t="s">
        <v>290</v>
      </c>
      <c r="D2132" s="54" t="s">
        <v>4862</v>
      </c>
      <c r="E2132" s="54" t="s">
        <v>4863</v>
      </c>
      <c r="F2132" s="54" t="s">
        <v>4864</v>
      </c>
      <c r="G2132" s="54" t="s">
        <v>4865</v>
      </c>
      <c r="H2132" s="54" t="n">
        <v>13244</v>
      </c>
      <c r="I2132" s="54" t="s">
        <v>295</v>
      </c>
      <c r="J2132" s="54" t="s">
        <v>818</v>
      </c>
    </row>
    <row r="2133" customFormat="false" ht="15" hidden="false" customHeight="true" outlineLevel="0" collapsed="false">
      <c r="A2133" s="54" t="n">
        <v>20260710</v>
      </c>
      <c r="B2133" s="54" t="s">
        <v>168</v>
      </c>
      <c r="C2133" s="54" t="s">
        <v>290</v>
      </c>
      <c r="D2133" s="54" t="s">
        <v>4862</v>
      </c>
      <c r="E2133" s="54" t="s">
        <v>4863</v>
      </c>
      <c r="F2133" s="54" t="s">
        <v>4866</v>
      </c>
      <c r="G2133" s="54" t="s">
        <v>4867</v>
      </c>
      <c r="H2133" s="54" t="n">
        <v>14398</v>
      </c>
      <c r="I2133" s="54" t="s">
        <v>295</v>
      </c>
      <c r="J2133" s="54" t="s">
        <v>818</v>
      </c>
    </row>
    <row r="2134" customFormat="false" ht="15" hidden="false" customHeight="true" outlineLevel="0" collapsed="false">
      <c r="A2134" s="54" t="n">
        <v>20260710</v>
      </c>
      <c r="B2134" s="54" t="s">
        <v>168</v>
      </c>
      <c r="C2134" s="54" t="s">
        <v>290</v>
      </c>
      <c r="D2134" s="54" t="s">
        <v>4868</v>
      </c>
      <c r="E2134" s="54" t="s">
        <v>4869</v>
      </c>
      <c r="F2134" s="54" t="s">
        <v>4870</v>
      </c>
      <c r="G2134" s="54" t="s">
        <v>4871</v>
      </c>
      <c r="H2134" s="54" t="n">
        <v>12982</v>
      </c>
      <c r="I2134" s="54" t="s">
        <v>295</v>
      </c>
      <c r="J2134" s="54" t="s">
        <v>1709</v>
      </c>
    </row>
    <row r="2135" customFormat="false" ht="15" hidden="false" customHeight="true" outlineLevel="0" collapsed="false">
      <c r="A2135" s="54" t="n">
        <v>20260710</v>
      </c>
      <c r="B2135" s="54" t="s">
        <v>168</v>
      </c>
      <c r="C2135" s="54" t="s">
        <v>290</v>
      </c>
      <c r="D2135" s="54" t="s">
        <v>4868</v>
      </c>
      <c r="E2135" s="54" t="s">
        <v>4869</v>
      </c>
      <c r="F2135" s="54" t="s">
        <v>4872</v>
      </c>
      <c r="G2135" s="54" t="s">
        <v>4873</v>
      </c>
      <c r="H2135" s="54" t="n">
        <v>192</v>
      </c>
      <c r="I2135" s="54" t="s">
        <v>295</v>
      </c>
      <c r="J2135" s="54" t="s">
        <v>1709</v>
      </c>
    </row>
    <row r="2136" customFormat="false" ht="15" hidden="false" customHeight="true" outlineLevel="0" collapsed="false">
      <c r="A2136" s="54" t="n">
        <v>20260710</v>
      </c>
      <c r="B2136" s="54" t="s">
        <v>168</v>
      </c>
      <c r="C2136" s="54" t="s">
        <v>290</v>
      </c>
      <c r="D2136" s="54" t="s">
        <v>4868</v>
      </c>
      <c r="E2136" s="54" t="s">
        <v>4869</v>
      </c>
      <c r="F2136" s="54" t="s">
        <v>2606</v>
      </c>
      <c r="G2136" s="54" t="s">
        <v>4874</v>
      </c>
      <c r="H2136" s="54" t="n">
        <v>16097</v>
      </c>
      <c r="I2136" s="54" t="s">
        <v>295</v>
      </c>
      <c r="J2136" s="54" t="s">
        <v>1709</v>
      </c>
    </row>
    <row r="2137" customFormat="false" ht="15" hidden="false" customHeight="true" outlineLevel="0" collapsed="false">
      <c r="A2137" s="54" t="n">
        <v>20260710</v>
      </c>
      <c r="B2137" s="54" t="s">
        <v>306</v>
      </c>
      <c r="C2137" s="54" t="s">
        <v>290</v>
      </c>
      <c r="D2137" s="54" t="s">
        <v>4875</v>
      </c>
      <c r="E2137" s="54" t="s">
        <v>4876</v>
      </c>
      <c r="F2137" s="54" t="s">
        <v>4877</v>
      </c>
      <c r="G2137" s="54" t="s">
        <v>4878</v>
      </c>
      <c r="H2137" s="54" t="n">
        <v>23794</v>
      </c>
      <c r="I2137" s="54" t="s">
        <v>295</v>
      </c>
      <c r="J2137" s="54" t="s">
        <v>368</v>
      </c>
    </row>
    <row r="2138" customFormat="false" ht="15" hidden="false" customHeight="true" outlineLevel="0" collapsed="false">
      <c r="A2138" s="54" t="n">
        <v>20260710</v>
      </c>
      <c r="B2138" s="54" t="s">
        <v>306</v>
      </c>
      <c r="C2138" s="54" t="s">
        <v>290</v>
      </c>
      <c r="D2138" s="54" t="s">
        <v>4875</v>
      </c>
      <c r="E2138" s="54" t="s">
        <v>4876</v>
      </c>
      <c r="F2138" s="54" t="s">
        <v>4877</v>
      </c>
      <c r="G2138" s="54" t="s">
        <v>4879</v>
      </c>
      <c r="H2138" s="54" t="n">
        <v>23795</v>
      </c>
      <c r="I2138" s="54" t="s">
        <v>315</v>
      </c>
      <c r="J2138" s="54" t="s">
        <v>368</v>
      </c>
    </row>
    <row r="2139" customFormat="false" ht="15" hidden="false" customHeight="true" outlineLevel="0" collapsed="false">
      <c r="A2139" s="54" t="n">
        <v>20260710</v>
      </c>
      <c r="B2139" s="54" t="s">
        <v>306</v>
      </c>
      <c r="C2139" s="54" t="s">
        <v>290</v>
      </c>
      <c r="D2139" s="54" t="s">
        <v>4875</v>
      </c>
      <c r="E2139" s="54" t="s">
        <v>4876</v>
      </c>
      <c r="F2139" s="54" t="s">
        <v>4880</v>
      </c>
      <c r="G2139" s="54" t="s">
        <v>4881</v>
      </c>
      <c r="H2139" s="54" t="n">
        <v>6298</v>
      </c>
      <c r="I2139" s="54" t="s">
        <v>315</v>
      </c>
      <c r="J2139" s="54" t="s">
        <v>368</v>
      </c>
    </row>
    <row r="2140" customFormat="false" ht="15" hidden="false" customHeight="true" outlineLevel="0" collapsed="false">
      <c r="A2140" s="54" t="n">
        <v>20260710</v>
      </c>
      <c r="B2140" s="54" t="s">
        <v>306</v>
      </c>
      <c r="C2140" s="54" t="s">
        <v>290</v>
      </c>
      <c r="D2140" s="54" t="s">
        <v>4875</v>
      </c>
      <c r="E2140" s="54" t="s">
        <v>4876</v>
      </c>
      <c r="F2140" s="54" t="s">
        <v>4882</v>
      </c>
      <c r="G2140" s="54" t="s">
        <v>4881</v>
      </c>
      <c r="H2140" s="54" t="n">
        <v>5126</v>
      </c>
      <c r="I2140" s="54" t="s">
        <v>295</v>
      </c>
      <c r="J2140" s="54" t="s">
        <v>368</v>
      </c>
    </row>
    <row r="2141" customFormat="false" ht="15" hidden="false" customHeight="true" outlineLevel="0" collapsed="false">
      <c r="A2141" s="54" t="n">
        <v>20260710</v>
      </c>
      <c r="B2141" s="54" t="s">
        <v>289</v>
      </c>
      <c r="C2141" s="54" t="s">
        <v>307</v>
      </c>
      <c r="D2141" s="54" t="s">
        <v>4883</v>
      </c>
      <c r="E2141" s="54" t="s">
        <v>4884</v>
      </c>
      <c r="F2141" s="54" t="s">
        <v>957</v>
      </c>
      <c r="G2141" s="54" t="s">
        <v>1200</v>
      </c>
      <c r="H2141" s="54" t="n">
        <v>14778</v>
      </c>
      <c r="I2141" s="54" t="s">
        <v>295</v>
      </c>
      <c r="J2141" s="54" t="s">
        <v>1074</v>
      </c>
    </row>
    <row r="2142" customFormat="false" ht="15" hidden="false" customHeight="true" outlineLevel="0" collapsed="false">
      <c r="A2142" s="54" t="n">
        <v>20260710</v>
      </c>
      <c r="B2142" s="54" t="s">
        <v>289</v>
      </c>
      <c r="C2142" s="54" t="s">
        <v>307</v>
      </c>
      <c r="D2142" s="54" t="s">
        <v>4883</v>
      </c>
      <c r="E2142" s="54" t="s">
        <v>4884</v>
      </c>
      <c r="F2142" s="54" t="s">
        <v>4885</v>
      </c>
      <c r="G2142" s="54" t="s">
        <v>533</v>
      </c>
      <c r="H2142" s="54" t="n">
        <v>14240</v>
      </c>
      <c r="I2142" s="54" t="s">
        <v>295</v>
      </c>
      <c r="J2142" s="54" t="s">
        <v>1074</v>
      </c>
    </row>
    <row r="2143" customFormat="false" ht="15" hidden="false" customHeight="true" outlineLevel="0" collapsed="false">
      <c r="A2143" s="54" t="n">
        <v>20260710</v>
      </c>
      <c r="B2143" s="54" t="s">
        <v>289</v>
      </c>
      <c r="C2143" s="54" t="s">
        <v>290</v>
      </c>
      <c r="D2143" s="54" t="s">
        <v>4886</v>
      </c>
      <c r="E2143" s="54" t="s">
        <v>4887</v>
      </c>
      <c r="F2143" s="54" t="s">
        <v>4888</v>
      </c>
      <c r="G2143" s="54" t="s">
        <v>738</v>
      </c>
      <c r="H2143" s="54" t="n">
        <v>18970</v>
      </c>
      <c r="I2143" s="54" t="s">
        <v>295</v>
      </c>
      <c r="J2143" s="54" t="s">
        <v>1355</v>
      </c>
    </row>
    <row r="2144" customFormat="false" ht="15" hidden="false" customHeight="true" outlineLevel="0" collapsed="false">
      <c r="A2144" s="54" t="n">
        <v>20260710</v>
      </c>
      <c r="B2144" s="54" t="s">
        <v>289</v>
      </c>
      <c r="C2144" s="54" t="s">
        <v>290</v>
      </c>
      <c r="D2144" s="54" t="s">
        <v>4886</v>
      </c>
      <c r="E2144" s="54" t="s">
        <v>4887</v>
      </c>
      <c r="F2144" s="54" t="s">
        <v>4889</v>
      </c>
      <c r="G2144" s="54" t="s">
        <v>4890</v>
      </c>
      <c r="H2144" s="54" t="n">
        <v>6706</v>
      </c>
      <c r="I2144" s="54" t="s">
        <v>295</v>
      </c>
      <c r="J2144" s="54" t="s">
        <v>1355</v>
      </c>
    </row>
    <row r="2145" customFormat="false" ht="15" hidden="false" customHeight="true" outlineLevel="0" collapsed="false">
      <c r="A2145" s="54" t="n">
        <v>20260710</v>
      </c>
      <c r="B2145" s="54" t="s">
        <v>289</v>
      </c>
      <c r="C2145" s="54" t="s">
        <v>290</v>
      </c>
      <c r="D2145" s="54" t="s">
        <v>4886</v>
      </c>
      <c r="E2145" s="54" t="s">
        <v>4887</v>
      </c>
      <c r="F2145" s="54" t="s">
        <v>4891</v>
      </c>
      <c r="G2145" s="54" t="s">
        <v>4892</v>
      </c>
      <c r="H2145" s="54" t="n">
        <v>6219</v>
      </c>
      <c r="I2145" s="54" t="s">
        <v>295</v>
      </c>
      <c r="J2145" s="54" t="s">
        <v>1355</v>
      </c>
    </row>
    <row r="2146" customFormat="false" ht="15" hidden="false" customHeight="true" outlineLevel="0" collapsed="false">
      <c r="A2146" s="54" t="n">
        <v>20260710</v>
      </c>
      <c r="B2146" s="54" t="s">
        <v>306</v>
      </c>
      <c r="C2146" s="54" t="s">
        <v>307</v>
      </c>
      <c r="D2146" s="54" t="s">
        <v>4893</v>
      </c>
      <c r="E2146" s="54" t="s">
        <v>4894</v>
      </c>
      <c r="F2146" s="54" t="s">
        <v>2464</v>
      </c>
      <c r="G2146" s="54" t="s">
        <v>4895</v>
      </c>
      <c r="H2146" s="54" t="n">
        <v>24389</v>
      </c>
      <c r="I2146" s="54" t="s">
        <v>295</v>
      </c>
      <c r="J2146" s="54" t="s">
        <v>752</v>
      </c>
    </row>
    <row r="2147" customFormat="false" ht="15" hidden="false" customHeight="true" outlineLevel="0" collapsed="false">
      <c r="A2147" s="54" t="n">
        <v>20260710</v>
      </c>
      <c r="B2147" s="54" t="s">
        <v>306</v>
      </c>
      <c r="C2147" s="54" t="s">
        <v>307</v>
      </c>
      <c r="D2147" s="54" t="s">
        <v>4893</v>
      </c>
      <c r="E2147" s="54" t="s">
        <v>4894</v>
      </c>
      <c r="F2147" s="54" t="s">
        <v>4896</v>
      </c>
      <c r="G2147" s="54" t="s">
        <v>3679</v>
      </c>
      <c r="H2147" s="54" t="n">
        <v>4633</v>
      </c>
      <c r="I2147" s="54" t="s">
        <v>295</v>
      </c>
      <c r="J2147" s="54" t="s">
        <v>752</v>
      </c>
    </row>
    <row r="2148" customFormat="false" ht="15" hidden="false" customHeight="true" outlineLevel="0" collapsed="false">
      <c r="A2148" s="54" t="n">
        <v>20260710</v>
      </c>
      <c r="B2148" s="54" t="s">
        <v>688</v>
      </c>
      <c r="C2148" s="54" t="s">
        <v>290</v>
      </c>
      <c r="D2148" s="54" t="s">
        <v>4897</v>
      </c>
      <c r="E2148" s="54" t="s">
        <v>4898</v>
      </c>
      <c r="F2148" s="54" t="s">
        <v>4899</v>
      </c>
      <c r="G2148" s="54" t="s">
        <v>4900</v>
      </c>
      <c r="H2148" s="54" t="n">
        <v>14422</v>
      </c>
      <c r="I2148" s="54" t="s">
        <v>295</v>
      </c>
      <c r="J2148" s="54" t="s">
        <v>779</v>
      </c>
    </row>
    <row r="2149" customFormat="false" ht="15" hidden="false" customHeight="true" outlineLevel="0" collapsed="false">
      <c r="A2149" s="54" t="n">
        <v>20260710</v>
      </c>
      <c r="B2149" s="54" t="s">
        <v>688</v>
      </c>
      <c r="C2149" s="54" t="s">
        <v>290</v>
      </c>
      <c r="D2149" s="54" t="s">
        <v>4897</v>
      </c>
      <c r="E2149" s="54" t="s">
        <v>4898</v>
      </c>
      <c r="F2149" s="54" t="s">
        <v>4901</v>
      </c>
      <c r="G2149" s="54" t="s">
        <v>4902</v>
      </c>
      <c r="H2149" s="54" t="n">
        <v>7734</v>
      </c>
      <c r="I2149" s="54" t="s">
        <v>295</v>
      </c>
      <c r="J2149" s="54" t="s">
        <v>779</v>
      </c>
    </row>
    <row r="2150" customFormat="false" ht="15" hidden="false" customHeight="true" outlineLevel="0" collapsed="false">
      <c r="A2150" s="54" t="n">
        <v>20260710</v>
      </c>
      <c r="B2150" s="54" t="s">
        <v>688</v>
      </c>
      <c r="C2150" s="54" t="s">
        <v>290</v>
      </c>
      <c r="D2150" s="54" t="s">
        <v>4897</v>
      </c>
      <c r="E2150" s="54" t="s">
        <v>4898</v>
      </c>
      <c r="F2150" s="54" t="s">
        <v>4903</v>
      </c>
      <c r="G2150" s="54" t="s">
        <v>4904</v>
      </c>
      <c r="H2150" s="54" t="n">
        <v>6672</v>
      </c>
      <c r="I2150" s="54" t="s">
        <v>295</v>
      </c>
      <c r="J2150" s="54" t="s">
        <v>779</v>
      </c>
    </row>
    <row r="2151" customFormat="false" ht="15" hidden="false" customHeight="true" outlineLevel="0" collapsed="false">
      <c r="A2151" s="54" t="n">
        <v>20260710</v>
      </c>
      <c r="B2151" s="54" t="s">
        <v>289</v>
      </c>
      <c r="C2151" s="54" t="s">
        <v>307</v>
      </c>
      <c r="D2151" s="54" t="s">
        <v>4905</v>
      </c>
      <c r="E2151" s="54" t="s">
        <v>4906</v>
      </c>
      <c r="F2151" s="54" t="s">
        <v>4907</v>
      </c>
      <c r="G2151" s="54" t="s">
        <v>4908</v>
      </c>
      <c r="H2151" s="54" t="n">
        <v>18535</v>
      </c>
      <c r="I2151" s="54" t="s">
        <v>295</v>
      </c>
      <c r="J2151" s="54" t="s">
        <v>1659</v>
      </c>
    </row>
    <row r="2152" customFormat="false" ht="15" hidden="false" customHeight="true" outlineLevel="0" collapsed="false">
      <c r="A2152" s="54" t="n">
        <v>20260710</v>
      </c>
      <c r="B2152" s="54" t="s">
        <v>289</v>
      </c>
      <c r="C2152" s="54" t="s">
        <v>307</v>
      </c>
      <c r="D2152" s="54" t="s">
        <v>4905</v>
      </c>
      <c r="E2152" s="54" t="s">
        <v>4906</v>
      </c>
      <c r="F2152" s="54" t="s">
        <v>1211</v>
      </c>
      <c r="G2152" s="54" t="s">
        <v>3968</v>
      </c>
      <c r="H2152" s="54" t="n">
        <v>14226</v>
      </c>
      <c r="I2152" s="54" t="s">
        <v>295</v>
      </c>
      <c r="J2152" s="54" t="s">
        <v>1659</v>
      </c>
    </row>
    <row r="2153" customFormat="false" ht="15" hidden="false" customHeight="true" outlineLevel="0" collapsed="false">
      <c r="A2153" s="54" t="n">
        <v>20260710</v>
      </c>
      <c r="B2153" s="54" t="s">
        <v>306</v>
      </c>
      <c r="C2153" s="54" t="s">
        <v>290</v>
      </c>
      <c r="D2153" s="54" t="s">
        <v>4909</v>
      </c>
      <c r="E2153" s="54" t="s">
        <v>4910</v>
      </c>
      <c r="F2153" s="54" t="s">
        <v>4911</v>
      </c>
      <c r="G2153" s="54" t="s">
        <v>4912</v>
      </c>
      <c r="H2153" s="54" t="n">
        <v>16198</v>
      </c>
      <c r="I2153" s="54" t="s">
        <v>295</v>
      </c>
      <c r="J2153" s="54" t="s">
        <v>989</v>
      </c>
    </row>
    <row r="2154" customFormat="false" ht="15" hidden="false" customHeight="true" outlineLevel="0" collapsed="false">
      <c r="A2154" s="54" t="n">
        <v>20260710</v>
      </c>
      <c r="B2154" s="54" t="s">
        <v>306</v>
      </c>
      <c r="C2154" s="54" t="s">
        <v>290</v>
      </c>
      <c r="D2154" s="54" t="s">
        <v>4909</v>
      </c>
      <c r="E2154" s="54" t="s">
        <v>4910</v>
      </c>
      <c r="F2154" s="54" t="s">
        <v>4913</v>
      </c>
      <c r="G2154" s="54" t="s">
        <v>4914</v>
      </c>
      <c r="H2154" s="54" t="n">
        <v>5477</v>
      </c>
      <c r="I2154" s="54" t="s">
        <v>295</v>
      </c>
      <c r="J2154" s="54" t="s">
        <v>989</v>
      </c>
    </row>
    <row r="2155" customFormat="false" ht="15" hidden="false" customHeight="true" outlineLevel="0" collapsed="false">
      <c r="A2155" s="54" t="n">
        <v>20260710</v>
      </c>
      <c r="B2155" s="54" t="s">
        <v>289</v>
      </c>
      <c r="C2155" s="54" t="s">
        <v>290</v>
      </c>
      <c r="D2155" s="54" t="s">
        <v>4915</v>
      </c>
      <c r="E2155" s="54" t="s">
        <v>4916</v>
      </c>
      <c r="F2155" s="54" t="s">
        <v>1451</v>
      </c>
      <c r="G2155" s="54" t="s">
        <v>4917</v>
      </c>
      <c r="H2155" s="54" t="n">
        <v>11578</v>
      </c>
      <c r="I2155" s="54" t="s">
        <v>295</v>
      </c>
      <c r="J2155" s="54" t="s">
        <v>569</v>
      </c>
    </row>
    <row r="2156" customFormat="false" ht="15" hidden="false" customHeight="true" outlineLevel="0" collapsed="false">
      <c r="A2156" s="54" t="n">
        <v>20260710</v>
      </c>
      <c r="B2156" s="54" t="s">
        <v>289</v>
      </c>
      <c r="C2156" s="54" t="s">
        <v>290</v>
      </c>
      <c r="D2156" s="54" t="s">
        <v>4915</v>
      </c>
      <c r="E2156" s="54" t="s">
        <v>4916</v>
      </c>
      <c r="F2156" s="54" t="s">
        <v>4918</v>
      </c>
      <c r="G2156" s="54" t="s">
        <v>4919</v>
      </c>
      <c r="H2156" s="54" t="n">
        <v>1402</v>
      </c>
      <c r="I2156" s="54" t="s">
        <v>295</v>
      </c>
      <c r="J2156" s="54" t="s">
        <v>569</v>
      </c>
    </row>
    <row r="2157" customFormat="false" ht="15" hidden="false" customHeight="true" outlineLevel="0" collapsed="false">
      <c r="A2157" s="54" t="n">
        <v>20260710</v>
      </c>
      <c r="B2157" s="54" t="s">
        <v>289</v>
      </c>
      <c r="C2157" s="54" t="s">
        <v>290</v>
      </c>
      <c r="D2157" s="54" t="s">
        <v>4915</v>
      </c>
      <c r="E2157" s="54" t="s">
        <v>4916</v>
      </c>
      <c r="F2157" s="54" t="s">
        <v>4920</v>
      </c>
      <c r="G2157" s="54" t="s">
        <v>1163</v>
      </c>
      <c r="H2157" s="54" t="n">
        <v>1017</v>
      </c>
      <c r="I2157" s="54" t="s">
        <v>295</v>
      </c>
      <c r="J2157" s="54" t="s">
        <v>569</v>
      </c>
    </row>
    <row r="2158" customFormat="false" ht="15" hidden="false" customHeight="true" outlineLevel="0" collapsed="false">
      <c r="A2158" s="54" t="n">
        <v>20260710</v>
      </c>
      <c r="B2158" s="54" t="s">
        <v>289</v>
      </c>
      <c r="C2158" s="54" t="s">
        <v>290</v>
      </c>
      <c r="D2158" s="54" t="s">
        <v>4915</v>
      </c>
      <c r="E2158" s="54" t="s">
        <v>4916</v>
      </c>
      <c r="F2158" s="54" t="s">
        <v>1599</v>
      </c>
      <c r="G2158" s="54" t="s">
        <v>1448</v>
      </c>
      <c r="H2158" s="54" t="n">
        <v>14407</v>
      </c>
      <c r="I2158" s="54" t="s">
        <v>295</v>
      </c>
      <c r="J2158" s="54" t="s">
        <v>569</v>
      </c>
    </row>
    <row r="2159" customFormat="false" ht="15" hidden="false" customHeight="true" outlineLevel="0" collapsed="false">
      <c r="A2159" s="54" t="n">
        <v>20260710</v>
      </c>
      <c r="B2159" s="54" t="s">
        <v>535</v>
      </c>
      <c r="C2159" s="54" t="s">
        <v>290</v>
      </c>
      <c r="D2159" s="54" t="s">
        <v>4921</v>
      </c>
      <c r="E2159" s="54" t="s">
        <v>4922</v>
      </c>
      <c r="F2159" s="54" t="s">
        <v>3785</v>
      </c>
      <c r="G2159" s="54" t="s">
        <v>4923</v>
      </c>
      <c r="H2159" s="54" t="n">
        <v>2404</v>
      </c>
      <c r="I2159" s="54" t="s">
        <v>295</v>
      </c>
      <c r="J2159" s="54" t="s">
        <v>677</v>
      </c>
    </row>
    <row r="2160" customFormat="false" ht="15" hidden="false" customHeight="true" outlineLevel="0" collapsed="false">
      <c r="A2160" s="54" t="n">
        <v>20260710</v>
      </c>
      <c r="B2160" s="54" t="s">
        <v>535</v>
      </c>
      <c r="C2160" s="54" t="s">
        <v>290</v>
      </c>
      <c r="D2160" s="54" t="s">
        <v>4921</v>
      </c>
      <c r="E2160" s="54" t="s">
        <v>4922</v>
      </c>
      <c r="F2160" s="54" t="s">
        <v>4924</v>
      </c>
      <c r="G2160" s="54" t="s">
        <v>2282</v>
      </c>
      <c r="H2160" s="54" t="n">
        <v>15581</v>
      </c>
      <c r="I2160" s="54" t="s">
        <v>295</v>
      </c>
      <c r="J2160" s="54" t="s">
        <v>677</v>
      </c>
    </row>
    <row r="2161" customFormat="false" ht="15" hidden="false" customHeight="true" outlineLevel="0" collapsed="false">
      <c r="A2161" s="54" t="n">
        <v>20260710</v>
      </c>
      <c r="B2161" s="54" t="s">
        <v>535</v>
      </c>
      <c r="C2161" s="54" t="s">
        <v>290</v>
      </c>
      <c r="D2161" s="54" t="s">
        <v>4921</v>
      </c>
      <c r="E2161" s="54" t="s">
        <v>4922</v>
      </c>
      <c r="F2161" s="54" t="s">
        <v>570</v>
      </c>
      <c r="G2161" s="54" t="s">
        <v>4925</v>
      </c>
      <c r="H2161" s="54" t="n">
        <v>2437</v>
      </c>
      <c r="I2161" s="54" t="s">
        <v>295</v>
      </c>
      <c r="J2161" s="54" t="s">
        <v>677</v>
      </c>
    </row>
    <row r="2162" customFormat="false" ht="15" hidden="false" customHeight="true" outlineLevel="0" collapsed="false">
      <c r="A2162" s="54" t="n">
        <v>20260710</v>
      </c>
      <c r="B2162" s="54" t="s">
        <v>535</v>
      </c>
      <c r="C2162" s="54" t="s">
        <v>290</v>
      </c>
      <c r="D2162" s="54" t="s">
        <v>4921</v>
      </c>
      <c r="E2162" s="54" t="s">
        <v>4922</v>
      </c>
      <c r="F2162" s="54" t="s">
        <v>4926</v>
      </c>
      <c r="G2162" s="54" t="s">
        <v>4927</v>
      </c>
      <c r="H2162" s="54" t="n">
        <v>8047</v>
      </c>
      <c r="I2162" s="54" t="s">
        <v>295</v>
      </c>
      <c r="J2162" s="54" t="s">
        <v>677</v>
      </c>
    </row>
    <row r="2163" customFormat="false" ht="15" hidden="false" customHeight="true" outlineLevel="0" collapsed="false">
      <c r="A2163" s="54" t="n">
        <v>20260710</v>
      </c>
      <c r="B2163" s="54" t="s">
        <v>289</v>
      </c>
      <c r="C2163" s="54" t="s">
        <v>290</v>
      </c>
      <c r="D2163" s="54" t="s">
        <v>4928</v>
      </c>
      <c r="E2163" s="54" t="s">
        <v>4929</v>
      </c>
      <c r="F2163" s="54" t="s">
        <v>4930</v>
      </c>
      <c r="G2163" s="54" t="s">
        <v>4931</v>
      </c>
      <c r="H2163" s="54" t="n">
        <v>14403</v>
      </c>
      <c r="I2163" s="54" t="s">
        <v>295</v>
      </c>
      <c r="J2163" s="54" t="s">
        <v>874</v>
      </c>
    </row>
    <row r="2164" customFormat="false" ht="15" hidden="false" customHeight="true" outlineLevel="0" collapsed="false">
      <c r="A2164" s="54" t="n">
        <v>20260710</v>
      </c>
      <c r="B2164" s="54" t="s">
        <v>289</v>
      </c>
      <c r="C2164" s="54" t="s">
        <v>290</v>
      </c>
      <c r="D2164" s="54" t="s">
        <v>4928</v>
      </c>
      <c r="E2164" s="54" t="s">
        <v>4929</v>
      </c>
      <c r="F2164" s="54" t="s">
        <v>4932</v>
      </c>
      <c r="G2164" s="54" t="s">
        <v>4933</v>
      </c>
      <c r="H2164" s="54" t="n">
        <v>14447</v>
      </c>
      <c r="I2164" s="54" t="s">
        <v>295</v>
      </c>
      <c r="J2164" s="54" t="s">
        <v>874</v>
      </c>
    </row>
    <row r="2165" customFormat="false" ht="15" hidden="false" customHeight="true" outlineLevel="0" collapsed="false">
      <c r="A2165" s="54" t="n">
        <v>20260710</v>
      </c>
      <c r="B2165" s="54" t="s">
        <v>688</v>
      </c>
      <c r="C2165" s="54" t="s">
        <v>307</v>
      </c>
      <c r="D2165" s="54" t="s">
        <v>4934</v>
      </c>
      <c r="E2165" s="54" t="s">
        <v>160</v>
      </c>
      <c r="F2165" s="54" t="s">
        <v>2663</v>
      </c>
      <c r="G2165" s="54" t="s">
        <v>4935</v>
      </c>
      <c r="H2165" s="54" t="n">
        <v>18117</v>
      </c>
      <c r="I2165" s="54" t="s">
        <v>295</v>
      </c>
      <c r="J2165" s="54" t="s">
        <v>142</v>
      </c>
    </row>
    <row r="2166" customFormat="false" ht="15" hidden="false" customHeight="true" outlineLevel="0" collapsed="false">
      <c r="A2166" s="54" t="n">
        <v>20260710</v>
      </c>
      <c r="B2166" s="54" t="s">
        <v>688</v>
      </c>
      <c r="C2166" s="54" t="s">
        <v>307</v>
      </c>
      <c r="D2166" s="54" t="s">
        <v>4934</v>
      </c>
      <c r="E2166" s="54" t="s">
        <v>160</v>
      </c>
      <c r="F2166" s="54" t="s">
        <v>4936</v>
      </c>
      <c r="G2166" s="54" t="s">
        <v>4937</v>
      </c>
      <c r="H2166" s="54" t="n">
        <v>6150</v>
      </c>
      <c r="I2166" s="54" t="s">
        <v>295</v>
      </c>
      <c r="J2166" s="54" t="s">
        <v>142</v>
      </c>
    </row>
    <row r="2167" customFormat="false" ht="15" hidden="false" customHeight="true" outlineLevel="0" collapsed="false">
      <c r="A2167" s="54" t="n">
        <v>20260710</v>
      </c>
      <c r="B2167" s="54" t="s">
        <v>688</v>
      </c>
      <c r="C2167" s="54" t="s">
        <v>307</v>
      </c>
      <c r="D2167" s="54" t="s">
        <v>4934</v>
      </c>
      <c r="E2167" s="54" t="s">
        <v>160</v>
      </c>
      <c r="F2167" s="54" t="s">
        <v>4938</v>
      </c>
      <c r="G2167" s="54" t="s">
        <v>2219</v>
      </c>
      <c r="H2167" s="54" t="n">
        <v>3957</v>
      </c>
      <c r="I2167" s="54" t="s">
        <v>295</v>
      </c>
      <c r="J2167" s="54" t="s">
        <v>142</v>
      </c>
    </row>
    <row r="2168" customFormat="false" ht="15" hidden="false" customHeight="true" outlineLevel="0" collapsed="false">
      <c r="A2168" s="54" t="n">
        <v>20260710</v>
      </c>
      <c r="B2168" s="54" t="s">
        <v>289</v>
      </c>
      <c r="C2168" s="54" t="s">
        <v>290</v>
      </c>
      <c r="D2168" s="54" t="s">
        <v>4939</v>
      </c>
      <c r="E2168" s="54" t="s">
        <v>4940</v>
      </c>
      <c r="F2168" s="54" t="s">
        <v>4941</v>
      </c>
      <c r="G2168" s="54" t="s">
        <v>4942</v>
      </c>
      <c r="H2168" s="54" t="n">
        <v>14979</v>
      </c>
      <c r="I2168" s="54" t="s">
        <v>295</v>
      </c>
      <c r="J2168" s="54" t="s">
        <v>303</v>
      </c>
    </row>
    <row r="2169" customFormat="false" ht="15" hidden="false" customHeight="true" outlineLevel="0" collapsed="false">
      <c r="A2169" s="54" t="n">
        <v>20260710</v>
      </c>
      <c r="B2169" s="54" t="s">
        <v>289</v>
      </c>
      <c r="C2169" s="54" t="s">
        <v>290</v>
      </c>
      <c r="D2169" s="54" t="s">
        <v>4939</v>
      </c>
      <c r="E2169" s="54" t="s">
        <v>4940</v>
      </c>
      <c r="F2169" s="54" t="s">
        <v>4943</v>
      </c>
      <c r="G2169" s="54" t="s">
        <v>1810</v>
      </c>
      <c r="H2169" s="54" t="n">
        <v>18175</v>
      </c>
      <c r="I2169" s="54" t="s">
        <v>295</v>
      </c>
      <c r="J2169" s="54" t="s">
        <v>303</v>
      </c>
    </row>
    <row r="2170" customFormat="false" ht="15" hidden="false" customHeight="true" outlineLevel="0" collapsed="false">
      <c r="A2170" s="54" t="n">
        <v>20260710</v>
      </c>
      <c r="B2170" s="54" t="s">
        <v>535</v>
      </c>
      <c r="C2170" s="54" t="s">
        <v>290</v>
      </c>
      <c r="D2170" s="54" t="s">
        <v>4944</v>
      </c>
      <c r="E2170" s="54" t="s">
        <v>4945</v>
      </c>
      <c r="F2170" s="54" t="s">
        <v>4946</v>
      </c>
      <c r="G2170" s="54" t="s">
        <v>1457</v>
      </c>
      <c r="H2170" s="54" t="n">
        <v>18351</v>
      </c>
      <c r="I2170" s="54" t="s">
        <v>295</v>
      </c>
      <c r="J2170" s="54" t="s">
        <v>811</v>
      </c>
    </row>
    <row r="2171" customFormat="false" ht="15" hidden="false" customHeight="true" outlineLevel="0" collapsed="false">
      <c r="A2171" s="54" t="n">
        <v>20260710</v>
      </c>
      <c r="B2171" s="54" t="s">
        <v>535</v>
      </c>
      <c r="C2171" s="54" t="s">
        <v>290</v>
      </c>
      <c r="D2171" s="54" t="s">
        <v>4944</v>
      </c>
      <c r="E2171" s="54" t="s">
        <v>4945</v>
      </c>
      <c r="F2171" s="54" t="s">
        <v>4947</v>
      </c>
      <c r="G2171" s="54" t="s">
        <v>828</v>
      </c>
      <c r="H2171" s="54" t="n">
        <v>10706</v>
      </c>
      <c r="I2171" s="54" t="s">
        <v>295</v>
      </c>
      <c r="J2171" s="54" t="s">
        <v>811</v>
      </c>
    </row>
    <row r="2172" customFormat="false" ht="15" hidden="false" customHeight="true" outlineLevel="0" collapsed="false">
      <c r="A2172" s="54" t="n">
        <v>20260710</v>
      </c>
      <c r="B2172" s="54" t="s">
        <v>289</v>
      </c>
      <c r="C2172" s="54" t="s">
        <v>307</v>
      </c>
      <c r="D2172" s="54" t="s">
        <v>4948</v>
      </c>
      <c r="E2172" s="54" t="s">
        <v>4949</v>
      </c>
      <c r="F2172" s="54" t="s">
        <v>4950</v>
      </c>
      <c r="G2172" s="54" t="s">
        <v>3529</v>
      </c>
      <c r="H2172" s="54" t="n">
        <v>15175</v>
      </c>
      <c r="I2172" s="54" t="s">
        <v>295</v>
      </c>
      <c r="J2172" s="54" t="s">
        <v>1659</v>
      </c>
    </row>
    <row r="2173" customFormat="false" ht="15" hidden="false" customHeight="true" outlineLevel="0" collapsed="false">
      <c r="A2173" s="54" t="n">
        <v>20260710</v>
      </c>
      <c r="B2173" s="54" t="s">
        <v>289</v>
      </c>
      <c r="C2173" s="54" t="s">
        <v>307</v>
      </c>
      <c r="D2173" s="54" t="s">
        <v>4948</v>
      </c>
      <c r="E2173" s="54" t="s">
        <v>4949</v>
      </c>
      <c r="F2173" s="54" t="s">
        <v>2670</v>
      </c>
      <c r="G2173" s="54" t="s">
        <v>4951</v>
      </c>
      <c r="H2173" s="54" t="n">
        <v>8412</v>
      </c>
      <c r="I2173" s="54" t="s">
        <v>295</v>
      </c>
      <c r="J2173" s="54" t="s">
        <v>1659</v>
      </c>
    </row>
    <row r="2174" customFormat="false" ht="15" hidden="false" customHeight="true" outlineLevel="0" collapsed="false">
      <c r="A2174" s="54" t="n">
        <v>20260710</v>
      </c>
      <c r="B2174" s="54" t="s">
        <v>289</v>
      </c>
      <c r="C2174" s="54" t="s">
        <v>307</v>
      </c>
      <c r="D2174" s="54" t="s">
        <v>4948</v>
      </c>
      <c r="E2174" s="54" t="s">
        <v>4949</v>
      </c>
      <c r="F2174" s="54" t="s">
        <v>4952</v>
      </c>
      <c r="G2174" s="54" t="s">
        <v>4953</v>
      </c>
      <c r="H2174" s="54" t="n">
        <v>9012</v>
      </c>
      <c r="I2174" s="54" t="s">
        <v>295</v>
      </c>
      <c r="J2174" s="54" t="s">
        <v>1659</v>
      </c>
    </row>
    <row r="2175" customFormat="false" ht="15" hidden="false" customHeight="true" outlineLevel="0" collapsed="false">
      <c r="A2175" s="54" t="n">
        <v>20260710</v>
      </c>
      <c r="B2175" s="54" t="s">
        <v>306</v>
      </c>
      <c r="C2175" s="54" t="s">
        <v>290</v>
      </c>
      <c r="D2175" s="54" t="s">
        <v>4954</v>
      </c>
      <c r="E2175" s="54" t="s">
        <v>4955</v>
      </c>
      <c r="F2175" s="54" t="s">
        <v>3904</v>
      </c>
      <c r="G2175" s="54" t="s">
        <v>3075</v>
      </c>
      <c r="H2175" s="54" t="n">
        <v>25276</v>
      </c>
      <c r="I2175" s="54" t="s">
        <v>295</v>
      </c>
      <c r="J2175" s="54" t="s">
        <v>989</v>
      </c>
    </row>
    <row r="2176" customFormat="false" ht="15" hidden="false" customHeight="true" outlineLevel="0" collapsed="false">
      <c r="A2176" s="54" t="n">
        <v>20260710</v>
      </c>
      <c r="B2176" s="54" t="s">
        <v>306</v>
      </c>
      <c r="C2176" s="54" t="s">
        <v>290</v>
      </c>
      <c r="D2176" s="54" t="s">
        <v>4954</v>
      </c>
      <c r="E2176" s="54" t="s">
        <v>4955</v>
      </c>
      <c r="F2176" s="54" t="s">
        <v>4956</v>
      </c>
      <c r="G2176" s="54" t="s">
        <v>4957</v>
      </c>
      <c r="H2176" s="54" t="n">
        <v>7291</v>
      </c>
      <c r="I2176" s="54" t="s">
        <v>295</v>
      </c>
      <c r="J2176" s="54" t="s">
        <v>989</v>
      </c>
    </row>
    <row r="2177" customFormat="false" ht="15" hidden="false" customHeight="true" outlineLevel="0" collapsed="false">
      <c r="A2177" s="54" t="n">
        <v>20260710</v>
      </c>
      <c r="B2177" s="54" t="s">
        <v>306</v>
      </c>
      <c r="C2177" s="54" t="s">
        <v>290</v>
      </c>
      <c r="D2177" s="54" t="s">
        <v>4958</v>
      </c>
      <c r="E2177" s="54" t="s">
        <v>4959</v>
      </c>
      <c r="F2177" s="54" t="s">
        <v>4960</v>
      </c>
      <c r="G2177" s="54" t="s">
        <v>4961</v>
      </c>
      <c r="H2177" s="54" t="n">
        <v>20128</v>
      </c>
      <c r="I2177" s="54" t="s">
        <v>295</v>
      </c>
      <c r="J2177" s="54" t="s">
        <v>433</v>
      </c>
    </row>
    <row r="2178" customFormat="false" ht="15" hidden="false" customHeight="true" outlineLevel="0" collapsed="false">
      <c r="A2178" s="54" t="n">
        <v>20260710</v>
      </c>
      <c r="B2178" s="54" t="s">
        <v>306</v>
      </c>
      <c r="C2178" s="54" t="s">
        <v>290</v>
      </c>
      <c r="D2178" s="54" t="s">
        <v>4958</v>
      </c>
      <c r="E2178" s="54" t="s">
        <v>4959</v>
      </c>
      <c r="F2178" s="54" t="s">
        <v>4962</v>
      </c>
      <c r="G2178" s="54" t="s">
        <v>4963</v>
      </c>
      <c r="H2178" s="54" t="n">
        <v>9094</v>
      </c>
      <c r="I2178" s="54" t="s">
        <v>295</v>
      </c>
      <c r="J2178" s="54" t="s">
        <v>433</v>
      </c>
    </row>
    <row r="2179" customFormat="false" ht="15" hidden="false" customHeight="true" outlineLevel="0" collapsed="false">
      <c r="A2179" s="54" t="n">
        <v>20260710</v>
      </c>
      <c r="B2179" s="54" t="s">
        <v>306</v>
      </c>
      <c r="C2179" s="54" t="s">
        <v>290</v>
      </c>
      <c r="D2179" s="54" t="s">
        <v>4964</v>
      </c>
      <c r="E2179" s="54" t="s">
        <v>4965</v>
      </c>
      <c r="F2179" s="54" t="s">
        <v>4966</v>
      </c>
      <c r="G2179" s="54" t="s">
        <v>4967</v>
      </c>
      <c r="H2179" s="54" t="n">
        <v>8055</v>
      </c>
      <c r="I2179" s="54" t="s">
        <v>295</v>
      </c>
      <c r="J2179" s="54" t="s">
        <v>375</v>
      </c>
    </row>
    <row r="2180" customFormat="false" ht="15" hidden="false" customHeight="true" outlineLevel="0" collapsed="false">
      <c r="A2180" s="54" t="n">
        <v>20260710</v>
      </c>
      <c r="B2180" s="54" t="s">
        <v>306</v>
      </c>
      <c r="C2180" s="54" t="s">
        <v>290</v>
      </c>
      <c r="D2180" s="54" t="s">
        <v>4964</v>
      </c>
      <c r="E2180" s="54" t="s">
        <v>4965</v>
      </c>
      <c r="F2180" s="54" t="s">
        <v>4968</v>
      </c>
      <c r="G2180" s="54" t="s">
        <v>3337</v>
      </c>
      <c r="H2180" s="54" t="n">
        <v>19548</v>
      </c>
      <c r="I2180" s="54" t="s">
        <v>295</v>
      </c>
      <c r="J2180" s="54" t="s">
        <v>375</v>
      </c>
    </row>
    <row r="2181" customFormat="false" ht="15" hidden="false" customHeight="true" outlineLevel="0" collapsed="false">
      <c r="A2181" s="54" t="n">
        <v>20260710</v>
      </c>
      <c r="B2181" s="54" t="s">
        <v>289</v>
      </c>
      <c r="C2181" s="54" t="s">
        <v>290</v>
      </c>
      <c r="D2181" s="54" t="s">
        <v>4969</v>
      </c>
      <c r="E2181" s="54" t="s">
        <v>4970</v>
      </c>
      <c r="F2181" s="54" t="s">
        <v>4971</v>
      </c>
      <c r="G2181" s="54" t="s">
        <v>4972</v>
      </c>
      <c r="H2181" s="54" t="n">
        <v>6582</v>
      </c>
      <c r="I2181" s="54" t="s">
        <v>295</v>
      </c>
      <c r="J2181" s="54" t="s">
        <v>509</v>
      </c>
    </row>
    <row r="2182" customFormat="false" ht="15" hidden="false" customHeight="true" outlineLevel="0" collapsed="false">
      <c r="A2182" s="54" t="n">
        <v>20260710</v>
      </c>
      <c r="B2182" s="54" t="s">
        <v>289</v>
      </c>
      <c r="C2182" s="54" t="s">
        <v>290</v>
      </c>
      <c r="D2182" s="54" t="s">
        <v>4969</v>
      </c>
      <c r="E2182" s="54" t="s">
        <v>4970</v>
      </c>
      <c r="F2182" s="54" t="s">
        <v>4973</v>
      </c>
      <c r="G2182" s="54" t="s">
        <v>4974</v>
      </c>
      <c r="H2182" s="54" t="n">
        <v>619</v>
      </c>
      <c r="I2182" s="54" t="s">
        <v>295</v>
      </c>
      <c r="J2182" s="54" t="s">
        <v>509</v>
      </c>
    </row>
    <row r="2183" customFormat="false" ht="15" hidden="false" customHeight="true" outlineLevel="0" collapsed="false">
      <c r="A2183" s="54" t="n">
        <v>20260710</v>
      </c>
      <c r="B2183" s="54" t="s">
        <v>289</v>
      </c>
      <c r="C2183" s="54" t="s">
        <v>290</v>
      </c>
      <c r="D2183" s="54" t="s">
        <v>4969</v>
      </c>
      <c r="E2183" s="54" t="s">
        <v>4970</v>
      </c>
      <c r="F2183" s="54" t="s">
        <v>4975</v>
      </c>
      <c r="G2183" s="54" t="s">
        <v>4976</v>
      </c>
      <c r="H2183" s="54" t="n">
        <v>7588</v>
      </c>
      <c r="I2183" s="54" t="s">
        <v>295</v>
      </c>
      <c r="J2183" s="54" t="s">
        <v>509</v>
      </c>
    </row>
    <row r="2184" customFormat="false" ht="15" hidden="false" customHeight="true" outlineLevel="0" collapsed="false">
      <c r="A2184" s="54" t="n">
        <v>20260710</v>
      </c>
      <c r="B2184" s="54" t="s">
        <v>289</v>
      </c>
      <c r="C2184" s="54" t="s">
        <v>290</v>
      </c>
      <c r="D2184" s="54" t="s">
        <v>4969</v>
      </c>
      <c r="E2184" s="54" t="s">
        <v>4970</v>
      </c>
      <c r="F2184" s="54" t="s">
        <v>3219</v>
      </c>
      <c r="G2184" s="54" t="s">
        <v>4977</v>
      </c>
      <c r="H2184" s="54" t="n">
        <v>951</v>
      </c>
      <c r="I2184" s="54" t="s">
        <v>295</v>
      </c>
      <c r="J2184" s="54" t="s">
        <v>509</v>
      </c>
    </row>
    <row r="2185" customFormat="false" ht="15" hidden="false" customHeight="true" outlineLevel="0" collapsed="false">
      <c r="A2185" s="54" t="n">
        <v>20260710</v>
      </c>
      <c r="B2185" s="54" t="s">
        <v>289</v>
      </c>
      <c r="C2185" s="54" t="s">
        <v>290</v>
      </c>
      <c r="D2185" s="54" t="s">
        <v>4969</v>
      </c>
      <c r="E2185" s="54" t="s">
        <v>4970</v>
      </c>
      <c r="F2185" s="54" t="s">
        <v>4978</v>
      </c>
      <c r="G2185" s="54" t="s">
        <v>4979</v>
      </c>
      <c r="H2185" s="54" t="n">
        <v>13798</v>
      </c>
      <c r="I2185" s="54" t="s">
        <v>295</v>
      </c>
      <c r="J2185" s="54" t="s">
        <v>509</v>
      </c>
    </row>
    <row r="2186" customFormat="false" ht="15" hidden="false" customHeight="true" outlineLevel="0" collapsed="false">
      <c r="A2186" s="54" t="n">
        <v>20260710</v>
      </c>
      <c r="B2186" s="54" t="s">
        <v>289</v>
      </c>
      <c r="C2186" s="54" t="s">
        <v>290</v>
      </c>
      <c r="D2186" s="54" t="s">
        <v>4980</v>
      </c>
      <c r="E2186" s="54" t="s">
        <v>4981</v>
      </c>
      <c r="F2186" s="54" t="s">
        <v>4982</v>
      </c>
      <c r="G2186" s="54" t="s">
        <v>4983</v>
      </c>
      <c r="H2186" s="54" t="n">
        <v>3867</v>
      </c>
      <c r="I2186" s="54" t="s">
        <v>295</v>
      </c>
      <c r="J2186" s="54" t="s">
        <v>1016</v>
      </c>
    </row>
    <row r="2187" customFormat="false" ht="15" hidden="false" customHeight="true" outlineLevel="0" collapsed="false">
      <c r="A2187" s="54" t="n">
        <v>20260710</v>
      </c>
      <c r="B2187" s="54" t="s">
        <v>289</v>
      </c>
      <c r="C2187" s="54" t="s">
        <v>290</v>
      </c>
      <c r="D2187" s="54" t="s">
        <v>4980</v>
      </c>
      <c r="E2187" s="54" t="s">
        <v>4981</v>
      </c>
      <c r="F2187" s="54" t="s">
        <v>4984</v>
      </c>
      <c r="G2187" s="54" t="s">
        <v>4985</v>
      </c>
      <c r="H2187" s="54" t="n">
        <v>1876</v>
      </c>
      <c r="I2187" s="54" t="s">
        <v>295</v>
      </c>
      <c r="J2187" s="54" t="s">
        <v>1016</v>
      </c>
    </row>
    <row r="2188" customFormat="false" ht="15" hidden="false" customHeight="true" outlineLevel="0" collapsed="false">
      <c r="A2188" s="54" t="n">
        <v>20260710</v>
      </c>
      <c r="B2188" s="54" t="s">
        <v>289</v>
      </c>
      <c r="C2188" s="54" t="s">
        <v>290</v>
      </c>
      <c r="D2188" s="54" t="s">
        <v>4980</v>
      </c>
      <c r="E2188" s="54" t="s">
        <v>4981</v>
      </c>
      <c r="F2188" s="54" t="s">
        <v>4986</v>
      </c>
      <c r="G2188" s="54" t="s">
        <v>4987</v>
      </c>
      <c r="H2188" s="54" t="n">
        <v>435</v>
      </c>
      <c r="I2188" s="54" t="s">
        <v>295</v>
      </c>
      <c r="J2188" s="54" t="s">
        <v>1016</v>
      </c>
    </row>
    <row r="2189" customFormat="false" ht="15" hidden="false" customHeight="true" outlineLevel="0" collapsed="false">
      <c r="A2189" s="54" t="n">
        <v>20260710</v>
      </c>
      <c r="B2189" s="54" t="s">
        <v>289</v>
      </c>
      <c r="C2189" s="54" t="s">
        <v>290</v>
      </c>
      <c r="D2189" s="54" t="s">
        <v>4980</v>
      </c>
      <c r="E2189" s="54" t="s">
        <v>4981</v>
      </c>
      <c r="F2189" s="54" t="s">
        <v>4988</v>
      </c>
      <c r="G2189" s="54" t="s">
        <v>4989</v>
      </c>
      <c r="H2189" s="54" t="n">
        <v>7704</v>
      </c>
      <c r="I2189" s="54" t="s">
        <v>295</v>
      </c>
      <c r="J2189" s="54" t="s">
        <v>1016</v>
      </c>
    </row>
    <row r="2190" customFormat="false" ht="15" hidden="false" customHeight="true" outlineLevel="0" collapsed="false">
      <c r="A2190" s="54" t="n">
        <v>20260710</v>
      </c>
      <c r="B2190" s="54" t="s">
        <v>289</v>
      </c>
      <c r="C2190" s="54" t="s">
        <v>290</v>
      </c>
      <c r="D2190" s="54" t="s">
        <v>4980</v>
      </c>
      <c r="E2190" s="54" t="s">
        <v>4981</v>
      </c>
      <c r="F2190" s="54" t="s">
        <v>4990</v>
      </c>
      <c r="G2190" s="54" t="s">
        <v>1579</v>
      </c>
      <c r="H2190" s="54" t="n">
        <v>7954</v>
      </c>
      <c r="I2190" s="54" t="s">
        <v>295</v>
      </c>
      <c r="J2190" s="54" t="s">
        <v>1016</v>
      </c>
    </row>
    <row r="2191" customFormat="false" ht="15" hidden="false" customHeight="true" outlineLevel="0" collapsed="false">
      <c r="A2191" s="54" t="n">
        <v>20260710</v>
      </c>
      <c r="B2191" s="54" t="s">
        <v>289</v>
      </c>
      <c r="C2191" s="54" t="s">
        <v>290</v>
      </c>
      <c r="D2191" s="54" t="s">
        <v>4980</v>
      </c>
      <c r="E2191" s="54" t="s">
        <v>4981</v>
      </c>
      <c r="F2191" s="54" t="s">
        <v>4991</v>
      </c>
      <c r="G2191" s="54" t="s">
        <v>4992</v>
      </c>
      <c r="H2191" s="54" t="n">
        <v>8185</v>
      </c>
      <c r="I2191" s="54" t="s">
        <v>295</v>
      </c>
      <c r="J2191" s="54" t="s">
        <v>1016</v>
      </c>
    </row>
    <row r="2192" customFormat="false" ht="15" hidden="false" customHeight="true" outlineLevel="0" collapsed="false">
      <c r="A2192" s="54" t="n">
        <v>20260710</v>
      </c>
      <c r="B2192" s="54" t="s">
        <v>289</v>
      </c>
      <c r="C2192" s="54" t="s">
        <v>290</v>
      </c>
      <c r="D2192" s="54" t="s">
        <v>4980</v>
      </c>
      <c r="E2192" s="54" t="s">
        <v>4981</v>
      </c>
      <c r="F2192" s="54" t="s">
        <v>4993</v>
      </c>
      <c r="G2192" s="54" t="s">
        <v>4994</v>
      </c>
      <c r="H2192" s="54" t="n">
        <v>136</v>
      </c>
      <c r="I2192" s="54" t="s">
        <v>295</v>
      </c>
      <c r="J2192" s="54" t="s">
        <v>1016</v>
      </c>
    </row>
    <row r="2193" customFormat="false" ht="15" hidden="false" customHeight="true" outlineLevel="0" collapsed="false">
      <c r="A2193" s="54" t="n">
        <v>20260710</v>
      </c>
      <c r="B2193" s="54" t="s">
        <v>289</v>
      </c>
      <c r="C2193" s="54" t="s">
        <v>290</v>
      </c>
      <c r="D2193" s="54" t="s">
        <v>4995</v>
      </c>
      <c r="E2193" s="54" t="s">
        <v>4996</v>
      </c>
      <c r="F2193" s="54" t="s">
        <v>4997</v>
      </c>
      <c r="G2193" s="54" t="s">
        <v>4998</v>
      </c>
      <c r="H2193" s="54" t="n">
        <v>610</v>
      </c>
      <c r="I2193" s="54" t="s">
        <v>295</v>
      </c>
      <c r="J2193" s="54" t="s">
        <v>2306</v>
      </c>
    </row>
    <row r="2194" customFormat="false" ht="15" hidden="false" customHeight="true" outlineLevel="0" collapsed="false">
      <c r="A2194" s="54" t="n">
        <v>20260710</v>
      </c>
      <c r="B2194" s="54" t="s">
        <v>289</v>
      </c>
      <c r="C2194" s="54" t="s">
        <v>290</v>
      </c>
      <c r="D2194" s="54" t="s">
        <v>4995</v>
      </c>
      <c r="E2194" s="54" t="s">
        <v>4996</v>
      </c>
      <c r="F2194" s="54" t="s">
        <v>4999</v>
      </c>
      <c r="G2194" s="54" t="s">
        <v>5000</v>
      </c>
      <c r="H2194" s="54" t="n">
        <v>7496</v>
      </c>
      <c r="I2194" s="54" t="s">
        <v>295</v>
      </c>
      <c r="J2194" s="54" t="s">
        <v>2306</v>
      </c>
    </row>
    <row r="2195" customFormat="false" ht="15" hidden="false" customHeight="true" outlineLevel="0" collapsed="false">
      <c r="A2195" s="54" t="n">
        <v>20260710</v>
      </c>
      <c r="B2195" s="54" t="s">
        <v>289</v>
      </c>
      <c r="C2195" s="54" t="s">
        <v>290</v>
      </c>
      <c r="D2195" s="54" t="s">
        <v>4995</v>
      </c>
      <c r="E2195" s="54" t="s">
        <v>4996</v>
      </c>
      <c r="F2195" s="54" t="s">
        <v>5001</v>
      </c>
      <c r="G2195" s="54" t="s">
        <v>5002</v>
      </c>
      <c r="H2195" s="54" t="n">
        <v>10075</v>
      </c>
      <c r="I2195" s="54" t="s">
        <v>295</v>
      </c>
      <c r="J2195" s="54" t="s">
        <v>2306</v>
      </c>
    </row>
    <row r="2196" customFormat="false" ht="15" hidden="false" customHeight="true" outlineLevel="0" collapsed="false">
      <c r="A2196" s="54" t="n">
        <v>20260710</v>
      </c>
      <c r="B2196" s="54" t="s">
        <v>289</v>
      </c>
      <c r="C2196" s="54" t="s">
        <v>290</v>
      </c>
      <c r="D2196" s="54" t="s">
        <v>4995</v>
      </c>
      <c r="E2196" s="54" t="s">
        <v>4996</v>
      </c>
      <c r="F2196" s="54" t="s">
        <v>2606</v>
      </c>
      <c r="G2196" s="54" t="s">
        <v>5003</v>
      </c>
      <c r="H2196" s="54" t="n">
        <v>2148</v>
      </c>
      <c r="I2196" s="54" t="s">
        <v>295</v>
      </c>
      <c r="J2196" s="54" t="s">
        <v>2306</v>
      </c>
    </row>
    <row r="2197" customFormat="false" ht="15" hidden="false" customHeight="true" outlineLevel="0" collapsed="false">
      <c r="A2197" s="54" t="n">
        <v>20260710</v>
      </c>
      <c r="B2197" s="54" t="s">
        <v>289</v>
      </c>
      <c r="C2197" s="54" t="s">
        <v>290</v>
      </c>
      <c r="D2197" s="54" t="s">
        <v>4995</v>
      </c>
      <c r="E2197" s="54" t="s">
        <v>4996</v>
      </c>
      <c r="F2197" s="54" t="s">
        <v>1816</v>
      </c>
      <c r="G2197" s="54" t="s">
        <v>4508</v>
      </c>
      <c r="H2197" s="54" t="n">
        <v>2101</v>
      </c>
      <c r="I2197" s="54" t="s">
        <v>295</v>
      </c>
      <c r="J2197" s="54" t="s">
        <v>2306</v>
      </c>
    </row>
    <row r="2198" customFormat="false" ht="15" hidden="false" customHeight="true" outlineLevel="0" collapsed="false">
      <c r="A2198" s="54" t="n">
        <v>20260710</v>
      </c>
      <c r="B2198" s="54" t="s">
        <v>289</v>
      </c>
      <c r="C2198" s="54" t="s">
        <v>290</v>
      </c>
      <c r="D2198" s="54" t="s">
        <v>4995</v>
      </c>
      <c r="E2198" s="54" t="s">
        <v>4996</v>
      </c>
      <c r="F2198" s="54" t="s">
        <v>5004</v>
      </c>
      <c r="G2198" s="54" t="s">
        <v>5005</v>
      </c>
      <c r="H2198" s="54" t="n">
        <v>7185</v>
      </c>
      <c r="I2198" s="54" t="s">
        <v>295</v>
      </c>
      <c r="J2198" s="54" t="s">
        <v>2306</v>
      </c>
    </row>
    <row r="2199" customFormat="false" ht="15" hidden="false" customHeight="true" outlineLevel="0" collapsed="false">
      <c r="A2199" s="54" t="n">
        <v>20260710</v>
      </c>
      <c r="B2199" s="54" t="s">
        <v>535</v>
      </c>
      <c r="C2199" s="54" t="s">
        <v>290</v>
      </c>
      <c r="D2199" s="54" t="s">
        <v>5006</v>
      </c>
      <c r="E2199" s="54" t="s">
        <v>5007</v>
      </c>
      <c r="F2199" s="54" t="s">
        <v>1825</v>
      </c>
      <c r="G2199" s="54" t="s">
        <v>5008</v>
      </c>
      <c r="H2199" s="54" t="n">
        <v>18147</v>
      </c>
      <c r="I2199" s="54" t="s">
        <v>295</v>
      </c>
      <c r="J2199" s="54" t="s">
        <v>811</v>
      </c>
    </row>
    <row r="2200" customFormat="false" ht="15" hidden="false" customHeight="true" outlineLevel="0" collapsed="false">
      <c r="A2200" s="54" t="n">
        <v>20260710</v>
      </c>
      <c r="B2200" s="54" t="s">
        <v>535</v>
      </c>
      <c r="C2200" s="54" t="s">
        <v>290</v>
      </c>
      <c r="D2200" s="54" t="s">
        <v>5006</v>
      </c>
      <c r="E2200" s="54" t="s">
        <v>5007</v>
      </c>
      <c r="F2200" s="54" t="s">
        <v>5009</v>
      </c>
      <c r="G2200" s="54" t="s">
        <v>3580</v>
      </c>
      <c r="H2200" s="54" t="n">
        <v>3427</v>
      </c>
      <c r="I2200" s="54" t="s">
        <v>295</v>
      </c>
      <c r="J2200" s="54" t="s">
        <v>811</v>
      </c>
    </row>
    <row r="2201" customFormat="false" ht="15" hidden="false" customHeight="true" outlineLevel="0" collapsed="false">
      <c r="A2201" s="54" t="n">
        <v>20260710</v>
      </c>
      <c r="B2201" s="54" t="s">
        <v>535</v>
      </c>
      <c r="C2201" s="54" t="s">
        <v>290</v>
      </c>
      <c r="D2201" s="54" t="s">
        <v>5006</v>
      </c>
      <c r="E2201" s="54" t="s">
        <v>5007</v>
      </c>
      <c r="F2201" s="54" t="s">
        <v>2059</v>
      </c>
      <c r="G2201" s="54" t="s">
        <v>929</v>
      </c>
      <c r="H2201" s="54" t="n">
        <v>10768</v>
      </c>
      <c r="I2201" s="54" t="s">
        <v>295</v>
      </c>
      <c r="J2201" s="54" t="s">
        <v>811</v>
      </c>
    </row>
    <row r="2202" customFormat="false" ht="15" hidden="false" customHeight="true" outlineLevel="0" collapsed="false">
      <c r="A2202" s="54" t="n">
        <v>20260710</v>
      </c>
      <c r="B2202" s="54" t="s">
        <v>306</v>
      </c>
      <c r="C2202" s="54" t="s">
        <v>290</v>
      </c>
      <c r="D2202" s="54" t="s">
        <v>5010</v>
      </c>
      <c r="E2202" s="54" t="s">
        <v>5011</v>
      </c>
      <c r="F2202" s="54" t="s">
        <v>5012</v>
      </c>
      <c r="G2202" s="54" t="s">
        <v>5013</v>
      </c>
      <c r="H2202" s="54" t="n">
        <v>21757</v>
      </c>
      <c r="I2202" s="54" t="s">
        <v>295</v>
      </c>
      <c r="J2202" s="54" t="s">
        <v>473</v>
      </c>
    </row>
    <row r="2203" customFormat="false" ht="15" hidden="false" customHeight="true" outlineLevel="0" collapsed="false">
      <c r="A2203" s="54" t="n">
        <v>20260710</v>
      </c>
      <c r="B2203" s="54" t="s">
        <v>306</v>
      </c>
      <c r="C2203" s="54" t="s">
        <v>290</v>
      </c>
      <c r="D2203" s="54" t="s">
        <v>5010</v>
      </c>
      <c r="E2203" s="54" t="s">
        <v>5011</v>
      </c>
      <c r="F2203" s="54" t="s">
        <v>5014</v>
      </c>
      <c r="G2203" s="54" t="s">
        <v>5013</v>
      </c>
      <c r="H2203" s="54" t="n">
        <v>21756</v>
      </c>
      <c r="I2203" s="54" t="s">
        <v>315</v>
      </c>
      <c r="J2203" s="54" t="s">
        <v>473</v>
      </c>
    </row>
    <row r="2204" customFormat="false" ht="15" hidden="false" customHeight="true" outlineLevel="0" collapsed="false">
      <c r="A2204" s="54" t="n">
        <v>20260710</v>
      </c>
      <c r="B2204" s="54" t="s">
        <v>306</v>
      </c>
      <c r="C2204" s="54" t="s">
        <v>290</v>
      </c>
      <c r="D2204" s="54" t="s">
        <v>5015</v>
      </c>
      <c r="E2204" s="54" t="s">
        <v>5016</v>
      </c>
      <c r="F2204" s="54" t="s">
        <v>5017</v>
      </c>
      <c r="G2204" s="54" t="s">
        <v>5018</v>
      </c>
      <c r="H2204" s="54" t="n">
        <v>15691</v>
      </c>
      <c r="I2204" s="54" t="s">
        <v>295</v>
      </c>
      <c r="J2204" s="54" t="s">
        <v>1027</v>
      </c>
    </row>
    <row r="2205" customFormat="false" ht="15" hidden="false" customHeight="true" outlineLevel="0" collapsed="false">
      <c r="A2205" s="54" t="n">
        <v>20260710</v>
      </c>
      <c r="B2205" s="54" t="s">
        <v>306</v>
      </c>
      <c r="C2205" s="54" t="s">
        <v>290</v>
      </c>
      <c r="D2205" s="54" t="s">
        <v>5015</v>
      </c>
      <c r="E2205" s="54" t="s">
        <v>5016</v>
      </c>
      <c r="F2205" s="54" t="s">
        <v>5019</v>
      </c>
      <c r="G2205" s="54" t="s">
        <v>5020</v>
      </c>
      <c r="H2205" s="54" t="n">
        <v>13135</v>
      </c>
      <c r="I2205" s="54" t="s">
        <v>295</v>
      </c>
      <c r="J2205" s="54" t="s">
        <v>1027</v>
      </c>
    </row>
    <row r="2206" customFormat="false" ht="15" hidden="false" customHeight="true" outlineLevel="0" collapsed="false">
      <c r="A2206" s="54" t="n">
        <v>20260710</v>
      </c>
      <c r="B2206" s="54" t="s">
        <v>497</v>
      </c>
      <c r="C2206" s="54" t="s">
        <v>307</v>
      </c>
      <c r="D2206" s="54" t="s">
        <v>5021</v>
      </c>
      <c r="E2206" s="54" t="s">
        <v>5022</v>
      </c>
      <c r="F2206" s="54" t="s">
        <v>5023</v>
      </c>
      <c r="G2206" s="54" t="s">
        <v>5024</v>
      </c>
      <c r="H2206" s="54" t="n">
        <v>16172</v>
      </c>
      <c r="I2206" s="54" t="s">
        <v>295</v>
      </c>
      <c r="J2206" s="54" t="s">
        <v>502</v>
      </c>
    </row>
    <row r="2207" customFormat="false" ht="15" hidden="false" customHeight="true" outlineLevel="0" collapsed="false">
      <c r="A2207" s="54" t="n">
        <v>20260710</v>
      </c>
      <c r="B2207" s="54" t="s">
        <v>497</v>
      </c>
      <c r="C2207" s="54" t="s">
        <v>307</v>
      </c>
      <c r="D2207" s="54" t="s">
        <v>5021</v>
      </c>
      <c r="E2207" s="54" t="s">
        <v>5022</v>
      </c>
      <c r="F2207" s="54" t="s">
        <v>4932</v>
      </c>
      <c r="G2207" s="54" t="s">
        <v>5025</v>
      </c>
      <c r="H2207" s="54" t="n">
        <v>1188</v>
      </c>
      <c r="I2207" s="54" t="s">
        <v>295</v>
      </c>
      <c r="J2207" s="54" t="s">
        <v>502</v>
      </c>
    </row>
    <row r="2208" customFormat="false" ht="15" hidden="false" customHeight="true" outlineLevel="0" collapsed="false">
      <c r="A2208" s="54" t="n">
        <v>20260710</v>
      </c>
      <c r="B2208" s="54" t="s">
        <v>497</v>
      </c>
      <c r="C2208" s="54" t="s">
        <v>307</v>
      </c>
      <c r="D2208" s="54" t="s">
        <v>5021</v>
      </c>
      <c r="E2208" s="54" t="s">
        <v>5022</v>
      </c>
      <c r="F2208" s="54" t="s">
        <v>5026</v>
      </c>
      <c r="G2208" s="54" t="s">
        <v>1810</v>
      </c>
      <c r="H2208" s="54" t="n">
        <v>10904</v>
      </c>
      <c r="I2208" s="54" t="s">
        <v>295</v>
      </c>
      <c r="J2208" s="54" t="s">
        <v>502</v>
      </c>
    </row>
    <row r="2209" customFormat="false" ht="15" hidden="false" customHeight="true" outlineLevel="0" collapsed="false">
      <c r="A2209" s="54" t="n">
        <v>20260710</v>
      </c>
      <c r="B2209" s="54" t="s">
        <v>688</v>
      </c>
      <c r="C2209" s="54" t="s">
        <v>307</v>
      </c>
      <c r="D2209" s="54" t="s">
        <v>5027</v>
      </c>
      <c r="E2209" s="54" t="s">
        <v>5028</v>
      </c>
      <c r="F2209" s="54" t="s">
        <v>5029</v>
      </c>
      <c r="G2209" s="54" t="s">
        <v>5030</v>
      </c>
      <c r="H2209" s="54" t="n">
        <v>18045</v>
      </c>
      <c r="I2209" s="54" t="s">
        <v>295</v>
      </c>
      <c r="J2209" s="54" t="s">
        <v>693</v>
      </c>
    </row>
    <row r="2210" customFormat="false" ht="15" hidden="false" customHeight="true" outlineLevel="0" collapsed="false">
      <c r="A2210" s="54" t="n">
        <v>20260710</v>
      </c>
      <c r="B2210" s="54" t="s">
        <v>688</v>
      </c>
      <c r="C2210" s="54" t="s">
        <v>307</v>
      </c>
      <c r="D2210" s="54" t="s">
        <v>5027</v>
      </c>
      <c r="E2210" s="54" t="s">
        <v>5028</v>
      </c>
      <c r="F2210" s="54" t="s">
        <v>5031</v>
      </c>
      <c r="G2210" s="54" t="s">
        <v>5032</v>
      </c>
      <c r="H2210" s="54" t="n">
        <v>14796</v>
      </c>
      <c r="I2210" s="54" t="s">
        <v>295</v>
      </c>
      <c r="J2210" s="54" t="s">
        <v>693</v>
      </c>
    </row>
    <row r="2211" customFormat="false" ht="15" hidden="false" customHeight="true" outlineLevel="0" collapsed="false">
      <c r="A2211" s="54" t="n">
        <v>20260710</v>
      </c>
      <c r="B2211" s="54" t="s">
        <v>497</v>
      </c>
      <c r="C2211" s="54" t="s">
        <v>307</v>
      </c>
      <c r="D2211" s="54" t="s">
        <v>5033</v>
      </c>
      <c r="E2211" s="54" t="s">
        <v>5034</v>
      </c>
      <c r="F2211" s="54" t="s">
        <v>5035</v>
      </c>
      <c r="G2211" s="54" t="s">
        <v>5036</v>
      </c>
      <c r="H2211" s="54" t="n">
        <v>16350</v>
      </c>
      <c r="I2211" s="54" t="s">
        <v>295</v>
      </c>
      <c r="J2211" s="54" t="s">
        <v>502</v>
      </c>
    </row>
    <row r="2212" customFormat="false" ht="15" hidden="false" customHeight="true" outlineLevel="0" collapsed="false">
      <c r="A2212" s="54" t="n">
        <v>20260710</v>
      </c>
      <c r="B2212" s="54" t="s">
        <v>497</v>
      </c>
      <c r="C2212" s="54" t="s">
        <v>307</v>
      </c>
      <c r="D2212" s="54" t="s">
        <v>5033</v>
      </c>
      <c r="E2212" s="54" t="s">
        <v>5034</v>
      </c>
      <c r="F2212" s="54" t="s">
        <v>5037</v>
      </c>
      <c r="G2212" s="54" t="s">
        <v>889</v>
      </c>
      <c r="H2212" s="54" t="n">
        <v>12513</v>
      </c>
      <c r="I2212" s="54" t="s">
        <v>295</v>
      </c>
      <c r="J2212" s="54" t="s">
        <v>502</v>
      </c>
    </row>
    <row r="2213" customFormat="false" ht="15" hidden="false" customHeight="true" outlineLevel="0" collapsed="false">
      <c r="A2213" s="54" t="n">
        <v>20260710</v>
      </c>
      <c r="B2213" s="54" t="s">
        <v>306</v>
      </c>
      <c r="C2213" s="54" t="s">
        <v>290</v>
      </c>
      <c r="D2213" s="54" t="s">
        <v>5038</v>
      </c>
      <c r="E2213" s="54" t="s">
        <v>5039</v>
      </c>
      <c r="F2213" s="54" t="s">
        <v>5040</v>
      </c>
      <c r="G2213" s="54" t="s">
        <v>5041</v>
      </c>
      <c r="H2213" s="54" t="n">
        <v>1457</v>
      </c>
      <c r="I2213" s="54" t="s">
        <v>295</v>
      </c>
      <c r="J2213" s="54" t="s">
        <v>3727</v>
      </c>
    </row>
    <row r="2214" customFormat="false" ht="15" hidden="false" customHeight="true" outlineLevel="0" collapsed="false">
      <c r="A2214" s="54" t="n">
        <v>20260710</v>
      </c>
      <c r="B2214" s="54" t="s">
        <v>306</v>
      </c>
      <c r="C2214" s="54" t="s">
        <v>290</v>
      </c>
      <c r="D2214" s="54" t="s">
        <v>5038</v>
      </c>
      <c r="E2214" s="54" t="s">
        <v>5039</v>
      </c>
      <c r="F2214" s="54" t="s">
        <v>5042</v>
      </c>
      <c r="G2214" s="54" t="s">
        <v>4523</v>
      </c>
      <c r="H2214" s="54" t="n">
        <v>19966</v>
      </c>
      <c r="I2214" s="54" t="s">
        <v>295</v>
      </c>
      <c r="J2214" s="54" t="s">
        <v>3727</v>
      </c>
    </row>
    <row r="2215" customFormat="false" ht="15" hidden="false" customHeight="true" outlineLevel="0" collapsed="false">
      <c r="A2215" s="54" t="n">
        <v>20260710</v>
      </c>
      <c r="B2215" s="54" t="s">
        <v>306</v>
      </c>
      <c r="C2215" s="54" t="s">
        <v>290</v>
      </c>
      <c r="D2215" s="54" t="s">
        <v>5038</v>
      </c>
      <c r="E2215" s="54" t="s">
        <v>5039</v>
      </c>
      <c r="F2215" s="54" t="s">
        <v>5043</v>
      </c>
      <c r="G2215" s="54" t="s">
        <v>5044</v>
      </c>
      <c r="H2215" s="54" t="n">
        <v>31</v>
      </c>
      <c r="I2215" s="54" t="s">
        <v>295</v>
      </c>
      <c r="J2215" s="54" t="s">
        <v>3727</v>
      </c>
    </row>
    <row r="2216" customFormat="false" ht="15" hidden="false" customHeight="true" outlineLevel="0" collapsed="false">
      <c r="A2216" s="54" t="n">
        <v>20260710</v>
      </c>
      <c r="B2216" s="54" t="s">
        <v>306</v>
      </c>
      <c r="C2216" s="54" t="s">
        <v>290</v>
      </c>
      <c r="D2216" s="54" t="s">
        <v>5038</v>
      </c>
      <c r="E2216" s="54" t="s">
        <v>5039</v>
      </c>
      <c r="F2216" s="54" t="s">
        <v>5045</v>
      </c>
      <c r="G2216" s="54" t="s">
        <v>2162</v>
      </c>
      <c r="H2216" s="54" t="n">
        <v>8947</v>
      </c>
      <c r="I2216" s="54" t="s">
        <v>295</v>
      </c>
      <c r="J2216" s="54" t="s">
        <v>3727</v>
      </c>
    </row>
    <row r="2217" customFormat="false" ht="15" hidden="false" customHeight="true" outlineLevel="0" collapsed="false">
      <c r="A2217" s="54" t="n">
        <v>20260710</v>
      </c>
      <c r="B2217" s="54" t="s">
        <v>688</v>
      </c>
      <c r="C2217" s="54" t="s">
        <v>307</v>
      </c>
      <c r="D2217" s="54" t="s">
        <v>5046</v>
      </c>
      <c r="E2217" s="54" t="s">
        <v>143</v>
      </c>
      <c r="F2217" s="54" t="s">
        <v>5047</v>
      </c>
      <c r="G2217" s="54" t="s">
        <v>2887</v>
      </c>
      <c r="H2217" s="54" t="n">
        <v>18136</v>
      </c>
      <c r="I2217" s="54" t="s">
        <v>295</v>
      </c>
      <c r="J2217" s="54" t="s">
        <v>745</v>
      </c>
    </row>
    <row r="2218" customFormat="false" ht="15" hidden="false" customHeight="true" outlineLevel="0" collapsed="false">
      <c r="A2218" s="54" t="n">
        <v>20260710</v>
      </c>
      <c r="B2218" s="54" t="s">
        <v>688</v>
      </c>
      <c r="C2218" s="54" t="s">
        <v>307</v>
      </c>
      <c r="D2218" s="54" t="s">
        <v>5046</v>
      </c>
      <c r="E2218" s="54" t="s">
        <v>143</v>
      </c>
      <c r="F2218" s="54" t="s">
        <v>1110</v>
      </c>
      <c r="G2218" s="54" t="s">
        <v>984</v>
      </c>
      <c r="H2218" s="54" t="n">
        <v>14400</v>
      </c>
      <c r="I2218" s="54" t="s">
        <v>295</v>
      </c>
      <c r="J2218" s="54" t="s">
        <v>745</v>
      </c>
    </row>
    <row r="2219" customFormat="false" ht="15" hidden="false" customHeight="true" outlineLevel="0" collapsed="false">
      <c r="A2219" s="54" t="n">
        <v>20260710</v>
      </c>
      <c r="B2219" s="54" t="s">
        <v>306</v>
      </c>
      <c r="C2219" s="54" t="s">
        <v>290</v>
      </c>
      <c r="D2219" s="54" t="s">
        <v>5048</v>
      </c>
      <c r="E2219" s="54" t="s">
        <v>5049</v>
      </c>
      <c r="F2219" s="54" t="s">
        <v>5050</v>
      </c>
      <c r="G2219" s="54" t="s">
        <v>5051</v>
      </c>
      <c r="H2219" s="54" t="n">
        <v>17550</v>
      </c>
      <c r="I2219" s="54" t="s">
        <v>295</v>
      </c>
      <c r="J2219" s="54" t="s">
        <v>1265</v>
      </c>
    </row>
    <row r="2220" customFormat="false" ht="15" hidden="false" customHeight="true" outlineLevel="0" collapsed="false">
      <c r="A2220" s="54" t="n">
        <v>20260710</v>
      </c>
      <c r="B2220" s="54" t="s">
        <v>306</v>
      </c>
      <c r="C2220" s="54" t="s">
        <v>290</v>
      </c>
      <c r="D2220" s="54" t="s">
        <v>5048</v>
      </c>
      <c r="E2220" s="54" t="s">
        <v>5049</v>
      </c>
      <c r="F2220" s="54" t="s">
        <v>5052</v>
      </c>
      <c r="G2220" s="54" t="s">
        <v>5053</v>
      </c>
      <c r="H2220" s="54" t="n">
        <v>11330</v>
      </c>
      <c r="I2220" s="54" t="s">
        <v>295</v>
      </c>
      <c r="J2220" s="54" t="s">
        <v>1265</v>
      </c>
    </row>
    <row r="2221" customFormat="false" ht="15" hidden="false" customHeight="true" outlineLevel="0" collapsed="false">
      <c r="A2221" s="54" t="n">
        <v>20260710</v>
      </c>
      <c r="B2221" s="54" t="s">
        <v>306</v>
      </c>
      <c r="C2221" s="54" t="s">
        <v>290</v>
      </c>
      <c r="D2221" s="54" t="s">
        <v>5048</v>
      </c>
      <c r="E2221" s="54" t="s">
        <v>5049</v>
      </c>
      <c r="F2221" s="54" t="s">
        <v>5054</v>
      </c>
      <c r="G2221" s="54" t="s">
        <v>5055</v>
      </c>
      <c r="H2221" s="54" t="n">
        <v>33</v>
      </c>
      <c r="I2221" s="54" t="s">
        <v>295</v>
      </c>
      <c r="J2221" s="54" t="s">
        <v>1265</v>
      </c>
    </row>
    <row r="2222" customFormat="false" ht="15" hidden="false" customHeight="true" outlineLevel="0" collapsed="false">
      <c r="A2222" s="54" t="n">
        <v>20260710</v>
      </c>
      <c r="B2222" s="54" t="s">
        <v>289</v>
      </c>
      <c r="C2222" s="54" t="s">
        <v>290</v>
      </c>
      <c r="D2222" s="54" t="s">
        <v>5056</v>
      </c>
      <c r="E2222" s="54" t="s">
        <v>5057</v>
      </c>
      <c r="F2222" s="54" t="s">
        <v>5058</v>
      </c>
      <c r="G2222" s="54" t="s">
        <v>5059</v>
      </c>
      <c r="H2222" s="54" t="n">
        <v>14675</v>
      </c>
      <c r="I2222" s="54" t="s">
        <v>295</v>
      </c>
      <c r="J2222" s="54" t="s">
        <v>1016</v>
      </c>
    </row>
    <row r="2223" customFormat="false" ht="15" hidden="false" customHeight="true" outlineLevel="0" collapsed="false">
      <c r="A2223" s="54" t="n">
        <v>20260710</v>
      </c>
      <c r="B2223" s="54" t="s">
        <v>289</v>
      </c>
      <c r="C2223" s="54" t="s">
        <v>290</v>
      </c>
      <c r="D2223" s="54" t="s">
        <v>5056</v>
      </c>
      <c r="E2223" s="54" t="s">
        <v>5057</v>
      </c>
      <c r="F2223" s="54" t="s">
        <v>915</v>
      </c>
      <c r="G2223" s="54" t="s">
        <v>1044</v>
      </c>
      <c r="H2223" s="54" t="n">
        <v>14355</v>
      </c>
      <c r="I2223" s="54" t="s">
        <v>295</v>
      </c>
      <c r="J2223" s="54" t="s">
        <v>1016</v>
      </c>
    </row>
    <row r="2224" customFormat="false" ht="15" hidden="false" customHeight="true" outlineLevel="0" collapsed="false">
      <c r="A2224" s="54" t="n">
        <v>20260710</v>
      </c>
      <c r="B2224" s="54" t="s">
        <v>306</v>
      </c>
      <c r="C2224" s="54" t="s">
        <v>290</v>
      </c>
      <c r="D2224" s="54" t="s">
        <v>5060</v>
      </c>
      <c r="E2224" s="54" t="s">
        <v>5061</v>
      </c>
      <c r="F2224" s="54" t="s">
        <v>5062</v>
      </c>
      <c r="G2224" s="54" t="s">
        <v>2145</v>
      </c>
      <c r="H2224" s="54" t="n">
        <v>831</v>
      </c>
      <c r="I2224" s="54" t="s">
        <v>295</v>
      </c>
      <c r="J2224" s="54" t="s">
        <v>335</v>
      </c>
    </row>
    <row r="2225" customFormat="false" ht="15" hidden="false" customHeight="true" outlineLevel="0" collapsed="false">
      <c r="A2225" s="54" t="n">
        <v>20260710</v>
      </c>
      <c r="B2225" s="54" t="s">
        <v>306</v>
      </c>
      <c r="C2225" s="54" t="s">
        <v>290</v>
      </c>
      <c r="D2225" s="54" t="s">
        <v>5060</v>
      </c>
      <c r="E2225" s="54" t="s">
        <v>5061</v>
      </c>
      <c r="F2225" s="54" t="s">
        <v>3551</v>
      </c>
      <c r="G2225" s="54" t="s">
        <v>5063</v>
      </c>
      <c r="H2225" s="54" t="n">
        <v>758</v>
      </c>
      <c r="I2225" s="54" t="s">
        <v>315</v>
      </c>
      <c r="J2225" s="54" t="s">
        <v>335</v>
      </c>
    </row>
    <row r="2226" customFormat="false" ht="15" hidden="false" customHeight="true" outlineLevel="0" collapsed="false">
      <c r="A2226" s="54" t="n">
        <v>20260710</v>
      </c>
      <c r="B2226" s="54" t="s">
        <v>306</v>
      </c>
      <c r="C2226" s="54" t="s">
        <v>290</v>
      </c>
      <c r="D2226" s="54" t="s">
        <v>5060</v>
      </c>
      <c r="E2226" s="54" t="s">
        <v>5061</v>
      </c>
      <c r="F2226" s="54" t="s">
        <v>5064</v>
      </c>
      <c r="G2226" s="54" t="s">
        <v>5065</v>
      </c>
      <c r="H2226" s="54" t="n">
        <v>492</v>
      </c>
      <c r="I2226" s="54" t="s">
        <v>295</v>
      </c>
      <c r="J2226" s="54" t="s">
        <v>335</v>
      </c>
    </row>
    <row r="2227" customFormat="false" ht="15" hidden="false" customHeight="true" outlineLevel="0" collapsed="false">
      <c r="A2227" s="54" t="n">
        <v>20260710</v>
      </c>
      <c r="B2227" s="54" t="s">
        <v>306</v>
      </c>
      <c r="C2227" s="54" t="s">
        <v>290</v>
      </c>
      <c r="D2227" s="54" t="s">
        <v>5060</v>
      </c>
      <c r="E2227" s="54" t="s">
        <v>5061</v>
      </c>
      <c r="F2227" s="54" t="s">
        <v>5066</v>
      </c>
      <c r="G2227" s="54" t="s">
        <v>5067</v>
      </c>
      <c r="H2227" s="54" t="n">
        <v>9428</v>
      </c>
      <c r="I2227" s="54" t="s">
        <v>315</v>
      </c>
      <c r="J2227" s="54" t="s">
        <v>335</v>
      </c>
    </row>
    <row r="2228" customFormat="false" ht="15" hidden="false" customHeight="true" outlineLevel="0" collapsed="false">
      <c r="A2228" s="54" t="n">
        <v>20260710</v>
      </c>
      <c r="B2228" s="54" t="s">
        <v>306</v>
      </c>
      <c r="C2228" s="54" t="s">
        <v>290</v>
      </c>
      <c r="D2228" s="54" t="s">
        <v>5060</v>
      </c>
      <c r="E2228" s="54" t="s">
        <v>5061</v>
      </c>
      <c r="F2228" s="54" t="s">
        <v>5066</v>
      </c>
      <c r="G2228" s="54" t="s">
        <v>5067</v>
      </c>
      <c r="H2228" s="54" t="n">
        <v>9428</v>
      </c>
      <c r="I2228" s="54" t="s">
        <v>295</v>
      </c>
      <c r="J2228" s="54" t="s">
        <v>335</v>
      </c>
    </row>
    <row r="2229" customFormat="false" ht="15" hidden="false" customHeight="true" outlineLevel="0" collapsed="false">
      <c r="A2229" s="54" t="n">
        <v>20260710</v>
      </c>
      <c r="B2229" s="54" t="s">
        <v>306</v>
      </c>
      <c r="C2229" s="54" t="s">
        <v>290</v>
      </c>
      <c r="D2229" s="54" t="s">
        <v>5060</v>
      </c>
      <c r="E2229" s="54" t="s">
        <v>5061</v>
      </c>
      <c r="F2229" s="54" t="s">
        <v>5068</v>
      </c>
      <c r="G2229" s="54" t="s">
        <v>5069</v>
      </c>
      <c r="H2229" s="54" t="n">
        <v>16</v>
      </c>
      <c r="I2229" s="54" t="s">
        <v>315</v>
      </c>
      <c r="J2229" s="54" t="s">
        <v>335</v>
      </c>
    </row>
    <row r="2230" customFormat="false" ht="15" hidden="false" customHeight="true" outlineLevel="0" collapsed="false">
      <c r="A2230" s="54" t="n">
        <v>20260710</v>
      </c>
      <c r="B2230" s="54" t="s">
        <v>306</v>
      </c>
      <c r="C2230" s="54" t="s">
        <v>290</v>
      </c>
      <c r="D2230" s="54" t="s">
        <v>5060</v>
      </c>
      <c r="E2230" s="54" t="s">
        <v>5061</v>
      </c>
      <c r="F2230" s="54" t="s">
        <v>5068</v>
      </c>
      <c r="G2230" s="54" t="s">
        <v>5069</v>
      </c>
      <c r="H2230" s="54" t="n">
        <v>16</v>
      </c>
      <c r="I2230" s="54" t="s">
        <v>295</v>
      </c>
      <c r="J2230" s="54" t="s">
        <v>335</v>
      </c>
    </row>
    <row r="2231" customFormat="false" ht="15" hidden="false" customHeight="true" outlineLevel="0" collapsed="false">
      <c r="A2231" s="54" t="n">
        <v>20260710</v>
      </c>
      <c r="B2231" s="54" t="s">
        <v>306</v>
      </c>
      <c r="C2231" s="54" t="s">
        <v>290</v>
      </c>
      <c r="D2231" s="54" t="s">
        <v>5060</v>
      </c>
      <c r="E2231" s="54" t="s">
        <v>5061</v>
      </c>
      <c r="F2231" s="54" t="s">
        <v>5070</v>
      </c>
      <c r="G2231" s="54" t="s">
        <v>5071</v>
      </c>
      <c r="H2231" s="54" t="n">
        <v>2127</v>
      </c>
      <c r="I2231" s="54" t="s">
        <v>315</v>
      </c>
      <c r="J2231" s="54" t="s">
        <v>335</v>
      </c>
    </row>
    <row r="2232" customFormat="false" ht="15" hidden="false" customHeight="true" outlineLevel="0" collapsed="false">
      <c r="A2232" s="54" t="n">
        <v>20260710</v>
      </c>
      <c r="B2232" s="54" t="s">
        <v>306</v>
      </c>
      <c r="C2232" s="54" t="s">
        <v>290</v>
      </c>
      <c r="D2232" s="54" t="s">
        <v>5060</v>
      </c>
      <c r="E2232" s="54" t="s">
        <v>5061</v>
      </c>
      <c r="F2232" s="54" t="s">
        <v>5070</v>
      </c>
      <c r="G2232" s="54" t="s">
        <v>5071</v>
      </c>
      <c r="H2232" s="54" t="n">
        <v>2127</v>
      </c>
      <c r="I2232" s="54" t="s">
        <v>295</v>
      </c>
      <c r="J2232" s="54" t="s">
        <v>335</v>
      </c>
    </row>
    <row r="2233" customFormat="false" ht="15" hidden="false" customHeight="true" outlineLevel="0" collapsed="false">
      <c r="A2233" s="54" t="n">
        <v>20260710</v>
      </c>
      <c r="B2233" s="54" t="s">
        <v>306</v>
      </c>
      <c r="C2233" s="54" t="s">
        <v>290</v>
      </c>
      <c r="D2233" s="54" t="s">
        <v>5060</v>
      </c>
      <c r="E2233" s="54" t="s">
        <v>5061</v>
      </c>
      <c r="F2233" s="54" t="s">
        <v>5072</v>
      </c>
      <c r="G2233" s="54" t="s">
        <v>1044</v>
      </c>
      <c r="H2233" s="54" t="n">
        <v>8748</v>
      </c>
      <c r="I2233" s="54" t="s">
        <v>315</v>
      </c>
      <c r="J2233" s="54" t="s">
        <v>335</v>
      </c>
    </row>
    <row r="2234" customFormat="false" ht="15" hidden="false" customHeight="true" outlineLevel="0" collapsed="false">
      <c r="A2234" s="54" t="n">
        <v>20260710</v>
      </c>
      <c r="B2234" s="54" t="s">
        <v>306</v>
      </c>
      <c r="C2234" s="54" t="s">
        <v>290</v>
      </c>
      <c r="D2234" s="54" t="s">
        <v>5060</v>
      </c>
      <c r="E2234" s="54" t="s">
        <v>5061</v>
      </c>
      <c r="F2234" s="54" t="s">
        <v>5072</v>
      </c>
      <c r="G2234" s="54" t="s">
        <v>1044</v>
      </c>
      <c r="H2234" s="54" t="n">
        <v>8748</v>
      </c>
      <c r="I2234" s="54" t="s">
        <v>295</v>
      </c>
      <c r="J2234" s="54" t="s">
        <v>335</v>
      </c>
    </row>
    <row r="2235" customFormat="false" ht="15" hidden="false" customHeight="true" outlineLevel="0" collapsed="false">
      <c r="A2235" s="54" t="n">
        <v>20260710</v>
      </c>
      <c r="B2235" s="54" t="s">
        <v>535</v>
      </c>
      <c r="C2235" s="54" t="s">
        <v>307</v>
      </c>
      <c r="D2235" s="54" t="s">
        <v>5073</v>
      </c>
      <c r="E2235" s="54" t="s">
        <v>5074</v>
      </c>
      <c r="F2235" s="54" t="s">
        <v>1233</v>
      </c>
      <c r="G2235" s="54" t="s">
        <v>5075</v>
      </c>
      <c r="H2235" s="54" t="n">
        <v>15567</v>
      </c>
      <c r="I2235" s="54" t="s">
        <v>295</v>
      </c>
      <c r="J2235" s="54" t="s">
        <v>326</v>
      </c>
    </row>
    <row r="2236" customFormat="false" ht="15" hidden="false" customHeight="true" outlineLevel="0" collapsed="false">
      <c r="A2236" s="54" t="n">
        <v>20260710</v>
      </c>
      <c r="B2236" s="54" t="s">
        <v>535</v>
      </c>
      <c r="C2236" s="54" t="s">
        <v>307</v>
      </c>
      <c r="D2236" s="54" t="s">
        <v>5073</v>
      </c>
      <c r="E2236" s="54" t="s">
        <v>5074</v>
      </c>
      <c r="F2236" s="54" t="s">
        <v>4056</v>
      </c>
      <c r="G2236" s="54" t="s">
        <v>5076</v>
      </c>
      <c r="H2236" s="54" t="n">
        <v>3067</v>
      </c>
      <c r="I2236" s="54" t="s">
        <v>295</v>
      </c>
      <c r="J2236" s="54" t="s">
        <v>326</v>
      </c>
    </row>
    <row r="2237" customFormat="false" ht="15" hidden="false" customHeight="true" outlineLevel="0" collapsed="false">
      <c r="A2237" s="54" t="n">
        <v>20260710</v>
      </c>
      <c r="B2237" s="54" t="s">
        <v>535</v>
      </c>
      <c r="C2237" s="54" t="s">
        <v>307</v>
      </c>
      <c r="D2237" s="54" t="s">
        <v>5073</v>
      </c>
      <c r="E2237" s="54" t="s">
        <v>5074</v>
      </c>
      <c r="F2237" s="54" t="s">
        <v>5077</v>
      </c>
      <c r="G2237" s="54" t="s">
        <v>5078</v>
      </c>
      <c r="H2237" s="54" t="n">
        <v>14061</v>
      </c>
      <c r="I2237" s="54" t="s">
        <v>295</v>
      </c>
      <c r="J2237" s="54" t="s">
        <v>326</v>
      </c>
    </row>
    <row r="2238" customFormat="false" ht="15" hidden="false" customHeight="true" outlineLevel="0" collapsed="false">
      <c r="A2238" s="54" t="n">
        <v>20260710</v>
      </c>
      <c r="B2238" s="54" t="s">
        <v>289</v>
      </c>
      <c r="C2238" s="54" t="s">
        <v>290</v>
      </c>
      <c r="D2238" s="54" t="s">
        <v>5079</v>
      </c>
      <c r="E2238" s="54" t="s">
        <v>5080</v>
      </c>
      <c r="F2238" s="54" t="s">
        <v>5081</v>
      </c>
      <c r="G2238" s="54" t="s">
        <v>2441</v>
      </c>
      <c r="H2238" s="54" t="n">
        <v>9900</v>
      </c>
      <c r="I2238" s="54" t="s">
        <v>295</v>
      </c>
      <c r="J2238" s="54" t="s">
        <v>2306</v>
      </c>
    </row>
    <row r="2239" customFormat="false" ht="15" hidden="false" customHeight="true" outlineLevel="0" collapsed="false">
      <c r="A2239" s="54" t="n">
        <v>20260710</v>
      </c>
      <c r="B2239" s="54" t="s">
        <v>289</v>
      </c>
      <c r="C2239" s="54" t="s">
        <v>290</v>
      </c>
      <c r="D2239" s="54" t="s">
        <v>5079</v>
      </c>
      <c r="E2239" s="54" t="s">
        <v>5080</v>
      </c>
      <c r="F2239" s="54" t="s">
        <v>5082</v>
      </c>
      <c r="G2239" s="54" t="s">
        <v>5083</v>
      </c>
      <c r="H2239" s="54" t="n">
        <v>13484</v>
      </c>
      <c r="I2239" s="54" t="s">
        <v>295</v>
      </c>
      <c r="J2239" s="54" t="s">
        <v>2306</v>
      </c>
    </row>
    <row r="2240" customFormat="false" ht="15" hidden="false" customHeight="true" outlineLevel="0" collapsed="false">
      <c r="A2240" s="54" t="n">
        <v>20260710</v>
      </c>
      <c r="B2240" s="54" t="s">
        <v>289</v>
      </c>
      <c r="C2240" s="54" t="s">
        <v>290</v>
      </c>
      <c r="D2240" s="54" t="s">
        <v>5079</v>
      </c>
      <c r="E2240" s="54" t="s">
        <v>5080</v>
      </c>
      <c r="F2240" s="54" t="s">
        <v>5084</v>
      </c>
      <c r="G2240" s="54" t="s">
        <v>1327</v>
      </c>
      <c r="H2240" s="54" t="n">
        <v>7097</v>
      </c>
      <c r="I2240" s="54" t="s">
        <v>295</v>
      </c>
      <c r="J2240" s="54" t="s">
        <v>2306</v>
      </c>
    </row>
    <row r="2241" customFormat="false" ht="15" hidden="false" customHeight="true" outlineLevel="0" collapsed="false">
      <c r="A2241" s="54" t="n">
        <v>20260710</v>
      </c>
      <c r="B2241" s="54" t="s">
        <v>188</v>
      </c>
      <c r="C2241" s="54" t="s">
        <v>307</v>
      </c>
      <c r="D2241" s="54" t="s">
        <v>5085</v>
      </c>
      <c r="E2241" s="54" t="s">
        <v>5086</v>
      </c>
      <c r="F2241" s="54" t="s">
        <v>5087</v>
      </c>
      <c r="G2241" s="54" t="s">
        <v>5088</v>
      </c>
      <c r="H2241" s="54" t="n">
        <v>16191</v>
      </c>
      <c r="I2241" s="54" t="s">
        <v>295</v>
      </c>
      <c r="J2241" s="54" t="s">
        <v>2393</v>
      </c>
    </row>
    <row r="2242" customFormat="false" ht="15" hidden="false" customHeight="true" outlineLevel="0" collapsed="false">
      <c r="A2242" s="54" t="n">
        <v>20260710</v>
      </c>
      <c r="B2242" s="54" t="s">
        <v>188</v>
      </c>
      <c r="C2242" s="54" t="s">
        <v>307</v>
      </c>
      <c r="D2242" s="54" t="s">
        <v>5085</v>
      </c>
      <c r="E2242" s="54" t="s">
        <v>5086</v>
      </c>
      <c r="F2242" s="54" t="s">
        <v>5089</v>
      </c>
      <c r="G2242" s="54" t="s">
        <v>1128</v>
      </c>
      <c r="H2242" s="54" t="n">
        <v>12455</v>
      </c>
      <c r="I2242" s="54" t="s">
        <v>295</v>
      </c>
      <c r="J2242" s="54" t="s">
        <v>2393</v>
      </c>
    </row>
    <row r="2243" customFormat="false" ht="15" hidden="false" customHeight="true" outlineLevel="0" collapsed="false">
      <c r="A2243" s="54" t="n">
        <v>20260710</v>
      </c>
      <c r="B2243" s="54" t="s">
        <v>688</v>
      </c>
      <c r="C2243" s="54" t="s">
        <v>307</v>
      </c>
      <c r="D2243" s="54" t="s">
        <v>5090</v>
      </c>
      <c r="E2243" s="54" t="s">
        <v>139</v>
      </c>
      <c r="F2243" s="54" t="s">
        <v>5091</v>
      </c>
      <c r="G2243" s="54" t="s">
        <v>2533</v>
      </c>
      <c r="H2243" s="54" t="n">
        <v>18052</v>
      </c>
      <c r="I2243" s="54" t="s">
        <v>295</v>
      </c>
      <c r="J2243" s="54" t="s">
        <v>745</v>
      </c>
    </row>
    <row r="2244" customFormat="false" ht="15" hidden="false" customHeight="true" outlineLevel="0" collapsed="false">
      <c r="A2244" s="54" t="n">
        <v>20260710</v>
      </c>
      <c r="B2244" s="54" t="s">
        <v>688</v>
      </c>
      <c r="C2244" s="54" t="s">
        <v>307</v>
      </c>
      <c r="D2244" s="54" t="s">
        <v>5090</v>
      </c>
      <c r="E2244" s="54" t="s">
        <v>139</v>
      </c>
      <c r="F2244" s="54" t="s">
        <v>871</v>
      </c>
      <c r="G2244" s="54" t="s">
        <v>5092</v>
      </c>
      <c r="H2244" s="54" t="n">
        <v>14407</v>
      </c>
      <c r="I2244" s="54" t="s">
        <v>295</v>
      </c>
      <c r="J2244" s="54" t="s">
        <v>745</v>
      </c>
    </row>
    <row r="2245" customFormat="false" ht="15" hidden="false" customHeight="true" outlineLevel="0" collapsed="false">
      <c r="A2245" s="54" t="n">
        <v>20260710</v>
      </c>
      <c r="B2245" s="54" t="s">
        <v>688</v>
      </c>
      <c r="C2245" s="54" t="s">
        <v>307</v>
      </c>
      <c r="D2245" s="54" t="s">
        <v>5093</v>
      </c>
      <c r="E2245" s="54" t="s">
        <v>5094</v>
      </c>
      <c r="F2245" s="54" t="s">
        <v>5095</v>
      </c>
      <c r="G2245" s="54" t="s">
        <v>1372</v>
      </c>
      <c r="H2245" s="54" t="n">
        <v>14372</v>
      </c>
      <c r="I2245" s="54" t="s">
        <v>295</v>
      </c>
      <c r="J2245" s="54" t="s">
        <v>693</v>
      </c>
    </row>
    <row r="2246" customFormat="false" ht="15" hidden="false" customHeight="true" outlineLevel="0" collapsed="false">
      <c r="A2246" s="54" t="n">
        <v>20260710</v>
      </c>
      <c r="B2246" s="54" t="s">
        <v>688</v>
      </c>
      <c r="C2246" s="54" t="s">
        <v>307</v>
      </c>
      <c r="D2246" s="54" t="s">
        <v>5093</v>
      </c>
      <c r="E2246" s="54" t="s">
        <v>5094</v>
      </c>
      <c r="F2246" s="54" t="s">
        <v>3375</v>
      </c>
      <c r="G2246" s="54" t="s">
        <v>2460</v>
      </c>
      <c r="H2246" s="54" t="n">
        <v>18024</v>
      </c>
      <c r="I2246" s="54" t="s">
        <v>295</v>
      </c>
      <c r="J2246" s="54" t="s">
        <v>693</v>
      </c>
    </row>
    <row r="2247" customFormat="false" ht="15" hidden="false" customHeight="true" outlineLevel="0" collapsed="false">
      <c r="A2247" s="54" t="n">
        <v>20260710</v>
      </c>
      <c r="B2247" s="54" t="s">
        <v>306</v>
      </c>
      <c r="C2247" s="54" t="s">
        <v>290</v>
      </c>
      <c r="D2247" s="54" t="s">
        <v>5096</v>
      </c>
      <c r="E2247" s="54" t="s">
        <v>5097</v>
      </c>
      <c r="F2247" s="54" t="s">
        <v>5098</v>
      </c>
      <c r="G2247" s="54" t="s">
        <v>5099</v>
      </c>
      <c r="H2247" s="54" t="n">
        <v>1259</v>
      </c>
      <c r="I2247" s="54" t="s">
        <v>295</v>
      </c>
      <c r="J2247" s="54" t="s">
        <v>1265</v>
      </c>
    </row>
    <row r="2248" customFormat="false" ht="15" hidden="false" customHeight="true" outlineLevel="0" collapsed="false">
      <c r="A2248" s="54" t="n">
        <v>20260710</v>
      </c>
      <c r="B2248" s="54" t="s">
        <v>306</v>
      </c>
      <c r="C2248" s="54" t="s">
        <v>290</v>
      </c>
      <c r="D2248" s="54" t="s">
        <v>5096</v>
      </c>
      <c r="E2248" s="54" t="s">
        <v>5097</v>
      </c>
      <c r="F2248" s="54" t="s">
        <v>5100</v>
      </c>
      <c r="G2248" s="54" t="s">
        <v>5101</v>
      </c>
      <c r="H2248" s="54" t="n">
        <v>190</v>
      </c>
      <c r="I2248" s="54" t="s">
        <v>295</v>
      </c>
      <c r="J2248" s="54" t="s">
        <v>1265</v>
      </c>
    </row>
    <row r="2249" customFormat="false" ht="15" hidden="false" customHeight="true" outlineLevel="0" collapsed="false">
      <c r="A2249" s="54" t="n">
        <v>20260710</v>
      </c>
      <c r="B2249" s="54" t="s">
        <v>306</v>
      </c>
      <c r="C2249" s="54" t="s">
        <v>290</v>
      </c>
      <c r="D2249" s="54" t="s">
        <v>5096</v>
      </c>
      <c r="E2249" s="54" t="s">
        <v>5097</v>
      </c>
      <c r="F2249" s="54" t="s">
        <v>5102</v>
      </c>
      <c r="G2249" s="54" t="s">
        <v>5103</v>
      </c>
      <c r="H2249" s="54" t="n">
        <v>348</v>
      </c>
      <c r="I2249" s="54" t="s">
        <v>295</v>
      </c>
      <c r="J2249" s="54" t="s">
        <v>1265</v>
      </c>
    </row>
    <row r="2250" customFormat="false" ht="15" hidden="false" customHeight="true" outlineLevel="0" collapsed="false">
      <c r="A2250" s="54" t="n">
        <v>20260710</v>
      </c>
      <c r="B2250" s="54" t="s">
        <v>306</v>
      </c>
      <c r="C2250" s="54" t="s">
        <v>290</v>
      </c>
      <c r="D2250" s="54" t="s">
        <v>5096</v>
      </c>
      <c r="E2250" s="54" t="s">
        <v>5097</v>
      </c>
      <c r="F2250" s="54" t="s">
        <v>5104</v>
      </c>
      <c r="G2250" s="54" t="s">
        <v>5105</v>
      </c>
      <c r="H2250" s="54" t="n">
        <v>129</v>
      </c>
      <c r="I2250" s="54" t="s">
        <v>295</v>
      </c>
      <c r="J2250" s="54" t="s">
        <v>1265</v>
      </c>
    </row>
    <row r="2251" customFormat="false" ht="15" hidden="false" customHeight="true" outlineLevel="0" collapsed="false">
      <c r="A2251" s="54" t="n">
        <v>20260710</v>
      </c>
      <c r="B2251" s="54" t="s">
        <v>306</v>
      </c>
      <c r="C2251" s="54" t="s">
        <v>290</v>
      </c>
      <c r="D2251" s="54" t="s">
        <v>5096</v>
      </c>
      <c r="E2251" s="54" t="s">
        <v>5097</v>
      </c>
      <c r="F2251" s="54" t="s">
        <v>5106</v>
      </c>
      <c r="G2251" s="54" t="s">
        <v>4148</v>
      </c>
      <c r="H2251" s="54" t="n">
        <v>19382</v>
      </c>
      <c r="I2251" s="54" t="s">
        <v>295</v>
      </c>
      <c r="J2251" s="54" t="s">
        <v>1265</v>
      </c>
    </row>
    <row r="2252" customFormat="false" ht="15" hidden="false" customHeight="true" outlineLevel="0" collapsed="false">
      <c r="A2252" s="54" t="n">
        <v>20260710</v>
      </c>
      <c r="B2252" s="54" t="s">
        <v>306</v>
      </c>
      <c r="C2252" s="54" t="s">
        <v>290</v>
      </c>
      <c r="D2252" s="54" t="s">
        <v>5096</v>
      </c>
      <c r="E2252" s="54" t="s">
        <v>5097</v>
      </c>
      <c r="F2252" s="54" t="s">
        <v>5107</v>
      </c>
      <c r="G2252" s="54" t="s">
        <v>2389</v>
      </c>
      <c r="H2252" s="54" t="n">
        <v>7448</v>
      </c>
      <c r="I2252" s="54" t="s">
        <v>295</v>
      </c>
      <c r="J2252" s="54" t="s">
        <v>1265</v>
      </c>
    </row>
    <row r="2253" customFormat="false" ht="15" hidden="false" customHeight="true" outlineLevel="0" collapsed="false">
      <c r="A2253" s="54" t="n">
        <v>20260710</v>
      </c>
      <c r="B2253" s="54" t="s">
        <v>306</v>
      </c>
      <c r="C2253" s="54" t="s">
        <v>290</v>
      </c>
      <c r="D2253" s="54" t="s">
        <v>5096</v>
      </c>
      <c r="E2253" s="54" t="s">
        <v>5097</v>
      </c>
      <c r="F2253" s="54" t="s">
        <v>4818</v>
      </c>
      <c r="G2253" s="54" t="s">
        <v>5108</v>
      </c>
      <c r="H2253" s="54" t="n">
        <v>189</v>
      </c>
      <c r="I2253" s="54" t="s">
        <v>295</v>
      </c>
      <c r="J2253" s="54" t="s">
        <v>1265</v>
      </c>
    </row>
    <row r="2254" customFormat="false" ht="15" hidden="false" customHeight="true" outlineLevel="0" collapsed="false">
      <c r="A2254" s="54" t="n">
        <v>20260710</v>
      </c>
      <c r="B2254" s="54" t="s">
        <v>306</v>
      </c>
      <c r="C2254" s="54" t="s">
        <v>307</v>
      </c>
      <c r="D2254" s="54" t="s">
        <v>5109</v>
      </c>
      <c r="E2254" s="54" t="s">
        <v>5110</v>
      </c>
      <c r="F2254" s="54" t="s">
        <v>5111</v>
      </c>
      <c r="G2254" s="54" t="s">
        <v>5112</v>
      </c>
      <c r="H2254" s="54" t="n">
        <v>46</v>
      </c>
      <c r="I2254" s="54" t="s">
        <v>295</v>
      </c>
      <c r="J2254" s="54" t="s">
        <v>727</v>
      </c>
    </row>
    <row r="2255" customFormat="false" ht="15" hidden="false" customHeight="true" outlineLevel="0" collapsed="false">
      <c r="A2255" s="54" t="n">
        <v>20260710</v>
      </c>
      <c r="B2255" s="54" t="s">
        <v>306</v>
      </c>
      <c r="C2255" s="54" t="s">
        <v>307</v>
      </c>
      <c r="D2255" s="54" t="s">
        <v>5109</v>
      </c>
      <c r="E2255" s="54" t="s">
        <v>5110</v>
      </c>
      <c r="F2255" s="54" t="s">
        <v>5113</v>
      </c>
      <c r="G2255" s="54" t="s">
        <v>3663</v>
      </c>
      <c r="H2255" s="54" t="n">
        <v>21727</v>
      </c>
      <c r="I2255" s="54" t="s">
        <v>295</v>
      </c>
      <c r="J2255" s="54" t="s">
        <v>727</v>
      </c>
    </row>
    <row r="2256" customFormat="false" ht="15" hidden="false" customHeight="true" outlineLevel="0" collapsed="false">
      <c r="A2256" s="54" t="n">
        <v>20260710</v>
      </c>
      <c r="B2256" s="54" t="s">
        <v>306</v>
      </c>
      <c r="C2256" s="54" t="s">
        <v>307</v>
      </c>
      <c r="D2256" s="54" t="s">
        <v>5109</v>
      </c>
      <c r="E2256" s="54" t="s">
        <v>5110</v>
      </c>
      <c r="F2256" s="54" t="s">
        <v>5114</v>
      </c>
      <c r="G2256" s="54" t="s">
        <v>1458</v>
      </c>
      <c r="H2256" s="54" t="n">
        <v>5814</v>
      </c>
      <c r="I2256" s="54" t="s">
        <v>295</v>
      </c>
      <c r="J2256" s="54" t="s">
        <v>727</v>
      </c>
    </row>
    <row r="2257" customFormat="false" ht="15" hidden="false" customHeight="true" outlineLevel="0" collapsed="false">
      <c r="A2257" s="54" t="n">
        <v>20260710</v>
      </c>
      <c r="B2257" s="54" t="s">
        <v>535</v>
      </c>
      <c r="C2257" s="54" t="s">
        <v>290</v>
      </c>
      <c r="D2257" s="54" t="s">
        <v>5115</v>
      </c>
      <c r="E2257" s="54" t="s">
        <v>5116</v>
      </c>
      <c r="F2257" s="54" t="s">
        <v>2608</v>
      </c>
      <c r="G2257" s="54" t="s">
        <v>5117</v>
      </c>
      <c r="H2257" s="54" t="n">
        <v>11262</v>
      </c>
      <c r="I2257" s="54" t="s">
        <v>295</v>
      </c>
      <c r="J2257" s="54" t="s">
        <v>779</v>
      </c>
    </row>
    <row r="2258" customFormat="false" ht="15" hidden="false" customHeight="true" outlineLevel="0" collapsed="false">
      <c r="A2258" s="54" t="n">
        <v>20260710</v>
      </c>
      <c r="B2258" s="54" t="s">
        <v>535</v>
      </c>
      <c r="C2258" s="54" t="s">
        <v>290</v>
      </c>
      <c r="D2258" s="54" t="s">
        <v>5115</v>
      </c>
      <c r="E2258" s="54" t="s">
        <v>5116</v>
      </c>
      <c r="F2258" s="54" t="s">
        <v>5118</v>
      </c>
      <c r="G2258" s="54" t="s">
        <v>845</v>
      </c>
      <c r="H2258" s="54" t="n">
        <v>6636</v>
      </c>
      <c r="I2258" s="54" t="s">
        <v>295</v>
      </c>
      <c r="J2258" s="54" t="s">
        <v>779</v>
      </c>
    </row>
    <row r="2259" customFormat="false" ht="15" hidden="false" customHeight="true" outlineLevel="0" collapsed="false">
      <c r="A2259" s="54" t="n">
        <v>20260710</v>
      </c>
      <c r="B2259" s="54" t="s">
        <v>535</v>
      </c>
      <c r="C2259" s="54" t="s">
        <v>290</v>
      </c>
      <c r="D2259" s="54" t="s">
        <v>5115</v>
      </c>
      <c r="E2259" s="54" t="s">
        <v>5116</v>
      </c>
      <c r="F2259" s="54" t="s">
        <v>5119</v>
      </c>
      <c r="G2259" s="54" t="s">
        <v>3598</v>
      </c>
      <c r="H2259" s="54" t="n">
        <v>3103</v>
      </c>
      <c r="I2259" s="54" t="s">
        <v>295</v>
      </c>
      <c r="J2259" s="54" t="s">
        <v>779</v>
      </c>
    </row>
    <row r="2260" customFormat="false" ht="15" hidden="false" customHeight="true" outlineLevel="0" collapsed="false">
      <c r="A2260" s="54" t="n">
        <v>20260710</v>
      </c>
      <c r="B2260" s="54" t="s">
        <v>535</v>
      </c>
      <c r="C2260" s="54" t="s">
        <v>290</v>
      </c>
      <c r="D2260" s="54" t="s">
        <v>5115</v>
      </c>
      <c r="E2260" s="54" t="s">
        <v>5116</v>
      </c>
      <c r="F2260" s="54" t="s">
        <v>5120</v>
      </c>
      <c r="G2260" s="54" t="s">
        <v>1916</v>
      </c>
      <c r="H2260" s="54" t="n">
        <v>7261</v>
      </c>
      <c r="I2260" s="54" t="s">
        <v>295</v>
      </c>
      <c r="J2260" s="54" t="s">
        <v>779</v>
      </c>
    </row>
    <row r="2261" customFormat="false" ht="15" hidden="false" customHeight="true" outlineLevel="0" collapsed="false">
      <c r="A2261" s="54" t="n">
        <v>20260710</v>
      </c>
      <c r="B2261" s="54" t="s">
        <v>289</v>
      </c>
      <c r="C2261" s="54" t="s">
        <v>290</v>
      </c>
      <c r="D2261" s="54" t="s">
        <v>5121</v>
      </c>
      <c r="E2261" s="54" t="s">
        <v>5122</v>
      </c>
      <c r="F2261" s="54" t="s">
        <v>1943</v>
      </c>
      <c r="G2261" s="54" t="s">
        <v>5123</v>
      </c>
      <c r="H2261" s="54" t="n">
        <v>18996</v>
      </c>
      <c r="I2261" s="54" t="s">
        <v>295</v>
      </c>
      <c r="J2261" s="54" t="s">
        <v>578</v>
      </c>
    </row>
    <row r="2262" customFormat="false" ht="15" hidden="false" customHeight="true" outlineLevel="0" collapsed="false">
      <c r="A2262" s="54" t="n">
        <v>20260710</v>
      </c>
      <c r="B2262" s="54" t="s">
        <v>289</v>
      </c>
      <c r="C2262" s="54" t="s">
        <v>290</v>
      </c>
      <c r="D2262" s="54" t="s">
        <v>5121</v>
      </c>
      <c r="E2262" s="54" t="s">
        <v>5122</v>
      </c>
      <c r="F2262" s="54" t="s">
        <v>5124</v>
      </c>
      <c r="G2262" s="54" t="s">
        <v>5125</v>
      </c>
      <c r="H2262" s="54" t="n">
        <v>4105</v>
      </c>
      <c r="I2262" s="54" t="s">
        <v>295</v>
      </c>
      <c r="J2262" s="54" t="s">
        <v>578</v>
      </c>
    </row>
    <row r="2263" customFormat="false" ht="15" hidden="false" customHeight="true" outlineLevel="0" collapsed="false">
      <c r="A2263" s="54" t="n">
        <v>20260710</v>
      </c>
      <c r="B2263" s="54" t="s">
        <v>289</v>
      </c>
      <c r="C2263" s="54" t="s">
        <v>290</v>
      </c>
      <c r="D2263" s="54" t="s">
        <v>5121</v>
      </c>
      <c r="E2263" s="54" t="s">
        <v>5122</v>
      </c>
      <c r="F2263" s="54" t="s">
        <v>5126</v>
      </c>
      <c r="G2263" s="54" t="s">
        <v>5127</v>
      </c>
      <c r="H2263" s="54" t="n">
        <v>7765</v>
      </c>
      <c r="I2263" s="54" t="s">
        <v>295</v>
      </c>
      <c r="J2263" s="54" t="s">
        <v>578</v>
      </c>
    </row>
    <row r="2264" customFormat="false" ht="15" hidden="false" customHeight="true" outlineLevel="0" collapsed="false">
      <c r="A2264" s="54" t="n">
        <v>20260710</v>
      </c>
      <c r="B2264" s="54" t="s">
        <v>306</v>
      </c>
      <c r="C2264" s="54" t="s">
        <v>290</v>
      </c>
      <c r="D2264" s="54" t="s">
        <v>5128</v>
      </c>
      <c r="E2264" s="54" t="s">
        <v>5129</v>
      </c>
      <c r="F2264" s="54" t="s">
        <v>5130</v>
      </c>
      <c r="G2264" s="54" t="s">
        <v>5131</v>
      </c>
      <c r="H2264" s="54" t="n">
        <v>14540</v>
      </c>
      <c r="I2264" s="54" t="s">
        <v>295</v>
      </c>
      <c r="J2264" s="54" t="s">
        <v>335</v>
      </c>
    </row>
    <row r="2265" customFormat="false" ht="15" hidden="false" customHeight="true" outlineLevel="0" collapsed="false">
      <c r="A2265" s="54" t="n">
        <v>20260710</v>
      </c>
      <c r="B2265" s="54" t="s">
        <v>306</v>
      </c>
      <c r="C2265" s="54" t="s">
        <v>290</v>
      </c>
      <c r="D2265" s="54" t="s">
        <v>5128</v>
      </c>
      <c r="E2265" s="54" t="s">
        <v>5129</v>
      </c>
      <c r="F2265" s="54" t="s">
        <v>3184</v>
      </c>
      <c r="G2265" s="54" t="s">
        <v>5132</v>
      </c>
      <c r="H2265" s="54" t="n">
        <v>14540</v>
      </c>
      <c r="I2265" s="54" t="s">
        <v>315</v>
      </c>
      <c r="J2265" s="54" t="s">
        <v>335</v>
      </c>
    </row>
    <row r="2266" customFormat="false" ht="15" hidden="false" customHeight="true" outlineLevel="0" collapsed="false">
      <c r="A2266" s="54" t="n">
        <v>20260710</v>
      </c>
      <c r="B2266" s="54" t="s">
        <v>306</v>
      </c>
      <c r="C2266" s="54" t="s">
        <v>290</v>
      </c>
      <c r="D2266" s="54" t="s">
        <v>5128</v>
      </c>
      <c r="E2266" s="54" t="s">
        <v>5129</v>
      </c>
      <c r="F2266" s="54" t="s">
        <v>5133</v>
      </c>
      <c r="G2266" s="54" t="s">
        <v>929</v>
      </c>
      <c r="H2266" s="54" t="n">
        <v>14358</v>
      </c>
      <c r="I2266" s="54" t="s">
        <v>295</v>
      </c>
      <c r="J2266" s="54" t="s">
        <v>335</v>
      </c>
    </row>
    <row r="2267" customFormat="false" ht="15" hidden="false" customHeight="true" outlineLevel="0" collapsed="false">
      <c r="A2267" s="54" t="n">
        <v>20260710</v>
      </c>
      <c r="B2267" s="54" t="s">
        <v>306</v>
      </c>
      <c r="C2267" s="54" t="s">
        <v>290</v>
      </c>
      <c r="D2267" s="54" t="s">
        <v>5128</v>
      </c>
      <c r="E2267" s="54" t="s">
        <v>5129</v>
      </c>
      <c r="F2267" s="54" t="s">
        <v>5133</v>
      </c>
      <c r="G2267" s="54" t="s">
        <v>1945</v>
      </c>
      <c r="H2267" s="54" t="n">
        <v>14359</v>
      </c>
      <c r="I2267" s="54" t="s">
        <v>315</v>
      </c>
      <c r="J2267" s="54" t="s">
        <v>335</v>
      </c>
    </row>
    <row r="2268" customFormat="false" ht="15" hidden="false" customHeight="true" outlineLevel="0" collapsed="false">
      <c r="A2268" s="54" t="n">
        <v>20260710</v>
      </c>
      <c r="B2268" s="54" t="s">
        <v>289</v>
      </c>
      <c r="C2268" s="54" t="s">
        <v>307</v>
      </c>
      <c r="D2268" s="54" t="s">
        <v>5134</v>
      </c>
      <c r="E2268" s="54" t="s">
        <v>5135</v>
      </c>
      <c r="F2268" s="54" t="s">
        <v>4780</v>
      </c>
      <c r="G2268" s="54" t="s">
        <v>2538</v>
      </c>
      <c r="H2268" s="54" t="n">
        <v>21838</v>
      </c>
      <c r="I2268" s="54" t="s">
        <v>295</v>
      </c>
      <c r="J2268" s="54" t="s">
        <v>707</v>
      </c>
    </row>
    <row r="2269" customFormat="false" ht="15" hidden="false" customHeight="true" outlineLevel="0" collapsed="false">
      <c r="A2269" s="54" t="n">
        <v>20260710</v>
      </c>
      <c r="B2269" s="54" t="s">
        <v>289</v>
      </c>
      <c r="C2269" s="54" t="s">
        <v>307</v>
      </c>
      <c r="D2269" s="54" t="s">
        <v>5134</v>
      </c>
      <c r="E2269" s="54" t="s">
        <v>5135</v>
      </c>
      <c r="F2269" s="54" t="s">
        <v>5136</v>
      </c>
      <c r="G2269" s="54" t="s">
        <v>5137</v>
      </c>
      <c r="H2269" s="54" t="n">
        <v>10865</v>
      </c>
      <c r="I2269" s="54" t="s">
        <v>295</v>
      </c>
      <c r="J2269" s="54" t="s">
        <v>707</v>
      </c>
    </row>
    <row r="2270" customFormat="false" ht="15" hidden="false" customHeight="true" outlineLevel="0" collapsed="false">
      <c r="A2270" s="54" t="n">
        <v>20260710</v>
      </c>
      <c r="B2270" s="54" t="s">
        <v>289</v>
      </c>
      <c r="C2270" s="54" t="s">
        <v>307</v>
      </c>
      <c r="D2270" s="54" t="s">
        <v>5138</v>
      </c>
      <c r="E2270" s="54" t="s">
        <v>5139</v>
      </c>
      <c r="F2270" s="54" t="s">
        <v>1726</v>
      </c>
      <c r="G2270" s="54" t="s">
        <v>5140</v>
      </c>
      <c r="H2270" s="54" t="n">
        <v>20394</v>
      </c>
      <c r="I2270" s="54" t="s">
        <v>295</v>
      </c>
      <c r="J2270" s="54" t="s">
        <v>1074</v>
      </c>
    </row>
    <row r="2271" customFormat="false" ht="15" hidden="false" customHeight="true" outlineLevel="0" collapsed="false">
      <c r="A2271" s="54" t="n">
        <v>20260710</v>
      </c>
      <c r="B2271" s="54" t="s">
        <v>289</v>
      </c>
      <c r="C2271" s="54" t="s">
        <v>307</v>
      </c>
      <c r="D2271" s="54" t="s">
        <v>5138</v>
      </c>
      <c r="E2271" s="54" t="s">
        <v>5139</v>
      </c>
      <c r="F2271" s="54" t="s">
        <v>5141</v>
      </c>
      <c r="G2271" s="54" t="s">
        <v>964</v>
      </c>
      <c r="H2271" s="54" t="n">
        <v>12091</v>
      </c>
      <c r="I2271" s="54" t="s">
        <v>295</v>
      </c>
      <c r="J2271" s="54" t="s">
        <v>1074</v>
      </c>
    </row>
    <row r="2272" customFormat="false" ht="15" hidden="false" customHeight="true" outlineLevel="0" collapsed="false">
      <c r="A2272" s="54" t="n">
        <v>20260710</v>
      </c>
      <c r="B2272" s="54" t="s">
        <v>306</v>
      </c>
      <c r="C2272" s="54" t="s">
        <v>307</v>
      </c>
      <c r="D2272" s="54" t="s">
        <v>5142</v>
      </c>
      <c r="E2272" s="54" t="s">
        <v>5143</v>
      </c>
      <c r="F2272" s="54" t="s">
        <v>3704</v>
      </c>
      <c r="G2272" s="54" t="s">
        <v>3934</v>
      </c>
      <c r="H2272" s="54" t="n">
        <v>18240</v>
      </c>
      <c r="I2272" s="54" t="s">
        <v>295</v>
      </c>
      <c r="J2272" s="54" t="s">
        <v>727</v>
      </c>
    </row>
    <row r="2273" customFormat="false" ht="15" hidden="false" customHeight="true" outlineLevel="0" collapsed="false">
      <c r="A2273" s="54" t="n">
        <v>20260710</v>
      </c>
      <c r="B2273" s="54" t="s">
        <v>306</v>
      </c>
      <c r="C2273" s="54" t="s">
        <v>307</v>
      </c>
      <c r="D2273" s="54" t="s">
        <v>5142</v>
      </c>
      <c r="E2273" s="54" t="s">
        <v>5143</v>
      </c>
      <c r="F2273" s="54" t="s">
        <v>5144</v>
      </c>
      <c r="G2273" s="54" t="s">
        <v>3741</v>
      </c>
      <c r="H2273" s="54" t="n">
        <v>11525</v>
      </c>
      <c r="I2273" s="54" t="s">
        <v>295</v>
      </c>
      <c r="J2273" s="54" t="s">
        <v>727</v>
      </c>
    </row>
    <row r="2274" customFormat="false" ht="15" hidden="false" customHeight="true" outlineLevel="0" collapsed="false">
      <c r="A2274" s="54" t="n">
        <v>20260711</v>
      </c>
      <c r="B2274" s="54" t="s">
        <v>497</v>
      </c>
      <c r="C2274" s="54" t="s">
        <v>307</v>
      </c>
      <c r="D2274" s="54" t="s">
        <v>498</v>
      </c>
      <c r="E2274" s="54" t="s">
        <v>499</v>
      </c>
      <c r="F2274" s="54" t="s">
        <v>5145</v>
      </c>
      <c r="G2274" s="54" t="s">
        <v>5146</v>
      </c>
      <c r="H2274" s="54" t="n">
        <v>14836</v>
      </c>
      <c r="I2274" s="54" t="s">
        <v>295</v>
      </c>
      <c r="J2274" s="54" t="s">
        <v>502</v>
      </c>
    </row>
    <row r="2275" customFormat="false" ht="15" hidden="false" customHeight="true" outlineLevel="0" collapsed="false">
      <c r="A2275" s="54" t="n">
        <v>20260711</v>
      </c>
      <c r="B2275" s="54" t="s">
        <v>168</v>
      </c>
      <c r="C2275" s="54" t="s">
        <v>290</v>
      </c>
      <c r="D2275" s="54" t="s">
        <v>512</v>
      </c>
      <c r="E2275" s="54" t="s">
        <v>513</v>
      </c>
      <c r="F2275" s="54" t="s">
        <v>5147</v>
      </c>
      <c r="G2275" s="54" t="s">
        <v>5148</v>
      </c>
      <c r="H2275" s="54" t="n">
        <v>28800</v>
      </c>
      <c r="I2275" s="54" t="s">
        <v>295</v>
      </c>
      <c r="J2275" s="54" t="s">
        <v>516</v>
      </c>
    </row>
    <row r="2276" customFormat="false" ht="15" hidden="false" customHeight="true" outlineLevel="0" collapsed="false">
      <c r="A2276" s="54" t="n">
        <v>20260711</v>
      </c>
      <c r="B2276" s="54" t="s">
        <v>168</v>
      </c>
      <c r="C2276" s="54" t="s">
        <v>290</v>
      </c>
      <c r="D2276" s="54" t="s">
        <v>512</v>
      </c>
      <c r="E2276" s="54" t="s">
        <v>513</v>
      </c>
      <c r="F2276" s="54" t="s">
        <v>5149</v>
      </c>
      <c r="G2276" s="54" t="s">
        <v>5149</v>
      </c>
      <c r="H2276" s="54" t="n">
        <v>0</v>
      </c>
      <c r="I2276" s="54" t="s">
        <v>295</v>
      </c>
      <c r="J2276" s="54" t="s">
        <v>516</v>
      </c>
    </row>
    <row r="2277" customFormat="false" ht="15" hidden="false" customHeight="true" outlineLevel="0" collapsed="false">
      <c r="A2277" s="54" t="n">
        <v>20260711</v>
      </c>
      <c r="B2277" s="54" t="s">
        <v>306</v>
      </c>
      <c r="C2277" s="54" t="s">
        <v>307</v>
      </c>
      <c r="D2277" s="54" t="s">
        <v>519</v>
      </c>
      <c r="E2277" s="54" t="s">
        <v>520</v>
      </c>
      <c r="F2277" s="54" t="s">
        <v>5150</v>
      </c>
      <c r="G2277" s="54" t="s">
        <v>5151</v>
      </c>
      <c r="H2277" s="54" t="n">
        <v>182</v>
      </c>
      <c r="I2277" s="54" t="s">
        <v>315</v>
      </c>
      <c r="J2277" s="54" t="s">
        <v>312</v>
      </c>
    </row>
    <row r="2278" customFormat="false" ht="15" hidden="false" customHeight="true" outlineLevel="0" collapsed="false">
      <c r="A2278" s="54" t="n">
        <v>20260711</v>
      </c>
      <c r="B2278" s="54" t="s">
        <v>306</v>
      </c>
      <c r="C2278" s="54" t="s">
        <v>307</v>
      </c>
      <c r="D2278" s="54" t="s">
        <v>519</v>
      </c>
      <c r="E2278" s="54" t="s">
        <v>520</v>
      </c>
      <c r="F2278" s="54" t="s">
        <v>5150</v>
      </c>
      <c r="G2278" s="54" t="s">
        <v>5151</v>
      </c>
      <c r="H2278" s="54" t="n">
        <v>182</v>
      </c>
      <c r="I2278" s="54" t="s">
        <v>295</v>
      </c>
      <c r="J2278" s="54" t="s">
        <v>312</v>
      </c>
    </row>
    <row r="2279" customFormat="false" ht="15" hidden="false" customHeight="true" outlineLevel="0" collapsed="false">
      <c r="A2279" s="54" t="n">
        <v>20260711</v>
      </c>
      <c r="B2279" s="54" t="s">
        <v>306</v>
      </c>
      <c r="C2279" s="54" t="s">
        <v>307</v>
      </c>
      <c r="D2279" s="54" t="s">
        <v>519</v>
      </c>
      <c r="E2279" s="54" t="s">
        <v>520</v>
      </c>
      <c r="F2279" s="54" t="s">
        <v>5152</v>
      </c>
      <c r="G2279" s="54" t="s">
        <v>5153</v>
      </c>
      <c r="H2279" s="54" t="n">
        <v>6226</v>
      </c>
      <c r="I2279" s="54" t="s">
        <v>295</v>
      </c>
      <c r="J2279" s="54" t="s">
        <v>312</v>
      </c>
    </row>
    <row r="2280" customFormat="false" ht="15" hidden="false" customHeight="true" outlineLevel="0" collapsed="false">
      <c r="A2280" s="54" t="n">
        <v>20260711</v>
      </c>
      <c r="B2280" s="54" t="s">
        <v>306</v>
      </c>
      <c r="C2280" s="54" t="s">
        <v>307</v>
      </c>
      <c r="D2280" s="54" t="s">
        <v>519</v>
      </c>
      <c r="E2280" s="54" t="s">
        <v>520</v>
      </c>
      <c r="F2280" s="54" t="s">
        <v>5152</v>
      </c>
      <c r="G2280" s="54" t="s">
        <v>5154</v>
      </c>
      <c r="H2280" s="54" t="n">
        <v>6228</v>
      </c>
      <c r="I2280" s="54" t="s">
        <v>315</v>
      </c>
      <c r="J2280" s="54" t="s">
        <v>312</v>
      </c>
    </row>
    <row r="2281" customFormat="false" ht="15" hidden="false" customHeight="true" outlineLevel="0" collapsed="false">
      <c r="A2281" s="54" t="n">
        <v>20260711</v>
      </c>
      <c r="B2281" s="54" t="s">
        <v>306</v>
      </c>
      <c r="C2281" s="54" t="s">
        <v>307</v>
      </c>
      <c r="D2281" s="54" t="s">
        <v>519</v>
      </c>
      <c r="E2281" s="54" t="s">
        <v>520</v>
      </c>
      <c r="F2281" s="54" t="s">
        <v>5155</v>
      </c>
      <c r="G2281" s="54" t="s">
        <v>5156</v>
      </c>
      <c r="H2281" s="54" t="n">
        <v>11655</v>
      </c>
      <c r="I2281" s="54" t="s">
        <v>295</v>
      </c>
      <c r="J2281" s="54" t="s">
        <v>312</v>
      </c>
    </row>
    <row r="2282" customFormat="false" ht="15" hidden="false" customHeight="true" outlineLevel="0" collapsed="false">
      <c r="A2282" s="54" t="n">
        <v>20260711</v>
      </c>
      <c r="B2282" s="54" t="s">
        <v>306</v>
      </c>
      <c r="C2282" s="54" t="s">
        <v>307</v>
      </c>
      <c r="D2282" s="54" t="s">
        <v>519</v>
      </c>
      <c r="E2282" s="54" t="s">
        <v>520</v>
      </c>
      <c r="F2282" s="54" t="s">
        <v>5157</v>
      </c>
      <c r="G2282" s="54" t="s">
        <v>5158</v>
      </c>
      <c r="H2282" s="54" t="n">
        <v>11656</v>
      </c>
      <c r="I2282" s="54" t="s">
        <v>315</v>
      </c>
      <c r="J2282" s="54" t="s">
        <v>312</v>
      </c>
    </row>
    <row r="2283" customFormat="false" ht="15" hidden="false" customHeight="true" outlineLevel="0" collapsed="false">
      <c r="A2283" s="54" t="n">
        <v>20260711</v>
      </c>
      <c r="B2283" s="54" t="s">
        <v>306</v>
      </c>
      <c r="C2283" s="54" t="s">
        <v>307</v>
      </c>
      <c r="D2283" s="54" t="s">
        <v>519</v>
      </c>
      <c r="E2283" s="54" t="s">
        <v>520</v>
      </c>
      <c r="F2283" s="54" t="s">
        <v>5159</v>
      </c>
      <c r="G2283" s="54" t="s">
        <v>5160</v>
      </c>
      <c r="H2283" s="54" t="n">
        <v>3631</v>
      </c>
      <c r="I2283" s="54" t="s">
        <v>315</v>
      </c>
      <c r="J2283" s="54" t="s">
        <v>312</v>
      </c>
    </row>
    <row r="2284" customFormat="false" ht="15" hidden="false" customHeight="true" outlineLevel="0" collapsed="false">
      <c r="A2284" s="54" t="n">
        <v>20260711</v>
      </c>
      <c r="B2284" s="54" t="s">
        <v>306</v>
      </c>
      <c r="C2284" s="54" t="s">
        <v>307</v>
      </c>
      <c r="D2284" s="54" t="s">
        <v>519</v>
      </c>
      <c r="E2284" s="54" t="s">
        <v>520</v>
      </c>
      <c r="F2284" s="54" t="s">
        <v>5159</v>
      </c>
      <c r="G2284" s="54" t="s">
        <v>5160</v>
      </c>
      <c r="H2284" s="54" t="n">
        <v>3631</v>
      </c>
      <c r="I2284" s="54" t="s">
        <v>295</v>
      </c>
      <c r="J2284" s="54" t="s">
        <v>312</v>
      </c>
    </row>
    <row r="2285" customFormat="false" ht="15" hidden="false" customHeight="true" outlineLevel="0" collapsed="false">
      <c r="A2285" s="54" t="n">
        <v>20260711</v>
      </c>
      <c r="B2285" s="54" t="s">
        <v>535</v>
      </c>
      <c r="C2285" s="54" t="s">
        <v>307</v>
      </c>
      <c r="D2285" s="54" t="s">
        <v>536</v>
      </c>
      <c r="E2285" s="54" t="s">
        <v>537</v>
      </c>
      <c r="F2285" s="54" t="s">
        <v>5161</v>
      </c>
      <c r="G2285" s="54" t="s">
        <v>5162</v>
      </c>
      <c r="H2285" s="54" t="n">
        <v>15037</v>
      </c>
      <c r="I2285" s="54" t="s">
        <v>295</v>
      </c>
      <c r="J2285" s="54" t="s">
        <v>540</v>
      </c>
    </row>
    <row r="2286" customFormat="false" ht="15" hidden="false" customHeight="true" outlineLevel="0" collapsed="false">
      <c r="A2286" s="54" t="n">
        <v>20260711</v>
      </c>
      <c r="B2286" s="54" t="s">
        <v>535</v>
      </c>
      <c r="C2286" s="54" t="s">
        <v>307</v>
      </c>
      <c r="D2286" s="54" t="s">
        <v>536</v>
      </c>
      <c r="E2286" s="54" t="s">
        <v>537</v>
      </c>
      <c r="F2286" s="54" t="s">
        <v>5163</v>
      </c>
      <c r="G2286" s="54" t="s">
        <v>5164</v>
      </c>
      <c r="H2286" s="54" t="n">
        <v>6687</v>
      </c>
      <c r="I2286" s="54" t="s">
        <v>295</v>
      </c>
      <c r="J2286" s="54" t="s">
        <v>540</v>
      </c>
    </row>
    <row r="2287" customFormat="false" ht="15" hidden="false" customHeight="true" outlineLevel="0" collapsed="false">
      <c r="A2287" s="54" t="n">
        <v>20260711</v>
      </c>
      <c r="B2287" s="54" t="s">
        <v>289</v>
      </c>
      <c r="C2287" s="54" t="s">
        <v>290</v>
      </c>
      <c r="D2287" s="54" t="s">
        <v>291</v>
      </c>
      <c r="E2287" s="54" t="s">
        <v>292</v>
      </c>
      <c r="F2287" s="54" t="s">
        <v>5165</v>
      </c>
      <c r="G2287" s="54" t="s">
        <v>5166</v>
      </c>
      <c r="H2287" s="54" t="n">
        <v>8200</v>
      </c>
      <c r="I2287" s="54" t="s">
        <v>295</v>
      </c>
      <c r="J2287" s="54" t="s">
        <v>296</v>
      </c>
    </row>
    <row r="2288" customFormat="false" ht="15" hidden="false" customHeight="true" outlineLevel="0" collapsed="false">
      <c r="A2288" s="54" t="n">
        <v>20260711</v>
      </c>
      <c r="B2288" s="54" t="s">
        <v>306</v>
      </c>
      <c r="C2288" s="54" t="s">
        <v>290</v>
      </c>
      <c r="D2288" s="54" t="s">
        <v>551</v>
      </c>
      <c r="E2288" s="54" t="s">
        <v>552</v>
      </c>
      <c r="F2288" s="54" t="s">
        <v>5167</v>
      </c>
      <c r="G2288" s="54" t="s">
        <v>5168</v>
      </c>
      <c r="H2288" s="54" t="n">
        <v>25493</v>
      </c>
      <c r="I2288" s="54" t="s">
        <v>295</v>
      </c>
      <c r="J2288" s="54" t="s">
        <v>368</v>
      </c>
    </row>
    <row r="2289" customFormat="false" ht="15" hidden="false" customHeight="true" outlineLevel="0" collapsed="false">
      <c r="A2289" s="54" t="n">
        <v>20260711</v>
      </c>
      <c r="B2289" s="54" t="s">
        <v>306</v>
      </c>
      <c r="C2289" s="54" t="s">
        <v>290</v>
      </c>
      <c r="D2289" s="54" t="s">
        <v>551</v>
      </c>
      <c r="E2289" s="54" t="s">
        <v>552</v>
      </c>
      <c r="F2289" s="54" t="s">
        <v>5169</v>
      </c>
      <c r="G2289" s="54" t="s">
        <v>5168</v>
      </c>
      <c r="H2289" s="54" t="n">
        <v>25492</v>
      </c>
      <c r="I2289" s="54" t="s">
        <v>315</v>
      </c>
      <c r="J2289" s="54" t="s">
        <v>368</v>
      </c>
    </row>
    <row r="2290" customFormat="false" ht="15" hidden="false" customHeight="true" outlineLevel="0" collapsed="false">
      <c r="A2290" s="54" t="n">
        <v>20260711</v>
      </c>
      <c r="B2290" s="54" t="s">
        <v>306</v>
      </c>
      <c r="C2290" s="54" t="s">
        <v>290</v>
      </c>
      <c r="D2290" s="54" t="s">
        <v>551</v>
      </c>
      <c r="E2290" s="54" t="s">
        <v>552</v>
      </c>
      <c r="F2290" s="54" t="s">
        <v>5170</v>
      </c>
      <c r="G2290" s="54" t="s">
        <v>5171</v>
      </c>
      <c r="H2290" s="54" t="n">
        <v>3542</v>
      </c>
      <c r="I2290" s="54" t="s">
        <v>295</v>
      </c>
      <c r="J2290" s="54" t="s">
        <v>368</v>
      </c>
    </row>
    <row r="2291" customFormat="false" ht="15" hidden="false" customHeight="true" outlineLevel="0" collapsed="false">
      <c r="A2291" s="54" t="n">
        <v>20260711</v>
      </c>
      <c r="B2291" s="54" t="s">
        <v>306</v>
      </c>
      <c r="C2291" s="54" t="s">
        <v>290</v>
      </c>
      <c r="D2291" s="54" t="s">
        <v>551</v>
      </c>
      <c r="E2291" s="54" t="s">
        <v>552</v>
      </c>
      <c r="F2291" s="54" t="s">
        <v>5172</v>
      </c>
      <c r="G2291" s="54" t="s">
        <v>5171</v>
      </c>
      <c r="H2291" s="54" t="n">
        <v>3541</v>
      </c>
      <c r="I2291" s="54" t="s">
        <v>315</v>
      </c>
      <c r="J2291" s="54" t="s">
        <v>368</v>
      </c>
    </row>
    <row r="2292" customFormat="false" ht="15" hidden="false" customHeight="true" outlineLevel="0" collapsed="false">
      <c r="A2292" s="54" t="n">
        <v>20260711</v>
      </c>
      <c r="B2292" s="54" t="s">
        <v>289</v>
      </c>
      <c r="C2292" s="54" t="s">
        <v>290</v>
      </c>
      <c r="D2292" s="54" t="s">
        <v>574</v>
      </c>
      <c r="E2292" s="54" t="s">
        <v>575</v>
      </c>
      <c r="F2292" s="54" t="s">
        <v>5173</v>
      </c>
      <c r="G2292" s="54" t="s">
        <v>5174</v>
      </c>
      <c r="H2292" s="54" t="n">
        <v>11</v>
      </c>
      <c r="I2292" s="54" t="s">
        <v>295</v>
      </c>
      <c r="J2292" s="54" t="s">
        <v>578</v>
      </c>
    </row>
    <row r="2293" customFormat="false" ht="15" hidden="false" customHeight="true" outlineLevel="0" collapsed="false">
      <c r="A2293" s="54" t="n">
        <v>20260711</v>
      </c>
      <c r="B2293" s="54" t="s">
        <v>289</v>
      </c>
      <c r="C2293" s="54" t="s">
        <v>290</v>
      </c>
      <c r="D2293" s="54" t="s">
        <v>574</v>
      </c>
      <c r="E2293" s="54" t="s">
        <v>575</v>
      </c>
      <c r="F2293" s="54" t="s">
        <v>5175</v>
      </c>
      <c r="G2293" s="54" t="s">
        <v>5176</v>
      </c>
      <c r="H2293" s="54" t="n">
        <v>14453</v>
      </c>
      <c r="I2293" s="54" t="s">
        <v>295</v>
      </c>
      <c r="J2293" s="54" t="s">
        <v>578</v>
      </c>
    </row>
    <row r="2294" customFormat="false" ht="15" hidden="false" customHeight="true" outlineLevel="0" collapsed="false">
      <c r="A2294" s="54" t="n">
        <v>20260711</v>
      </c>
      <c r="B2294" s="54" t="s">
        <v>289</v>
      </c>
      <c r="C2294" s="54" t="s">
        <v>290</v>
      </c>
      <c r="D2294" s="54" t="s">
        <v>574</v>
      </c>
      <c r="E2294" s="54" t="s">
        <v>575</v>
      </c>
      <c r="F2294" s="54" t="s">
        <v>5177</v>
      </c>
      <c r="G2294" s="54" t="s">
        <v>5178</v>
      </c>
      <c r="H2294" s="54" t="n">
        <v>14448</v>
      </c>
      <c r="I2294" s="54" t="s">
        <v>295</v>
      </c>
      <c r="J2294" s="54" t="s">
        <v>578</v>
      </c>
    </row>
    <row r="2295" customFormat="false" ht="15" hidden="false" customHeight="true" outlineLevel="0" collapsed="false">
      <c r="A2295" s="54" t="n">
        <v>20260711</v>
      </c>
      <c r="B2295" s="54" t="s">
        <v>289</v>
      </c>
      <c r="C2295" s="54" t="s">
        <v>290</v>
      </c>
      <c r="D2295" s="54" t="s">
        <v>627</v>
      </c>
      <c r="E2295" s="54" t="s">
        <v>628</v>
      </c>
      <c r="F2295" s="54" t="s">
        <v>5179</v>
      </c>
      <c r="G2295" s="54" t="s">
        <v>5180</v>
      </c>
      <c r="H2295" s="54" t="n">
        <v>17923</v>
      </c>
      <c r="I2295" s="54" t="s">
        <v>295</v>
      </c>
      <c r="J2295" s="54" t="s">
        <v>631</v>
      </c>
    </row>
    <row r="2296" customFormat="false" ht="15" hidden="false" customHeight="true" outlineLevel="0" collapsed="false">
      <c r="A2296" s="54" t="n">
        <v>20260711</v>
      </c>
      <c r="B2296" s="54" t="s">
        <v>289</v>
      </c>
      <c r="C2296" s="54" t="s">
        <v>290</v>
      </c>
      <c r="D2296" s="54" t="s">
        <v>627</v>
      </c>
      <c r="E2296" s="54" t="s">
        <v>628</v>
      </c>
      <c r="F2296" s="54" t="s">
        <v>5181</v>
      </c>
      <c r="G2296" s="54" t="s">
        <v>5182</v>
      </c>
      <c r="H2296" s="54" t="n">
        <v>3</v>
      </c>
      <c r="I2296" s="54" t="s">
        <v>295</v>
      </c>
      <c r="J2296" s="54" t="s">
        <v>631</v>
      </c>
    </row>
    <row r="2297" customFormat="false" ht="15" hidden="false" customHeight="true" outlineLevel="0" collapsed="false">
      <c r="A2297" s="54" t="n">
        <v>20260711</v>
      </c>
      <c r="B2297" s="54" t="s">
        <v>289</v>
      </c>
      <c r="C2297" s="54" t="s">
        <v>290</v>
      </c>
      <c r="D2297" s="54" t="s">
        <v>627</v>
      </c>
      <c r="E2297" s="54" t="s">
        <v>628</v>
      </c>
      <c r="F2297" s="54" t="s">
        <v>5183</v>
      </c>
      <c r="G2297" s="54" t="s">
        <v>5184</v>
      </c>
      <c r="H2297" s="54" t="n">
        <v>8494</v>
      </c>
      <c r="I2297" s="54" t="s">
        <v>295</v>
      </c>
      <c r="J2297" s="54" t="s">
        <v>631</v>
      </c>
    </row>
    <row r="2298" customFormat="false" ht="15" hidden="false" customHeight="true" outlineLevel="0" collapsed="false">
      <c r="A2298" s="54" t="n">
        <v>20260711</v>
      </c>
      <c r="B2298" s="54" t="s">
        <v>289</v>
      </c>
      <c r="C2298" s="54" t="s">
        <v>290</v>
      </c>
      <c r="D2298" s="54" t="s">
        <v>627</v>
      </c>
      <c r="E2298" s="54" t="s">
        <v>628</v>
      </c>
      <c r="F2298" s="54" t="s">
        <v>5185</v>
      </c>
      <c r="G2298" s="54" t="s">
        <v>5186</v>
      </c>
      <c r="H2298" s="54" t="n">
        <v>2453</v>
      </c>
      <c r="I2298" s="54" t="s">
        <v>295</v>
      </c>
      <c r="J2298" s="54" t="s">
        <v>631</v>
      </c>
    </row>
    <row r="2299" customFormat="false" ht="15" hidden="false" customHeight="true" outlineLevel="0" collapsed="false">
      <c r="A2299" s="54" t="n">
        <v>20260711</v>
      </c>
      <c r="B2299" s="54" t="s">
        <v>688</v>
      </c>
      <c r="C2299" s="54" t="s">
        <v>307</v>
      </c>
      <c r="D2299" s="54" t="s">
        <v>689</v>
      </c>
      <c r="E2299" s="54" t="s">
        <v>690</v>
      </c>
      <c r="F2299" s="54" t="s">
        <v>5187</v>
      </c>
      <c r="G2299" s="54" t="s">
        <v>5188</v>
      </c>
      <c r="H2299" s="54" t="n">
        <v>18117</v>
      </c>
      <c r="I2299" s="54" t="s">
        <v>295</v>
      </c>
      <c r="J2299" s="54" t="s">
        <v>693</v>
      </c>
    </row>
    <row r="2300" customFormat="false" ht="15" hidden="false" customHeight="true" outlineLevel="0" collapsed="false">
      <c r="A2300" s="54" t="n">
        <v>20260711</v>
      </c>
      <c r="B2300" s="54" t="s">
        <v>688</v>
      </c>
      <c r="C2300" s="54" t="s">
        <v>307</v>
      </c>
      <c r="D2300" s="54" t="s">
        <v>689</v>
      </c>
      <c r="E2300" s="54" t="s">
        <v>690</v>
      </c>
      <c r="F2300" s="54" t="s">
        <v>5189</v>
      </c>
      <c r="G2300" s="54" t="s">
        <v>5190</v>
      </c>
      <c r="H2300" s="54" t="n">
        <v>13874</v>
      </c>
      <c r="I2300" s="54" t="s">
        <v>295</v>
      </c>
      <c r="J2300" s="54" t="s">
        <v>693</v>
      </c>
    </row>
    <row r="2301" customFormat="false" ht="15" hidden="false" customHeight="true" outlineLevel="0" collapsed="false">
      <c r="A2301" s="54" t="n">
        <v>20260711</v>
      </c>
      <c r="B2301" s="54" t="s">
        <v>289</v>
      </c>
      <c r="C2301" s="54" t="s">
        <v>307</v>
      </c>
      <c r="D2301" s="54" t="s">
        <v>703</v>
      </c>
      <c r="E2301" s="54" t="s">
        <v>704</v>
      </c>
      <c r="F2301" s="54" t="s">
        <v>5191</v>
      </c>
      <c r="G2301" s="54" t="s">
        <v>5192</v>
      </c>
      <c r="H2301" s="54" t="n">
        <v>18273</v>
      </c>
      <c r="I2301" s="54" t="s">
        <v>295</v>
      </c>
      <c r="J2301" s="54" t="s">
        <v>707</v>
      </c>
    </row>
    <row r="2302" customFormat="false" ht="15" hidden="false" customHeight="true" outlineLevel="0" collapsed="false">
      <c r="A2302" s="54" t="n">
        <v>20260711</v>
      </c>
      <c r="B2302" s="54" t="s">
        <v>289</v>
      </c>
      <c r="C2302" s="54" t="s">
        <v>307</v>
      </c>
      <c r="D2302" s="54" t="s">
        <v>703</v>
      </c>
      <c r="E2302" s="54" t="s">
        <v>704</v>
      </c>
      <c r="F2302" s="54" t="s">
        <v>5193</v>
      </c>
      <c r="G2302" s="54" t="s">
        <v>5194</v>
      </c>
      <c r="H2302" s="54" t="n">
        <v>10533</v>
      </c>
      <c r="I2302" s="54" t="s">
        <v>295</v>
      </c>
      <c r="J2302" s="54" t="s">
        <v>707</v>
      </c>
    </row>
    <row r="2303" customFormat="false" ht="15" hidden="false" customHeight="true" outlineLevel="0" collapsed="false">
      <c r="A2303" s="54" t="n">
        <v>20260711</v>
      </c>
      <c r="B2303" s="54" t="s">
        <v>289</v>
      </c>
      <c r="C2303" s="54" t="s">
        <v>290</v>
      </c>
      <c r="D2303" s="54" t="s">
        <v>5195</v>
      </c>
      <c r="E2303" s="54" t="s">
        <v>5196</v>
      </c>
      <c r="F2303" s="54" t="s">
        <v>5197</v>
      </c>
      <c r="G2303" s="54" t="s">
        <v>5198</v>
      </c>
      <c r="H2303" s="54" t="n">
        <v>21973</v>
      </c>
      <c r="I2303" s="54" t="s">
        <v>295</v>
      </c>
      <c r="J2303" s="54" t="s">
        <v>2306</v>
      </c>
    </row>
    <row r="2304" customFormat="false" ht="15" hidden="false" customHeight="true" outlineLevel="0" collapsed="false">
      <c r="A2304" s="54" t="n">
        <v>20260711</v>
      </c>
      <c r="B2304" s="54" t="s">
        <v>289</v>
      </c>
      <c r="C2304" s="54" t="s">
        <v>290</v>
      </c>
      <c r="D2304" s="54" t="s">
        <v>5195</v>
      </c>
      <c r="E2304" s="54" t="s">
        <v>5196</v>
      </c>
      <c r="F2304" s="54" t="s">
        <v>5199</v>
      </c>
      <c r="G2304" s="54" t="s">
        <v>5200</v>
      </c>
      <c r="H2304" s="54" t="n">
        <v>7415</v>
      </c>
      <c r="I2304" s="54" t="s">
        <v>295</v>
      </c>
      <c r="J2304" s="54" t="s">
        <v>2306</v>
      </c>
    </row>
    <row r="2305" customFormat="false" ht="15" hidden="false" customHeight="true" outlineLevel="0" collapsed="false">
      <c r="A2305" s="54" t="n">
        <v>20260711</v>
      </c>
      <c r="B2305" s="54" t="s">
        <v>306</v>
      </c>
      <c r="C2305" s="54" t="s">
        <v>307</v>
      </c>
      <c r="D2305" s="54" t="s">
        <v>710</v>
      </c>
      <c r="E2305" s="54" t="s">
        <v>711</v>
      </c>
      <c r="F2305" s="54" t="s">
        <v>5201</v>
      </c>
      <c r="G2305" s="54" t="s">
        <v>5202</v>
      </c>
      <c r="H2305" s="54" t="n">
        <v>21716</v>
      </c>
      <c r="I2305" s="54" t="s">
        <v>295</v>
      </c>
      <c r="J2305" s="54" t="s">
        <v>312</v>
      </c>
    </row>
    <row r="2306" customFormat="false" ht="15" hidden="false" customHeight="true" outlineLevel="0" collapsed="false">
      <c r="A2306" s="54" t="n">
        <v>20260711</v>
      </c>
      <c r="B2306" s="54" t="s">
        <v>306</v>
      </c>
      <c r="C2306" s="54" t="s">
        <v>307</v>
      </c>
      <c r="D2306" s="54" t="s">
        <v>710</v>
      </c>
      <c r="E2306" s="54" t="s">
        <v>711</v>
      </c>
      <c r="F2306" s="54" t="s">
        <v>5203</v>
      </c>
      <c r="G2306" s="54" t="s">
        <v>5204</v>
      </c>
      <c r="H2306" s="54" t="n">
        <v>21717</v>
      </c>
      <c r="I2306" s="54" t="s">
        <v>315</v>
      </c>
      <c r="J2306" s="54" t="s">
        <v>312</v>
      </c>
    </row>
    <row r="2307" customFormat="false" ht="15" hidden="false" customHeight="true" outlineLevel="0" collapsed="false">
      <c r="A2307" s="54" t="n">
        <v>20260711</v>
      </c>
      <c r="B2307" s="54" t="s">
        <v>306</v>
      </c>
      <c r="C2307" s="54" t="s">
        <v>307</v>
      </c>
      <c r="D2307" s="54" t="s">
        <v>710</v>
      </c>
      <c r="E2307" s="54" t="s">
        <v>711</v>
      </c>
      <c r="F2307" s="54" t="s">
        <v>5205</v>
      </c>
      <c r="G2307" s="54" t="s">
        <v>5206</v>
      </c>
      <c r="H2307" s="54" t="n">
        <v>10843</v>
      </c>
      <c r="I2307" s="54" t="s">
        <v>295</v>
      </c>
      <c r="J2307" s="54" t="s">
        <v>312</v>
      </c>
    </row>
    <row r="2308" customFormat="false" ht="15" hidden="false" customHeight="true" outlineLevel="0" collapsed="false">
      <c r="A2308" s="54" t="n">
        <v>20260711</v>
      </c>
      <c r="B2308" s="54" t="s">
        <v>306</v>
      </c>
      <c r="C2308" s="54" t="s">
        <v>307</v>
      </c>
      <c r="D2308" s="54" t="s">
        <v>710</v>
      </c>
      <c r="E2308" s="54" t="s">
        <v>711</v>
      </c>
      <c r="F2308" s="54" t="s">
        <v>5207</v>
      </c>
      <c r="G2308" s="54" t="s">
        <v>5208</v>
      </c>
      <c r="H2308" s="54" t="n">
        <v>10847</v>
      </c>
      <c r="I2308" s="54" t="s">
        <v>315</v>
      </c>
      <c r="J2308" s="54" t="s">
        <v>312</v>
      </c>
    </row>
    <row r="2309" customFormat="false" ht="15" hidden="false" customHeight="true" outlineLevel="0" collapsed="false">
      <c r="A2309" s="54" t="n">
        <v>20260711</v>
      </c>
      <c r="B2309" s="54" t="s">
        <v>688</v>
      </c>
      <c r="C2309" s="54" t="s">
        <v>307</v>
      </c>
      <c r="D2309" s="54" t="s">
        <v>5209</v>
      </c>
      <c r="E2309" s="54" t="s">
        <v>5210</v>
      </c>
      <c r="F2309" s="54" t="s">
        <v>5211</v>
      </c>
      <c r="G2309" s="54" t="s">
        <v>5212</v>
      </c>
      <c r="H2309" s="54" t="n">
        <v>10789</v>
      </c>
      <c r="I2309" s="54" t="s">
        <v>295</v>
      </c>
      <c r="J2309" s="54" t="s">
        <v>745</v>
      </c>
    </row>
    <row r="2310" customFormat="false" ht="15" hidden="false" customHeight="true" outlineLevel="0" collapsed="false">
      <c r="A2310" s="54" t="n">
        <v>20260711</v>
      </c>
      <c r="B2310" s="54" t="s">
        <v>688</v>
      </c>
      <c r="C2310" s="54" t="s">
        <v>307</v>
      </c>
      <c r="D2310" s="54" t="s">
        <v>5209</v>
      </c>
      <c r="E2310" s="54" t="s">
        <v>5210</v>
      </c>
      <c r="F2310" s="54" t="s">
        <v>5213</v>
      </c>
      <c r="G2310" s="54" t="s">
        <v>5214</v>
      </c>
      <c r="H2310" s="54" t="n">
        <v>13743</v>
      </c>
      <c r="I2310" s="54" t="s">
        <v>295</v>
      </c>
      <c r="J2310" s="54" t="s">
        <v>745</v>
      </c>
    </row>
    <row r="2311" customFormat="false" ht="15" hidden="false" customHeight="true" outlineLevel="0" collapsed="false">
      <c r="A2311" s="54" t="n">
        <v>20260711</v>
      </c>
      <c r="B2311" s="54" t="s">
        <v>688</v>
      </c>
      <c r="C2311" s="54" t="s">
        <v>307</v>
      </c>
      <c r="D2311" s="54" t="s">
        <v>5209</v>
      </c>
      <c r="E2311" s="54" t="s">
        <v>5210</v>
      </c>
      <c r="F2311" s="54" t="s">
        <v>5215</v>
      </c>
      <c r="G2311" s="54" t="s">
        <v>5216</v>
      </c>
      <c r="H2311" s="54" t="n">
        <v>3905</v>
      </c>
      <c r="I2311" s="54" t="s">
        <v>295</v>
      </c>
      <c r="J2311" s="54" t="s">
        <v>745</v>
      </c>
    </row>
    <row r="2312" customFormat="false" ht="15" hidden="false" customHeight="true" outlineLevel="0" collapsed="false">
      <c r="A2312" s="54" t="n">
        <v>20260711</v>
      </c>
      <c r="B2312" s="54" t="s">
        <v>688</v>
      </c>
      <c r="C2312" s="54" t="s">
        <v>307</v>
      </c>
      <c r="D2312" s="54" t="s">
        <v>742</v>
      </c>
      <c r="E2312" s="54" t="s">
        <v>148</v>
      </c>
      <c r="F2312" s="54" t="s">
        <v>5217</v>
      </c>
      <c r="G2312" s="54" t="s">
        <v>5218</v>
      </c>
      <c r="H2312" s="54" t="n">
        <v>18410</v>
      </c>
      <c r="I2312" s="54" t="s">
        <v>295</v>
      </c>
      <c r="J2312" s="54" t="s">
        <v>745</v>
      </c>
    </row>
    <row r="2313" customFormat="false" ht="15" hidden="false" customHeight="true" outlineLevel="0" collapsed="false">
      <c r="A2313" s="54" t="n">
        <v>20260711</v>
      </c>
      <c r="B2313" s="54" t="s">
        <v>688</v>
      </c>
      <c r="C2313" s="54" t="s">
        <v>307</v>
      </c>
      <c r="D2313" s="54" t="s">
        <v>742</v>
      </c>
      <c r="E2313" s="54" t="s">
        <v>148</v>
      </c>
      <c r="F2313" s="54" t="s">
        <v>5219</v>
      </c>
      <c r="G2313" s="54" t="s">
        <v>5220</v>
      </c>
      <c r="H2313" s="54" t="n">
        <v>10740</v>
      </c>
      <c r="I2313" s="54" t="s">
        <v>295</v>
      </c>
      <c r="J2313" s="54" t="s">
        <v>745</v>
      </c>
    </row>
    <row r="2314" customFormat="false" ht="15" hidden="false" customHeight="true" outlineLevel="0" collapsed="false">
      <c r="A2314" s="54" t="n">
        <v>20260711</v>
      </c>
      <c r="B2314" s="54" t="s">
        <v>688</v>
      </c>
      <c r="C2314" s="54" t="s">
        <v>307</v>
      </c>
      <c r="D2314" s="54" t="s">
        <v>5221</v>
      </c>
      <c r="E2314" s="54" t="s">
        <v>159</v>
      </c>
      <c r="F2314" s="54" t="s">
        <v>5222</v>
      </c>
      <c r="G2314" s="54" t="s">
        <v>5223</v>
      </c>
      <c r="H2314" s="54" t="n">
        <v>14454</v>
      </c>
      <c r="I2314" s="54" t="s">
        <v>295</v>
      </c>
      <c r="J2314" s="54" t="s">
        <v>142</v>
      </c>
    </row>
    <row r="2315" customFormat="false" ht="15" hidden="false" customHeight="true" outlineLevel="0" collapsed="false">
      <c r="A2315" s="54" t="n">
        <v>20260711</v>
      </c>
      <c r="B2315" s="54" t="s">
        <v>688</v>
      </c>
      <c r="C2315" s="54" t="s">
        <v>307</v>
      </c>
      <c r="D2315" s="54" t="s">
        <v>5221</v>
      </c>
      <c r="E2315" s="54" t="s">
        <v>159</v>
      </c>
      <c r="F2315" s="54" t="s">
        <v>5224</v>
      </c>
      <c r="G2315" s="54" t="s">
        <v>5225</v>
      </c>
      <c r="H2315" s="54" t="n">
        <v>18083</v>
      </c>
      <c r="I2315" s="54" t="s">
        <v>295</v>
      </c>
      <c r="J2315" s="54" t="s">
        <v>142</v>
      </c>
    </row>
    <row r="2316" customFormat="false" ht="15" hidden="false" customHeight="true" outlineLevel="0" collapsed="false">
      <c r="A2316" s="54" t="n">
        <v>20260711</v>
      </c>
      <c r="B2316" s="54" t="s">
        <v>688</v>
      </c>
      <c r="C2316" s="54" t="s">
        <v>307</v>
      </c>
      <c r="D2316" s="54" t="s">
        <v>799</v>
      </c>
      <c r="E2316" s="54" t="s">
        <v>800</v>
      </c>
      <c r="F2316" s="54" t="s">
        <v>5226</v>
      </c>
      <c r="G2316" s="54" t="s">
        <v>5227</v>
      </c>
      <c r="H2316" s="54" t="n">
        <v>18160</v>
      </c>
      <c r="I2316" s="54" t="s">
        <v>295</v>
      </c>
      <c r="J2316" s="54" t="s">
        <v>745</v>
      </c>
    </row>
    <row r="2317" customFormat="false" ht="15" hidden="false" customHeight="true" outlineLevel="0" collapsed="false">
      <c r="A2317" s="54" t="n">
        <v>20260711</v>
      </c>
      <c r="B2317" s="54" t="s">
        <v>688</v>
      </c>
      <c r="C2317" s="54" t="s">
        <v>307</v>
      </c>
      <c r="D2317" s="54" t="s">
        <v>799</v>
      </c>
      <c r="E2317" s="54" t="s">
        <v>800</v>
      </c>
      <c r="F2317" s="54" t="s">
        <v>5228</v>
      </c>
      <c r="G2317" s="54" t="s">
        <v>5229</v>
      </c>
      <c r="H2317" s="54" t="n">
        <v>8867</v>
      </c>
      <c r="I2317" s="54" t="s">
        <v>295</v>
      </c>
      <c r="J2317" s="54" t="s">
        <v>745</v>
      </c>
    </row>
    <row r="2318" customFormat="false" ht="15" hidden="false" customHeight="true" outlineLevel="0" collapsed="false">
      <c r="A2318" s="54" t="n">
        <v>20260711</v>
      </c>
      <c r="B2318" s="54" t="s">
        <v>688</v>
      </c>
      <c r="C2318" s="54" t="s">
        <v>307</v>
      </c>
      <c r="D2318" s="54" t="s">
        <v>799</v>
      </c>
      <c r="E2318" s="54" t="s">
        <v>800</v>
      </c>
      <c r="F2318" s="54" t="s">
        <v>5230</v>
      </c>
      <c r="G2318" s="54" t="s">
        <v>5231</v>
      </c>
      <c r="H2318" s="54" t="n">
        <v>1571</v>
      </c>
      <c r="I2318" s="54" t="s">
        <v>295</v>
      </c>
      <c r="J2318" s="54" t="s">
        <v>745</v>
      </c>
    </row>
    <row r="2319" customFormat="false" ht="15" hidden="false" customHeight="true" outlineLevel="0" collapsed="false">
      <c r="A2319" s="54" t="n">
        <v>20260711</v>
      </c>
      <c r="B2319" s="54" t="s">
        <v>497</v>
      </c>
      <c r="C2319" s="54" t="s">
        <v>290</v>
      </c>
      <c r="D2319" s="54" t="s">
        <v>807</v>
      </c>
      <c r="E2319" s="54" t="s">
        <v>808</v>
      </c>
      <c r="F2319" s="54" t="s">
        <v>5232</v>
      </c>
      <c r="G2319" s="54" t="s">
        <v>5233</v>
      </c>
      <c r="H2319" s="54" t="n">
        <v>14434</v>
      </c>
      <c r="I2319" s="54" t="s">
        <v>295</v>
      </c>
      <c r="J2319" s="54" t="s">
        <v>811</v>
      </c>
    </row>
    <row r="2320" customFormat="false" ht="15" hidden="false" customHeight="true" outlineLevel="0" collapsed="false">
      <c r="A2320" s="54" t="n">
        <v>20260711</v>
      </c>
      <c r="B2320" s="54" t="s">
        <v>289</v>
      </c>
      <c r="C2320" s="54" t="s">
        <v>290</v>
      </c>
      <c r="D2320" s="54" t="s">
        <v>299</v>
      </c>
      <c r="E2320" s="54" t="s">
        <v>300</v>
      </c>
      <c r="F2320" s="54" t="s">
        <v>5234</v>
      </c>
      <c r="G2320" s="54" t="s">
        <v>5235</v>
      </c>
      <c r="H2320" s="54" t="n">
        <v>14608</v>
      </c>
      <c r="I2320" s="54" t="s">
        <v>295</v>
      </c>
      <c r="J2320" s="54" t="s">
        <v>303</v>
      </c>
    </row>
    <row r="2321" customFormat="false" ht="15" hidden="false" customHeight="true" outlineLevel="0" collapsed="false">
      <c r="A2321" s="54" t="n">
        <v>20260711</v>
      </c>
      <c r="B2321" s="54" t="s">
        <v>289</v>
      </c>
      <c r="C2321" s="54" t="s">
        <v>290</v>
      </c>
      <c r="D2321" s="54" t="s">
        <v>299</v>
      </c>
      <c r="E2321" s="54" t="s">
        <v>300</v>
      </c>
      <c r="F2321" s="54" t="s">
        <v>5236</v>
      </c>
      <c r="G2321" s="54" t="s">
        <v>5237</v>
      </c>
      <c r="H2321" s="54" t="n">
        <v>3</v>
      </c>
      <c r="I2321" s="54" t="s">
        <v>295</v>
      </c>
      <c r="J2321" s="54" t="s">
        <v>303</v>
      </c>
    </row>
    <row r="2322" customFormat="false" ht="15" hidden="false" customHeight="true" outlineLevel="0" collapsed="false">
      <c r="A2322" s="54" t="n">
        <v>20260711</v>
      </c>
      <c r="B2322" s="54" t="s">
        <v>497</v>
      </c>
      <c r="C2322" s="54" t="s">
        <v>307</v>
      </c>
      <c r="D2322" s="54" t="s">
        <v>865</v>
      </c>
      <c r="E2322" s="54" t="s">
        <v>866</v>
      </c>
      <c r="F2322" s="54" t="s">
        <v>5238</v>
      </c>
      <c r="G2322" s="54" t="s">
        <v>5239</v>
      </c>
      <c r="H2322" s="54" t="n">
        <v>15600</v>
      </c>
      <c r="I2322" s="54" t="s">
        <v>295</v>
      </c>
      <c r="J2322" s="54" t="s">
        <v>502</v>
      </c>
    </row>
    <row r="2323" customFormat="false" ht="15" hidden="false" customHeight="true" outlineLevel="0" collapsed="false">
      <c r="A2323" s="54" t="n">
        <v>20260711</v>
      </c>
      <c r="B2323" s="54" t="s">
        <v>289</v>
      </c>
      <c r="C2323" s="54" t="s">
        <v>307</v>
      </c>
      <c r="D2323" s="54" t="s">
        <v>5240</v>
      </c>
      <c r="E2323" s="54" t="s">
        <v>5241</v>
      </c>
      <c r="F2323" s="54" t="s">
        <v>5242</v>
      </c>
      <c r="G2323" s="54" t="s">
        <v>5243</v>
      </c>
      <c r="H2323" s="54" t="n">
        <v>18030</v>
      </c>
      <c r="I2323" s="54" t="s">
        <v>295</v>
      </c>
      <c r="J2323" s="54" t="s">
        <v>1074</v>
      </c>
    </row>
    <row r="2324" customFormat="false" ht="15" hidden="false" customHeight="true" outlineLevel="0" collapsed="false">
      <c r="A2324" s="54" t="n">
        <v>20260711</v>
      </c>
      <c r="B2324" s="54" t="s">
        <v>289</v>
      </c>
      <c r="C2324" s="54" t="s">
        <v>307</v>
      </c>
      <c r="D2324" s="54" t="s">
        <v>5240</v>
      </c>
      <c r="E2324" s="54" t="s">
        <v>5241</v>
      </c>
      <c r="F2324" s="54" t="s">
        <v>5244</v>
      </c>
      <c r="G2324" s="54" t="s">
        <v>5245</v>
      </c>
      <c r="H2324" s="54" t="n">
        <v>10889</v>
      </c>
      <c r="I2324" s="54" t="s">
        <v>295</v>
      </c>
      <c r="J2324" s="54" t="s">
        <v>1074</v>
      </c>
    </row>
    <row r="2325" customFormat="false" ht="15" hidden="false" customHeight="true" outlineLevel="0" collapsed="false">
      <c r="A2325" s="54" t="n">
        <v>20260711</v>
      </c>
      <c r="B2325" s="54" t="s">
        <v>497</v>
      </c>
      <c r="C2325" s="54" t="s">
        <v>307</v>
      </c>
      <c r="D2325" s="54" t="s">
        <v>890</v>
      </c>
      <c r="E2325" s="54" t="s">
        <v>891</v>
      </c>
      <c r="F2325" s="54" t="s">
        <v>5246</v>
      </c>
      <c r="G2325" s="54" t="s">
        <v>5247</v>
      </c>
      <c r="H2325" s="54" t="n">
        <v>14836</v>
      </c>
      <c r="I2325" s="54" t="s">
        <v>295</v>
      </c>
      <c r="J2325" s="54" t="s">
        <v>894</v>
      </c>
    </row>
    <row r="2326" customFormat="false" ht="15" hidden="false" customHeight="true" outlineLevel="0" collapsed="false">
      <c r="A2326" s="54" t="n">
        <v>20260711</v>
      </c>
      <c r="B2326" s="54" t="s">
        <v>688</v>
      </c>
      <c r="C2326" s="54" t="s">
        <v>307</v>
      </c>
      <c r="D2326" s="54" t="s">
        <v>895</v>
      </c>
      <c r="E2326" s="54" t="s">
        <v>896</v>
      </c>
      <c r="F2326" s="54" t="s">
        <v>5248</v>
      </c>
      <c r="G2326" s="54" t="s">
        <v>5249</v>
      </c>
      <c r="H2326" s="54" t="n">
        <v>21822</v>
      </c>
      <c r="I2326" s="54" t="s">
        <v>295</v>
      </c>
      <c r="J2326" s="54" t="s">
        <v>693</v>
      </c>
    </row>
    <row r="2327" customFormat="false" ht="15" hidden="false" customHeight="true" outlineLevel="0" collapsed="false">
      <c r="A2327" s="54" t="n">
        <v>20260711</v>
      </c>
      <c r="B2327" s="54" t="s">
        <v>688</v>
      </c>
      <c r="C2327" s="54" t="s">
        <v>307</v>
      </c>
      <c r="D2327" s="54" t="s">
        <v>895</v>
      </c>
      <c r="E2327" s="54" t="s">
        <v>896</v>
      </c>
      <c r="F2327" s="54" t="s">
        <v>5250</v>
      </c>
      <c r="G2327" s="54" t="s">
        <v>5251</v>
      </c>
      <c r="H2327" s="54" t="n">
        <v>11077</v>
      </c>
      <c r="I2327" s="54" t="s">
        <v>295</v>
      </c>
      <c r="J2327" s="54" t="s">
        <v>693</v>
      </c>
    </row>
    <row r="2328" customFormat="false" ht="15" hidden="false" customHeight="true" outlineLevel="0" collapsed="false">
      <c r="A2328" s="54" t="n">
        <v>20260711</v>
      </c>
      <c r="B2328" s="54" t="s">
        <v>289</v>
      </c>
      <c r="C2328" s="54" t="s">
        <v>307</v>
      </c>
      <c r="D2328" s="54" t="s">
        <v>5252</v>
      </c>
      <c r="E2328" s="54" t="s">
        <v>5253</v>
      </c>
      <c r="F2328" s="54" t="s">
        <v>5254</v>
      </c>
      <c r="G2328" s="54" t="s">
        <v>5255</v>
      </c>
      <c r="H2328" s="54" t="n">
        <v>19875</v>
      </c>
      <c r="I2328" s="54" t="s">
        <v>295</v>
      </c>
      <c r="J2328" s="54" t="s">
        <v>1133</v>
      </c>
    </row>
    <row r="2329" customFormat="false" ht="15" hidden="false" customHeight="true" outlineLevel="0" collapsed="false">
      <c r="A2329" s="54" t="n">
        <v>20260711</v>
      </c>
      <c r="B2329" s="54" t="s">
        <v>289</v>
      </c>
      <c r="C2329" s="54" t="s">
        <v>307</v>
      </c>
      <c r="D2329" s="54" t="s">
        <v>5252</v>
      </c>
      <c r="E2329" s="54" t="s">
        <v>5253</v>
      </c>
      <c r="F2329" s="54" t="s">
        <v>5256</v>
      </c>
      <c r="G2329" s="54" t="s">
        <v>5257</v>
      </c>
      <c r="H2329" s="54" t="n">
        <v>8998</v>
      </c>
      <c r="I2329" s="54" t="s">
        <v>295</v>
      </c>
      <c r="J2329" s="54" t="s">
        <v>1133</v>
      </c>
    </row>
    <row r="2330" customFormat="false" ht="15" hidden="false" customHeight="true" outlineLevel="0" collapsed="false">
      <c r="A2330" s="54" t="n">
        <v>20260711</v>
      </c>
      <c r="B2330" s="54" t="s">
        <v>306</v>
      </c>
      <c r="C2330" s="54" t="s">
        <v>290</v>
      </c>
      <c r="D2330" s="54" t="s">
        <v>912</v>
      </c>
      <c r="E2330" s="54" t="s">
        <v>913</v>
      </c>
      <c r="F2330" s="54" t="s">
        <v>5258</v>
      </c>
      <c r="G2330" s="54" t="s">
        <v>5259</v>
      </c>
      <c r="H2330" s="54" t="n">
        <v>21672</v>
      </c>
      <c r="I2330" s="54" t="s">
        <v>295</v>
      </c>
      <c r="J2330" s="54" t="s">
        <v>375</v>
      </c>
    </row>
    <row r="2331" customFormat="false" ht="15" hidden="false" customHeight="true" outlineLevel="0" collapsed="false">
      <c r="A2331" s="54" t="n">
        <v>20260711</v>
      </c>
      <c r="B2331" s="54" t="s">
        <v>306</v>
      </c>
      <c r="C2331" s="54" t="s">
        <v>290</v>
      </c>
      <c r="D2331" s="54" t="s">
        <v>5260</v>
      </c>
      <c r="E2331" s="54" t="s">
        <v>5261</v>
      </c>
      <c r="F2331" s="54" t="s">
        <v>5262</v>
      </c>
      <c r="G2331" s="54" t="s">
        <v>5263</v>
      </c>
      <c r="H2331" s="54" t="n">
        <v>905</v>
      </c>
      <c r="I2331" s="54" t="s">
        <v>315</v>
      </c>
      <c r="J2331" s="54" t="s">
        <v>335</v>
      </c>
    </row>
    <row r="2332" customFormat="false" ht="15" hidden="false" customHeight="true" outlineLevel="0" collapsed="false">
      <c r="A2332" s="54" t="n">
        <v>20260711</v>
      </c>
      <c r="B2332" s="54" t="s">
        <v>306</v>
      </c>
      <c r="C2332" s="54" t="s">
        <v>290</v>
      </c>
      <c r="D2332" s="54" t="s">
        <v>5260</v>
      </c>
      <c r="E2332" s="54" t="s">
        <v>5261</v>
      </c>
      <c r="F2332" s="54" t="s">
        <v>5262</v>
      </c>
      <c r="G2332" s="54" t="s">
        <v>5263</v>
      </c>
      <c r="H2332" s="54" t="n">
        <v>905</v>
      </c>
      <c r="I2332" s="54" t="s">
        <v>295</v>
      </c>
      <c r="J2332" s="54" t="s">
        <v>335</v>
      </c>
    </row>
    <row r="2333" customFormat="false" ht="15" hidden="false" customHeight="true" outlineLevel="0" collapsed="false">
      <c r="A2333" s="54" t="n">
        <v>20260711</v>
      </c>
      <c r="B2333" s="54" t="s">
        <v>306</v>
      </c>
      <c r="C2333" s="54" t="s">
        <v>290</v>
      </c>
      <c r="D2333" s="54" t="s">
        <v>5260</v>
      </c>
      <c r="E2333" s="54" t="s">
        <v>5261</v>
      </c>
      <c r="F2333" s="54" t="s">
        <v>5264</v>
      </c>
      <c r="G2333" s="54" t="s">
        <v>5265</v>
      </c>
      <c r="H2333" s="54" t="n">
        <v>20789</v>
      </c>
      <c r="I2333" s="54" t="s">
        <v>295</v>
      </c>
      <c r="J2333" s="54" t="s">
        <v>335</v>
      </c>
    </row>
    <row r="2334" customFormat="false" ht="15" hidden="false" customHeight="true" outlineLevel="0" collapsed="false">
      <c r="A2334" s="54" t="n">
        <v>20260711</v>
      </c>
      <c r="B2334" s="54" t="s">
        <v>306</v>
      </c>
      <c r="C2334" s="54" t="s">
        <v>290</v>
      </c>
      <c r="D2334" s="54" t="s">
        <v>5260</v>
      </c>
      <c r="E2334" s="54" t="s">
        <v>5261</v>
      </c>
      <c r="F2334" s="54" t="s">
        <v>5266</v>
      </c>
      <c r="G2334" s="54" t="s">
        <v>5265</v>
      </c>
      <c r="H2334" s="54" t="n">
        <v>20788</v>
      </c>
      <c r="I2334" s="54" t="s">
        <v>315</v>
      </c>
      <c r="J2334" s="54" t="s">
        <v>335</v>
      </c>
    </row>
    <row r="2335" customFormat="false" ht="15" hidden="false" customHeight="true" outlineLevel="0" collapsed="false">
      <c r="A2335" s="54" t="n">
        <v>20260711</v>
      </c>
      <c r="B2335" s="54" t="s">
        <v>306</v>
      </c>
      <c r="C2335" s="54" t="s">
        <v>290</v>
      </c>
      <c r="D2335" s="54" t="s">
        <v>5260</v>
      </c>
      <c r="E2335" s="54" t="s">
        <v>5261</v>
      </c>
      <c r="F2335" s="54" t="s">
        <v>5267</v>
      </c>
      <c r="G2335" s="54" t="s">
        <v>5268</v>
      </c>
      <c r="H2335" s="54" t="n">
        <v>6910</v>
      </c>
      <c r="I2335" s="54" t="s">
        <v>295</v>
      </c>
      <c r="J2335" s="54" t="s">
        <v>335</v>
      </c>
    </row>
    <row r="2336" customFormat="false" ht="15" hidden="false" customHeight="true" outlineLevel="0" collapsed="false">
      <c r="A2336" s="54" t="n">
        <v>20260711</v>
      </c>
      <c r="B2336" s="54" t="s">
        <v>306</v>
      </c>
      <c r="C2336" s="54" t="s">
        <v>290</v>
      </c>
      <c r="D2336" s="54" t="s">
        <v>5260</v>
      </c>
      <c r="E2336" s="54" t="s">
        <v>5261</v>
      </c>
      <c r="F2336" s="54" t="s">
        <v>5269</v>
      </c>
      <c r="G2336" s="54" t="s">
        <v>5268</v>
      </c>
      <c r="H2336" s="54" t="n">
        <v>6909</v>
      </c>
      <c r="I2336" s="54" t="s">
        <v>315</v>
      </c>
      <c r="J2336" s="54" t="s">
        <v>335</v>
      </c>
    </row>
    <row r="2337" customFormat="false" ht="15" hidden="false" customHeight="true" outlineLevel="0" collapsed="false">
      <c r="A2337" s="54" t="n">
        <v>20260711</v>
      </c>
      <c r="B2337" s="54" t="s">
        <v>289</v>
      </c>
      <c r="C2337" s="54" t="s">
        <v>290</v>
      </c>
      <c r="D2337" s="54" t="s">
        <v>965</v>
      </c>
      <c r="E2337" s="54" t="s">
        <v>966</v>
      </c>
      <c r="F2337" s="54" t="s">
        <v>5270</v>
      </c>
      <c r="G2337" s="54" t="s">
        <v>5271</v>
      </c>
      <c r="H2337" s="54" t="n">
        <v>21538</v>
      </c>
      <c r="I2337" s="54" t="s">
        <v>295</v>
      </c>
      <c r="J2337" s="54" t="s">
        <v>569</v>
      </c>
    </row>
    <row r="2338" customFormat="false" ht="15" hidden="false" customHeight="true" outlineLevel="0" collapsed="false">
      <c r="A2338" s="54" t="n">
        <v>20260711</v>
      </c>
      <c r="B2338" s="54" t="s">
        <v>289</v>
      </c>
      <c r="C2338" s="54" t="s">
        <v>290</v>
      </c>
      <c r="D2338" s="54" t="s">
        <v>965</v>
      </c>
      <c r="E2338" s="54" t="s">
        <v>966</v>
      </c>
      <c r="F2338" s="54" t="s">
        <v>5272</v>
      </c>
      <c r="G2338" s="54" t="s">
        <v>5271</v>
      </c>
      <c r="H2338" s="54" t="n">
        <v>21537</v>
      </c>
      <c r="I2338" s="54" t="s">
        <v>360</v>
      </c>
      <c r="J2338" s="54" t="s">
        <v>569</v>
      </c>
    </row>
    <row r="2339" customFormat="false" ht="15" hidden="false" customHeight="true" outlineLevel="0" collapsed="false">
      <c r="A2339" s="54" t="n">
        <v>20260711</v>
      </c>
      <c r="B2339" s="54" t="s">
        <v>168</v>
      </c>
      <c r="C2339" s="54" t="s">
        <v>290</v>
      </c>
      <c r="D2339" s="54" t="s">
        <v>5273</v>
      </c>
      <c r="E2339" s="54" t="s">
        <v>5274</v>
      </c>
      <c r="F2339" s="54" t="s">
        <v>5275</v>
      </c>
      <c r="G2339" s="54" t="s">
        <v>5276</v>
      </c>
      <c r="H2339" s="54" t="n">
        <v>1900</v>
      </c>
      <c r="I2339" s="54" t="s">
        <v>295</v>
      </c>
      <c r="J2339" s="54" t="s">
        <v>818</v>
      </c>
    </row>
    <row r="2340" customFormat="false" ht="15" hidden="false" customHeight="true" outlineLevel="0" collapsed="false">
      <c r="A2340" s="54" t="n">
        <v>20260711</v>
      </c>
      <c r="B2340" s="54" t="s">
        <v>168</v>
      </c>
      <c r="C2340" s="54" t="s">
        <v>290</v>
      </c>
      <c r="D2340" s="54" t="s">
        <v>5273</v>
      </c>
      <c r="E2340" s="54" t="s">
        <v>5274</v>
      </c>
      <c r="F2340" s="54" t="s">
        <v>5277</v>
      </c>
      <c r="G2340" s="54" t="s">
        <v>5278</v>
      </c>
      <c r="H2340" s="54" t="n">
        <v>1830</v>
      </c>
      <c r="I2340" s="54" t="s">
        <v>295</v>
      </c>
      <c r="J2340" s="54" t="s">
        <v>818</v>
      </c>
    </row>
    <row r="2341" customFormat="false" ht="15" hidden="false" customHeight="true" outlineLevel="0" collapsed="false">
      <c r="A2341" s="54" t="n">
        <v>20260711</v>
      </c>
      <c r="B2341" s="54" t="s">
        <v>168</v>
      </c>
      <c r="C2341" s="54" t="s">
        <v>290</v>
      </c>
      <c r="D2341" s="54" t="s">
        <v>5273</v>
      </c>
      <c r="E2341" s="54" t="s">
        <v>5274</v>
      </c>
      <c r="F2341" s="54" t="s">
        <v>5279</v>
      </c>
      <c r="G2341" s="54" t="s">
        <v>5280</v>
      </c>
      <c r="H2341" s="54" t="n">
        <v>8243</v>
      </c>
      <c r="I2341" s="54" t="s">
        <v>295</v>
      </c>
      <c r="J2341" s="54" t="s">
        <v>818</v>
      </c>
    </row>
    <row r="2342" customFormat="false" ht="15" hidden="false" customHeight="true" outlineLevel="0" collapsed="false">
      <c r="A2342" s="54" t="n">
        <v>20260711</v>
      </c>
      <c r="B2342" s="54" t="s">
        <v>168</v>
      </c>
      <c r="C2342" s="54" t="s">
        <v>290</v>
      </c>
      <c r="D2342" s="54" t="s">
        <v>5273</v>
      </c>
      <c r="E2342" s="54" t="s">
        <v>5274</v>
      </c>
      <c r="F2342" s="54" t="s">
        <v>5281</v>
      </c>
      <c r="G2342" s="54" t="s">
        <v>5282</v>
      </c>
      <c r="H2342" s="54" t="n">
        <v>14247</v>
      </c>
      <c r="I2342" s="54" t="s">
        <v>295</v>
      </c>
      <c r="J2342" s="54" t="s">
        <v>818</v>
      </c>
    </row>
    <row r="2343" customFormat="false" ht="15" hidden="false" customHeight="true" outlineLevel="0" collapsed="false">
      <c r="A2343" s="54" t="n">
        <v>20260711</v>
      </c>
      <c r="B2343" s="54" t="s">
        <v>306</v>
      </c>
      <c r="C2343" s="54" t="s">
        <v>290</v>
      </c>
      <c r="D2343" s="54" t="s">
        <v>985</v>
      </c>
      <c r="E2343" s="54" t="s">
        <v>986</v>
      </c>
      <c r="F2343" s="54" t="s">
        <v>5283</v>
      </c>
      <c r="G2343" s="54" t="s">
        <v>5284</v>
      </c>
      <c r="H2343" s="54" t="n">
        <v>21208</v>
      </c>
      <c r="I2343" s="54" t="s">
        <v>295</v>
      </c>
      <c r="J2343" s="54" t="s">
        <v>989</v>
      </c>
    </row>
    <row r="2344" customFormat="false" ht="15" hidden="false" customHeight="true" outlineLevel="0" collapsed="false">
      <c r="A2344" s="54" t="n">
        <v>20260711</v>
      </c>
      <c r="B2344" s="54" t="s">
        <v>306</v>
      </c>
      <c r="C2344" s="54" t="s">
        <v>290</v>
      </c>
      <c r="D2344" s="54" t="s">
        <v>985</v>
      </c>
      <c r="E2344" s="54" t="s">
        <v>986</v>
      </c>
      <c r="F2344" s="54" t="s">
        <v>5285</v>
      </c>
      <c r="G2344" s="54" t="s">
        <v>5284</v>
      </c>
      <c r="H2344" s="54" t="n">
        <v>21207</v>
      </c>
      <c r="I2344" s="54" t="s">
        <v>315</v>
      </c>
      <c r="J2344" s="54" t="s">
        <v>989</v>
      </c>
    </row>
    <row r="2345" customFormat="false" ht="15" hidden="false" customHeight="true" outlineLevel="0" collapsed="false">
      <c r="A2345" s="54" t="n">
        <v>20260711</v>
      </c>
      <c r="B2345" s="54" t="s">
        <v>306</v>
      </c>
      <c r="C2345" s="54" t="s">
        <v>290</v>
      </c>
      <c r="D2345" s="54" t="s">
        <v>985</v>
      </c>
      <c r="E2345" s="54" t="s">
        <v>986</v>
      </c>
      <c r="F2345" s="54" t="s">
        <v>5286</v>
      </c>
      <c r="G2345" s="54" t="s">
        <v>5287</v>
      </c>
      <c r="H2345" s="54" t="n">
        <v>471</v>
      </c>
      <c r="I2345" s="54" t="s">
        <v>315</v>
      </c>
      <c r="J2345" s="54" t="s">
        <v>989</v>
      </c>
    </row>
    <row r="2346" customFormat="false" ht="15" hidden="false" customHeight="true" outlineLevel="0" collapsed="false">
      <c r="A2346" s="54" t="n">
        <v>20260711</v>
      </c>
      <c r="B2346" s="54" t="s">
        <v>306</v>
      </c>
      <c r="C2346" s="54" t="s">
        <v>290</v>
      </c>
      <c r="D2346" s="54" t="s">
        <v>985</v>
      </c>
      <c r="E2346" s="54" t="s">
        <v>986</v>
      </c>
      <c r="F2346" s="54" t="s">
        <v>5286</v>
      </c>
      <c r="G2346" s="54" t="s">
        <v>5287</v>
      </c>
      <c r="H2346" s="54" t="n">
        <v>471</v>
      </c>
      <c r="I2346" s="54" t="s">
        <v>295</v>
      </c>
      <c r="J2346" s="54" t="s">
        <v>989</v>
      </c>
    </row>
    <row r="2347" customFormat="false" ht="15" hidden="false" customHeight="true" outlineLevel="0" collapsed="false">
      <c r="A2347" s="54" t="n">
        <v>20260711</v>
      </c>
      <c r="B2347" s="54" t="s">
        <v>306</v>
      </c>
      <c r="C2347" s="54" t="s">
        <v>307</v>
      </c>
      <c r="D2347" s="54" t="s">
        <v>308</v>
      </c>
      <c r="E2347" s="54" t="s">
        <v>309</v>
      </c>
      <c r="F2347" s="54" t="s">
        <v>5288</v>
      </c>
      <c r="G2347" s="54" t="s">
        <v>5289</v>
      </c>
      <c r="H2347" s="54" t="n">
        <v>11192</v>
      </c>
      <c r="I2347" s="54" t="s">
        <v>315</v>
      </c>
      <c r="J2347" s="54" t="s">
        <v>312</v>
      </c>
    </row>
    <row r="2348" customFormat="false" ht="15" hidden="false" customHeight="true" outlineLevel="0" collapsed="false">
      <c r="A2348" s="54" t="n">
        <v>20260711</v>
      </c>
      <c r="B2348" s="54" t="s">
        <v>306</v>
      </c>
      <c r="C2348" s="54" t="s">
        <v>307</v>
      </c>
      <c r="D2348" s="54" t="s">
        <v>308</v>
      </c>
      <c r="E2348" s="54" t="s">
        <v>309</v>
      </c>
      <c r="F2348" s="54" t="s">
        <v>5290</v>
      </c>
      <c r="G2348" s="54" t="s">
        <v>5289</v>
      </c>
      <c r="H2348" s="54" t="n">
        <v>11180</v>
      </c>
      <c r="I2348" s="54" t="s">
        <v>295</v>
      </c>
      <c r="J2348" s="54" t="s">
        <v>312</v>
      </c>
    </row>
    <row r="2349" customFormat="false" ht="15" hidden="false" customHeight="true" outlineLevel="0" collapsed="false">
      <c r="A2349" s="54" t="n">
        <v>20260711</v>
      </c>
      <c r="B2349" s="54" t="s">
        <v>306</v>
      </c>
      <c r="C2349" s="54" t="s">
        <v>307</v>
      </c>
      <c r="D2349" s="54" t="s">
        <v>308</v>
      </c>
      <c r="E2349" s="54" t="s">
        <v>309</v>
      </c>
      <c r="F2349" s="54" t="s">
        <v>5291</v>
      </c>
      <c r="G2349" s="54" t="s">
        <v>5292</v>
      </c>
      <c r="H2349" s="54" t="n">
        <v>21270</v>
      </c>
      <c r="I2349" s="54" t="s">
        <v>315</v>
      </c>
      <c r="J2349" s="54" t="s">
        <v>312</v>
      </c>
    </row>
    <row r="2350" customFormat="false" ht="15" hidden="false" customHeight="true" outlineLevel="0" collapsed="false">
      <c r="A2350" s="54" t="n">
        <v>20260711</v>
      </c>
      <c r="B2350" s="54" t="s">
        <v>306</v>
      </c>
      <c r="C2350" s="54" t="s">
        <v>307</v>
      </c>
      <c r="D2350" s="54" t="s">
        <v>308</v>
      </c>
      <c r="E2350" s="54" t="s">
        <v>309</v>
      </c>
      <c r="F2350" s="54" t="s">
        <v>5291</v>
      </c>
      <c r="G2350" s="54" t="s">
        <v>5292</v>
      </c>
      <c r="H2350" s="54" t="n">
        <v>21270</v>
      </c>
      <c r="I2350" s="54" t="s">
        <v>295</v>
      </c>
      <c r="J2350" s="54" t="s">
        <v>312</v>
      </c>
    </row>
    <row r="2351" customFormat="false" ht="15" hidden="false" customHeight="true" outlineLevel="0" collapsed="false">
      <c r="A2351" s="54" t="n">
        <v>20260711</v>
      </c>
      <c r="B2351" s="54" t="s">
        <v>289</v>
      </c>
      <c r="C2351" s="54" t="s">
        <v>290</v>
      </c>
      <c r="D2351" s="54" t="s">
        <v>998</v>
      </c>
      <c r="E2351" s="54" t="s">
        <v>999</v>
      </c>
      <c r="F2351" s="54" t="s">
        <v>5293</v>
      </c>
      <c r="G2351" s="54" t="s">
        <v>5294</v>
      </c>
      <c r="H2351" s="54" t="n">
        <v>25047</v>
      </c>
      <c r="I2351" s="54" t="s">
        <v>295</v>
      </c>
      <c r="J2351" s="54" t="s">
        <v>852</v>
      </c>
    </row>
    <row r="2352" customFormat="false" ht="15" hidden="false" customHeight="true" outlineLevel="0" collapsed="false">
      <c r="A2352" s="54" t="n">
        <v>20260711</v>
      </c>
      <c r="B2352" s="54" t="s">
        <v>289</v>
      </c>
      <c r="C2352" s="54" t="s">
        <v>290</v>
      </c>
      <c r="D2352" s="54" t="s">
        <v>998</v>
      </c>
      <c r="E2352" s="54" t="s">
        <v>999</v>
      </c>
      <c r="F2352" s="54" t="s">
        <v>5295</v>
      </c>
      <c r="G2352" s="54" t="s">
        <v>5294</v>
      </c>
      <c r="H2352" s="54" t="n">
        <v>25046</v>
      </c>
      <c r="I2352" s="54" t="s">
        <v>360</v>
      </c>
      <c r="J2352" s="54" t="s">
        <v>852</v>
      </c>
    </row>
    <row r="2353" customFormat="false" ht="15" hidden="false" customHeight="true" outlineLevel="0" collapsed="false">
      <c r="A2353" s="54" t="n">
        <v>20260711</v>
      </c>
      <c r="B2353" s="54" t="s">
        <v>289</v>
      </c>
      <c r="C2353" s="54" t="s">
        <v>290</v>
      </c>
      <c r="D2353" s="54" t="s">
        <v>998</v>
      </c>
      <c r="E2353" s="54" t="s">
        <v>999</v>
      </c>
      <c r="F2353" s="54" t="s">
        <v>5296</v>
      </c>
      <c r="G2353" s="54" t="s">
        <v>5297</v>
      </c>
      <c r="H2353" s="54" t="n">
        <v>7579</v>
      </c>
      <c r="I2353" s="54" t="s">
        <v>295</v>
      </c>
      <c r="J2353" s="54" t="s">
        <v>852</v>
      </c>
    </row>
    <row r="2354" customFormat="false" ht="15" hidden="false" customHeight="true" outlineLevel="0" collapsed="false">
      <c r="A2354" s="54" t="n">
        <v>20260711</v>
      </c>
      <c r="B2354" s="54" t="s">
        <v>289</v>
      </c>
      <c r="C2354" s="54" t="s">
        <v>290</v>
      </c>
      <c r="D2354" s="54" t="s">
        <v>998</v>
      </c>
      <c r="E2354" s="54" t="s">
        <v>999</v>
      </c>
      <c r="F2354" s="54" t="s">
        <v>5298</v>
      </c>
      <c r="G2354" s="54" t="s">
        <v>5297</v>
      </c>
      <c r="H2354" s="54" t="n">
        <v>7578</v>
      </c>
      <c r="I2354" s="54" t="s">
        <v>360</v>
      </c>
      <c r="J2354" s="54" t="s">
        <v>852</v>
      </c>
    </row>
    <row r="2355" customFormat="false" ht="15" hidden="false" customHeight="true" outlineLevel="0" collapsed="false">
      <c r="A2355" s="54" t="n">
        <v>20260711</v>
      </c>
      <c r="B2355" s="54" t="s">
        <v>289</v>
      </c>
      <c r="C2355" s="54" t="s">
        <v>290</v>
      </c>
      <c r="D2355" s="54" t="s">
        <v>1012</v>
      </c>
      <c r="E2355" s="54" t="s">
        <v>1013</v>
      </c>
      <c r="F2355" s="54" t="s">
        <v>5299</v>
      </c>
      <c r="G2355" s="54" t="s">
        <v>5300</v>
      </c>
      <c r="H2355" s="54" t="n">
        <v>4</v>
      </c>
      <c r="I2355" s="54" t="s">
        <v>295</v>
      </c>
      <c r="J2355" s="54" t="s">
        <v>1016</v>
      </c>
    </row>
    <row r="2356" customFormat="false" ht="15" hidden="false" customHeight="true" outlineLevel="0" collapsed="false">
      <c r="A2356" s="54" t="n">
        <v>20260711</v>
      </c>
      <c r="B2356" s="54" t="s">
        <v>289</v>
      </c>
      <c r="C2356" s="54" t="s">
        <v>290</v>
      </c>
      <c r="D2356" s="54" t="s">
        <v>1012</v>
      </c>
      <c r="E2356" s="54" t="s">
        <v>1013</v>
      </c>
      <c r="F2356" s="54" t="s">
        <v>5301</v>
      </c>
      <c r="G2356" s="54" t="s">
        <v>5302</v>
      </c>
      <c r="H2356" s="54" t="n">
        <v>18636</v>
      </c>
      <c r="I2356" s="54" t="s">
        <v>295</v>
      </c>
      <c r="J2356" s="54" t="s">
        <v>1016</v>
      </c>
    </row>
    <row r="2357" customFormat="false" ht="15" hidden="false" customHeight="true" outlineLevel="0" collapsed="false">
      <c r="A2357" s="54" t="n">
        <v>20260711</v>
      </c>
      <c r="B2357" s="54" t="s">
        <v>289</v>
      </c>
      <c r="C2357" s="54" t="s">
        <v>290</v>
      </c>
      <c r="D2357" s="54" t="s">
        <v>1012</v>
      </c>
      <c r="E2357" s="54" t="s">
        <v>1013</v>
      </c>
      <c r="F2357" s="54" t="s">
        <v>5303</v>
      </c>
      <c r="G2357" s="54" t="s">
        <v>5304</v>
      </c>
      <c r="H2357" s="54" t="n">
        <v>11235</v>
      </c>
      <c r="I2357" s="54" t="s">
        <v>295</v>
      </c>
      <c r="J2357" s="54" t="s">
        <v>1016</v>
      </c>
    </row>
    <row r="2358" customFormat="false" ht="15" hidden="false" customHeight="true" outlineLevel="0" collapsed="false">
      <c r="A2358" s="54" t="n">
        <v>20260711</v>
      </c>
      <c r="B2358" s="54" t="s">
        <v>289</v>
      </c>
      <c r="C2358" s="54" t="s">
        <v>290</v>
      </c>
      <c r="D2358" s="54" t="s">
        <v>1030</v>
      </c>
      <c r="E2358" s="54" t="s">
        <v>1031</v>
      </c>
      <c r="F2358" s="54" t="s">
        <v>5305</v>
      </c>
      <c r="G2358" s="54" t="s">
        <v>5306</v>
      </c>
      <c r="H2358" s="54" t="n">
        <v>29</v>
      </c>
      <c r="I2358" s="54" t="s">
        <v>295</v>
      </c>
      <c r="J2358" s="54" t="s">
        <v>303</v>
      </c>
    </row>
    <row r="2359" customFormat="false" ht="15" hidden="false" customHeight="true" outlineLevel="0" collapsed="false">
      <c r="A2359" s="54" t="n">
        <v>20260711</v>
      </c>
      <c r="B2359" s="54" t="s">
        <v>289</v>
      </c>
      <c r="C2359" s="54" t="s">
        <v>290</v>
      </c>
      <c r="D2359" s="54" t="s">
        <v>1030</v>
      </c>
      <c r="E2359" s="54" t="s">
        <v>1031</v>
      </c>
      <c r="F2359" s="54" t="s">
        <v>5307</v>
      </c>
      <c r="G2359" s="54" t="s">
        <v>5308</v>
      </c>
      <c r="H2359" s="54" t="n">
        <v>19967</v>
      </c>
      <c r="I2359" s="54" t="s">
        <v>295</v>
      </c>
      <c r="J2359" s="54" t="s">
        <v>303</v>
      </c>
    </row>
    <row r="2360" customFormat="false" ht="15" hidden="false" customHeight="true" outlineLevel="0" collapsed="false">
      <c r="A2360" s="54" t="n">
        <v>20260711</v>
      </c>
      <c r="B2360" s="54" t="s">
        <v>289</v>
      </c>
      <c r="C2360" s="54" t="s">
        <v>290</v>
      </c>
      <c r="D2360" s="54" t="s">
        <v>1030</v>
      </c>
      <c r="E2360" s="54" t="s">
        <v>1031</v>
      </c>
      <c r="F2360" s="54" t="s">
        <v>5309</v>
      </c>
      <c r="G2360" s="54" t="s">
        <v>5310</v>
      </c>
      <c r="H2360" s="54" t="n">
        <v>10</v>
      </c>
      <c r="I2360" s="54" t="s">
        <v>295</v>
      </c>
      <c r="J2360" s="54" t="s">
        <v>303</v>
      </c>
    </row>
    <row r="2361" customFormat="false" ht="15" hidden="false" customHeight="true" outlineLevel="0" collapsed="false">
      <c r="A2361" s="54" t="n">
        <v>20260711</v>
      </c>
      <c r="B2361" s="54" t="s">
        <v>289</v>
      </c>
      <c r="C2361" s="54" t="s">
        <v>290</v>
      </c>
      <c r="D2361" s="54" t="s">
        <v>1030</v>
      </c>
      <c r="E2361" s="54" t="s">
        <v>1031</v>
      </c>
      <c r="F2361" s="54" t="s">
        <v>5311</v>
      </c>
      <c r="G2361" s="54" t="s">
        <v>5312</v>
      </c>
      <c r="H2361" s="54" t="n">
        <v>13298</v>
      </c>
      <c r="I2361" s="54" t="s">
        <v>295</v>
      </c>
      <c r="J2361" s="54" t="s">
        <v>303</v>
      </c>
    </row>
    <row r="2362" customFormat="false" ht="15" hidden="false" customHeight="true" outlineLevel="0" collapsed="false">
      <c r="A2362" s="54" t="n">
        <v>20260711</v>
      </c>
      <c r="B2362" s="54" t="s">
        <v>688</v>
      </c>
      <c r="C2362" s="54" t="s">
        <v>307</v>
      </c>
      <c r="D2362" s="54" t="s">
        <v>1038</v>
      </c>
      <c r="E2362" s="54" t="s">
        <v>1039</v>
      </c>
      <c r="F2362" s="54" t="s">
        <v>5313</v>
      </c>
      <c r="G2362" s="54" t="s">
        <v>5314</v>
      </c>
      <c r="H2362" s="54" t="n">
        <v>17883</v>
      </c>
      <c r="I2362" s="54" t="s">
        <v>295</v>
      </c>
      <c r="J2362" s="54" t="s">
        <v>142</v>
      </c>
    </row>
    <row r="2363" customFormat="false" ht="15" hidden="false" customHeight="true" outlineLevel="0" collapsed="false">
      <c r="A2363" s="54" t="n">
        <v>20260711</v>
      </c>
      <c r="B2363" s="54" t="s">
        <v>688</v>
      </c>
      <c r="C2363" s="54" t="s">
        <v>307</v>
      </c>
      <c r="D2363" s="54" t="s">
        <v>1038</v>
      </c>
      <c r="E2363" s="54" t="s">
        <v>1039</v>
      </c>
      <c r="F2363" s="54" t="s">
        <v>5315</v>
      </c>
      <c r="G2363" s="54" t="s">
        <v>5316</v>
      </c>
      <c r="H2363" s="54" t="n">
        <v>10805</v>
      </c>
      <c r="I2363" s="54" t="s">
        <v>295</v>
      </c>
      <c r="J2363" s="54" t="s">
        <v>142</v>
      </c>
    </row>
    <row r="2364" customFormat="false" ht="15" hidden="false" customHeight="true" outlineLevel="0" collapsed="false">
      <c r="A2364" s="54" t="n">
        <v>20260711</v>
      </c>
      <c r="B2364" s="54" t="s">
        <v>306</v>
      </c>
      <c r="C2364" s="54" t="s">
        <v>290</v>
      </c>
      <c r="D2364" s="54" t="s">
        <v>1063</v>
      </c>
      <c r="E2364" s="54" t="s">
        <v>1064</v>
      </c>
      <c r="F2364" s="54" t="s">
        <v>5317</v>
      </c>
      <c r="G2364" s="54" t="s">
        <v>5318</v>
      </c>
      <c r="H2364" s="54" t="n">
        <v>21597</v>
      </c>
      <c r="I2364" s="54" t="s">
        <v>295</v>
      </c>
      <c r="J2364" s="54" t="s">
        <v>1067</v>
      </c>
    </row>
    <row r="2365" customFormat="false" ht="15" hidden="false" customHeight="true" outlineLevel="0" collapsed="false">
      <c r="A2365" s="54" t="n">
        <v>20260711</v>
      </c>
      <c r="B2365" s="54" t="s">
        <v>306</v>
      </c>
      <c r="C2365" s="54" t="s">
        <v>307</v>
      </c>
      <c r="D2365" s="54" t="s">
        <v>1086</v>
      </c>
      <c r="E2365" s="54" t="s">
        <v>1087</v>
      </c>
      <c r="F2365" s="54" t="s">
        <v>5319</v>
      </c>
      <c r="G2365" s="54" t="s">
        <v>5320</v>
      </c>
      <c r="H2365" s="54" t="n">
        <v>21662</v>
      </c>
      <c r="I2365" s="54" t="s">
        <v>295</v>
      </c>
      <c r="J2365" s="54" t="s">
        <v>312</v>
      </c>
    </row>
    <row r="2366" customFormat="false" ht="15" hidden="false" customHeight="true" outlineLevel="0" collapsed="false">
      <c r="A2366" s="54" t="n">
        <v>20260711</v>
      </c>
      <c r="B2366" s="54" t="s">
        <v>497</v>
      </c>
      <c r="C2366" s="54" t="s">
        <v>290</v>
      </c>
      <c r="D2366" s="54" t="s">
        <v>1091</v>
      </c>
      <c r="E2366" s="54" t="s">
        <v>1092</v>
      </c>
      <c r="F2366" s="54" t="s">
        <v>5321</v>
      </c>
      <c r="G2366" s="54" t="s">
        <v>5322</v>
      </c>
      <c r="H2366" s="54" t="n">
        <v>14437</v>
      </c>
      <c r="I2366" s="54" t="s">
        <v>295</v>
      </c>
      <c r="J2366" s="54" t="s">
        <v>1095</v>
      </c>
    </row>
    <row r="2367" customFormat="false" ht="15" hidden="false" customHeight="true" outlineLevel="0" collapsed="false">
      <c r="A2367" s="54" t="n">
        <v>20260711</v>
      </c>
      <c r="B2367" s="54" t="s">
        <v>168</v>
      </c>
      <c r="C2367" s="54" t="s">
        <v>290</v>
      </c>
      <c r="D2367" s="54" t="s">
        <v>1100</v>
      </c>
      <c r="E2367" s="54" t="s">
        <v>1101</v>
      </c>
      <c r="F2367" s="54" t="s">
        <v>5323</v>
      </c>
      <c r="G2367" s="54" t="s">
        <v>5324</v>
      </c>
      <c r="H2367" s="54" t="n">
        <v>16477</v>
      </c>
      <c r="I2367" s="54" t="s">
        <v>295</v>
      </c>
      <c r="J2367" s="54" t="s">
        <v>818</v>
      </c>
    </row>
    <row r="2368" customFormat="false" ht="15" hidden="false" customHeight="true" outlineLevel="0" collapsed="false">
      <c r="A2368" s="54" t="n">
        <v>20260711</v>
      </c>
      <c r="B2368" s="54" t="s">
        <v>168</v>
      </c>
      <c r="C2368" s="54" t="s">
        <v>290</v>
      </c>
      <c r="D2368" s="54" t="s">
        <v>1100</v>
      </c>
      <c r="E2368" s="54" t="s">
        <v>1101</v>
      </c>
      <c r="F2368" s="54" t="s">
        <v>5325</v>
      </c>
      <c r="G2368" s="54" t="s">
        <v>5326</v>
      </c>
      <c r="H2368" s="54" t="n">
        <v>10211</v>
      </c>
      <c r="I2368" s="54" t="s">
        <v>295</v>
      </c>
      <c r="J2368" s="54" t="s">
        <v>818</v>
      </c>
    </row>
    <row r="2369" customFormat="false" ht="15" hidden="false" customHeight="true" outlineLevel="0" collapsed="false">
      <c r="A2369" s="54" t="n">
        <v>20260711</v>
      </c>
      <c r="B2369" s="54" t="s">
        <v>306</v>
      </c>
      <c r="C2369" s="54" t="s">
        <v>307</v>
      </c>
      <c r="D2369" s="54" t="s">
        <v>1107</v>
      </c>
      <c r="E2369" s="54" t="s">
        <v>1108</v>
      </c>
      <c r="F2369" s="54" t="s">
        <v>5327</v>
      </c>
      <c r="G2369" s="54" t="s">
        <v>5328</v>
      </c>
      <c r="H2369" s="54" t="n">
        <v>3901</v>
      </c>
      <c r="I2369" s="54" t="s">
        <v>295</v>
      </c>
      <c r="J2369" s="54" t="s">
        <v>312</v>
      </c>
    </row>
    <row r="2370" customFormat="false" ht="15" hidden="false" customHeight="true" outlineLevel="0" collapsed="false">
      <c r="A2370" s="54" t="n">
        <v>20260711</v>
      </c>
      <c r="B2370" s="54" t="s">
        <v>306</v>
      </c>
      <c r="C2370" s="54" t="s">
        <v>307</v>
      </c>
      <c r="D2370" s="54" t="s">
        <v>1107</v>
      </c>
      <c r="E2370" s="54" t="s">
        <v>1108</v>
      </c>
      <c r="F2370" s="54" t="s">
        <v>5329</v>
      </c>
      <c r="G2370" s="54" t="s">
        <v>5330</v>
      </c>
      <c r="H2370" s="54" t="n">
        <v>17410</v>
      </c>
      <c r="I2370" s="54" t="s">
        <v>295</v>
      </c>
      <c r="J2370" s="54" t="s">
        <v>312</v>
      </c>
    </row>
    <row r="2371" customFormat="false" ht="15" hidden="false" customHeight="true" outlineLevel="0" collapsed="false">
      <c r="A2371" s="54" t="n">
        <v>20260711</v>
      </c>
      <c r="B2371" s="54" t="s">
        <v>688</v>
      </c>
      <c r="C2371" s="54" t="s">
        <v>307</v>
      </c>
      <c r="D2371" s="54" t="s">
        <v>5331</v>
      </c>
      <c r="E2371" s="54" t="s">
        <v>5332</v>
      </c>
      <c r="F2371" s="54" t="s">
        <v>5333</v>
      </c>
      <c r="G2371" s="54" t="s">
        <v>5334</v>
      </c>
      <c r="H2371" s="54" t="n">
        <v>3152</v>
      </c>
      <c r="I2371" s="54" t="s">
        <v>295</v>
      </c>
      <c r="J2371" s="54" t="s">
        <v>693</v>
      </c>
    </row>
    <row r="2372" customFormat="false" ht="15" hidden="false" customHeight="true" outlineLevel="0" collapsed="false">
      <c r="A2372" s="54" t="n">
        <v>20260711</v>
      </c>
      <c r="B2372" s="54" t="s">
        <v>688</v>
      </c>
      <c r="C2372" s="54" t="s">
        <v>307</v>
      </c>
      <c r="D2372" s="54" t="s">
        <v>5331</v>
      </c>
      <c r="E2372" s="54" t="s">
        <v>5332</v>
      </c>
      <c r="F2372" s="54" t="s">
        <v>5335</v>
      </c>
      <c r="G2372" s="54" t="s">
        <v>5336</v>
      </c>
      <c r="H2372" s="54" t="n">
        <v>498</v>
      </c>
      <c r="I2372" s="54" t="s">
        <v>295</v>
      </c>
      <c r="J2372" s="54" t="s">
        <v>693</v>
      </c>
    </row>
    <row r="2373" customFormat="false" ht="15" hidden="false" customHeight="true" outlineLevel="0" collapsed="false">
      <c r="A2373" s="54" t="n">
        <v>20260711</v>
      </c>
      <c r="B2373" s="54" t="s">
        <v>688</v>
      </c>
      <c r="C2373" s="54" t="s">
        <v>307</v>
      </c>
      <c r="D2373" s="54" t="s">
        <v>5331</v>
      </c>
      <c r="E2373" s="54" t="s">
        <v>5332</v>
      </c>
      <c r="F2373" s="54" t="s">
        <v>5337</v>
      </c>
      <c r="G2373" s="54" t="s">
        <v>5338</v>
      </c>
      <c r="H2373" s="54" t="n">
        <v>8707</v>
      </c>
      <c r="I2373" s="54" t="s">
        <v>295</v>
      </c>
      <c r="J2373" s="54" t="s">
        <v>693</v>
      </c>
    </row>
    <row r="2374" customFormat="false" ht="15" hidden="false" customHeight="true" outlineLevel="0" collapsed="false">
      <c r="A2374" s="54" t="n">
        <v>20260711</v>
      </c>
      <c r="B2374" s="54" t="s">
        <v>688</v>
      </c>
      <c r="C2374" s="54" t="s">
        <v>307</v>
      </c>
      <c r="D2374" s="54" t="s">
        <v>5331</v>
      </c>
      <c r="E2374" s="54" t="s">
        <v>5332</v>
      </c>
      <c r="F2374" s="54" t="s">
        <v>5339</v>
      </c>
      <c r="G2374" s="54" t="s">
        <v>5340</v>
      </c>
      <c r="H2374" s="54" t="n">
        <v>6250</v>
      </c>
      <c r="I2374" s="54" t="s">
        <v>295</v>
      </c>
      <c r="J2374" s="54" t="s">
        <v>693</v>
      </c>
    </row>
    <row r="2375" customFormat="false" ht="15" hidden="false" customHeight="true" outlineLevel="0" collapsed="false">
      <c r="A2375" s="54" t="n">
        <v>20260711</v>
      </c>
      <c r="B2375" s="54" t="s">
        <v>688</v>
      </c>
      <c r="C2375" s="54" t="s">
        <v>307</v>
      </c>
      <c r="D2375" s="54" t="s">
        <v>5331</v>
      </c>
      <c r="E2375" s="54" t="s">
        <v>5332</v>
      </c>
      <c r="F2375" s="54" t="s">
        <v>5341</v>
      </c>
      <c r="G2375" s="54" t="s">
        <v>5342</v>
      </c>
      <c r="H2375" s="54" t="n">
        <v>12936</v>
      </c>
      <c r="I2375" s="54" t="s">
        <v>295</v>
      </c>
      <c r="J2375" s="54" t="s">
        <v>693</v>
      </c>
    </row>
    <row r="2376" customFormat="false" ht="15" hidden="false" customHeight="true" outlineLevel="0" collapsed="false">
      <c r="A2376" s="54" t="n">
        <v>20260711</v>
      </c>
      <c r="B2376" s="54" t="s">
        <v>688</v>
      </c>
      <c r="C2376" s="54" t="s">
        <v>307</v>
      </c>
      <c r="D2376" s="54" t="s">
        <v>5331</v>
      </c>
      <c r="E2376" s="54" t="s">
        <v>5332</v>
      </c>
      <c r="F2376" s="54" t="s">
        <v>5343</v>
      </c>
      <c r="G2376" s="54" t="s">
        <v>5344</v>
      </c>
      <c r="H2376" s="54" t="n">
        <v>955</v>
      </c>
      <c r="I2376" s="54" t="s">
        <v>295</v>
      </c>
      <c r="J2376" s="54" t="s">
        <v>693</v>
      </c>
    </row>
    <row r="2377" customFormat="false" ht="15" hidden="false" customHeight="true" outlineLevel="0" collapsed="false">
      <c r="A2377" s="54" t="n">
        <v>20260711</v>
      </c>
      <c r="B2377" s="54" t="s">
        <v>306</v>
      </c>
      <c r="C2377" s="54" t="s">
        <v>307</v>
      </c>
      <c r="D2377" s="54" t="s">
        <v>5345</v>
      </c>
      <c r="E2377" s="54" t="s">
        <v>5346</v>
      </c>
      <c r="F2377" s="54" t="s">
        <v>5347</v>
      </c>
      <c r="G2377" s="54" t="s">
        <v>5348</v>
      </c>
      <c r="H2377" s="54" t="n">
        <v>22111</v>
      </c>
      <c r="I2377" s="54" t="s">
        <v>295</v>
      </c>
      <c r="J2377" s="54" t="s">
        <v>2347</v>
      </c>
    </row>
    <row r="2378" customFormat="false" ht="15" hidden="false" customHeight="true" outlineLevel="0" collapsed="false">
      <c r="A2378" s="54" t="n">
        <v>20260711</v>
      </c>
      <c r="B2378" s="54" t="s">
        <v>497</v>
      </c>
      <c r="C2378" s="54" t="s">
        <v>290</v>
      </c>
      <c r="D2378" s="54" t="s">
        <v>1135</v>
      </c>
      <c r="E2378" s="54" t="s">
        <v>1136</v>
      </c>
      <c r="F2378" s="54" t="s">
        <v>5349</v>
      </c>
      <c r="G2378" s="54" t="s">
        <v>5350</v>
      </c>
      <c r="H2378" s="54" t="n">
        <v>14374</v>
      </c>
      <c r="I2378" s="54" t="s">
        <v>295</v>
      </c>
      <c r="J2378" s="54" t="s">
        <v>1095</v>
      </c>
    </row>
    <row r="2379" customFormat="false" ht="15" hidden="false" customHeight="true" outlineLevel="0" collapsed="false">
      <c r="A2379" s="54" t="n">
        <v>20260711</v>
      </c>
      <c r="B2379" s="54" t="s">
        <v>306</v>
      </c>
      <c r="C2379" s="54" t="s">
        <v>307</v>
      </c>
      <c r="D2379" s="54" t="s">
        <v>1140</v>
      </c>
      <c r="E2379" s="54" t="s">
        <v>1141</v>
      </c>
      <c r="F2379" s="54" t="s">
        <v>5351</v>
      </c>
      <c r="G2379" s="54" t="s">
        <v>5352</v>
      </c>
      <c r="H2379" s="54" t="n">
        <v>21695</v>
      </c>
      <c r="I2379" s="54" t="s">
        <v>295</v>
      </c>
      <c r="J2379" s="54" t="s">
        <v>312</v>
      </c>
    </row>
    <row r="2380" customFormat="false" ht="15" hidden="false" customHeight="true" outlineLevel="0" collapsed="false">
      <c r="A2380" s="54" t="n">
        <v>20260711</v>
      </c>
      <c r="B2380" s="54" t="s">
        <v>306</v>
      </c>
      <c r="C2380" s="54" t="s">
        <v>307</v>
      </c>
      <c r="D2380" s="54" t="s">
        <v>1140</v>
      </c>
      <c r="E2380" s="54" t="s">
        <v>1141</v>
      </c>
      <c r="F2380" s="54" t="s">
        <v>5353</v>
      </c>
      <c r="G2380" s="54" t="s">
        <v>5352</v>
      </c>
      <c r="H2380" s="54" t="n">
        <v>21694</v>
      </c>
      <c r="I2380" s="54" t="s">
        <v>315</v>
      </c>
      <c r="J2380" s="54" t="s">
        <v>312</v>
      </c>
    </row>
    <row r="2381" customFormat="false" ht="15" hidden="false" customHeight="true" outlineLevel="0" collapsed="false">
      <c r="A2381" s="54" t="n">
        <v>20260711</v>
      </c>
      <c r="B2381" s="54" t="s">
        <v>497</v>
      </c>
      <c r="C2381" s="54" t="s">
        <v>290</v>
      </c>
      <c r="D2381" s="54" t="s">
        <v>1151</v>
      </c>
      <c r="E2381" s="54" t="s">
        <v>1152</v>
      </c>
      <c r="F2381" s="54" t="s">
        <v>5354</v>
      </c>
      <c r="G2381" s="54" t="s">
        <v>5355</v>
      </c>
      <c r="H2381" s="54" t="n">
        <v>3</v>
      </c>
      <c r="I2381" s="54" t="s">
        <v>295</v>
      </c>
      <c r="J2381" s="54" t="s">
        <v>1095</v>
      </c>
    </row>
    <row r="2382" customFormat="false" ht="15" hidden="false" customHeight="true" outlineLevel="0" collapsed="false">
      <c r="A2382" s="54" t="n">
        <v>20260711</v>
      </c>
      <c r="B2382" s="54" t="s">
        <v>497</v>
      </c>
      <c r="C2382" s="54" t="s">
        <v>290</v>
      </c>
      <c r="D2382" s="54" t="s">
        <v>1151</v>
      </c>
      <c r="E2382" s="54" t="s">
        <v>1152</v>
      </c>
      <c r="F2382" s="54" t="s">
        <v>5356</v>
      </c>
      <c r="G2382" s="54" t="s">
        <v>5357</v>
      </c>
      <c r="H2382" s="54" t="n">
        <v>14450</v>
      </c>
      <c r="I2382" s="54" t="s">
        <v>295</v>
      </c>
      <c r="J2382" s="54" t="s">
        <v>1095</v>
      </c>
    </row>
    <row r="2383" customFormat="false" ht="15" hidden="false" customHeight="true" outlineLevel="0" collapsed="false">
      <c r="A2383" s="54" t="n">
        <v>20260711</v>
      </c>
      <c r="B2383" s="54" t="s">
        <v>289</v>
      </c>
      <c r="C2383" s="54" t="s">
        <v>290</v>
      </c>
      <c r="D2383" s="54" t="s">
        <v>5358</v>
      </c>
      <c r="E2383" s="54" t="s">
        <v>5359</v>
      </c>
      <c r="F2383" s="54" t="s">
        <v>5360</v>
      </c>
      <c r="G2383" s="54" t="s">
        <v>5361</v>
      </c>
      <c r="H2383" s="54" t="n">
        <v>25887</v>
      </c>
      <c r="I2383" s="54" t="s">
        <v>295</v>
      </c>
      <c r="J2383" s="54" t="s">
        <v>414</v>
      </c>
    </row>
    <row r="2384" customFormat="false" ht="15" hidden="false" customHeight="true" outlineLevel="0" collapsed="false">
      <c r="A2384" s="54" t="n">
        <v>20260711</v>
      </c>
      <c r="B2384" s="54" t="s">
        <v>306</v>
      </c>
      <c r="C2384" s="54" t="s">
        <v>290</v>
      </c>
      <c r="D2384" s="54" t="s">
        <v>1165</v>
      </c>
      <c r="E2384" s="54" t="s">
        <v>1166</v>
      </c>
      <c r="F2384" s="54" t="s">
        <v>5362</v>
      </c>
      <c r="G2384" s="54" t="s">
        <v>5363</v>
      </c>
      <c r="H2384" s="54" t="n">
        <v>11001</v>
      </c>
      <c r="I2384" s="54" t="s">
        <v>315</v>
      </c>
      <c r="J2384" s="54" t="s">
        <v>352</v>
      </c>
    </row>
    <row r="2385" customFormat="false" ht="15" hidden="false" customHeight="true" outlineLevel="0" collapsed="false">
      <c r="A2385" s="54" t="n">
        <v>20260711</v>
      </c>
      <c r="B2385" s="54" t="s">
        <v>306</v>
      </c>
      <c r="C2385" s="54" t="s">
        <v>290</v>
      </c>
      <c r="D2385" s="54" t="s">
        <v>1165</v>
      </c>
      <c r="E2385" s="54" t="s">
        <v>1166</v>
      </c>
      <c r="F2385" s="54" t="s">
        <v>5362</v>
      </c>
      <c r="G2385" s="54" t="s">
        <v>5363</v>
      </c>
      <c r="H2385" s="54" t="n">
        <v>11001</v>
      </c>
      <c r="I2385" s="54" t="s">
        <v>295</v>
      </c>
      <c r="J2385" s="54" t="s">
        <v>352</v>
      </c>
    </row>
    <row r="2386" customFormat="false" ht="15" hidden="false" customHeight="true" outlineLevel="0" collapsed="false">
      <c r="A2386" s="54" t="n">
        <v>20260711</v>
      </c>
      <c r="B2386" s="54" t="s">
        <v>306</v>
      </c>
      <c r="C2386" s="54" t="s">
        <v>290</v>
      </c>
      <c r="D2386" s="54" t="s">
        <v>1165</v>
      </c>
      <c r="E2386" s="54" t="s">
        <v>1166</v>
      </c>
      <c r="F2386" s="54" t="s">
        <v>5364</v>
      </c>
      <c r="G2386" s="54" t="s">
        <v>5365</v>
      </c>
      <c r="H2386" s="54" t="n">
        <v>6177</v>
      </c>
      <c r="I2386" s="54" t="s">
        <v>315</v>
      </c>
      <c r="J2386" s="54" t="s">
        <v>352</v>
      </c>
    </row>
    <row r="2387" customFormat="false" ht="15" hidden="false" customHeight="true" outlineLevel="0" collapsed="false">
      <c r="A2387" s="54" t="n">
        <v>20260711</v>
      </c>
      <c r="B2387" s="54" t="s">
        <v>306</v>
      </c>
      <c r="C2387" s="54" t="s">
        <v>290</v>
      </c>
      <c r="D2387" s="54" t="s">
        <v>1165</v>
      </c>
      <c r="E2387" s="54" t="s">
        <v>1166</v>
      </c>
      <c r="F2387" s="54" t="s">
        <v>5364</v>
      </c>
      <c r="G2387" s="54" t="s">
        <v>5365</v>
      </c>
      <c r="H2387" s="54" t="n">
        <v>6177</v>
      </c>
      <c r="I2387" s="54" t="s">
        <v>295</v>
      </c>
      <c r="J2387" s="54" t="s">
        <v>352</v>
      </c>
    </row>
    <row r="2388" customFormat="false" ht="15" hidden="false" customHeight="true" outlineLevel="0" collapsed="false">
      <c r="A2388" s="54" t="n">
        <v>20260711</v>
      </c>
      <c r="B2388" s="54" t="s">
        <v>306</v>
      </c>
      <c r="C2388" s="54" t="s">
        <v>290</v>
      </c>
      <c r="D2388" s="54" t="s">
        <v>1165</v>
      </c>
      <c r="E2388" s="54" t="s">
        <v>1166</v>
      </c>
      <c r="F2388" s="54" t="s">
        <v>5366</v>
      </c>
      <c r="G2388" s="54" t="s">
        <v>5367</v>
      </c>
      <c r="H2388" s="54" t="n">
        <v>387</v>
      </c>
      <c r="I2388" s="54" t="s">
        <v>315</v>
      </c>
      <c r="J2388" s="54" t="s">
        <v>352</v>
      </c>
    </row>
    <row r="2389" customFormat="false" ht="15" hidden="false" customHeight="true" outlineLevel="0" collapsed="false">
      <c r="A2389" s="54" t="n">
        <v>20260711</v>
      </c>
      <c r="B2389" s="54" t="s">
        <v>306</v>
      </c>
      <c r="C2389" s="54" t="s">
        <v>290</v>
      </c>
      <c r="D2389" s="54" t="s">
        <v>1165</v>
      </c>
      <c r="E2389" s="54" t="s">
        <v>1166</v>
      </c>
      <c r="F2389" s="54" t="s">
        <v>5366</v>
      </c>
      <c r="G2389" s="54" t="s">
        <v>5367</v>
      </c>
      <c r="H2389" s="54" t="n">
        <v>387</v>
      </c>
      <c r="I2389" s="54" t="s">
        <v>295</v>
      </c>
      <c r="J2389" s="54" t="s">
        <v>352</v>
      </c>
    </row>
    <row r="2390" customFormat="false" ht="15" hidden="false" customHeight="true" outlineLevel="0" collapsed="false">
      <c r="A2390" s="54" t="n">
        <v>20260711</v>
      </c>
      <c r="B2390" s="54" t="s">
        <v>306</v>
      </c>
      <c r="C2390" s="54" t="s">
        <v>290</v>
      </c>
      <c r="D2390" s="54" t="s">
        <v>1165</v>
      </c>
      <c r="E2390" s="54" t="s">
        <v>1166</v>
      </c>
      <c r="F2390" s="54" t="s">
        <v>5368</v>
      </c>
      <c r="G2390" s="54" t="s">
        <v>5369</v>
      </c>
      <c r="H2390" s="54" t="n">
        <v>6522</v>
      </c>
      <c r="I2390" s="54" t="s">
        <v>295</v>
      </c>
      <c r="J2390" s="54" t="s">
        <v>352</v>
      </c>
    </row>
    <row r="2391" customFormat="false" ht="15" hidden="false" customHeight="true" outlineLevel="0" collapsed="false">
      <c r="A2391" s="54" t="n">
        <v>20260711</v>
      </c>
      <c r="B2391" s="54" t="s">
        <v>306</v>
      </c>
      <c r="C2391" s="54" t="s">
        <v>290</v>
      </c>
      <c r="D2391" s="54" t="s">
        <v>1165</v>
      </c>
      <c r="E2391" s="54" t="s">
        <v>1166</v>
      </c>
      <c r="F2391" s="54" t="s">
        <v>5370</v>
      </c>
      <c r="G2391" s="54" t="s">
        <v>5369</v>
      </c>
      <c r="H2391" s="54" t="n">
        <v>6521</v>
      </c>
      <c r="I2391" s="54" t="s">
        <v>315</v>
      </c>
      <c r="J2391" s="54" t="s">
        <v>352</v>
      </c>
    </row>
    <row r="2392" customFormat="false" ht="15" hidden="false" customHeight="true" outlineLevel="0" collapsed="false">
      <c r="A2392" s="54" t="n">
        <v>20260711</v>
      </c>
      <c r="B2392" s="54" t="s">
        <v>306</v>
      </c>
      <c r="C2392" s="54" t="s">
        <v>290</v>
      </c>
      <c r="D2392" s="54" t="s">
        <v>1165</v>
      </c>
      <c r="E2392" s="54" t="s">
        <v>1166</v>
      </c>
      <c r="F2392" s="54" t="s">
        <v>5371</v>
      </c>
      <c r="G2392" s="54" t="s">
        <v>5372</v>
      </c>
      <c r="H2392" s="54" t="n">
        <v>5276</v>
      </c>
      <c r="I2392" s="54" t="s">
        <v>315</v>
      </c>
      <c r="J2392" s="54" t="s">
        <v>352</v>
      </c>
    </row>
    <row r="2393" customFormat="false" ht="15" hidden="false" customHeight="true" outlineLevel="0" collapsed="false">
      <c r="A2393" s="54" t="n">
        <v>20260711</v>
      </c>
      <c r="B2393" s="54" t="s">
        <v>306</v>
      </c>
      <c r="C2393" s="54" t="s">
        <v>290</v>
      </c>
      <c r="D2393" s="54" t="s">
        <v>1165</v>
      </c>
      <c r="E2393" s="54" t="s">
        <v>1166</v>
      </c>
      <c r="F2393" s="54" t="s">
        <v>5371</v>
      </c>
      <c r="G2393" s="54" t="s">
        <v>5372</v>
      </c>
      <c r="H2393" s="54" t="n">
        <v>5276</v>
      </c>
      <c r="I2393" s="54" t="s">
        <v>295</v>
      </c>
      <c r="J2393" s="54" t="s">
        <v>352</v>
      </c>
    </row>
    <row r="2394" customFormat="false" ht="15" hidden="false" customHeight="true" outlineLevel="0" collapsed="false">
      <c r="A2394" s="54" t="n">
        <v>20260711</v>
      </c>
      <c r="B2394" s="54" t="s">
        <v>289</v>
      </c>
      <c r="C2394" s="54" t="s">
        <v>290</v>
      </c>
      <c r="D2394" s="54" t="s">
        <v>1173</v>
      </c>
      <c r="E2394" s="54" t="s">
        <v>1174</v>
      </c>
      <c r="F2394" s="54" t="s">
        <v>5373</v>
      </c>
      <c r="G2394" s="54" t="s">
        <v>5374</v>
      </c>
      <c r="H2394" s="54" t="n">
        <v>5</v>
      </c>
      <c r="I2394" s="54" t="s">
        <v>295</v>
      </c>
      <c r="J2394" s="54" t="s">
        <v>459</v>
      </c>
    </row>
    <row r="2395" customFormat="false" ht="15" hidden="false" customHeight="true" outlineLevel="0" collapsed="false">
      <c r="A2395" s="54" t="n">
        <v>20260711</v>
      </c>
      <c r="B2395" s="54" t="s">
        <v>289</v>
      </c>
      <c r="C2395" s="54" t="s">
        <v>290</v>
      </c>
      <c r="D2395" s="54" t="s">
        <v>1173</v>
      </c>
      <c r="E2395" s="54" t="s">
        <v>1174</v>
      </c>
      <c r="F2395" s="54" t="s">
        <v>5175</v>
      </c>
      <c r="G2395" s="54" t="s">
        <v>5375</v>
      </c>
      <c r="H2395" s="54" t="n">
        <v>10859</v>
      </c>
      <c r="I2395" s="54" t="s">
        <v>295</v>
      </c>
      <c r="J2395" s="54" t="s">
        <v>459</v>
      </c>
    </row>
    <row r="2396" customFormat="false" ht="15" hidden="false" customHeight="true" outlineLevel="0" collapsed="false">
      <c r="A2396" s="54" t="n">
        <v>20260711</v>
      </c>
      <c r="B2396" s="54" t="s">
        <v>289</v>
      </c>
      <c r="C2396" s="54" t="s">
        <v>290</v>
      </c>
      <c r="D2396" s="54" t="s">
        <v>1173</v>
      </c>
      <c r="E2396" s="54" t="s">
        <v>1174</v>
      </c>
      <c r="F2396" s="54" t="s">
        <v>5376</v>
      </c>
      <c r="G2396" s="54" t="s">
        <v>5178</v>
      </c>
      <c r="H2396" s="54" t="n">
        <v>17982</v>
      </c>
      <c r="I2396" s="54" t="s">
        <v>295</v>
      </c>
      <c r="J2396" s="54" t="s">
        <v>459</v>
      </c>
    </row>
    <row r="2397" customFormat="false" ht="15" hidden="false" customHeight="true" outlineLevel="0" collapsed="false">
      <c r="A2397" s="54" t="n">
        <v>20260711</v>
      </c>
      <c r="B2397" s="54" t="s">
        <v>289</v>
      </c>
      <c r="C2397" s="54" t="s">
        <v>307</v>
      </c>
      <c r="D2397" s="54" t="s">
        <v>5377</v>
      </c>
      <c r="E2397" s="54" t="s">
        <v>5378</v>
      </c>
      <c r="F2397" s="54" t="s">
        <v>5379</v>
      </c>
      <c r="G2397" s="54" t="s">
        <v>5380</v>
      </c>
      <c r="H2397" s="54" t="n">
        <v>24135</v>
      </c>
      <c r="I2397" s="54" t="s">
        <v>295</v>
      </c>
      <c r="J2397" s="54" t="s">
        <v>1659</v>
      </c>
    </row>
    <row r="2398" customFormat="false" ht="15" hidden="false" customHeight="true" outlineLevel="0" collapsed="false">
      <c r="A2398" s="54" t="n">
        <v>20260711</v>
      </c>
      <c r="B2398" s="54" t="s">
        <v>289</v>
      </c>
      <c r="C2398" s="54" t="s">
        <v>307</v>
      </c>
      <c r="D2398" s="54" t="s">
        <v>5377</v>
      </c>
      <c r="E2398" s="54" t="s">
        <v>5378</v>
      </c>
      <c r="F2398" s="54" t="s">
        <v>5381</v>
      </c>
      <c r="G2398" s="54" t="s">
        <v>5282</v>
      </c>
      <c r="H2398" s="54" t="n">
        <v>4668</v>
      </c>
      <c r="I2398" s="54" t="s">
        <v>295</v>
      </c>
      <c r="J2398" s="54" t="s">
        <v>1659</v>
      </c>
    </row>
    <row r="2399" customFormat="false" ht="15" hidden="false" customHeight="true" outlineLevel="0" collapsed="false">
      <c r="A2399" s="54" t="n">
        <v>20260711</v>
      </c>
      <c r="B2399" s="54" t="s">
        <v>306</v>
      </c>
      <c r="C2399" s="54" t="s">
        <v>290</v>
      </c>
      <c r="D2399" s="54" t="s">
        <v>5382</v>
      </c>
      <c r="E2399" s="54" t="s">
        <v>5383</v>
      </c>
      <c r="F2399" s="54" t="s">
        <v>5203</v>
      </c>
      <c r="G2399" s="54" t="s">
        <v>5384</v>
      </c>
      <c r="H2399" s="54" t="n">
        <v>7838</v>
      </c>
      <c r="I2399" s="54" t="s">
        <v>315</v>
      </c>
      <c r="J2399" s="54" t="s">
        <v>368</v>
      </c>
    </row>
    <row r="2400" customFormat="false" ht="15" hidden="false" customHeight="true" outlineLevel="0" collapsed="false">
      <c r="A2400" s="54" t="n">
        <v>20260711</v>
      </c>
      <c r="B2400" s="54" t="s">
        <v>306</v>
      </c>
      <c r="C2400" s="54" t="s">
        <v>290</v>
      </c>
      <c r="D2400" s="54" t="s">
        <v>5382</v>
      </c>
      <c r="E2400" s="54" t="s">
        <v>5383</v>
      </c>
      <c r="F2400" s="54" t="s">
        <v>5203</v>
      </c>
      <c r="G2400" s="54" t="s">
        <v>5385</v>
      </c>
      <c r="H2400" s="54" t="n">
        <v>7840</v>
      </c>
      <c r="I2400" s="54" t="s">
        <v>295</v>
      </c>
      <c r="J2400" s="54" t="s">
        <v>368</v>
      </c>
    </row>
    <row r="2401" customFormat="false" ht="15" hidden="false" customHeight="true" outlineLevel="0" collapsed="false">
      <c r="A2401" s="54" t="n">
        <v>20260711</v>
      </c>
      <c r="B2401" s="54" t="s">
        <v>306</v>
      </c>
      <c r="C2401" s="54" t="s">
        <v>290</v>
      </c>
      <c r="D2401" s="54" t="s">
        <v>5382</v>
      </c>
      <c r="E2401" s="54" t="s">
        <v>5383</v>
      </c>
      <c r="F2401" s="54" t="s">
        <v>5386</v>
      </c>
      <c r="G2401" s="54" t="s">
        <v>5387</v>
      </c>
      <c r="H2401" s="54" t="n">
        <v>5128</v>
      </c>
      <c r="I2401" s="54" t="s">
        <v>295</v>
      </c>
      <c r="J2401" s="54" t="s">
        <v>368</v>
      </c>
    </row>
    <row r="2402" customFormat="false" ht="15" hidden="false" customHeight="true" outlineLevel="0" collapsed="false">
      <c r="A2402" s="54" t="n">
        <v>20260711</v>
      </c>
      <c r="B2402" s="54" t="s">
        <v>306</v>
      </c>
      <c r="C2402" s="54" t="s">
        <v>290</v>
      </c>
      <c r="D2402" s="54" t="s">
        <v>5382</v>
      </c>
      <c r="E2402" s="54" t="s">
        <v>5383</v>
      </c>
      <c r="F2402" s="54" t="s">
        <v>5388</v>
      </c>
      <c r="G2402" s="54" t="s">
        <v>5320</v>
      </c>
      <c r="H2402" s="54" t="n">
        <v>5029</v>
      </c>
      <c r="I2402" s="54" t="s">
        <v>295</v>
      </c>
      <c r="J2402" s="54" t="s">
        <v>368</v>
      </c>
    </row>
    <row r="2403" customFormat="false" ht="15" hidden="false" customHeight="true" outlineLevel="0" collapsed="false">
      <c r="A2403" s="54" t="n">
        <v>20260711</v>
      </c>
      <c r="B2403" s="54" t="s">
        <v>306</v>
      </c>
      <c r="C2403" s="54" t="s">
        <v>290</v>
      </c>
      <c r="D2403" s="54" t="s">
        <v>5382</v>
      </c>
      <c r="E2403" s="54" t="s">
        <v>5383</v>
      </c>
      <c r="F2403" s="54" t="s">
        <v>5389</v>
      </c>
      <c r="G2403" s="54" t="s">
        <v>5390</v>
      </c>
      <c r="H2403" s="54" t="n">
        <v>14327</v>
      </c>
      <c r="I2403" s="54" t="s">
        <v>315</v>
      </c>
      <c r="J2403" s="54" t="s">
        <v>368</v>
      </c>
    </row>
    <row r="2404" customFormat="false" ht="15" hidden="false" customHeight="true" outlineLevel="0" collapsed="false">
      <c r="A2404" s="54" t="n">
        <v>20260711</v>
      </c>
      <c r="B2404" s="54" t="s">
        <v>306</v>
      </c>
      <c r="C2404" s="54" t="s">
        <v>290</v>
      </c>
      <c r="D2404" s="54" t="s">
        <v>5382</v>
      </c>
      <c r="E2404" s="54" t="s">
        <v>5383</v>
      </c>
      <c r="F2404" s="54" t="s">
        <v>5389</v>
      </c>
      <c r="G2404" s="54" t="s">
        <v>5390</v>
      </c>
      <c r="H2404" s="54" t="n">
        <v>14327</v>
      </c>
      <c r="I2404" s="54" t="s">
        <v>295</v>
      </c>
      <c r="J2404" s="54" t="s">
        <v>368</v>
      </c>
    </row>
    <row r="2405" customFormat="false" ht="15" hidden="false" customHeight="true" outlineLevel="0" collapsed="false">
      <c r="A2405" s="54" t="n">
        <v>20260711</v>
      </c>
      <c r="B2405" s="54" t="s">
        <v>306</v>
      </c>
      <c r="C2405" s="54" t="s">
        <v>290</v>
      </c>
      <c r="D2405" s="54" t="s">
        <v>5382</v>
      </c>
      <c r="E2405" s="54" t="s">
        <v>5383</v>
      </c>
      <c r="F2405" s="54" t="s">
        <v>5391</v>
      </c>
      <c r="G2405" s="54" t="s">
        <v>5392</v>
      </c>
      <c r="H2405" s="54" t="n">
        <v>35</v>
      </c>
      <c r="I2405" s="54" t="s">
        <v>295</v>
      </c>
      <c r="J2405" s="54" t="s">
        <v>368</v>
      </c>
    </row>
    <row r="2406" customFormat="false" ht="15" hidden="false" customHeight="true" outlineLevel="0" collapsed="false">
      <c r="A2406" s="54" t="n">
        <v>20260711</v>
      </c>
      <c r="B2406" s="54" t="s">
        <v>306</v>
      </c>
      <c r="C2406" s="54" t="s">
        <v>290</v>
      </c>
      <c r="D2406" s="54" t="s">
        <v>5382</v>
      </c>
      <c r="E2406" s="54" t="s">
        <v>5383</v>
      </c>
      <c r="F2406" s="54" t="s">
        <v>5393</v>
      </c>
      <c r="G2406" s="54" t="s">
        <v>5394</v>
      </c>
      <c r="H2406" s="54" t="n">
        <v>462</v>
      </c>
      <c r="I2406" s="54" t="s">
        <v>315</v>
      </c>
      <c r="J2406" s="54" t="s">
        <v>368</v>
      </c>
    </row>
    <row r="2407" customFormat="false" ht="15" hidden="false" customHeight="true" outlineLevel="0" collapsed="false">
      <c r="A2407" s="54" t="n">
        <v>20260711</v>
      </c>
      <c r="B2407" s="54" t="s">
        <v>306</v>
      </c>
      <c r="C2407" s="54" t="s">
        <v>290</v>
      </c>
      <c r="D2407" s="54" t="s">
        <v>5382</v>
      </c>
      <c r="E2407" s="54" t="s">
        <v>5383</v>
      </c>
      <c r="F2407" s="54" t="s">
        <v>5395</v>
      </c>
      <c r="G2407" s="54" t="s">
        <v>5396</v>
      </c>
      <c r="H2407" s="54" t="n">
        <v>44</v>
      </c>
      <c r="I2407" s="54" t="s">
        <v>315</v>
      </c>
      <c r="J2407" s="54" t="s">
        <v>368</v>
      </c>
    </row>
    <row r="2408" customFormat="false" ht="15" hidden="false" customHeight="true" outlineLevel="0" collapsed="false">
      <c r="A2408" s="54" t="n">
        <v>20260711</v>
      </c>
      <c r="B2408" s="54" t="s">
        <v>306</v>
      </c>
      <c r="C2408" s="54" t="s">
        <v>290</v>
      </c>
      <c r="D2408" s="54" t="s">
        <v>5382</v>
      </c>
      <c r="E2408" s="54" t="s">
        <v>5383</v>
      </c>
      <c r="F2408" s="54" t="s">
        <v>5395</v>
      </c>
      <c r="G2408" s="54" t="s">
        <v>5396</v>
      </c>
      <c r="H2408" s="54" t="n">
        <v>44</v>
      </c>
      <c r="I2408" s="54" t="s">
        <v>295</v>
      </c>
      <c r="J2408" s="54" t="s">
        <v>368</v>
      </c>
    </row>
    <row r="2409" customFormat="false" ht="15" hidden="false" customHeight="true" outlineLevel="0" collapsed="false">
      <c r="A2409" s="54" t="n">
        <v>20260711</v>
      </c>
      <c r="B2409" s="54" t="s">
        <v>289</v>
      </c>
      <c r="C2409" s="54" t="s">
        <v>307</v>
      </c>
      <c r="D2409" s="54" t="s">
        <v>1187</v>
      </c>
      <c r="E2409" s="54" t="s">
        <v>1188</v>
      </c>
      <c r="F2409" s="54" t="s">
        <v>5397</v>
      </c>
      <c r="G2409" s="54" t="s">
        <v>5398</v>
      </c>
      <c r="H2409" s="54" t="n">
        <v>19393</v>
      </c>
      <c r="I2409" s="54" t="s">
        <v>295</v>
      </c>
      <c r="J2409" s="54" t="s">
        <v>1191</v>
      </c>
    </row>
    <row r="2410" customFormat="false" ht="15" hidden="false" customHeight="true" outlineLevel="0" collapsed="false">
      <c r="A2410" s="54" t="n">
        <v>20260711</v>
      </c>
      <c r="B2410" s="54" t="s">
        <v>289</v>
      </c>
      <c r="C2410" s="54" t="s">
        <v>307</v>
      </c>
      <c r="D2410" s="54" t="s">
        <v>1187</v>
      </c>
      <c r="E2410" s="54" t="s">
        <v>1188</v>
      </c>
      <c r="F2410" s="54" t="s">
        <v>5399</v>
      </c>
      <c r="G2410" s="54" t="s">
        <v>5400</v>
      </c>
      <c r="H2410" s="54" t="n">
        <v>7895</v>
      </c>
      <c r="I2410" s="54" t="s">
        <v>295</v>
      </c>
      <c r="J2410" s="54" t="s">
        <v>1191</v>
      </c>
    </row>
    <row r="2411" customFormat="false" ht="15" hidden="false" customHeight="true" outlineLevel="0" collapsed="false">
      <c r="A2411" s="54" t="n">
        <v>20260711</v>
      </c>
      <c r="B2411" s="54" t="s">
        <v>306</v>
      </c>
      <c r="C2411" s="54" t="s">
        <v>290</v>
      </c>
      <c r="D2411" s="54" t="s">
        <v>1225</v>
      </c>
      <c r="E2411" s="54" t="s">
        <v>1226</v>
      </c>
      <c r="F2411" s="54" t="s">
        <v>5401</v>
      </c>
      <c r="G2411" s="54" t="s">
        <v>5402</v>
      </c>
      <c r="H2411" s="54" t="n">
        <v>21542</v>
      </c>
      <c r="I2411" s="54" t="s">
        <v>295</v>
      </c>
      <c r="J2411" s="54" t="s">
        <v>989</v>
      </c>
    </row>
    <row r="2412" customFormat="false" ht="15" hidden="false" customHeight="true" outlineLevel="0" collapsed="false">
      <c r="A2412" s="54" t="n">
        <v>20260711</v>
      </c>
      <c r="B2412" s="54" t="s">
        <v>289</v>
      </c>
      <c r="C2412" s="54" t="s">
        <v>290</v>
      </c>
      <c r="D2412" s="54" t="s">
        <v>1242</v>
      </c>
      <c r="E2412" s="54" t="s">
        <v>1243</v>
      </c>
      <c r="F2412" s="54" t="s">
        <v>5403</v>
      </c>
      <c r="G2412" s="54" t="s">
        <v>5404</v>
      </c>
      <c r="H2412" s="54" t="n">
        <v>14447</v>
      </c>
      <c r="I2412" s="54" t="s">
        <v>295</v>
      </c>
      <c r="J2412" s="54" t="s">
        <v>459</v>
      </c>
    </row>
    <row r="2413" customFormat="false" ht="15" hidden="false" customHeight="true" outlineLevel="0" collapsed="false">
      <c r="A2413" s="54" t="n">
        <v>20260711</v>
      </c>
      <c r="B2413" s="54" t="s">
        <v>289</v>
      </c>
      <c r="C2413" s="54" t="s">
        <v>290</v>
      </c>
      <c r="D2413" s="54" t="s">
        <v>1242</v>
      </c>
      <c r="E2413" s="54" t="s">
        <v>1243</v>
      </c>
      <c r="F2413" s="54" t="s">
        <v>5405</v>
      </c>
      <c r="G2413" s="54" t="s">
        <v>5406</v>
      </c>
      <c r="H2413" s="54" t="n">
        <v>14445</v>
      </c>
      <c r="I2413" s="54" t="s">
        <v>295</v>
      </c>
      <c r="J2413" s="54" t="s">
        <v>459</v>
      </c>
    </row>
    <row r="2414" customFormat="false" ht="15" hidden="false" customHeight="true" outlineLevel="0" collapsed="false">
      <c r="A2414" s="54" t="n">
        <v>20260711</v>
      </c>
      <c r="B2414" s="54" t="s">
        <v>306</v>
      </c>
      <c r="C2414" s="54" t="s">
        <v>307</v>
      </c>
      <c r="D2414" s="54" t="s">
        <v>1248</v>
      </c>
      <c r="E2414" s="54" t="s">
        <v>1249</v>
      </c>
      <c r="F2414" s="54" t="s">
        <v>5407</v>
      </c>
      <c r="G2414" s="54" t="s">
        <v>5408</v>
      </c>
      <c r="H2414" s="54" t="n">
        <v>4563</v>
      </c>
      <c r="I2414" s="54" t="s">
        <v>295</v>
      </c>
      <c r="J2414" s="54" t="s">
        <v>392</v>
      </c>
    </row>
    <row r="2415" customFormat="false" ht="15" hidden="false" customHeight="true" outlineLevel="0" collapsed="false">
      <c r="A2415" s="54" t="n">
        <v>20260711</v>
      </c>
      <c r="B2415" s="54" t="s">
        <v>306</v>
      </c>
      <c r="C2415" s="54" t="s">
        <v>307</v>
      </c>
      <c r="D2415" s="54" t="s">
        <v>1248</v>
      </c>
      <c r="E2415" s="54" t="s">
        <v>1249</v>
      </c>
      <c r="F2415" s="54" t="s">
        <v>5409</v>
      </c>
      <c r="G2415" s="54" t="s">
        <v>5410</v>
      </c>
      <c r="H2415" s="54" t="n">
        <v>4947</v>
      </c>
      <c r="I2415" s="54" t="s">
        <v>295</v>
      </c>
      <c r="J2415" s="54" t="s">
        <v>392</v>
      </c>
    </row>
    <row r="2416" customFormat="false" ht="15" hidden="false" customHeight="true" outlineLevel="0" collapsed="false">
      <c r="A2416" s="54" t="n">
        <v>20260711</v>
      </c>
      <c r="B2416" s="54" t="s">
        <v>306</v>
      </c>
      <c r="C2416" s="54" t="s">
        <v>307</v>
      </c>
      <c r="D2416" s="54" t="s">
        <v>1248</v>
      </c>
      <c r="E2416" s="54" t="s">
        <v>1249</v>
      </c>
      <c r="F2416" s="54" t="s">
        <v>5411</v>
      </c>
      <c r="G2416" s="54" t="s">
        <v>5412</v>
      </c>
      <c r="H2416" s="54" t="n">
        <v>7080</v>
      </c>
      <c r="I2416" s="54" t="s">
        <v>295</v>
      </c>
      <c r="J2416" s="54" t="s">
        <v>392</v>
      </c>
    </row>
    <row r="2417" customFormat="false" ht="15" hidden="false" customHeight="true" outlineLevel="0" collapsed="false">
      <c r="A2417" s="54" t="n">
        <v>20260711</v>
      </c>
      <c r="B2417" s="54" t="s">
        <v>306</v>
      </c>
      <c r="C2417" s="54" t="s">
        <v>307</v>
      </c>
      <c r="D2417" s="54" t="s">
        <v>1248</v>
      </c>
      <c r="E2417" s="54" t="s">
        <v>1249</v>
      </c>
      <c r="F2417" s="54" t="s">
        <v>5413</v>
      </c>
      <c r="G2417" s="54" t="s">
        <v>5160</v>
      </c>
      <c r="H2417" s="54" t="n">
        <v>4498</v>
      </c>
      <c r="I2417" s="54" t="s">
        <v>295</v>
      </c>
      <c r="J2417" s="54" t="s">
        <v>392</v>
      </c>
    </row>
    <row r="2418" customFormat="false" ht="15" hidden="false" customHeight="true" outlineLevel="0" collapsed="false">
      <c r="A2418" s="54" t="n">
        <v>20260711</v>
      </c>
      <c r="B2418" s="54" t="s">
        <v>306</v>
      </c>
      <c r="C2418" s="54" t="s">
        <v>307</v>
      </c>
      <c r="D2418" s="54" t="s">
        <v>5414</v>
      </c>
      <c r="E2418" s="54" t="s">
        <v>5415</v>
      </c>
      <c r="F2418" s="54" t="s">
        <v>5416</v>
      </c>
      <c r="G2418" s="54" t="s">
        <v>5417</v>
      </c>
      <c r="H2418" s="54" t="n">
        <v>1804</v>
      </c>
      <c r="I2418" s="54" t="s">
        <v>295</v>
      </c>
      <c r="J2418" s="54" t="s">
        <v>2347</v>
      </c>
    </row>
    <row r="2419" customFormat="false" ht="15" hidden="false" customHeight="true" outlineLevel="0" collapsed="false">
      <c r="A2419" s="54" t="n">
        <v>20260711</v>
      </c>
      <c r="B2419" s="54" t="s">
        <v>306</v>
      </c>
      <c r="C2419" s="54" t="s">
        <v>307</v>
      </c>
      <c r="D2419" s="54" t="s">
        <v>5414</v>
      </c>
      <c r="E2419" s="54" t="s">
        <v>5415</v>
      </c>
      <c r="F2419" s="54" t="s">
        <v>5418</v>
      </c>
      <c r="G2419" s="54" t="s">
        <v>5419</v>
      </c>
      <c r="H2419" s="54" t="n">
        <v>19731</v>
      </c>
      <c r="I2419" s="54" t="s">
        <v>295</v>
      </c>
      <c r="J2419" s="54" t="s">
        <v>2347</v>
      </c>
    </row>
    <row r="2420" customFormat="false" ht="15" hidden="false" customHeight="true" outlineLevel="0" collapsed="false">
      <c r="A2420" s="54" t="n">
        <v>20260711</v>
      </c>
      <c r="B2420" s="54" t="s">
        <v>535</v>
      </c>
      <c r="C2420" s="54" t="s">
        <v>307</v>
      </c>
      <c r="D2420" s="54" t="s">
        <v>1268</v>
      </c>
      <c r="E2420" s="54" t="s">
        <v>1269</v>
      </c>
      <c r="F2420" s="54" t="s">
        <v>5420</v>
      </c>
      <c r="G2420" s="54" t="s">
        <v>5421</v>
      </c>
      <c r="H2420" s="54" t="n">
        <v>18137</v>
      </c>
      <c r="I2420" s="54" t="s">
        <v>315</v>
      </c>
      <c r="J2420" s="54" t="s">
        <v>540</v>
      </c>
    </row>
    <row r="2421" customFormat="false" ht="15" hidden="false" customHeight="true" outlineLevel="0" collapsed="false">
      <c r="A2421" s="54" t="n">
        <v>20260711</v>
      </c>
      <c r="B2421" s="54" t="s">
        <v>535</v>
      </c>
      <c r="C2421" s="54" t="s">
        <v>307</v>
      </c>
      <c r="D2421" s="54" t="s">
        <v>1268</v>
      </c>
      <c r="E2421" s="54" t="s">
        <v>1269</v>
      </c>
      <c r="F2421" s="54" t="s">
        <v>5422</v>
      </c>
      <c r="G2421" s="54" t="s">
        <v>5423</v>
      </c>
      <c r="H2421" s="54" t="n">
        <v>18117</v>
      </c>
      <c r="I2421" s="54" t="s">
        <v>295</v>
      </c>
      <c r="J2421" s="54" t="s">
        <v>540</v>
      </c>
    </row>
    <row r="2422" customFormat="false" ht="15" hidden="false" customHeight="true" outlineLevel="0" collapsed="false">
      <c r="A2422" s="54" t="n">
        <v>20260711</v>
      </c>
      <c r="B2422" s="54" t="s">
        <v>535</v>
      </c>
      <c r="C2422" s="54" t="s">
        <v>307</v>
      </c>
      <c r="D2422" s="54" t="s">
        <v>1268</v>
      </c>
      <c r="E2422" s="54" t="s">
        <v>1269</v>
      </c>
      <c r="F2422" s="54" t="s">
        <v>5424</v>
      </c>
      <c r="G2422" s="54" t="s">
        <v>5425</v>
      </c>
      <c r="H2422" s="54" t="n">
        <v>14421</v>
      </c>
      <c r="I2422" s="54" t="s">
        <v>295</v>
      </c>
      <c r="J2422" s="54" t="s">
        <v>540</v>
      </c>
    </row>
    <row r="2423" customFormat="false" ht="15" hidden="false" customHeight="true" outlineLevel="0" collapsed="false">
      <c r="A2423" s="54" t="n">
        <v>20260711</v>
      </c>
      <c r="B2423" s="54" t="s">
        <v>535</v>
      </c>
      <c r="C2423" s="54" t="s">
        <v>307</v>
      </c>
      <c r="D2423" s="54" t="s">
        <v>1268</v>
      </c>
      <c r="E2423" s="54" t="s">
        <v>1269</v>
      </c>
      <c r="F2423" s="54" t="s">
        <v>5424</v>
      </c>
      <c r="G2423" s="54" t="s">
        <v>5426</v>
      </c>
      <c r="H2423" s="54" t="n">
        <v>14449</v>
      </c>
      <c r="I2423" s="54" t="s">
        <v>315</v>
      </c>
      <c r="J2423" s="54" t="s">
        <v>540</v>
      </c>
    </row>
    <row r="2424" customFormat="false" ht="15" hidden="false" customHeight="true" outlineLevel="0" collapsed="false">
      <c r="A2424" s="54" t="n">
        <v>20260711</v>
      </c>
      <c r="B2424" s="54" t="s">
        <v>535</v>
      </c>
      <c r="C2424" s="54" t="s">
        <v>307</v>
      </c>
      <c r="D2424" s="54" t="s">
        <v>1268</v>
      </c>
      <c r="E2424" s="54" t="s">
        <v>1269</v>
      </c>
      <c r="F2424" s="54" t="s">
        <v>5427</v>
      </c>
      <c r="G2424" s="54" t="s">
        <v>5428</v>
      </c>
      <c r="H2424" s="54" t="n">
        <v>8</v>
      </c>
      <c r="I2424" s="54" t="s">
        <v>295</v>
      </c>
      <c r="J2424" s="54" t="s">
        <v>540</v>
      </c>
    </row>
    <row r="2425" customFormat="false" ht="15" hidden="false" customHeight="true" outlineLevel="0" collapsed="false">
      <c r="A2425" s="54" t="n">
        <v>20260711</v>
      </c>
      <c r="B2425" s="54" t="s">
        <v>289</v>
      </c>
      <c r="C2425" s="54" t="s">
        <v>290</v>
      </c>
      <c r="D2425" s="54" t="s">
        <v>5429</v>
      </c>
      <c r="E2425" s="54" t="s">
        <v>5430</v>
      </c>
      <c r="F2425" s="54" t="s">
        <v>5431</v>
      </c>
      <c r="G2425" s="54" t="s">
        <v>5432</v>
      </c>
      <c r="H2425" s="54" t="n">
        <v>5</v>
      </c>
      <c r="I2425" s="54" t="s">
        <v>295</v>
      </c>
      <c r="J2425" s="54" t="s">
        <v>407</v>
      </c>
    </row>
    <row r="2426" customFormat="false" ht="15" hidden="false" customHeight="true" outlineLevel="0" collapsed="false">
      <c r="A2426" s="54" t="n">
        <v>20260711</v>
      </c>
      <c r="B2426" s="54" t="s">
        <v>289</v>
      </c>
      <c r="C2426" s="54" t="s">
        <v>290</v>
      </c>
      <c r="D2426" s="54" t="s">
        <v>5429</v>
      </c>
      <c r="E2426" s="54" t="s">
        <v>5430</v>
      </c>
      <c r="F2426" s="54" t="s">
        <v>5433</v>
      </c>
      <c r="G2426" s="54" t="s">
        <v>5432</v>
      </c>
      <c r="H2426" s="54" t="n">
        <v>4</v>
      </c>
      <c r="I2426" s="54" t="s">
        <v>360</v>
      </c>
      <c r="J2426" s="54" t="s">
        <v>407</v>
      </c>
    </row>
    <row r="2427" customFormat="false" ht="15" hidden="false" customHeight="true" outlineLevel="0" collapsed="false">
      <c r="A2427" s="54" t="n">
        <v>20260711</v>
      </c>
      <c r="B2427" s="54" t="s">
        <v>289</v>
      </c>
      <c r="C2427" s="54" t="s">
        <v>290</v>
      </c>
      <c r="D2427" s="54" t="s">
        <v>5429</v>
      </c>
      <c r="E2427" s="54" t="s">
        <v>5430</v>
      </c>
      <c r="F2427" s="54" t="s">
        <v>5434</v>
      </c>
      <c r="G2427" s="54" t="s">
        <v>5435</v>
      </c>
      <c r="H2427" s="54" t="n">
        <v>6</v>
      </c>
      <c r="I2427" s="54" t="s">
        <v>360</v>
      </c>
      <c r="J2427" s="54" t="s">
        <v>407</v>
      </c>
    </row>
    <row r="2428" customFormat="false" ht="15" hidden="false" customHeight="true" outlineLevel="0" collapsed="false">
      <c r="A2428" s="54" t="n">
        <v>20260711</v>
      </c>
      <c r="B2428" s="54" t="s">
        <v>289</v>
      </c>
      <c r="C2428" s="54" t="s">
        <v>290</v>
      </c>
      <c r="D2428" s="54" t="s">
        <v>5429</v>
      </c>
      <c r="E2428" s="54" t="s">
        <v>5430</v>
      </c>
      <c r="F2428" s="54" t="s">
        <v>5434</v>
      </c>
      <c r="G2428" s="54" t="s">
        <v>5435</v>
      </c>
      <c r="H2428" s="54" t="n">
        <v>6</v>
      </c>
      <c r="I2428" s="54" t="s">
        <v>295</v>
      </c>
      <c r="J2428" s="54" t="s">
        <v>407</v>
      </c>
    </row>
    <row r="2429" customFormat="false" ht="15" hidden="false" customHeight="true" outlineLevel="0" collapsed="false">
      <c r="A2429" s="54" t="n">
        <v>20260711</v>
      </c>
      <c r="B2429" s="54" t="s">
        <v>289</v>
      </c>
      <c r="C2429" s="54" t="s">
        <v>290</v>
      </c>
      <c r="D2429" s="54" t="s">
        <v>5429</v>
      </c>
      <c r="E2429" s="54" t="s">
        <v>5430</v>
      </c>
      <c r="F2429" s="54" t="s">
        <v>5436</v>
      </c>
      <c r="G2429" s="54" t="s">
        <v>5437</v>
      </c>
      <c r="H2429" s="54" t="n">
        <v>20059</v>
      </c>
      <c r="I2429" s="54" t="s">
        <v>360</v>
      </c>
      <c r="J2429" s="54" t="s">
        <v>407</v>
      </c>
    </row>
    <row r="2430" customFormat="false" ht="15" hidden="false" customHeight="true" outlineLevel="0" collapsed="false">
      <c r="A2430" s="54" t="n">
        <v>20260711</v>
      </c>
      <c r="B2430" s="54" t="s">
        <v>289</v>
      </c>
      <c r="C2430" s="54" t="s">
        <v>290</v>
      </c>
      <c r="D2430" s="54" t="s">
        <v>5429</v>
      </c>
      <c r="E2430" s="54" t="s">
        <v>5430</v>
      </c>
      <c r="F2430" s="54" t="s">
        <v>5436</v>
      </c>
      <c r="G2430" s="54" t="s">
        <v>5437</v>
      </c>
      <c r="H2430" s="54" t="n">
        <v>20059</v>
      </c>
      <c r="I2430" s="54" t="s">
        <v>295</v>
      </c>
      <c r="J2430" s="54" t="s">
        <v>407</v>
      </c>
    </row>
    <row r="2431" customFormat="false" ht="15" hidden="false" customHeight="true" outlineLevel="0" collapsed="false">
      <c r="A2431" s="54" t="n">
        <v>20260711</v>
      </c>
      <c r="B2431" s="54" t="s">
        <v>289</v>
      </c>
      <c r="C2431" s="54" t="s">
        <v>290</v>
      </c>
      <c r="D2431" s="54" t="s">
        <v>5429</v>
      </c>
      <c r="E2431" s="54" t="s">
        <v>5430</v>
      </c>
      <c r="F2431" s="54" t="s">
        <v>5438</v>
      </c>
      <c r="G2431" s="54" t="s">
        <v>5439</v>
      </c>
      <c r="H2431" s="54" t="n">
        <v>9250</v>
      </c>
      <c r="I2431" s="54" t="s">
        <v>360</v>
      </c>
      <c r="J2431" s="54" t="s">
        <v>407</v>
      </c>
    </row>
    <row r="2432" customFormat="false" ht="15" hidden="false" customHeight="true" outlineLevel="0" collapsed="false">
      <c r="A2432" s="54" t="n">
        <v>20260711</v>
      </c>
      <c r="B2432" s="54" t="s">
        <v>289</v>
      </c>
      <c r="C2432" s="54" t="s">
        <v>290</v>
      </c>
      <c r="D2432" s="54" t="s">
        <v>5429</v>
      </c>
      <c r="E2432" s="54" t="s">
        <v>5430</v>
      </c>
      <c r="F2432" s="54" t="s">
        <v>5438</v>
      </c>
      <c r="G2432" s="54" t="s">
        <v>5439</v>
      </c>
      <c r="H2432" s="54" t="n">
        <v>9250</v>
      </c>
      <c r="I2432" s="54" t="s">
        <v>295</v>
      </c>
      <c r="J2432" s="54" t="s">
        <v>407</v>
      </c>
    </row>
    <row r="2433" customFormat="false" ht="15" hidden="false" customHeight="true" outlineLevel="0" collapsed="false">
      <c r="A2433" s="54" t="n">
        <v>20260711</v>
      </c>
      <c r="B2433" s="54" t="s">
        <v>688</v>
      </c>
      <c r="C2433" s="54" t="s">
        <v>290</v>
      </c>
      <c r="D2433" s="54" t="s">
        <v>5440</v>
      </c>
      <c r="E2433" s="54" t="s">
        <v>5441</v>
      </c>
      <c r="F2433" s="54" t="s">
        <v>5442</v>
      </c>
      <c r="G2433" s="54" t="s">
        <v>5443</v>
      </c>
      <c r="H2433" s="54" t="n">
        <v>9354</v>
      </c>
      <c r="I2433" s="54" t="s">
        <v>295</v>
      </c>
      <c r="J2433" s="54" t="s">
        <v>779</v>
      </c>
    </row>
    <row r="2434" customFormat="false" ht="15" hidden="false" customHeight="true" outlineLevel="0" collapsed="false">
      <c r="A2434" s="54" t="n">
        <v>20260711</v>
      </c>
      <c r="B2434" s="54" t="s">
        <v>688</v>
      </c>
      <c r="C2434" s="54" t="s">
        <v>290</v>
      </c>
      <c r="D2434" s="54" t="s">
        <v>5440</v>
      </c>
      <c r="E2434" s="54" t="s">
        <v>5441</v>
      </c>
      <c r="F2434" s="54" t="s">
        <v>5444</v>
      </c>
      <c r="G2434" s="54" t="s">
        <v>5376</v>
      </c>
      <c r="H2434" s="54" t="n">
        <v>8471</v>
      </c>
      <c r="I2434" s="54" t="s">
        <v>295</v>
      </c>
      <c r="J2434" s="54" t="s">
        <v>779</v>
      </c>
    </row>
    <row r="2435" customFormat="false" ht="15" hidden="false" customHeight="true" outlineLevel="0" collapsed="false">
      <c r="A2435" s="54" t="n">
        <v>20260711</v>
      </c>
      <c r="B2435" s="54" t="s">
        <v>688</v>
      </c>
      <c r="C2435" s="54" t="s">
        <v>290</v>
      </c>
      <c r="D2435" s="54" t="s">
        <v>5440</v>
      </c>
      <c r="E2435" s="54" t="s">
        <v>5441</v>
      </c>
      <c r="F2435" s="54" t="s">
        <v>5445</v>
      </c>
      <c r="G2435" s="54" t="s">
        <v>5446</v>
      </c>
      <c r="H2435" s="54" t="n">
        <v>11029</v>
      </c>
      <c r="I2435" s="54" t="s">
        <v>295</v>
      </c>
      <c r="J2435" s="54" t="s">
        <v>779</v>
      </c>
    </row>
    <row r="2436" customFormat="false" ht="15" hidden="false" customHeight="true" outlineLevel="0" collapsed="false">
      <c r="A2436" s="54" t="n">
        <v>20260711</v>
      </c>
      <c r="B2436" s="54" t="s">
        <v>289</v>
      </c>
      <c r="C2436" s="54" t="s">
        <v>290</v>
      </c>
      <c r="D2436" s="54" t="s">
        <v>342</v>
      </c>
      <c r="E2436" s="54" t="s">
        <v>343</v>
      </c>
      <c r="F2436" s="54" t="s">
        <v>5447</v>
      </c>
      <c r="G2436" s="54" t="s">
        <v>5448</v>
      </c>
      <c r="H2436" s="54" t="n">
        <v>11995</v>
      </c>
      <c r="I2436" s="54" t="s">
        <v>295</v>
      </c>
      <c r="J2436" s="54" t="s">
        <v>296</v>
      </c>
    </row>
    <row r="2437" customFormat="false" ht="15" hidden="false" customHeight="true" outlineLevel="0" collapsed="false">
      <c r="A2437" s="54" t="n">
        <v>20260711</v>
      </c>
      <c r="B2437" s="54" t="s">
        <v>289</v>
      </c>
      <c r="C2437" s="54" t="s">
        <v>290</v>
      </c>
      <c r="D2437" s="54" t="s">
        <v>1351</v>
      </c>
      <c r="E2437" s="54" t="s">
        <v>1352</v>
      </c>
      <c r="F2437" s="54" t="s">
        <v>5226</v>
      </c>
      <c r="G2437" s="54" t="s">
        <v>5449</v>
      </c>
      <c r="H2437" s="54" t="n">
        <v>19177</v>
      </c>
      <c r="I2437" s="54" t="s">
        <v>295</v>
      </c>
      <c r="J2437" s="54" t="s">
        <v>1355</v>
      </c>
    </row>
    <row r="2438" customFormat="false" ht="15" hidden="false" customHeight="true" outlineLevel="0" collapsed="false">
      <c r="A2438" s="54" t="n">
        <v>20260711</v>
      </c>
      <c r="B2438" s="54" t="s">
        <v>289</v>
      </c>
      <c r="C2438" s="54" t="s">
        <v>290</v>
      </c>
      <c r="D2438" s="54" t="s">
        <v>1351</v>
      </c>
      <c r="E2438" s="54" t="s">
        <v>1352</v>
      </c>
      <c r="F2438" s="54" t="s">
        <v>5450</v>
      </c>
      <c r="G2438" s="54" t="s">
        <v>5451</v>
      </c>
      <c r="H2438" s="54" t="n">
        <v>10352</v>
      </c>
      <c r="I2438" s="54" t="s">
        <v>295</v>
      </c>
      <c r="J2438" s="54" t="s">
        <v>1355</v>
      </c>
    </row>
    <row r="2439" customFormat="false" ht="15" hidden="false" customHeight="true" outlineLevel="0" collapsed="false">
      <c r="A2439" s="54" t="n">
        <v>20260711</v>
      </c>
      <c r="B2439" s="54" t="s">
        <v>306</v>
      </c>
      <c r="C2439" s="54" t="s">
        <v>290</v>
      </c>
      <c r="D2439" s="54" t="s">
        <v>1366</v>
      </c>
      <c r="E2439" s="54" t="s">
        <v>1367</v>
      </c>
      <c r="F2439" s="54" t="s">
        <v>5452</v>
      </c>
      <c r="G2439" s="54" t="s">
        <v>5453</v>
      </c>
      <c r="H2439" s="54" t="n">
        <v>2</v>
      </c>
      <c r="I2439" s="54" t="s">
        <v>295</v>
      </c>
      <c r="J2439" s="54" t="s">
        <v>1370</v>
      </c>
    </row>
    <row r="2440" customFormat="false" ht="15" hidden="false" customHeight="true" outlineLevel="0" collapsed="false">
      <c r="A2440" s="54" t="n">
        <v>20260711</v>
      </c>
      <c r="B2440" s="54" t="s">
        <v>306</v>
      </c>
      <c r="C2440" s="54" t="s">
        <v>290</v>
      </c>
      <c r="D2440" s="54" t="s">
        <v>1366</v>
      </c>
      <c r="E2440" s="54" t="s">
        <v>1367</v>
      </c>
      <c r="F2440" s="54" t="s">
        <v>5319</v>
      </c>
      <c r="G2440" s="54" t="s">
        <v>5454</v>
      </c>
      <c r="H2440" s="54" t="n">
        <v>21607</v>
      </c>
      <c r="I2440" s="54" t="s">
        <v>295</v>
      </c>
      <c r="J2440" s="54" t="s">
        <v>1370</v>
      </c>
    </row>
    <row r="2441" customFormat="false" ht="15" hidden="false" customHeight="true" outlineLevel="0" collapsed="false">
      <c r="A2441" s="54" t="n">
        <v>20260711</v>
      </c>
      <c r="B2441" s="54" t="s">
        <v>168</v>
      </c>
      <c r="C2441" s="54" t="s">
        <v>290</v>
      </c>
      <c r="D2441" s="54" t="s">
        <v>1391</v>
      </c>
      <c r="E2441" s="54" t="s">
        <v>1392</v>
      </c>
      <c r="F2441" s="54" t="s">
        <v>5455</v>
      </c>
      <c r="G2441" s="54" t="s">
        <v>5456</v>
      </c>
      <c r="H2441" s="54" t="n">
        <v>23</v>
      </c>
      <c r="I2441" s="54" t="s">
        <v>295</v>
      </c>
      <c r="J2441" s="54" t="s">
        <v>818</v>
      </c>
    </row>
    <row r="2442" customFormat="false" ht="15" hidden="false" customHeight="true" outlineLevel="0" collapsed="false">
      <c r="A2442" s="54" t="n">
        <v>20260711</v>
      </c>
      <c r="B2442" s="54" t="s">
        <v>168</v>
      </c>
      <c r="C2442" s="54" t="s">
        <v>290</v>
      </c>
      <c r="D2442" s="54" t="s">
        <v>1391</v>
      </c>
      <c r="E2442" s="54" t="s">
        <v>1392</v>
      </c>
      <c r="F2442" s="54" t="s">
        <v>5457</v>
      </c>
      <c r="G2442" s="54" t="s">
        <v>5458</v>
      </c>
      <c r="H2442" s="54" t="n">
        <v>15174</v>
      </c>
      <c r="I2442" s="54" t="s">
        <v>295</v>
      </c>
      <c r="J2442" s="54" t="s">
        <v>818</v>
      </c>
    </row>
    <row r="2443" customFormat="false" ht="15" hidden="false" customHeight="true" outlineLevel="0" collapsed="false">
      <c r="A2443" s="54" t="n">
        <v>20260711</v>
      </c>
      <c r="B2443" s="54" t="s">
        <v>168</v>
      </c>
      <c r="C2443" s="54" t="s">
        <v>290</v>
      </c>
      <c r="D2443" s="54" t="s">
        <v>1391</v>
      </c>
      <c r="E2443" s="54" t="s">
        <v>1392</v>
      </c>
      <c r="F2443" s="54" t="s">
        <v>5459</v>
      </c>
      <c r="G2443" s="54" t="s">
        <v>5460</v>
      </c>
      <c r="H2443" s="54" t="n">
        <v>8179</v>
      </c>
      <c r="I2443" s="54" t="s">
        <v>295</v>
      </c>
      <c r="J2443" s="54" t="s">
        <v>818</v>
      </c>
    </row>
    <row r="2444" customFormat="false" ht="15" hidden="false" customHeight="true" outlineLevel="0" collapsed="false">
      <c r="A2444" s="54" t="n">
        <v>20260711</v>
      </c>
      <c r="B2444" s="54" t="s">
        <v>168</v>
      </c>
      <c r="C2444" s="54" t="s">
        <v>290</v>
      </c>
      <c r="D2444" s="54" t="s">
        <v>1391</v>
      </c>
      <c r="E2444" s="54" t="s">
        <v>1392</v>
      </c>
      <c r="F2444" s="54" t="s">
        <v>5461</v>
      </c>
      <c r="G2444" s="54" t="s">
        <v>5462</v>
      </c>
      <c r="H2444" s="54" t="n">
        <v>782</v>
      </c>
      <c r="I2444" s="54" t="s">
        <v>295</v>
      </c>
      <c r="J2444" s="54" t="s">
        <v>818</v>
      </c>
    </row>
    <row r="2445" customFormat="false" ht="15" hidden="false" customHeight="true" outlineLevel="0" collapsed="false">
      <c r="A2445" s="54" t="n">
        <v>20260711</v>
      </c>
      <c r="B2445" s="54" t="s">
        <v>168</v>
      </c>
      <c r="C2445" s="54" t="s">
        <v>290</v>
      </c>
      <c r="D2445" s="54" t="s">
        <v>1391</v>
      </c>
      <c r="E2445" s="54" t="s">
        <v>1392</v>
      </c>
      <c r="F2445" s="54" t="s">
        <v>5463</v>
      </c>
      <c r="G2445" s="54" t="s">
        <v>5464</v>
      </c>
      <c r="H2445" s="54" t="n">
        <v>361</v>
      </c>
      <c r="I2445" s="54" t="s">
        <v>295</v>
      </c>
      <c r="J2445" s="54" t="s">
        <v>818</v>
      </c>
    </row>
    <row r="2446" customFormat="false" ht="15" hidden="false" customHeight="true" outlineLevel="0" collapsed="false">
      <c r="A2446" s="54" t="n">
        <v>20260711</v>
      </c>
      <c r="B2446" s="54" t="s">
        <v>306</v>
      </c>
      <c r="C2446" s="54" t="s">
        <v>290</v>
      </c>
      <c r="D2446" s="54" t="s">
        <v>1418</v>
      </c>
      <c r="E2446" s="54" t="s">
        <v>1419</v>
      </c>
      <c r="F2446" s="54" t="s">
        <v>5465</v>
      </c>
      <c r="G2446" s="54" t="s">
        <v>5466</v>
      </c>
      <c r="H2446" s="54" t="n">
        <v>22017</v>
      </c>
      <c r="I2446" s="54" t="s">
        <v>295</v>
      </c>
      <c r="J2446" s="54" t="s">
        <v>368</v>
      </c>
    </row>
    <row r="2447" customFormat="false" ht="15" hidden="false" customHeight="true" outlineLevel="0" collapsed="false">
      <c r="A2447" s="54" t="n">
        <v>20260711</v>
      </c>
      <c r="B2447" s="54" t="s">
        <v>306</v>
      </c>
      <c r="C2447" s="54" t="s">
        <v>290</v>
      </c>
      <c r="D2447" s="54" t="s">
        <v>1418</v>
      </c>
      <c r="E2447" s="54" t="s">
        <v>1419</v>
      </c>
      <c r="F2447" s="54" t="s">
        <v>5465</v>
      </c>
      <c r="G2447" s="54" t="s">
        <v>5467</v>
      </c>
      <c r="H2447" s="54" t="n">
        <v>22019</v>
      </c>
      <c r="I2447" s="54" t="s">
        <v>315</v>
      </c>
      <c r="J2447" s="54" t="s">
        <v>368</v>
      </c>
    </row>
    <row r="2448" customFormat="false" ht="15" hidden="false" customHeight="true" outlineLevel="0" collapsed="false">
      <c r="A2448" s="54" t="n">
        <v>20260711</v>
      </c>
      <c r="B2448" s="54" t="s">
        <v>306</v>
      </c>
      <c r="C2448" s="54" t="s">
        <v>290</v>
      </c>
      <c r="D2448" s="54" t="s">
        <v>1418</v>
      </c>
      <c r="E2448" s="54" t="s">
        <v>1419</v>
      </c>
      <c r="F2448" s="54" t="s">
        <v>5468</v>
      </c>
      <c r="G2448" s="54" t="s">
        <v>5469</v>
      </c>
      <c r="H2448" s="54" t="n">
        <v>2425</v>
      </c>
      <c r="I2448" s="54" t="s">
        <v>315</v>
      </c>
      <c r="J2448" s="54" t="s">
        <v>368</v>
      </c>
    </row>
    <row r="2449" customFormat="false" ht="15" hidden="false" customHeight="true" outlineLevel="0" collapsed="false">
      <c r="A2449" s="54" t="n">
        <v>20260711</v>
      </c>
      <c r="B2449" s="54" t="s">
        <v>306</v>
      </c>
      <c r="C2449" s="54" t="s">
        <v>290</v>
      </c>
      <c r="D2449" s="54" t="s">
        <v>1418</v>
      </c>
      <c r="E2449" s="54" t="s">
        <v>1419</v>
      </c>
      <c r="F2449" s="54" t="s">
        <v>5468</v>
      </c>
      <c r="G2449" s="54" t="s">
        <v>5469</v>
      </c>
      <c r="H2449" s="54" t="n">
        <v>2425</v>
      </c>
      <c r="I2449" s="54" t="s">
        <v>295</v>
      </c>
      <c r="J2449" s="54" t="s">
        <v>368</v>
      </c>
    </row>
    <row r="2450" customFormat="false" ht="15" hidden="false" customHeight="true" outlineLevel="0" collapsed="false">
      <c r="A2450" s="54" t="n">
        <v>20260711</v>
      </c>
      <c r="B2450" s="54" t="s">
        <v>306</v>
      </c>
      <c r="C2450" s="54" t="s">
        <v>290</v>
      </c>
      <c r="D2450" s="54" t="s">
        <v>1418</v>
      </c>
      <c r="E2450" s="54" t="s">
        <v>1419</v>
      </c>
      <c r="F2450" s="54" t="s">
        <v>5470</v>
      </c>
      <c r="G2450" s="54" t="s">
        <v>5471</v>
      </c>
      <c r="H2450" s="54" t="n">
        <v>4425</v>
      </c>
      <c r="I2450" s="54" t="s">
        <v>295</v>
      </c>
      <c r="J2450" s="54" t="s">
        <v>368</v>
      </c>
    </row>
    <row r="2451" customFormat="false" ht="15" hidden="false" customHeight="true" outlineLevel="0" collapsed="false">
      <c r="A2451" s="54" t="n">
        <v>20260711</v>
      </c>
      <c r="B2451" s="54" t="s">
        <v>306</v>
      </c>
      <c r="C2451" s="54" t="s">
        <v>290</v>
      </c>
      <c r="D2451" s="54" t="s">
        <v>1418</v>
      </c>
      <c r="E2451" s="54" t="s">
        <v>1419</v>
      </c>
      <c r="F2451" s="54" t="s">
        <v>5470</v>
      </c>
      <c r="G2451" s="54" t="s">
        <v>5472</v>
      </c>
      <c r="H2451" s="54" t="n">
        <v>4426</v>
      </c>
      <c r="I2451" s="54" t="s">
        <v>315</v>
      </c>
      <c r="J2451" s="54" t="s">
        <v>368</v>
      </c>
    </row>
    <row r="2452" customFormat="false" ht="15" hidden="false" customHeight="true" outlineLevel="0" collapsed="false">
      <c r="A2452" s="54" t="n">
        <v>20260711</v>
      </c>
      <c r="B2452" s="54" t="s">
        <v>289</v>
      </c>
      <c r="C2452" s="54" t="s">
        <v>307</v>
      </c>
      <c r="D2452" s="54" t="s">
        <v>1437</v>
      </c>
      <c r="E2452" s="54" t="s">
        <v>1438</v>
      </c>
      <c r="F2452" s="54" t="s">
        <v>5473</v>
      </c>
      <c r="G2452" s="54" t="s">
        <v>5474</v>
      </c>
      <c r="H2452" s="54" t="n">
        <v>334</v>
      </c>
      <c r="I2452" s="54" t="s">
        <v>295</v>
      </c>
      <c r="J2452" s="54" t="s">
        <v>1441</v>
      </c>
    </row>
    <row r="2453" customFormat="false" ht="15" hidden="false" customHeight="true" outlineLevel="0" collapsed="false">
      <c r="A2453" s="54" t="n">
        <v>20260711</v>
      </c>
      <c r="B2453" s="54" t="s">
        <v>289</v>
      </c>
      <c r="C2453" s="54" t="s">
        <v>307</v>
      </c>
      <c r="D2453" s="54" t="s">
        <v>1437</v>
      </c>
      <c r="E2453" s="54" t="s">
        <v>1438</v>
      </c>
      <c r="F2453" s="54" t="s">
        <v>5475</v>
      </c>
      <c r="G2453" s="54" t="s">
        <v>5476</v>
      </c>
      <c r="H2453" s="54" t="n">
        <v>15419</v>
      </c>
      <c r="I2453" s="54" t="s">
        <v>295</v>
      </c>
      <c r="J2453" s="54" t="s">
        <v>1441</v>
      </c>
    </row>
    <row r="2454" customFormat="false" ht="15" hidden="false" customHeight="true" outlineLevel="0" collapsed="false">
      <c r="A2454" s="54" t="n">
        <v>20260711</v>
      </c>
      <c r="B2454" s="54" t="s">
        <v>289</v>
      </c>
      <c r="C2454" s="54" t="s">
        <v>290</v>
      </c>
      <c r="D2454" s="54" t="s">
        <v>1443</v>
      </c>
      <c r="E2454" s="54" t="s">
        <v>1444</v>
      </c>
      <c r="F2454" s="54" t="s">
        <v>5477</v>
      </c>
      <c r="G2454" s="54" t="s">
        <v>5478</v>
      </c>
      <c r="H2454" s="54" t="n">
        <v>17100</v>
      </c>
      <c r="I2454" s="54" t="s">
        <v>295</v>
      </c>
      <c r="J2454" s="54" t="s">
        <v>509</v>
      </c>
    </row>
    <row r="2455" customFormat="false" ht="15" hidden="false" customHeight="true" outlineLevel="0" collapsed="false">
      <c r="A2455" s="54" t="n">
        <v>20260711</v>
      </c>
      <c r="B2455" s="54" t="s">
        <v>289</v>
      </c>
      <c r="C2455" s="54" t="s">
        <v>290</v>
      </c>
      <c r="D2455" s="54" t="s">
        <v>1443</v>
      </c>
      <c r="E2455" s="54" t="s">
        <v>1444</v>
      </c>
      <c r="F2455" s="54" t="s">
        <v>5479</v>
      </c>
      <c r="G2455" s="54" t="s">
        <v>5480</v>
      </c>
      <c r="H2455" s="54" t="n">
        <v>11650</v>
      </c>
      <c r="I2455" s="54" t="s">
        <v>295</v>
      </c>
      <c r="J2455" s="54" t="s">
        <v>509</v>
      </c>
    </row>
    <row r="2456" customFormat="false" ht="15" hidden="false" customHeight="true" outlineLevel="0" collapsed="false">
      <c r="A2456" s="54" t="n">
        <v>20260711</v>
      </c>
      <c r="B2456" s="54" t="s">
        <v>289</v>
      </c>
      <c r="C2456" s="54" t="s">
        <v>290</v>
      </c>
      <c r="D2456" s="54" t="s">
        <v>1486</v>
      </c>
      <c r="E2456" s="54" t="s">
        <v>1487</v>
      </c>
      <c r="F2456" s="54" t="s">
        <v>5481</v>
      </c>
      <c r="G2456" s="54" t="s">
        <v>5482</v>
      </c>
      <c r="H2456" s="54" t="n">
        <v>5</v>
      </c>
      <c r="I2456" s="54" t="s">
        <v>295</v>
      </c>
      <c r="J2456" s="54" t="s">
        <v>303</v>
      </c>
    </row>
    <row r="2457" customFormat="false" ht="15" hidden="false" customHeight="true" outlineLevel="0" collapsed="false">
      <c r="A2457" s="54" t="n">
        <v>20260711</v>
      </c>
      <c r="B2457" s="54" t="s">
        <v>289</v>
      </c>
      <c r="C2457" s="54" t="s">
        <v>290</v>
      </c>
      <c r="D2457" s="54" t="s">
        <v>1486</v>
      </c>
      <c r="E2457" s="54" t="s">
        <v>1487</v>
      </c>
      <c r="F2457" s="54" t="s">
        <v>5483</v>
      </c>
      <c r="G2457" s="54" t="s">
        <v>5484</v>
      </c>
      <c r="H2457" s="54" t="n">
        <v>21925</v>
      </c>
      <c r="I2457" s="54" t="s">
        <v>295</v>
      </c>
      <c r="J2457" s="54" t="s">
        <v>303</v>
      </c>
    </row>
    <row r="2458" customFormat="false" ht="15" hidden="false" customHeight="true" outlineLevel="0" collapsed="false">
      <c r="A2458" s="54" t="n">
        <v>20260711</v>
      </c>
      <c r="B2458" s="54" t="s">
        <v>289</v>
      </c>
      <c r="C2458" s="54" t="s">
        <v>290</v>
      </c>
      <c r="D2458" s="54" t="s">
        <v>1486</v>
      </c>
      <c r="E2458" s="54" t="s">
        <v>1487</v>
      </c>
      <c r="F2458" s="54" t="s">
        <v>5485</v>
      </c>
      <c r="G2458" s="54" t="s">
        <v>5486</v>
      </c>
      <c r="H2458" s="54" t="n">
        <v>10889</v>
      </c>
      <c r="I2458" s="54" t="s">
        <v>295</v>
      </c>
      <c r="J2458" s="54" t="s">
        <v>303</v>
      </c>
    </row>
    <row r="2459" customFormat="false" ht="15" hidden="false" customHeight="true" outlineLevel="0" collapsed="false">
      <c r="A2459" s="54" t="n">
        <v>20260711</v>
      </c>
      <c r="B2459" s="54" t="s">
        <v>289</v>
      </c>
      <c r="C2459" s="54" t="s">
        <v>290</v>
      </c>
      <c r="D2459" s="54" t="s">
        <v>1503</v>
      </c>
      <c r="E2459" s="54" t="s">
        <v>1504</v>
      </c>
      <c r="F2459" s="54" t="s">
        <v>5487</v>
      </c>
      <c r="G2459" s="54" t="s">
        <v>5488</v>
      </c>
      <c r="H2459" s="54" t="n">
        <v>18613</v>
      </c>
      <c r="I2459" s="54" t="s">
        <v>295</v>
      </c>
      <c r="J2459" s="54" t="s">
        <v>1463</v>
      </c>
    </row>
    <row r="2460" customFormat="false" ht="15" hidden="false" customHeight="true" outlineLevel="0" collapsed="false">
      <c r="A2460" s="54" t="n">
        <v>20260711</v>
      </c>
      <c r="B2460" s="54" t="s">
        <v>289</v>
      </c>
      <c r="C2460" s="54" t="s">
        <v>290</v>
      </c>
      <c r="D2460" s="54" t="s">
        <v>1503</v>
      </c>
      <c r="E2460" s="54" t="s">
        <v>1504</v>
      </c>
      <c r="F2460" s="54" t="s">
        <v>5489</v>
      </c>
      <c r="G2460" s="54" t="s">
        <v>5490</v>
      </c>
      <c r="H2460" s="54" t="n">
        <v>10239</v>
      </c>
      <c r="I2460" s="54" t="s">
        <v>295</v>
      </c>
      <c r="J2460" s="54" t="s">
        <v>1463</v>
      </c>
    </row>
    <row r="2461" customFormat="false" ht="15" hidden="false" customHeight="true" outlineLevel="0" collapsed="false">
      <c r="A2461" s="54" t="n">
        <v>20260711</v>
      </c>
      <c r="B2461" s="54" t="s">
        <v>688</v>
      </c>
      <c r="C2461" s="54" t="s">
        <v>307</v>
      </c>
      <c r="D2461" s="54" t="s">
        <v>1518</v>
      </c>
      <c r="E2461" s="54" t="s">
        <v>1519</v>
      </c>
      <c r="F2461" s="54" t="s">
        <v>5491</v>
      </c>
      <c r="G2461" s="54" t="s">
        <v>5492</v>
      </c>
      <c r="H2461" s="54" t="n">
        <v>18152</v>
      </c>
      <c r="I2461" s="54" t="s">
        <v>295</v>
      </c>
      <c r="J2461" s="54" t="s">
        <v>693</v>
      </c>
    </row>
    <row r="2462" customFormat="false" ht="15" hidden="false" customHeight="true" outlineLevel="0" collapsed="false">
      <c r="A2462" s="54" t="n">
        <v>20260711</v>
      </c>
      <c r="B2462" s="54" t="s">
        <v>688</v>
      </c>
      <c r="C2462" s="54" t="s">
        <v>307</v>
      </c>
      <c r="D2462" s="54" t="s">
        <v>1518</v>
      </c>
      <c r="E2462" s="54" t="s">
        <v>1519</v>
      </c>
      <c r="F2462" s="54" t="s">
        <v>5493</v>
      </c>
      <c r="G2462" s="54" t="s">
        <v>5494</v>
      </c>
      <c r="H2462" s="54" t="n">
        <v>3886</v>
      </c>
      <c r="I2462" s="54" t="s">
        <v>295</v>
      </c>
      <c r="J2462" s="54" t="s">
        <v>693</v>
      </c>
    </row>
    <row r="2463" customFormat="false" ht="15" hidden="false" customHeight="true" outlineLevel="0" collapsed="false">
      <c r="A2463" s="54" t="n">
        <v>20260711</v>
      </c>
      <c r="B2463" s="54" t="s">
        <v>688</v>
      </c>
      <c r="C2463" s="54" t="s">
        <v>307</v>
      </c>
      <c r="D2463" s="54" t="s">
        <v>1518</v>
      </c>
      <c r="E2463" s="54" t="s">
        <v>1519</v>
      </c>
      <c r="F2463" s="54" t="s">
        <v>5495</v>
      </c>
      <c r="G2463" s="54" t="s">
        <v>5425</v>
      </c>
      <c r="H2463" s="54" t="n">
        <v>10290</v>
      </c>
      <c r="I2463" s="54" t="s">
        <v>295</v>
      </c>
      <c r="J2463" s="54" t="s">
        <v>693</v>
      </c>
    </row>
    <row r="2464" customFormat="false" ht="15" hidden="false" customHeight="true" outlineLevel="0" collapsed="false">
      <c r="A2464" s="54" t="n">
        <v>20260711</v>
      </c>
      <c r="B2464" s="54" t="s">
        <v>688</v>
      </c>
      <c r="C2464" s="54" t="s">
        <v>307</v>
      </c>
      <c r="D2464" s="54" t="s">
        <v>1526</v>
      </c>
      <c r="E2464" s="54" t="s">
        <v>1527</v>
      </c>
      <c r="F2464" s="54" t="s">
        <v>5496</v>
      </c>
      <c r="G2464" s="54" t="s">
        <v>5497</v>
      </c>
      <c r="H2464" s="54" t="n">
        <v>17918</v>
      </c>
      <c r="I2464" s="54" t="s">
        <v>295</v>
      </c>
      <c r="J2464" s="54" t="s">
        <v>693</v>
      </c>
    </row>
    <row r="2465" customFormat="false" ht="15" hidden="false" customHeight="true" outlineLevel="0" collapsed="false">
      <c r="A2465" s="54" t="n">
        <v>20260711</v>
      </c>
      <c r="B2465" s="54" t="s">
        <v>688</v>
      </c>
      <c r="C2465" s="54" t="s">
        <v>307</v>
      </c>
      <c r="D2465" s="54" t="s">
        <v>1526</v>
      </c>
      <c r="E2465" s="54" t="s">
        <v>1527</v>
      </c>
      <c r="F2465" s="54" t="s">
        <v>5498</v>
      </c>
      <c r="G2465" s="54" t="s">
        <v>5499</v>
      </c>
      <c r="H2465" s="54" t="n">
        <v>14232</v>
      </c>
      <c r="I2465" s="54" t="s">
        <v>295</v>
      </c>
      <c r="J2465" s="54" t="s">
        <v>693</v>
      </c>
    </row>
    <row r="2466" customFormat="false" ht="15" hidden="false" customHeight="true" outlineLevel="0" collapsed="false">
      <c r="A2466" s="54" t="n">
        <v>20260711</v>
      </c>
      <c r="B2466" s="54" t="s">
        <v>306</v>
      </c>
      <c r="C2466" s="54" t="s">
        <v>307</v>
      </c>
      <c r="D2466" s="54" t="s">
        <v>1544</v>
      </c>
      <c r="E2466" s="54" t="s">
        <v>1545</v>
      </c>
      <c r="F2466" s="54" t="s">
        <v>5500</v>
      </c>
      <c r="G2466" s="54" t="s">
        <v>5501</v>
      </c>
      <c r="H2466" s="54" t="n">
        <v>19092</v>
      </c>
      <c r="I2466" s="54" t="s">
        <v>295</v>
      </c>
      <c r="J2466" s="54" t="s">
        <v>312</v>
      </c>
    </row>
    <row r="2467" customFormat="false" ht="15" hidden="false" customHeight="true" outlineLevel="0" collapsed="false">
      <c r="A2467" s="54" t="n">
        <v>20260711</v>
      </c>
      <c r="B2467" s="54" t="s">
        <v>306</v>
      </c>
      <c r="C2467" s="54" t="s">
        <v>307</v>
      </c>
      <c r="D2467" s="54" t="s">
        <v>1544</v>
      </c>
      <c r="E2467" s="54" t="s">
        <v>1545</v>
      </c>
      <c r="F2467" s="54" t="s">
        <v>5502</v>
      </c>
      <c r="G2467" s="54" t="s">
        <v>5503</v>
      </c>
      <c r="H2467" s="54" t="n">
        <v>2604</v>
      </c>
      <c r="I2467" s="54" t="s">
        <v>295</v>
      </c>
      <c r="J2467" s="54" t="s">
        <v>312</v>
      </c>
    </row>
    <row r="2468" customFormat="false" ht="15" hidden="false" customHeight="true" outlineLevel="0" collapsed="false">
      <c r="A2468" s="54" t="n">
        <v>20260711</v>
      </c>
      <c r="B2468" s="54" t="s">
        <v>168</v>
      </c>
      <c r="C2468" s="54" t="s">
        <v>290</v>
      </c>
      <c r="D2468" s="54" t="s">
        <v>1560</v>
      </c>
      <c r="E2468" s="54" t="s">
        <v>1561</v>
      </c>
      <c r="F2468" s="54" t="s">
        <v>5504</v>
      </c>
      <c r="G2468" s="54" t="s">
        <v>5505</v>
      </c>
      <c r="H2468" s="54" t="n">
        <v>4027</v>
      </c>
      <c r="I2468" s="54" t="s">
        <v>295</v>
      </c>
      <c r="J2468" s="54" t="s">
        <v>818</v>
      </c>
    </row>
    <row r="2469" customFormat="false" ht="15" hidden="false" customHeight="true" outlineLevel="0" collapsed="false">
      <c r="A2469" s="54" t="n">
        <v>20260711</v>
      </c>
      <c r="B2469" s="54" t="s">
        <v>306</v>
      </c>
      <c r="C2469" s="54" t="s">
        <v>290</v>
      </c>
      <c r="D2469" s="54" t="s">
        <v>5506</v>
      </c>
      <c r="E2469" s="54" t="s">
        <v>5507</v>
      </c>
      <c r="F2469" s="54" t="s">
        <v>5508</v>
      </c>
      <c r="G2469" s="54" t="s">
        <v>5509</v>
      </c>
      <c r="H2469" s="54" t="n">
        <v>3808</v>
      </c>
      <c r="I2469" s="54" t="s">
        <v>295</v>
      </c>
      <c r="J2469" s="54" t="s">
        <v>5510</v>
      </c>
    </row>
    <row r="2470" customFormat="false" ht="15" hidden="false" customHeight="true" outlineLevel="0" collapsed="false">
      <c r="A2470" s="54" t="n">
        <v>20260711</v>
      </c>
      <c r="B2470" s="54" t="s">
        <v>306</v>
      </c>
      <c r="C2470" s="54" t="s">
        <v>290</v>
      </c>
      <c r="D2470" s="54" t="s">
        <v>5506</v>
      </c>
      <c r="E2470" s="54" t="s">
        <v>5507</v>
      </c>
      <c r="F2470" s="54" t="s">
        <v>5511</v>
      </c>
      <c r="G2470" s="54" t="s">
        <v>5512</v>
      </c>
      <c r="H2470" s="54" t="n">
        <v>14069</v>
      </c>
      <c r="I2470" s="54" t="s">
        <v>295</v>
      </c>
      <c r="J2470" s="54" t="s">
        <v>5510</v>
      </c>
    </row>
    <row r="2471" customFormat="false" ht="15" hidden="false" customHeight="true" outlineLevel="0" collapsed="false">
      <c r="A2471" s="54" t="n">
        <v>20260711</v>
      </c>
      <c r="B2471" s="54" t="s">
        <v>289</v>
      </c>
      <c r="C2471" s="54" t="s">
        <v>290</v>
      </c>
      <c r="D2471" s="54" t="s">
        <v>1574</v>
      </c>
      <c r="E2471" s="54" t="s">
        <v>1575</v>
      </c>
      <c r="F2471" s="54" t="s">
        <v>5513</v>
      </c>
      <c r="G2471" s="54" t="s">
        <v>5514</v>
      </c>
      <c r="H2471" s="54" t="n">
        <v>21600</v>
      </c>
      <c r="I2471" s="54" t="s">
        <v>360</v>
      </c>
      <c r="J2471" s="54" t="s">
        <v>569</v>
      </c>
    </row>
    <row r="2472" customFormat="false" ht="15" hidden="false" customHeight="true" outlineLevel="0" collapsed="false">
      <c r="A2472" s="54" t="n">
        <v>20260711</v>
      </c>
      <c r="B2472" s="54" t="s">
        <v>289</v>
      </c>
      <c r="C2472" s="54" t="s">
        <v>290</v>
      </c>
      <c r="D2472" s="54" t="s">
        <v>1574</v>
      </c>
      <c r="E2472" s="54" t="s">
        <v>1575</v>
      </c>
      <c r="F2472" s="54" t="s">
        <v>5513</v>
      </c>
      <c r="G2472" s="54" t="s">
        <v>5514</v>
      </c>
      <c r="H2472" s="54" t="n">
        <v>21600</v>
      </c>
      <c r="I2472" s="54" t="s">
        <v>295</v>
      </c>
      <c r="J2472" s="54" t="s">
        <v>569</v>
      </c>
    </row>
    <row r="2473" customFormat="false" ht="15" hidden="false" customHeight="true" outlineLevel="0" collapsed="false">
      <c r="A2473" s="54" t="n">
        <v>20260711</v>
      </c>
      <c r="B2473" s="54" t="s">
        <v>306</v>
      </c>
      <c r="C2473" s="54" t="s">
        <v>290</v>
      </c>
      <c r="D2473" s="54" t="s">
        <v>1594</v>
      </c>
      <c r="E2473" s="54" t="s">
        <v>1595</v>
      </c>
      <c r="F2473" s="54" t="s">
        <v>5515</v>
      </c>
      <c r="G2473" s="54" t="s">
        <v>5516</v>
      </c>
      <c r="H2473" s="54" t="n">
        <v>21602</v>
      </c>
      <c r="I2473" s="54" t="s">
        <v>295</v>
      </c>
      <c r="J2473" s="54" t="s">
        <v>375</v>
      </c>
    </row>
    <row r="2474" customFormat="false" ht="15" hidden="false" customHeight="true" outlineLevel="0" collapsed="false">
      <c r="A2474" s="54" t="n">
        <v>20260711</v>
      </c>
      <c r="B2474" s="54" t="s">
        <v>306</v>
      </c>
      <c r="C2474" s="54" t="s">
        <v>290</v>
      </c>
      <c r="D2474" s="54" t="s">
        <v>1601</v>
      </c>
      <c r="E2474" s="54" t="s">
        <v>1602</v>
      </c>
      <c r="F2474" s="54" t="s">
        <v>5517</v>
      </c>
      <c r="G2474" s="54" t="s">
        <v>5518</v>
      </c>
      <c r="H2474" s="54" t="n">
        <v>21610</v>
      </c>
      <c r="I2474" s="54" t="s">
        <v>295</v>
      </c>
      <c r="J2474" s="54" t="s">
        <v>779</v>
      </c>
    </row>
    <row r="2475" customFormat="false" ht="15" hidden="false" customHeight="true" outlineLevel="0" collapsed="false">
      <c r="A2475" s="54" t="n">
        <v>20260711</v>
      </c>
      <c r="B2475" s="54" t="s">
        <v>289</v>
      </c>
      <c r="C2475" s="54" t="s">
        <v>290</v>
      </c>
      <c r="D2475" s="54" t="s">
        <v>5519</v>
      </c>
      <c r="E2475" s="54" t="s">
        <v>5520</v>
      </c>
      <c r="F2475" s="54" t="s">
        <v>5521</v>
      </c>
      <c r="G2475" s="54" t="s">
        <v>5522</v>
      </c>
      <c r="H2475" s="54" t="n">
        <v>16430</v>
      </c>
      <c r="I2475" s="54" t="s">
        <v>295</v>
      </c>
      <c r="J2475" s="54" t="s">
        <v>459</v>
      </c>
    </row>
    <row r="2476" customFormat="false" ht="15" hidden="false" customHeight="true" outlineLevel="0" collapsed="false">
      <c r="A2476" s="54" t="n">
        <v>20260711</v>
      </c>
      <c r="B2476" s="54" t="s">
        <v>289</v>
      </c>
      <c r="C2476" s="54" t="s">
        <v>290</v>
      </c>
      <c r="D2476" s="54" t="s">
        <v>5519</v>
      </c>
      <c r="E2476" s="54" t="s">
        <v>5520</v>
      </c>
      <c r="F2476" s="54" t="s">
        <v>5254</v>
      </c>
      <c r="G2476" s="54" t="s">
        <v>5522</v>
      </c>
      <c r="H2476" s="54" t="n">
        <v>16429</v>
      </c>
      <c r="I2476" s="54" t="s">
        <v>360</v>
      </c>
      <c r="J2476" s="54" t="s">
        <v>459</v>
      </c>
    </row>
    <row r="2477" customFormat="false" ht="15" hidden="false" customHeight="true" outlineLevel="0" collapsed="false">
      <c r="A2477" s="54" t="n">
        <v>20260711</v>
      </c>
      <c r="B2477" s="54" t="s">
        <v>289</v>
      </c>
      <c r="C2477" s="54" t="s">
        <v>290</v>
      </c>
      <c r="D2477" s="54" t="s">
        <v>5519</v>
      </c>
      <c r="E2477" s="54" t="s">
        <v>5520</v>
      </c>
      <c r="F2477" s="54" t="s">
        <v>5523</v>
      </c>
      <c r="G2477" s="54" t="s">
        <v>5524</v>
      </c>
      <c r="H2477" s="54" t="n">
        <v>12735</v>
      </c>
      <c r="I2477" s="54" t="s">
        <v>360</v>
      </c>
      <c r="J2477" s="54" t="s">
        <v>459</v>
      </c>
    </row>
    <row r="2478" customFormat="false" ht="15" hidden="false" customHeight="true" outlineLevel="0" collapsed="false">
      <c r="A2478" s="54" t="n">
        <v>20260711</v>
      </c>
      <c r="B2478" s="54" t="s">
        <v>289</v>
      </c>
      <c r="C2478" s="54" t="s">
        <v>290</v>
      </c>
      <c r="D2478" s="54" t="s">
        <v>5519</v>
      </c>
      <c r="E2478" s="54" t="s">
        <v>5520</v>
      </c>
      <c r="F2478" s="54" t="s">
        <v>5523</v>
      </c>
      <c r="G2478" s="54" t="s">
        <v>5524</v>
      </c>
      <c r="H2478" s="54" t="n">
        <v>12735</v>
      </c>
      <c r="I2478" s="54" t="s">
        <v>295</v>
      </c>
      <c r="J2478" s="54" t="s">
        <v>459</v>
      </c>
    </row>
    <row r="2479" customFormat="false" ht="15" hidden="false" customHeight="true" outlineLevel="0" collapsed="false">
      <c r="A2479" s="54" t="n">
        <v>20260711</v>
      </c>
      <c r="B2479" s="54" t="s">
        <v>688</v>
      </c>
      <c r="C2479" s="54" t="s">
        <v>307</v>
      </c>
      <c r="D2479" s="54" t="s">
        <v>5525</v>
      </c>
      <c r="E2479" s="54" t="s">
        <v>5526</v>
      </c>
      <c r="F2479" s="54" t="s">
        <v>5527</v>
      </c>
      <c r="G2479" s="54" t="s">
        <v>5528</v>
      </c>
      <c r="H2479" s="54" t="n">
        <v>18025</v>
      </c>
      <c r="I2479" s="54" t="s">
        <v>295</v>
      </c>
      <c r="J2479" s="54" t="s">
        <v>693</v>
      </c>
    </row>
    <row r="2480" customFormat="false" ht="15" hidden="false" customHeight="true" outlineLevel="0" collapsed="false">
      <c r="A2480" s="54" t="n">
        <v>20260711</v>
      </c>
      <c r="B2480" s="54" t="s">
        <v>688</v>
      </c>
      <c r="C2480" s="54" t="s">
        <v>307</v>
      </c>
      <c r="D2480" s="54" t="s">
        <v>5525</v>
      </c>
      <c r="E2480" s="54" t="s">
        <v>5526</v>
      </c>
      <c r="F2480" s="54" t="s">
        <v>5529</v>
      </c>
      <c r="G2480" s="54" t="s">
        <v>5530</v>
      </c>
      <c r="H2480" s="54" t="n">
        <v>14333</v>
      </c>
      <c r="I2480" s="54" t="s">
        <v>295</v>
      </c>
      <c r="J2480" s="54" t="s">
        <v>693</v>
      </c>
    </row>
    <row r="2481" customFormat="false" ht="15" hidden="false" customHeight="true" outlineLevel="0" collapsed="false">
      <c r="A2481" s="54" t="n">
        <v>20260711</v>
      </c>
      <c r="B2481" s="54" t="s">
        <v>289</v>
      </c>
      <c r="C2481" s="54" t="s">
        <v>290</v>
      </c>
      <c r="D2481" s="54" t="s">
        <v>5531</v>
      </c>
      <c r="E2481" s="54" t="s">
        <v>5532</v>
      </c>
      <c r="F2481" s="54" t="s">
        <v>5533</v>
      </c>
      <c r="G2481" s="54" t="s">
        <v>5534</v>
      </c>
      <c r="H2481" s="54" t="n">
        <v>28800</v>
      </c>
      <c r="I2481" s="54" t="s">
        <v>295</v>
      </c>
      <c r="J2481" s="54" t="s">
        <v>303</v>
      </c>
    </row>
    <row r="2482" customFormat="false" ht="15" hidden="false" customHeight="true" outlineLevel="0" collapsed="false">
      <c r="A2482" s="54" t="n">
        <v>20260711</v>
      </c>
      <c r="B2482" s="54" t="s">
        <v>289</v>
      </c>
      <c r="C2482" s="54" t="s">
        <v>290</v>
      </c>
      <c r="D2482" s="54" t="s">
        <v>1687</v>
      </c>
      <c r="E2482" s="54" t="s">
        <v>1688</v>
      </c>
      <c r="F2482" s="54" t="s">
        <v>5535</v>
      </c>
      <c r="G2482" s="54" t="s">
        <v>5536</v>
      </c>
      <c r="H2482" s="54" t="n">
        <v>16956</v>
      </c>
      <c r="I2482" s="54" t="s">
        <v>295</v>
      </c>
      <c r="J2482" s="54" t="s">
        <v>459</v>
      </c>
    </row>
    <row r="2483" customFormat="false" ht="15" hidden="false" customHeight="true" outlineLevel="0" collapsed="false">
      <c r="A2483" s="54" t="n">
        <v>20260711</v>
      </c>
      <c r="B2483" s="54" t="s">
        <v>289</v>
      </c>
      <c r="C2483" s="54" t="s">
        <v>290</v>
      </c>
      <c r="D2483" s="54" t="s">
        <v>1687</v>
      </c>
      <c r="E2483" s="54" t="s">
        <v>1688</v>
      </c>
      <c r="F2483" s="54" t="s">
        <v>5537</v>
      </c>
      <c r="G2483" s="54" t="s">
        <v>5538</v>
      </c>
      <c r="H2483" s="54" t="n">
        <v>13043</v>
      </c>
      <c r="I2483" s="54" t="s">
        <v>295</v>
      </c>
      <c r="J2483" s="54" t="s">
        <v>459</v>
      </c>
    </row>
    <row r="2484" customFormat="false" ht="15" hidden="false" customHeight="true" outlineLevel="0" collapsed="false">
      <c r="A2484" s="54" t="n">
        <v>20260711</v>
      </c>
      <c r="B2484" s="54" t="s">
        <v>289</v>
      </c>
      <c r="C2484" s="54" t="s">
        <v>307</v>
      </c>
      <c r="D2484" s="54" t="s">
        <v>5539</v>
      </c>
      <c r="E2484" s="54" t="s">
        <v>5540</v>
      </c>
      <c r="F2484" s="54" t="s">
        <v>5541</v>
      </c>
      <c r="G2484" s="54" t="s">
        <v>5542</v>
      </c>
      <c r="H2484" s="54" t="n">
        <v>14473</v>
      </c>
      <c r="I2484" s="54" t="s">
        <v>295</v>
      </c>
      <c r="J2484" s="54" t="s">
        <v>361</v>
      </c>
    </row>
    <row r="2485" customFormat="false" ht="15" hidden="false" customHeight="true" outlineLevel="0" collapsed="false">
      <c r="A2485" s="54" t="n">
        <v>20260711</v>
      </c>
      <c r="B2485" s="54" t="s">
        <v>289</v>
      </c>
      <c r="C2485" s="54" t="s">
        <v>307</v>
      </c>
      <c r="D2485" s="54" t="s">
        <v>5539</v>
      </c>
      <c r="E2485" s="54" t="s">
        <v>5540</v>
      </c>
      <c r="F2485" s="54" t="s">
        <v>5160</v>
      </c>
      <c r="G2485" s="54" t="s">
        <v>5543</v>
      </c>
      <c r="H2485" s="54" t="n">
        <v>13589</v>
      </c>
      <c r="I2485" s="54" t="s">
        <v>295</v>
      </c>
      <c r="J2485" s="54" t="s">
        <v>361</v>
      </c>
    </row>
    <row r="2486" customFormat="false" ht="15" hidden="false" customHeight="true" outlineLevel="0" collapsed="false">
      <c r="A2486" s="54" t="n">
        <v>20260711</v>
      </c>
      <c r="B2486" s="54" t="s">
        <v>289</v>
      </c>
      <c r="C2486" s="54" t="s">
        <v>307</v>
      </c>
      <c r="D2486" s="54" t="s">
        <v>5539</v>
      </c>
      <c r="E2486" s="54" t="s">
        <v>5540</v>
      </c>
      <c r="F2486" s="54" t="s">
        <v>5544</v>
      </c>
      <c r="G2486" s="54" t="s">
        <v>5545</v>
      </c>
      <c r="H2486" s="54" t="n">
        <v>793</v>
      </c>
      <c r="I2486" s="54" t="s">
        <v>295</v>
      </c>
      <c r="J2486" s="54" t="s">
        <v>361</v>
      </c>
    </row>
    <row r="2487" customFormat="false" ht="15" hidden="false" customHeight="true" outlineLevel="0" collapsed="false">
      <c r="A2487" s="54" t="n">
        <v>20260711</v>
      </c>
      <c r="B2487" s="54" t="s">
        <v>289</v>
      </c>
      <c r="C2487" s="54" t="s">
        <v>290</v>
      </c>
      <c r="D2487" s="54" t="s">
        <v>1699</v>
      </c>
      <c r="E2487" s="54" t="s">
        <v>1700</v>
      </c>
      <c r="F2487" s="54" t="s">
        <v>5546</v>
      </c>
      <c r="G2487" s="54" t="s">
        <v>5404</v>
      </c>
      <c r="H2487" s="54" t="n">
        <v>14971</v>
      </c>
      <c r="I2487" s="54" t="s">
        <v>295</v>
      </c>
      <c r="J2487" s="54" t="s">
        <v>578</v>
      </c>
    </row>
    <row r="2488" customFormat="false" ht="15" hidden="false" customHeight="true" outlineLevel="0" collapsed="false">
      <c r="A2488" s="54" t="n">
        <v>20260711</v>
      </c>
      <c r="B2488" s="54" t="s">
        <v>289</v>
      </c>
      <c r="C2488" s="54" t="s">
        <v>290</v>
      </c>
      <c r="D2488" s="54" t="s">
        <v>1699</v>
      </c>
      <c r="E2488" s="54" t="s">
        <v>1700</v>
      </c>
      <c r="F2488" s="54" t="s">
        <v>5547</v>
      </c>
      <c r="G2488" s="54" t="s">
        <v>5220</v>
      </c>
      <c r="H2488" s="54" t="n">
        <v>14480</v>
      </c>
      <c r="I2488" s="54" t="s">
        <v>295</v>
      </c>
      <c r="J2488" s="54" t="s">
        <v>578</v>
      </c>
    </row>
    <row r="2489" customFormat="false" ht="15" hidden="false" customHeight="true" outlineLevel="0" collapsed="false">
      <c r="A2489" s="54" t="n">
        <v>20260711</v>
      </c>
      <c r="B2489" s="54" t="s">
        <v>289</v>
      </c>
      <c r="C2489" s="54" t="s">
        <v>290</v>
      </c>
      <c r="D2489" s="54" t="s">
        <v>1712</v>
      </c>
      <c r="E2489" s="54" t="s">
        <v>1713</v>
      </c>
      <c r="F2489" s="54" t="s">
        <v>5548</v>
      </c>
      <c r="G2489" s="54" t="s">
        <v>5549</v>
      </c>
      <c r="H2489" s="54" t="n">
        <v>19709</v>
      </c>
      <c r="I2489" s="54" t="s">
        <v>295</v>
      </c>
      <c r="J2489" s="54" t="s">
        <v>578</v>
      </c>
    </row>
    <row r="2490" customFormat="false" ht="15" hidden="false" customHeight="true" outlineLevel="0" collapsed="false">
      <c r="A2490" s="54" t="n">
        <v>20260711</v>
      </c>
      <c r="B2490" s="54" t="s">
        <v>289</v>
      </c>
      <c r="C2490" s="54" t="s">
        <v>290</v>
      </c>
      <c r="D2490" s="54" t="s">
        <v>1712</v>
      </c>
      <c r="E2490" s="54" t="s">
        <v>1713</v>
      </c>
      <c r="F2490" s="54" t="s">
        <v>5550</v>
      </c>
      <c r="G2490" s="54" t="s">
        <v>5551</v>
      </c>
      <c r="H2490" s="54" t="n">
        <v>45</v>
      </c>
      <c r="I2490" s="54" t="s">
        <v>295</v>
      </c>
      <c r="J2490" s="54" t="s">
        <v>578</v>
      </c>
    </row>
    <row r="2491" customFormat="false" ht="15" hidden="false" customHeight="true" outlineLevel="0" collapsed="false">
      <c r="A2491" s="54" t="n">
        <v>20260711</v>
      </c>
      <c r="B2491" s="54" t="s">
        <v>289</v>
      </c>
      <c r="C2491" s="54" t="s">
        <v>290</v>
      </c>
      <c r="D2491" s="54" t="s">
        <v>1712</v>
      </c>
      <c r="E2491" s="54" t="s">
        <v>1713</v>
      </c>
      <c r="F2491" s="54" t="s">
        <v>5552</v>
      </c>
      <c r="G2491" s="54" t="s">
        <v>5553</v>
      </c>
      <c r="H2491" s="54" t="n">
        <v>3411</v>
      </c>
      <c r="I2491" s="54" t="s">
        <v>295</v>
      </c>
      <c r="J2491" s="54" t="s">
        <v>578</v>
      </c>
    </row>
    <row r="2492" customFormat="false" ht="15" hidden="false" customHeight="true" outlineLevel="0" collapsed="false">
      <c r="A2492" s="54" t="n">
        <v>20260711</v>
      </c>
      <c r="B2492" s="54" t="s">
        <v>289</v>
      </c>
      <c r="C2492" s="54" t="s">
        <v>290</v>
      </c>
      <c r="D2492" s="54" t="s">
        <v>1712</v>
      </c>
      <c r="E2492" s="54" t="s">
        <v>1713</v>
      </c>
      <c r="F2492" s="54" t="s">
        <v>5554</v>
      </c>
      <c r="G2492" s="54" t="s">
        <v>5555</v>
      </c>
      <c r="H2492" s="54" t="n">
        <v>5460</v>
      </c>
      <c r="I2492" s="54" t="s">
        <v>295</v>
      </c>
      <c r="J2492" s="54" t="s">
        <v>578</v>
      </c>
    </row>
    <row r="2493" customFormat="false" ht="15" hidden="false" customHeight="true" outlineLevel="0" collapsed="false">
      <c r="A2493" s="54" t="n">
        <v>20260711</v>
      </c>
      <c r="B2493" s="54" t="s">
        <v>289</v>
      </c>
      <c r="C2493" s="54" t="s">
        <v>307</v>
      </c>
      <c r="D2493" s="54" t="s">
        <v>1720</v>
      </c>
      <c r="E2493" s="54" t="s">
        <v>1721</v>
      </c>
      <c r="F2493" s="54" t="s">
        <v>5556</v>
      </c>
      <c r="G2493" s="54" t="s">
        <v>5557</v>
      </c>
      <c r="H2493" s="54" t="n">
        <v>17190</v>
      </c>
      <c r="I2493" s="54" t="s">
        <v>295</v>
      </c>
      <c r="J2493" s="54" t="s">
        <v>1659</v>
      </c>
    </row>
    <row r="2494" customFormat="false" ht="15" hidden="false" customHeight="true" outlineLevel="0" collapsed="false">
      <c r="A2494" s="54" t="n">
        <v>20260711</v>
      </c>
      <c r="B2494" s="54" t="s">
        <v>289</v>
      </c>
      <c r="C2494" s="54" t="s">
        <v>307</v>
      </c>
      <c r="D2494" s="54" t="s">
        <v>1720</v>
      </c>
      <c r="E2494" s="54" t="s">
        <v>1721</v>
      </c>
      <c r="F2494" s="54" t="s">
        <v>5558</v>
      </c>
      <c r="G2494" s="54" t="s">
        <v>5559</v>
      </c>
      <c r="H2494" s="54" t="n">
        <v>11778</v>
      </c>
      <c r="I2494" s="54" t="s">
        <v>295</v>
      </c>
      <c r="J2494" s="54" t="s">
        <v>1659</v>
      </c>
    </row>
    <row r="2495" customFormat="false" ht="15" hidden="false" customHeight="true" outlineLevel="0" collapsed="false">
      <c r="A2495" s="54" t="n">
        <v>20260711</v>
      </c>
      <c r="B2495" s="54" t="s">
        <v>688</v>
      </c>
      <c r="C2495" s="54" t="s">
        <v>290</v>
      </c>
      <c r="D2495" s="54" t="s">
        <v>1731</v>
      </c>
      <c r="E2495" s="54" t="s">
        <v>1732</v>
      </c>
      <c r="F2495" s="54" t="s">
        <v>5560</v>
      </c>
      <c r="G2495" s="54" t="s">
        <v>5561</v>
      </c>
      <c r="H2495" s="54" t="n">
        <v>14430</v>
      </c>
      <c r="I2495" s="54" t="s">
        <v>295</v>
      </c>
      <c r="J2495" s="54" t="s">
        <v>997</v>
      </c>
    </row>
    <row r="2496" customFormat="false" ht="15" hidden="false" customHeight="true" outlineLevel="0" collapsed="false">
      <c r="A2496" s="54" t="n">
        <v>20260711</v>
      </c>
      <c r="B2496" s="54" t="s">
        <v>688</v>
      </c>
      <c r="C2496" s="54" t="s">
        <v>290</v>
      </c>
      <c r="D2496" s="54" t="s">
        <v>1731</v>
      </c>
      <c r="E2496" s="54" t="s">
        <v>1732</v>
      </c>
      <c r="F2496" s="54" t="s">
        <v>5562</v>
      </c>
      <c r="G2496" s="54" t="s">
        <v>5563</v>
      </c>
      <c r="H2496" s="54" t="n">
        <v>14514</v>
      </c>
      <c r="I2496" s="54" t="s">
        <v>295</v>
      </c>
      <c r="J2496" s="54" t="s">
        <v>997</v>
      </c>
    </row>
    <row r="2497" customFormat="false" ht="15" hidden="false" customHeight="true" outlineLevel="0" collapsed="false">
      <c r="A2497" s="54" t="n">
        <v>20260711</v>
      </c>
      <c r="B2497" s="54" t="s">
        <v>497</v>
      </c>
      <c r="C2497" s="54" t="s">
        <v>290</v>
      </c>
      <c r="D2497" s="54" t="s">
        <v>1745</v>
      </c>
      <c r="E2497" s="54" t="s">
        <v>1746</v>
      </c>
      <c r="F2497" s="54" t="s">
        <v>5564</v>
      </c>
      <c r="G2497" s="54" t="s">
        <v>5565</v>
      </c>
      <c r="H2497" s="54" t="n">
        <v>14135</v>
      </c>
      <c r="I2497" s="54" t="s">
        <v>295</v>
      </c>
      <c r="J2497" s="54" t="s">
        <v>1095</v>
      </c>
    </row>
    <row r="2498" customFormat="false" ht="15" hidden="false" customHeight="true" outlineLevel="0" collapsed="false">
      <c r="A2498" s="54" t="n">
        <v>20260711</v>
      </c>
      <c r="B2498" s="54" t="s">
        <v>289</v>
      </c>
      <c r="C2498" s="54" t="s">
        <v>290</v>
      </c>
      <c r="D2498" s="54" t="s">
        <v>1767</v>
      </c>
      <c r="E2498" s="54" t="s">
        <v>1768</v>
      </c>
      <c r="F2498" s="54" t="s">
        <v>5566</v>
      </c>
      <c r="G2498" s="54" t="s">
        <v>5567</v>
      </c>
      <c r="H2498" s="54" t="n">
        <v>16367</v>
      </c>
      <c r="I2498" s="54" t="s">
        <v>360</v>
      </c>
      <c r="J2498" s="54" t="s">
        <v>459</v>
      </c>
    </row>
    <row r="2499" customFormat="false" ht="15" hidden="false" customHeight="true" outlineLevel="0" collapsed="false">
      <c r="A2499" s="54" t="n">
        <v>20260711</v>
      </c>
      <c r="B2499" s="54" t="s">
        <v>289</v>
      </c>
      <c r="C2499" s="54" t="s">
        <v>290</v>
      </c>
      <c r="D2499" s="54" t="s">
        <v>1767</v>
      </c>
      <c r="E2499" s="54" t="s">
        <v>1768</v>
      </c>
      <c r="F2499" s="54" t="s">
        <v>5566</v>
      </c>
      <c r="G2499" s="54" t="s">
        <v>5567</v>
      </c>
      <c r="H2499" s="54" t="n">
        <v>16367</v>
      </c>
      <c r="I2499" s="54" t="s">
        <v>295</v>
      </c>
      <c r="J2499" s="54" t="s">
        <v>459</v>
      </c>
    </row>
    <row r="2500" customFormat="false" ht="15" hidden="false" customHeight="true" outlineLevel="0" collapsed="false">
      <c r="A2500" s="54" t="n">
        <v>20260711</v>
      </c>
      <c r="B2500" s="54" t="s">
        <v>289</v>
      </c>
      <c r="C2500" s="54" t="s">
        <v>290</v>
      </c>
      <c r="D2500" s="54" t="s">
        <v>1767</v>
      </c>
      <c r="E2500" s="54" t="s">
        <v>1768</v>
      </c>
      <c r="F2500" s="54" t="s">
        <v>5568</v>
      </c>
      <c r="G2500" s="54" t="s">
        <v>5569</v>
      </c>
      <c r="H2500" s="54" t="n">
        <v>12513</v>
      </c>
      <c r="I2500" s="54" t="s">
        <v>360</v>
      </c>
      <c r="J2500" s="54" t="s">
        <v>459</v>
      </c>
    </row>
    <row r="2501" customFormat="false" ht="15" hidden="false" customHeight="true" outlineLevel="0" collapsed="false">
      <c r="A2501" s="54" t="n">
        <v>20260711</v>
      </c>
      <c r="B2501" s="54" t="s">
        <v>289</v>
      </c>
      <c r="C2501" s="54" t="s">
        <v>290</v>
      </c>
      <c r="D2501" s="54" t="s">
        <v>1767</v>
      </c>
      <c r="E2501" s="54" t="s">
        <v>1768</v>
      </c>
      <c r="F2501" s="54" t="s">
        <v>5568</v>
      </c>
      <c r="G2501" s="54" t="s">
        <v>5569</v>
      </c>
      <c r="H2501" s="54" t="n">
        <v>12513</v>
      </c>
      <c r="I2501" s="54" t="s">
        <v>295</v>
      </c>
      <c r="J2501" s="54" t="s">
        <v>459</v>
      </c>
    </row>
    <row r="2502" customFormat="false" ht="15" hidden="false" customHeight="true" outlineLevel="0" collapsed="false">
      <c r="A2502" s="54" t="n">
        <v>20260711</v>
      </c>
      <c r="B2502" s="54" t="s">
        <v>289</v>
      </c>
      <c r="C2502" s="54" t="s">
        <v>290</v>
      </c>
      <c r="D2502" s="54" t="s">
        <v>5570</v>
      </c>
      <c r="E2502" s="54" t="s">
        <v>5571</v>
      </c>
      <c r="F2502" s="54" t="s">
        <v>5572</v>
      </c>
      <c r="G2502" s="54" t="s">
        <v>5573</v>
      </c>
      <c r="H2502" s="54" t="n">
        <v>16916</v>
      </c>
      <c r="I2502" s="54" t="s">
        <v>295</v>
      </c>
      <c r="J2502" s="54" t="s">
        <v>459</v>
      </c>
    </row>
    <row r="2503" customFormat="false" ht="15" hidden="false" customHeight="true" outlineLevel="0" collapsed="false">
      <c r="A2503" s="54" t="n">
        <v>20260711</v>
      </c>
      <c r="B2503" s="54" t="s">
        <v>289</v>
      </c>
      <c r="C2503" s="54" t="s">
        <v>290</v>
      </c>
      <c r="D2503" s="54" t="s">
        <v>5570</v>
      </c>
      <c r="E2503" s="54" t="s">
        <v>5571</v>
      </c>
      <c r="F2503" s="54" t="s">
        <v>5574</v>
      </c>
      <c r="G2503" s="54" t="s">
        <v>5575</v>
      </c>
      <c r="H2503" s="54" t="n">
        <v>12760</v>
      </c>
      <c r="I2503" s="54" t="s">
        <v>295</v>
      </c>
      <c r="J2503" s="54" t="s">
        <v>459</v>
      </c>
    </row>
    <row r="2504" customFormat="false" ht="15" hidden="false" customHeight="true" outlineLevel="0" collapsed="false">
      <c r="A2504" s="54" t="n">
        <v>20260711</v>
      </c>
      <c r="B2504" s="54" t="s">
        <v>289</v>
      </c>
      <c r="C2504" s="54" t="s">
        <v>290</v>
      </c>
      <c r="D2504" s="54" t="s">
        <v>5570</v>
      </c>
      <c r="E2504" s="54" t="s">
        <v>5571</v>
      </c>
      <c r="F2504" s="54" t="s">
        <v>5576</v>
      </c>
      <c r="G2504" s="54" t="s">
        <v>5577</v>
      </c>
      <c r="H2504" s="54" t="n">
        <v>76</v>
      </c>
      <c r="I2504" s="54" t="s">
        <v>295</v>
      </c>
      <c r="J2504" s="54" t="s">
        <v>459</v>
      </c>
    </row>
    <row r="2505" customFormat="false" ht="15" hidden="false" customHeight="true" outlineLevel="0" collapsed="false">
      <c r="A2505" s="54" t="n">
        <v>20260711</v>
      </c>
      <c r="B2505" s="54" t="s">
        <v>306</v>
      </c>
      <c r="C2505" s="54" t="s">
        <v>290</v>
      </c>
      <c r="D2505" s="54" t="s">
        <v>5578</v>
      </c>
      <c r="E2505" s="54" t="s">
        <v>5579</v>
      </c>
      <c r="F2505" s="54" t="s">
        <v>5580</v>
      </c>
      <c r="G2505" s="54" t="s">
        <v>5581</v>
      </c>
      <c r="H2505" s="54" t="n">
        <v>21735</v>
      </c>
      <c r="I2505" s="54" t="s">
        <v>295</v>
      </c>
      <c r="J2505" s="54" t="s">
        <v>1067</v>
      </c>
    </row>
    <row r="2506" customFormat="false" ht="15" hidden="false" customHeight="true" outlineLevel="0" collapsed="false">
      <c r="A2506" s="54" t="n">
        <v>20260711</v>
      </c>
      <c r="B2506" s="54" t="s">
        <v>497</v>
      </c>
      <c r="C2506" s="54" t="s">
        <v>307</v>
      </c>
      <c r="D2506" s="54" t="s">
        <v>1796</v>
      </c>
      <c r="E2506" s="54" t="s">
        <v>1797</v>
      </c>
      <c r="F2506" s="54" t="s">
        <v>5582</v>
      </c>
      <c r="G2506" s="54" t="s">
        <v>5404</v>
      </c>
      <c r="H2506" s="54" t="n">
        <v>15529</v>
      </c>
      <c r="I2506" s="54" t="s">
        <v>295</v>
      </c>
      <c r="J2506" s="54" t="s">
        <v>502</v>
      </c>
    </row>
    <row r="2507" customFormat="false" ht="15" hidden="false" customHeight="true" outlineLevel="0" collapsed="false">
      <c r="A2507" s="54" t="n">
        <v>20260711</v>
      </c>
      <c r="B2507" s="54" t="s">
        <v>497</v>
      </c>
      <c r="C2507" s="54" t="s">
        <v>307</v>
      </c>
      <c r="D2507" s="54" t="s">
        <v>1796</v>
      </c>
      <c r="E2507" s="54" t="s">
        <v>1797</v>
      </c>
      <c r="F2507" s="54" t="s">
        <v>5583</v>
      </c>
      <c r="G2507" s="54" t="s">
        <v>5584</v>
      </c>
      <c r="H2507" s="54" t="n">
        <v>15536</v>
      </c>
      <c r="I2507" s="54" t="s">
        <v>315</v>
      </c>
      <c r="J2507" s="54" t="s">
        <v>502</v>
      </c>
    </row>
    <row r="2508" customFormat="false" ht="15" hidden="false" customHeight="true" outlineLevel="0" collapsed="false">
      <c r="A2508" s="54" t="n">
        <v>20260711</v>
      </c>
      <c r="B2508" s="54" t="s">
        <v>497</v>
      </c>
      <c r="C2508" s="54" t="s">
        <v>307</v>
      </c>
      <c r="D2508" s="54" t="s">
        <v>1805</v>
      </c>
      <c r="E2508" s="54" t="s">
        <v>1806</v>
      </c>
      <c r="F2508" s="54" t="s">
        <v>5585</v>
      </c>
      <c r="G2508" s="54" t="s">
        <v>5586</v>
      </c>
      <c r="H2508" s="54" t="n">
        <v>14368</v>
      </c>
      <c r="I2508" s="54" t="s">
        <v>295</v>
      </c>
      <c r="J2508" s="54" t="s">
        <v>894</v>
      </c>
    </row>
    <row r="2509" customFormat="false" ht="15" hidden="false" customHeight="true" outlineLevel="0" collapsed="false">
      <c r="A2509" s="54" t="n">
        <v>20260711</v>
      </c>
      <c r="B2509" s="54" t="s">
        <v>289</v>
      </c>
      <c r="C2509" s="54" t="s">
        <v>307</v>
      </c>
      <c r="D2509" s="54" t="s">
        <v>5587</v>
      </c>
      <c r="E2509" s="54" t="s">
        <v>5588</v>
      </c>
      <c r="F2509" s="54" t="s">
        <v>5589</v>
      </c>
      <c r="G2509" s="54" t="s">
        <v>5590</v>
      </c>
      <c r="H2509" s="54" t="n">
        <v>20686</v>
      </c>
      <c r="I2509" s="54" t="s">
        <v>295</v>
      </c>
      <c r="J2509" s="54" t="s">
        <v>1659</v>
      </c>
    </row>
    <row r="2510" customFormat="false" ht="15" hidden="false" customHeight="true" outlineLevel="0" collapsed="false">
      <c r="A2510" s="54" t="n">
        <v>20260711</v>
      </c>
      <c r="B2510" s="54" t="s">
        <v>289</v>
      </c>
      <c r="C2510" s="54" t="s">
        <v>307</v>
      </c>
      <c r="D2510" s="54" t="s">
        <v>5587</v>
      </c>
      <c r="E2510" s="54" t="s">
        <v>5588</v>
      </c>
      <c r="F2510" s="54" t="s">
        <v>5591</v>
      </c>
      <c r="G2510" s="54" t="s">
        <v>5592</v>
      </c>
      <c r="H2510" s="54" t="n">
        <v>8494</v>
      </c>
      <c r="I2510" s="54" t="s">
        <v>295</v>
      </c>
      <c r="J2510" s="54" t="s">
        <v>1659</v>
      </c>
    </row>
    <row r="2511" customFormat="false" ht="15" hidden="false" customHeight="true" outlineLevel="0" collapsed="false">
      <c r="A2511" s="54" t="n">
        <v>20260711</v>
      </c>
      <c r="B2511" s="54" t="s">
        <v>688</v>
      </c>
      <c r="C2511" s="54" t="s">
        <v>307</v>
      </c>
      <c r="D2511" s="54" t="s">
        <v>5593</v>
      </c>
      <c r="E2511" s="54" t="s">
        <v>5594</v>
      </c>
      <c r="F2511" s="54" t="s">
        <v>5595</v>
      </c>
      <c r="G2511" s="54" t="s">
        <v>5596</v>
      </c>
      <c r="H2511" s="54" t="n">
        <v>5405</v>
      </c>
      <c r="I2511" s="54" t="s">
        <v>295</v>
      </c>
      <c r="J2511" s="54" t="s">
        <v>693</v>
      </c>
    </row>
    <row r="2512" customFormat="false" ht="15" hidden="false" customHeight="true" outlineLevel="0" collapsed="false">
      <c r="A2512" s="54" t="n">
        <v>20260711</v>
      </c>
      <c r="B2512" s="54" t="s">
        <v>688</v>
      </c>
      <c r="C2512" s="54" t="s">
        <v>307</v>
      </c>
      <c r="D2512" s="54" t="s">
        <v>5593</v>
      </c>
      <c r="E2512" s="54" t="s">
        <v>5594</v>
      </c>
      <c r="F2512" s="54" t="s">
        <v>5597</v>
      </c>
      <c r="G2512" s="54" t="s">
        <v>5598</v>
      </c>
      <c r="H2512" s="54" t="n">
        <v>1856</v>
      </c>
      <c r="I2512" s="54" t="s">
        <v>295</v>
      </c>
      <c r="J2512" s="54" t="s">
        <v>693</v>
      </c>
    </row>
    <row r="2513" customFormat="false" ht="15" hidden="false" customHeight="true" outlineLevel="0" collapsed="false">
      <c r="A2513" s="54" t="n">
        <v>20260711</v>
      </c>
      <c r="B2513" s="54" t="s">
        <v>688</v>
      </c>
      <c r="C2513" s="54" t="s">
        <v>307</v>
      </c>
      <c r="D2513" s="54" t="s">
        <v>5593</v>
      </c>
      <c r="E2513" s="54" t="s">
        <v>5594</v>
      </c>
      <c r="F2513" s="54" t="s">
        <v>5599</v>
      </c>
      <c r="G2513" s="54" t="s">
        <v>5600</v>
      </c>
      <c r="H2513" s="54" t="n">
        <v>8207</v>
      </c>
      <c r="I2513" s="54" t="s">
        <v>295</v>
      </c>
      <c r="J2513" s="54" t="s">
        <v>693</v>
      </c>
    </row>
    <row r="2514" customFormat="false" ht="15" hidden="false" customHeight="true" outlineLevel="0" collapsed="false">
      <c r="A2514" s="54" t="n">
        <v>20260711</v>
      </c>
      <c r="B2514" s="54" t="s">
        <v>688</v>
      </c>
      <c r="C2514" s="54" t="s">
        <v>307</v>
      </c>
      <c r="D2514" s="54" t="s">
        <v>5593</v>
      </c>
      <c r="E2514" s="54" t="s">
        <v>5594</v>
      </c>
      <c r="F2514" s="54" t="s">
        <v>5601</v>
      </c>
      <c r="G2514" s="54" t="s">
        <v>5602</v>
      </c>
      <c r="H2514" s="54" t="n">
        <v>9138</v>
      </c>
      <c r="I2514" s="54" t="s">
        <v>295</v>
      </c>
      <c r="J2514" s="54" t="s">
        <v>693</v>
      </c>
    </row>
    <row r="2515" customFormat="false" ht="15" hidden="false" customHeight="true" outlineLevel="0" collapsed="false">
      <c r="A2515" s="54" t="n">
        <v>20260711</v>
      </c>
      <c r="B2515" s="54" t="s">
        <v>289</v>
      </c>
      <c r="C2515" s="54" t="s">
        <v>307</v>
      </c>
      <c r="D2515" s="54" t="s">
        <v>5603</v>
      </c>
      <c r="E2515" s="54" t="s">
        <v>5604</v>
      </c>
      <c r="F2515" s="54" t="s">
        <v>5605</v>
      </c>
      <c r="G2515" s="54" t="s">
        <v>5606</v>
      </c>
      <c r="H2515" s="54" t="n">
        <v>14626</v>
      </c>
      <c r="I2515" s="54" t="s">
        <v>295</v>
      </c>
      <c r="J2515" s="54" t="s">
        <v>1074</v>
      </c>
    </row>
    <row r="2516" customFormat="false" ht="15" hidden="false" customHeight="true" outlineLevel="0" collapsed="false">
      <c r="A2516" s="54" t="n">
        <v>20260711</v>
      </c>
      <c r="B2516" s="54" t="s">
        <v>289</v>
      </c>
      <c r="C2516" s="54" t="s">
        <v>307</v>
      </c>
      <c r="D2516" s="54" t="s">
        <v>5603</v>
      </c>
      <c r="E2516" s="54" t="s">
        <v>5604</v>
      </c>
      <c r="F2516" s="54" t="s">
        <v>5607</v>
      </c>
      <c r="G2516" s="54" t="s">
        <v>5545</v>
      </c>
      <c r="H2516" s="54" t="n">
        <v>14448</v>
      </c>
      <c r="I2516" s="54" t="s">
        <v>295</v>
      </c>
      <c r="J2516" s="54" t="s">
        <v>1074</v>
      </c>
    </row>
    <row r="2517" customFormat="false" ht="15" hidden="false" customHeight="true" outlineLevel="0" collapsed="false">
      <c r="A2517" s="54" t="n">
        <v>20260711</v>
      </c>
      <c r="B2517" s="54" t="s">
        <v>168</v>
      </c>
      <c r="C2517" s="54" t="s">
        <v>290</v>
      </c>
      <c r="D2517" s="54" t="s">
        <v>1887</v>
      </c>
      <c r="E2517" s="54" t="s">
        <v>1888</v>
      </c>
      <c r="F2517" s="54" t="s">
        <v>5608</v>
      </c>
      <c r="G2517" s="54" t="s">
        <v>5609</v>
      </c>
      <c r="H2517" s="54" t="n">
        <v>16815</v>
      </c>
      <c r="I2517" s="54" t="s">
        <v>295</v>
      </c>
      <c r="J2517" s="54" t="s">
        <v>516</v>
      </c>
    </row>
    <row r="2518" customFormat="false" ht="15" hidden="false" customHeight="true" outlineLevel="0" collapsed="false">
      <c r="A2518" s="54" t="n">
        <v>20260711</v>
      </c>
      <c r="B2518" s="54" t="s">
        <v>168</v>
      </c>
      <c r="C2518" s="54" t="s">
        <v>290</v>
      </c>
      <c r="D2518" s="54" t="s">
        <v>1887</v>
      </c>
      <c r="E2518" s="54" t="s">
        <v>1888</v>
      </c>
      <c r="F2518" s="54" t="s">
        <v>5610</v>
      </c>
      <c r="G2518" s="54" t="s">
        <v>5611</v>
      </c>
      <c r="H2518" s="54" t="n">
        <v>13473</v>
      </c>
      <c r="I2518" s="54" t="s">
        <v>295</v>
      </c>
      <c r="J2518" s="54" t="s">
        <v>516</v>
      </c>
    </row>
    <row r="2519" customFormat="false" ht="15" hidden="false" customHeight="true" outlineLevel="0" collapsed="false">
      <c r="A2519" s="54" t="n">
        <v>20260711</v>
      </c>
      <c r="B2519" s="54" t="s">
        <v>306</v>
      </c>
      <c r="C2519" s="54" t="s">
        <v>290</v>
      </c>
      <c r="D2519" s="54" t="s">
        <v>1894</v>
      </c>
      <c r="E2519" s="54" t="s">
        <v>1895</v>
      </c>
      <c r="F2519" s="54" t="s">
        <v>5612</v>
      </c>
      <c r="G2519" s="54" t="s">
        <v>5160</v>
      </c>
      <c r="H2519" s="54" t="n">
        <v>21604</v>
      </c>
      <c r="I2519" s="54" t="s">
        <v>295</v>
      </c>
      <c r="J2519" s="54" t="s">
        <v>989</v>
      </c>
    </row>
    <row r="2520" customFormat="false" ht="15" hidden="false" customHeight="true" outlineLevel="0" collapsed="false">
      <c r="A2520" s="54" t="n">
        <v>20260711</v>
      </c>
      <c r="B2520" s="54" t="s">
        <v>497</v>
      </c>
      <c r="C2520" s="54" t="s">
        <v>290</v>
      </c>
      <c r="D2520" s="54" t="s">
        <v>1898</v>
      </c>
      <c r="E2520" s="54" t="s">
        <v>1899</v>
      </c>
      <c r="F2520" s="54" t="s">
        <v>5613</v>
      </c>
      <c r="G2520" s="54" t="s">
        <v>5614</v>
      </c>
      <c r="H2520" s="54" t="n">
        <v>14420</v>
      </c>
      <c r="I2520" s="54" t="s">
        <v>295</v>
      </c>
      <c r="J2520" s="54" t="s">
        <v>811</v>
      </c>
    </row>
    <row r="2521" customFormat="false" ht="15" hidden="false" customHeight="true" outlineLevel="0" collapsed="false">
      <c r="A2521" s="54" t="n">
        <v>20260711</v>
      </c>
      <c r="B2521" s="54" t="s">
        <v>306</v>
      </c>
      <c r="C2521" s="54" t="s">
        <v>307</v>
      </c>
      <c r="D2521" s="54" t="s">
        <v>1923</v>
      </c>
      <c r="E2521" s="54" t="s">
        <v>1924</v>
      </c>
      <c r="F2521" s="54" t="s">
        <v>5615</v>
      </c>
      <c r="G2521" s="54" t="s">
        <v>5616</v>
      </c>
      <c r="H2521" s="54" t="n">
        <v>15299</v>
      </c>
      <c r="I2521" s="54" t="s">
        <v>315</v>
      </c>
      <c r="J2521" s="54" t="s">
        <v>312</v>
      </c>
    </row>
    <row r="2522" customFormat="false" ht="15" hidden="false" customHeight="true" outlineLevel="0" collapsed="false">
      <c r="A2522" s="54" t="n">
        <v>20260711</v>
      </c>
      <c r="B2522" s="54" t="s">
        <v>306</v>
      </c>
      <c r="C2522" s="54" t="s">
        <v>307</v>
      </c>
      <c r="D2522" s="54" t="s">
        <v>1923</v>
      </c>
      <c r="E2522" s="54" t="s">
        <v>1924</v>
      </c>
      <c r="F2522" s="54" t="s">
        <v>5617</v>
      </c>
      <c r="G2522" s="54" t="s">
        <v>5616</v>
      </c>
      <c r="H2522" s="54" t="n">
        <v>14916</v>
      </c>
      <c r="I2522" s="54" t="s">
        <v>295</v>
      </c>
      <c r="J2522" s="54" t="s">
        <v>312</v>
      </c>
    </row>
    <row r="2523" customFormat="false" ht="15" hidden="false" customHeight="true" outlineLevel="0" collapsed="false">
      <c r="A2523" s="54" t="n">
        <v>20260711</v>
      </c>
      <c r="B2523" s="54" t="s">
        <v>306</v>
      </c>
      <c r="C2523" s="54" t="s">
        <v>307</v>
      </c>
      <c r="D2523" s="54" t="s">
        <v>1923</v>
      </c>
      <c r="E2523" s="54" t="s">
        <v>1924</v>
      </c>
      <c r="F2523" s="54" t="s">
        <v>5618</v>
      </c>
      <c r="G2523" s="54" t="s">
        <v>5198</v>
      </c>
      <c r="H2523" s="54" t="n">
        <v>6862</v>
      </c>
      <c r="I2523" s="54" t="s">
        <v>315</v>
      </c>
      <c r="J2523" s="54" t="s">
        <v>312</v>
      </c>
    </row>
    <row r="2524" customFormat="false" ht="15" hidden="false" customHeight="true" outlineLevel="0" collapsed="false">
      <c r="A2524" s="54" t="n">
        <v>20260711</v>
      </c>
      <c r="B2524" s="54" t="s">
        <v>306</v>
      </c>
      <c r="C2524" s="54" t="s">
        <v>307</v>
      </c>
      <c r="D2524" s="54" t="s">
        <v>1923</v>
      </c>
      <c r="E2524" s="54" t="s">
        <v>1924</v>
      </c>
      <c r="F2524" s="54" t="s">
        <v>5618</v>
      </c>
      <c r="G2524" s="54" t="s">
        <v>5198</v>
      </c>
      <c r="H2524" s="54" t="n">
        <v>6862</v>
      </c>
      <c r="I2524" s="54" t="s">
        <v>295</v>
      </c>
      <c r="J2524" s="54" t="s">
        <v>312</v>
      </c>
    </row>
    <row r="2525" customFormat="false" ht="15" hidden="false" customHeight="true" outlineLevel="0" collapsed="false">
      <c r="A2525" s="54" t="n">
        <v>20260711</v>
      </c>
      <c r="B2525" s="54" t="s">
        <v>497</v>
      </c>
      <c r="C2525" s="54" t="s">
        <v>290</v>
      </c>
      <c r="D2525" s="54" t="s">
        <v>1930</v>
      </c>
      <c r="E2525" s="54" t="s">
        <v>1931</v>
      </c>
      <c r="F2525" s="54" t="s">
        <v>5619</v>
      </c>
      <c r="G2525" s="54" t="s">
        <v>5620</v>
      </c>
      <c r="H2525" s="54" t="n">
        <v>14439</v>
      </c>
      <c r="I2525" s="54" t="s">
        <v>295</v>
      </c>
      <c r="J2525" s="54" t="s">
        <v>811</v>
      </c>
    </row>
    <row r="2526" customFormat="false" ht="15" hidden="false" customHeight="true" outlineLevel="0" collapsed="false">
      <c r="A2526" s="54" t="n">
        <v>20260711</v>
      </c>
      <c r="B2526" s="54" t="s">
        <v>497</v>
      </c>
      <c r="C2526" s="54" t="s">
        <v>307</v>
      </c>
      <c r="D2526" s="54" t="s">
        <v>1936</v>
      </c>
      <c r="E2526" s="54" t="s">
        <v>1937</v>
      </c>
      <c r="F2526" s="54" t="s">
        <v>5621</v>
      </c>
      <c r="G2526" s="54" t="s">
        <v>5622</v>
      </c>
      <c r="H2526" s="54" t="n">
        <v>14976</v>
      </c>
      <c r="I2526" s="54" t="s">
        <v>295</v>
      </c>
      <c r="J2526" s="54" t="s">
        <v>894</v>
      </c>
    </row>
    <row r="2527" customFormat="false" ht="15" hidden="false" customHeight="true" outlineLevel="0" collapsed="false">
      <c r="A2527" s="54" t="n">
        <v>20260711</v>
      </c>
      <c r="B2527" s="54" t="s">
        <v>688</v>
      </c>
      <c r="C2527" s="54" t="s">
        <v>307</v>
      </c>
      <c r="D2527" s="54" t="s">
        <v>5623</v>
      </c>
      <c r="E2527" s="54" t="s">
        <v>223</v>
      </c>
      <c r="F2527" s="54" t="s">
        <v>5624</v>
      </c>
      <c r="G2527" s="54" t="s">
        <v>5625</v>
      </c>
      <c r="H2527" s="54" t="n">
        <v>7136</v>
      </c>
      <c r="I2527" s="54" t="s">
        <v>295</v>
      </c>
      <c r="J2527" s="54" t="s">
        <v>142</v>
      </c>
    </row>
    <row r="2528" customFormat="false" ht="15" hidden="false" customHeight="true" outlineLevel="0" collapsed="false">
      <c r="A2528" s="54" t="n">
        <v>20260711</v>
      </c>
      <c r="B2528" s="54" t="s">
        <v>688</v>
      </c>
      <c r="C2528" s="54" t="s">
        <v>307</v>
      </c>
      <c r="D2528" s="54" t="s">
        <v>5623</v>
      </c>
      <c r="E2528" s="54" t="s">
        <v>223</v>
      </c>
      <c r="F2528" s="54" t="s">
        <v>5626</v>
      </c>
      <c r="G2528" s="54" t="s">
        <v>5176</v>
      </c>
      <c r="H2528" s="54" t="n">
        <v>10102</v>
      </c>
      <c r="I2528" s="54" t="s">
        <v>295</v>
      </c>
      <c r="J2528" s="54" t="s">
        <v>142</v>
      </c>
    </row>
    <row r="2529" customFormat="false" ht="15" hidden="false" customHeight="true" outlineLevel="0" collapsed="false">
      <c r="A2529" s="54" t="n">
        <v>20260711</v>
      </c>
      <c r="B2529" s="54" t="s">
        <v>688</v>
      </c>
      <c r="C2529" s="54" t="s">
        <v>307</v>
      </c>
      <c r="D2529" s="54" t="s">
        <v>5623</v>
      </c>
      <c r="E2529" s="54" t="s">
        <v>223</v>
      </c>
      <c r="F2529" s="54" t="s">
        <v>5627</v>
      </c>
      <c r="G2529" s="54" t="s">
        <v>5628</v>
      </c>
      <c r="H2529" s="54" t="n">
        <v>10957</v>
      </c>
      <c r="I2529" s="54" t="s">
        <v>295</v>
      </c>
      <c r="J2529" s="54" t="s">
        <v>142</v>
      </c>
    </row>
    <row r="2530" customFormat="false" ht="15" hidden="false" customHeight="true" outlineLevel="0" collapsed="false">
      <c r="A2530" s="54" t="n">
        <v>20260711</v>
      </c>
      <c r="B2530" s="54" t="s">
        <v>289</v>
      </c>
      <c r="C2530" s="54" t="s">
        <v>290</v>
      </c>
      <c r="D2530" s="54" t="s">
        <v>5629</v>
      </c>
      <c r="E2530" s="54" t="s">
        <v>5630</v>
      </c>
      <c r="F2530" s="54" t="s">
        <v>5631</v>
      </c>
      <c r="G2530" s="54" t="s">
        <v>5632</v>
      </c>
      <c r="H2530" s="54" t="n">
        <v>3</v>
      </c>
      <c r="I2530" s="54" t="s">
        <v>295</v>
      </c>
      <c r="J2530" s="54" t="s">
        <v>414</v>
      </c>
    </row>
    <row r="2531" customFormat="false" ht="15" hidden="false" customHeight="true" outlineLevel="0" collapsed="false">
      <c r="A2531" s="54" t="n">
        <v>20260711</v>
      </c>
      <c r="B2531" s="54" t="s">
        <v>289</v>
      </c>
      <c r="C2531" s="54" t="s">
        <v>290</v>
      </c>
      <c r="D2531" s="54" t="s">
        <v>5629</v>
      </c>
      <c r="E2531" s="54" t="s">
        <v>5630</v>
      </c>
      <c r="F2531" s="54" t="s">
        <v>5633</v>
      </c>
      <c r="G2531" s="54" t="s">
        <v>5634</v>
      </c>
      <c r="H2531" s="54" t="n">
        <v>18100</v>
      </c>
      <c r="I2531" s="54" t="s">
        <v>295</v>
      </c>
      <c r="J2531" s="54" t="s">
        <v>414</v>
      </c>
    </row>
    <row r="2532" customFormat="false" ht="15" hidden="false" customHeight="true" outlineLevel="0" collapsed="false">
      <c r="A2532" s="54" t="n">
        <v>20260711</v>
      </c>
      <c r="B2532" s="54" t="s">
        <v>289</v>
      </c>
      <c r="C2532" s="54" t="s">
        <v>290</v>
      </c>
      <c r="D2532" s="54" t="s">
        <v>5629</v>
      </c>
      <c r="E2532" s="54" t="s">
        <v>5630</v>
      </c>
      <c r="F2532" s="54" t="s">
        <v>5635</v>
      </c>
      <c r="G2532" s="54" t="s">
        <v>5636</v>
      </c>
      <c r="H2532" s="54" t="n">
        <v>14754</v>
      </c>
      <c r="I2532" s="54" t="s">
        <v>295</v>
      </c>
      <c r="J2532" s="54" t="s">
        <v>414</v>
      </c>
    </row>
    <row r="2533" customFormat="false" ht="15" hidden="false" customHeight="true" outlineLevel="0" collapsed="false">
      <c r="A2533" s="54" t="n">
        <v>20260711</v>
      </c>
      <c r="B2533" s="54" t="s">
        <v>289</v>
      </c>
      <c r="C2533" s="54" t="s">
        <v>307</v>
      </c>
      <c r="D2533" s="54" t="s">
        <v>356</v>
      </c>
      <c r="E2533" s="54" t="s">
        <v>357</v>
      </c>
      <c r="F2533" s="54" t="s">
        <v>5637</v>
      </c>
      <c r="G2533" s="54" t="s">
        <v>5638</v>
      </c>
      <c r="H2533" s="54" t="n">
        <v>28800</v>
      </c>
      <c r="I2533" s="54" t="s">
        <v>360</v>
      </c>
      <c r="J2533" s="54" t="s">
        <v>361</v>
      </c>
    </row>
    <row r="2534" customFormat="false" ht="15" hidden="false" customHeight="true" outlineLevel="0" collapsed="false">
      <c r="A2534" s="54" t="n">
        <v>20260711</v>
      </c>
      <c r="B2534" s="54" t="s">
        <v>306</v>
      </c>
      <c r="C2534" s="54" t="s">
        <v>290</v>
      </c>
      <c r="D2534" s="54" t="s">
        <v>1999</v>
      </c>
      <c r="E2534" s="54" t="s">
        <v>2000</v>
      </c>
      <c r="F2534" s="54" t="s">
        <v>5639</v>
      </c>
      <c r="G2534" s="54" t="s">
        <v>5640</v>
      </c>
      <c r="H2534" s="54" t="n">
        <v>15</v>
      </c>
      <c r="I2534" s="54" t="s">
        <v>295</v>
      </c>
      <c r="J2534" s="54" t="s">
        <v>811</v>
      </c>
    </row>
    <row r="2535" customFormat="false" ht="15" hidden="false" customHeight="true" outlineLevel="0" collapsed="false">
      <c r="A2535" s="54" t="n">
        <v>20260711</v>
      </c>
      <c r="B2535" s="54" t="s">
        <v>306</v>
      </c>
      <c r="C2535" s="54" t="s">
        <v>290</v>
      </c>
      <c r="D2535" s="54" t="s">
        <v>1999</v>
      </c>
      <c r="E2535" s="54" t="s">
        <v>2000</v>
      </c>
      <c r="F2535" s="54" t="s">
        <v>5641</v>
      </c>
      <c r="G2535" s="54" t="s">
        <v>5642</v>
      </c>
      <c r="H2535" s="54" t="n">
        <v>21537</v>
      </c>
      <c r="I2535" s="54" t="s">
        <v>295</v>
      </c>
      <c r="J2535" s="54" t="s">
        <v>811</v>
      </c>
    </row>
    <row r="2536" customFormat="false" ht="15" hidden="false" customHeight="true" outlineLevel="0" collapsed="false">
      <c r="A2536" s="54" t="n">
        <v>20260711</v>
      </c>
      <c r="B2536" s="54" t="s">
        <v>306</v>
      </c>
      <c r="C2536" s="54" t="s">
        <v>290</v>
      </c>
      <c r="D2536" s="54" t="s">
        <v>2004</v>
      </c>
      <c r="E2536" s="54" t="s">
        <v>2005</v>
      </c>
      <c r="F2536" s="54" t="s">
        <v>5643</v>
      </c>
      <c r="G2536" s="54" t="s">
        <v>5644</v>
      </c>
      <c r="H2536" s="54" t="n">
        <v>20249</v>
      </c>
      <c r="I2536" s="54" t="s">
        <v>315</v>
      </c>
      <c r="J2536" s="54" t="s">
        <v>375</v>
      </c>
    </row>
    <row r="2537" customFormat="false" ht="15" hidden="false" customHeight="true" outlineLevel="0" collapsed="false">
      <c r="A2537" s="54" t="n">
        <v>20260711</v>
      </c>
      <c r="B2537" s="54" t="s">
        <v>306</v>
      </c>
      <c r="C2537" s="54" t="s">
        <v>290</v>
      </c>
      <c r="D2537" s="54" t="s">
        <v>2004</v>
      </c>
      <c r="E2537" s="54" t="s">
        <v>2005</v>
      </c>
      <c r="F2537" s="54" t="s">
        <v>5643</v>
      </c>
      <c r="G2537" s="54" t="s">
        <v>5644</v>
      </c>
      <c r="H2537" s="54" t="n">
        <v>20249</v>
      </c>
      <c r="I2537" s="54" t="s">
        <v>295</v>
      </c>
      <c r="J2537" s="54" t="s">
        <v>375</v>
      </c>
    </row>
    <row r="2538" customFormat="false" ht="15" hidden="false" customHeight="true" outlineLevel="0" collapsed="false">
      <c r="A2538" s="54" t="n">
        <v>20260711</v>
      </c>
      <c r="B2538" s="54" t="s">
        <v>289</v>
      </c>
      <c r="C2538" s="54" t="s">
        <v>307</v>
      </c>
      <c r="D2538" s="54" t="s">
        <v>5645</v>
      </c>
      <c r="E2538" s="54" t="s">
        <v>5646</v>
      </c>
      <c r="F2538" s="54" t="s">
        <v>5647</v>
      </c>
      <c r="G2538" s="54" t="s">
        <v>5648</v>
      </c>
      <c r="H2538" s="54" t="n">
        <v>14371</v>
      </c>
      <c r="I2538" s="54" t="s">
        <v>295</v>
      </c>
      <c r="J2538" s="54" t="s">
        <v>361</v>
      </c>
    </row>
    <row r="2539" customFormat="false" ht="15" hidden="false" customHeight="true" outlineLevel="0" collapsed="false">
      <c r="A2539" s="54" t="n">
        <v>20260711</v>
      </c>
      <c r="B2539" s="54" t="s">
        <v>289</v>
      </c>
      <c r="C2539" s="54" t="s">
        <v>307</v>
      </c>
      <c r="D2539" s="54" t="s">
        <v>5645</v>
      </c>
      <c r="E2539" s="54" t="s">
        <v>5646</v>
      </c>
      <c r="F2539" s="54" t="s">
        <v>5649</v>
      </c>
      <c r="G2539" s="54" t="s">
        <v>5650</v>
      </c>
      <c r="H2539" s="54" t="n">
        <v>14435</v>
      </c>
      <c r="I2539" s="54" t="s">
        <v>295</v>
      </c>
      <c r="J2539" s="54" t="s">
        <v>361</v>
      </c>
    </row>
    <row r="2540" customFormat="false" ht="15" hidden="false" customHeight="true" outlineLevel="0" collapsed="false">
      <c r="A2540" s="54" t="n">
        <v>20260711</v>
      </c>
      <c r="B2540" s="54" t="s">
        <v>592</v>
      </c>
      <c r="C2540" s="54" t="s">
        <v>290</v>
      </c>
      <c r="D2540" s="54" t="s">
        <v>2028</v>
      </c>
      <c r="E2540" s="54" t="s">
        <v>2029</v>
      </c>
      <c r="F2540" s="54" t="s">
        <v>5651</v>
      </c>
      <c r="G2540" s="54" t="s">
        <v>5652</v>
      </c>
      <c r="H2540" s="54" t="n">
        <v>175</v>
      </c>
      <c r="I2540" s="54" t="s">
        <v>295</v>
      </c>
      <c r="J2540" s="54" t="s">
        <v>1381</v>
      </c>
    </row>
    <row r="2541" customFormat="false" ht="15" hidden="false" customHeight="true" outlineLevel="0" collapsed="false">
      <c r="A2541" s="54" t="n">
        <v>20260711</v>
      </c>
      <c r="B2541" s="54" t="s">
        <v>592</v>
      </c>
      <c r="C2541" s="54" t="s">
        <v>290</v>
      </c>
      <c r="D2541" s="54" t="s">
        <v>2028</v>
      </c>
      <c r="E2541" s="54" t="s">
        <v>2029</v>
      </c>
      <c r="F2541" s="54" t="s">
        <v>5653</v>
      </c>
      <c r="G2541" s="54" t="s">
        <v>5654</v>
      </c>
      <c r="H2541" s="54" t="n">
        <v>14609</v>
      </c>
      <c r="I2541" s="54" t="s">
        <v>295</v>
      </c>
      <c r="J2541" s="54" t="s">
        <v>1381</v>
      </c>
    </row>
    <row r="2542" customFormat="false" ht="15" hidden="false" customHeight="true" outlineLevel="0" collapsed="false">
      <c r="A2542" s="54" t="n">
        <v>20260711</v>
      </c>
      <c r="B2542" s="54" t="s">
        <v>592</v>
      </c>
      <c r="C2542" s="54" t="s">
        <v>290</v>
      </c>
      <c r="D2542" s="54" t="s">
        <v>2028</v>
      </c>
      <c r="E2542" s="54" t="s">
        <v>2029</v>
      </c>
      <c r="F2542" s="54" t="s">
        <v>5655</v>
      </c>
      <c r="G2542" s="54" t="s">
        <v>5656</v>
      </c>
      <c r="H2542" s="54" t="n">
        <v>631</v>
      </c>
      <c r="I2542" s="54" t="s">
        <v>295</v>
      </c>
      <c r="J2542" s="54" t="s">
        <v>1381</v>
      </c>
    </row>
    <row r="2543" customFormat="false" ht="15" hidden="false" customHeight="true" outlineLevel="0" collapsed="false">
      <c r="A2543" s="54" t="n">
        <v>20260711</v>
      </c>
      <c r="B2543" s="54" t="s">
        <v>592</v>
      </c>
      <c r="C2543" s="54" t="s">
        <v>290</v>
      </c>
      <c r="D2543" s="54" t="s">
        <v>2028</v>
      </c>
      <c r="E2543" s="54" t="s">
        <v>2029</v>
      </c>
      <c r="F2543" s="54" t="s">
        <v>5657</v>
      </c>
      <c r="G2543" s="54" t="s">
        <v>5658</v>
      </c>
      <c r="H2543" s="54" t="n">
        <v>6595</v>
      </c>
      <c r="I2543" s="54" t="s">
        <v>295</v>
      </c>
      <c r="J2543" s="54" t="s">
        <v>1381</v>
      </c>
    </row>
    <row r="2544" customFormat="false" ht="15" hidden="false" customHeight="true" outlineLevel="0" collapsed="false">
      <c r="A2544" s="54" t="n">
        <v>20260711</v>
      </c>
      <c r="B2544" s="54" t="s">
        <v>289</v>
      </c>
      <c r="C2544" s="54" t="s">
        <v>290</v>
      </c>
      <c r="D2544" s="54" t="s">
        <v>2064</v>
      </c>
      <c r="E2544" s="54" t="s">
        <v>2065</v>
      </c>
      <c r="F2544" s="54" t="s">
        <v>5659</v>
      </c>
      <c r="G2544" s="54" t="s">
        <v>5660</v>
      </c>
      <c r="H2544" s="54" t="n">
        <v>18013</v>
      </c>
      <c r="I2544" s="54" t="s">
        <v>295</v>
      </c>
      <c r="J2544" s="54" t="s">
        <v>439</v>
      </c>
    </row>
    <row r="2545" customFormat="false" ht="15" hidden="false" customHeight="true" outlineLevel="0" collapsed="false">
      <c r="A2545" s="54" t="n">
        <v>20260711</v>
      </c>
      <c r="B2545" s="54" t="s">
        <v>289</v>
      </c>
      <c r="C2545" s="54" t="s">
        <v>290</v>
      </c>
      <c r="D2545" s="54" t="s">
        <v>2064</v>
      </c>
      <c r="E2545" s="54" t="s">
        <v>2065</v>
      </c>
      <c r="F2545" s="54" t="s">
        <v>5445</v>
      </c>
      <c r="G2545" s="54" t="s">
        <v>5661</v>
      </c>
      <c r="H2545" s="54" t="n">
        <v>11426</v>
      </c>
      <c r="I2545" s="54" t="s">
        <v>295</v>
      </c>
      <c r="J2545" s="54" t="s">
        <v>439</v>
      </c>
    </row>
    <row r="2546" customFormat="false" ht="15" hidden="false" customHeight="true" outlineLevel="0" collapsed="false">
      <c r="A2546" s="54" t="n">
        <v>20260711</v>
      </c>
      <c r="B2546" s="54" t="s">
        <v>289</v>
      </c>
      <c r="C2546" s="54" t="s">
        <v>307</v>
      </c>
      <c r="D2546" s="54" t="s">
        <v>2070</v>
      </c>
      <c r="E2546" s="54" t="s">
        <v>2071</v>
      </c>
      <c r="F2546" s="54" t="s">
        <v>5662</v>
      </c>
      <c r="G2546" s="54" t="s">
        <v>5663</v>
      </c>
      <c r="H2546" s="54" t="n">
        <v>380</v>
      </c>
      <c r="I2546" s="54" t="s">
        <v>295</v>
      </c>
      <c r="J2546" s="54" t="s">
        <v>707</v>
      </c>
    </row>
    <row r="2547" customFormat="false" ht="15" hidden="false" customHeight="true" outlineLevel="0" collapsed="false">
      <c r="A2547" s="54" t="n">
        <v>20260711</v>
      </c>
      <c r="B2547" s="54" t="s">
        <v>289</v>
      </c>
      <c r="C2547" s="54" t="s">
        <v>307</v>
      </c>
      <c r="D2547" s="54" t="s">
        <v>2070</v>
      </c>
      <c r="E2547" s="54" t="s">
        <v>2071</v>
      </c>
      <c r="F2547" s="54" t="s">
        <v>5664</v>
      </c>
      <c r="G2547" s="54" t="s">
        <v>5663</v>
      </c>
      <c r="H2547" s="54" t="n">
        <v>379</v>
      </c>
      <c r="I2547" s="54" t="s">
        <v>360</v>
      </c>
      <c r="J2547" s="54" t="s">
        <v>707</v>
      </c>
    </row>
    <row r="2548" customFormat="false" ht="15" hidden="false" customHeight="true" outlineLevel="0" collapsed="false">
      <c r="A2548" s="54" t="n">
        <v>20260711</v>
      </c>
      <c r="B2548" s="54" t="s">
        <v>289</v>
      </c>
      <c r="C2548" s="54" t="s">
        <v>307</v>
      </c>
      <c r="D2548" s="54" t="s">
        <v>2070</v>
      </c>
      <c r="E2548" s="54" t="s">
        <v>2071</v>
      </c>
      <c r="F2548" s="54" t="s">
        <v>5665</v>
      </c>
      <c r="G2548" s="54" t="s">
        <v>5666</v>
      </c>
      <c r="H2548" s="54" t="n">
        <v>14828</v>
      </c>
      <c r="I2548" s="54" t="s">
        <v>295</v>
      </c>
      <c r="J2548" s="54" t="s">
        <v>707</v>
      </c>
    </row>
    <row r="2549" customFormat="false" ht="15" hidden="false" customHeight="true" outlineLevel="0" collapsed="false">
      <c r="A2549" s="54" t="n">
        <v>20260711</v>
      </c>
      <c r="B2549" s="54" t="s">
        <v>289</v>
      </c>
      <c r="C2549" s="54" t="s">
        <v>307</v>
      </c>
      <c r="D2549" s="54" t="s">
        <v>2070</v>
      </c>
      <c r="E2549" s="54" t="s">
        <v>2071</v>
      </c>
      <c r="F2549" s="54" t="s">
        <v>5667</v>
      </c>
      <c r="G2549" s="54" t="s">
        <v>5666</v>
      </c>
      <c r="H2549" s="54" t="n">
        <v>14827</v>
      </c>
      <c r="I2549" s="54" t="s">
        <v>360</v>
      </c>
      <c r="J2549" s="54" t="s">
        <v>707</v>
      </c>
    </row>
    <row r="2550" customFormat="false" ht="15" hidden="false" customHeight="true" outlineLevel="0" collapsed="false">
      <c r="A2550" s="54" t="n">
        <v>20260711</v>
      </c>
      <c r="B2550" s="54" t="s">
        <v>289</v>
      </c>
      <c r="C2550" s="54" t="s">
        <v>307</v>
      </c>
      <c r="D2550" s="54" t="s">
        <v>2070</v>
      </c>
      <c r="E2550" s="54" t="s">
        <v>2071</v>
      </c>
      <c r="F2550" s="54" t="s">
        <v>5668</v>
      </c>
      <c r="G2550" s="54" t="s">
        <v>5669</v>
      </c>
      <c r="H2550" s="54" t="n">
        <v>13575</v>
      </c>
      <c r="I2550" s="54" t="s">
        <v>295</v>
      </c>
      <c r="J2550" s="54" t="s">
        <v>707</v>
      </c>
    </row>
    <row r="2551" customFormat="false" ht="15" hidden="false" customHeight="true" outlineLevel="0" collapsed="false">
      <c r="A2551" s="54" t="n">
        <v>20260711</v>
      </c>
      <c r="B2551" s="54" t="s">
        <v>289</v>
      </c>
      <c r="C2551" s="54" t="s">
        <v>307</v>
      </c>
      <c r="D2551" s="54" t="s">
        <v>2070</v>
      </c>
      <c r="E2551" s="54" t="s">
        <v>2071</v>
      </c>
      <c r="F2551" s="54" t="s">
        <v>5670</v>
      </c>
      <c r="G2551" s="54" t="s">
        <v>5669</v>
      </c>
      <c r="H2551" s="54" t="n">
        <v>13574</v>
      </c>
      <c r="I2551" s="54" t="s">
        <v>360</v>
      </c>
      <c r="J2551" s="54" t="s">
        <v>707</v>
      </c>
    </row>
    <row r="2552" customFormat="false" ht="15" hidden="false" customHeight="true" outlineLevel="0" collapsed="false">
      <c r="A2552" s="54" t="n">
        <v>20260711</v>
      </c>
      <c r="B2552" s="54" t="s">
        <v>497</v>
      </c>
      <c r="C2552" s="54" t="s">
        <v>307</v>
      </c>
      <c r="D2552" s="54" t="s">
        <v>2085</v>
      </c>
      <c r="E2552" s="54" t="s">
        <v>2086</v>
      </c>
      <c r="F2552" s="54" t="s">
        <v>5671</v>
      </c>
      <c r="G2552" s="54" t="s">
        <v>5672</v>
      </c>
      <c r="H2552" s="54" t="n">
        <v>14855</v>
      </c>
      <c r="I2552" s="54" t="s">
        <v>295</v>
      </c>
      <c r="J2552" s="54" t="s">
        <v>502</v>
      </c>
    </row>
    <row r="2553" customFormat="false" ht="15" hidden="false" customHeight="true" outlineLevel="0" collapsed="false">
      <c r="A2553" s="54" t="n">
        <v>20260711</v>
      </c>
      <c r="B2553" s="54" t="s">
        <v>592</v>
      </c>
      <c r="C2553" s="54" t="s">
        <v>290</v>
      </c>
      <c r="D2553" s="54" t="s">
        <v>2090</v>
      </c>
      <c r="E2553" s="54" t="s">
        <v>2091</v>
      </c>
      <c r="F2553" s="54" t="s">
        <v>5673</v>
      </c>
      <c r="G2553" s="54" t="s">
        <v>5674</v>
      </c>
      <c r="H2553" s="54" t="n">
        <v>21</v>
      </c>
      <c r="I2553" s="54" t="s">
        <v>295</v>
      </c>
      <c r="J2553" s="54" t="s">
        <v>1381</v>
      </c>
    </row>
    <row r="2554" customFormat="false" ht="15" hidden="false" customHeight="true" outlineLevel="0" collapsed="false">
      <c r="A2554" s="54" t="n">
        <v>20260711</v>
      </c>
      <c r="B2554" s="54" t="s">
        <v>592</v>
      </c>
      <c r="C2554" s="54" t="s">
        <v>290</v>
      </c>
      <c r="D2554" s="54" t="s">
        <v>2090</v>
      </c>
      <c r="E2554" s="54" t="s">
        <v>2091</v>
      </c>
      <c r="F2554" s="54" t="s">
        <v>5675</v>
      </c>
      <c r="G2554" s="54" t="s">
        <v>5676</v>
      </c>
      <c r="H2554" s="54" t="n">
        <v>11448</v>
      </c>
      <c r="I2554" s="54" t="s">
        <v>295</v>
      </c>
      <c r="J2554" s="54" t="s">
        <v>1381</v>
      </c>
    </row>
    <row r="2555" customFormat="false" ht="15" hidden="false" customHeight="true" outlineLevel="0" collapsed="false">
      <c r="A2555" s="54" t="n">
        <v>20260711</v>
      </c>
      <c r="B2555" s="54" t="s">
        <v>592</v>
      </c>
      <c r="C2555" s="54" t="s">
        <v>290</v>
      </c>
      <c r="D2555" s="54" t="s">
        <v>2090</v>
      </c>
      <c r="E2555" s="54" t="s">
        <v>2091</v>
      </c>
      <c r="F2555" s="54" t="s">
        <v>5677</v>
      </c>
      <c r="G2555" s="54" t="s">
        <v>5678</v>
      </c>
      <c r="H2555" s="54" t="n">
        <v>10204</v>
      </c>
      <c r="I2555" s="54" t="s">
        <v>295</v>
      </c>
      <c r="J2555" s="54" t="s">
        <v>1381</v>
      </c>
    </row>
    <row r="2556" customFormat="false" ht="15" hidden="false" customHeight="true" outlineLevel="0" collapsed="false">
      <c r="A2556" s="54" t="n">
        <v>20260711</v>
      </c>
      <c r="B2556" s="54" t="s">
        <v>306</v>
      </c>
      <c r="C2556" s="54" t="s">
        <v>290</v>
      </c>
      <c r="D2556" s="54" t="s">
        <v>2107</v>
      </c>
      <c r="E2556" s="54" t="s">
        <v>2108</v>
      </c>
      <c r="F2556" s="54" t="s">
        <v>5679</v>
      </c>
      <c r="G2556" s="54" t="s">
        <v>5680</v>
      </c>
      <c r="H2556" s="54" t="n">
        <v>21385</v>
      </c>
      <c r="I2556" s="54" t="s">
        <v>295</v>
      </c>
      <c r="J2556" s="54" t="s">
        <v>375</v>
      </c>
    </row>
    <row r="2557" customFormat="false" ht="15" hidden="false" customHeight="true" outlineLevel="0" collapsed="false">
      <c r="A2557" s="54" t="n">
        <v>20260711</v>
      </c>
      <c r="B2557" s="54" t="s">
        <v>497</v>
      </c>
      <c r="C2557" s="54" t="s">
        <v>307</v>
      </c>
      <c r="D2557" s="54" t="s">
        <v>2124</v>
      </c>
      <c r="E2557" s="54" t="s">
        <v>2125</v>
      </c>
      <c r="F2557" s="54" t="s">
        <v>5681</v>
      </c>
      <c r="G2557" s="54" t="s">
        <v>5407</v>
      </c>
      <c r="H2557" s="54" t="n">
        <v>19</v>
      </c>
      <c r="I2557" s="54" t="s">
        <v>295</v>
      </c>
      <c r="J2557" s="54" t="s">
        <v>894</v>
      </c>
    </row>
    <row r="2558" customFormat="false" ht="15" hidden="false" customHeight="true" outlineLevel="0" collapsed="false">
      <c r="A2558" s="54" t="n">
        <v>20260711</v>
      </c>
      <c r="B2558" s="54" t="s">
        <v>497</v>
      </c>
      <c r="C2558" s="54" t="s">
        <v>307</v>
      </c>
      <c r="D2558" s="54" t="s">
        <v>2124</v>
      </c>
      <c r="E2558" s="54" t="s">
        <v>2125</v>
      </c>
      <c r="F2558" s="54" t="s">
        <v>5682</v>
      </c>
      <c r="G2558" s="54" t="s">
        <v>5683</v>
      </c>
      <c r="H2558" s="54" t="n">
        <v>4248</v>
      </c>
      <c r="I2558" s="54" t="s">
        <v>295</v>
      </c>
      <c r="J2558" s="54" t="s">
        <v>894</v>
      </c>
    </row>
    <row r="2559" customFormat="false" ht="15" hidden="false" customHeight="true" outlineLevel="0" collapsed="false">
      <c r="A2559" s="54" t="n">
        <v>20260711</v>
      </c>
      <c r="B2559" s="54" t="s">
        <v>497</v>
      </c>
      <c r="C2559" s="54" t="s">
        <v>307</v>
      </c>
      <c r="D2559" s="54" t="s">
        <v>2124</v>
      </c>
      <c r="E2559" s="54" t="s">
        <v>2125</v>
      </c>
      <c r="F2559" s="54" t="s">
        <v>5684</v>
      </c>
      <c r="G2559" s="54" t="s">
        <v>5620</v>
      </c>
      <c r="H2559" s="54" t="n">
        <v>9987</v>
      </c>
      <c r="I2559" s="54" t="s">
        <v>295</v>
      </c>
      <c r="J2559" s="54" t="s">
        <v>894</v>
      </c>
    </row>
    <row r="2560" customFormat="false" ht="15" hidden="false" customHeight="true" outlineLevel="0" collapsed="false">
      <c r="A2560" s="54" t="n">
        <v>20260711</v>
      </c>
      <c r="B2560" s="54" t="s">
        <v>592</v>
      </c>
      <c r="C2560" s="54" t="s">
        <v>290</v>
      </c>
      <c r="D2560" s="54" t="s">
        <v>5685</v>
      </c>
      <c r="E2560" s="54" t="s">
        <v>5686</v>
      </c>
      <c r="F2560" s="54" t="s">
        <v>5687</v>
      </c>
      <c r="G2560" s="54" t="s">
        <v>5688</v>
      </c>
      <c r="H2560" s="54" t="n">
        <v>21615</v>
      </c>
      <c r="I2560" s="54" t="s">
        <v>295</v>
      </c>
      <c r="J2560" s="54" t="s">
        <v>1381</v>
      </c>
    </row>
    <row r="2561" customFormat="false" ht="15" hidden="false" customHeight="true" outlineLevel="0" collapsed="false">
      <c r="A2561" s="54" t="n">
        <v>20260711</v>
      </c>
      <c r="B2561" s="54" t="s">
        <v>306</v>
      </c>
      <c r="C2561" s="54" t="s">
        <v>290</v>
      </c>
      <c r="D2561" s="54" t="s">
        <v>2155</v>
      </c>
      <c r="E2561" s="54" t="s">
        <v>2156</v>
      </c>
      <c r="F2561" s="54" t="s">
        <v>5689</v>
      </c>
      <c r="G2561" s="54" t="s">
        <v>5690</v>
      </c>
      <c r="H2561" s="54" t="n">
        <v>1706</v>
      </c>
      <c r="I2561" s="54" t="s">
        <v>295</v>
      </c>
      <c r="J2561" s="54" t="s">
        <v>2159</v>
      </c>
    </row>
    <row r="2562" customFormat="false" ht="15" hidden="false" customHeight="true" outlineLevel="0" collapsed="false">
      <c r="A2562" s="54" t="n">
        <v>20260711</v>
      </c>
      <c r="B2562" s="54" t="s">
        <v>306</v>
      </c>
      <c r="C2562" s="54" t="s">
        <v>290</v>
      </c>
      <c r="D2562" s="54" t="s">
        <v>2155</v>
      </c>
      <c r="E2562" s="54" t="s">
        <v>2156</v>
      </c>
      <c r="F2562" s="54" t="s">
        <v>5691</v>
      </c>
      <c r="G2562" s="54" t="s">
        <v>5692</v>
      </c>
      <c r="H2562" s="54" t="n">
        <v>533</v>
      </c>
      <c r="I2562" s="54" t="s">
        <v>295</v>
      </c>
      <c r="J2562" s="54" t="s">
        <v>2159</v>
      </c>
    </row>
    <row r="2563" customFormat="false" ht="15" hidden="false" customHeight="true" outlineLevel="0" collapsed="false">
      <c r="A2563" s="54" t="n">
        <v>20260711</v>
      </c>
      <c r="B2563" s="54" t="s">
        <v>306</v>
      </c>
      <c r="C2563" s="54" t="s">
        <v>290</v>
      </c>
      <c r="D2563" s="54" t="s">
        <v>2155</v>
      </c>
      <c r="E2563" s="54" t="s">
        <v>2156</v>
      </c>
      <c r="F2563" s="54" t="s">
        <v>5693</v>
      </c>
      <c r="G2563" s="54" t="s">
        <v>5694</v>
      </c>
      <c r="H2563" s="54" t="n">
        <v>520</v>
      </c>
      <c r="I2563" s="54" t="s">
        <v>295</v>
      </c>
      <c r="J2563" s="54" t="s">
        <v>2159</v>
      </c>
    </row>
    <row r="2564" customFormat="false" ht="15" hidden="false" customHeight="true" outlineLevel="0" collapsed="false">
      <c r="A2564" s="54" t="n">
        <v>20260711</v>
      </c>
      <c r="B2564" s="54" t="s">
        <v>306</v>
      </c>
      <c r="C2564" s="54" t="s">
        <v>290</v>
      </c>
      <c r="D2564" s="54" t="s">
        <v>2155</v>
      </c>
      <c r="E2564" s="54" t="s">
        <v>2156</v>
      </c>
      <c r="F2564" s="54" t="s">
        <v>5695</v>
      </c>
      <c r="G2564" s="54" t="s">
        <v>5696</v>
      </c>
      <c r="H2564" s="54" t="n">
        <v>184</v>
      </c>
      <c r="I2564" s="54" t="s">
        <v>295</v>
      </c>
      <c r="J2564" s="54" t="s">
        <v>2159</v>
      </c>
    </row>
    <row r="2565" customFormat="false" ht="15" hidden="false" customHeight="true" outlineLevel="0" collapsed="false">
      <c r="A2565" s="54" t="n">
        <v>20260711</v>
      </c>
      <c r="B2565" s="54" t="s">
        <v>306</v>
      </c>
      <c r="C2565" s="54" t="s">
        <v>290</v>
      </c>
      <c r="D2565" s="54" t="s">
        <v>2155</v>
      </c>
      <c r="E2565" s="54" t="s">
        <v>2156</v>
      </c>
      <c r="F2565" s="54" t="s">
        <v>5697</v>
      </c>
      <c r="G2565" s="54" t="s">
        <v>5698</v>
      </c>
      <c r="H2565" s="54" t="n">
        <v>14039</v>
      </c>
      <c r="I2565" s="54" t="s">
        <v>295</v>
      </c>
      <c r="J2565" s="54" t="s">
        <v>2159</v>
      </c>
    </row>
    <row r="2566" customFormat="false" ht="15" hidden="false" customHeight="true" outlineLevel="0" collapsed="false">
      <c r="A2566" s="54" t="n">
        <v>20260711</v>
      </c>
      <c r="B2566" s="54" t="s">
        <v>306</v>
      </c>
      <c r="C2566" s="54" t="s">
        <v>290</v>
      </c>
      <c r="D2566" s="54" t="s">
        <v>2155</v>
      </c>
      <c r="E2566" s="54" t="s">
        <v>2156</v>
      </c>
      <c r="F2566" s="54" t="s">
        <v>5699</v>
      </c>
      <c r="G2566" s="54" t="s">
        <v>5454</v>
      </c>
      <c r="H2566" s="54" t="n">
        <v>3749</v>
      </c>
      <c r="I2566" s="54" t="s">
        <v>295</v>
      </c>
      <c r="J2566" s="54" t="s">
        <v>2159</v>
      </c>
    </row>
    <row r="2567" customFormat="false" ht="15" hidden="false" customHeight="true" outlineLevel="0" collapsed="false">
      <c r="A2567" s="54" t="n">
        <v>20260711</v>
      </c>
      <c r="B2567" s="54" t="s">
        <v>289</v>
      </c>
      <c r="C2567" s="54" t="s">
        <v>290</v>
      </c>
      <c r="D2567" s="54" t="s">
        <v>2185</v>
      </c>
      <c r="E2567" s="54" t="s">
        <v>2186</v>
      </c>
      <c r="F2567" s="54" t="s">
        <v>5232</v>
      </c>
      <c r="G2567" s="54" t="s">
        <v>5700</v>
      </c>
      <c r="H2567" s="54" t="n">
        <v>2159</v>
      </c>
      <c r="I2567" s="54" t="s">
        <v>295</v>
      </c>
      <c r="J2567" s="54" t="s">
        <v>569</v>
      </c>
    </row>
    <row r="2568" customFormat="false" ht="15" hidden="false" customHeight="true" outlineLevel="0" collapsed="false">
      <c r="A2568" s="54" t="n">
        <v>20260711</v>
      </c>
      <c r="B2568" s="54" t="s">
        <v>289</v>
      </c>
      <c r="C2568" s="54" t="s">
        <v>290</v>
      </c>
      <c r="D2568" s="54" t="s">
        <v>2185</v>
      </c>
      <c r="E2568" s="54" t="s">
        <v>2186</v>
      </c>
      <c r="F2568" s="54" t="s">
        <v>5701</v>
      </c>
      <c r="G2568" s="54" t="s">
        <v>5702</v>
      </c>
      <c r="H2568" s="54" t="n">
        <v>19261</v>
      </c>
      <c r="I2568" s="54" t="s">
        <v>295</v>
      </c>
      <c r="J2568" s="54" t="s">
        <v>569</v>
      </c>
    </row>
    <row r="2569" customFormat="false" ht="15" hidden="false" customHeight="true" outlineLevel="0" collapsed="false">
      <c r="A2569" s="54" t="n">
        <v>20260711</v>
      </c>
      <c r="B2569" s="54" t="s">
        <v>306</v>
      </c>
      <c r="C2569" s="54" t="s">
        <v>290</v>
      </c>
      <c r="D2569" s="54" t="s">
        <v>2190</v>
      </c>
      <c r="E2569" s="54" t="s">
        <v>2191</v>
      </c>
      <c r="F2569" s="54" t="s">
        <v>5703</v>
      </c>
      <c r="G2569" s="54" t="s">
        <v>5516</v>
      </c>
      <c r="H2569" s="54" t="n">
        <v>20815</v>
      </c>
      <c r="I2569" s="54" t="s">
        <v>295</v>
      </c>
      <c r="J2569" s="54" t="s">
        <v>375</v>
      </c>
    </row>
    <row r="2570" customFormat="false" ht="15" hidden="false" customHeight="true" outlineLevel="0" collapsed="false">
      <c r="A2570" s="54" t="n">
        <v>20260711</v>
      </c>
      <c r="B2570" s="54" t="s">
        <v>289</v>
      </c>
      <c r="C2570" s="54" t="s">
        <v>290</v>
      </c>
      <c r="D2570" s="54" t="s">
        <v>2201</v>
      </c>
      <c r="E2570" s="54" t="s">
        <v>2202</v>
      </c>
      <c r="F2570" s="54" t="s">
        <v>5704</v>
      </c>
      <c r="G2570" s="54" t="s">
        <v>5705</v>
      </c>
      <c r="H2570" s="54" t="n">
        <v>14560</v>
      </c>
      <c r="I2570" s="54" t="s">
        <v>295</v>
      </c>
      <c r="J2570" s="54" t="s">
        <v>439</v>
      </c>
    </row>
    <row r="2571" customFormat="false" ht="15" hidden="false" customHeight="true" outlineLevel="0" collapsed="false">
      <c r="A2571" s="54" t="n">
        <v>20260711</v>
      </c>
      <c r="B2571" s="54" t="s">
        <v>289</v>
      </c>
      <c r="C2571" s="54" t="s">
        <v>290</v>
      </c>
      <c r="D2571" s="54" t="s">
        <v>2201</v>
      </c>
      <c r="E2571" s="54" t="s">
        <v>2202</v>
      </c>
      <c r="F2571" s="54" t="s">
        <v>5706</v>
      </c>
      <c r="G2571" s="54" t="s">
        <v>5545</v>
      </c>
      <c r="H2571" s="54" t="n">
        <v>13855</v>
      </c>
      <c r="I2571" s="54" t="s">
        <v>295</v>
      </c>
      <c r="J2571" s="54" t="s">
        <v>439</v>
      </c>
    </row>
    <row r="2572" customFormat="false" ht="15" hidden="false" customHeight="true" outlineLevel="0" collapsed="false">
      <c r="A2572" s="54" t="n">
        <v>20260711</v>
      </c>
      <c r="B2572" s="54" t="s">
        <v>306</v>
      </c>
      <c r="C2572" s="54" t="s">
        <v>290</v>
      </c>
      <c r="D2572" s="54" t="s">
        <v>2205</v>
      </c>
      <c r="E2572" s="54" t="s">
        <v>948</v>
      </c>
      <c r="F2572" s="54" t="s">
        <v>5707</v>
      </c>
      <c r="G2572" s="54" t="s">
        <v>5708</v>
      </c>
      <c r="H2572" s="54" t="n">
        <v>5157</v>
      </c>
      <c r="I2572" s="54" t="s">
        <v>295</v>
      </c>
      <c r="J2572" s="54" t="s">
        <v>604</v>
      </c>
    </row>
    <row r="2573" customFormat="false" ht="15" hidden="false" customHeight="true" outlineLevel="0" collapsed="false">
      <c r="A2573" s="54" t="n">
        <v>20260711</v>
      </c>
      <c r="B2573" s="54" t="s">
        <v>306</v>
      </c>
      <c r="C2573" s="54" t="s">
        <v>290</v>
      </c>
      <c r="D2573" s="54" t="s">
        <v>2205</v>
      </c>
      <c r="E2573" s="54" t="s">
        <v>948</v>
      </c>
      <c r="F2573" s="54" t="s">
        <v>5709</v>
      </c>
      <c r="G2573" s="54" t="s">
        <v>5708</v>
      </c>
      <c r="H2573" s="54" t="n">
        <v>5156</v>
      </c>
      <c r="I2573" s="54" t="s">
        <v>315</v>
      </c>
      <c r="J2573" s="54" t="s">
        <v>604</v>
      </c>
    </row>
    <row r="2574" customFormat="false" ht="15" hidden="false" customHeight="true" outlineLevel="0" collapsed="false">
      <c r="A2574" s="54" t="n">
        <v>20260711</v>
      </c>
      <c r="B2574" s="54" t="s">
        <v>306</v>
      </c>
      <c r="C2574" s="54" t="s">
        <v>290</v>
      </c>
      <c r="D2574" s="54" t="s">
        <v>2205</v>
      </c>
      <c r="E2574" s="54" t="s">
        <v>948</v>
      </c>
      <c r="F2574" s="54" t="s">
        <v>5710</v>
      </c>
      <c r="G2574" s="54" t="s">
        <v>5711</v>
      </c>
      <c r="H2574" s="54" t="n">
        <v>2124</v>
      </c>
      <c r="I2574" s="54" t="s">
        <v>315</v>
      </c>
      <c r="J2574" s="54" t="s">
        <v>604</v>
      </c>
    </row>
    <row r="2575" customFormat="false" ht="15" hidden="false" customHeight="true" outlineLevel="0" collapsed="false">
      <c r="A2575" s="54" t="n">
        <v>20260711</v>
      </c>
      <c r="B2575" s="54" t="s">
        <v>306</v>
      </c>
      <c r="C2575" s="54" t="s">
        <v>290</v>
      </c>
      <c r="D2575" s="54" t="s">
        <v>2205</v>
      </c>
      <c r="E2575" s="54" t="s">
        <v>948</v>
      </c>
      <c r="F2575" s="54" t="s">
        <v>5710</v>
      </c>
      <c r="G2575" s="54" t="s">
        <v>5711</v>
      </c>
      <c r="H2575" s="54" t="n">
        <v>2124</v>
      </c>
      <c r="I2575" s="54" t="s">
        <v>295</v>
      </c>
      <c r="J2575" s="54" t="s">
        <v>604</v>
      </c>
    </row>
    <row r="2576" customFormat="false" ht="15" hidden="false" customHeight="true" outlineLevel="0" collapsed="false">
      <c r="A2576" s="54" t="n">
        <v>20260711</v>
      </c>
      <c r="B2576" s="54" t="s">
        <v>306</v>
      </c>
      <c r="C2576" s="54" t="s">
        <v>290</v>
      </c>
      <c r="D2576" s="54" t="s">
        <v>2205</v>
      </c>
      <c r="E2576" s="54" t="s">
        <v>948</v>
      </c>
      <c r="F2576" s="54" t="s">
        <v>5712</v>
      </c>
      <c r="G2576" s="54" t="s">
        <v>5713</v>
      </c>
      <c r="H2576" s="54" t="n">
        <v>4276</v>
      </c>
      <c r="I2576" s="54" t="s">
        <v>315</v>
      </c>
      <c r="J2576" s="54" t="s">
        <v>604</v>
      </c>
    </row>
    <row r="2577" customFormat="false" ht="15" hidden="false" customHeight="true" outlineLevel="0" collapsed="false">
      <c r="A2577" s="54" t="n">
        <v>20260711</v>
      </c>
      <c r="B2577" s="54" t="s">
        <v>306</v>
      </c>
      <c r="C2577" s="54" t="s">
        <v>290</v>
      </c>
      <c r="D2577" s="54" t="s">
        <v>2205</v>
      </c>
      <c r="E2577" s="54" t="s">
        <v>948</v>
      </c>
      <c r="F2577" s="54" t="s">
        <v>5712</v>
      </c>
      <c r="G2577" s="54" t="s">
        <v>5713</v>
      </c>
      <c r="H2577" s="54" t="n">
        <v>4276</v>
      </c>
      <c r="I2577" s="54" t="s">
        <v>295</v>
      </c>
      <c r="J2577" s="54" t="s">
        <v>604</v>
      </c>
    </row>
    <row r="2578" customFormat="false" ht="15" hidden="false" customHeight="true" outlineLevel="0" collapsed="false">
      <c r="A2578" s="54" t="n">
        <v>20260711</v>
      </c>
      <c r="B2578" s="54" t="s">
        <v>497</v>
      </c>
      <c r="C2578" s="54" t="s">
        <v>307</v>
      </c>
      <c r="D2578" s="54" t="s">
        <v>2220</v>
      </c>
      <c r="E2578" s="54" t="s">
        <v>2221</v>
      </c>
      <c r="F2578" s="54" t="s">
        <v>5714</v>
      </c>
      <c r="G2578" s="54" t="s">
        <v>5350</v>
      </c>
      <c r="H2578" s="54" t="n">
        <v>14390</v>
      </c>
      <c r="I2578" s="54" t="s">
        <v>315</v>
      </c>
      <c r="J2578" s="54" t="s">
        <v>502</v>
      </c>
    </row>
    <row r="2579" customFormat="false" ht="15" hidden="false" customHeight="true" outlineLevel="0" collapsed="false">
      <c r="A2579" s="54" t="n">
        <v>20260711</v>
      </c>
      <c r="B2579" s="54" t="s">
        <v>497</v>
      </c>
      <c r="C2579" s="54" t="s">
        <v>307</v>
      </c>
      <c r="D2579" s="54" t="s">
        <v>2220</v>
      </c>
      <c r="E2579" s="54" t="s">
        <v>2221</v>
      </c>
      <c r="F2579" s="54" t="s">
        <v>5715</v>
      </c>
      <c r="G2579" s="54" t="s">
        <v>5620</v>
      </c>
      <c r="H2579" s="54" t="n">
        <v>14333</v>
      </c>
      <c r="I2579" s="54" t="s">
        <v>295</v>
      </c>
      <c r="J2579" s="54" t="s">
        <v>502</v>
      </c>
    </row>
    <row r="2580" customFormat="false" ht="15" hidden="false" customHeight="true" outlineLevel="0" collapsed="false">
      <c r="A2580" s="54" t="n">
        <v>20260711</v>
      </c>
      <c r="B2580" s="54" t="s">
        <v>306</v>
      </c>
      <c r="C2580" s="54" t="s">
        <v>307</v>
      </c>
      <c r="D2580" s="54" t="s">
        <v>2225</v>
      </c>
      <c r="E2580" s="54" t="s">
        <v>2226</v>
      </c>
      <c r="F2580" s="54" t="s">
        <v>5716</v>
      </c>
      <c r="G2580" s="54" t="s">
        <v>5516</v>
      </c>
      <c r="H2580" s="54" t="n">
        <v>21653</v>
      </c>
      <c r="I2580" s="54" t="s">
        <v>295</v>
      </c>
      <c r="J2580" s="54" t="s">
        <v>392</v>
      </c>
    </row>
    <row r="2581" customFormat="false" ht="15" hidden="false" customHeight="true" outlineLevel="0" collapsed="false">
      <c r="A2581" s="54" t="n">
        <v>20260711</v>
      </c>
      <c r="B2581" s="54" t="s">
        <v>306</v>
      </c>
      <c r="C2581" s="54" t="s">
        <v>290</v>
      </c>
      <c r="D2581" s="54" t="s">
        <v>2239</v>
      </c>
      <c r="E2581" s="54" t="s">
        <v>2240</v>
      </c>
      <c r="F2581" s="54" t="s">
        <v>5717</v>
      </c>
      <c r="G2581" s="54" t="s">
        <v>5718</v>
      </c>
      <c r="H2581" s="54" t="n">
        <v>9945</v>
      </c>
      <c r="I2581" s="54" t="s">
        <v>1642</v>
      </c>
      <c r="J2581" s="54" t="s">
        <v>1067</v>
      </c>
    </row>
    <row r="2582" customFormat="false" ht="15" hidden="false" customHeight="true" outlineLevel="0" collapsed="false">
      <c r="A2582" s="54" t="n">
        <v>20260711</v>
      </c>
      <c r="B2582" s="54" t="s">
        <v>306</v>
      </c>
      <c r="C2582" s="54" t="s">
        <v>290</v>
      </c>
      <c r="D2582" s="54" t="s">
        <v>2239</v>
      </c>
      <c r="E2582" s="54" t="s">
        <v>2240</v>
      </c>
      <c r="F2582" s="54" t="s">
        <v>5717</v>
      </c>
      <c r="G2582" s="54" t="s">
        <v>5719</v>
      </c>
      <c r="H2582" s="54" t="n">
        <v>11813</v>
      </c>
      <c r="I2582" s="54" t="s">
        <v>295</v>
      </c>
      <c r="J2582" s="54" t="s">
        <v>1067</v>
      </c>
    </row>
    <row r="2583" customFormat="false" ht="15" hidden="false" customHeight="true" outlineLevel="0" collapsed="false">
      <c r="A2583" s="54" t="n">
        <v>20260711</v>
      </c>
      <c r="B2583" s="54" t="s">
        <v>306</v>
      </c>
      <c r="C2583" s="54" t="s">
        <v>290</v>
      </c>
      <c r="D2583" s="54" t="s">
        <v>2239</v>
      </c>
      <c r="E2583" s="54" t="s">
        <v>2240</v>
      </c>
      <c r="F2583" s="54" t="s">
        <v>5720</v>
      </c>
      <c r="G2583" s="54" t="s">
        <v>5721</v>
      </c>
      <c r="H2583" s="54" t="n">
        <v>6</v>
      </c>
      <c r="I2583" s="54" t="s">
        <v>295</v>
      </c>
      <c r="J2583" s="54" t="s">
        <v>1067</v>
      </c>
    </row>
    <row r="2584" customFormat="false" ht="15" hidden="false" customHeight="true" outlineLevel="0" collapsed="false">
      <c r="A2584" s="54" t="n">
        <v>20260711</v>
      </c>
      <c r="B2584" s="54" t="s">
        <v>306</v>
      </c>
      <c r="C2584" s="54" t="s">
        <v>290</v>
      </c>
      <c r="D2584" s="54" t="s">
        <v>2239</v>
      </c>
      <c r="E2584" s="54" t="s">
        <v>2240</v>
      </c>
      <c r="F2584" s="54" t="s">
        <v>5722</v>
      </c>
      <c r="G2584" s="54" t="s">
        <v>5723</v>
      </c>
      <c r="H2584" s="54" t="n">
        <v>4</v>
      </c>
      <c r="I2584" s="54" t="s">
        <v>1642</v>
      </c>
      <c r="J2584" s="54" t="s">
        <v>1067</v>
      </c>
    </row>
    <row r="2585" customFormat="false" ht="15" hidden="false" customHeight="true" outlineLevel="0" collapsed="false">
      <c r="A2585" s="54" t="n">
        <v>20260711</v>
      </c>
      <c r="B2585" s="54" t="s">
        <v>306</v>
      </c>
      <c r="C2585" s="54" t="s">
        <v>290</v>
      </c>
      <c r="D2585" s="54" t="s">
        <v>2239</v>
      </c>
      <c r="E2585" s="54" t="s">
        <v>2240</v>
      </c>
      <c r="F2585" s="54" t="s">
        <v>5724</v>
      </c>
      <c r="G2585" s="54" t="s">
        <v>5725</v>
      </c>
      <c r="H2585" s="54" t="n">
        <v>2</v>
      </c>
      <c r="I2585" s="54" t="s">
        <v>1642</v>
      </c>
      <c r="J2585" s="54" t="s">
        <v>1067</v>
      </c>
    </row>
    <row r="2586" customFormat="false" ht="15" hidden="false" customHeight="true" outlineLevel="0" collapsed="false">
      <c r="A2586" s="54" t="n">
        <v>20260711</v>
      </c>
      <c r="B2586" s="54" t="s">
        <v>306</v>
      </c>
      <c r="C2586" s="54" t="s">
        <v>290</v>
      </c>
      <c r="D2586" s="54" t="s">
        <v>2239</v>
      </c>
      <c r="E2586" s="54" t="s">
        <v>2240</v>
      </c>
      <c r="F2586" s="54" t="s">
        <v>5724</v>
      </c>
      <c r="G2586" s="54" t="s">
        <v>5668</v>
      </c>
      <c r="H2586" s="54" t="n">
        <v>10554</v>
      </c>
      <c r="I2586" s="54" t="s">
        <v>295</v>
      </c>
      <c r="J2586" s="54" t="s">
        <v>1067</v>
      </c>
    </row>
    <row r="2587" customFormat="false" ht="15" hidden="false" customHeight="true" outlineLevel="0" collapsed="false">
      <c r="A2587" s="54" t="n">
        <v>20260711</v>
      </c>
      <c r="B2587" s="54" t="s">
        <v>306</v>
      </c>
      <c r="C2587" s="54" t="s">
        <v>307</v>
      </c>
      <c r="D2587" s="54" t="s">
        <v>2257</v>
      </c>
      <c r="E2587" s="54" t="s">
        <v>2258</v>
      </c>
      <c r="F2587" s="54" t="s">
        <v>5726</v>
      </c>
      <c r="G2587" s="54" t="s">
        <v>5727</v>
      </c>
      <c r="H2587" s="54" t="n">
        <v>21776</v>
      </c>
      <c r="I2587" s="54" t="s">
        <v>315</v>
      </c>
      <c r="J2587" s="54" t="s">
        <v>312</v>
      </c>
    </row>
    <row r="2588" customFormat="false" ht="15" hidden="false" customHeight="true" outlineLevel="0" collapsed="false">
      <c r="A2588" s="54" t="n">
        <v>20260711</v>
      </c>
      <c r="B2588" s="54" t="s">
        <v>306</v>
      </c>
      <c r="C2588" s="54" t="s">
        <v>307</v>
      </c>
      <c r="D2588" s="54" t="s">
        <v>2257</v>
      </c>
      <c r="E2588" s="54" t="s">
        <v>2258</v>
      </c>
      <c r="F2588" s="54" t="s">
        <v>5726</v>
      </c>
      <c r="G2588" s="54" t="s">
        <v>5727</v>
      </c>
      <c r="H2588" s="54" t="n">
        <v>21776</v>
      </c>
      <c r="I2588" s="54" t="s">
        <v>295</v>
      </c>
      <c r="J2588" s="54" t="s">
        <v>312</v>
      </c>
    </row>
    <row r="2589" customFormat="false" ht="15" hidden="false" customHeight="true" outlineLevel="0" collapsed="false">
      <c r="A2589" s="54" t="n">
        <v>20260711</v>
      </c>
      <c r="B2589" s="54" t="s">
        <v>306</v>
      </c>
      <c r="C2589" s="54" t="s">
        <v>307</v>
      </c>
      <c r="D2589" s="54" t="s">
        <v>2257</v>
      </c>
      <c r="E2589" s="54" t="s">
        <v>2258</v>
      </c>
      <c r="F2589" s="54" t="s">
        <v>5728</v>
      </c>
      <c r="G2589" s="54" t="s">
        <v>5602</v>
      </c>
      <c r="H2589" s="54" t="n">
        <v>10946</v>
      </c>
      <c r="I2589" s="54" t="s">
        <v>295</v>
      </c>
      <c r="J2589" s="54" t="s">
        <v>312</v>
      </c>
    </row>
    <row r="2590" customFormat="false" ht="15" hidden="false" customHeight="true" outlineLevel="0" collapsed="false">
      <c r="A2590" s="54" t="n">
        <v>20260711</v>
      </c>
      <c r="B2590" s="54" t="s">
        <v>306</v>
      </c>
      <c r="C2590" s="54" t="s">
        <v>307</v>
      </c>
      <c r="D2590" s="54" t="s">
        <v>2257</v>
      </c>
      <c r="E2590" s="54" t="s">
        <v>2258</v>
      </c>
      <c r="F2590" s="54" t="s">
        <v>5729</v>
      </c>
      <c r="G2590" s="54" t="s">
        <v>5602</v>
      </c>
      <c r="H2590" s="54" t="n">
        <v>10945</v>
      </c>
      <c r="I2590" s="54" t="s">
        <v>315</v>
      </c>
      <c r="J2590" s="54" t="s">
        <v>312</v>
      </c>
    </row>
    <row r="2591" customFormat="false" ht="15" hidden="false" customHeight="true" outlineLevel="0" collapsed="false">
      <c r="A2591" s="54" t="n">
        <v>20260711</v>
      </c>
      <c r="B2591" s="54" t="s">
        <v>289</v>
      </c>
      <c r="C2591" s="54" t="s">
        <v>307</v>
      </c>
      <c r="D2591" s="54" t="s">
        <v>5730</v>
      </c>
      <c r="E2591" s="54" t="s">
        <v>5731</v>
      </c>
      <c r="F2591" s="54" t="s">
        <v>5732</v>
      </c>
      <c r="G2591" s="54" t="s">
        <v>5733</v>
      </c>
      <c r="H2591" s="54" t="n">
        <v>17760</v>
      </c>
      <c r="I2591" s="54" t="s">
        <v>295</v>
      </c>
      <c r="J2591" s="54" t="s">
        <v>361</v>
      </c>
    </row>
    <row r="2592" customFormat="false" ht="15" hidden="false" customHeight="true" outlineLevel="0" collapsed="false">
      <c r="A2592" s="54" t="n">
        <v>20260711</v>
      </c>
      <c r="B2592" s="54" t="s">
        <v>289</v>
      </c>
      <c r="C2592" s="54" t="s">
        <v>307</v>
      </c>
      <c r="D2592" s="54" t="s">
        <v>5730</v>
      </c>
      <c r="E2592" s="54" t="s">
        <v>5731</v>
      </c>
      <c r="F2592" s="54" t="s">
        <v>5734</v>
      </c>
      <c r="G2592" s="54" t="s">
        <v>5735</v>
      </c>
      <c r="H2592" s="54" t="n">
        <v>10036</v>
      </c>
      <c r="I2592" s="54" t="s">
        <v>295</v>
      </c>
      <c r="J2592" s="54" t="s">
        <v>361</v>
      </c>
    </row>
    <row r="2593" customFormat="false" ht="15" hidden="false" customHeight="true" outlineLevel="0" collapsed="false">
      <c r="A2593" s="54" t="n">
        <v>20260711</v>
      </c>
      <c r="B2593" s="54" t="s">
        <v>168</v>
      </c>
      <c r="C2593" s="54" t="s">
        <v>290</v>
      </c>
      <c r="D2593" s="54" t="s">
        <v>5736</v>
      </c>
      <c r="E2593" s="54" t="s">
        <v>5737</v>
      </c>
      <c r="F2593" s="54" t="s">
        <v>5738</v>
      </c>
      <c r="G2593" s="54" t="s">
        <v>5739</v>
      </c>
      <c r="H2593" s="54" t="n">
        <v>18543</v>
      </c>
      <c r="I2593" s="54" t="s">
        <v>295</v>
      </c>
      <c r="J2593" s="54" t="s">
        <v>1709</v>
      </c>
    </row>
    <row r="2594" customFormat="false" ht="15" hidden="false" customHeight="true" outlineLevel="0" collapsed="false">
      <c r="A2594" s="54" t="n">
        <v>20260711</v>
      </c>
      <c r="B2594" s="54" t="s">
        <v>168</v>
      </c>
      <c r="C2594" s="54" t="s">
        <v>290</v>
      </c>
      <c r="D2594" s="54" t="s">
        <v>5736</v>
      </c>
      <c r="E2594" s="54" t="s">
        <v>5737</v>
      </c>
      <c r="F2594" s="54" t="s">
        <v>5740</v>
      </c>
      <c r="G2594" s="54" t="s">
        <v>5741</v>
      </c>
      <c r="H2594" s="54" t="n">
        <v>5</v>
      </c>
      <c r="I2594" s="54" t="s">
        <v>295</v>
      </c>
      <c r="J2594" s="54" t="s">
        <v>1709</v>
      </c>
    </row>
    <row r="2595" customFormat="false" ht="15" hidden="false" customHeight="true" outlineLevel="0" collapsed="false">
      <c r="A2595" s="54" t="n">
        <v>20260711</v>
      </c>
      <c r="B2595" s="54" t="s">
        <v>168</v>
      </c>
      <c r="C2595" s="54" t="s">
        <v>290</v>
      </c>
      <c r="D2595" s="54" t="s">
        <v>5736</v>
      </c>
      <c r="E2595" s="54" t="s">
        <v>5737</v>
      </c>
      <c r="F2595" s="54" t="s">
        <v>5742</v>
      </c>
      <c r="G2595" s="54" t="s">
        <v>5743</v>
      </c>
      <c r="H2595" s="54" t="n">
        <v>3822</v>
      </c>
      <c r="I2595" s="54" t="s">
        <v>295</v>
      </c>
      <c r="J2595" s="54" t="s">
        <v>1709</v>
      </c>
    </row>
    <row r="2596" customFormat="false" ht="15" hidden="false" customHeight="true" outlineLevel="0" collapsed="false">
      <c r="A2596" s="54" t="n">
        <v>20260711</v>
      </c>
      <c r="B2596" s="54" t="s">
        <v>168</v>
      </c>
      <c r="C2596" s="54" t="s">
        <v>290</v>
      </c>
      <c r="D2596" s="54" t="s">
        <v>5736</v>
      </c>
      <c r="E2596" s="54" t="s">
        <v>5737</v>
      </c>
      <c r="F2596" s="54" t="s">
        <v>5744</v>
      </c>
      <c r="G2596" s="54" t="s">
        <v>5745</v>
      </c>
      <c r="H2596" s="54" t="n">
        <v>5122</v>
      </c>
      <c r="I2596" s="54" t="s">
        <v>295</v>
      </c>
      <c r="J2596" s="54" t="s">
        <v>1709</v>
      </c>
    </row>
    <row r="2597" customFormat="false" ht="15" hidden="false" customHeight="true" outlineLevel="0" collapsed="false">
      <c r="A2597" s="54" t="n">
        <v>20260711</v>
      </c>
      <c r="B2597" s="54" t="s">
        <v>306</v>
      </c>
      <c r="C2597" s="54" t="s">
        <v>290</v>
      </c>
      <c r="D2597" s="54" t="s">
        <v>2314</v>
      </c>
      <c r="E2597" s="54" t="s">
        <v>2315</v>
      </c>
      <c r="F2597" s="54" t="s">
        <v>5746</v>
      </c>
      <c r="G2597" s="54" t="s">
        <v>5747</v>
      </c>
      <c r="H2597" s="54" t="n">
        <v>21742</v>
      </c>
      <c r="I2597" s="54" t="s">
        <v>295</v>
      </c>
      <c r="J2597" s="54" t="s">
        <v>989</v>
      </c>
    </row>
    <row r="2598" customFormat="false" ht="15" hidden="false" customHeight="true" outlineLevel="0" collapsed="false">
      <c r="A2598" s="54" t="n">
        <v>20260711</v>
      </c>
      <c r="B2598" s="54" t="s">
        <v>289</v>
      </c>
      <c r="C2598" s="54" t="s">
        <v>307</v>
      </c>
      <c r="D2598" s="54" t="s">
        <v>2318</v>
      </c>
      <c r="E2598" s="54" t="s">
        <v>2319</v>
      </c>
      <c r="F2598" s="54" t="s">
        <v>5748</v>
      </c>
      <c r="G2598" s="54" t="s">
        <v>5749</v>
      </c>
      <c r="H2598" s="54" t="n">
        <v>19860</v>
      </c>
      <c r="I2598" s="54" t="s">
        <v>295</v>
      </c>
      <c r="J2598" s="54" t="s">
        <v>361</v>
      </c>
    </row>
    <row r="2599" customFormat="false" ht="15" hidden="false" customHeight="true" outlineLevel="0" collapsed="false">
      <c r="A2599" s="54" t="n">
        <v>20260711</v>
      </c>
      <c r="B2599" s="54" t="s">
        <v>289</v>
      </c>
      <c r="C2599" s="54" t="s">
        <v>307</v>
      </c>
      <c r="D2599" s="54" t="s">
        <v>2318</v>
      </c>
      <c r="E2599" s="54" t="s">
        <v>2319</v>
      </c>
      <c r="F2599" s="54" t="s">
        <v>5750</v>
      </c>
      <c r="G2599" s="54" t="s">
        <v>5628</v>
      </c>
      <c r="H2599" s="54" t="n">
        <v>9071</v>
      </c>
      <c r="I2599" s="54" t="s">
        <v>295</v>
      </c>
      <c r="J2599" s="54" t="s">
        <v>361</v>
      </c>
    </row>
    <row r="2600" customFormat="false" ht="15" hidden="false" customHeight="true" outlineLevel="0" collapsed="false">
      <c r="A2600" s="54" t="n">
        <v>20260711</v>
      </c>
      <c r="B2600" s="54" t="s">
        <v>306</v>
      </c>
      <c r="C2600" s="54" t="s">
        <v>290</v>
      </c>
      <c r="D2600" s="54" t="s">
        <v>2331</v>
      </c>
      <c r="E2600" s="54" t="s">
        <v>2332</v>
      </c>
      <c r="F2600" s="54" t="s">
        <v>5751</v>
      </c>
      <c r="G2600" s="54" t="s">
        <v>5752</v>
      </c>
      <c r="H2600" s="54" t="n">
        <v>21820</v>
      </c>
      <c r="I2600" s="54" t="s">
        <v>295</v>
      </c>
      <c r="J2600" s="54" t="s">
        <v>948</v>
      </c>
    </row>
    <row r="2601" customFormat="false" ht="15" hidden="false" customHeight="true" outlineLevel="0" collapsed="false">
      <c r="A2601" s="54" t="n">
        <v>20260711</v>
      </c>
      <c r="B2601" s="54" t="s">
        <v>306</v>
      </c>
      <c r="C2601" s="54" t="s">
        <v>290</v>
      </c>
      <c r="D2601" s="54" t="s">
        <v>2331</v>
      </c>
      <c r="E2601" s="54" t="s">
        <v>2332</v>
      </c>
      <c r="F2601" s="54" t="s">
        <v>5751</v>
      </c>
      <c r="G2601" s="54" t="s">
        <v>5753</v>
      </c>
      <c r="H2601" s="54" t="n">
        <v>21821</v>
      </c>
      <c r="I2601" s="54" t="s">
        <v>315</v>
      </c>
      <c r="J2601" s="54" t="s">
        <v>948</v>
      </c>
    </row>
    <row r="2602" customFormat="false" ht="15" hidden="false" customHeight="true" outlineLevel="0" collapsed="false">
      <c r="A2602" s="54" t="n">
        <v>20260711</v>
      </c>
      <c r="B2602" s="54" t="s">
        <v>306</v>
      </c>
      <c r="C2602" s="54" t="s">
        <v>290</v>
      </c>
      <c r="D2602" s="54" t="s">
        <v>2331</v>
      </c>
      <c r="E2602" s="54" t="s">
        <v>2332</v>
      </c>
      <c r="F2602" s="54" t="s">
        <v>5754</v>
      </c>
      <c r="G2602" s="54" t="s">
        <v>5755</v>
      </c>
      <c r="H2602" s="54" t="n">
        <v>17956</v>
      </c>
      <c r="I2602" s="54" t="s">
        <v>295</v>
      </c>
      <c r="J2602" s="54" t="s">
        <v>948</v>
      </c>
    </row>
    <row r="2603" customFormat="false" ht="15" hidden="false" customHeight="true" outlineLevel="0" collapsed="false">
      <c r="A2603" s="54" t="n">
        <v>20260711</v>
      </c>
      <c r="B2603" s="54" t="s">
        <v>306</v>
      </c>
      <c r="C2603" s="54" t="s">
        <v>290</v>
      </c>
      <c r="D2603" s="54" t="s">
        <v>2331</v>
      </c>
      <c r="E2603" s="54" t="s">
        <v>2332</v>
      </c>
      <c r="F2603" s="54" t="s">
        <v>5754</v>
      </c>
      <c r="G2603" s="54" t="s">
        <v>5756</v>
      </c>
      <c r="H2603" s="54" t="n">
        <v>17958</v>
      </c>
      <c r="I2603" s="54" t="s">
        <v>315</v>
      </c>
      <c r="J2603" s="54" t="s">
        <v>948</v>
      </c>
    </row>
    <row r="2604" customFormat="false" ht="15" hidden="false" customHeight="true" outlineLevel="0" collapsed="false">
      <c r="A2604" s="54" t="n">
        <v>20260711</v>
      </c>
      <c r="B2604" s="54" t="s">
        <v>289</v>
      </c>
      <c r="C2604" s="54" t="s">
        <v>290</v>
      </c>
      <c r="D2604" s="54" t="s">
        <v>5757</v>
      </c>
      <c r="E2604" s="54" t="s">
        <v>5758</v>
      </c>
      <c r="F2604" s="54" t="s">
        <v>5759</v>
      </c>
      <c r="G2604" s="54" t="s">
        <v>5760</v>
      </c>
      <c r="H2604" s="54" t="n">
        <v>271</v>
      </c>
      <c r="I2604" s="54" t="s">
        <v>295</v>
      </c>
      <c r="J2604" s="54" t="s">
        <v>1463</v>
      </c>
    </row>
    <row r="2605" customFormat="false" ht="15" hidden="false" customHeight="true" outlineLevel="0" collapsed="false">
      <c r="A2605" s="54" t="n">
        <v>20260711</v>
      </c>
      <c r="B2605" s="54" t="s">
        <v>289</v>
      </c>
      <c r="C2605" s="54" t="s">
        <v>290</v>
      </c>
      <c r="D2605" s="54" t="s">
        <v>5757</v>
      </c>
      <c r="E2605" s="54" t="s">
        <v>5758</v>
      </c>
      <c r="F2605" s="54" t="s">
        <v>5761</v>
      </c>
      <c r="G2605" s="54" t="s">
        <v>5458</v>
      </c>
      <c r="H2605" s="54" t="n">
        <v>14106</v>
      </c>
      <c r="I2605" s="54" t="s">
        <v>295</v>
      </c>
      <c r="J2605" s="54" t="s">
        <v>1463</v>
      </c>
    </row>
    <row r="2606" customFormat="false" ht="15" hidden="false" customHeight="true" outlineLevel="0" collapsed="false">
      <c r="A2606" s="54" t="n">
        <v>20260711</v>
      </c>
      <c r="B2606" s="54" t="s">
        <v>289</v>
      </c>
      <c r="C2606" s="54" t="s">
        <v>290</v>
      </c>
      <c r="D2606" s="54" t="s">
        <v>5757</v>
      </c>
      <c r="E2606" s="54" t="s">
        <v>5758</v>
      </c>
      <c r="F2606" s="54" t="s">
        <v>5762</v>
      </c>
      <c r="G2606" s="54" t="s">
        <v>5763</v>
      </c>
      <c r="H2606" s="54" t="n">
        <v>14155</v>
      </c>
      <c r="I2606" s="54" t="s">
        <v>295</v>
      </c>
      <c r="J2606" s="54" t="s">
        <v>1463</v>
      </c>
    </row>
    <row r="2607" customFormat="false" ht="15" hidden="false" customHeight="true" outlineLevel="0" collapsed="false">
      <c r="A2607" s="54" t="n">
        <v>20260711</v>
      </c>
      <c r="B2607" s="54" t="s">
        <v>306</v>
      </c>
      <c r="C2607" s="54" t="s">
        <v>307</v>
      </c>
      <c r="D2607" s="54" t="s">
        <v>5764</v>
      </c>
      <c r="E2607" s="54" t="s">
        <v>5765</v>
      </c>
      <c r="F2607" s="54" t="s">
        <v>5766</v>
      </c>
      <c r="G2607" s="54" t="s">
        <v>5702</v>
      </c>
      <c r="H2607" s="54" t="n">
        <v>21432</v>
      </c>
      <c r="I2607" s="54" t="s">
        <v>295</v>
      </c>
      <c r="J2607" s="54" t="s">
        <v>312</v>
      </c>
    </row>
    <row r="2608" customFormat="false" ht="15" hidden="false" customHeight="true" outlineLevel="0" collapsed="false">
      <c r="A2608" s="54" t="n">
        <v>20260711</v>
      </c>
      <c r="B2608" s="54" t="s">
        <v>688</v>
      </c>
      <c r="C2608" s="54" t="s">
        <v>307</v>
      </c>
      <c r="D2608" s="54" t="s">
        <v>5767</v>
      </c>
      <c r="E2608" s="54" t="s">
        <v>5768</v>
      </c>
      <c r="F2608" s="54" t="s">
        <v>5769</v>
      </c>
      <c r="G2608" s="54" t="s">
        <v>5770</v>
      </c>
      <c r="H2608" s="54" t="n">
        <v>3369</v>
      </c>
      <c r="I2608" s="54" t="s">
        <v>295</v>
      </c>
      <c r="J2608" s="54" t="s">
        <v>693</v>
      </c>
    </row>
    <row r="2609" customFormat="false" ht="15" hidden="false" customHeight="true" outlineLevel="0" collapsed="false">
      <c r="A2609" s="54" t="n">
        <v>20260711</v>
      </c>
      <c r="B2609" s="54" t="s">
        <v>688</v>
      </c>
      <c r="C2609" s="54" t="s">
        <v>307</v>
      </c>
      <c r="D2609" s="54" t="s">
        <v>5767</v>
      </c>
      <c r="E2609" s="54" t="s">
        <v>5768</v>
      </c>
      <c r="F2609" s="54" t="s">
        <v>5771</v>
      </c>
      <c r="G2609" s="54" t="s">
        <v>5772</v>
      </c>
      <c r="H2609" s="54" t="n">
        <v>9417</v>
      </c>
      <c r="I2609" s="54" t="s">
        <v>295</v>
      </c>
      <c r="J2609" s="54" t="s">
        <v>693</v>
      </c>
    </row>
    <row r="2610" customFormat="false" ht="15" hidden="false" customHeight="true" outlineLevel="0" collapsed="false">
      <c r="A2610" s="54" t="n">
        <v>20260711</v>
      </c>
      <c r="B2610" s="54" t="s">
        <v>688</v>
      </c>
      <c r="C2610" s="54" t="s">
        <v>307</v>
      </c>
      <c r="D2610" s="54" t="s">
        <v>5767</v>
      </c>
      <c r="E2610" s="54" t="s">
        <v>5768</v>
      </c>
      <c r="F2610" s="54" t="s">
        <v>5773</v>
      </c>
      <c r="G2610" s="54" t="s">
        <v>5774</v>
      </c>
      <c r="H2610" s="54" t="n">
        <v>117</v>
      </c>
      <c r="I2610" s="54" t="s">
        <v>295</v>
      </c>
      <c r="J2610" s="54" t="s">
        <v>693</v>
      </c>
    </row>
    <row r="2611" customFormat="false" ht="15" hidden="false" customHeight="true" outlineLevel="0" collapsed="false">
      <c r="A2611" s="54" t="n">
        <v>20260711</v>
      </c>
      <c r="B2611" s="54" t="s">
        <v>688</v>
      </c>
      <c r="C2611" s="54" t="s">
        <v>307</v>
      </c>
      <c r="D2611" s="54" t="s">
        <v>5767</v>
      </c>
      <c r="E2611" s="54" t="s">
        <v>5768</v>
      </c>
      <c r="F2611" s="54" t="s">
        <v>5775</v>
      </c>
      <c r="G2611" s="54" t="s">
        <v>5776</v>
      </c>
      <c r="H2611" s="54" t="n">
        <v>390</v>
      </c>
      <c r="I2611" s="54" t="s">
        <v>295</v>
      </c>
      <c r="J2611" s="54" t="s">
        <v>693</v>
      </c>
    </row>
    <row r="2612" customFormat="false" ht="15" hidden="false" customHeight="true" outlineLevel="0" collapsed="false">
      <c r="A2612" s="54" t="n">
        <v>20260711</v>
      </c>
      <c r="B2612" s="54" t="s">
        <v>688</v>
      </c>
      <c r="C2612" s="54" t="s">
        <v>307</v>
      </c>
      <c r="D2612" s="54" t="s">
        <v>5767</v>
      </c>
      <c r="E2612" s="54" t="s">
        <v>5768</v>
      </c>
      <c r="F2612" s="54" t="s">
        <v>5364</v>
      </c>
      <c r="G2612" s="54" t="s">
        <v>5777</v>
      </c>
      <c r="H2612" s="54" t="n">
        <v>3584</v>
      </c>
      <c r="I2612" s="54" t="s">
        <v>295</v>
      </c>
      <c r="J2612" s="54" t="s">
        <v>693</v>
      </c>
    </row>
    <row r="2613" customFormat="false" ht="15" hidden="false" customHeight="true" outlineLevel="0" collapsed="false">
      <c r="A2613" s="54" t="n">
        <v>20260711</v>
      </c>
      <c r="B2613" s="54" t="s">
        <v>688</v>
      </c>
      <c r="C2613" s="54" t="s">
        <v>307</v>
      </c>
      <c r="D2613" s="54" t="s">
        <v>5767</v>
      </c>
      <c r="E2613" s="54" t="s">
        <v>5768</v>
      </c>
      <c r="F2613" s="54" t="s">
        <v>5778</v>
      </c>
      <c r="G2613" s="54" t="s">
        <v>5779</v>
      </c>
      <c r="H2613" s="54" t="n">
        <v>10167</v>
      </c>
      <c r="I2613" s="54" t="s">
        <v>295</v>
      </c>
      <c r="J2613" s="54" t="s">
        <v>693</v>
      </c>
    </row>
    <row r="2614" customFormat="false" ht="15" hidden="false" customHeight="true" outlineLevel="0" collapsed="false">
      <c r="A2614" s="54" t="n">
        <v>20260711</v>
      </c>
      <c r="B2614" s="54" t="s">
        <v>688</v>
      </c>
      <c r="C2614" s="54" t="s">
        <v>307</v>
      </c>
      <c r="D2614" s="54" t="s">
        <v>5767</v>
      </c>
      <c r="E2614" s="54" t="s">
        <v>5768</v>
      </c>
      <c r="F2614" s="54" t="s">
        <v>5780</v>
      </c>
      <c r="G2614" s="54" t="s">
        <v>5781</v>
      </c>
      <c r="H2614" s="54" t="n">
        <v>4170</v>
      </c>
      <c r="I2614" s="54" t="s">
        <v>295</v>
      </c>
      <c r="J2614" s="54" t="s">
        <v>693</v>
      </c>
    </row>
    <row r="2615" customFormat="false" ht="15" hidden="false" customHeight="true" outlineLevel="0" collapsed="false">
      <c r="A2615" s="54" t="n">
        <v>20260711</v>
      </c>
      <c r="B2615" s="54" t="s">
        <v>306</v>
      </c>
      <c r="C2615" s="54" t="s">
        <v>307</v>
      </c>
      <c r="D2615" s="54" t="s">
        <v>2343</v>
      </c>
      <c r="E2615" s="54" t="s">
        <v>2344</v>
      </c>
      <c r="F2615" s="54" t="s">
        <v>5782</v>
      </c>
      <c r="G2615" s="54" t="s">
        <v>5783</v>
      </c>
      <c r="H2615" s="54" t="n">
        <v>10189</v>
      </c>
      <c r="I2615" s="54" t="s">
        <v>295</v>
      </c>
      <c r="J2615" s="54" t="s">
        <v>2347</v>
      </c>
    </row>
    <row r="2616" customFormat="false" ht="15" hidden="false" customHeight="true" outlineLevel="0" collapsed="false">
      <c r="A2616" s="54" t="n">
        <v>20260711</v>
      </c>
      <c r="B2616" s="54" t="s">
        <v>306</v>
      </c>
      <c r="C2616" s="54" t="s">
        <v>307</v>
      </c>
      <c r="D2616" s="54" t="s">
        <v>2343</v>
      </c>
      <c r="E2616" s="54" t="s">
        <v>2344</v>
      </c>
      <c r="F2616" s="54" t="s">
        <v>5784</v>
      </c>
      <c r="G2616" s="54" t="s">
        <v>5785</v>
      </c>
      <c r="H2616" s="54" t="n">
        <v>10385</v>
      </c>
      <c r="I2616" s="54" t="s">
        <v>295</v>
      </c>
      <c r="J2616" s="54" t="s">
        <v>2347</v>
      </c>
    </row>
    <row r="2617" customFormat="false" ht="15" hidden="false" customHeight="true" outlineLevel="0" collapsed="false">
      <c r="A2617" s="54" t="n">
        <v>20260711</v>
      </c>
      <c r="B2617" s="54" t="s">
        <v>688</v>
      </c>
      <c r="C2617" s="54" t="s">
        <v>307</v>
      </c>
      <c r="D2617" s="54" t="s">
        <v>5786</v>
      </c>
      <c r="E2617" s="54" t="s">
        <v>157</v>
      </c>
      <c r="F2617" s="54" t="s">
        <v>5787</v>
      </c>
      <c r="G2617" s="54" t="s">
        <v>5788</v>
      </c>
      <c r="H2617" s="54" t="n">
        <v>8320</v>
      </c>
      <c r="I2617" s="54" t="s">
        <v>295</v>
      </c>
      <c r="J2617" s="54" t="s">
        <v>142</v>
      </c>
    </row>
    <row r="2618" customFormat="false" ht="15" hidden="false" customHeight="true" outlineLevel="0" collapsed="false">
      <c r="A2618" s="54" t="n">
        <v>20260711</v>
      </c>
      <c r="B2618" s="54" t="s">
        <v>688</v>
      </c>
      <c r="C2618" s="54" t="s">
        <v>307</v>
      </c>
      <c r="D2618" s="54" t="s">
        <v>5786</v>
      </c>
      <c r="E2618" s="54" t="s">
        <v>157</v>
      </c>
      <c r="F2618" s="54" t="s">
        <v>5789</v>
      </c>
      <c r="G2618" s="54" t="s">
        <v>5790</v>
      </c>
      <c r="H2618" s="54" t="n">
        <v>6938</v>
      </c>
      <c r="I2618" s="54" t="s">
        <v>295</v>
      </c>
      <c r="J2618" s="54" t="s">
        <v>142</v>
      </c>
    </row>
    <row r="2619" customFormat="false" ht="15" hidden="false" customHeight="true" outlineLevel="0" collapsed="false">
      <c r="A2619" s="54" t="n">
        <v>20260711</v>
      </c>
      <c r="B2619" s="54" t="s">
        <v>688</v>
      </c>
      <c r="C2619" s="54" t="s">
        <v>307</v>
      </c>
      <c r="D2619" s="54" t="s">
        <v>5786</v>
      </c>
      <c r="E2619" s="54" t="s">
        <v>157</v>
      </c>
      <c r="F2619" s="54" t="s">
        <v>5791</v>
      </c>
      <c r="G2619" s="54" t="s">
        <v>5792</v>
      </c>
      <c r="H2619" s="54" t="n">
        <v>6108</v>
      </c>
      <c r="I2619" s="54" t="s">
        <v>295</v>
      </c>
      <c r="J2619" s="54" t="s">
        <v>142</v>
      </c>
    </row>
    <row r="2620" customFormat="false" ht="15" hidden="false" customHeight="true" outlineLevel="0" collapsed="false">
      <c r="A2620" s="54" t="n">
        <v>20260711</v>
      </c>
      <c r="B2620" s="54" t="s">
        <v>688</v>
      </c>
      <c r="C2620" s="54" t="s">
        <v>307</v>
      </c>
      <c r="D2620" s="54" t="s">
        <v>5786</v>
      </c>
      <c r="E2620" s="54" t="s">
        <v>157</v>
      </c>
      <c r="F2620" s="54" t="s">
        <v>5793</v>
      </c>
      <c r="G2620" s="54" t="s">
        <v>5794</v>
      </c>
      <c r="H2620" s="54" t="n">
        <v>11849</v>
      </c>
      <c r="I2620" s="54" t="s">
        <v>295</v>
      </c>
      <c r="J2620" s="54" t="s">
        <v>142</v>
      </c>
    </row>
    <row r="2621" customFormat="false" ht="15" hidden="false" customHeight="true" outlineLevel="0" collapsed="false">
      <c r="A2621" s="54" t="n">
        <v>20260711</v>
      </c>
      <c r="B2621" s="54" t="s">
        <v>306</v>
      </c>
      <c r="C2621" s="54" t="s">
        <v>290</v>
      </c>
      <c r="D2621" s="54" t="s">
        <v>2359</v>
      </c>
      <c r="E2621" s="54" t="s">
        <v>2360</v>
      </c>
      <c r="F2621" s="54" t="s">
        <v>5795</v>
      </c>
      <c r="G2621" s="54" t="s">
        <v>5702</v>
      </c>
      <c r="H2621" s="54" t="n">
        <v>20604</v>
      </c>
      <c r="I2621" s="54" t="s">
        <v>295</v>
      </c>
      <c r="J2621" s="54" t="s">
        <v>375</v>
      </c>
    </row>
    <row r="2622" customFormat="false" ht="15" hidden="false" customHeight="true" outlineLevel="0" collapsed="false">
      <c r="A2622" s="54" t="n">
        <v>20260711</v>
      </c>
      <c r="B2622" s="54" t="s">
        <v>306</v>
      </c>
      <c r="C2622" s="54" t="s">
        <v>290</v>
      </c>
      <c r="D2622" s="54" t="s">
        <v>2370</v>
      </c>
      <c r="E2622" s="54" t="s">
        <v>2371</v>
      </c>
      <c r="F2622" s="54" t="s">
        <v>5796</v>
      </c>
      <c r="G2622" s="54" t="s">
        <v>5797</v>
      </c>
      <c r="H2622" s="54" t="n">
        <v>20377</v>
      </c>
      <c r="I2622" s="54" t="s">
        <v>295</v>
      </c>
      <c r="J2622" s="54" t="s">
        <v>2159</v>
      </c>
    </row>
    <row r="2623" customFormat="false" ht="15" hidden="false" customHeight="true" outlineLevel="0" collapsed="false">
      <c r="A2623" s="54" t="n">
        <v>20260711</v>
      </c>
      <c r="B2623" s="54" t="s">
        <v>289</v>
      </c>
      <c r="C2623" s="54" t="s">
        <v>290</v>
      </c>
      <c r="D2623" s="54" t="s">
        <v>2374</v>
      </c>
      <c r="E2623" s="54" t="s">
        <v>2375</v>
      </c>
      <c r="F2623" s="54" t="s">
        <v>5798</v>
      </c>
      <c r="G2623" s="54" t="s">
        <v>5799</v>
      </c>
      <c r="H2623" s="54" t="n">
        <v>18524</v>
      </c>
      <c r="I2623" s="54" t="s">
        <v>295</v>
      </c>
      <c r="J2623" s="54" t="s">
        <v>2306</v>
      </c>
    </row>
    <row r="2624" customFormat="false" ht="15" hidden="false" customHeight="true" outlineLevel="0" collapsed="false">
      <c r="A2624" s="54" t="n">
        <v>20260711</v>
      </c>
      <c r="B2624" s="54" t="s">
        <v>289</v>
      </c>
      <c r="C2624" s="54" t="s">
        <v>290</v>
      </c>
      <c r="D2624" s="54" t="s">
        <v>2374</v>
      </c>
      <c r="E2624" s="54" t="s">
        <v>2375</v>
      </c>
      <c r="F2624" s="54" t="s">
        <v>5800</v>
      </c>
      <c r="G2624" s="54" t="s">
        <v>5801</v>
      </c>
      <c r="H2624" s="54" t="n">
        <v>11061</v>
      </c>
      <c r="I2624" s="54" t="s">
        <v>295</v>
      </c>
      <c r="J2624" s="54" t="s">
        <v>2306</v>
      </c>
    </row>
    <row r="2625" customFormat="false" ht="15" hidden="false" customHeight="true" outlineLevel="0" collapsed="false">
      <c r="A2625" s="54" t="n">
        <v>20260711</v>
      </c>
      <c r="B2625" s="54" t="s">
        <v>289</v>
      </c>
      <c r="C2625" s="54" t="s">
        <v>290</v>
      </c>
      <c r="D2625" s="54" t="s">
        <v>2382</v>
      </c>
      <c r="E2625" s="54" t="s">
        <v>2383</v>
      </c>
      <c r="F2625" s="54" t="s">
        <v>5802</v>
      </c>
      <c r="G2625" s="54" t="s">
        <v>5803</v>
      </c>
      <c r="H2625" s="54" t="n">
        <v>25692</v>
      </c>
      <c r="I2625" s="54" t="s">
        <v>295</v>
      </c>
      <c r="J2625" s="54" t="s">
        <v>303</v>
      </c>
    </row>
    <row r="2626" customFormat="false" ht="15" hidden="false" customHeight="true" outlineLevel="0" collapsed="false">
      <c r="A2626" s="54" t="n">
        <v>20260711</v>
      </c>
      <c r="B2626" s="54" t="s">
        <v>289</v>
      </c>
      <c r="C2626" s="54" t="s">
        <v>290</v>
      </c>
      <c r="D2626" s="54" t="s">
        <v>2382</v>
      </c>
      <c r="E2626" s="54" t="s">
        <v>2383</v>
      </c>
      <c r="F2626" s="54" t="s">
        <v>5804</v>
      </c>
      <c r="G2626" s="54" t="s">
        <v>5805</v>
      </c>
      <c r="H2626" s="54" t="n">
        <v>7565</v>
      </c>
      <c r="I2626" s="54" t="s">
        <v>295</v>
      </c>
      <c r="J2626" s="54" t="s">
        <v>303</v>
      </c>
    </row>
    <row r="2627" customFormat="false" ht="15" hidden="false" customHeight="true" outlineLevel="0" collapsed="false">
      <c r="A2627" s="54" t="n">
        <v>20260711</v>
      </c>
      <c r="B2627" s="54" t="s">
        <v>688</v>
      </c>
      <c r="C2627" s="54" t="s">
        <v>307</v>
      </c>
      <c r="D2627" s="54" t="s">
        <v>5806</v>
      </c>
      <c r="E2627" s="54" t="s">
        <v>5807</v>
      </c>
      <c r="F2627" s="54" t="s">
        <v>5808</v>
      </c>
      <c r="G2627" s="54" t="s">
        <v>5809</v>
      </c>
      <c r="H2627" s="54" t="n">
        <v>5619</v>
      </c>
      <c r="I2627" s="54" t="s">
        <v>295</v>
      </c>
      <c r="J2627" s="54" t="s">
        <v>693</v>
      </c>
    </row>
    <row r="2628" customFormat="false" ht="15" hidden="false" customHeight="true" outlineLevel="0" collapsed="false">
      <c r="A2628" s="54" t="n">
        <v>20260711</v>
      </c>
      <c r="B2628" s="54" t="s">
        <v>688</v>
      </c>
      <c r="C2628" s="54" t="s">
        <v>307</v>
      </c>
      <c r="D2628" s="54" t="s">
        <v>5806</v>
      </c>
      <c r="E2628" s="54" t="s">
        <v>5807</v>
      </c>
      <c r="F2628" s="54" t="s">
        <v>5810</v>
      </c>
      <c r="G2628" s="54" t="s">
        <v>5811</v>
      </c>
      <c r="H2628" s="54" t="n">
        <v>8817</v>
      </c>
      <c r="I2628" s="54" t="s">
        <v>295</v>
      </c>
      <c r="J2628" s="54" t="s">
        <v>693</v>
      </c>
    </row>
    <row r="2629" customFormat="false" ht="15" hidden="false" customHeight="true" outlineLevel="0" collapsed="false">
      <c r="A2629" s="54" t="n">
        <v>20260711</v>
      </c>
      <c r="B2629" s="54" t="s">
        <v>688</v>
      </c>
      <c r="C2629" s="54" t="s">
        <v>307</v>
      </c>
      <c r="D2629" s="54" t="s">
        <v>5806</v>
      </c>
      <c r="E2629" s="54" t="s">
        <v>5807</v>
      </c>
      <c r="F2629" s="54" t="s">
        <v>5812</v>
      </c>
      <c r="G2629" s="54" t="s">
        <v>5813</v>
      </c>
      <c r="H2629" s="54" t="n">
        <v>17253</v>
      </c>
      <c r="I2629" s="54" t="s">
        <v>295</v>
      </c>
      <c r="J2629" s="54" t="s">
        <v>693</v>
      </c>
    </row>
    <row r="2630" customFormat="false" ht="15" hidden="false" customHeight="true" outlineLevel="0" collapsed="false">
      <c r="A2630" s="54" t="n">
        <v>20260711</v>
      </c>
      <c r="B2630" s="54" t="s">
        <v>497</v>
      </c>
      <c r="C2630" s="54" t="s">
        <v>307</v>
      </c>
      <c r="D2630" s="54" t="s">
        <v>2403</v>
      </c>
      <c r="E2630" s="54" t="s">
        <v>2404</v>
      </c>
      <c r="F2630" s="54" t="s">
        <v>5814</v>
      </c>
      <c r="G2630" s="54" t="s">
        <v>5815</v>
      </c>
      <c r="H2630" s="54" t="n">
        <v>12</v>
      </c>
      <c r="I2630" s="54" t="s">
        <v>295</v>
      </c>
      <c r="J2630" s="54" t="s">
        <v>502</v>
      </c>
    </row>
    <row r="2631" customFormat="false" ht="15" hidden="false" customHeight="true" outlineLevel="0" collapsed="false">
      <c r="A2631" s="54" t="n">
        <v>20260711</v>
      </c>
      <c r="B2631" s="54" t="s">
        <v>497</v>
      </c>
      <c r="C2631" s="54" t="s">
        <v>307</v>
      </c>
      <c r="D2631" s="54" t="s">
        <v>2403</v>
      </c>
      <c r="E2631" s="54" t="s">
        <v>2404</v>
      </c>
      <c r="F2631" s="54" t="s">
        <v>5816</v>
      </c>
      <c r="G2631" s="54" t="s">
        <v>5817</v>
      </c>
      <c r="H2631" s="54" t="n">
        <v>250</v>
      </c>
      <c r="I2631" s="54" t="s">
        <v>295</v>
      </c>
      <c r="J2631" s="54" t="s">
        <v>502</v>
      </c>
    </row>
    <row r="2632" customFormat="false" ht="15" hidden="false" customHeight="true" outlineLevel="0" collapsed="false">
      <c r="A2632" s="54" t="n">
        <v>20260711</v>
      </c>
      <c r="B2632" s="54" t="s">
        <v>497</v>
      </c>
      <c r="C2632" s="54" t="s">
        <v>307</v>
      </c>
      <c r="D2632" s="54" t="s">
        <v>2403</v>
      </c>
      <c r="E2632" s="54" t="s">
        <v>2404</v>
      </c>
      <c r="F2632" s="54" t="s">
        <v>5818</v>
      </c>
      <c r="G2632" s="54" t="s">
        <v>5404</v>
      </c>
      <c r="H2632" s="54" t="n">
        <v>13909</v>
      </c>
      <c r="I2632" s="54" t="s">
        <v>295</v>
      </c>
      <c r="J2632" s="54" t="s">
        <v>502</v>
      </c>
    </row>
    <row r="2633" customFormat="false" ht="15" hidden="false" customHeight="true" outlineLevel="0" collapsed="false">
      <c r="A2633" s="54" t="n">
        <v>20260711</v>
      </c>
      <c r="B2633" s="54" t="s">
        <v>497</v>
      </c>
      <c r="C2633" s="54" t="s">
        <v>307</v>
      </c>
      <c r="D2633" s="54" t="s">
        <v>2403</v>
      </c>
      <c r="E2633" s="54" t="s">
        <v>2404</v>
      </c>
      <c r="F2633" s="54" t="s">
        <v>5819</v>
      </c>
      <c r="G2633" s="54" t="s">
        <v>5820</v>
      </c>
      <c r="H2633" s="54" t="n">
        <v>13917</v>
      </c>
      <c r="I2633" s="54" t="s">
        <v>315</v>
      </c>
      <c r="J2633" s="54" t="s">
        <v>502</v>
      </c>
    </row>
    <row r="2634" customFormat="false" ht="15" hidden="false" customHeight="true" outlineLevel="0" collapsed="false">
      <c r="A2634" s="54" t="n">
        <v>20260711</v>
      </c>
      <c r="B2634" s="54" t="s">
        <v>306</v>
      </c>
      <c r="C2634" s="54" t="s">
        <v>307</v>
      </c>
      <c r="D2634" s="54" t="s">
        <v>2412</v>
      </c>
      <c r="E2634" s="54" t="s">
        <v>2413</v>
      </c>
      <c r="F2634" s="54" t="s">
        <v>5821</v>
      </c>
      <c r="G2634" s="54" t="s">
        <v>5822</v>
      </c>
      <c r="H2634" s="54" t="n">
        <v>2316</v>
      </c>
      <c r="I2634" s="54" t="s">
        <v>315</v>
      </c>
      <c r="J2634" s="54" t="s">
        <v>312</v>
      </c>
    </row>
    <row r="2635" customFormat="false" ht="15" hidden="false" customHeight="true" outlineLevel="0" collapsed="false">
      <c r="A2635" s="54" t="n">
        <v>20260711</v>
      </c>
      <c r="B2635" s="54" t="s">
        <v>306</v>
      </c>
      <c r="C2635" s="54" t="s">
        <v>307</v>
      </c>
      <c r="D2635" s="54" t="s">
        <v>2412</v>
      </c>
      <c r="E2635" s="54" t="s">
        <v>2413</v>
      </c>
      <c r="F2635" s="54" t="s">
        <v>5821</v>
      </c>
      <c r="G2635" s="54" t="s">
        <v>5822</v>
      </c>
      <c r="H2635" s="54" t="n">
        <v>2316</v>
      </c>
      <c r="I2635" s="54" t="s">
        <v>295</v>
      </c>
      <c r="J2635" s="54" t="s">
        <v>312</v>
      </c>
    </row>
    <row r="2636" customFormat="false" ht="15" hidden="false" customHeight="true" outlineLevel="0" collapsed="false">
      <c r="A2636" s="54" t="n">
        <v>20260711</v>
      </c>
      <c r="B2636" s="54" t="s">
        <v>306</v>
      </c>
      <c r="C2636" s="54" t="s">
        <v>307</v>
      </c>
      <c r="D2636" s="54" t="s">
        <v>2412</v>
      </c>
      <c r="E2636" s="54" t="s">
        <v>2413</v>
      </c>
      <c r="F2636" s="54" t="s">
        <v>5823</v>
      </c>
      <c r="G2636" s="54" t="s">
        <v>5824</v>
      </c>
      <c r="H2636" s="54" t="n">
        <v>21689</v>
      </c>
      <c r="I2636" s="54" t="s">
        <v>295</v>
      </c>
      <c r="J2636" s="54" t="s">
        <v>312</v>
      </c>
    </row>
    <row r="2637" customFormat="false" ht="15" hidden="false" customHeight="true" outlineLevel="0" collapsed="false">
      <c r="A2637" s="54" t="n">
        <v>20260711</v>
      </c>
      <c r="B2637" s="54" t="s">
        <v>306</v>
      </c>
      <c r="C2637" s="54" t="s">
        <v>307</v>
      </c>
      <c r="D2637" s="54" t="s">
        <v>2412</v>
      </c>
      <c r="E2637" s="54" t="s">
        <v>2413</v>
      </c>
      <c r="F2637" s="54" t="s">
        <v>5825</v>
      </c>
      <c r="G2637" s="54" t="s">
        <v>5824</v>
      </c>
      <c r="H2637" s="54" t="n">
        <v>21688</v>
      </c>
      <c r="I2637" s="54" t="s">
        <v>315</v>
      </c>
      <c r="J2637" s="54" t="s">
        <v>312</v>
      </c>
    </row>
    <row r="2638" customFormat="false" ht="15" hidden="false" customHeight="true" outlineLevel="0" collapsed="false">
      <c r="A2638" s="54" t="n">
        <v>20260711</v>
      </c>
      <c r="B2638" s="54" t="s">
        <v>306</v>
      </c>
      <c r="C2638" s="54" t="s">
        <v>307</v>
      </c>
      <c r="D2638" s="54" t="s">
        <v>2412</v>
      </c>
      <c r="E2638" s="54" t="s">
        <v>2413</v>
      </c>
      <c r="F2638" s="54" t="s">
        <v>5826</v>
      </c>
      <c r="G2638" s="54" t="s">
        <v>5827</v>
      </c>
      <c r="H2638" s="54" t="n">
        <v>7738</v>
      </c>
      <c r="I2638" s="54" t="s">
        <v>295</v>
      </c>
      <c r="J2638" s="54" t="s">
        <v>312</v>
      </c>
    </row>
    <row r="2639" customFormat="false" ht="15" hidden="false" customHeight="true" outlineLevel="0" collapsed="false">
      <c r="A2639" s="54" t="n">
        <v>20260711</v>
      </c>
      <c r="B2639" s="54" t="s">
        <v>306</v>
      </c>
      <c r="C2639" s="54" t="s">
        <v>307</v>
      </c>
      <c r="D2639" s="54" t="s">
        <v>2412</v>
      </c>
      <c r="E2639" s="54" t="s">
        <v>2413</v>
      </c>
      <c r="F2639" s="54" t="s">
        <v>5828</v>
      </c>
      <c r="G2639" s="54" t="s">
        <v>5827</v>
      </c>
      <c r="H2639" s="54" t="n">
        <v>7737</v>
      </c>
      <c r="I2639" s="54" t="s">
        <v>315</v>
      </c>
      <c r="J2639" s="54" t="s">
        <v>312</v>
      </c>
    </row>
    <row r="2640" customFormat="false" ht="15" hidden="false" customHeight="true" outlineLevel="0" collapsed="false">
      <c r="A2640" s="54" t="n">
        <v>20260711</v>
      </c>
      <c r="B2640" s="54" t="s">
        <v>497</v>
      </c>
      <c r="C2640" s="54" t="s">
        <v>307</v>
      </c>
      <c r="D2640" s="54" t="s">
        <v>2421</v>
      </c>
      <c r="E2640" s="54" t="s">
        <v>2422</v>
      </c>
      <c r="F2640" s="54" t="s">
        <v>5829</v>
      </c>
      <c r="G2640" s="54" t="s">
        <v>5830</v>
      </c>
      <c r="H2640" s="54" t="n">
        <v>15028</v>
      </c>
      <c r="I2640" s="54" t="s">
        <v>295</v>
      </c>
      <c r="J2640" s="54" t="s">
        <v>894</v>
      </c>
    </row>
    <row r="2641" customFormat="false" ht="15" hidden="false" customHeight="true" outlineLevel="0" collapsed="false">
      <c r="A2641" s="54" t="n">
        <v>20260711</v>
      </c>
      <c r="B2641" s="54" t="s">
        <v>306</v>
      </c>
      <c r="C2641" s="54" t="s">
        <v>307</v>
      </c>
      <c r="D2641" s="54" t="s">
        <v>2436</v>
      </c>
      <c r="E2641" s="54" t="s">
        <v>2437</v>
      </c>
      <c r="F2641" s="54" t="s">
        <v>5831</v>
      </c>
      <c r="G2641" s="54" t="s">
        <v>5832</v>
      </c>
      <c r="H2641" s="54" t="n">
        <v>21649</v>
      </c>
      <c r="I2641" s="54" t="s">
        <v>295</v>
      </c>
      <c r="J2641" s="54" t="s">
        <v>2347</v>
      </c>
    </row>
    <row r="2642" customFormat="false" ht="15" hidden="false" customHeight="true" outlineLevel="0" collapsed="false">
      <c r="A2642" s="54" t="n">
        <v>20260711</v>
      </c>
      <c r="B2642" s="54" t="s">
        <v>306</v>
      </c>
      <c r="C2642" s="54" t="s">
        <v>307</v>
      </c>
      <c r="D2642" s="54" t="s">
        <v>2436</v>
      </c>
      <c r="E2642" s="54" t="s">
        <v>2437</v>
      </c>
      <c r="F2642" s="54" t="s">
        <v>5831</v>
      </c>
      <c r="G2642" s="54" t="s">
        <v>5833</v>
      </c>
      <c r="H2642" s="54" t="n">
        <v>21652</v>
      </c>
      <c r="I2642" s="54" t="s">
        <v>315</v>
      </c>
      <c r="J2642" s="54" t="s">
        <v>2347</v>
      </c>
    </row>
    <row r="2643" customFormat="false" ht="15" hidden="false" customHeight="true" outlineLevel="0" collapsed="false">
      <c r="A2643" s="54" t="n">
        <v>20260711</v>
      </c>
      <c r="B2643" s="54" t="s">
        <v>306</v>
      </c>
      <c r="C2643" s="54" t="s">
        <v>307</v>
      </c>
      <c r="D2643" s="54" t="s">
        <v>2462</v>
      </c>
      <c r="E2643" s="54" t="s">
        <v>2463</v>
      </c>
      <c r="F2643" s="54" t="s">
        <v>5834</v>
      </c>
      <c r="G2643" s="54" t="s">
        <v>5835</v>
      </c>
      <c r="H2643" s="54" t="n">
        <v>21870</v>
      </c>
      <c r="I2643" s="54" t="s">
        <v>295</v>
      </c>
      <c r="J2643" s="54" t="s">
        <v>2347</v>
      </c>
    </row>
    <row r="2644" customFormat="false" ht="15" hidden="false" customHeight="true" outlineLevel="0" collapsed="false">
      <c r="A2644" s="54" t="n">
        <v>20260711</v>
      </c>
      <c r="B2644" s="54" t="s">
        <v>289</v>
      </c>
      <c r="C2644" s="54" t="s">
        <v>307</v>
      </c>
      <c r="D2644" s="54" t="s">
        <v>2467</v>
      </c>
      <c r="E2644" s="54" t="s">
        <v>2468</v>
      </c>
      <c r="F2644" s="54" t="s">
        <v>5836</v>
      </c>
      <c r="G2644" s="54" t="s">
        <v>5837</v>
      </c>
      <c r="H2644" s="54" t="n">
        <v>24498</v>
      </c>
      <c r="I2644" s="54" t="s">
        <v>295</v>
      </c>
      <c r="J2644" s="54" t="s">
        <v>1659</v>
      </c>
    </row>
    <row r="2645" customFormat="false" ht="15" hidden="false" customHeight="true" outlineLevel="0" collapsed="false">
      <c r="A2645" s="54" t="n">
        <v>20260711</v>
      </c>
      <c r="B2645" s="54" t="s">
        <v>289</v>
      </c>
      <c r="C2645" s="54" t="s">
        <v>307</v>
      </c>
      <c r="D2645" s="54" t="s">
        <v>2467</v>
      </c>
      <c r="E2645" s="54" t="s">
        <v>2468</v>
      </c>
      <c r="F2645" s="54" t="s">
        <v>5838</v>
      </c>
      <c r="G2645" s="54" t="s">
        <v>5839</v>
      </c>
      <c r="H2645" s="54" t="n">
        <v>4798</v>
      </c>
      <c r="I2645" s="54" t="s">
        <v>295</v>
      </c>
      <c r="J2645" s="54" t="s">
        <v>1659</v>
      </c>
    </row>
    <row r="2646" customFormat="false" ht="15" hidden="false" customHeight="true" outlineLevel="0" collapsed="false">
      <c r="A2646" s="54" t="n">
        <v>20260711</v>
      </c>
      <c r="B2646" s="54" t="s">
        <v>289</v>
      </c>
      <c r="C2646" s="54" t="s">
        <v>307</v>
      </c>
      <c r="D2646" s="54" t="s">
        <v>5840</v>
      </c>
      <c r="E2646" s="54" t="s">
        <v>361</v>
      </c>
      <c r="F2646" s="54" t="s">
        <v>5841</v>
      </c>
      <c r="G2646" s="54" t="s">
        <v>5842</v>
      </c>
      <c r="H2646" s="54" t="n">
        <v>121</v>
      </c>
      <c r="I2646" s="54" t="s">
        <v>295</v>
      </c>
      <c r="J2646" s="54" t="s">
        <v>1814</v>
      </c>
    </row>
    <row r="2647" customFormat="false" ht="15" hidden="false" customHeight="true" outlineLevel="0" collapsed="false">
      <c r="A2647" s="54" t="n">
        <v>20260711</v>
      </c>
      <c r="B2647" s="54" t="s">
        <v>289</v>
      </c>
      <c r="C2647" s="54" t="s">
        <v>307</v>
      </c>
      <c r="D2647" s="54" t="s">
        <v>2473</v>
      </c>
      <c r="E2647" s="54" t="s">
        <v>2474</v>
      </c>
      <c r="F2647" s="54" t="s">
        <v>5843</v>
      </c>
      <c r="G2647" s="54" t="s">
        <v>5844</v>
      </c>
      <c r="H2647" s="54" t="n">
        <v>22439</v>
      </c>
      <c r="I2647" s="54" t="s">
        <v>295</v>
      </c>
      <c r="J2647" s="54" t="s">
        <v>1659</v>
      </c>
    </row>
    <row r="2648" customFormat="false" ht="15" hidden="false" customHeight="true" outlineLevel="0" collapsed="false">
      <c r="A2648" s="54" t="n">
        <v>20260711</v>
      </c>
      <c r="B2648" s="54" t="s">
        <v>289</v>
      </c>
      <c r="C2648" s="54" t="s">
        <v>307</v>
      </c>
      <c r="D2648" s="54" t="s">
        <v>2473</v>
      </c>
      <c r="E2648" s="54" t="s">
        <v>2474</v>
      </c>
      <c r="F2648" s="54" t="s">
        <v>5845</v>
      </c>
      <c r="G2648" s="54" t="s">
        <v>5846</v>
      </c>
      <c r="H2648" s="54" t="n">
        <v>10420</v>
      </c>
      <c r="I2648" s="54" t="s">
        <v>295</v>
      </c>
      <c r="J2648" s="54" t="s">
        <v>1659</v>
      </c>
    </row>
    <row r="2649" customFormat="false" ht="15" hidden="false" customHeight="true" outlineLevel="0" collapsed="false">
      <c r="A2649" s="54" t="n">
        <v>20260711</v>
      </c>
      <c r="B2649" s="54" t="s">
        <v>497</v>
      </c>
      <c r="C2649" s="54" t="s">
        <v>307</v>
      </c>
      <c r="D2649" s="54" t="s">
        <v>2481</v>
      </c>
      <c r="E2649" s="54" t="s">
        <v>2482</v>
      </c>
      <c r="F2649" s="54" t="s">
        <v>5847</v>
      </c>
      <c r="G2649" s="54" t="s">
        <v>5848</v>
      </c>
      <c r="H2649" s="54" t="n">
        <v>1916</v>
      </c>
      <c r="I2649" s="54" t="s">
        <v>295</v>
      </c>
      <c r="J2649" s="54" t="s">
        <v>894</v>
      </c>
    </row>
    <row r="2650" customFormat="false" ht="15" hidden="false" customHeight="true" outlineLevel="0" collapsed="false">
      <c r="A2650" s="54" t="n">
        <v>20260711</v>
      </c>
      <c r="B2650" s="54" t="s">
        <v>497</v>
      </c>
      <c r="C2650" s="54" t="s">
        <v>307</v>
      </c>
      <c r="D2650" s="54" t="s">
        <v>2481</v>
      </c>
      <c r="E2650" s="54" t="s">
        <v>2482</v>
      </c>
      <c r="F2650" s="54" t="s">
        <v>5849</v>
      </c>
      <c r="G2650" s="54" t="s">
        <v>5280</v>
      </c>
      <c r="H2650" s="54" t="n">
        <v>12507</v>
      </c>
      <c r="I2650" s="54" t="s">
        <v>295</v>
      </c>
      <c r="J2650" s="54" t="s">
        <v>894</v>
      </c>
    </row>
    <row r="2651" customFormat="false" ht="15" hidden="false" customHeight="true" outlineLevel="0" collapsed="false">
      <c r="A2651" s="54" t="n">
        <v>20260711</v>
      </c>
      <c r="B2651" s="54" t="s">
        <v>306</v>
      </c>
      <c r="C2651" s="54" t="s">
        <v>290</v>
      </c>
      <c r="D2651" s="54" t="s">
        <v>2502</v>
      </c>
      <c r="E2651" s="54" t="s">
        <v>2503</v>
      </c>
      <c r="F2651" s="54" t="s">
        <v>5850</v>
      </c>
      <c r="G2651" s="54" t="s">
        <v>5851</v>
      </c>
      <c r="H2651" s="54" t="n">
        <v>16632</v>
      </c>
      <c r="I2651" s="54" t="s">
        <v>295</v>
      </c>
      <c r="J2651" s="54" t="s">
        <v>375</v>
      </c>
    </row>
    <row r="2652" customFormat="false" ht="15" hidden="false" customHeight="true" outlineLevel="0" collapsed="false">
      <c r="A2652" s="54" t="n">
        <v>20260711</v>
      </c>
      <c r="B2652" s="54" t="s">
        <v>306</v>
      </c>
      <c r="C2652" s="54" t="s">
        <v>290</v>
      </c>
      <c r="D2652" s="54" t="s">
        <v>2502</v>
      </c>
      <c r="E2652" s="54" t="s">
        <v>2503</v>
      </c>
      <c r="F2652" s="54" t="s">
        <v>5852</v>
      </c>
      <c r="G2652" s="54" t="s">
        <v>5853</v>
      </c>
      <c r="H2652" s="54" t="n">
        <v>5566</v>
      </c>
      <c r="I2652" s="54" t="s">
        <v>295</v>
      </c>
      <c r="J2652" s="54" t="s">
        <v>375</v>
      </c>
    </row>
    <row r="2653" customFormat="false" ht="15" hidden="false" customHeight="true" outlineLevel="0" collapsed="false">
      <c r="A2653" s="54" t="n">
        <v>20260711</v>
      </c>
      <c r="B2653" s="54" t="s">
        <v>306</v>
      </c>
      <c r="C2653" s="54" t="s">
        <v>307</v>
      </c>
      <c r="D2653" s="54" t="s">
        <v>5854</v>
      </c>
      <c r="E2653" s="54" t="s">
        <v>5855</v>
      </c>
      <c r="F2653" s="54" t="s">
        <v>5856</v>
      </c>
      <c r="G2653" s="54" t="s">
        <v>5857</v>
      </c>
      <c r="H2653" s="54" t="n">
        <v>6</v>
      </c>
      <c r="I2653" s="54" t="s">
        <v>295</v>
      </c>
      <c r="J2653" s="54" t="s">
        <v>2347</v>
      </c>
    </row>
    <row r="2654" customFormat="false" ht="15" hidden="false" customHeight="true" outlineLevel="0" collapsed="false">
      <c r="A2654" s="54" t="n">
        <v>20260711</v>
      </c>
      <c r="B2654" s="54" t="s">
        <v>306</v>
      </c>
      <c r="C2654" s="54" t="s">
        <v>307</v>
      </c>
      <c r="D2654" s="54" t="s">
        <v>5854</v>
      </c>
      <c r="E2654" s="54" t="s">
        <v>5855</v>
      </c>
      <c r="F2654" s="54" t="s">
        <v>5858</v>
      </c>
      <c r="G2654" s="54" t="s">
        <v>5160</v>
      </c>
      <c r="H2654" s="54" t="n">
        <v>21591</v>
      </c>
      <c r="I2654" s="54" t="s">
        <v>295</v>
      </c>
      <c r="J2654" s="54" t="s">
        <v>2347</v>
      </c>
    </row>
    <row r="2655" customFormat="false" ht="15" hidden="false" customHeight="true" outlineLevel="0" collapsed="false">
      <c r="A2655" s="54" t="n">
        <v>20260711</v>
      </c>
      <c r="B2655" s="54" t="s">
        <v>306</v>
      </c>
      <c r="C2655" s="54" t="s">
        <v>307</v>
      </c>
      <c r="D2655" s="54" t="s">
        <v>2509</v>
      </c>
      <c r="E2655" s="54" t="s">
        <v>2510</v>
      </c>
      <c r="F2655" s="54" t="s">
        <v>5859</v>
      </c>
      <c r="G2655" s="54" t="s">
        <v>5860</v>
      </c>
      <c r="H2655" s="54" t="n">
        <v>21658</v>
      </c>
      <c r="I2655" s="54" t="s">
        <v>295</v>
      </c>
      <c r="J2655" s="54" t="s">
        <v>312</v>
      </c>
    </row>
    <row r="2656" customFormat="false" ht="15" hidden="false" customHeight="true" outlineLevel="0" collapsed="false">
      <c r="A2656" s="54" t="n">
        <v>20260711</v>
      </c>
      <c r="B2656" s="54" t="s">
        <v>688</v>
      </c>
      <c r="C2656" s="54" t="s">
        <v>307</v>
      </c>
      <c r="D2656" s="54" t="s">
        <v>2515</v>
      </c>
      <c r="E2656" s="54" t="s">
        <v>2516</v>
      </c>
      <c r="F2656" s="54" t="s">
        <v>5861</v>
      </c>
      <c r="G2656" s="54" t="s">
        <v>5862</v>
      </c>
      <c r="H2656" s="54" t="n">
        <v>558</v>
      </c>
      <c r="I2656" s="54" t="s">
        <v>295</v>
      </c>
      <c r="J2656" s="54" t="s">
        <v>745</v>
      </c>
    </row>
    <row r="2657" customFormat="false" ht="15" hidden="false" customHeight="true" outlineLevel="0" collapsed="false">
      <c r="A2657" s="54" t="n">
        <v>20260711</v>
      </c>
      <c r="B2657" s="54" t="s">
        <v>688</v>
      </c>
      <c r="C2657" s="54" t="s">
        <v>307</v>
      </c>
      <c r="D2657" s="54" t="s">
        <v>2515</v>
      </c>
      <c r="E2657" s="54" t="s">
        <v>2516</v>
      </c>
      <c r="F2657" s="54" t="s">
        <v>5863</v>
      </c>
      <c r="G2657" s="54" t="s">
        <v>5864</v>
      </c>
      <c r="H2657" s="54" t="n">
        <v>14635</v>
      </c>
      <c r="I2657" s="54" t="s">
        <v>295</v>
      </c>
      <c r="J2657" s="54" t="s">
        <v>745</v>
      </c>
    </row>
    <row r="2658" customFormat="false" ht="15" hidden="false" customHeight="true" outlineLevel="0" collapsed="false">
      <c r="A2658" s="54" t="n">
        <v>20260711</v>
      </c>
      <c r="B2658" s="54" t="s">
        <v>688</v>
      </c>
      <c r="C2658" s="54" t="s">
        <v>307</v>
      </c>
      <c r="D2658" s="54" t="s">
        <v>2515</v>
      </c>
      <c r="E2658" s="54" t="s">
        <v>2516</v>
      </c>
      <c r="F2658" s="54" t="s">
        <v>5865</v>
      </c>
      <c r="G2658" s="54" t="s">
        <v>5866</v>
      </c>
      <c r="H2658" s="54" t="n">
        <v>17332</v>
      </c>
      <c r="I2658" s="54" t="s">
        <v>295</v>
      </c>
      <c r="J2658" s="54" t="s">
        <v>745</v>
      </c>
    </row>
    <row r="2659" customFormat="false" ht="15" hidden="false" customHeight="true" outlineLevel="0" collapsed="false">
      <c r="A2659" s="54" t="n">
        <v>20260711</v>
      </c>
      <c r="B2659" s="54" t="s">
        <v>306</v>
      </c>
      <c r="C2659" s="54" t="s">
        <v>307</v>
      </c>
      <c r="D2659" s="54" t="s">
        <v>2528</v>
      </c>
      <c r="E2659" s="54" t="s">
        <v>2529</v>
      </c>
      <c r="F2659" s="54" t="s">
        <v>5867</v>
      </c>
      <c r="G2659" s="54" t="s">
        <v>5868</v>
      </c>
      <c r="H2659" s="54" t="n">
        <v>31</v>
      </c>
      <c r="I2659" s="54" t="s">
        <v>295</v>
      </c>
      <c r="J2659" s="54" t="s">
        <v>312</v>
      </c>
    </row>
    <row r="2660" customFormat="false" ht="15" hidden="false" customHeight="true" outlineLevel="0" collapsed="false">
      <c r="A2660" s="54" t="n">
        <v>20260711</v>
      </c>
      <c r="B2660" s="54" t="s">
        <v>306</v>
      </c>
      <c r="C2660" s="54" t="s">
        <v>307</v>
      </c>
      <c r="D2660" s="54" t="s">
        <v>2528</v>
      </c>
      <c r="E2660" s="54" t="s">
        <v>2529</v>
      </c>
      <c r="F2660" s="54" t="s">
        <v>5869</v>
      </c>
      <c r="G2660" s="54" t="s">
        <v>5702</v>
      </c>
      <c r="H2660" s="54" t="n">
        <v>21598</v>
      </c>
      <c r="I2660" s="54" t="s">
        <v>295</v>
      </c>
      <c r="J2660" s="54" t="s">
        <v>312</v>
      </c>
    </row>
    <row r="2661" customFormat="false" ht="15" hidden="false" customHeight="true" outlineLevel="0" collapsed="false">
      <c r="A2661" s="54" t="n">
        <v>20260711</v>
      </c>
      <c r="B2661" s="54" t="s">
        <v>688</v>
      </c>
      <c r="C2661" s="54" t="s">
        <v>307</v>
      </c>
      <c r="D2661" s="54" t="s">
        <v>2534</v>
      </c>
      <c r="E2661" s="54" t="s">
        <v>2535</v>
      </c>
      <c r="F2661" s="54" t="s">
        <v>5870</v>
      </c>
      <c r="G2661" s="54" t="s">
        <v>5871</v>
      </c>
      <c r="H2661" s="54" t="n">
        <v>18054</v>
      </c>
      <c r="I2661" s="54" t="s">
        <v>295</v>
      </c>
      <c r="J2661" s="54" t="s">
        <v>745</v>
      </c>
    </row>
    <row r="2662" customFormat="false" ht="15" hidden="false" customHeight="true" outlineLevel="0" collapsed="false">
      <c r="A2662" s="54" t="n">
        <v>20260711</v>
      </c>
      <c r="B2662" s="54" t="s">
        <v>688</v>
      </c>
      <c r="C2662" s="54" t="s">
        <v>307</v>
      </c>
      <c r="D2662" s="54" t="s">
        <v>2534</v>
      </c>
      <c r="E2662" s="54" t="s">
        <v>2535</v>
      </c>
      <c r="F2662" s="54" t="s">
        <v>5872</v>
      </c>
      <c r="G2662" s="54" t="s">
        <v>5873</v>
      </c>
      <c r="H2662" s="54" t="n">
        <v>10846</v>
      </c>
      <c r="I2662" s="54" t="s">
        <v>295</v>
      </c>
      <c r="J2662" s="54" t="s">
        <v>745</v>
      </c>
    </row>
    <row r="2663" customFormat="false" ht="15" hidden="false" customHeight="true" outlineLevel="0" collapsed="false">
      <c r="A2663" s="54" t="n">
        <v>20260711</v>
      </c>
      <c r="B2663" s="54" t="s">
        <v>688</v>
      </c>
      <c r="C2663" s="54" t="s">
        <v>307</v>
      </c>
      <c r="D2663" s="54" t="s">
        <v>2544</v>
      </c>
      <c r="E2663" s="54" t="s">
        <v>2545</v>
      </c>
      <c r="F2663" s="54" t="s">
        <v>5874</v>
      </c>
      <c r="G2663" s="54" t="s">
        <v>5727</v>
      </c>
      <c r="H2663" s="54" t="n">
        <v>14442</v>
      </c>
      <c r="I2663" s="54" t="s">
        <v>295</v>
      </c>
      <c r="J2663" s="54" t="s">
        <v>142</v>
      </c>
    </row>
    <row r="2664" customFormat="false" ht="15" hidden="false" customHeight="true" outlineLevel="0" collapsed="false">
      <c r="A2664" s="54" t="n">
        <v>20260711</v>
      </c>
      <c r="B2664" s="54" t="s">
        <v>688</v>
      </c>
      <c r="C2664" s="54" t="s">
        <v>307</v>
      </c>
      <c r="D2664" s="54" t="s">
        <v>2544</v>
      </c>
      <c r="E2664" s="54" t="s">
        <v>2545</v>
      </c>
      <c r="F2664" s="54" t="s">
        <v>5875</v>
      </c>
      <c r="G2664" s="54" t="s">
        <v>5876</v>
      </c>
      <c r="H2664" s="54" t="n">
        <v>1114</v>
      </c>
      <c r="I2664" s="54" t="s">
        <v>295</v>
      </c>
      <c r="J2664" s="54" t="s">
        <v>142</v>
      </c>
    </row>
    <row r="2665" customFormat="false" ht="15" hidden="false" customHeight="true" outlineLevel="0" collapsed="false">
      <c r="A2665" s="54" t="n">
        <v>20260711</v>
      </c>
      <c r="B2665" s="54" t="s">
        <v>688</v>
      </c>
      <c r="C2665" s="54" t="s">
        <v>307</v>
      </c>
      <c r="D2665" s="54" t="s">
        <v>2544</v>
      </c>
      <c r="E2665" s="54" t="s">
        <v>2545</v>
      </c>
      <c r="F2665" s="54" t="s">
        <v>5877</v>
      </c>
      <c r="G2665" s="54" t="s">
        <v>5878</v>
      </c>
      <c r="H2665" s="54" t="n">
        <v>16591</v>
      </c>
      <c r="I2665" s="54" t="s">
        <v>295</v>
      </c>
      <c r="J2665" s="54" t="s">
        <v>142</v>
      </c>
    </row>
    <row r="2666" customFormat="false" ht="15" hidden="false" customHeight="true" outlineLevel="0" collapsed="false">
      <c r="A2666" s="54" t="n">
        <v>20260711</v>
      </c>
      <c r="B2666" s="54" t="s">
        <v>497</v>
      </c>
      <c r="C2666" s="54" t="s">
        <v>307</v>
      </c>
      <c r="D2666" s="54" t="s">
        <v>2565</v>
      </c>
      <c r="E2666" s="54" t="s">
        <v>2566</v>
      </c>
      <c r="F2666" s="54" t="s">
        <v>5879</v>
      </c>
      <c r="G2666" s="54" t="s">
        <v>5880</v>
      </c>
      <c r="H2666" s="54" t="n">
        <v>15589</v>
      </c>
      <c r="I2666" s="54" t="s">
        <v>295</v>
      </c>
      <c r="J2666" s="54" t="s">
        <v>894</v>
      </c>
    </row>
    <row r="2667" customFormat="false" ht="15" hidden="false" customHeight="true" outlineLevel="0" collapsed="false">
      <c r="A2667" s="54" t="n">
        <v>20260711</v>
      </c>
      <c r="B2667" s="54" t="s">
        <v>289</v>
      </c>
      <c r="C2667" s="54" t="s">
        <v>290</v>
      </c>
      <c r="D2667" s="54" t="s">
        <v>5881</v>
      </c>
      <c r="E2667" s="54" t="s">
        <v>5882</v>
      </c>
      <c r="F2667" s="54" t="s">
        <v>5883</v>
      </c>
      <c r="G2667" s="54" t="s">
        <v>5884</v>
      </c>
      <c r="H2667" s="54" t="n">
        <v>14808</v>
      </c>
      <c r="I2667" s="54" t="s">
        <v>295</v>
      </c>
      <c r="J2667" s="54" t="s">
        <v>874</v>
      </c>
    </row>
    <row r="2668" customFormat="false" ht="15" hidden="false" customHeight="true" outlineLevel="0" collapsed="false">
      <c r="A2668" s="54" t="n">
        <v>20260711</v>
      </c>
      <c r="B2668" s="54" t="s">
        <v>289</v>
      </c>
      <c r="C2668" s="54" t="s">
        <v>290</v>
      </c>
      <c r="D2668" s="54" t="s">
        <v>5881</v>
      </c>
      <c r="E2668" s="54" t="s">
        <v>5882</v>
      </c>
      <c r="F2668" s="54" t="s">
        <v>5311</v>
      </c>
      <c r="G2668" s="54" t="s">
        <v>5669</v>
      </c>
      <c r="H2668" s="54" t="n">
        <v>14368</v>
      </c>
      <c r="I2668" s="54" t="s">
        <v>295</v>
      </c>
      <c r="J2668" s="54" t="s">
        <v>874</v>
      </c>
    </row>
    <row r="2669" customFormat="false" ht="15" hidden="false" customHeight="true" outlineLevel="0" collapsed="false">
      <c r="A2669" s="54" t="n">
        <v>20260711</v>
      </c>
      <c r="B2669" s="54" t="s">
        <v>289</v>
      </c>
      <c r="C2669" s="54" t="s">
        <v>307</v>
      </c>
      <c r="D2669" s="54" t="s">
        <v>2582</v>
      </c>
      <c r="E2669" s="54" t="s">
        <v>2583</v>
      </c>
      <c r="F2669" s="54" t="s">
        <v>5885</v>
      </c>
      <c r="G2669" s="54" t="s">
        <v>5886</v>
      </c>
      <c r="H2669" s="54" t="n">
        <v>14723</v>
      </c>
      <c r="I2669" s="54" t="s">
        <v>295</v>
      </c>
      <c r="J2669" s="54" t="s">
        <v>1441</v>
      </c>
    </row>
    <row r="2670" customFormat="false" ht="15" hidden="false" customHeight="true" outlineLevel="0" collapsed="false">
      <c r="A2670" s="54" t="n">
        <v>20260711</v>
      </c>
      <c r="B2670" s="54" t="s">
        <v>289</v>
      </c>
      <c r="C2670" s="54" t="s">
        <v>307</v>
      </c>
      <c r="D2670" s="54" t="s">
        <v>2582</v>
      </c>
      <c r="E2670" s="54" t="s">
        <v>2583</v>
      </c>
      <c r="F2670" s="54" t="s">
        <v>5445</v>
      </c>
      <c r="G2670" s="54" t="s">
        <v>5887</v>
      </c>
      <c r="H2670" s="54" t="n">
        <v>14386</v>
      </c>
      <c r="I2670" s="54" t="s">
        <v>295</v>
      </c>
      <c r="J2670" s="54" t="s">
        <v>1441</v>
      </c>
    </row>
    <row r="2671" customFormat="false" ht="15" hidden="false" customHeight="true" outlineLevel="0" collapsed="false">
      <c r="A2671" s="54" t="n">
        <v>20260711</v>
      </c>
      <c r="B2671" s="54" t="s">
        <v>306</v>
      </c>
      <c r="C2671" s="54" t="s">
        <v>307</v>
      </c>
      <c r="D2671" s="54" t="s">
        <v>2591</v>
      </c>
      <c r="E2671" s="54" t="s">
        <v>2592</v>
      </c>
      <c r="F2671" s="54" t="s">
        <v>5285</v>
      </c>
      <c r="G2671" s="54" t="s">
        <v>5888</v>
      </c>
      <c r="H2671" s="54" t="n">
        <v>21219</v>
      </c>
      <c r="I2671" s="54" t="s">
        <v>295</v>
      </c>
      <c r="J2671" s="54" t="s">
        <v>312</v>
      </c>
    </row>
    <row r="2672" customFormat="false" ht="15" hidden="false" customHeight="true" outlineLevel="0" collapsed="false">
      <c r="A2672" s="54" t="n">
        <v>20260711</v>
      </c>
      <c r="B2672" s="54" t="s">
        <v>306</v>
      </c>
      <c r="C2672" s="54" t="s">
        <v>290</v>
      </c>
      <c r="D2672" s="54" t="s">
        <v>2603</v>
      </c>
      <c r="E2672" s="54" t="s">
        <v>2604</v>
      </c>
      <c r="F2672" s="54" t="s">
        <v>5889</v>
      </c>
      <c r="G2672" s="54" t="s">
        <v>5890</v>
      </c>
      <c r="H2672" s="54" t="n">
        <v>21602</v>
      </c>
      <c r="I2672" s="54" t="s">
        <v>295</v>
      </c>
      <c r="J2672" s="54" t="s">
        <v>1067</v>
      </c>
    </row>
    <row r="2673" customFormat="false" ht="15" hidden="false" customHeight="true" outlineLevel="0" collapsed="false">
      <c r="A2673" s="54" t="n">
        <v>20260711</v>
      </c>
      <c r="B2673" s="54" t="s">
        <v>306</v>
      </c>
      <c r="C2673" s="54" t="s">
        <v>290</v>
      </c>
      <c r="D2673" s="54" t="s">
        <v>2603</v>
      </c>
      <c r="E2673" s="54" t="s">
        <v>2604</v>
      </c>
      <c r="F2673" s="54" t="s">
        <v>5891</v>
      </c>
      <c r="G2673" s="54" t="s">
        <v>5892</v>
      </c>
      <c r="H2673" s="54" t="n">
        <v>4</v>
      </c>
      <c r="I2673" s="54" t="s">
        <v>1642</v>
      </c>
      <c r="J2673" s="54" t="s">
        <v>1067</v>
      </c>
    </row>
    <row r="2674" customFormat="false" ht="15" hidden="false" customHeight="true" outlineLevel="0" collapsed="false">
      <c r="A2674" s="54" t="n">
        <v>20260711</v>
      </c>
      <c r="B2674" s="54" t="s">
        <v>289</v>
      </c>
      <c r="C2674" s="54" t="s">
        <v>307</v>
      </c>
      <c r="D2674" s="54" t="s">
        <v>2625</v>
      </c>
      <c r="E2674" s="54" t="s">
        <v>2626</v>
      </c>
      <c r="F2674" s="54" t="s">
        <v>5893</v>
      </c>
      <c r="G2674" s="54" t="s">
        <v>5894</v>
      </c>
      <c r="H2674" s="54" t="n">
        <v>6914</v>
      </c>
      <c r="I2674" s="54" t="s">
        <v>295</v>
      </c>
      <c r="J2674" s="54" t="s">
        <v>361</v>
      </c>
    </row>
    <row r="2675" customFormat="false" ht="15" hidden="false" customHeight="true" outlineLevel="0" collapsed="false">
      <c r="A2675" s="54" t="n">
        <v>20260711</v>
      </c>
      <c r="B2675" s="54" t="s">
        <v>289</v>
      </c>
      <c r="C2675" s="54" t="s">
        <v>307</v>
      </c>
      <c r="D2675" s="54" t="s">
        <v>2625</v>
      </c>
      <c r="E2675" s="54" t="s">
        <v>2626</v>
      </c>
      <c r="F2675" s="54" t="s">
        <v>5895</v>
      </c>
      <c r="G2675" s="54" t="s">
        <v>5896</v>
      </c>
      <c r="H2675" s="54" t="n">
        <v>21923</v>
      </c>
      <c r="I2675" s="54" t="s">
        <v>295</v>
      </c>
      <c r="J2675" s="54" t="s">
        <v>361</v>
      </c>
    </row>
    <row r="2676" customFormat="false" ht="15" hidden="false" customHeight="true" outlineLevel="0" collapsed="false">
      <c r="A2676" s="54" t="n">
        <v>20260711</v>
      </c>
      <c r="B2676" s="54" t="s">
        <v>497</v>
      </c>
      <c r="C2676" s="54" t="s">
        <v>307</v>
      </c>
      <c r="D2676" s="54" t="s">
        <v>2637</v>
      </c>
      <c r="E2676" s="54" t="s">
        <v>2638</v>
      </c>
      <c r="F2676" s="54" t="s">
        <v>5897</v>
      </c>
      <c r="G2676" s="54" t="s">
        <v>5898</v>
      </c>
      <c r="H2676" s="54" t="n">
        <v>15624</v>
      </c>
      <c r="I2676" s="54" t="s">
        <v>295</v>
      </c>
      <c r="J2676" s="54" t="s">
        <v>502</v>
      </c>
    </row>
    <row r="2677" customFormat="false" ht="15" hidden="false" customHeight="true" outlineLevel="0" collapsed="false">
      <c r="A2677" s="54" t="n">
        <v>20260711</v>
      </c>
      <c r="B2677" s="54" t="s">
        <v>688</v>
      </c>
      <c r="C2677" s="54" t="s">
        <v>307</v>
      </c>
      <c r="D2677" s="54" t="s">
        <v>2648</v>
      </c>
      <c r="E2677" s="54" t="s">
        <v>2649</v>
      </c>
      <c r="F2677" s="54" t="s">
        <v>5899</v>
      </c>
      <c r="G2677" s="54" t="s">
        <v>5900</v>
      </c>
      <c r="H2677" s="54" t="n">
        <v>18032</v>
      </c>
      <c r="I2677" s="54" t="s">
        <v>295</v>
      </c>
      <c r="J2677" s="54" t="s">
        <v>693</v>
      </c>
    </row>
    <row r="2678" customFormat="false" ht="15" hidden="false" customHeight="true" outlineLevel="0" collapsed="false">
      <c r="A2678" s="54" t="n">
        <v>20260711</v>
      </c>
      <c r="B2678" s="54" t="s">
        <v>688</v>
      </c>
      <c r="C2678" s="54" t="s">
        <v>307</v>
      </c>
      <c r="D2678" s="54" t="s">
        <v>2648</v>
      </c>
      <c r="E2678" s="54" t="s">
        <v>2649</v>
      </c>
      <c r="F2678" s="54" t="s">
        <v>5901</v>
      </c>
      <c r="G2678" s="54" t="s">
        <v>5902</v>
      </c>
      <c r="H2678" s="54" t="n">
        <v>6937</v>
      </c>
      <c r="I2678" s="54" t="s">
        <v>295</v>
      </c>
      <c r="J2678" s="54" t="s">
        <v>693</v>
      </c>
    </row>
    <row r="2679" customFormat="false" ht="15" hidden="false" customHeight="true" outlineLevel="0" collapsed="false">
      <c r="A2679" s="54" t="n">
        <v>20260711</v>
      </c>
      <c r="B2679" s="54" t="s">
        <v>688</v>
      </c>
      <c r="C2679" s="54" t="s">
        <v>307</v>
      </c>
      <c r="D2679" s="54" t="s">
        <v>2648</v>
      </c>
      <c r="E2679" s="54" t="s">
        <v>2649</v>
      </c>
      <c r="F2679" s="54" t="s">
        <v>5903</v>
      </c>
      <c r="G2679" s="54" t="s">
        <v>5904</v>
      </c>
      <c r="H2679" s="54" t="n">
        <v>6994</v>
      </c>
      <c r="I2679" s="54" t="s">
        <v>295</v>
      </c>
      <c r="J2679" s="54" t="s">
        <v>693</v>
      </c>
    </row>
    <row r="2680" customFormat="false" ht="15" hidden="false" customHeight="true" outlineLevel="0" collapsed="false">
      <c r="A2680" s="54" t="n">
        <v>20260711</v>
      </c>
      <c r="B2680" s="54" t="s">
        <v>289</v>
      </c>
      <c r="C2680" s="54" t="s">
        <v>307</v>
      </c>
      <c r="D2680" s="54" t="s">
        <v>2665</v>
      </c>
      <c r="E2680" s="54" t="s">
        <v>2666</v>
      </c>
      <c r="F2680" s="54" t="s">
        <v>5905</v>
      </c>
      <c r="G2680" s="54" t="s">
        <v>5906</v>
      </c>
      <c r="H2680" s="54" t="n">
        <v>14598</v>
      </c>
      <c r="I2680" s="54" t="s">
        <v>295</v>
      </c>
      <c r="J2680" s="54" t="s">
        <v>1441</v>
      </c>
    </row>
    <row r="2681" customFormat="false" ht="15" hidden="false" customHeight="true" outlineLevel="0" collapsed="false">
      <c r="A2681" s="54" t="n">
        <v>20260711</v>
      </c>
      <c r="B2681" s="54" t="s">
        <v>289</v>
      </c>
      <c r="C2681" s="54" t="s">
        <v>307</v>
      </c>
      <c r="D2681" s="54" t="s">
        <v>2665</v>
      </c>
      <c r="E2681" s="54" t="s">
        <v>2666</v>
      </c>
      <c r="F2681" s="54" t="s">
        <v>5907</v>
      </c>
      <c r="G2681" s="54" t="s">
        <v>5490</v>
      </c>
      <c r="H2681" s="54" t="n">
        <v>14273</v>
      </c>
      <c r="I2681" s="54" t="s">
        <v>295</v>
      </c>
      <c r="J2681" s="54" t="s">
        <v>1441</v>
      </c>
    </row>
    <row r="2682" customFormat="false" ht="15" hidden="false" customHeight="true" outlineLevel="0" collapsed="false">
      <c r="A2682" s="54" t="n">
        <v>20260711</v>
      </c>
      <c r="B2682" s="54" t="s">
        <v>688</v>
      </c>
      <c r="C2682" s="54" t="s">
        <v>307</v>
      </c>
      <c r="D2682" s="54" t="s">
        <v>2678</v>
      </c>
      <c r="E2682" s="54" t="s">
        <v>2679</v>
      </c>
      <c r="F2682" s="54" t="s">
        <v>5908</v>
      </c>
      <c r="G2682" s="54" t="s">
        <v>5909</v>
      </c>
      <c r="H2682" s="54" t="n">
        <v>18483</v>
      </c>
      <c r="I2682" s="54" t="s">
        <v>295</v>
      </c>
      <c r="J2682" s="54" t="s">
        <v>693</v>
      </c>
    </row>
    <row r="2683" customFormat="false" ht="15" hidden="false" customHeight="true" outlineLevel="0" collapsed="false">
      <c r="A2683" s="54" t="n">
        <v>20260711</v>
      </c>
      <c r="B2683" s="54" t="s">
        <v>688</v>
      </c>
      <c r="C2683" s="54" t="s">
        <v>307</v>
      </c>
      <c r="D2683" s="54" t="s">
        <v>2678</v>
      </c>
      <c r="E2683" s="54" t="s">
        <v>2679</v>
      </c>
      <c r="F2683" s="54" t="s">
        <v>5910</v>
      </c>
      <c r="G2683" s="54" t="s">
        <v>5911</v>
      </c>
      <c r="H2683" s="54" t="n">
        <v>14212</v>
      </c>
      <c r="I2683" s="54" t="s">
        <v>295</v>
      </c>
      <c r="J2683" s="54" t="s">
        <v>693</v>
      </c>
    </row>
    <row r="2684" customFormat="false" ht="15" hidden="false" customHeight="true" outlineLevel="0" collapsed="false">
      <c r="A2684" s="54" t="n">
        <v>20260711</v>
      </c>
      <c r="B2684" s="54" t="s">
        <v>289</v>
      </c>
      <c r="C2684" s="54" t="s">
        <v>290</v>
      </c>
      <c r="D2684" s="54" t="s">
        <v>2700</v>
      </c>
      <c r="E2684" s="54" t="s">
        <v>2701</v>
      </c>
      <c r="F2684" s="54" t="s">
        <v>5912</v>
      </c>
      <c r="G2684" s="54" t="s">
        <v>5913</v>
      </c>
      <c r="H2684" s="54" t="n">
        <v>14823</v>
      </c>
      <c r="I2684" s="54" t="s">
        <v>295</v>
      </c>
      <c r="J2684" s="54" t="s">
        <v>1463</v>
      </c>
    </row>
    <row r="2685" customFormat="false" ht="15" hidden="false" customHeight="true" outlineLevel="0" collapsed="false">
      <c r="A2685" s="54" t="n">
        <v>20260711</v>
      </c>
      <c r="B2685" s="54" t="s">
        <v>289</v>
      </c>
      <c r="C2685" s="54" t="s">
        <v>290</v>
      </c>
      <c r="D2685" s="54" t="s">
        <v>2700</v>
      </c>
      <c r="E2685" s="54" t="s">
        <v>2701</v>
      </c>
      <c r="F2685" s="54" t="s">
        <v>5914</v>
      </c>
      <c r="G2685" s="54" t="s">
        <v>5915</v>
      </c>
      <c r="H2685" s="54" t="n">
        <v>14576</v>
      </c>
      <c r="I2685" s="54" t="s">
        <v>295</v>
      </c>
      <c r="J2685" s="54" t="s">
        <v>1463</v>
      </c>
    </row>
    <row r="2686" customFormat="false" ht="15" hidden="false" customHeight="true" outlineLevel="0" collapsed="false">
      <c r="A2686" s="54" t="n">
        <v>20260711</v>
      </c>
      <c r="B2686" s="54" t="s">
        <v>306</v>
      </c>
      <c r="C2686" s="54" t="s">
        <v>307</v>
      </c>
      <c r="D2686" s="54" t="s">
        <v>2715</v>
      </c>
      <c r="E2686" s="54" t="s">
        <v>2716</v>
      </c>
      <c r="F2686" s="54" t="s">
        <v>5916</v>
      </c>
      <c r="G2686" s="54" t="s">
        <v>5917</v>
      </c>
      <c r="H2686" s="54" t="n">
        <v>21912</v>
      </c>
      <c r="I2686" s="54" t="s">
        <v>315</v>
      </c>
      <c r="J2686" s="54" t="s">
        <v>392</v>
      </c>
    </row>
    <row r="2687" customFormat="false" ht="15" hidden="false" customHeight="true" outlineLevel="0" collapsed="false">
      <c r="A2687" s="54" t="n">
        <v>20260711</v>
      </c>
      <c r="B2687" s="54" t="s">
        <v>306</v>
      </c>
      <c r="C2687" s="54" t="s">
        <v>307</v>
      </c>
      <c r="D2687" s="54" t="s">
        <v>2715</v>
      </c>
      <c r="E2687" s="54" t="s">
        <v>2716</v>
      </c>
      <c r="F2687" s="54" t="s">
        <v>5916</v>
      </c>
      <c r="G2687" s="54" t="s">
        <v>5917</v>
      </c>
      <c r="H2687" s="54" t="n">
        <v>21912</v>
      </c>
      <c r="I2687" s="54" t="s">
        <v>295</v>
      </c>
      <c r="J2687" s="54" t="s">
        <v>392</v>
      </c>
    </row>
    <row r="2688" customFormat="false" ht="15" hidden="false" customHeight="true" outlineLevel="0" collapsed="false">
      <c r="A2688" s="54" t="n">
        <v>20260711</v>
      </c>
      <c r="B2688" s="54" t="s">
        <v>497</v>
      </c>
      <c r="C2688" s="54" t="s">
        <v>307</v>
      </c>
      <c r="D2688" s="54" t="s">
        <v>2726</v>
      </c>
      <c r="E2688" s="54" t="s">
        <v>2727</v>
      </c>
      <c r="F2688" s="54" t="s">
        <v>5918</v>
      </c>
      <c r="G2688" s="54" t="s">
        <v>5919</v>
      </c>
      <c r="H2688" s="54" t="n">
        <v>12471</v>
      </c>
      <c r="I2688" s="54" t="s">
        <v>295</v>
      </c>
      <c r="J2688" s="54" t="s">
        <v>502</v>
      </c>
    </row>
    <row r="2689" customFormat="false" ht="15" hidden="false" customHeight="true" outlineLevel="0" collapsed="false">
      <c r="A2689" s="54" t="n">
        <v>20260711</v>
      </c>
      <c r="B2689" s="54" t="s">
        <v>497</v>
      </c>
      <c r="C2689" s="54" t="s">
        <v>307</v>
      </c>
      <c r="D2689" s="54" t="s">
        <v>2726</v>
      </c>
      <c r="E2689" s="54" t="s">
        <v>2727</v>
      </c>
      <c r="F2689" s="54" t="s">
        <v>5920</v>
      </c>
      <c r="G2689" s="54" t="s">
        <v>5921</v>
      </c>
      <c r="H2689" s="54" t="n">
        <v>15231</v>
      </c>
      <c r="I2689" s="54" t="s">
        <v>315</v>
      </c>
      <c r="J2689" s="54" t="s">
        <v>502</v>
      </c>
    </row>
    <row r="2690" customFormat="false" ht="15" hidden="false" customHeight="true" outlineLevel="0" collapsed="false">
      <c r="A2690" s="54" t="n">
        <v>20260711</v>
      </c>
      <c r="B2690" s="54" t="s">
        <v>497</v>
      </c>
      <c r="C2690" s="54" t="s">
        <v>307</v>
      </c>
      <c r="D2690" s="54" t="s">
        <v>2726</v>
      </c>
      <c r="E2690" s="54" t="s">
        <v>2727</v>
      </c>
      <c r="F2690" s="54" t="s">
        <v>5922</v>
      </c>
      <c r="G2690" s="54" t="s">
        <v>5923</v>
      </c>
      <c r="H2690" s="54" t="n">
        <v>2745</v>
      </c>
      <c r="I2690" s="54" t="s">
        <v>295</v>
      </c>
      <c r="J2690" s="54" t="s">
        <v>502</v>
      </c>
    </row>
    <row r="2691" customFormat="false" ht="15" hidden="false" customHeight="true" outlineLevel="0" collapsed="false">
      <c r="A2691" s="54" t="n">
        <v>20260711</v>
      </c>
      <c r="B2691" s="54" t="s">
        <v>168</v>
      </c>
      <c r="C2691" s="54" t="s">
        <v>290</v>
      </c>
      <c r="D2691" s="54" t="s">
        <v>2741</v>
      </c>
      <c r="E2691" s="54" t="s">
        <v>2742</v>
      </c>
      <c r="F2691" s="54" t="s">
        <v>5924</v>
      </c>
      <c r="G2691" s="54" t="s">
        <v>5925</v>
      </c>
      <c r="H2691" s="54" t="n">
        <v>20246</v>
      </c>
      <c r="I2691" s="54" t="s">
        <v>295</v>
      </c>
      <c r="J2691" s="54" t="s">
        <v>516</v>
      </c>
    </row>
    <row r="2692" customFormat="false" ht="15" hidden="false" customHeight="true" outlineLevel="0" collapsed="false">
      <c r="A2692" s="54" t="n">
        <v>20260711</v>
      </c>
      <c r="B2692" s="54" t="s">
        <v>168</v>
      </c>
      <c r="C2692" s="54" t="s">
        <v>290</v>
      </c>
      <c r="D2692" s="54" t="s">
        <v>2741</v>
      </c>
      <c r="E2692" s="54" t="s">
        <v>2742</v>
      </c>
      <c r="F2692" s="54" t="s">
        <v>5926</v>
      </c>
      <c r="G2692" s="54" t="s">
        <v>5927</v>
      </c>
      <c r="H2692" s="54" t="n">
        <v>2169</v>
      </c>
      <c r="I2692" s="54" t="s">
        <v>295</v>
      </c>
      <c r="J2692" s="54" t="s">
        <v>516</v>
      </c>
    </row>
    <row r="2693" customFormat="false" ht="15" hidden="false" customHeight="true" outlineLevel="0" collapsed="false">
      <c r="A2693" s="54" t="n">
        <v>20260711</v>
      </c>
      <c r="B2693" s="54" t="s">
        <v>168</v>
      </c>
      <c r="C2693" s="54" t="s">
        <v>290</v>
      </c>
      <c r="D2693" s="54" t="s">
        <v>2741</v>
      </c>
      <c r="E2693" s="54" t="s">
        <v>2742</v>
      </c>
      <c r="F2693" s="54" t="s">
        <v>5928</v>
      </c>
      <c r="G2693" s="54" t="s">
        <v>5929</v>
      </c>
      <c r="H2693" s="54" t="n">
        <v>2425</v>
      </c>
      <c r="I2693" s="54" t="s">
        <v>295</v>
      </c>
      <c r="J2693" s="54" t="s">
        <v>516</v>
      </c>
    </row>
    <row r="2694" customFormat="false" ht="15" hidden="false" customHeight="true" outlineLevel="0" collapsed="false">
      <c r="A2694" s="54" t="n">
        <v>20260711</v>
      </c>
      <c r="B2694" s="54" t="s">
        <v>168</v>
      </c>
      <c r="C2694" s="54" t="s">
        <v>290</v>
      </c>
      <c r="D2694" s="54" t="s">
        <v>2741</v>
      </c>
      <c r="E2694" s="54" t="s">
        <v>2742</v>
      </c>
      <c r="F2694" s="54" t="s">
        <v>5930</v>
      </c>
      <c r="G2694" s="54" t="s">
        <v>5931</v>
      </c>
      <c r="H2694" s="54" t="n">
        <v>2617</v>
      </c>
      <c r="I2694" s="54" t="s">
        <v>295</v>
      </c>
      <c r="J2694" s="54" t="s">
        <v>516</v>
      </c>
    </row>
    <row r="2695" customFormat="false" ht="15" hidden="false" customHeight="true" outlineLevel="0" collapsed="false">
      <c r="A2695" s="54" t="n">
        <v>20260711</v>
      </c>
      <c r="B2695" s="54" t="s">
        <v>289</v>
      </c>
      <c r="C2695" s="54" t="s">
        <v>290</v>
      </c>
      <c r="D2695" s="54" t="s">
        <v>2781</v>
      </c>
      <c r="E2695" s="54" t="s">
        <v>2782</v>
      </c>
      <c r="F2695" s="54" t="s">
        <v>5932</v>
      </c>
      <c r="G2695" s="54" t="s">
        <v>5933</v>
      </c>
      <c r="H2695" s="54" t="n">
        <v>1</v>
      </c>
      <c r="I2695" s="54" t="s">
        <v>295</v>
      </c>
      <c r="J2695" s="54" t="s">
        <v>1355</v>
      </c>
    </row>
    <row r="2696" customFormat="false" ht="15" hidden="false" customHeight="true" outlineLevel="0" collapsed="false">
      <c r="A2696" s="54" t="n">
        <v>20260711</v>
      </c>
      <c r="B2696" s="54" t="s">
        <v>289</v>
      </c>
      <c r="C2696" s="54" t="s">
        <v>290</v>
      </c>
      <c r="D2696" s="54" t="s">
        <v>2781</v>
      </c>
      <c r="E2696" s="54" t="s">
        <v>2782</v>
      </c>
      <c r="F2696" s="54" t="s">
        <v>5934</v>
      </c>
      <c r="G2696" s="54" t="s">
        <v>5935</v>
      </c>
      <c r="H2696" s="54" t="n">
        <v>18098</v>
      </c>
      <c r="I2696" s="54" t="s">
        <v>295</v>
      </c>
      <c r="J2696" s="54" t="s">
        <v>1355</v>
      </c>
    </row>
    <row r="2697" customFormat="false" ht="15" hidden="false" customHeight="true" outlineLevel="0" collapsed="false">
      <c r="A2697" s="54" t="n">
        <v>20260711</v>
      </c>
      <c r="B2697" s="54" t="s">
        <v>289</v>
      </c>
      <c r="C2697" s="54" t="s">
        <v>290</v>
      </c>
      <c r="D2697" s="54" t="s">
        <v>2781</v>
      </c>
      <c r="E2697" s="54" t="s">
        <v>2782</v>
      </c>
      <c r="F2697" s="54" t="s">
        <v>5936</v>
      </c>
      <c r="G2697" s="54" t="s">
        <v>5937</v>
      </c>
      <c r="H2697" s="54" t="n">
        <v>11038</v>
      </c>
      <c r="I2697" s="54" t="s">
        <v>295</v>
      </c>
      <c r="J2697" s="54" t="s">
        <v>1355</v>
      </c>
    </row>
    <row r="2698" customFormat="false" ht="15" hidden="false" customHeight="true" outlineLevel="0" collapsed="false">
      <c r="A2698" s="54" t="n">
        <v>20260711</v>
      </c>
      <c r="B2698" s="54" t="s">
        <v>289</v>
      </c>
      <c r="C2698" s="54" t="s">
        <v>290</v>
      </c>
      <c r="D2698" s="54" t="s">
        <v>2791</v>
      </c>
      <c r="E2698" s="54" t="s">
        <v>2792</v>
      </c>
      <c r="F2698" s="54" t="s">
        <v>5938</v>
      </c>
      <c r="G2698" s="54" t="s">
        <v>5702</v>
      </c>
      <c r="H2698" s="54" t="n">
        <v>21667</v>
      </c>
      <c r="I2698" s="54" t="s">
        <v>295</v>
      </c>
      <c r="J2698" s="54" t="s">
        <v>569</v>
      </c>
    </row>
    <row r="2699" customFormat="false" ht="15" hidden="false" customHeight="true" outlineLevel="0" collapsed="false">
      <c r="A2699" s="54" t="n">
        <v>20260711</v>
      </c>
      <c r="B2699" s="54" t="s">
        <v>306</v>
      </c>
      <c r="C2699" s="54" t="s">
        <v>307</v>
      </c>
      <c r="D2699" s="54" t="s">
        <v>5939</v>
      </c>
      <c r="E2699" s="54" t="s">
        <v>5940</v>
      </c>
      <c r="F2699" s="54" t="s">
        <v>5941</v>
      </c>
      <c r="G2699" s="54" t="s">
        <v>5832</v>
      </c>
      <c r="H2699" s="54" t="n">
        <v>21673</v>
      </c>
      <c r="I2699" s="54" t="s">
        <v>295</v>
      </c>
      <c r="J2699" s="54" t="s">
        <v>312</v>
      </c>
    </row>
    <row r="2700" customFormat="false" ht="15" hidden="false" customHeight="true" outlineLevel="0" collapsed="false">
      <c r="A2700" s="54" t="n">
        <v>20260711</v>
      </c>
      <c r="B2700" s="54" t="s">
        <v>306</v>
      </c>
      <c r="C2700" s="54" t="s">
        <v>290</v>
      </c>
      <c r="D2700" s="54" t="s">
        <v>2796</v>
      </c>
      <c r="E2700" s="54" t="s">
        <v>2797</v>
      </c>
      <c r="F2700" s="54" t="s">
        <v>5942</v>
      </c>
      <c r="G2700" s="54" t="s">
        <v>5943</v>
      </c>
      <c r="H2700" s="54" t="n">
        <v>21383</v>
      </c>
      <c r="I2700" s="54" t="s">
        <v>295</v>
      </c>
      <c r="J2700" s="54" t="s">
        <v>375</v>
      </c>
    </row>
    <row r="2701" customFormat="false" ht="15" hidden="false" customHeight="true" outlineLevel="0" collapsed="false">
      <c r="A2701" s="54" t="n">
        <v>20260711</v>
      </c>
      <c r="B2701" s="54" t="s">
        <v>306</v>
      </c>
      <c r="C2701" s="54" t="s">
        <v>290</v>
      </c>
      <c r="D2701" s="54" t="s">
        <v>2801</v>
      </c>
      <c r="E2701" s="54" t="s">
        <v>2802</v>
      </c>
      <c r="F2701" s="54" t="s">
        <v>5944</v>
      </c>
      <c r="G2701" s="54" t="s">
        <v>5945</v>
      </c>
      <c r="H2701" s="54" t="n">
        <v>21739</v>
      </c>
      <c r="I2701" s="54" t="s">
        <v>295</v>
      </c>
      <c r="J2701" s="54" t="s">
        <v>368</v>
      </c>
    </row>
    <row r="2702" customFormat="false" ht="15" hidden="false" customHeight="true" outlineLevel="0" collapsed="false">
      <c r="A2702" s="54" t="n">
        <v>20260711</v>
      </c>
      <c r="B2702" s="54" t="s">
        <v>306</v>
      </c>
      <c r="C2702" s="54" t="s">
        <v>290</v>
      </c>
      <c r="D2702" s="54" t="s">
        <v>2801</v>
      </c>
      <c r="E2702" s="54" t="s">
        <v>2802</v>
      </c>
      <c r="F2702" s="54" t="s">
        <v>5946</v>
      </c>
      <c r="G2702" s="54" t="s">
        <v>5947</v>
      </c>
      <c r="H2702" s="54" t="n">
        <v>21741</v>
      </c>
      <c r="I2702" s="54" t="s">
        <v>315</v>
      </c>
      <c r="J2702" s="54" t="s">
        <v>368</v>
      </c>
    </row>
    <row r="2703" customFormat="false" ht="15" hidden="false" customHeight="true" outlineLevel="0" collapsed="false">
      <c r="A2703" s="54" t="n">
        <v>20260711</v>
      </c>
      <c r="B2703" s="54" t="s">
        <v>306</v>
      </c>
      <c r="C2703" s="54" t="s">
        <v>290</v>
      </c>
      <c r="D2703" s="54" t="s">
        <v>2801</v>
      </c>
      <c r="E2703" s="54" t="s">
        <v>2802</v>
      </c>
      <c r="F2703" s="54" t="s">
        <v>5948</v>
      </c>
      <c r="G2703" s="54" t="s">
        <v>5949</v>
      </c>
      <c r="H2703" s="54" t="n">
        <v>17894</v>
      </c>
      <c r="I2703" s="54" t="s">
        <v>295</v>
      </c>
      <c r="J2703" s="54" t="s">
        <v>368</v>
      </c>
    </row>
    <row r="2704" customFormat="false" ht="15" hidden="false" customHeight="true" outlineLevel="0" collapsed="false">
      <c r="A2704" s="54" t="n">
        <v>20260711</v>
      </c>
      <c r="B2704" s="54" t="s">
        <v>306</v>
      </c>
      <c r="C2704" s="54" t="s">
        <v>290</v>
      </c>
      <c r="D2704" s="54" t="s">
        <v>2801</v>
      </c>
      <c r="E2704" s="54" t="s">
        <v>2802</v>
      </c>
      <c r="F2704" s="54" t="s">
        <v>5950</v>
      </c>
      <c r="G2704" s="54" t="s">
        <v>5951</v>
      </c>
      <c r="H2704" s="54" t="n">
        <v>17895</v>
      </c>
      <c r="I2704" s="54" t="s">
        <v>315</v>
      </c>
      <c r="J2704" s="54" t="s">
        <v>368</v>
      </c>
    </row>
    <row r="2705" customFormat="false" ht="15" hidden="false" customHeight="true" outlineLevel="0" collapsed="false">
      <c r="A2705" s="54" t="n">
        <v>20260711</v>
      </c>
      <c r="B2705" s="54" t="s">
        <v>306</v>
      </c>
      <c r="C2705" s="54" t="s">
        <v>290</v>
      </c>
      <c r="D2705" s="54" t="s">
        <v>2814</v>
      </c>
      <c r="E2705" s="54" t="s">
        <v>2815</v>
      </c>
      <c r="F2705" s="54" t="s">
        <v>5952</v>
      </c>
      <c r="G2705" s="54" t="s">
        <v>5352</v>
      </c>
      <c r="H2705" s="54" t="n">
        <v>21978</v>
      </c>
      <c r="I2705" s="54" t="s">
        <v>295</v>
      </c>
      <c r="J2705" s="54" t="s">
        <v>811</v>
      </c>
    </row>
    <row r="2706" customFormat="false" ht="15" hidden="false" customHeight="true" outlineLevel="0" collapsed="false">
      <c r="A2706" s="54" t="n">
        <v>20260711</v>
      </c>
      <c r="B2706" s="54" t="s">
        <v>306</v>
      </c>
      <c r="C2706" s="54" t="s">
        <v>290</v>
      </c>
      <c r="D2706" s="54" t="s">
        <v>2838</v>
      </c>
      <c r="E2706" s="54" t="s">
        <v>2839</v>
      </c>
      <c r="F2706" s="54" t="s">
        <v>5953</v>
      </c>
      <c r="G2706" s="54" t="s">
        <v>5282</v>
      </c>
      <c r="H2706" s="54" t="n">
        <v>14609</v>
      </c>
      <c r="I2706" s="54" t="s">
        <v>295</v>
      </c>
      <c r="J2706" s="54" t="s">
        <v>368</v>
      </c>
    </row>
    <row r="2707" customFormat="false" ht="15" hidden="false" customHeight="true" outlineLevel="0" collapsed="false">
      <c r="A2707" s="54" t="n">
        <v>20260711</v>
      </c>
      <c r="B2707" s="54" t="s">
        <v>306</v>
      </c>
      <c r="C2707" s="54" t="s">
        <v>290</v>
      </c>
      <c r="D2707" s="54" t="s">
        <v>2838</v>
      </c>
      <c r="E2707" s="54" t="s">
        <v>2839</v>
      </c>
      <c r="F2707" s="54" t="s">
        <v>5954</v>
      </c>
      <c r="G2707" s="54" t="s">
        <v>5282</v>
      </c>
      <c r="H2707" s="54" t="n">
        <v>14608</v>
      </c>
      <c r="I2707" s="54" t="s">
        <v>315</v>
      </c>
      <c r="J2707" s="54" t="s">
        <v>368</v>
      </c>
    </row>
    <row r="2708" customFormat="false" ht="15" hidden="false" customHeight="true" outlineLevel="0" collapsed="false">
      <c r="A2708" s="54" t="n">
        <v>20260711</v>
      </c>
      <c r="B2708" s="54" t="s">
        <v>306</v>
      </c>
      <c r="C2708" s="54" t="s">
        <v>290</v>
      </c>
      <c r="D2708" s="54" t="s">
        <v>2838</v>
      </c>
      <c r="E2708" s="54" t="s">
        <v>2839</v>
      </c>
      <c r="F2708" s="54" t="s">
        <v>5955</v>
      </c>
      <c r="G2708" s="54" t="s">
        <v>5956</v>
      </c>
      <c r="H2708" s="54" t="n">
        <v>14628</v>
      </c>
      <c r="I2708" s="54" t="s">
        <v>315</v>
      </c>
      <c r="J2708" s="54" t="s">
        <v>368</v>
      </c>
    </row>
    <row r="2709" customFormat="false" ht="15" hidden="false" customHeight="true" outlineLevel="0" collapsed="false">
      <c r="A2709" s="54" t="n">
        <v>20260711</v>
      </c>
      <c r="B2709" s="54" t="s">
        <v>306</v>
      </c>
      <c r="C2709" s="54" t="s">
        <v>290</v>
      </c>
      <c r="D2709" s="54" t="s">
        <v>2838</v>
      </c>
      <c r="E2709" s="54" t="s">
        <v>2839</v>
      </c>
      <c r="F2709" s="54" t="s">
        <v>5955</v>
      </c>
      <c r="G2709" s="54" t="s">
        <v>5956</v>
      </c>
      <c r="H2709" s="54" t="n">
        <v>14628</v>
      </c>
      <c r="I2709" s="54" t="s">
        <v>295</v>
      </c>
      <c r="J2709" s="54" t="s">
        <v>368</v>
      </c>
    </row>
    <row r="2710" customFormat="false" ht="15" hidden="false" customHeight="true" outlineLevel="0" collapsed="false">
      <c r="A2710" s="54" t="n">
        <v>20260711</v>
      </c>
      <c r="B2710" s="54" t="s">
        <v>592</v>
      </c>
      <c r="C2710" s="54" t="s">
        <v>290</v>
      </c>
      <c r="D2710" s="54" t="s">
        <v>5957</v>
      </c>
      <c r="E2710" s="54" t="s">
        <v>1381</v>
      </c>
      <c r="F2710" s="54" t="s">
        <v>5958</v>
      </c>
      <c r="G2710" s="54" t="s">
        <v>5959</v>
      </c>
      <c r="H2710" s="54" t="n">
        <v>24723</v>
      </c>
      <c r="I2710" s="54" t="s">
        <v>295</v>
      </c>
      <c r="J2710" s="54" t="s">
        <v>5960</v>
      </c>
    </row>
    <row r="2711" customFormat="false" ht="15" hidden="false" customHeight="true" outlineLevel="0" collapsed="false">
      <c r="A2711" s="54" t="n">
        <v>20260711</v>
      </c>
      <c r="B2711" s="54" t="s">
        <v>306</v>
      </c>
      <c r="C2711" s="54" t="s">
        <v>290</v>
      </c>
      <c r="D2711" s="54" t="s">
        <v>2856</v>
      </c>
      <c r="E2711" s="54" t="s">
        <v>2857</v>
      </c>
      <c r="F2711" s="54" t="s">
        <v>5961</v>
      </c>
      <c r="G2711" s="54" t="s">
        <v>5962</v>
      </c>
      <c r="H2711" s="54" t="n">
        <v>4526</v>
      </c>
      <c r="I2711" s="54" t="s">
        <v>295</v>
      </c>
      <c r="J2711" s="54" t="s">
        <v>368</v>
      </c>
    </row>
    <row r="2712" customFormat="false" ht="15" hidden="false" customHeight="true" outlineLevel="0" collapsed="false">
      <c r="A2712" s="54" t="n">
        <v>20260711</v>
      </c>
      <c r="B2712" s="54" t="s">
        <v>306</v>
      </c>
      <c r="C2712" s="54" t="s">
        <v>290</v>
      </c>
      <c r="D2712" s="54" t="s">
        <v>2856</v>
      </c>
      <c r="E2712" s="54" t="s">
        <v>2857</v>
      </c>
      <c r="F2712" s="54" t="s">
        <v>5963</v>
      </c>
      <c r="G2712" s="54" t="s">
        <v>5962</v>
      </c>
      <c r="H2712" s="54" t="n">
        <v>4525</v>
      </c>
      <c r="I2712" s="54" t="s">
        <v>315</v>
      </c>
      <c r="J2712" s="54" t="s">
        <v>368</v>
      </c>
    </row>
    <row r="2713" customFormat="false" ht="15" hidden="false" customHeight="true" outlineLevel="0" collapsed="false">
      <c r="A2713" s="54" t="n">
        <v>20260711</v>
      </c>
      <c r="B2713" s="54" t="s">
        <v>306</v>
      </c>
      <c r="C2713" s="54" t="s">
        <v>290</v>
      </c>
      <c r="D2713" s="54" t="s">
        <v>2856</v>
      </c>
      <c r="E2713" s="54" t="s">
        <v>2857</v>
      </c>
      <c r="F2713" s="54" t="s">
        <v>5964</v>
      </c>
      <c r="G2713" s="54" t="s">
        <v>5965</v>
      </c>
      <c r="H2713" s="54" t="n">
        <v>23939</v>
      </c>
      <c r="I2713" s="54" t="s">
        <v>315</v>
      </c>
      <c r="J2713" s="54" t="s">
        <v>368</v>
      </c>
    </row>
    <row r="2714" customFormat="false" ht="15" hidden="false" customHeight="true" outlineLevel="0" collapsed="false">
      <c r="A2714" s="54" t="n">
        <v>20260711</v>
      </c>
      <c r="B2714" s="54" t="s">
        <v>306</v>
      </c>
      <c r="C2714" s="54" t="s">
        <v>290</v>
      </c>
      <c r="D2714" s="54" t="s">
        <v>2856</v>
      </c>
      <c r="E2714" s="54" t="s">
        <v>2857</v>
      </c>
      <c r="F2714" s="54" t="s">
        <v>5964</v>
      </c>
      <c r="G2714" s="54" t="s">
        <v>5965</v>
      </c>
      <c r="H2714" s="54" t="n">
        <v>23939</v>
      </c>
      <c r="I2714" s="54" t="s">
        <v>295</v>
      </c>
      <c r="J2714" s="54" t="s">
        <v>368</v>
      </c>
    </row>
    <row r="2715" customFormat="false" ht="15" hidden="false" customHeight="true" outlineLevel="0" collapsed="false">
      <c r="A2715" s="54" t="n">
        <v>20260711</v>
      </c>
      <c r="B2715" s="54" t="s">
        <v>497</v>
      </c>
      <c r="C2715" s="54" t="s">
        <v>307</v>
      </c>
      <c r="D2715" s="54" t="s">
        <v>2873</v>
      </c>
      <c r="E2715" s="54" t="s">
        <v>2874</v>
      </c>
      <c r="F2715" s="54" t="s">
        <v>5966</v>
      </c>
      <c r="G2715" s="54" t="s">
        <v>5967</v>
      </c>
      <c r="H2715" s="54" t="n">
        <v>15149</v>
      </c>
      <c r="I2715" s="54" t="s">
        <v>295</v>
      </c>
      <c r="J2715" s="54" t="s">
        <v>894</v>
      </c>
    </row>
    <row r="2716" customFormat="false" ht="15" hidden="false" customHeight="true" outlineLevel="0" collapsed="false">
      <c r="A2716" s="54" t="n">
        <v>20260711</v>
      </c>
      <c r="B2716" s="54" t="s">
        <v>289</v>
      </c>
      <c r="C2716" s="54" t="s">
        <v>307</v>
      </c>
      <c r="D2716" s="54" t="s">
        <v>2891</v>
      </c>
      <c r="E2716" s="54" t="s">
        <v>2892</v>
      </c>
      <c r="F2716" s="54" t="s">
        <v>5242</v>
      </c>
      <c r="G2716" s="54" t="s">
        <v>5968</v>
      </c>
      <c r="H2716" s="54" t="n">
        <v>7</v>
      </c>
      <c r="I2716" s="54" t="s">
        <v>295</v>
      </c>
      <c r="J2716" s="54" t="s">
        <v>1133</v>
      </c>
    </row>
    <row r="2717" customFormat="false" ht="15" hidden="false" customHeight="true" outlineLevel="0" collapsed="false">
      <c r="A2717" s="54" t="n">
        <v>20260711</v>
      </c>
      <c r="B2717" s="54" t="s">
        <v>289</v>
      </c>
      <c r="C2717" s="54" t="s">
        <v>307</v>
      </c>
      <c r="D2717" s="54" t="s">
        <v>2891</v>
      </c>
      <c r="E2717" s="54" t="s">
        <v>2892</v>
      </c>
      <c r="F2717" s="54" t="s">
        <v>5969</v>
      </c>
      <c r="G2717" s="54" t="s">
        <v>5970</v>
      </c>
      <c r="H2717" s="54" t="n">
        <v>4669</v>
      </c>
      <c r="I2717" s="54" t="s">
        <v>295</v>
      </c>
      <c r="J2717" s="54" t="s">
        <v>1133</v>
      </c>
    </row>
    <row r="2718" customFormat="false" ht="15" hidden="false" customHeight="true" outlineLevel="0" collapsed="false">
      <c r="A2718" s="54" t="n">
        <v>20260711</v>
      </c>
      <c r="B2718" s="54" t="s">
        <v>289</v>
      </c>
      <c r="C2718" s="54" t="s">
        <v>307</v>
      </c>
      <c r="D2718" s="54" t="s">
        <v>2891</v>
      </c>
      <c r="E2718" s="54" t="s">
        <v>2892</v>
      </c>
      <c r="F2718" s="54" t="s">
        <v>5971</v>
      </c>
      <c r="G2718" s="54" t="s">
        <v>5972</v>
      </c>
      <c r="H2718" s="54" t="n">
        <v>3050</v>
      </c>
      <c r="I2718" s="54" t="s">
        <v>295</v>
      </c>
      <c r="J2718" s="54" t="s">
        <v>1133</v>
      </c>
    </row>
    <row r="2719" customFormat="false" ht="15" hidden="false" customHeight="true" outlineLevel="0" collapsed="false">
      <c r="A2719" s="54" t="n">
        <v>20260711</v>
      </c>
      <c r="B2719" s="54" t="s">
        <v>289</v>
      </c>
      <c r="C2719" s="54" t="s">
        <v>307</v>
      </c>
      <c r="D2719" s="54" t="s">
        <v>2891</v>
      </c>
      <c r="E2719" s="54" t="s">
        <v>2892</v>
      </c>
      <c r="F2719" s="54" t="s">
        <v>5973</v>
      </c>
      <c r="G2719" s="54" t="s">
        <v>5974</v>
      </c>
      <c r="H2719" s="54" t="n">
        <v>105</v>
      </c>
      <c r="I2719" s="54" t="s">
        <v>295</v>
      </c>
      <c r="J2719" s="54" t="s">
        <v>1133</v>
      </c>
    </row>
    <row r="2720" customFormat="false" ht="15" hidden="false" customHeight="true" outlineLevel="0" collapsed="false">
      <c r="A2720" s="54" t="n">
        <v>20260711</v>
      </c>
      <c r="B2720" s="54" t="s">
        <v>289</v>
      </c>
      <c r="C2720" s="54" t="s">
        <v>307</v>
      </c>
      <c r="D2720" s="54" t="s">
        <v>2891</v>
      </c>
      <c r="E2720" s="54" t="s">
        <v>2892</v>
      </c>
      <c r="F2720" s="54" t="s">
        <v>5975</v>
      </c>
      <c r="G2720" s="54" t="s">
        <v>5976</v>
      </c>
      <c r="H2720" s="54" t="n">
        <v>7666</v>
      </c>
      <c r="I2720" s="54" t="s">
        <v>295</v>
      </c>
      <c r="J2720" s="54" t="s">
        <v>1133</v>
      </c>
    </row>
    <row r="2721" customFormat="false" ht="15" hidden="false" customHeight="true" outlineLevel="0" collapsed="false">
      <c r="A2721" s="54" t="n">
        <v>20260711</v>
      </c>
      <c r="B2721" s="54" t="s">
        <v>289</v>
      </c>
      <c r="C2721" s="54" t="s">
        <v>307</v>
      </c>
      <c r="D2721" s="54" t="s">
        <v>2891</v>
      </c>
      <c r="E2721" s="54" t="s">
        <v>2892</v>
      </c>
      <c r="F2721" s="54" t="s">
        <v>5977</v>
      </c>
      <c r="G2721" s="54" t="s">
        <v>5978</v>
      </c>
      <c r="H2721" s="54" t="n">
        <v>855</v>
      </c>
      <c r="I2721" s="54" t="s">
        <v>295</v>
      </c>
      <c r="J2721" s="54" t="s">
        <v>1133</v>
      </c>
    </row>
    <row r="2722" customFormat="false" ht="15" hidden="false" customHeight="true" outlineLevel="0" collapsed="false">
      <c r="A2722" s="54" t="n">
        <v>20260711</v>
      </c>
      <c r="B2722" s="54" t="s">
        <v>289</v>
      </c>
      <c r="C2722" s="54" t="s">
        <v>307</v>
      </c>
      <c r="D2722" s="54" t="s">
        <v>2891</v>
      </c>
      <c r="E2722" s="54" t="s">
        <v>2892</v>
      </c>
      <c r="F2722" s="54" t="s">
        <v>5979</v>
      </c>
      <c r="G2722" s="54" t="s">
        <v>5980</v>
      </c>
      <c r="H2722" s="54" t="n">
        <v>504</v>
      </c>
      <c r="I2722" s="54" t="s">
        <v>295</v>
      </c>
      <c r="J2722" s="54" t="s">
        <v>1133</v>
      </c>
    </row>
    <row r="2723" customFormat="false" ht="15" hidden="false" customHeight="true" outlineLevel="0" collapsed="false">
      <c r="A2723" s="54" t="n">
        <v>20260711</v>
      </c>
      <c r="B2723" s="54" t="s">
        <v>289</v>
      </c>
      <c r="C2723" s="54" t="s">
        <v>307</v>
      </c>
      <c r="D2723" s="54" t="s">
        <v>2891</v>
      </c>
      <c r="E2723" s="54" t="s">
        <v>2892</v>
      </c>
      <c r="F2723" s="54" t="s">
        <v>5981</v>
      </c>
      <c r="G2723" s="54" t="s">
        <v>5982</v>
      </c>
      <c r="H2723" s="54" t="n">
        <v>7723</v>
      </c>
      <c r="I2723" s="54" t="s">
        <v>295</v>
      </c>
      <c r="J2723" s="54" t="s">
        <v>1133</v>
      </c>
    </row>
    <row r="2724" customFormat="false" ht="15" hidden="false" customHeight="true" outlineLevel="0" collapsed="false">
      <c r="A2724" s="54" t="n">
        <v>20260711</v>
      </c>
      <c r="B2724" s="54" t="s">
        <v>289</v>
      </c>
      <c r="C2724" s="54" t="s">
        <v>290</v>
      </c>
      <c r="D2724" s="54" t="s">
        <v>2899</v>
      </c>
      <c r="E2724" s="54" t="s">
        <v>2900</v>
      </c>
      <c r="F2724" s="54" t="s">
        <v>5983</v>
      </c>
      <c r="G2724" s="54" t="s">
        <v>5984</v>
      </c>
      <c r="H2724" s="54" t="n">
        <v>18124</v>
      </c>
      <c r="I2724" s="54" t="s">
        <v>295</v>
      </c>
      <c r="J2724" s="54" t="s">
        <v>303</v>
      </c>
    </row>
    <row r="2725" customFormat="false" ht="15" hidden="false" customHeight="true" outlineLevel="0" collapsed="false">
      <c r="A2725" s="54" t="n">
        <v>20260711</v>
      </c>
      <c r="B2725" s="54" t="s">
        <v>289</v>
      </c>
      <c r="C2725" s="54" t="s">
        <v>290</v>
      </c>
      <c r="D2725" s="54" t="s">
        <v>2899</v>
      </c>
      <c r="E2725" s="54" t="s">
        <v>2900</v>
      </c>
      <c r="F2725" s="54" t="s">
        <v>5985</v>
      </c>
      <c r="G2725" s="54" t="s">
        <v>5763</v>
      </c>
      <c r="H2725" s="54" t="n">
        <v>319</v>
      </c>
      <c r="I2725" s="54" t="s">
        <v>295</v>
      </c>
      <c r="J2725" s="54" t="s">
        <v>303</v>
      </c>
    </row>
    <row r="2726" customFormat="false" ht="15" hidden="false" customHeight="true" outlineLevel="0" collapsed="false">
      <c r="A2726" s="54" t="n">
        <v>20260711</v>
      </c>
      <c r="B2726" s="54" t="s">
        <v>289</v>
      </c>
      <c r="C2726" s="54" t="s">
        <v>290</v>
      </c>
      <c r="D2726" s="54" t="s">
        <v>2899</v>
      </c>
      <c r="E2726" s="54" t="s">
        <v>2900</v>
      </c>
      <c r="F2726" s="54" t="s">
        <v>5986</v>
      </c>
      <c r="G2726" s="54" t="s">
        <v>5987</v>
      </c>
      <c r="H2726" s="54" t="n">
        <v>14254</v>
      </c>
      <c r="I2726" s="54" t="s">
        <v>295</v>
      </c>
      <c r="J2726" s="54" t="s">
        <v>303</v>
      </c>
    </row>
    <row r="2727" customFormat="false" ht="15" hidden="false" customHeight="true" outlineLevel="0" collapsed="false">
      <c r="A2727" s="54" t="n">
        <v>20260711</v>
      </c>
      <c r="B2727" s="54" t="s">
        <v>306</v>
      </c>
      <c r="C2727" s="54" t="s">
        <v>307</v>
      </c>
      <c r="D2727" s="54" t="s">
        <v>2943</v>
      </c>
      <c r="E2727" s="54" t="s">
        <v>2944</v>
      </c>
      <c r="F2727" s="54" t="s">
        <v>5988</v>
      </c>
      <c r="G2727" s="54" t="s">
        <v>5989</v>
      </c>
      <c r="H2727" s="54" t="n">
        <v>3</v>
      </c>
      <c r="I2727" s="54" t="s">
        <v>295</v>
      </c>
      <c r="J2727" s="54" t="s">
        <v>2347</v>
      </c>
    </row>
    <row r="2728" customFormat="false" ht="15" hidden="false" customHeight="true" outlineLevel="0" collapsed="false">
      <c r="A2728" s="54" t="n">
        <v>20260711</v>
      </c>
      <c r="B2728" s="54" t="s">
        <v>306</v>
      </c>
      <c r="C2728" s="54" t="s">
        <v>307</v>
      </c>
      <c r="D2728" s="54" t="s">
        <v>2943</v>
      </c>
      <c r="E2728" s="54" t="s">
        <v>2944</v>
      </c>
      <c r="F2728" s="54" t="s">
        <v>5990</v>
      </c>
      <c r="G2728" s="54" t="s">
        <v>5991</v>
      </c>
      <c r="H2728" s="54" t="n">
        <v>21657</v>
      </c>
      <c r="I2728" s="54" t="s">
        <v>295</v>
      </c>
      <c r="J2728" s="54" t="s">
        <v>2347</v>
      </c>
    </row>
    <row r="2729" customFormat="false" ht="15" hidden="false" customHeight="true" outlineLevel="0" collapsed="false">
      <c r="A2729" s="54" t="n">
        <v>20260711</v>
      </c>
      <c r="B2729" s="54" t="s">
        <v>688</v>
      </c>
      <c r="C2729" s="54" t="s">
        <v>307</v>
      </c>
      <c r="D2729" s="54" t="s">
        <v>2959</v>
      </c>
      <c r="E2729" s="54" t="s">
        <v>140</v>
      </c>
      <c r="F2729" s="54" t="s">
        <v>5659</v>
      </c>
      <c r="G2729" s="54" t="s">
        <v>5992</v>
      </c>
      <c r="H2729" s="54" t="n">
        <v>18070</v>
      </c>
      <c r="I2729" s="54" t="s">
        <v>295</v>
      </c>
      <c r="J2729" s="54" t="s">
        <v>745</v>
      </c>
    </row>
    <row r="2730" customFormat="false" ht="15" hidden="false" customHeight="true" outlineLevel="0" collapsed="false">
      <c r="A2730" s="54" t="n">
        <v>20260711</v>
      </c>
      <c r="B2730" s="54" t="s">
        <v>688</v>
      </c>
      <c r="C2730" s="54" t="s">
        <v>307</v>
      </c>
      <c r="D2730" s="54" t="s">
        <v>2959</v>
      </c>
      <c r="E2730" s="54" t="s">
        <v>140</v>
      </c>
      <c r="F2730" s="54" t="s">
        <v>5993</v>
      </c>
      <c r="G2730" s="54" t="s">
        <v>5994</v>
      </c>
      <c r="H2730" s="54" t="n">
        <v>10870</v>
      </c>
      <c r="I2730" s="54" t="s">
        <v>295</v>
      </c>
      <c r="J2730" s="54" t="s">
        <v>745</v>
      </c>
    </row>
    <row r="2731" customFormat="false" ht="15" hidden="false" customHeight="true" outlineLevel="0" collapsed="false">
      <c r="A2731" s="54" t="n">
        <v>20260711</v>
      </c>
      <c r="B2731" s="54" t="s">
        <v>289</v>
      </c>
      <c r="C2731" s="54" t="s">
        <v>290</v>
      </c>
      <c r="D2731" s="54" t="s">
        <v>2969</v>
      </c>
      <c r="E2731" s="54" t="s">
        <v>2970</v>
      </c>
      <c r="F2731" s="54" t="s">
        <v>5675</v>
      </c>
      <c r="G2731" s="54" t="s">
        <v>5314</v>
      </c>
      <c r="H2731" s="54" t="n">
        <v>14440</v>
      </c>
      <c r="I2731" s="54" t="s">
        <v>295</v>
      </c>
      <c r="J2731" s="54" t="s">
        <v>874</v>
      </c>
    </row>
    <row r="2732" customFormat="false" ht="15" hidden="false" customHeight="true" outlineLevel="0" collapsed="false">
      <c r="A2732" s="54" t="n">
        <v>20260711</v>
      </c>
      <c r="B2732" s="54" t="s">
        <v>289</v>
      </c>
      <c r="C2732" s="54" t="s">
        <v>290</v>
      </c>
      <c r="D2732" s="54" t="s">
        <v>2969</v>
      </c>
      <c r="E2732" s="54" t="s">
        <v>2970</v>
      </c>
      <c r="F2732" s="54" t="s">
        <v>5516</v>
      </c>
      <c r="G2732" s="54" t="s">
        <v>5490</v>
      </c>
      <c r="H2732" s="54" t="n">
        <v>14398</v>
      </c>
      <c r="I2732" s="54" t="s">
        <v>295</v>
      </c>
      <c r="J2732" s="54" t="s">
        <v>874</v>
      </c>
    </row>
    <row r="2733" customFormat="false" ht="15" hidden="false" customHeight="true" outlineLevel="0" collapsed="false">
      <c r="A2733" s="54" t="n">
        <v>20260711</v>
      </c>
      <c r="B2733" s="54" t="s">
        <v>688</v>
      </c>
      <c r="C2733" s="54" t="s">
        <v>290</v>
      </c>
      <c r="D2733" s="54" t="s">
        <v>2987</v>
      </c>
      <c r="E2733" s="54" t="s">
        <v>2988</v>
      </c>
      <c r="F2733" s="54" t="s">
        <v>5995</v>
      </c>
      <c r="G2733" s="54" t="s">
        <v>5996</v>
      </c>
      <c r="H2733" s="54" t="n">
        <v>173</v>
      </c>
      <c r="I2733" s="54" t="s">
        <v>295</v>
      </c>
      <c r="J2733" s="54" t="s">
        <v>997</v>
      </c>
    </row>
    <row r="2734" customFormat="false" ht="15" hidden="false" customHeight="true" outlineLevel="0" collapsed="false">
      <c r="A2734" s="54" t="n">
        <v>20260711</v>
      </c>
      <c r="B2734" s="54" t="s">
        <v>688</v>
      </c>
      <c r="C2734" s="54" t="s">
        <v>290</v>
      </c>
      <c r="D2734" s="54" t="s">
        <v>2987</v>
      </c>
      <c r="E2734" s="54" t="s">
        <v>2988</v>
      </c>
      <c r="F2734" s="54" t="s">
        <v>5997</v>
      </c>
      <c r="G2734" s="54" t="s">
        <v>5497</v>
      </c>
      <c r="H2734" s="54" t="n">
        <v>14017</v>
      </c>
      <c r="I2734" s="54" t="s">
        <v>295</v>
      </c>
      <c r="J2734" s="54" t="s">
        <v>997</v>
      </c>
    </row>
    <row r="2735" customFormat="false" ht="15" hidden="false" customHeight="true" outlineLevel="0" collapsed="false">
      <c r="A2735" s="54" t="n">
        <v>20260711</v>
      </c>
      <c r="B2735" s="54" t="s">
        <v>688</v>
      </c>
      <c r="C2735" s="54" t="s">
        <v>290</v>
      </c>
      <c r="D2735" s="54" t="s">
        <v>2987</v>
      </c>
      <c r="E2735" s="54" t="s">
        <v>2988</v>
      </c>
      <c r="F2735" s="54" t="s">
        <v>5998</v>
      </c>
      <c r="G2735" s="54" t="s">
        <v>5999</v>
      </c>
      <c r="H2735" s="54" t="n">
        <v>4729</v>
      </c>
      <c r="I2735" s="54" t="s">
        <v>295</v>
      </c>
      <c r="J2735" s="54" t="s">
        <v>997</v>
      </c>
    </row>
    <row r="2736" customFormat="false" ht="15" hidden="false" customHeight="true" outlineLevel="0" collapsed="false">
      <c r="A2736" s="54" t="n">
        <v>20260711</v>
      </c>
      <c r="B2736" s="54" t="s">
        <v>688</v>
      </c>
      <c r="C2736" s="54" t="s">
        <v>290</v>
      </c>
      <c r="D2736" s="54" t="s">
        <v>2987</v>
      </c>
      <c r="E2736" s="54" t="s">
        <v>2988</v>
      </c>
      <c r="F2736" s="54" t="s">
        <v>6000</v>
      </c>
      <c r="G2736" s="54" t="s">
        <v>6001</v>
      </c>
      <c r="H2736" s="54" t="n">
        <v>8574</v>
      </c>
      <c r="I2736" s="54" t="s">
        <v>295</v>
      </c>
      <c r="J2736" s="54" t="s">
        <v>997</v>
      </c>
    </row>
    <row r="2737" customFormat="false" ht="15" hidden="false" customHeight="true" outlineLevel="0" collapsed="false">
      <c r="A2737" s="54" t="n">
        <v>20260711</v>
      </c>
      <c r="B2737" s="54" t="s">
        <v>688</v>
      </c>
      <c r="C2737" s="54" t="s">
        <v>290</v>
      </c>
      <c r="D2737" s="54" t="s">
        <v>2987</v>
      </c>
      <c r="E2737" s="54" t="s">
        <v>2988</v>
      </c>
      <c r="F2737" s="54" t="s">
        <v>6002</v>
      </c>
      <c r="G2737" s="54" t="s">
        <v>6003</v>
      </c>
      <c r="H2737" s="54" t="n">
        <v>725</v>
      </c>
      <c r="I2737" s="54" t="s">
        <v>295</v>
      </c>
      <c r="J2737" s="54" t="s">
        <v>997</v>
      </c>
    </row>
    <row r="2738" customFormat="false" ht="15" hidden="false" customHeight="true" outlineLevel="0" collapsed="false">
      <c r="A2738" s="54" t="n">
        <v>20260711</v>
      </c>
      <c r="B2738" s="54" t="s">
        <v>289</v>
      </c>
      <c r="C2738" s="54" t="s">
        <v>290</v>
      </c>
      <c r="D2738" s="54" t="s">
        <v>2996</v>
      </c>
      <c r="E2738" s="54" t="s">
        <v>2997</v>
      </c>
      <c r="F2738" s="54" t="s">
        <v>6004</v>
      </c>
      <c r="G2738" s="54" t="s">
        <v>5458</v>
      </c>
      <c r="H2738" s="54" t="n">
        <v>13632</v>
      </c>
      <c r="I2738" s="54" t="s">
        <v>295</v>
      </c>
      <c r="J2738" s="54" t="s">
        <v>578</v>
      </c>
    </row>
    <row r="2739" customFormat="false" ht="15" hidden="false" customHeight="true" outlineLevel="0" collapsed="false">
      <c r="A2739" s="54" t="n">
        <v>20260711</v>
      </c>
      <c r="B2739" s="54" t="s">
        <v>289</v>
      </c>
      <c r="C2739" s="54" t="s">
        <v>290</v>
      </c>
      <c r="D2739" s="54" t="s">
        <v>2996</v>
      </c>
      <c r="E2739" s="54" t="s">
        <v>2997</v>
      </c>
      <c r="F2739" s="54" t="s">
        <v>6005</v>
      </c>
      <c r="G2739" s="54" t="s">
        <v>6006</v>
      </c>
      <c r="H2739" s="54" t="n">
        <v>14487</v>
      </c>
      <c r="I2739" s="54" t="s">
        <v>295</v>
      </c>
      <c r="J2739" s="54" t="s">
        <v>578</v>
      </c>
    </row>
    <row r="2740" customFormat="false" ht="15" hidden="false" customHeight="true" outlineLevel="0" collapsed="false">
      <c r="A2740" s="54" t="n">
        <v>20260711</v>
      </c>
      <c r="B2740" s="54" t="s">
        <v>306</v>
      </c>
      <c r="C2740" s="54" t="s">
        <v>307</v>
      </c>
      <c r="D2740" s="54" t="s">
        <v>6007</v>
      </c>
      <c r="E2740" s="54" t="s">
        <v>6008</v>
      </c>
      <c r="F2740" s="54" t="s">
        <v>6009</v>
      </c>
      <c r="G2740" s="54" t="s">
        <v>6010</v>
      </c>
      <c r="H2740" s="54" t="n">
        <v>19771</v>
      </c>
      <c r="I2740" s="54" t="s">
        <v>295</v>
      </c>
      <c r="J2740" s="54" t="s">
        <v>2347</v>
      </c>
    </row>
    <row r="2741" customFormat="false" ht="15" hidden="false" customHeight="true" outlineLevel="0" collapsed="false">
      <c r="A2741" s="54" t="n">
        <v>20260711</v>
      </c>
      <c r="B2741" s="54" t="s">
        <v>306</v>
      </c>
      <c r="C2741" s="54" t="s">
        <v>307</v>
      </c>
      <c r="D2741" s="54" t="s">
        <v>6007</v>
      </c>
      <c r="E2741" s="54" t="s">
        <v>6008</v>
      </c>
      <c r="F2741" s="54" t="s">
        <v>6011</v>
      </c>
      <c r="G2741" s="54" t="s">
        <v>6012</v>
      </c>
      <c r="H2741" s="54" t="n">
        <v>19771</v>
      </c>
      <c r="I2741" s="54" t="s">
        <v>315</v>
      </c>
      <c r="J2741" s="54" t="s">
        <v>2347</v>
      </c>
    </row>
    <row r="2742" customFormat="false" ht="15" hidden="false" customHeight="true" outlineLevel="0" collapsed="false">
      <c r="A2742" s="54" t="n">
        <v>20260711</v>
      </c>
      <c r="B2742" s="54" t="s">
        <v>306</v>
      </c>
      <c r="C2742" s="54" t="s">
        <v>307</v>
      </c>
      <c r="D2742" s="54" t="s">
        <v>6007</v>
      </c>
      <c r="E2742" s="54" t="s">
        <v>6008</v>
      </c>
      <c r="F2742" s="54" t="s">
        <v>6013</v>
      </c>
      <c r="G2742" s="54" t="s">
        <v>6014</v>
      </c>
      <c r="H2742" s="54" t="n">
        <v>1149</v>
      </c>
      <c r="I2742" s="54" t="s">
        <v>295</v>
      </c>
      <c r="J2742" s="54" t="s">
        <v>2347</v>
      </c>
    </row>
    <row r="2743" customFormat="false" ht="15" hidden="false" customHeight="true" outlineLevel="0" collapsed="false">
      <c r="A2743" s="54" t="n">
        <v>20260711</v>
      </c>
      <c r="B2743" s="54" t="s">
        <v>306</v>
      </c>
      <c r="C2743" s="54" t="s">
        <v>307</v>
      </c>
      <c r="D2743" s="54" t="s">
        <v>6007</v>
      </c>
      <c r="E2743" s="54" t="s">
        <v>6008</v>
      </c>
      <c r="F2743" s="54" t="s">
        <v>6015</v>
      </c>
      <c r="G2743" s="54" t="s">
        <v>6014</v>
      </c>
      <c r="H2743" s="54" t="n">
        <v>1148</v>
      </c>
      <c r="I2743" s="54" t="s">
        <v>315</v>
      </c>
      <c r="J2743" s="54" t="s">
        <v>2347</v>
      </c>
    </row>
    <row r="2744" customFormat="false" ht="15" hidden="false" customHeight="true" outlineLevel="0" collapsed="false">
      <c r="A2744" s="54" t="n">
        <v>20260711</v>
      </c>
      <c r="B2744" s="54" t="s">
        <v>497</v>
      </c>
      <c r="C2744" s="54" t="s">
        <v>290</v>
      </c>
      <c r="D2744" s="54" t="s">
        <v>3024</v>
      </c>
      <c r="E2744" s="54" t="s">
        <v>3025</v>
      </c>
      <c r="F2744" s="54" t="s">
        <v>6016</v>
      </c>
      <c r="G2744" s="54" t="s">
        <v>5239</v>
      </c>
      <c r="H2744" s="54" t="n">
        <v>14237</v>
      </c>
      <c r="I2744" s="54" t="s">
        <v>295</v>
      </c>
      <c r="J2744" s="54" t="s">
        <v>1095</v>
      </c>
    </row>
    <row r="2745" customFormat="false" ht="15" hidden="false" customHeight="true" outlineLevel="0" collapsed="false">
      <c r="A2745" s="54" t="n">
        <v>20260711</v>
      </c>
      <c r="B2745" s="54" t="s">
        <v>497</v>
      </c>
      <c r="C2745" s="54" t="s">
        <v>307</v>
      </c>
      <c r="D2745" s="54" t="s">
        <v>3045</v>
      </c>
      <c r="E2745" s="54" t="s">
        <v>3046</v>
      </c>
      <c r="F2745" s="54" t="s">
        <v>6017</v>
      </c>
      <c r="G2745" s="54" t="s">
        <v>5247</v>
      </c>
      <c r="H2745" s="54" t="n">
        <v>14861</v>
      </c>
      <c r="I2745" s="54" t="s">
        <v>295</v>
      </c>
      <c r="J2745" s="54" t="s">
        <v>894</v>
      </c>
    </row>
    <row r="2746" customFormat="false" ht="15" hidden="false" customHeight="true" outlineLevel="0" collapsed="false">
      <c r="A2746" s="54" t="n">
        <v>20260711</v>
      </c>
      <c r="B2746" s="54" t="s">
        <v>306</v>
      </c>
      <c r="C2746" s="54" t="s">
        <v>290</v>
      </c>
      <c r="D2746" s="54" t="s">
        <v>6018</v>
      </c>
      <c r="E2746" s="54" t="s">
        <v>6019</v>
      </c>
      <c r="F2746" s="54" t="s">
        <v>6020</v>
      </c>
      <c r="G2746" s="54" t="s">
        <v>5702</v>
      </c>
      <c r="H2746" s="54" t="n">
        <v>18169</v>
      </c>
      <c r="I2746" s="54" t="s">
        <v>315</v>
      </c>
      <c r="J2746" s="54" t="s">
        <v>368</v>
      </c>
    </row>
    <row r="2747" customFormat="false" ht="15" hidden="false" customHeight="true" outlineLevel="0" collapsed="false">
      <c r="A2747" s="54" t="n">
        <v>20260711</v>
      </c>
      <c r="B2747" s="54" t="s">
        <v>306</v>
      </c>
      <c r="C2747" s="54" t="s">
        <v>290</v>
      </c>
      <c r="D2747" s="54" t="s">
        <v>6018</v>
      </c>
      <c r="E2747" s="54" t="s">
        <v>6019</v>
      </c>
      <c r="F2747" s="54" t="s">
        <v>6020</v>
      </c>
      <c r="G2747" s="54" t="s">
        <v>5702</v>
      </c>
      <c r="H2747" s="54" t="n">
        <v>18169</v>
      </c>
      <c r="I2747" s="54" t="s">
        <v>295</v>
      </c>
      <c r="J2747" s="54" t="s">
        <v>368</v>
      </c>
    </row>
    <row r="2748" customFormat="false" ht="15" hidden="false" customHeight="true" outlineLevel="0" collapsed="false">
      <c r="A2748" s="54" t="n">
        <v>20260711</v>
      </c>
      <c r="B2748" s="54" t="s">
        <v>306</v>
      </c>
      <c r="C2748" s="54" t="s">
        <v>290</v>
      </c>
      <c r="D2748" s="54" t="s">
        <v>6018</v>
      </c>
      <c r="E2748" s="54" t="s">
        <v>6019</v>
      </c>
      <c r="F2748" s="54" t="s">
        <v>6021</v>
      </c>
      <c r="G2748" s="54" t="s">
        <v>6022</v>
      </c>
      <c r="H2748" s="54" t="n">
        <v>10892</v>
      </c>
      <c r="I2748" s="54" t="s">
        <v>315</v>
      </c>
      <c r="J2748" s="54" t="s">
        <v>368</v>
      </c>
    </row>
    <row r="2749" customFormat="false" ht="15" hidden="false" customHeight="true" outlineLevel="0" collapsed="false">
      <c r="A2749" s="54" t="n">
        <v>20260711</v>
      </c>
      <c r="B2749" s="54" t="s">
        <v>306</v>
      </c>
      <c r="C2749" s="54" t="s">
        <v>290</v>
      </c>
      <c r="D2749" s="54" t="s">
        <v>6018</v>
      </c>
      <c r="E2749" s="54" t="s">
        <v>6019</v>
      </c>
      <c r="F2749" s="54" t="s">
        <v>6021</v>
      </c>
      <c r="G2749" s="54" t="s">
        <v>6023</v>
      </c>
      <c r="H2749" s="54" t="n">
        <v>10893</v>
      </c>
      <c r="I2749" s="54" t="s">
        <v>295</v>
      </c>
      <c r="J2749" s="54" t="s">
        <v>368</v>
      </c>
    </row>
    <row r="2750" customFormat="false" ht="15" hidden="false" customHeight="true" outlineLevel="0" collapsed="false">
      <c r="A2750" s="54" t="n">
        <v>20260711</v>
      </c>
      <c r="B2750" s="54" t="s">
        <v>289</v>
      </c>
      <c r="C2750" s="54" t="s">
        <v>290</v>
      </c>
      <c r="D2750" s="54" t="s">
        <v>3082</v>
      </c>
      <c r="E2750" s="54" t="s">
        <v>3083</v>
      </c>
      <c r="F2750" s="54" t="s">
        <v>6024</v>
      </c>
      <c r="G2750" s="54" t="s">
        <v>6025</v>
      </c>
      <c r="H2750" s="54" t="n">
        <v>27355</v>
      </c>
      <c r="I2750" s="54" t="s">
        <v>295</v>
      </c>
      <c r="J2750" s="54" t="s">
        <v>414</v>
      </c>
    </row>
    <row r="2751" customFormat="false" ht="15" hidden="false" customHeight="true" outlineLevel="0" collapsed="false">
      <c r="A2751" s="54" t="n">
        <v>20260711</v>
      </c>
      <c r="B2751" s="54" t="s">
        <v>289</v>
      </c>
      <c r="C2751" s="54" t="s">
        <v>290</v>
      </c>
      <c r="D2751" s="54" t="s">
        <v>3082</v>
      </c>
      <c r="E2751" s="54" t="s">
        <v>3083</v>
      </c>
      <c r="F2751" s="54" t="s">
        <v>6026</v>
      </c>
      <c r="G2751" s="54" t="s">
        <v>6027</v>
      </c>
      <c r="H2751" s="54" t="n">
        <v>7628</v>
      </c>
      <c r="I2751" s="54" t="s">
        <v>295</v>
      </c>
      <c r="J2751" s="54" t="s">
        <v>414</v>
      </c>
    </row>
    <row r="2752" customFormat="false" ht="15" hidden="false" customHeight="true" outlineLevel="0" collapsed="false">
      <c r="A2752" s="54" t="n">
        <v>20260711</v>
      </c>
      <c r="B2752" s="54" t="s">
        <v>306</v>
      </c>
      <c r="C2752" s="54" t="s">
        <v>290</v>
      </c>
      <c r="D2752" s="54" t="s">
        <v>3095</v>
      </c>
      <c r="E2752" s="54" t="s">
        <v>3096</v>
      </c>
      <c r="F2752" s="54" t="s">
        <v>6028</v>
      </c>
      <c r="G2752" s="54" t="s">
        <v>6029</v>
      </c>
      <c r="H2752" s="54" t="n">
        <v>14453</v>
      </c>
      <c r="I2752" s="54" t="s">
        <v>295</v>
      </c>
      <c r="J2752" s="54" t="s">
        <v>368</v>
      </c>
    </row>
    <row r="2753" customFormat="false" ht="15" hidden="false" customHeight="true" outlineLevel="0" collapsed="false">
      <c r="A2753" s="54" t="n">
        <v>20260711</v>
      </c>
      <c r="B2753" s="54" t="s">
        <v>306</v>
      </c>
      <c r="C2753" s="54" t="s">
        <v>290</v>
      </c>
      <c r="D2753" s="54" t="s">
        <v>3095</v>
      </c>
      <c r="E2753" s="54" t="s">
        <v>3096</v>
      </c>
      <c r="F2753" s="54" t="s">
        <v>6030</v>
      </c>
      <c r="G2753" s="54" t="s">
        <v>6029</v>
      </c>
      <c r="H2753" s="54" t="n">
        <v>14452</v>
      </c>
      <c r="I2753" s="54" t="s">
        <v>315</v>
      </c>
      <c r="J2753" s="54" t="s">
        <v>368</v>
      </c>
    </row>
    <row r="2754" customFormat="false" ht="15" hidden="false" customHeight="true" outlineLevel="0" collapsed="false">
      <c r="A2754" s="54" t="n">
        <v>20260711</v>
      </c>
      <c r="B2754" s="54" t="s">
        <v>306</v>
      </c>
      <c r="C2754" s="54" t="s">
        <v>290</v>
      </c>
      <c r="D2754" s="54" t="s">
        <v>3095</v>
      </c>
      <c r="E2754" s="54" t="s">
        <v>3096</v>
      </c>
      <c r="F2754" s="54" t="s">
        <v>6031</v>
      </c>
      <c r="G2754" s="54" t="s">
        <v>6032</v>
      </c>
      <c r="H2754" s="54" t="n">
        <v>17977</v>
      </c>
      <c r="I2754" s="54" t="s">
        <v>315</v>
      </c>
      <c r="J2754" s="54" t="s">
        <v>368</v>
      </c>
    </row>
    <row r="2755" customFormat="false" ht="15" hidden="false" customHeight="true" outlineLevel="0" collapsed="false">
      <c r="A2755" s="54" t="n">
        <v>20260711</v>
      </c>
      <c r="B2755" s="54" t="s">
        <v>306</v>
      </c>
      <c r="C2755" s="54" t="s">
        <v>290</v>
      </c>
      <c r="D2755" s="54" t="s">
        <v>3095</v>
      </c>
      <c r="E2755" s="54" t="s">
        <v>3096</v>
      </c>
      <c r="F2755" s="54" t="s">
        <v>6031</v>
      </c>
      <c r="G2755" s="54" t="s">
        <v>6032</v>
      </c>
      <c r="H2755" s="54" t="n">
        <v>17977</v>
      </c>
      <c r="I2755" s="54" t="s">
        <v>295</v>
      </c>
      <c r="J2755" s="54" t="s">
        <v>368</v>
      </c>
    </row>
    <row r="2756" customFormat="false" ht="15" hidden="false" customHeight="true" outlineLevel="0" collapsed="false">
      <c r="A2756" s="54" t="n">
        <v>20260711</v>
      </c>
      <c r="B2756" s="54" t="s">
        <v>688</v>
      </c>
      <c r="C2756" s="54" t="s">
        <v>307</v>
      </c>
      <c r="D2756" s="54" t="s">
        <v>6033</v>
      </c>
      <c r="E2756" s="54" t="s">
        <v>142</v>
      </c>
      <c r="F2756" s="54" t="s">
        <v>6034</v>
      </c>
      <c r="G2756" s="54" t="s">
        <v>6035</v>
      </c>
      <c r="H2756" s="54" t="n">
        <v>943</v>
      </c>
      <c r="I2756" s="54" t="s">
        <v>295</v>
      </c>
      <c r="J2756" s="54" t="s">
        <v>693</v>
      </c>
    </row>
    <row r="2757" customFormat="false" ht="15" hidden="false" customHeight="true" outlineLevel="0" collapsed="false">
      <c r="A2757" s="54" t="n">
        <v>20260711</v>
      </c>
      <c r="B2757" s="54" t="s">
        <v>688</v>
      </c>
      <c r="C2757" s="54" t="s">
        <v>307</v>
      </c>
      <c r="D2757" s="54" t="s">
        <v>6033</v>
      </c>
      <c r="E2757" s="54" t="s">
        <v>142</v>
      </c>
      <c r="F2757" s="54" t="s">
        <v>6036</v>
      </c>
      <c r="G2757" s="54" t="s">
        <v>6037</v>
      </c>
      <c r="H2757" s="54" t="n">
        <v>15319</v>
      </c>
      <c r="I2757" s="54" t="s">
        <v>295</v>
      </c>
      <c r="J2757" s="54" t="s">
        <v>693</v>
      </c>
    </row>
    <row r="2758" customFormat="false" ht="15" hidden="false" customHeight="true" outlineLevel="0" collapsed="false">
      <c r="A2758" s="54" t="n">
        <v>20260711</v>
      </c>
      <c r="B2758" s="54" t="s">
        <v>688</v>
      </c>
      <c r="C2758" s="54" t="s">
        <v>307</v>
      </c>
      <c r="D2758" s="54" t="s">
        <v>6033</v>
      </c>
      <c r="E2758" s="54" t="s">
        <v>142</v>
      </c>
      <c r="F2758" s="54" t="s">
        <v>6038</v>
      </c>
      <c r="G2758" s="54" t="s">
        <v>6039</v>
      </c>
      <c r="H2758" s="54" t="n">
        <v>319</v>
      </c>
      <c r="I2758" s="54" t="s">
        <v>295</v>
      </c>
      <c r="J2758" s="54" t="s">
        <v>693</v>
      </c>
    </row>
    <row r="2759" customFormat="false" ht="15" hidden="false" customHeight="true" outlineLevel="0" collapsed="false">
      <c r="A2759" s="54" t="n">
        <v>20260711</v>
      </c>
      <c r="B2759" s="54" t="s">
        <v>168</v>
      </c>
      <c r="C2759" s="54" t="s">
        <v>290</v>
      </c>
      <c r="D2759" s="54" t="s">
        <v>6040</v>
      </c>
      <c r="E2759" s="54" t="s">
        <v>6041</v>
      </c>
      <c r="F2759" s="54" t="s">
        <v>6042</v>
      </c>
      <c r="G2759" s="54" t="s">
        <v>6043</v>
      </c>
      <c r="H2759" s="54" t="n">
        <v>2</v>
      </c>
      <c r="I2759" s="54" t="s">
        <v>295</v>
      </c>
      <c r="J2759" s="54" t="s">
        <v>818</v>
      </c>
    </row>
    <row r="2760" customFormat="false" ht="15" hidden="false" customHeight="true" outlineLevel="0" collapsed="false">
      <c r="A2760" s="54" t="n">
        <v>20260711</v>
      </c>
      <c r="B2760" s="54" t="s">
        <v>168</v>
      </c>
      <c r="C2760" s="54" t="s">
        <v>290</v>
      </c>
      <c r="D2760" s="54" t="s">
        <v>6040</v>
      </c>
      <c r="E2760" s="54" t="s">
        <v>6041</v>
      </c>
      <c r="F2760" s="54" t="s">
        <v>6044</v>
      </c>
      <c r="G2760" s="54" t="s">
        <v>5278</v>
      </c>
      <c r="H2760" s="54" t="n">
        <v>4056</v>
      </c>
      <c r="I2760" s="54" t="s">
        <v>295</v>
      </c>
      <c r="J2760" s="54" t="s">
        <v>818</v>
      </c>
    </row>
    <row r="2761" customFormat="false" ht="15" hidden="false" customHeight="true" outlineLevel="0" collapsed="false">
      <c r="A2761" s="54" t="n">
        <v>20260711</v>
      </c>
      <c r="B2761" s="54" t="s">
        <v>168</v>
      </c>
      <c r="C2761" s="54" t="s">
        <v>290</v>
      </c>
      <c r="D2761" s="54" t="s">
        <v>6040</v>
      </c>
      <c r="E2761" s="54" t="s">
        <v>6041</v>
      </c>
      <c r="F2761" s="54" t="s">
        <v>6045</v>
      </c>
      <c r="G2761" s="54" t="s">
        <v>6046</v>
      </c>
      <c r="H2761" s="54" t="n">
        <v>559</v>
      </c>
      <c r="I2761" s="54" t="s">
        <v>295</v>
      </c>
      <c r="J2761" s="54" t="s">
        <v>818</v>
      </c>
    </row>
    <row r="2762" customFormat="false" ht="15" hidden="false" customHeight="true" outlineLevel="0" collapsed="false">
      <c r="A2762" s="54" t="n">
        <v>20260711</v>
      </c>
      <c r="B2762" s="54" t="s">
        <v>168</v>
      </c>
      <c r="C2762" s="54" t="s">
        <v>290</v>
      </c>
      <c r="D2762" s="54" t="s">
        <v>6040</v>
      </c>
      <c r="E2762" s="54" t="s">
        <v>6041</v>
      </c>
      <c r="F2762" s="54" t="s">
        <v>6047</v>
      </c>
      <c r="G2762" s="54" t="s">
        <v>6048</v>
      </c>
      <c r="H2762" s="54" t="n">
        <v>7684</v>
      </c>
      <c r="I2762" s="54" t="s">
        <v>295</v>
      </c>
      <c r="J2762" s="54" t="s">
        <v>818</v>
      </c>
    </row>
    <row r="2763" customFormat="false" ht="15" hidden="false" customHeight="true" outlineLevel="0" collapsed="false">
      <c r="A2763" s="54" t="n">
        <v>20260711</v>
      </c>
      <c r="B2763" s="54" t="s">
        <v>168</v>
      </c>
      <c r="C2763" s="54" t="s">
        <v>290</v>
      </c>
      <c r="D2763" s="54" t="s">
        <v>6040</v>
      </c>
      <c r="E2763" s="54" t="s">
        <v>6041</v>
      </c>
      <c r="F2763" s="54" t="s">
        <v>6049</v>
      </c>
      <c r="G2763" s="54" t="s">
        <v>6050</v>
      </c>
      <c r="H2763" s="54" t="n">
        <v>8033</v>
      </c>
      <c r="I2763" s="54" t="s">
        <v>295</v>
      </c>
      <c r="J2763" s="54" t="s">
        <v>818</v>
      </c>
    </row>
    <row r="2764" customFormat="false" ht="15" hidden="false" customHeight="true" outlineLevel="0" collapsed="false">
      <c r="A2764" s="54" t="n">
        <v>20260711</v>
      </c>
      <c r="B2764" s="54" t="s">
        <v>168</v>
      </c>
      <c r="C2764" s="54" t="s">
        <v>290</v>
      </c>
      <c r="D2764" s="54" t="s">
        <v>6040</v>
      </c>
      <c r="E2764" s="54" t="s">
        <v>6041</v>
      </c>
      <c r="F2764" s="54" t="s">
        <v>6051</v>
      </c>
      <c r="G2764" s="54" t="s">
        <v>6052</v>
      </c>
      <c r="H2764" s="54" t="n">
        <v>5777</v>
      </c>
      <c r="I2764" s="54" t="s">
        <v>295</v>
      </c>
      <c r="J2764" s="54" t="s">
        <v>818</v>
      </c>
    </row>
    <row r="2765" customFormat="false" ht="15" hidden="false" customHeight="true" outlineLevel="0" collapsed="false">
      <c r="A2765" s="54" t="n">
        <v>20260711</v>
      </c>
      <c r="B2765" s="54" t="s">
        <v>306</v>
      </c>
      <c r="C2765" s="54" t="s">
        <v>307</v>
      </c>
      <c r="D2765" s="54" t="s">
        <v>3100</v>
      </c>
      <c r="E2765" s="54" t="s">
        <v>3101</v>
      </c>
      <c r="F2765" s="54" t="s">
        <v>6053</v>
      </c>
      <c r="G2765" s="54" t="s">
        <v>6054</v>
      </c>
      <c r="H2765" s="54" t="n">
        <v>10</v>
      </c>
      <c r="I2765" s="54" t="s">
        <v>295</v>
      </c>
      <c r="J2765" s="54" t="s">
        <v>312</v>
      </c>
    </row>
    <row r="2766" customFormat="false" ht="15" hidden="false" customHeight="true" outlineLevel="0" collapsed="false">
      <c r="A2766" s="54" t="n">
        <v>20260711</v>
      </c>
      <c r="B2766" s="54" t="s">
        <v>306</v>
      </c>
      <c r="C2766" s="54" t="s">
        <v>307</v>
      </c>
      <c r="D2766" s="54" t="s">
        <v>3100</v>
      </c>
      <c r="E2766" s="54" t="s">
        <v>3101</v>
      </c>
      <c r="F2766" s="54" t="s">
        <v>6055</v>
      </c>
      <c r="G2766" s="54" t="s">
        <v>6056</v>
      </c>
      <c r="H2766" s="54" t="n">
        <v>21608</v>
      </c>
      <c r="I2766" s="54" t="s">
        <v>295</v>
      </c>
      <c r="J2766" s="54" t="s">
        <v>312</v>
      </c>
    </row>
    <row r="2767" customFormat="false" ht="15" hidden="false" customHeight="true" outlineLevel="0" collapsed="false">
      <c r="A2767" s="54" t="n">
        <v>20260711</v>
      </c>
      <c r="B2767" s="54" t="s">
        <v>306</v>
      </c>
      <c r="C2767" s="54" t="s">
        <v>307</v>
      </c>
      <c r="D2767" s="54" t="s">
        <v>6057</v>
      </c>
      <c r="E2767" s="54" t="s">
        <v>6058</v>
      </c>
      <c r="F2767" s="54" t="s">
        <v>6059</v>
      </c>
      <c r="G2767" s="54" t="s">
        <v>6060</v>
      </c>
      <c r="H2767" s="54" t="n">
        <v>6206</v>
      </c>
      <c r="I2767" s="54" t="s">
        <v>295</v>
      </c>
      <c r="J2767" s="54" t="s">
        <v>312</v>
      </c>
    </row>
    <row r="2768" customFormat="false" ht="15" hidden="false" customHeight="true" outlineLevel="0" collapsed="false">
      <c r="A2768" s="54" t="n">
        <v>20260711</v>
      </c>
      <c r="B2768" s="54" t="s">
        <v>306</v>
      </c>
      <c r="C2768" s="54" t="s">
        <v>307</v>
      </c>
      <c r="D2768" s="54" t="s">
        <v>6057</v>
      </c>
      <c r="E2768" s="54" t="s">
        <v>6058</v>
      </c>
      <c r="F2768" s="54" t="s">
        <v>6061</v>
      </c>
      <c r="G2768" s="54" t="s">
        <v>6062</v>
      </c>
      <c r="H2768" s="54" t="n">
        <v>15457</v>
      </c>
      <c r="I2768" s="54" t="s">
        <v>295</v>
      </c>
      <c r="J2768" s="54" t="s">
        <v>312</v>
      </c>
    </row>
    <row r="2769" customFormat="false" ht="15" hidden="false" customHeight="true" outlineLevel="0" collapsed="false">
      <c r="A2769" s="54" t="n">
        <v>20260711</v>
      </c>
      <c r="B2769" s="54" t="s">
        <v>306</v>
      </c>
      <c r="C2769" s="54" t="s">
        <v>290</v>
      </c>
      <c r="D2769" s="54" t="s">
        <v>3106</v>
      </c>
      <c r="E2769" s="54" t="s">
        <v>3107</v>
      </c>
      <c r="F2769" s="54" t="s">
        <v>6063</v>
      </c>
      <c r="G2769" s="54" t="s">
        <v>6064</v>
      </c>
      <c r="H2769" s="54" t="n">
        <v>18154</v>
      </c>
      <c r="I2769" s="54" t="s">
        <v>315</v>
      </c>
      <c r="J2769" s="54" t="s">
        <v>948</v>
      </c>
    </row>
    <row r="2770" customFormat="false" ht="15" hidden="false" customHeight="true" outlineLevel="0" collapsed="false">
      <c r="A2770" s="54" t="n">
        <v>20260711</v>
      </c>
      <c r="B2770" s="54" t="s">
        <v>306</v>
      </c>
      <c r="C2770" s="54" t="s">
        <v>290</v>
      </c>
      <c r="D2770" s="54" t="s">
        <v>3106</v>
      </c>
      <c r="E2770" s="54" t="s">
        <v>3107</v>
      </c>
      <c r="F2770" s="54" t="s">
        <v>6028</v>
      </c>
      <c r="G2770" s="54" t="s">
        <v>5311</v>
      </c>
      <c r="H2770" s="54" t="n">
        <v>18121</v>
      </c>
      <c r="I2770" s="54" t="s">
        <v>295</v>
      </c>
      <c r="J2770" s="54" t="s">
        <v>948</v>
      </c>
    </row>
    <row r="2771" customFormat="false" ht="15" hidden="false" customHeight="true" outlineLevel="0" collapsed="false">
      <c r="A2771" s="54" t="n">
        <v>20260711</v>
      </c>
      <c r="B2771" s="54" t="s">
        <v>289</v>
      </c>
      <c r="C2771" s="54" t="s">
        <v>307</v>
      </c>
      <c r="D2771" s="54" t="s">
        <v>3115</v>
      </c>
      <c r="E2771" s="54" t="s">
        <v>3116</v>
      </c>
      <c r="F2771" s="54" t="s">
        <v>6065</v>
      </c>
      <c r="G2771" s="54" t="s">
        <v>6066</v>
      </c>
      <c r="H2771" s="54" t="n">
        <v>24467</v>
      </c>
      <c r="I2771" s="54" t="s">
        <v>360</v>
      </c>
      <c r="J2771" s="54" t="s">
        <v>1659</v>
      </c>
    </row>
    <row r="2772" customFormat="false" ht="15" hidden="false" customHeight="true" outlineLevel="0" collapsed="false">
      <c r="A2772" s="54" t="n">
        <v>20260711</v>
      </c>
      <c r="B2772" s="54" t="s">
        <v>289</v>
      </c>
      <c r="C2772" s="54" t="s">
        <v>307</v>
      </c>
      <c r="D2772" s="54" t="s">
        <v>3115</v>
      </c>
      <c r="E2772" s="54" t="s">
        <v>3116</v>
      </c>
      <c r="F2772" s="54" t="s">
        <v>6065</v>
      </c>
      <c r="G2772" s="54" t="s">
        <v>6066</v>
      </c>
      <c r="H2772" s="54" t="n">
        <v>24467</v>
      </c>
      <c r="I2772" s="54" t="s">
        <v>295</v>
      </c>
      <c r="J2772" s="54" t="s">
        <v>1659</v>
      </c>
    </row>
    <row r="2773" customFormat="false" ht="15" hidden="false" customHeight="true" outlineLevel="0" collapsed="false">
      <c r="A2773" s="54" t="n">
        <v>20260711</v>
      </c>
      <c r="B2773" s="54" t="s">
        <v>289</v>
      </c>
      <c r="C2773" s="54" t="s">
        <v>307</v>
      </c>
      <c r="D2773" s="54" t="s">
        <v>3115</v>
      </c>
      <c r="E2773" s="54" t="s">
        <v>3116</v>
      </c>
      <c r="F2773" s="54" t="s">
        <v>6067</v>
      </c>
      <c r="G2773" s="54" t="s">
        <v>6068</v>
      </c>
      <c r="H2773" s="54" t="n">
        <v>4785</v>
      </c>
      <c r="I2773" s="54" t="s">
        <v>360</v>
      </c>
      <c r="J2773" s="54" t="s">
        <v>1659</v>
      </c>
    </row>
    <row r="2774" customFormat="false" ht="15" hidden="false" customHeight="true" outlineLevel="0" collapsed="false">
      <c r="A2774" s="54" t="n">
        <v>20260711</v>
      </c>
      <c r="B2774" s="54" t="s">
        <v>289</v>
      </c>
      <c r="C2774" s="54" t="s">
        <v>307</v>
      </c>
      <c r="D2774" s="54" t="s">
        <v>3115</v>
      </c>
      <c r="E2774" s="54" t="s">
        <v>3116</v>
      </c>
      <c r="F2774" s="54" t="s">
        <v>6067</v>
      </c>
      <c r="G2774" s="54" t="s">
        <v>6068</v>
      </c>
      <c r="H2774" s="54" t="n">
        <v>4785</v>
      </c>
      <c r="I2774" s="54" t="s">
        <v>295</v>
      </c>
      <c r="J2774" s="54" t="s">
        <v>1659</v>
      </c>
    </row>
    <row r="2775" customFormat="false" ht="15" hidden="false" customHeight="true" outlineLevel="0" collapsed="false">
      <c r="A2775" s="54" t="n">
        <v>20260711</v>
      </c>
      <c r="B2775" s="54" t="s">
        <v>497</v>
      </c>
      <c r="C2775" s="54" t="s">
        <v>290</v>
      </c>
      <c r="D2775" s="54" t="s">
        <v>3119</v>
      </c>
      <c r="E2775" s="54" t="s">
        <v>3120</v>
      </c>
      <c r="F2775" s="54" t="s">
        <v>5715</v>
      </c>
      <c r="G2775" s="54" t="s">
        <v>6069</v>
      </c>
      <c r="H2775" s="54" t="n">
        <v>14349</v>
      </c>
      <c r="I2775" s="54" t="s">
        <v>295</v>
      </c>
      <c r="J2775" s="54" t="s">
        <v>1095</v>
      </c>
    </row>
    <row r="2776" customFormat="false" ht="15" hidden="false" customHeight="true" outlineLevel="0" collapsed="false">
      <c r="A2776" s="54" t="n">
        <v>20260711</v>
      </c>
      <c r="B2776" s="54" t="s">
        <v>306</v>
      </c>
      <c r="C2776" s="54" t="s">
        <v>290</v>
      </c>
      <c r="D2776" s="54" t="s">
        <v>379</v>
      </c>
      <c r="E2776" s="54" t="s">
        <v>380</v>
      </c>
      <c r="F2776" s="54" t="s">
        <v>6070</v>
      </c>
      <c r="G2776" s="54" t="s">
        <v>6071</v>
      </c>
      <c r="H2776" s="54" t="n">
        <v>10545</v>
      </c>
      <c r="I2776" s="54" t="s">
        <v>295</v>
      </c>
      <c r="J2776" s="54" t="s">
        <v>352</v>
      </c>
    </row>
    <row r="2777" customFormat="false" ht="15" hidden="false" customHeight="true" outlineLevel="0" collapsed="false">
      <c r="A2777" s="54" t="n">
        <v>20260711</v>
      </c>
      <c r="B2777" s="54" t="s">
        <v>306</v>
      </c>
      <c r="C2777" s="54" t="s">
        <v>290</v>
      </c>
      <c r="D2777" s="54" t="s">
        <v>379</v>
      </c>
      <c r="E2777" s="54" t="s">
        <v>380</v>
      </c>
      <c r="F2777" s="54" t="s">
        <v>6072</v>
      </c>
      <c r="G2777" s="54" t="s">
        <v>6073</v>
      </c>
      <c r="H2777" s="54" t="n">
        <v>10541</v>
      </c>
      <c r="I2777" s="54" t="s">
        <v>315</v>
      </c>
      <c r="J2777" s="54" t="s">
        <v>352</v>
      </c>
    </row>
    <row r="2778" customFormat="false" ht="15" hidden="false" customHeight="true" outlineLevel="0" collapsed="false">
      <c r="A2778" s="54" t="n">
        <v>20260711</v>
      </c>
      <c r="B2778" s="54" t="s">
        <v>306</v>
      </c>
      <c r="C2778" s="54" t="s">
        <v>290</v>
      </c>
      <c r="D2778" s="54" t="s">
        <v>379</v>
      </c>
      <c r="E2778" s="54" t="s">
        <v>380</v>
      </c>
      <c r="F2778" s="54" t="s">
        <v>6074</v>
      </c>
      <c r="G2778" s="54" t="s">
        <v>6075</v>
      </c>
      <c r="H2778" s="54" t="n">
        <v>17944</v>
      </c>
      <c r="I2778" s="54" t="s">
        <v>315</v>
      </c>
      <c r="J2778" s="54" t="s">
        <v>352</v>
      </c>
    </row>
    <row r="2779" customFormat="false" ht="15" hidden="false" customHeight="true" outlineLevel="0" collapsed="false">
      <c r="A2779" s="54" t="n">
        <v>20260711</v>
      </c>
      <c r="B2779" s="54" t="s">
        <v>306</v>
      </c>
      <c r="C2779" s="54" t="s">
        <v>290</v>
      </c>
      <c r="D2779" s="54" t="s">
        <v>379</v>
      </c>
      <c r="E2779" s="54" t="s">
        <v>380</v>
      </c>
      <c r="F2779" s="54" t="s">
        <v>6074</v>
      </c>
      <c r="G2779" s="54" t="s">
        <v>6075</v>
      </c>
      <c r="H2779" s="54" t="n">
        <v>17944</v>
      </c>
      <c r="I2779" s="54" t="s">
        <v>295</v>
      </c>
      <c r="J2779" s="54" t="s">
        <v>352</v>
      </c>
    </row>
    <row r="2780" customFormat="false" ht="15" hidden="false" customHeight="true" outlineLevel="0" collapsed="false">
      <c r="A2780" s="54" t="n">
        <v>20260711</v>
      </c>
      <c r="B2780" s="54" t="s">
        <v>289</v>
      </c>
      <c r="C2780" s="54" t="s">
        <v>290</v>
      </c>
      <c r="D2780" s="54" t="s">
        <v>3157</v>
      </c>
      <c r="E2780" s="54" t="s">
        <v>3158</v>
      </c>
      <c r="F2780" s="54" t="s">
        <v>5717</v>
      </c>
      <c r="G2780" s="54" t="s">
        <v>5454</v>
      </c>
      <c r="H2780" s="54" t="n">
        <v>21678</v>
      </c>
      <c r="I2780" s="54" t="s">
        <v>360</v>
      </c>
      <c r="J2780" s="54" t="s">
        <v>569</v>
      </c>
    </row>
    <row r="2781" customFormat="false" ht="15" hidden="false" customHeight="true" outlineLevel="0" collapsed="false">
      <c r="A2781" s="54" t="n">
        <v>20260711</v>
      </c>
      <c r="B2781" s="54" t="s">
        <v>289</v>
      </c>
      <c r="C2781" s="54" t="s">
        <v>290</v>
      </c>
      <c r="D2781" s="54" t="s">
        <v>3157</v>
      </c>
      <c r="E2781" s="54" t="s">
        <v>3158</v>
      </c>
      <c r="F2781" s="54" t="s">
        <v>5717</v>
      </c>
      <c r="G2781" s="54" t="s">
        <v>5454</v>
      </c>
      <c r="H2781" s="54" t="n">
        <v>21678</v>
      </c>
      <c r="I2781" s="54" t="s">
        <v>295</v>
      </c>
      <c r="J2781" s="54" t="s">
        <v>569</v>
      </c>
    </row>
    <row r="2782" customFormat="false" ht="15" hidden="false" customHeight="true" outlineLevel="0" collapsed="false">
      <c r="A2782" s="54" t="n">
        <v>20260711</v>
      </c>
      <c r="B2782" s="54" t="s">
        <v>168</v>
      </c>
      <c r="C2782" s="54" t="s">
        <v>290</v>
      </c>
      <c r="D2782" s="54" t="s">
        <v>3174</v>
      </c>
      <c r="E2782" s="54" t="s">
        <v>3175</v>
      </c>
      <c r="F2782" s="54" t="s">
        <v>6076</v>
      </c>
      <c r="G2782" s="54" t="s">
        <v>6077</v>
      </c>
      <c r="H2782" s="54" t="n">
        <v>16800</v>
      </c>
      <c r="I2782" s="54" t="s">
        <v>295</v>
      </c>
      <c r="J2782" s="54" t="s">
        <v>818</v>
      </c>
    </row>
    <row r="2783" customFormat="false" ht="15" hidden="false" customHeight="true" outlineLevel="0" collapsed="false">
      <c r="A2783" s="54" t="n">
        <v>20260711</v>
      </c>
      <c r="B2783" s="54" t="s">
        <v>168</v>
      </c>
      <c r="C2783" s="54" t="s">
        <v>290</v>
      </c>
      <c r="D2783" s="54" t="s">
        <v>3174</v>
      </c>
      <c r="E2783" s="54" t="s">
        <v>3175</v>
      </c>
      <c r="F2783" s="54" t="s">
        <v>6078</v>
      </c>
      <c r="G2783" s="54" t="s">
        <v>6079</v>
      </c>
      <c r="H2783" s="54" t="n">
        <v>10844</v>
      </c>
      <c r="I2783" s="54" t="s">
        <v>295</v>
      </c>
      <c r="J2783" s="54" t="s">
        <v>818</v>
      </c>
    </row>
    <row r="2784" customFormat="false" ht="15" hidden="false" customHeight="true" outlineLevel="0" collapsed="false">
      <c r="A2784" s="54" t="n">
        <v>20260711</v>
      </c>
      <c r="B2784" s="54" t="s">
        <v>289</v>
      </c>
      <c r="C2784" s="54" t="s">
        <v>290</v>
      </c>
      <c r="D2784" s="54" t="s">
        <v>3187</v>
      </c>
      <c r="E2784" s="54" t="s">
        <v>3188</v>
      </c>
      <c r="F2784" s="54" t="s">
        <v>6080</v>
      </c>
      <c r="G2784" s="54" t="s">
        <v>6081</v>
      </c>
      <c r="H2784" s="54" t="n">
        <v>27700</v>
      </c>
      <c r="I2784" s="54" t="s">
        <v>295</v>
      </c>
      <c r="J2784" s="54" t="s">
        <v>303</v>
      </c>
    </row>
    <row r="2785" customFormat="false" ht="15" hidden="false" customHeight="true" outlineLevel="0" collapsed="false">
      <c r="A2785" s="54" t="n">
        <v>20260711</v>
      </c>
      <c r="B2785" s="54" t="s">
        <v>289</v>
      </c>
      <c r="C2785" s="54" t="s">
        <v>290</v>
      </c>
      <c r="D2785" s="54" t="s">
        <v>3187</v>
      </c>
      <c r="E2785" s="54" t="s">
        <v>3188</v>
      </c>
      <c r="F2785" s="54" t="s">
        <v>6082</v>
      </c>
      <c r="G2785" s="54" t="s">
        <v>6083</v>
      </c>
      <c r="H2785" s="54" t="n">
        <v>7441</v>
      </c>
      <c r="I2785" s="54" t="s">
        <v>295</v>
      </c>
      <c r="J2785" s="54" t="s">
        <v>303</v>
      </c>
    </row>
    <row r="2786" customFormat="false" ht="15" hidden="false" customHeight="true" outlineLevel="0" collapsed="false">
      <c r="A2786" s="54" t="n">
        <v>20260711</v>
      </c>
      <c r="B2786" s="54" t="s">
        <v>168</v>
      </c>
      <c r="C2786" s="54" t="s">
        <v>290</v>
      </c>
      <c r="D2786" s="54" t="s">
        <v>6084</v>
      </c>
      <c r="E2786" s="54" t="s">
        <v>6085</v>
      </c>
      <c r="F2786" s="54" t="s">
        <v>6086</v>
      </c>
      <c r="G2786" s="54" t="s">
        <v>6087</v>
      </c>
      <c r="H2786" s="54" t="n">
        <v>14611</v>
      </c>
      <c r="I2786" s="54" t="s">
        <v>295</v>
      </c>
      <c r="J2786" s="54" t="s">
        <v>818</v>
      </c>
    </row>
    <row r="2787" customFormat="false" ht="15" hidden="false" customHeight="true" outlineLevel="0" collapsed="false">
      <c r="A2787" s="54" t="n">
        <v>20260711</v>
      </c>
      <c r="B2787" s="54" t="s">
        <v>168</v>
      </c>
      <c r="C2787" s="54" t="s">
        <v>290</v>
      </c>
      <c r="D2787" s="54" t="s">
        <v>6084</v>
      </c>
      <c r="E2787" s="54" t="s">
        <v>6085</v>
      </c>
      <c r="F2787" s="54" t="s">
        <v>6088</v>
      </c>
      <c r="G2787" s="54" t="s">
        <v>5257</v>
      </c>
      <c r="H2787" s="54" t="n">
        <v>12354</v>
      </c>
      <c r="I2787" s="54" t="s">
        <v>295</v>
      </c>
      <c r="J2787" s="54" t="s">
        <v>818</v>
      </c>
    </row>
    <row r="2788" customFormat="false" ht="15" hidden="false" customHeight="true" outlineLevel="0" collapsed="false">
      <c r="A2788" s="54" t="n">
        <v>20260711</v>
      </c>
      <c r="B2788" s="54" t="s">
        <v>306</v>
      </c>
      <c r="C2788" s="54" t="s">
        <v>307</v>
      </c>
      <c r="D2788" s="54" t="s">
        <v>3227</v>
      </c>
      <c r="E2788" s="54" t="s">
        <v>3228</v>
      </c>
      <c r="F2788" s="54" t="s">
        <v>6089</v>
      </c>
      <c r="G2788" s="54" t="s">
        <v>6090</v>
      </c>
      <c r="H2788" s="54" t="n">
        <v>5063</v>
      </c>
      <c r="I2788" s="54" t="s">
        <v>295</v>
      </c>
      <c r="J2788" s="54" t="s">
        <v>2347</v>
      </c>
    </row>
    <row r="2789" customFormat="false" ht="15" hidden="false" customHeight="true" outlineLevel="0" collapsed="false">
      <c r="A2789" s="54" t="n">
        <v>20260711</v>
      </c>
      <c r="B2789" s="54" t="s">
        <v>306</v>
      </c>
      <c r="C2789" s="54" t="s">
        <v>307</v>
      </c>
      <c r="D2789" s="54" t="s">
        <v>3227</v>
      </c>
      <c r="E2789" s="54" t="s">
        <v>3228</v>
      </c>
      <c r="F2789" s="54" t="s">
        <v>6091</v>
      </c>
      <c r="G2789" s="54" t="s">
        <v>5833</v>
      </c>
      <c r="H2789" s="54" t="n">
        <v>11418</v>
      </c>
      <c r="I2789" s="54" t="s">
        <v>295</v>
      </c>
      <c r="J2789" s="54" t="s">
        <v>2347</v>
      </c>
    </row>
    <row r="2790" customFormat="false" ht="15" hidden="false" customHeight="true" outlineLevel="0" collapsed="false">
      <c r="A2790" s="54" t="n">
        <v>20260711</v>
      </c>
      <c r="B2790" s="54" t="s">
        <v>306</v>
      </c>
      <c r="C2790" s="54" t="s">
        <v>307</v>
      </c>
      <c r="D2790" s="54" t="s">
        <v>388</v>
      </c>
      <c r="E2790" s="54" t="s">
        <v>389</v>
      </c>
      <c r="F2790" s="54" t="s">
        <v>6092</v>
      </c>
      <c r="G2790" s="54" t="s">
        <v>6022</v>
      </c>
      <c r="H2790" s="54" t="n">
        <v>10265</v>
      </c>
      <c r="I2790" s="54" t="s">
        <v>295</v>
      </c>
      <c r="J2790" s="54" t="s">
        <v>392</v>
      </c>
    </row>
    <row r="2791" customFormat="false" ht="15" hidden="false" customHeight="true" outlineLevel="0" collapsed="false">
      <c r="A2791" s="54" t="n">
        <v>20260711</v>
      </c>
      <c r="B2791" s="54" t="s">
        <v>306</v>
      </c>
      <c r="C2791" s="54" t="s">
        <v>307</v>
      </c>
      <c r="D2791" s="54" t="s">
        <v>388</v>
      </c>
      <c r="E2791" s="54" t="s">
        <v>389</v>
      </c>
      <c r="F2791" s="54" t="s">
        <v>6092</v>
      </c>
      <c r="G2791" s="54" t="s">
        <v>6093</v>
      </c>
      <c r="H2791" s="54" t="n">
        <v>10267</v>
      </c>
      <c r="I2791" s="54" t="s">
        <v>315</v>
      </c>
      <c r="J2791" s="54" t="s">
        <v>392</v>
      </c>
    </row>
    <row r="2792" customFormat="false" ht="15" hidden="false" customHeight="true" outlineLevel="0" collapsed="false">
      <c r="A2792" s="54" t="n">
        <v>20260711</v>
      </c>
      <c r="B2792" s="54" t="s">
        <v>306</v>
      </c>
      <c r="C2792" s="54" t="s">
        <v>307</v>
      </c>
      <c r="D2792" s="54" t="s">
        <v>388</v>
      </c>
      <c r="E2792" s="54" t="s">
        <v>389</v>
      </c>
      <c r="F2792" s="54" t="s">
        <v>6094</v>
      </c>
      <c r="G2792" s="54" t="s">
        <v>6095</v>
      </c>
      <c r="H2792" s="54" t="n">
        <v>21911</v>
      </c>
      <c r="I2792" s="54" t="s">
        <v>295</v>
      </c>
      <c r="J2792" s="54" t="s">
        <v>392</v>
      </c>
    </row>
    <row r="2793" customFormat="false" ht="15" hidden="false" customHeight="true" outlineLevel="0" collapsed="false">
      <c r="A2793" s="54" t="n">
        <v>20260711</v>
      </c>
      <c r="B2793" s="54" t="s">
        <v>306</v>
      </c>
      <c r="C2793" s="54" t="s">
        <v>307</v>
      </c>
      <c r="D2793" s="54" t="s">
        <v>388</v>
      </c>
      <c r="E2793" s="54" t="s">
        <v>389</v>
      </c>
      <c r="F2793" s="54" t="s">
        <v>6096</v>
      </c>
      <c r="G2793" s="54" t="s">
        <v>6097</v>
      </c>
      <c r="H2793" s="54" t="n">
        <v>21912</v>
      </c>
      <c r="I2793" s="54" t="s">
        <v>315</v>
      </c>
      <c r="J2793" s="54" t="s">
        <v>392</v>
      </c>
    </row>
    <row r="2794" customFormat="false" ht="15" hidden="false" customHeight="true" outlineLevel="0" collapsed="false">
      <c r="A2794" s="54" t="n">
        <v>20260711</v>
      </c>
      <c r="B2794" s="54" t="s">
        <v>306</v>
      </c>
      <c r="C2794" s="54" t="s">
        <v>307</v>
      </c>
      <c r="D2794" s="54" t="s">
        <v>3248</v>
      </c>
      <c r="E2794" s="54" t="s">
        <v>3249</v>
      </c>
      <c r="F2794" s="54" t="s">
        <v>5566</v>
      </c>
      <c r="G2794" s="54" t="s">
        <v>6098</v>
      </c>
      <c r="H2794" s="54" t="n">
        <v>16803</v>
      </c>
      <c r="I2794" s="54" t="s">
        <v>295</v>
      </c>
      <c r="J2794" s="54" t="s">
        <v>312</v>
      </c>
    </row>
    <row r="2795" customFormat="false" ht="15" hidden="false" customHeight="true" outlineLevel="0" collapsed="false">
      <c r="A2795" s="54" t="n">
        <v>20260711</v>
      </c>
      <c r="B2795" s="54" t="s">
        <v>306</v>
      </c>
      <c r="C2795" s="54" t="s">
        <v>307</v>
      </c>
      <c r="D2795" s="54" t="s">
        <v>3248</v>
      </c>
      <c r="E2795" s="54" t="s">
        <v>3249</v>
      </c>
      <c r="F2795" s="54" t="s">
        <v>6099</v>
      </c>
      <c r="G2795" s="54" t="s">
        <v>5516</v>
      </c>
      <c r="H2795" s="54" t="n">
        <v>4810</v>
      </c>
      <c r="I2795" s="54" t="s">
        <v>295</v>
      </c>
      <c r="J2795" s="54" t="s">
        <v>312</v>
      </c>
    </row>
    <row r="2796" customFormat="false" ht="15" hidden="false" customHeight="true" outlineLevel="0" collapsed="false">
      <c r="A2796" s="54" t="n">
        <v>20260711</v>
      </c>
      <c r="B2796" s="54" t="s">
        <v>306</v>
      </c>
      <c r="C2796" s="54" t="s">
        <v>307</v>
      </c>
      <c r="D2796" s="54" t="s">
        <v>3262</v>
      </c>
      <c r="E2796" s="54" t="s">
        <v>3263</v>
      </c>
      <c r="F2796" s="54" t="s">
        <v>6100</v>
      </c>
      <c r="G2796" s="54" t="s">
        <v>6101</v>
      </c>
      <c r="H2796" s="54" t="n">
        <v>400</v>
      </c>
      <c r="I2796" s="54" t="s">
        <v>295</v>
      </c>
      <c r="J2796" s="54" t="s">
        <v>312</v>
      </c>
    </row>
    <row r="2797" customFormat="false" ht="15" hidden="false" customHeight="true" outlineLevel="0" collapsed="false">
      <c r="A2797" s="54" t="n">
        <v>20260711</v>
      </c>
      <c r="B2797" s="54" t="s">
        <v>306</v>
      </c>
      <c r="C2797" s="54" t="s">
        <v>307</v>
      </c>
      <c r="D2797" s="54" t="s">
        <v>3262</v>
      </c>
      <c r="E2797" s="54" t="s">
        <v>3263</v>
      </c>
      <c r="F2797" s="54" t="s">
        <v>6102</v>
      </c>
      <c r="G2797" s="54" t="s">
        <v>6103</v>
      </c>
      <c r="H2797" s="54" t="n">
        <v>21886</v>
      </c>
      <c r="I2797" s="54" t="s">
        <v>295</v>
      </c>
      <c r="J2797" s="54" t="s">
        <v>312</v>
      </c>
    </row>
    <row r="2798" customFormat="false" ht="15" hidden="false" customHeight="true" outlineLevel="0" collapsed="false">
      <c r="A2798" s="54" t="n">
        <v>20260711</v>
      </c>
      <c r="B2798" s="54" t="s">
        <v>306</v>
      </c>
      <c r="C2798" s="54" t="s">
        <v>307</v>
      </c>
      <c r="D2798" s="54" t="s">
        <v>3262</v>
      </c>
      <c r="E2798" s="54" t="s">
        <v>3263</v>
      </c>
      <c r="F2798" s="54" t="s">
        <v>6104</v>
      </c>
      <c r="G2798" s="54" t="s">
        <v>6105</v>
      </c>
      <c r="H2798" s="54" t="n">
        <v>13</v>
      </c>
      <c r="I2798" s="54" t="s">
        <v>295</v>
      </c>
      <c r="J2798" s="54" t="s">
        <v>312</v>
      </c>
    </row>
    <row r="2799" customFormat="false" ht="15" hidden="false" customHeight="true" outlineLevel="0" collapsed="false">
      <c r="A2799" s="54" t="n">
        <v>20260711</v>
      </c>
      <c r="B2799" s="54" t="s">
        <v>306</v>
      </c>
      <c r="C2799" s="54" t="s">
        <v>307</v>
      </c>
      <c r="D2799" s="54" t="s">
        <v>3280</v>
      </c>
      <c r="E2799" s="54" t="s">
        <v>3281</v>
      </c>
      <c r="F2799" s="54" t="s">
        <v>6106</v>
      </c>
      <c r="G2799" s="54" t="s">
        <v>5445</v>
      </c>
      <c r="H2799" s="54" t="n">
        <v>21621</v>
      </c>
      <c r="I2799" s="54" t="s">
        <v>295</v>
      </c>
      <c r="J2799" s="54" t="s">
        <v>312</v>
      </c>
    </row>
    <row r="2800" customFormat="false" ht="15" hidden="false" customHeight="true" outlineLevel="0" collapsed="false">
      <c r="A2800" s="54" t="n">
        <v>20260711</v>
      </c>
      <c r="B2800" s="54" t="s">
        <v>168</v>
      </c>
      <c r="C2800" s="54" t="s">
        <v>290</v>
      </c>
      <c r="D2800" s="54" t="s">
        <v>6107</v>
      </c>
      <c r="E2800" s="54" t="s">
        <v>6108</v>
      </c>
      <c r="F2800" s="54" t="s">
        <v>6109</v>
      </c>
      <c r="G2800" s="54" t="s">
        <v>6110</v>
      </c>
      <c r="H2800" s="54" t="n">
        <v>18237</v>
      </c>
      <c r="I2800" s="54" t="s">
        <v>295</v>
      </c>
      <c r="J2800" s="54" t="s">
        <v>818</v>
      </c>
    </row>
    <row r="2801" customFormat="false" ht="15" hidden="false" customHeight="true" outlineLevel="0" collapsed="false">
      <c r="A2801" s="54" t="n">
        <v>20260711</v>
      </c>
      <c r="B2801" s="54" t="s">
        <v>168</v>
      </c>
      <c r="C2801" s="54" t="s">
        <v>290</v>
      </c>
      <c r="D2801" s="54" t="s">
        <v>6107</v>
      </c>
      <c r="E2801" s="54" t="s">
        <v>6108</v>
      </c>
      <c r="F2801" s="54" t="s">
        <v>6111</v>
      </c>
      <c r="G2801" s="54" t="s">
        <v>6112</v>
      </c>
      <c r="H2801" s="54" t="n">
        <v>9106</v>
      </c>
      <c r="I2801" s="54" t="s">
        <v>295</v>
      </c>
      <c r="J2801" s="54" t="s">
        <v>818</v>
      </c>
    </row>
    <row r="2802" customFormat="false" ht="15" hidden="false" customHeight="true" outlineLevel="0" collapsed="false">
      <c r="A2802" s="54" t="n">
        <v>20260711</v>
      </c>
      <c r="B2802" s="54" t="s">
        <v>306</v>
      </c>
      <c r="C2802" s="54" t="s">
        <v>290</v>
      </c>
      <c r="D2802" s="54" t="s">
        <v>3309</v>
      </c>
      <c r="E2802" s="54" t="s">
        <v>3310</v>
      </c>
      <c r="F2802" s="54" t="s">
        <v>6113</v>
      </c>
      <c r="G2802" s="54" t="s">
        <v>6114</v>
      </c>
      <c r="H2802" s="54" t="n">
        <v>21621</v>
      </c>
      <c r="I2802" s="54" t="s">
        <v>295</v>
      </c>
      <c r="J2802" s="54" t="s">
        <v>989</v>
      </c>
    </row>
    <row r="2803" customFormat="false" ht="15" hidden="false" customHeight="true" outlineLevel="0" collapsed="false">
      <c r="A2803" s="54" t="n">
        <v>20260711</v>
      </c>
      <c r="B2803" s="54" t="s">
        <v>289</v>
      </c>
      <c r="C2803" s="54" t="s">
        <v>290</v>
      </c>
      <c r="D2803" s="54" t="s">
        <v>3321</v>
      </c>
      <c r="E2803" s="54" t="s">
        <v>3322</v>
      </c>
      <c r="F2803" s="54" t="s">
        <v>5893</v>
      </c>
      <c r="G2803" s="54" t="s">
        <v>6115</v>
      </c>
      <c r="H2803" s="54" t="n">
        <v>14656</v>
      </c>
      <c r="I2803" s="54" t="s">
        <v>295</v>
      </c>
      <c r="J2803" s="54" t="s">
        <v>439</v>
      </c>
    </row>
    <row r="2804" customFormat="false" ht="15" hidden="false" customHeight="true" outlineLevel="0" collapsed="false">
      <c r="A2804" s="54" t="n">
        <v>20260711</v>
      </c>
      <c r="B2804" s="54" t="s">
        <v>289</v>
      </c>
      <c r="C2804" s="54" t="s">
        <v>290</v>
      </c>
      <c r="D2804" s="54" t="s">
        <v>3321</v>
      </c>
      <c r="E2804" s="54" t="s">
        <v>3322</v>
      </c>
      <c r="F2804" s="54" t="s">
        <v>6116</v>
      </c>
      <c r="G2804" s="54" t="s">
        <v>6117</v>
      </c>
      <c r="H2804" s="54" t="n">
        <v>215</v>
      </c>
      <c r="I2804" s="54" t="s">
        <v>295</v>
      </c>
      <c r="J2804" s="54" t="s">
        <v>439</v>
      </c>
    </row>
    <row r="2805" customFormat="false" ht="15" hidden="false" customHeight="true" outlineLevel="0" collapsed="false">
      <c r="A2805" s="54" t="n">
        <v>20260711</v>
      </c>
      <c r="B2805" s="54" t="s">
        <v>289</v>
      </c>
      <c r="C2805" s="54" t="s">
        <v>290</v>
      </c>
      <c r="D2805" s="54" t="s">
        <v>3321</v>
      </c>
      <c r="E2805" s="54" t="s">
        <v>3322</v>
      </c>
      <c r="F2805" s="54" t="s">
        <v>6118</v>
      </c>
      <c r="G2805" s="54" t="s">
        <v>6119</v>
      </c>
      <c r="H2805" s="54" t="n">
        <v>14089</v>
      </c>
      <c r="I2805" s="54" t="s">
        <v>295</v>
      </c>
      <c r="J2805" s="54" t="s">
        <v>439</v>
      </c>
    </row>
    <row r="2806" customFormat="false" ht="15" hidden="false" customHeight="true" outlineLevel="0" collapsed="false">
      <c r="A2806" s="54" t="n">
        <v>20260711</v>
      </c>
      <c r="B2806" s="54" t="s">
        <v>306</v>
      </c>
      <c r="C2806" s="54" t="s">
        <v>290</v>
      </c>
      <c r="D2806" s="54" t="s">
        <v>3362</v>
      </c>
      <c r="E2806" s="54" t="s">
        <v>3363</v>
      </c>
      <c r="F2806" s="54" t="s">
        <v>6120</v>
      </c>
      <c r="G2806" s="54" t="s">
        <v>6121</v>
      </c>
      <c r="H2806" s="54" t="n">
        <v>27079</v>
      </c>
      <c r="I2806" s="54" t="s">
        <v>295</v>
      </c>
      <c r="J2806" s="54" t="s">
        <v>658</v>
      </c>
    </row>
    <row r="2807" customFormat="false" ht="15" hidden="false" customHeight="true" outlineLevel="0" collapsed="false">
      <c r="A2807" s="54" t="n">
        <v>20260711</v>
      </c>
      <c r="B2807" s="54" t="s">
        <v>289</v>
      </c>
      <c r="C2807" s="54" t="s">
        <v>290</v>
      </c>
      <c r="D2807" s="54" t="s">
        <v>3367</v>
      </c>
      <c r="E2807" s="54" t="s">
        <v>3368</v>
      </c>
      <c r="F2807" s="54" t="s">
        <v>5436</v>
      </c>
      <c r="G2807" s="54" t="s">
        <v>6122</v>
      </c>
      <c r="H2807" s="54" t="n">
        <v>16509</v>
      </c>
      <c r="I2807" s="54" t="s">
        <v>295</v>
      </c>
      <c r="J2807" s="54" t="s">
        <v>459</v>
      </c>
    </row>
    <row r="2808" customFormat="false" ht="15" hidden="false" customHeight="true" outlineLevel="0" collapsed="false">
      <c r="A2808" s="54" t="n">
        <v>20260711</v>
      </c>
      <c r="B2808" s="54" t="s">
        <v>289</v>
      </c>
      <c r="C2808" s="54" t="s">
        <v>290</v>
      </c>
      <c r="D2808" s="54" t="s">
        <v>3367</v>
      </c>
      <c r="E2808" s="54" t="s">
        <v>3368</v>
      </c>
      <c r="F2808" s="54" t="s">
        <v>6123</v>
      </c>
      <c r="G2808" s="54" t="s">
        <v>6124</v>
      </c>
      <c r="H2808" s="54" t="n">
        <v>12671</v>
      </c>
      <c r="I2808" s="54" t="s">
        <v>295</v>
      </c>
      <c r="J2808" s="54" t="s">
        <v>459</v>
      </c>
    </row>
    <row r="2809" customFormat="false" ht="15" hidden="false" customHeight="true" outlineLevel="0" collapsed="false">
      <c r="A2809" s="54" t="n">
        <v>20260711</v>
      </c>
      <c r="B2809" s="54" t="s">
        <v>168</v>
      </c>
      <c r="C2809" s="54" t="s">
        <v>290</v>
      </c>
      <c r="D2809" s="54" t="s">
        <v>3370</v>
      </c>
      <c r="E2809" s="54" t="s">
        <v>3371</v>
      </c>
      <c r="F2809" s="54" t="s">
        <v>6125</v>
      </c>
      <c r="G2809" s="54" t="s">
        <v>6126</v>
      </c>
      <c r="H2809" s="54" t="n">
        <v>16493</v>
      </c>
      <c r="I2809" s="54" t="s">
        <v>295</v>
      </c>
      <c r="J2809" s="54" t="s">
        <v>516</v>
      </c>
    </row>
    <row r="2810" customFormat="false" ht="15" hidden="false" customHeight="true" outlineLevel="0" collapsed="false">
      <c r="A2810" s="54" t="n">
        <v>20260711</v>
      </c>
      <c r="B2810" s="54" t="s">
        <v>168</v>
      </c>
      <c r="C2810" s="54" t="s">
        <v>290</v>
      </c>
      <c r="D2810" s="54" t="s">
        <v>3370</v>
      </c>
      <c r="E2810" s="54" t="s">
        <v>3371</v>
      </c>
      <c r="F2810" s="54" t="s">
        <v>6127</v>
      </c>
      <c r="G2810" s="54" t="s">
        <v>5220</v>
      </c>
      <c r="H2810" s="54" t="n">
        <v>10839</v>
      </c>
      <c r="I2810" s="54" t="s">
        <v>295</v>
      </c>
      <c r="J2810" s="54" t="s">
        <v>516</v>
      </c>
    </row>
    <row r="2811" customFormat="false" ht="15" hidden="false" customHeight="true" outlineLevel="0" collapsed="false">
      <c r="A2811" s="54" t="n">
        <v>20260711</v>
      </c>
      <c r="B2811" s="54" t="s">
        <v>306</v>
      </c>
      <c r="C2811" s="54" t="s">
        <v>290</v>
      </c>
      <c r="D2811" s="54" t="s">
        <v>3378</v>
      </c>
      <c r="E2811" s="54" t="s">
        <v>3379</v>
      </c>
      <c r="F2811" s="54" t="s">
        <v>6128</v>
      </c>
      <c r="G2811" s="54" t="s">
        <v>5460</v>
      </c>
      <c r="H2811" s="54" t="n">
        <v>28800</v>
      </c>
      <c r="I2811" s="54" t="s">
        <v>295</v>
      </c>
      <c r="J2811" s="54" t="s">
        <v>989</v>
      </c>
    </row>
    <row r="2812" customFormat="false" ht="15" hidden="false" customHeight="true" outlineLevel="0" collapsed="false">
      <c r="A2812" s="54" t="n">
        <v>20260711</v>
      </c>
      <c r="B2812" s="54" t="s">
        <v>306</v>
      </c>
      <c r="C2812" s="54" t="s">
        <v>290</v>
      </c>
      <c r="D2812" s="54" t="s">
        <v>3410</v>
      </c>
      <c r="E2812" s="54" t="s">
        <v>3411</v>
      </c>
      <c r="F2812" s="54" t="s">
        <v>6129</v>
      </c>
      <c r="G2812" s="54" t="s">
        <v>6130</v>
      </c>
      <c r="H2812" s="54" t="n">
        <v>16691</v>
      </c>
      <c r="I2812" s="54" t="s">
        <v>295</v>
      </c>
      <c r="J2812" s="54" t="s">
        <v>473</v>
      </c>
    </row>
    <row r="2813" customFormat="false" ht="15" hidden="false" customHeight="true" outlineLevel="0" collapsed="false">
      <c r="A2813" s="54" t="n">
        <v>20260711</v>
      </c>
      <c r="B2813" s="54" t="s">
        <v>306</v>
      </c>
      <c r="C2813" s="54" t="s">
        <v>290</v>
      </c>
      <c r="D2813" s="54" t="s">
        <v>3410</v>
      </c>
      <c r="E2813" s="54" t="s">
        <v>3411</v>
      </c>
      <c r="F2813" s="54" t="s">
        <v>6129</v>
      </c>
      <c r="G2813" s="54" t="s">
        <v>6131</v>
      </c>
      <c r="H2813" s="54" t="n">
        <v>16692</v>
      </c>
      <c r="I2813" s="54" t="s">
        <v>315</v>
      </c>
      <c r="J2813" s="54" t="s">
        <v>473</v>
      </c>
    </row>
    <row r="2814" customFormat="false" ht="15" hidden="false" customHeight="true" outlineLevel="0" collapsed="false">
      <c r="A2814" s="54" t="n">
        <v>20260711</v>
      </c>
      <c r="B2814" s="54" t="s">
        <v>306</v>
      </c>
      <c r="C2814" s="54" t="s">
        <v>290</v>
      </c>
      <c r="D2814" s="54" t="s">
        <v>3410</v>
      </c>
      <c r="E2814" s="54" t="s">
        <v>3411</v>
      </c>
      <c r="F2814" s="54" t="s">
        <v>6132</v>
      </c>
      <c r="G2814" s="54" t="s">
        <v>6133</v>
      </c>
      <c r="H2814" s="54" t="n">
        <v>2274</v>
      </c>
      <c r="I2814" s="54" t="s">
        <v>295</v>
      </c>
      <c r="J2814" s="54" t="s">
        <v>473</v>
      </c>
    </row>
    <row r="2815" customFormat="false" ht="15" hidden="false" customHeight="true" outlineLevel="0" collapsed="false">
      <c r="A2815" s="54" t="n">
        <v>20260711</v>
      </c>
      <c r="B2815" s="54" t="s">
        <v>306</v>
      </c>
      <c r="C2815" s="54" t="s">
        <v>290</v>
      </c>
      <c r="D2815" s="54" t="s">
        <v>3410</v>
      </c>
      <c r="E2815" s="54" t="s">
        <v>3411</v>
      </c>
      <c r="F2815" s="54" t="s">
        <v>6134</v>
      </c>
      <c r="G2815" s="54" t="s">
        <v>6135</v>
      </c>
      <c r="H2815" s="54" t="n">
        <v>2274</v>
      </c>
      <c r="I2815" s="54" t="s">
        <v>315</v>
      </c>
      <c r="J2815" s="54" t="s">
        <v>473</v>
      </c>
    </row>
    <row r="2816" customFormat="false" ht="15" hidden="false" customHeight="true" outlineLevel="0" collapsed="false">
      <c r="A2816" s="54" t="n">
        <v>20260711</v>
      </c>
      <c r="B2816" s="54" t="s">
        <v>306</v>
      </c>
      <c r="C2816" s="54" t="s">
        <v>290</v>
      </c>
      <c r="D2816" s="54" t="s">
        <v>3410</v>
      </c>
      <c r="E2816" s="54" t="s">
        <v>3411</v>
      </c>
      <c r="F2816" s="54" t="s">
        <v>6136</v>
      </c>
      <c r="G2816" s="54" t="s">
        <v>6137</v>
      </c>
      <c r="H2816" s="54" t="n">
        <v>1837</v>
      </c>
      <c r="I2816" s="54" t="s">
        <v>315</v>
      </c>
      <c r="J2816" s="54" t="s">
        <v>473</v>
      </c>
    </row>
    <row r="2817" customFormat="false" ht="15" hidden="false" customHeight="true" outlineLevel="0" collapsed="false">
      <c r="A2817" s="54" t="n">
        <v>20260711</v>
      </c>
      <c r="B2817" s="54" t="s">
        <v>306</v>
      </c>
      <c r="C2817" s="54" t="s">
        <v>290</v>
      </c>
      <c r="D2817" s="54" t="s">
        <v>3410</v>
      </c>
      <c r="E2817" s="54" t="s">
        <v>3411</v>
      </c>
      <c r="F2817" s="54" t="s">
        <v>6136</v>
      </c>
      <c r="G2817" s="54" t="s">
        <v>6138</v>
      </c>
      <c r="H2817" s="54" t="n">
        <v>9946</v>
      </c>
      <c r="I2817" s="54" t="s">
        <v>295</v>
      </c>
      <c r="J2817" s="54" t="s">
        <v>473</v>
      </c>
    </row>
    <row r="2818" customFormat="false" ht="15" hidden="false" customHeight="true" outlineLevel="0" collapsed="false">
      <c r="A2818" s="54" t="n">
        <v>20260711</v>
      </c>
      <c r="B2818" s="54" t="s">
        <v>306</v>
      </c>
      <c r="C2818" s="54" t="s">
        <v>290</v>
      </c>
      <c r="D2818" s="54" t="s">
        <v>3410</v>
      </c>
      <c r="E2818" s="54" t="s">
        <v>3411</v>
      </c>
      <c r="F2818" s="54" t="s">
        <v>6139</v>
      </c>
      <c r="G2818" s="54" t="s">
        <v>6140</v>
      </c>
      <c r="H2818" s="54" t="n">
        <v>7981</v>
      </c>
      <c r="I2818" s="54" t="s">
        <v>315</v>
      </c>
      <c r="J2818" s="54" t="s">
        <v>473</v>
      </c>
    </row>
    <row r="2819" customFormat="false" ht="15" hidden="false" customHeight="true" outlineLevel="0" collapsed="false">
      <c r="A2819" s="54" t="n">
        <v>20260711</v>
      </c>
      <c r="B2819" s="54" t="s">
        <v>289</v>
      </c>
      <c r="C2819" s="54" t="s">
        <v>290</v>
      </c>
      <c r="D2819" s="54" t="s">
        <v>403</v>
      </c>
      <c r="E2819" s="54" t="s">
        <v>404</v>
      </c>
      <c r="F2819" s="54" t="s">
        <v>6141</v>
      </c>
      <c r="G2819" s="54" t="s">
        <v>6142</v>
      </c>
      <c r="H2819" s="54" t="n">
        <v>28800</v>
      </c>
      <c r="I2819" s="54" t="s">
        <v>360</v>
      </c>
      <c r="J2819" s="54" t="s">
        <v>407</v>
      </c>
    </row>
    <row r="2820" customFormat="false" ht="15" hidden="false" customHeight="true" outlineLevel="0" collapsed="false">
      <c r="A2820" s="54" t="n">
        <v>20260711</v>
      </c>
      <c r="B2820" s="54" t="s">
        <v>306</v>
      </c>
      <c r="C2820" s="54" t="s">
        <v>307</v>
      </c>
      <c r="D2820" s="54" t="s">
        <v>3449</v>
      </c>
      <c r="E2820" s="54" t="s">
        <v>3450</v>
      </c>
      <c r="F2820" s="54" t="s">
        <v>6143</v>
      </c>
      <c r="G2820" s="54" t="s">
        <v>6144</v>
      </c>
      <c r="H2820" s="54" t="n">
        <v>11</v>
      </c>
      <c r="I2820" s="54" t="s">
        <v>315</v>
      </c>
      <c r="J2820" s="54" t="s">
        <v>392</v>
      </c>
    </row>
    <row r="2821" customFormat="false" ht="15" hidden="false" customHeight="true" outlineLevel="0" collapsed="false">
      <c r="A2821" s="54" t="n">
        <v>20260711</v>
      </c>
      <c r="B2821" s="54" t="s">
        <v>306</v>
      </c>
      <c r="C2821" s="54" t="s">
        <v>307</v>
      </c>
      <c r="D2821" s="54" t="s">
        <v>3449</v>
      </c>
      <c r="E2821" s="54" t="s">
        <v>3450</v>
      </c>
      <c r="F2821" s="54" t="s">
        <v>6143</v>
      </c>
      <c r="G2821" s="54" t="s">
        <v>6144</v>
      </c>
      <c r="H2821" s="54" t="n">
        <v>11</v>
      </c>
      <c r="I2821" s="54" t="s">
        <v>295</v>
      </c>
      <c r="J2821" s="54" t="s">
        <v>392</v>
      </c>
    </row>
    <row r="2822" customFormat="false" ht="15" hidden="false" customHeight="true" outlineLevel="0" collapsed="false">
      <c r="A2822" s="54" t="n">
        <v>20260711</v>
      </c>
      <c r="B2822" s="54" t="s">
        <v>306</v>
      </c>
      <c r="C2822" s="54" t="s">
        <v>307</v>
      </c>
      <c r="D2822" s="54" t="s">
        <v>3449</v>
      </c>
      <c r="E2822" s="54" t="s">
        <v>3450</v>
      </c>
      <c r="F2822" s="54" t="s">
        <v>6145</v>
      </c>
      <c r="G2822" s="54" t="s">
        <v>5454</v>
      </c>
      <c r="H2822" s="54" t="n">
        <v>21152</v>
      </c>
      <c r="I2822" s="54" t="s">
        <v>315</v>
      </c>
      <c r="J2822" s="54" t="s">
        <v>392</v>
      </c>
    </row>
    <row r="2823" customFormat="false" ht="15" hidden="false" customHeight="true" outlineLevel="0" collapsed="false">
      <c r="A2823" s="54" t="n">
        <v>20260711</v>
      </c>
      <c r="B2823" s="54" t="s">
        <v>306</v>
      </c>
      <c r="C2823" s="54" t="s">
        <v>307</v>
      </c>
      <c r="D2823" s="54" t="s">
        <v>3449</v>
      </c>
      <c r="E2823" s="54" t="s">
        <v>3450</v>
      </c>
      <c r="F2823" s="54" t="s">
        <v>6145</v>
      </c>
      <c r="G2823" s="54" t="s">
        <v>5454</v>
      </c>
      <c r="H2823" s="54" t="n">
        <v>21152</v>
      </c>
      <c r="I2823" s="54" t="s">
        <v>295</v>
      </c>
      <c r="J2823" s="54" t="s">
        <v>392</v>
      </c>
    </row>
    <row r="2824" customFormat="false" ht="15" hidden="false" customHeight="true" outlineLevel="0" collapsed="false">
      <c r="A2824" s="54" t="n">
        <v>20260711</v>
      </c>
      <c r="B2824" s="54" t="s">
        <v>289</v>
      </c>
      <c r="C2824" s="54" t="s">
        <v>307</v>
      </c>
      <c r="D2824" s="54" t="s">
        <v>3457</v>
      </c>
      <c r="E2824" s="54" t="s">
        <v>3458</v>
      </c>
      <c r="F2824" s="54" t="s">
        <v>5825</v>
      </c>
      <c r="G2824" s="54" t="s">
        <v>6146</v>
      </c>
      <c r="H2824" s="54" t="n">
        <v>15854</v>
      </c>
      <c r="I2824" s="54" t="s">
        <v>295</v>
      </c>
      <c r="J2824" s="54" t="s">
        <v>1191</v>
      </c>
    </row>
    <row r="2825" customFormat="false" ht="15" hidden="false" customHeight="true" outlineLevel="0" collapsed="false">
      <c r="A2825" s="54" t="n">
        <v>20260711</v>
      </c>
      <c r="B2825" s="54" t="s">
        <v>289</v>
      </c>
      <c r="C2825" s="54" t="s">
        <v>307</v>
      </c>
      <c r="D2825" s="54" t="s">
        <v>3457</v>
      </c>
      <c r="E2825" s="54" t="s">
        <v>3458</v>
      </c>
      <c r="F2825" s="54" t="s">
        <v>6147</v>
      </c>
      <c r="G2825" s="54" t="s">
        <v>6148</v>
      </c>
      <c r="H2825" s="54" t="n">
        <v>13011</v>
      </c>
      <c r="I2825" s="54" t="s">
        <v>295</v>
      </c>
      <c r="J2825" s="54" t="s">
        <v>1191</v>
      </c>
    </row>
    <row r="2826" customFormat="false" ht="15" hidden="false" customHeight="true" outlineLevel="0" collapsed="false">
      <c r="A2826" s="54" t="n">
        <v>20260711</v>
      </c>
      <c r="B2826" s="54" t="s">
        <v>306</v>
      </c>
      <c r="C2826" s="54" t="s">
        <v>290</v>
      </c>
      <c r="D2826" s="54" t="s">
        <v>6149</v>
      </c>
      <c r="E2826" s="54" t="s">
        <v>6150</v>
      </c>
      <c r="F2826" s="54" t="s">
        <v>6151</v>
      </c>
      <c r="G2826" s="54" t="s">
        <v>6152</v>
      </c>
      <c r="H2826" s="54" t="n">
        <v>10394</v>
      </c>
      <c r="I2826" s="54" t="s">
        <v>295</v>
      </c>
      <c r="J2826" s="54" t="s">
        <v>352</v>
      </c>
    </row>
    <row r="2827" customFormat="false" ht="15" hidden="false" customHeight="true" outlineLevel="0" collapsed="false">
      <c r="A2827" s="54" t="n">
        <v>20260711</v>
      </c>
      <c r="B2827" s="54" t="s">
        <v>306</v>
      </c>
      <c r="C2827" s="54" t="s">
        <v>290</v>
      </c>
      <c r="D2827" s="54" t="s">
        <v>6149</v>
      </c>
      <c r="E2827" s="54" t="s">
        <v>6150</v>
      </c>
      <c r="F2827" s="54" t="s">
        <v>6153</v>
      </c>
      <c r="G2827" s="54" t="s">
        <v>6152</v>
      </c>
      <c r="H2827" s="54" t="n">
        <v>10393</v>
      </c>
      <c r="I2827" s="54" t="s">
        <v>315</v>
      </c>
      <c r="J2827" s="54" t="s">
        <v>352</v>
      </c>
    </row>
    <row r="2828" customFormat="false" ht="15" hidden="false" customHeight="true" outlineLevel="0" collapsed="false">
      <c r="A2828" s="54" t="n">
        <v>20260711</v>
      </c>
      <c r="B2828" s="54" t="s">
        <v>306</v>
      </c>
      <c r="C2828" s="54" t="s">
        <v>290</v>
      </c>
      <c r="D2828" s="54" t="s">
        <v>6149</v>
      </c>
      <c r="E2828" s="54" t="s">
        <v>6150</v>
      </c>
      <c r="F2828" s="54" t="s">
        <v>6154</v>
      </c>
      <c r="G2828" s="54" t="s">
        <v>6155</v>
      </c>
      <c r="H2828" s="54" t="n">
        <v>17417</v>
      </c>
      <c r="I2828" s="54" t="s">
        <v>315</v>
      </c>
      <c r="J2828" s="54" t="s">
        <v>352</v>
      </c>
    </row>
    <row r="2829" customFormat="false" ht="15" hidden="false" customHeight="true" outlineLevel="0" collapsed="false">
      <c r="A2829" s="54" t="n">
        <v>20260711</v>
      </c>
      <c r="B2829" s="54" t="s">
        <v>306</v>
      </c>
      <c r="C2829" s="54" t="s">
        <v>290</v>
      </c>
      <c r="D2829" s="54" t="s">
        <v>6149</v>
      </c>
      <c r="E2829" s="54" t="s">
        <v>6150</v>
      </c>
      <c r="F2829" s="54" t="s">
        <v>6154</v>
      </c>
      <c r="G2829" s="54" t="s">
        <v>6155</v>
      </c>
      <c r="H2829" s="54" t="n">
        <v>17417</v>
      </c>
      <c r="I2829" s="54" t="s">
        <v>295</v>
      </c>
      <c r="J2829" s="54" t="s">
        <v>352</v>
      </c>
    </row>
    <row r="2830" customFormat="false" ht="15" hidden="false" customHeight="true" outlineLevel="0" collapsed="false">
      <c r="A2830" s="54" t="n">
        <v>20260711</v>
      </c>
      <c r="B2830" s="54" t="s">
        <v>306</v>
      </c>
      <c r="C2830" s="54" t="s">
        <v>307</v>
      </c>
      <c r="D2830" s="54" t="s">
        <v>3496</v>
      </c>
      <c r="E2830" s="54" t="s">
        <v>3497</v>
      </c>
      <c r="F2830" s="54" t="s">
        <v>5682</v>
      </c>
      <c r="G2830" s="54" t="s">
        <v>6156</v>
      </c>
      <c r="H2830" s="54" t="n">
        <v>4185</v>
      </c>
      <c r="I2830" s="54" t="s">
        <v>295</v>
      </c>
      <c r="J2830" s="54" t="s">
        <v>392</v>
      </c>
    </row>
    <row r="2831" customFormat="false" ht="15" hidden="false" customHeight="true" outlineLevel="0" collapsed="false">
      <c r="A2831" s="54" t="n">
        <v>20260711</v>
      </c>
      <c r="B2831" s="54" t="s">
        <v>306</v>
      </c>
      <c r="C2831" s="54" t="s">
        <v>290</v>
      </c>
      <c r="D2831" s="54" t="s">
        <v>3511</v>
      </c>
      <c r="E2831" s="54" t="s">
        <v>3512</v>
      </c>
      <c r="F2831" s="54" t="s">
        <v>6157</v>
      </c>
      <c r="G2831" s="54" t="s">
        <v>6158</v>
      </c>
      <c r="H2831" s="54" t="n">
        <v>16646</v>
      </c>
      <c r="I2831" s="54" t="s">
        <v>295</v>
      </c>
      <c r="J2831" s="54" t="s">
        <v>989</v>
      </c>
    </row>
    <row r="2832" customFormat="false" ht="15" hidden="false" customHeight="true" outlineLevel="0" collapsed="false">
      <c r="A2832" s="54" t="n">
        <v>20260711</v>
      </c>
      <c r="B2832" s="54" t="s">
        <v>306</v>
      </c>
      <c r="C2832" s="54" t="s">
        <v>290</v>
      </c>
      <c r="D2832" s="54" t="s">
        <v>3511</v>
      </c>
      <c r="E2832" s="54" t="s">
        <v>3512</v>
      </c>
      <c r="F2832" s="54" t="s">
        <v>6159</v>
      </c>
      <c r="G2832" s="54" t="s">
        <v>6160</v>
      </c>
      <c r="H2832" s="54" t="n">
        <v>5165</v>
      </c>
      <c r="I2832" s="54" t="s">
        <v>295</v>
      </c>
      <c r="J2832" s="54" t="s">
        <v>989</v>
      </c>
    </row>
    <row r="2833" customFormat="false" ht="15" hidden="false" customHeight="true" outlineLevel="0" collapsed="false">
      <c r="A2833" s="54" t="n">
        <v>20260711</v>
      </c>
      <c r="B2833" s="54" t="s">
        <v>168</v>
      </c>
      <c r="C2833" s="54" t="s">
        <v>290</v>
      </c>
      <c r="D2833" s="54" t="s">
        <v>3515</v>
      </c>
      <c r="E2833" s="54" t="s">
        <v>3516</v>
      </c>
      <c r="F2833" s="54" t="s">
        <v>6161</v>
      </c>
      <c r="G2833" s="54" t="s">
        <v>6162</v>
      </c>
      <c r="H2833" s="54" t="n">
        <v>16894</v>
      </c>
      <c r="I2833" s="54" t="s">
        <v>295</v>
      </c>
      <c r="J2833" s="54" t="s">
        <v>516</v>
      </c>
    </row>
    <row r="2834" customFormat="false" ht="15" hidden="false" customHeight="true" outlineLevel="0" collapsed="false">
      <c r="A2834" s="54" t="n">
        <v>20260711</v>
      </c>
      <c r="B2834" s="54" t="s">
        <v>168</v>
      </c>
      <c r="C2834" s="54" t="s">
        <v>290</v>
      </c>
      <c r="D2834" s="54" t="s">
        <v>3515</v>
      </c>
      <c r="E2834" s="54" t="s">
        <v>3516</v>
      </c>
      <c r="F2834" s="54" t="s">
        <v>6163</v>
      </c>
      <c r="G2834" s="54" t="s">
        <v>6164</v>
      </c>
      <c r="H2834" s="54" t="n">
        <v>11053</v>
      </c>
      <c r="I2834" s="54" t="s">
        <v>295</v>
      </c>
      <c r="J2834" s="54" t="s">
        <v>516</v>
      </c>
    </row>
    <row r="2835" customFormat="false" ht="15" hidden="false" customHeight="true" outlineLevel="0" collapsed="false">
      <c r="A2835" s="54" t="n">
        <v>20260711</v>
      </c>
      <c r="B2835" s="54" t="s">
        <v>306</v>
      </c>
      <c r="C2835" s="54" t="s">
        <v>290</v>
      </c>
      <c r="D2835" s="54" t="s">
        <v>3562</v>
      </c>
      <c r="E2835" s="54" t="s">
        <v>3563</v>
      </c>
      <c r="F2835" s="54" t="s">
        <v>6165</v>
      </c>
      <c r="G2835" s="54" t="s">
        <v>6166</v>
      </c>
      <c r="H2835" s="54" t="n">
        <v>21968</v>
      </c>
      <c r="I2835" s="54" t="s">
        <v>295</v>
      </c>
      <c r="J2835" s="54" t="s">
        <v>1067</v>
      </c>
    </row>
    <row r="2836" customFormat="false" ht="15" hidden="false" customHeight="true" outlineLevel="0" collapsed="false">
      <c r="A2836" s="54" t="n">
        <v>20260711</v>
      </c>
      <c r="B2836" s="54" t="s">
        <v>289</v>
      </c>
      <c r="C2836" s="54" t="s">
        <v>290</v>
      </c>
      <c r="D2836" s="54" t="s">
        <v>3566</v>
      </c>
      <c r="E2836" s="54" t="s">
        <v>569</v>
      </c>
      <c r="F2836" s="54" t="s">
        <v>6167</v>
      </c>
      <c r="G2836" s="54" t="s">
        <v>6168</v>
      </c>
      <c r="H2836" s="54" t="n">
        <v>1431</v>
      </c>
      <c r="I2836" s="54" t="s">
        <v>295</v>
      </c>
      <c r="J2836" s="54" t="s">
        <v>3569</v>
      </c>
    </row>
    <row r="2837" customFormat="false" ht="15" hidden="false" customHeight="true" outlineLevel="0" collapsed="false">
      <c r="A2837" s="54" t="n">
        <v>20260711</v>
      </c>
      <c r="B2837" s="54" t="s">
        <v>289</v>
      </c>
      <c r="C2837" s="54" t="s">
        <v>290</v>
      </c>
      <c r="D2837" s="54" t="s">
        <v>3566</v>
      </c>
      <c r="E2837" s="54" t="s">
        <v>569</v>
      </c>
      <c r="F2837" s="54" t="s">
        <v>6169</v>
      </c>
      <c r="G2837" s="54" t="s">
        <v>6170</v>
      </c>
      <c r="H2837" s="54" t="n">
        <v>2354</v>
      </c>
      <c r="I2837" s="54" t="s">
        <v>295</v>
      </c>
      <c r="J2837" s="54" t="s">
        <v>3569</v>
      </c>
    </row>
    <row r="2838" customFormat="false" ht="15" hidden="false" customHeight="true" outlineLevel="0" collapsed="false">
      <c r="A2838" s="54" t="n">
        <v>20260711</v>
      </c>
      <c r="B2838" s="54" t="s">
        <v>688</v>
      </c>
      <c r="C2838" s="54" t="s">
        <v>290</v>
      </c>
      <c r="D2838" s="54" t="s">
        <v>3570</v>
      </c>
      <c r="E2838" s="54" t="s">
        <v>3571</v>
      </c>
      <c r="F2838" s="54" t="s">
        <v>6171</v>
      </c>
      <c r="G2838" s="54" t="s">
        <v>6172</v>
      </c>
      <c r="H2838" s="54" t="n">
        <v>18138</v>
      </c>
      <c r="I2838" s="54" t="s">
        <v>295</v>
      </c>
      <c r="J2838" s="54" t="s">
        <v>997</v>
      </c>
    </row>
    <row r="2839" customFormat="false" ht="15" hidden="false" customHeight="true" outlineLevel="0" collapsed="false">
      <c r="A2839" s="54" t="n">
        <v>20260711</v>
      </c>
      <c r="B2839" s="54" t="s">
        <v>688</v>
      </c>
      <c r="C2839" s="54" t="s">
        <v>290</v>
      </c>
      <c r="D2839" s="54" t="s">
        <v>3570</v>
      </c>
      <c r="E2839" s="54" t="s">
        <v>3571</v>
      </c>
      <c r="F2839" s="54" t="s">
        <v>6173</v>
      </c>
      <c r="G2839" s="54" t="s">
        <v>6174</v>
      </c>
      <c r="H2839" s="54" t="n">
        <v>4873</v>
      </c>
      <c r="I2839" s="54" t="s">
        <v>295</v>
      </c>
      <c r="J2839" s="54" t="s">
        <v>997</v>
      </c>
    </row>
    <row r="2840" customFormat="false" ht="15" hidden="false" customHeight="true" outlineLevel="0" collapsed="false">
      <c r="A2840" s="54" t="n">
        <v>20260711</v>
      </c>
      <c r="B2840" s="54" t="s">
        <v>688</v>
      </c>
      <c r="C2840" s="54" t="s">
        <v>290</v>
      </c>
      <c r="D2840" s="54" t="s">
        <v>3570</v>
      </c>
      <c r="E2840" s="54" t="s">
        <v>3571</v>
      </c>
      <c r="F2840" s="54" t="s">
        <v>6175</v>
      </c>
      <c r="G2840" s="54" t="s">
        <v>6176</v>
      </c>
      <c r="H2840" s="54" t="n">
        <v>5888</v>
      </c>
      <c r="I2840" s="54" t="s">
        <v>295</v>
      </c>
      <c r="J2840" s="54" t="s">
        <v>997</v>
      </c>
    </row>
    <row r="2841" customFormat="false" ht="15" hidden="false" customHeight="true" outlineLevel="0" collapsed="false">
      <c r="A2841" s="54" t="n">
        <v>20260711</v>
      </c>
      <c r="B2841" s="54" t="s">
        <v>688</v>
      </c>
      <c r="C2841" s="54" t="s">
        <v>307</v>
      </c>
      <c r="D2841" s="54" t="s">
        <v>6177</v>
      </c>
      <c r="E2841" s="54" t="s">
        <v>6178</v>
      </c>
      <c r="F2841" s="54" t="s">
        <v>6179</v>
      </c>
      <c r="G2841" s="54" t="s">
        <v>6180</v>
      </c>
      <c r="H2841" s="54" t="n">
        <v>7912</v>
      </c>
      <c r="I2841" s="54" t="s">
        <v>295</v>
      </c>
      <c r="J2841" s="54" t="s">
        <v>693</v>
      </c>
    </row>
    <row r="2842" customFormat="false" ht="15" hidden="false" customHeight="true" outlineLevel="0" collapsed="false">
      <c r="A2842" s="54" t="n">
        <v>20260711</v>
      </c>
      <c r="B2842" s="54" t="s">
        <v>688</v>
      </c>
      <c r="C2842" s="54" t="s">
        <v>307</v>
      </c>
      <c r="D2842" s="54" t="s">
        <v>6177</v>
      </c>
      <c r="E2842" s="54" t="s">
        <v>6178</v>
      </c>
      <c r="F2842" s="54" t="s">
        <v>6181</v>
      </c>
      <c r="G2842" s="54" t="s">
        <v>6182</v>
      </c>
      <c r="H2842" s="54" t="n">
        <v>8410</v>
      </c>
      <c r="I2842" s="54" t="s">
        <v>295</v>
      </c>
      <c r="J2842" s="54" t="s">
        <v>693</v>
      </c>
    </row>
    <row r="2843" customFormat="false" ht="15" hidden="false" customHeight="true" outlineLevel="0" collapsed="false">
      <c r="A2843" s="54" t="n">
        <v>20260711</v>
      </c>
      <c r="B2843" s="54" t="s">
        <v>688</v>
      </c>
      <c r="C2843" s="54" t="s">
        <v>307</v>
      </c>
      <c r="D2843" s="54" t="s">
        <v>6177</v>
      </c>
      <c r="E2843" s="54" t="s">
        <v>6178</v>
      </c>
      <c r="F2843" s="54" t="s">
        <v>6183</v>
      </c>
      <c r="G2843" s="54" t="s">
        <v>5602</v>
      </c>
      <c r="H2843" s="54" t="n">
        <v>9476</v>
      </c>
      <c r="I2843" s="54" t="s">
        <v>295</v>
      </c>
      <c r="J2843" s="54" t="s">
        <v>693</v>
      </c>
    </row>
    <row r="2844" customFormat="false" ht="15" hidden="false" customHeight="true" outlineLevel="0" collapsed="false">
      <c r="A2844" s="54" t="n">
        <v>20260711</v>
      </c>
      <c r="B2844" s="54" t="s">
        <v>289</v>
      </c>
      <c r="C2844" s="54" t="s">
        <v>290</v>
      </c>
      <c r="D2844" s="54" t="s">
        <v>3604</v>
      </c>
      <c r="E2844" s="54" t="s">
        <v>3605</v>
      </c>
      <c r="F2844" s="54" t="s">
        <v>6184</v>
      </c>
      <c r="G2844" s="54" t="s">
        <v>5348</v>
      </c>
      <c r="H2844" s="54" t="n">
        <v>21646</v>
      </c>
      <c r="I2844" s="54" t="s">
        <v>360</v>
      </c>
      <c r="J2844" s="54" t="s">
        <v>569</v>
      </c>
    </row>
    <row r="2845" customFormat="false" ht="15" hidden="false" customHeight="true" outlineLevel="0" collapsed="false">
      <c r="A2845" s="54" t="n">
        <v>20260711</v>
      </c>
      <c r="B2845" s="54" t="s">
        <v>289</v>
      </c>
      <c r="C2845" s="54" t="s">
        <v>290</v>
      </c>
      <c r="D2845" s="54" t="s">
        <v>3604</v>
      </c>
      <c r="E2845" s="54" t="s">
        <v>3605</v>
      </c>
      <c r="F2845" s="54" t="s">
        <v>6184</v>
      </c>
      <c r="G2845" s="54" t="s">
        <v>5348</v>
      </c>
      <c r="H2845" s="54" t="n">
        <v>21646</v>
      </c>
      <c r="I2845" s="54" t="s">
        <v>295</v>
      </c>
      <c r="J2845" s="54" t="s">
        <v>569</v>
      </c>
    </row>
    <row r="2846" customFormat="false" ht="15" hidden="false" customHeight="true" outlineLevel="0" collapsed="false">
      <c r="A2846" s="54" t="n">
        <v>20260711</v>
      </c>
      <c r="B2846" s="54" t="s">
        <v>289</v>
      </c>
      <c r="C2846" s="54" t="s">
        <v>290</v>
      </c>
      <c r="D2846" s="54" t="s">
        <v>6185</v>
      </c>
      <c r="E2846" s="54" t="s">
        <v>6186</v>
      </c>
      <c r="F2846" s="54" t="s">
        <v>6187</v>
      </c>
      <c r="G2846" s="54" t="s">
        <v>6188</v>
      </c>
      <c r="H2846" s="54" t="n">
        <v>750</v>
      </c>
      <c r="I2846" s="54" t="s">
        <v>295</v>
      </c>
      <c r="J2846" s="54" t="s">
        <v>631</v>
      </c>
    </row>
    <row r="2847" customFormat="false" ht="15" hidden="false" customHeight="true" outlineLevel="0" collapsed="false">
      <c r="A2847" s="54" t="n">
        <v>20260711</v>
      </c>
      <c r="B2847" s="54" t="s">
        <v>289</v>
      </c>
      <c r="C2847" s="54" t="s">
        <v>290</v>
      </c>
      <c r="D2847" s="54" t="s">
        <v>6185</v>
      </c>
      <c r="E2847" s="54" t="s">
        <v>6186</v>
      </c>
      <c r="F2847" s="54" t="s">
        <v>6189</v>
      </c>
      <c r="G2847" s="54" t="s">
        <v>6190</v>
      </c>
      <c r="H2847" s="54" t="n">
        <v>751</v>
      </c>
      <c r="I2847" s="54" t="s">
        <v>360</v>
      </c>
      <c r="J2847" s="54" t="s">
        <v>631</v>
      </c>
    </row>
    <row r="2848" customFormat="false" ht="15" hidden="false" customHeight="true" outlineLevel="0" collapsed="false">
      <c r="A2848" s="54" t="n">
        <v>20260711</v>
      </c>
      <c r="B2848" s="54" t="s">
        <v>289</v>
      </c>
      <c r="C2848" s="54" t="s">
        <v>290</v>
      </c>
      <c r="D2848" s="54" t="s">
        <v>6185</v>
      </c>
      <c r="E2848" s="54" t="s">
        <v>6186</v>
      </c>
      <c r="F2848" s="54" t="s">
        <v>6191</v>
      </c>
      <c r="G2848" s="54" t="s">
        <v>6192</v>
      </c>
      <c r="H2848" s="54" t="n">
        <v>1257</v>
      </c>
      <c r="I2848" s="54" t="s">
        <v>295</v>
      </c>
      <c r="J2848" s="54" t="s">
        <v>631</v>
      </c>
    </row>
    <row r="2849" customFormat="false" ht="15" hidden="false" customHeight="true" outlineLevel="0" collapsed="false">
      <c r="A2849" s="54" t="n">
        <v>20260711</v>
      </c>
      <c r="B2849" s="54" t="s">
        <v>289</v>
      </c>
      <c r="C2849" s="54" t="s">
        <v>290</v>
      </c>
      <c r="D2849" s="54" t="s">
        <v>6185</v>
      </c>
      <c r="E2849" s="54" t="s">
        <v>6186</v>
      </c>
      <c r="F2849" s="54" t="s">
        <v>6193</v>
      </c>
      <c r="G2849" s="54" t="s">
        <v>6192</v>
      </c>
      <c r="H2849" s="54" t="n">
        <v>1256</v>
      </c>
      <c r="I2849" s="54" t="s">
        <v>360</v>
      </c>
      <c r="J2849" s="54" t="s">
        <v>631</v>
      </c>
    </row>
    <row r="2850" customFormat="false" ht="15" hidden="false" customHeight="true" outlineLevel="0" collapsed="false">
      <c r="A2850" s="54" t="n">
        <v>20260711</v>
      </c>
      <c r="B2850" s="54" t="s">
        <v>289</v>
      </c>
      <c r="C2850" s="54" t="s">
        <v>290</v>
      </c>
      <c r="D2850" s="54" t="s">
        <v>6185</v>
      </c>
      <c r="E2850" s="54" t="s">
        <v>6186</v>
      </c>
      <c r="F2850" s="54" t="s">
        <v>6194</v>
      </c>
      <c r="G2850" s="54" t="s">
        <v>6195</v>
      </c>
      <c r="H2850" s="54" t="n">
        <v>16313</v>
      </c>
      <c r="I2850" s="54" t="s">
        <v>295</v>
      </c>
      <c r="J2850" s="54" t="s">
        <v>631</v>
      </c>
    </row>
    <row r="2851" customFormat="false" ht="15" hidden="false" customHeight="true" outlineLevel="0" collapsed="false">
      <c r="A2851" s="54" t="n">
        <v>20260711</v>
      </c>
      <c r="B2851" s="54" t="s">
        <v>289</v>
      </c>
      <c r="C2851" s="54" t="s">
        <v>290</v>
      </c>
      <c r="D2851" s="54" t="s">
        <v>6185</v>
      </c>
      <c r="E2851" s="54" t="s">
        <v>6186</v>
      </c>
      <c r="F2851" s="54" t="s">
        <v>6196</v>
      </c>
      <c r="G2851" s="54" t="s">
        <v>6195</v>
      </c>
      <c r="H2851" s="54" t="n">
        <v>16312</v>
      </c>
      <c r="I2851" s="54" t="s">
        <v>360</v>
      </c>
      <c r="J2851" s="54" t="s">
        <v>631</v>
      </c>
    </row>
    <row r="2852" customFormat="false" ht="15" hidden="false" customHeight="true" outlineLevel="0" collapsed="false">
      <c r="A2852" s="54" t="n">
        <v>20260711</v>
      </c>
      <c r="B2852" s="54" t="s">
        <v>289</v>
      </c>
      <c r="C2852" s="54" t="s">
        <v>290</v>
      </c>
      <c r="D2852" s="54" t="s">
        <v>6185</v>
      </c>
      <c r="E2852" s="54" t="s">
        <v>6186</v>
      </c>
      <c r="F2852" s="54" t="s">
        <v>6197</v>
      </c>
      <c r="G2852" s="54" t="s">
        <v>5257</v>
      </c>
      <c r="H2852" s="54" t="n">
        <v>10217</v>
      </c>
      <c r="I2852" s="54" t="s">
        <v>360</v>
      </c>
      <c r="J2852" s="54" t="s">
        <v>631</v>
      </c>
    </row>
    <row r="2853" customFormat="false" ht="15" hidden="false" customHeight="true" outlineLevel="0" collapsed="false">
      <c r="A2853" s="54" t="n">
        <v>20260711</v>
      </c>
      <c r="B2853" s="54" t="s">
        <v>289</v>
      </c>
      <c r="C2853" s="54" t="s">
        <v>290</v>
      </c>
      <c r="D2853" s="54" t="s">
        <v>6185</v>
      </c>
      <c r="E2853" s="54" t="s">
        <v>6186</v>
      </c>
      <c r="F2853" s="54" t="s">
        <v>6197</v>
      </c>
      <c r="G2853" s="54" t="s">
        <v>5257</v>
      </c>
      <c r="H2853" s="54" t="n">
        <v>10217</v>
      </c>
      <c r="I2853" s="54" t="s">
        <v>295</v>
      </c>
      <c r="J2853" s="54" t="s">
        <v>631</v>
      </c>
    </row>
    <row r="2854" customFormat="false" ht="15" hidden="false" customHeight="true" outlineLevel="0" collapsed="false">
      <c r="A2854" s="54" t="n">
        <v>20260711</v>
      </c>
      <c r="B2854" s="54" t="s">
        <v>306</v>
      </c>
      <c r="C2854" s="54" t="s">
        <v>307</v>
      </c>
      <c r="D2854" s="54" t="s">
        <v>3623</v>
      </c>
      <c r="E2854" s="54" t="s">
        <v>3624</v>
      </c>
      <c r="F2854" s="54" t="s">
        <v>6198</v>
      </c>
      <c r="G2854" s="54" t="s">
        <v>6199</v>
      </c>
      <c r="H2854" s="54" t="n">
        <v>928</v>
      </c>
      <c r="I2854" s="54" t="s">
        <v>315</v>
      </c>
      <c r="J2854" s="54" t="s">
        <v>392</v>
      </c>
    </row>
    <row r="2855" customFormat="false" ht="15" hidden="false" customHeight="true" outlineLevel="0" collapsed="false">
      <c r="A2855" s="54" t="n">
        <v>20260711</v>
      </c>
      <c r="B2855" s="54" t="s">
        <v>306</v>
      </c>
      <c r="C2855" s="54" t="s">
        <v>307</v>
      </c>
      <c r="D2855" s="54" t="s">
        <v>3623</v>
      </c>
      <c r="E2855" s="54" t="s">
        <v>3624</v>
      </c>
      <c r="F2855" s="54" t="s">
        <v>6198</v>
      </c>
      <c r="G2855" s="54" t="s">
        <v>6199</v>
      </c>
      <c r="H2855" s="54" t="n">
        <v>928</v>
      </c>
      <c r="I2855" s="54" t="s">
        <v>295</v>
      </c>
      <c r="J2855" s="54" t="s">
        <v>392</v>
      </c>
    </row>
    <row r="2856" customFormat="false" ht="15" hidden="false" customHeight="true" outlineLevel="0" collapsed="false">
      <c r="A2856" s="54" t="n">
        <v>20260711</v>
      </c>
      <c r="B2856" s="54" t="s">
        <v>306</v>
      </c>
      <c r="C2856" s="54" t="s">
        <v>307</v>
      </c>
      <c r="D2856" s="54" t="s">
        <v>3623</v>
      </c>
      <c r="E2856" s="54" t="s">
        <v>3624</v>
      </c>
      <c r="F2856" s="54" t="s">
        <v>6200</v>
      </c>
      <c r="G2856" s="54" t="s">
        <v>5202</v>
      </c>
      <c r="H2856" s="54" t="n">
        <v>20822</v>
      </c>
      <c r="I2856" s="54" t="s">
        <v>315</v>
      </c>
      <c r="J2856" s="54" t="s">
        <v>392</v>
      </c>
    </row>
    <row r="2857" customFormat="false" ht="15" hidden="false" customHeight="true" outlineLevel="0" collapsed="false">
      <c r="A2857" s="54" t="n">
        <v>20260711</v>
      </c>
      <c r="B2857" s="54" t="s">
        <v>306</v>
      </c>
      <c r="C2857" s="54" t="s">
        <v>307</v>
      </c>
      <c r="D2857" s="54" t="s">
        <v>3623</v>
      </c>
      <c r="E2857" s="54" t="s">
        <v>3624</v>
      </c>
      <c r="F2857" s="54" t="s">
        <v>6200</v>
      </c>
      <c r="G2857" s="54" t="s">
        <v>5202</v>
      </c>
      <c r="H2857" s="54" t="n">
        <v>20822</v>
      </c>
      <c r="I2857" s="54" t="s">
        <v>295</v>
      </c>
      <c r="J2857" s="54" t="s">
        <v>392</v>
      </c>
    </row>
    <row r="2858" customFormat="false" ht="15" hidden="false" customHeight="true" outlineLevel="0" collapsed="false">
      <c r="A2858" s="54" t="n">
        <v>20260711</v>
      </c>
      <c r="B2858" s="54" t="s">
        <v>306</v>
      </c>
      <c r="C2858" s="54" t="s">
        <v>307</v>
      </c>
      <c r="D2858" s="54" t="s">
        <v>3623</v>
      </c>
      <c r="E2858" s="54" t="s">
        <v>3624</v>
      </c>
      <c r="F2858" s="54" t="s">
        <v>6201</v>
      </c>
      <c r="G2858" s="54" t="s">
        <v>6202</v>
      </c>
      <c r="H2858" s="54" t="n">
        <v>2</v>
      </c>
      <c r="I2858" s="54" t="s">
        <v>315</v>
      </c>
      <c r="J2858" s="54" t="s">
        <v>392</v>
      </c>
    </row>
    <row r="2859" customFormat="false" ht="15" hidden="false" customHeight="true" outlineLevel="0" collapsed="false">
      <c r="A2859" s="54" t="n">
        <v>20260711</v>
      </c>
      <c r="B2859" s="54" t="s">
        <v>306</v>
      </c>
      <c r="C2859" s="54" t="s">
        <v>307</v>
      </c>
      <c r="D2859" s="54" t="s">
        <v>3623</v>
      </c>
      <c r="E2859" s="54" t="s">
        <v>3624</v>
      </c>
      <c r="F2859" s="54" t="s">
        <v>6201</v>
      </c>
      <c r="G2859" s="54" t="s">
        <v>6202</v>
      </c>
      <c r="H2859" s="54" t="n">
        <v>2</v>
      </c>
      <c r="I2859" s="54" t="s">
        <v>295</v>
      </c>
      <c r="J2859" s="54" t="s">
        <v>392</v>
      </c>
    </row>
    <row r="2860" customFormat="false" ht="15" hidden="false" customHeight="true" outlineLevel="0" collapsed="false">
      <c r="A2860" s="54" t="n">
        <v>20260711</v>
      </c>
      <c r="B2860" s="54" t="s">
        <v>306</v>
      </c>
      <c r="C2860" s="54" t="s">
        <v>307</v>
      </c>
      <c r="D2860" s="54" t="s">
        <v>3623</v>
      </c>
      <c r="E2860" s="54" t="s">
        <v>3624</v>
      </c>
      <c r="F2860" s="54" t="s">
        <v>6203</v>
      </c>
      <c r="G2860" s="54" t="s">
        <v>6204</v>
      </c>
      <c r="H2860" s="54" t="n">
        <v>1112</v>
      </c>
      <c r="I2860" s="54" t="s">
        <v>315</v>
      </c>
      <c r="J2860" s="54" t="s">
        <v>392</v>
      </c>
    </row>
    <row r="2861" customFormat="false" ht="15" hidden="false" customHeight="true" outlineLevel="0" collapsed="false">
      <c r="A2861" s="54" t="n">
        <v>20260711</v>
      </c>
      <c r="B2861" s="54" t="s">
        <v>306</v>
      </c>
      <c r="C2861" s="54" t="s">
        <v>307</v>
      </c>
      <c r="D2861" s="54" t="s">
        <v>3623</v>
      </c>
      <c r="E2861" s="54" t="s">
        <v>3624</v>
      </c>
      <c r="F2861" s="54" t="s">
        <v>6203</v>
      </c>
      <c r="G2861" s="54" t="s">
        <v>6204</v>
      </c>
      <c r="H2861" s="54" t="n">
        <v>1112</v>
      </c>
      <c r="I2861" s="54" t="s">
        <v>295</v>
      </c>
      <c r="J2861" s="54" t="s">
        <v>392</v>
      </c>
    </row>
    <row r="2862" customFormat="false" ht="15" hidden="false" customHeight="true" outlineLevel="0" collapsed="false">
      <c r="A2862" s="54" t="n">
        <v>20260711</v>
      </c>
      <c r="B2862" s="54" t="s">
        <v>306</v>
      </c>
      <c r="C2862" s="54" t="s">
        <v>307</v>
      </c>
      <c r="D2862" s="54" t="s">
        <v>3623</v>
      </c>
      <c r="E2862" s="54" t="s">
        <v>3624</v>
      </c>
      <c r="F2862" s="54" t="s">
        <v>6205</v>
      </c>
      <c r="G2862" s="54" t="s">
        <v>6206</v>
      </c>
      <c r="H2862" s="54" t="n">
        <v>8738</v>
      </c>
      <c r="I2862" s="54" t="s">
        <v>295</v>
      </c>
      <c r="J2862" s="54" t="s">
        <v>392</v>
      </c>
    </row>
    <row r="2863" customFormat="false" ht="15" hidden="false" customHeight="true" outlineLevel="0" collapsed="false">
      <c r="A2863" s="54" t="n">
        <v>20260711</v>
      </c>
      <c r="B2863" s="54" t="s">
        <v>306</v>
      </c>
      <c r="C2863" s="54" t="s">
        <v>307</v>
      </c>
      <c r="D2863" s="54" t="s">
        <v>3623</v>
      </c>
      <c r="E2863" s="54" t="s">
        <v>3624</v>
      </c>
      <c r="F2863" s="54" t="s">
        <v>6205</v>
      </c>
      <c r="G2863" s="54" t="s">
        <v>6207</v>
      </c>
      <c r="H2863" s="54" t="n">
        <v>8760</v>
      </c>
      <c r="I2863" s="54" t="s">
        <v>315</v>
      </c>
      <c r="J2863" s="54" t="s">
        <v>392</v>
      </c>
    </row>
    <row r="2864" customFormat="false" ht="15" hidden="false" customHeight="true" outlineLevel="0" collapsed="false">
      <c r="A2864" s="54" t="n">
        <v>20260711</v>
      </c>
      <c r="B2864" s="54" t="s">
        <v>306</v>
      </c>
      <c r="C2864" s="54" t="s">
        <v>307</v>
      </c>
      <c r="D2864" s="54" t="s">
        <v>3623</v>
      </c>
      <c r="E2864" s="54" t="s">
        <v>3624</v>
      </c>
      <c r="F2864" s="54" t="s">
        <v>6207</v>
      </c>
      <c r="G2864" s="54" t="s">
        <v>6208</v>
      </c>
      <c r="H2864" s="54" t="n">
        <v>179</v>
      </c>
      <c r="I2864" s="54" t="s">
        <v>295</v>
      </c>
      <c r="J2864" s="54" t="s">
        <v>392</v>
      </c>
    </row>
    <row r="2865" customFormat="false" ht="15" hidden="false" customHeight="true" outlineLevel="0" collapsed="false">
      <c r="A2865" s="54" t="n">
        <v>20260711</v>
      </c>
      <c r="B2865" s="54" t="s">
        <v>306</v>
      </c>
      <c r="C2865" s="54" t="s">
        <v>307</v>
      </c>
      <c r="D2865" s="54" t="s">
        <v>3623</v>
      </c>
      <c r="E2865" s="54" t="s">
        <v>3624</v>
      </c>
      <c r="F2865" s="54" t="s">
        <v>6209</v>
      </c>
      <c r="G2865" s="54" t="s">
        <v>6210</v>
      </c>
      <c r="H2865" s="54" t="n">
        <v>922</v>
      </c>
      <c r="I2865" s="54" t="s">
        <v>315</v>
      </c>
      <c r="J2865" s="54" t="s">
        <v>392</v>
      </c>
    </row>
    <row r="2866" customFormat="false" ht="15" hidden="false" customHeight="true" outlineLevel="0" collapsed="false">
      <c r="A2866" s="54" t="n">
        <v>20260711</v>
      </c>
      <c r="B2866" s="54" t="s">
        <v>306</v>
      </c>
      <c r="C2866" s="54" t="s">
        <v>307</v>
      </c>
      <c r="D2866" s="54" t="s">
        <v>3623</v>
      </c>
      <c r="E2866" s="54" t="s">
        <v>3624</v>
      </c>
      <c r="F2866" s="54" t="s">
        <v>6209</v>
      </c>
      <c r="G2866" s="54" t="s">
        <v>6210</v>
      </c>
      <c r="H2866" s="54" t="n">
        <v>922</v>
      </c>
      <c r="I2866" s="54" t="s">
        <v>295</v>
      </c>
      <c r="J2866" s="54" t="s">
        <v>392</v>
      </c>
    </row>
    <row r="2867" customFormat="false" ht="15" hidden="false" customHeight="true" outlineLevel="0" collapsed="false">
      <c r="A2867" s="54" t="n">
        <v>20260711</v>
      </c>
      <c r="B2867" s="54" t="s">
        <v>306</v>
      </c>
      <c r="C2867" s="54" t="s">
        <v>307</v>
      </c>
      <c r="D2867" s="54" t="s">
        <v>3633</v>
      </c>
      <c r="E2867" s="54" t="s">
        <v>3634</v>
      </c>
      <c r="F2867" s="54" t="s">
        <v>6211</v>
      </c>
      <c r="G2867" s="54" t="s">
        <v>6212</v>
      </c>
      <c r="H2867" s="54" t="n">
        <v>22229</v>
      </c>
      <c r="I2867" s="54" t="s">
        <v>295</v>
      </c>
      <c r="J2867" s="54" t="s">
        <v>312</v>
      </c>
    </row>
    <row r="2868" customFormat="false" ht="15" hidden="false" customHeight="true" outlineLevel="0" collapsed="false">
      <c r="A2868" s="54" t="n">
        <v>20260711</v>
      </c>
      <c r="B2868" s="54" t="s">
        <v>306</v>
      </c>
      <c r="C2868" s="54" t="s">
        <v>290</v>
      </c>
      <c r="D2868" s="54" t="s">
        <v>6213</v>
      </c>
      <c r="E2868" s="54" t="s">
        <v>6214</v>
      </c>
      <c r="F2868" s="54" t="s">
        <v>6215</v>
      </c>
      <c r="G2868" s="54" t="s">
        <v>6216</v>
      </c>
      <c r="H2868" s="54" t="n">
        <v>14644</v>
      </c>
      <c r="I2868" s="54" t="s">
        <v>295</v>
      </c>
      <c r="J2868" s="54" t="s">
        <v>368</v>
      </c>
    </row>
    <row r="2869" customFormat="false" ht="15" hidden="false" customHeight="true" outlineLevel="0" collapsed="false">
      <c r="A2869" s="54" t="n">
        <v>20260711</v>
      </c>
      <c r="B2869" s="54" t="s">
        <v>306</v>
      </c>
      <c r="C2869" s="54" t="s">
        <v>290</v>
      </c>
      <c r="D2869" s="54" t="s">
        <v>6213</v>
      </c>
      <c r="E2869" s="54" t="s">
        <v>6214</v>
      </c>
      <c r="F2869" s="54" t="s">
        <v>6217</v>
      </c>
      <c r="G2869" s="54" t="s">
        <v>6216</v>
      </c>
      <c r="H2869" s="54" t="n">
        <v>14643</v>
      </c>
      <c r="I2869" s="54" t="s">
        <v>315</v>
      </c>
      <c r="J2869" s="54" t="s">
        <v>368</v>
      </c>
    </row>
    <row r="2870" customFormat="false" ht="15" hidden="false" customHeight="true" outlineLevel="0" collapsed="false">
      <c r="A2870" s="54" t="n">
        <v>20260711</v>
      </c>
      <c r="B2870" s="54" t="s">
        <v>306</v>
      </c>
      <c r="C2870" s="54" t="s">
        <v>290</v>
      </c>
      <c r="D2870" s="54" t="s">
        <v>6213</v>
      </c>
      <c r="E2870" s="54" t="s">
        <v>6214</v>
      </c>
      <c r="F2870" s="54" t="s">
        <v>6218</v>
      </c>
      <c r="G2870" s="54" t="s">
        <v>6219</v>
      </c>
      <c r="H2870" s="54" t="n">
        <v>10676</v>
      </c>
      <c r="I2870" s="54" t="s">
        <v>295</v>
      </c>
      <c r="J2870" s="54" t="s">
        <v>368</v>
      </c>
    </row>
    <row r="2871" customFormat="false" ht="15" hidden="false" customHeight="true" outlineLevel="0" collapsed="false">
      <c r="A2871" s="54" t="n">
        <v>20260711</v>
      </c>
      <c r="B2871" s="54" t="s">
        <v>306</v>
      </c>
      <c r="C2871" s="54" t="s">
        <v>290</v>
      </c>
      <c r="D2871" s="54" t="s">
        <v>6213</v>
      </c>
      <c r="E2871" s="54" t="s">
        <v>6214</v>
      </c>
      <c r="F2871" s="54" t="s">
        <v>6220</v>
      </c>
      <c r="G2871" s="54" t="s">
        <v>6219</v>
      </c>
      <c r="H2871" s="54" t="n">
        <v>10675</v>
      </c>
      <c r="I2871" s="54" t="s">
        <v>315</v>
      </c>
      <c r="J2871" s="54" t="s">
        <v>368</v>
      </c>
    </row>
    <row r="2872" customFormat="false" ht="15" hidden="false" customHeight="true" outlineLevel="0" collapsed="false">
      <c r="A2872" s="54" t="n">
        <v>20260711</v>
      </c>
      <c r="B2872" s="54" t="s">
        <v>688</v>
      </c>
      <c r="C2872" s="54" t="s">
        <v>307</v>
      </c>
      <c r="D2872" s="54" t="s">
        <v>3680</v>
      </c>
      <c r="E2872" s="54" t="s">
        <v>154</v>
      </c>
      <c r="F2872" s="54" t="s">
        <v>5941</v>
      </c>
      <c r="G2872" s="54" t="s">
        <v>6221</v>
      </c>
      <c r="H2872" s="54" t="n">
        <v>18355</v>
      </c>
      <c r="I2872" s="54" t="s">
        <v>295</v>
      </c>
      <c r="J2872" s="54" t="s">
        <v>142</v>
      </c>
    </row>
    <row r="2873" customFormat="false" ht="15" hidden="false" customHeight="true" outlineLevel="0" collapsed="false">
      <c r="A2873" s="54" t="n">
        <v>20260711</v>
      </c>
      <c r="B2873" s="54" t="s">
        <v>688</v>
      </c>
      <c r="C2873" s="54" t="s">
        <v>307</v>
      </c>
      <c r="D2873" s="54" t="s">
        <v>3680</v>
      </c>
      <c r="E2873" s="54" t="s">
        <v>154</v>
      </c>
      <c r="F2873" s="54" t="s">
        <v>6222</v>
      </c>
      <c r="G2873" s="54" t="s">
        <v>6223</v>
      </c>
      <c r="H2873" s="54" t="n">
        <v>10703</v>
      </c>
      <c r="I2873" s="54" t="s">
        <v>295</v>
      </c>
      <c r="J2873" s="54" t="s">
        <v>142</v>
      </c>
    </row>
    <row r="2874" customFormat="false" ht="15" hidden="false" customHeight="true" outlineLevel="0" collapsed="false">
      <c r="A2874" s="54" t="n">
        <v>20260711</v>
      </c>
      <c r="B2874" s="54" t="s">
        <v>289</v>
      </c>
      <c r="C2874" s="54" t="s">
        <v>290</v>
      </c>
      <c r="D2874" s="54" t="s">
        <v>419</v>
      </c>
      <c r="E2874" s="54" t="s">
        <v>420</v>
      </c>
      <c r="F2874" s="54" t="s">
        <v>6224</v>
      </c>
      <c r="G2874" s="54" t="s">
        <v>6225</v>
      </c>
      <c r="H2874" s="54" t="n">
        <v>28800</v>
      </c>
      <c r="I2874" s="54" t="s">
        <v>360</v>
      </c>
      <c r="J2874" s="54" t="s">
        <v>423</v>
      </c>
    </row>
    <row r="2875" customFormat="false" ht="15" hidden="false" customHeight="true" outlineLevel="0" collapsed="false">
      <c r="A2875" s="54" t="n">
        <v>20260711</v>
      </c>
      <c r="B2875" s="54" t="s">
        <v>289</v>
      </c>
      <c r="C2875" s="54" t="s">
        <v>307</v>
      </c>
      <c r="D2875" s="54" t="s">
        <v>3722</v>
      </c>
      <c r="E2875" s="54" t="s">
        <v>3723</v>
      </c>
      <c r="F2875" s="54" t="s">
        <v>5362</v>
      </c>
      <c r="G2875" s="54" t="s">
        <v>6226</v>
      </c>
      <c r="H2875" s="54" t="n">
        <v>16306</v>
      </c>
      <c r="I2875" s="54" t="s">
        <v>295</v>
      </c>
      <c r="J2875" s="54" t="s">
        <v>1441</v>
      </c>
    </row>
    <row r="2876" customFormat="false" ht="15" hidden="false" customHeight="true" outlineLevel="0" collapsed="false">
      <c r="A2876" s="54" t="n">
        <v>20260711</v>
      </c>
      <c r="B2876" s="54" t="s">
        <v>289</v>
      </c>
      <c r="C2876" s="54" t="s">
        <v>307</v>
      </c>
      <c r="D2876" s="54" t="s">
        <v>3722</v>
      </c>
      <c r="E2876" s="54" t="s">
        <v>3723</v>
      </c>
      <c r="F2876" s="54" t="s">
        <v>6227</v>
      </c>
      <c r="G2876" s="54" t="s">
        <v>6228</v>
      </c>
      <c r="H2876" s="54" t="n">
        <v>12880</v>
      </c>
      <c r="I2876" s="54" t="s">
        <v>295</v>
      </c>
      <c r="J2876" s="54" t="s">
        <v>1441</v>
      </c>
    </row>
    <row r="2877" customFormat="false" ht="15" hidden="false" customHeight="true" outlineLevel="0" collapsed="false">
      <c r="A2877" s="54" t="n">
        <v>20260711</v>
      </c>
      <c r="B2877" s="54" t="s">
        <v>289</v>
      </c>
      <c r="C2877" s="54" t="s">
        <v>307</v>
      </c>
      <c r="D2877" s="54" t="s">
        <v>3722</v>
      </c>
      <c r="E2877" s="54" t="s">
        <v>3723</v>
      </c>
      <c r="F2877" s="54" t="s">
        <v>6229</v>
      </c>
      <c r="G2877" s="54" t="s">
        <v>6230</v>
      </c>
      <c r="H2877" s="54" t="n">
        <v>7</v>
      </c>
      <c r="I2877" s="54" t="s">
        <v>295</v>
      </c>
      <c r="J2877" s="54" t="s">
        <v>1441</v>
      </c>
    </row>
    <row r="2878" customFormat="false" ht="15" hidden="false" customHeight="true" outlineLevel="0" collapsed="false">
      <c r="A2878" s="54" t="n">
        <v>20260711</v>
      </c>
      <c r="B2878" s="54" t="s">
        <v>306</v>
      </c>
      <c r="C2878" s="54" t="s">
        <v>290</v>
      </c>
      <c r="D2878" s="54" t="s">
        <v>3726</v>
      </c>
      <c r="E2878" s="54" t="s">
        <v>3727</v>
      </c>
      <c r="F2878" s="54" t="s">
        <v>6231</v>
      </c>
      <c r="G2878" s="54" t="s">
        <v>6232</v>
      </c>
      <c r="H2878" s="54" t="n">
        <v>34003</v>
      </c>
      <c r="I2878" s="54" t="s">
        <v>295</v>
      </c>
      <c r="J2878" s="54" t="s">
        <v>375</v>
      </c>
    </row>
    <row r="2879" customFormat="false" ht="15" hidden="false" customHeight="true" outlineLevel="0" collapsed="false">
      <c r="A2879" s="54" t="n">
        <v>20260711</v>
      </c>
      <c r="B2879" s="54" t="s">
        <v>306</v>
      </c>
      <c r="C2879" s="54" t="s">
        <v>290</v>
      </c>
      <c r="D2879" s="54" t="s">
        <v>3746</v>
      </c>
      <c r="E2879" s="54" t="s">
        <v>3747</v>
      </c>
      <c r="F2879" s="54" t="s">
        <v>6233</v>
      </c>
      <c r="G2879" s="54" t="s">
        <v>6234</v>
      </c>
      <c r="H2879" s="54" t="n">
        <v>21794</v>
      </c>
      <c r="I2879" s="54" t="s">
        <v>295</v>
      </c>
      <c r="J2879" s="54" t="s">
        <v>375</v>
      </c>
    </row>
    <row r="2880" customFormat="false" ht="15" hidden="false" customHeight="true" outlineLevel="0" collapsed="false">
      <c r="A2880" s="54" t="n">
        <v>20260711</v>
      </c>
      <c r="B2880" s="54" t="s">
        <v>306</v>
      </c>
      <c r="C2880" s="54" t="s">
        <v>307</v>
      </c>
      <c r="D2880" s="54" t="s">
        <v>6235</v>
      </c>
      <c r="E2880" s="54" t="s">
        <v>6236</v>
      </c>
      <c r="F2880" s="54" t="s">
        <v>5714</v>
      </c>
      <c r="G2880" s="54" t="s">
        <v>6237</v>
      </c>
      <c r="H2880" s="54" t="n">
        <v>10228</v>
      </c>
      <c r="I2880" s="54" t="s">
        <v>295</v>
      </c>
      <c r="J2880" s="54" t="s">
        <v>392</v>
      </c>
    </row>
    <row r="2881" customFormat="false" ht="15" hidden="false" customHeight="true" outlineLevel="0" collapsed="false">
      <c r="A2881" s="54" t="n">
        <v>20260711</v>
      </c>
      <c r="B2881" s="54" t="s">
        <v>306</v>
      </c>
      <c r="C2881" s="54" t="s">
        <v>307</v>
      </c>
      <c r="D2881" s="54" t="s">
        <v>6235</v>
      </c>
      <c r="E2881" s="54" t="s">
        <v>6236</v>
      </c>
      <c r="F2881" s="54" t="s">
        <v>6238</v>
      </c>
      <c r="G2881" s="54" t="s">
        <v>6239</v>
      </c>
      <c r="H2881" s="54" t="n">
        <v>302</v>
      </c>
      <c r="I2881" s="54" t="s">
        <v>295</v>
      </c>
      <c r="J2881" s="54" t="s">
        <v>392</v>
      </c>
    </row>
    <row r="2882" customFormat="false" ht="15" hidden="false" customHeight="true" outlineLevel="0" collapsed="false">
      <c r="A2882" s="54" t="n">
        <v>20260711</v>
      </c>
      <c r="B2882" s="54" t="s">
        <v>306</v>
      </c>
      <c r="C2882" s="54" t="s">
        <v>307</v>
      </c>
      <c r="D2882" s="54" t="s">
        <v>6235</v>
      </c>
      <c r="E2882" s="54" t="s">
        <v>6236</v>
      </c>
      <c r="F2882" s="54" t="s">
        <v>6240</v>
      </c>
      <c r="G2882" s="54" t="s">
        <v>6241</v>
      </c>
      <c r="H2882" s="54" t="n">
        <v>8304</v>
      </c>
      <c r="I2882" s="54" t="s">
        <v>295</v>
      </c>
      <c r="J2882" s="54" t="s">
        <v>392</v>
      </c>
    </row>
    <row r="2883" customFormat="false" ht="15" hidden="false" customHeight="true" outlineLevel="0" collapsed="false">
      <c r="A2883" s="54" t="n">
        <v>20260711</v>
      </c>
      <c r="B2883" s="54" t="s">
        <v>306</v>
      </c>
      <c r="C2883" s="54" t="s">
        <v>307</v>
      </c>
      <c r="D2883" s="54" t="s">
        <v>6235</v>
      </c>
      <c r="E2883" s="54" t="s">
        <v>6236</v>
      </c>
      <c r="F2883" s="54" t="s">
        <v>6242</v>
      </c>
      <c r="G2883" s="54" t="s">
        <v>6243</v>
      </c>
      <c r="H2883" s="54" t="n">
        <v>2139</v>
      </c>
      <c r="I2883" s="54" t="s">
        <v>295</v>
      </c>
      <c r="J2883" s="54" t="s">
        <v>392</v>
      </c>
    </row>
    <row r="2884" customFormat="false" ht="15" hidden="false" customHeight="true" outlineLevel="0" collapsed="false">
      <c r="A2884" s="54" t="n">
        <v>20260711</v>
      </c>
      <c r="B2884" s="54" t="s">
        <v>306</v>
      </c>
      <c r="C2884" s="54" t="s">
        <v>307</v>
      </c>
      <c r="D2884" s="54" t="s">
        <v>6244</v>
      </c>
      <c r="E2884" s="54" t="s">
        <v>6245</v>
      </c>
      <c r="F2884" s="54" t="s">
        <v>5349</v>
      </c>
      <c r="G2884" s="54" t="s">
        <v>6246</v>
      </c>
      <c r="H2884" s="54" t="n">
        <v>18073</v>
      </c>
      <c r="I2884" s="54" t="s">
        <v>295</v>
      </c>
      <c r="J2884" s="54" t="s">
        <v>312</v>
      </c>
    </row>
    <row r="2885" customFormat="false" ht="15" hidden="false" customHeight="true" outlineLevel="0" collapsed="false">
      <c r="A2885" s="54" t="n">
        <v>20260711</v>
      </c>
      <c r="B2885" s="54" t="s">
        <v>306</v>
      </c>
      <c r="C2885" s="54" t="s">
        <v>307</v>
      </c>
      <c r="D2885" s="54" t="s">
        <v>6244</v>
      </c>
      <c r="E2885" s="54" t="s">
        <v>6245</v>
      </c>
      <c r="F2885" s="54" t="s">
        <v>6247</v>
      </c>
      <c r="G2885" s="54" t="s">
        <v>6248</v>
      </c>
      <c r="H2885" s="54" t="n">
        <v>3482</v>
      </c>
      <c r="I2885" s="54" t="s">
        <v>295</v>
      </c>
      <c r="J2885" s="54" t="s">
        <v>312</v>
      </c>
    </row>
    <row r="2886" customFormat="false" ht="15" hidden="false" customHeight="true" outlineLevel="0" collapsed="false">
      <c r="A2886" s="54" t="n">
        <v>20260711</v>
      </c>
      <c r="B2886" s="54" t="s">
        <v>497</v>
      </c>
      <c r="C2886" s="54" t="s">
        <v>307</v>
      </c>
      <c r="D2886" s="54" t="s">
        <v>3758</v>
      </c>
      <c r="E2886" s="54" t="s">
        <v>3759</v>
      </c>
      <c r="F2886" s="54" t="s">
        <v>6249</v>
      </c>
      <c r="G2886" s="54" t="s">
        <v>6250</v>
      </c>
      <c r="H2886" s="54" t="n">
        <v>14864</v>
      </c>
      <c r="I2886" s="54" t="s">
        <v>295</v>
      </c>
      <c r="J2886" s="54" t="s">
        <v>894</v>
      </c>
    </row>
    <row r="2887" customFormat="false" ht="15" hidden="false" customHeight="true" outlineLevel="0" collapsed="false">
      <c r="A2887" s="54" t="n">
        <v>20260711</v>
      </c>
      <c r="B2887" s="54" t="s">
        <v>289</v>
      </c>
      <c r="C2887" s="54" t="s">
        <v>290</v>
      </c>
      <c r="D2887" s="54" t="s">
        <v>6251</v>
      </c>
      <c r="E2887" s="54" t="s">
        <v>6252</v>
      </c>
      <c r="F2887" s="54" t="s">
        <v>6253</v>
      </c>
      <c r="G2887" s="54" t="s">
        <v>6254</v>
      </c>
      <c r="H2887" s="54" t="n">
        <v>4</v>
      </c>
      <c r="I2887" s="54" t="s">
        <v>295</v>
      </c>
      <c r="J2887" s="54" t="s">
        <v>303</v>
      </c>
    </row>
    <row r="2888" customFormat="false" ht="15" hidden="false" customHeight="true" outlineLevel="0" collapsed="false">
      <c r="A2888" s="54" t="n">
        <v>20260711</v>
      </c>
      <c r="B2888" s="54" t="s">
        <v>289</v>
      </c>
      <c r="C2888" s="54" t="s">
        <v>290</v>
      </c>
      <c r="D2888" s="54" t="s">
        <v>6251</v>
      </c>
      <c r="E2888" s="54" t="s">
        <v>6252</v>
      </c>
      <c r="F2888" s="54" t="s">
        <v>6255</v>
      </c>
      <c r="G2888" s="54" t="s">
        <v>6256</v>
      </c>
      <c r="H2888" s="54" t="n">
        <v>6788</v>
      </c>
      <c r="I2888" s="54" t="s">
        <v>295</v>
      </c>
      <c r="J2888" s="54" t="s">
        <v>303</v>
      </c>
    </row>
    <row r="2889" customFormat="false" ht="15" hidden="false" customHeight="true" outlineLevel="0" collapsed="false">
      <c r="A2889" s="54" t="n">
        <v>20260711</v>
      </c>
      <c r="B2889" s="54" t="s">
        <v>289</v>
      </c>
      <c r="C2889" s="54" t="s">
        <v>290</v>
      </c>
      <c r="D2889" s="54" t="s">
        <v>6251</v>
      </c>
      <c r="E2889" s="54" t="s">
        <v>6252</v>
      </c>
      <c r="F2889" s="54" t="s">
        <v>6257</v>
      </c>
      <c r="G2889" s="54" t="s">
        <v>6258</v>
      </c>
      <c r="H2889" s="54" t="n">
        <v>11724</v>
      </c>
      <c r="I2889" s="54" t="s">
        <v>295</v>
      </c>
      <c r="J2889" s="54" t="s">
        <v>303</v>
      </c>
    </row>
    <row r="2890" customFormat="false" ht="15" hidden="false" customHeight="true" outlineLevel="0" collapsed="false">
      <c r="A2890" s="54" t="n">
        <v>20260711</v>
      </c>
      <c r="B2890" s="54" t="s">
        <v>289</v>
      </c>
      <c r="C2890" s="54" t="s">
        <v>290</v>
      </c>
      <c r="D2890" s="54" t="s">
        <v>6251</v>
      </c>
      <c r="E2890" s="54" t="s">
        <v>6252</v>
      </c>
      <c r="F2890" s="54" t="s">
        <v>6259</v>
      </c>
      <c r="G2890" s="54" t="s">
        <v>6260</v>
      </c>
      <c r="H2890" s="54" t="n">
        <v>15050</v>
      </c>
      <c r="I2890" s="54" t="s">
        <v>295</v>
      </c>
      <c r="J2890" s="54" t="s">
        <v>303</v>
      </c>
    </row>
    <row r="2891" customFormat="false" ht="15" hidden="false" customHeight="true" outlineLevel="0" collapsed="false">
      <c r="A2891" s="54" t="n">
        <v>20260711</v>
      </c>
      <c r="B2891" s="54" t="s">
        <v>688</v>
      </c>
      <c r="C2891" s="54" t="s">
        <v>307</v>
      </c>
      <c r="D2891" s="54" t="s">
        <v>6261</v>
      </c>
      <c r="E2891" s="54" t="s">
        <v>6262</v>
      </c>
      <c r="F2891" s="54" t="s">
        <v>6263</v>
      </c>
      <c r="G2891" s="54" t="s">
        <v>6264</v>
      </c>
      <c r="H2891" s="54" t="n">
        <v>15129</v>
      </c>
      <c r="I2891" s="54" t="s">
        <v>295</v>
      </c>
      <c r="J2891" s="54" t="s">
        <v>693</v>
      </c>
    </row>
    <row r="2892" customFormat="false" ht="15" hidden="false" customHeight="true" outlineLevel="0" collapsed="false">
      <c r="A2892" s="54" t="n">
        <v>20260711</v>
      </c>
      <c r="B2892" s="54" t="s">
        <v>688</v>
      </c>
      <c r="C2892" s="54" t="s">
        <v>307</v>
      </c>
      <c r="D2892" s="54" t="s">
        <v>6261</v>
      </c>
      <c r="E2892" s="54" t="s">
        <v>6262</v>
      </c>
      <c r="F2892" s="54" t="s">
        <v>6265</v>
      </c>
      <c r="G2892" s="54" t="s">
        <v>6266</v>
      </c>
      <c r="H2892" s="54" t="n">
        <v>15836</v>
      </c>
      <c r="I2892" s="54" t="s">
        <v>295</v>
      </c>
      <c r="J2892" s="54" t="s">
        <v>693</v>
      </c>
    </row>
    <row r="2893" customFormat="false" ht="15" hidden="false" customHeight="true" outlineLevel="0" collapsed="false">
      <c r="A2893" s="54" t="n">
        <v>20260711</v>
      </c>
      <c r="B2893" s="54" t="s">
        <v>688</v>
      </c>
      <c r="C2893" s="54" t="s">
        <v>307</v>
      </c>
      <c r="D2893" s="54" t="s">
        <v>6261</v>
      </c>
      <c r="E2893" s="54" t="s">
        <v>6262</v>
      </c>
      <c r="F2893" s="54" t="s">
        <v>6267</v>
      </c>
      <c r="G2893" s="54" t="s">
        <v>5602</v>
      </c>
      <c r="H2893" s="54" t="n">
        <v>1605</v>
      </c>
      <c r="I2893" s="54" t="s">
        <v>295</v>
      </c>
      <c r="J2893" s="54" t="s">
        <v>693</v>
      </c>
    </row>
    <row r="2894" customFormat="false" ht="15" hidden="false" customHeight="true" outlineLevel="0" collapsed="false">
      <c r="A2894" s="54" t="n">
        <v>20260711</v>
      </c>
      <c r="B2894" s="54" t="s">
        <v>306</v>
      </c>
      <c r="C2894" s="54" t="s">
        <v>290</v>
      </c>
      <c r="D2894" s="54" t="s">
        <v>3789</v>
      </c>
      <c r="E2894" s="54" t="s">
        <v>3790</v>
      </c>
      <c r="F2894" s="54" t="s">
        <v>6268</v>
      </c>
      <c r="G2894" s="54" t="s">
        <v>6269</v>
      </c>
      <c r="H2894" s="54" t="n">
        <v>9694</v>
      </c>
      <c r="I2894" s="54" t="s">
        <v>295</v>
      </c>
      <c r="J2894" s="54" t="s">
        <v>375</v>
      </c>
    </row>
    <row r="2895" customFormat="false" ht="15" hidden="false" customHeight="true" outlineLevel="0" collapsed="false">
      <c r="A2895" s="54" t="n">
        <v>20260711</v>
      </c>
      <c r="B2895" s="54" t="s">
        <v>306</v>
      </c>
      <c r="C2895" s="54" t="s">
        <v>290</v>
      </c>
      <c r="D2895" s="54" t="s">
        <v>3789</v>
      </c>
      <c r="E2895" s="54" t="s">
        <v>3790</v>
      </c>
      <c r="F2895" s="54" t="s">
        <v>6270</v>
      </c>
      <c r="G2895" s="54" t="s">
        <v>6271</v>
      </c>
      <c r="H2895" s="54" t="n">
        <v>10423</v>
      </c>
      <c r="I2895" s="54" t="s">
        <v>295</v>
      </c>
      <c r="J2895" s="54" t="s">
        <v>375</v>
      </c>
    </row>
    <row r="2896" customFormat="false" ht="15" hidden="false" customHeight="true" outlineLevel="0" collapsed="false">
      <c r="A2896" s="54" t="n">
        <v>20260711</v>
      </c>
      <c r="B2896" s="54" t="s">
        <v>306</v>
      </c>
      <c r="C2896" s="54" t="s">
        <v>290</v>
      </c>
      <c r="D2896" s="54" t="s">
        <v>3789</v>
      </c>
      <c r="E2896" s="54" t="s">
        <v>3790</v>
      </c>
      <c r="F2896" s="54" t="s">
        <v>6272</v>
      </c>
      <c r="G2896" s="54" t="s">
        <v>6273</v>
      </c>
      <c r="H2896" s="54" t="n">
        <v>310</v>
      </c>
      <c r="I2896" s="54" t="s">
        <v>295</v>
      </c>
      <c r="J2896" s="54" t="s">
        <v>375</v>
      </c>
    </row>
    <row r="2897" customFormat="false" ht="15" hidden="false" customHeight="true" outlineLevel="0" collapsed="false">
      <c r="A2897" s="54" t="n">
        <v>20260711</v>
      </c>
      <c r="B2897" s="54" t="s">
        <v>168</v>
      </c>
      <c r="C2897" s="54" t="s">
        <v>290</v>
      </c>
      <c r="D2897" s="54" t="s">
        <v>3831</v>
      </c>
      <c r="E2897" s="54" t="s">
        <v>3832</v>
      </c>
      <c r="F2897" s="54" t="s">
        <v>6274</v>
      </c>
      <c r="G2897" s="54" t="s">
        <v>6275</v>
      </c>
      <c r="H2897" s="54" t="n">
        <v>30367</v>
      </c>
      <c r="I2897" s="54" t="s">
        <v>295</v>
      </c>
      <c r="J2897" s="54" t="s">
        <v>516</v>
      </c>
    </row>
    <row r="2898" customFormat="false" ht="15" hidden="false" customHeight="true" outlineLevel="0" collapsed="false">
      <c r="A2898" s="54" t="n">
        <v>20260711</v>
      </c>
      <c r="B2898" s="54" t="s">
        <v>306</v>
      </c>
      <c r="C2898" s="54" t="s">
        <v>290</v>
      </c>
      <c r="D2898" s="54" t="s">
        <v>3860</v>
      </c>
      <c r="E2898" s="54" t="s">
        <v>3861</v>
      </c>
      <c r="F2898" s="54" t="s">
        <v>6276</v>
      </c>
      <c r="G2898" s="54" t="s">
        <v>6277</v>
      </c>
      <c r="H2898" s="54" t="n">
        <v>20318</v>
      </c>
      <c r="I2898" s="54" t="s">
        <v>315</v>
      </c>
      <c r="J2898" s="54" t="s">
        <v>375</v>
      </c>
    </row>
    <row r="2899" customFormat="false" ht="15" hidden="false" customHeight="true" outlineLevel="0" collapsed="false">
      <c r="A2899" s="54" t="n">
        <v>20260711</v>
      </c>
      <c r="B2899" s="54" t="s">
        <v>306</v>
      </c>
      <c r="C2899" s="54" t="s">
        <v>290</v>
      </c>
      <c r="D2899" s="54" t="s">
        <v>3860</v>
      </c>
      <c r="E2899" s="54" t="s">
        <v>3861</v>
      </c>
      <c r="F2899" s="54" t="s">
        <v>6276</v>
      </c>
      <c r="G2899" s="54" t="s">
        <v>6277</v>
      </c>
      <c r="H2899" s="54" t="n">
        <v>20318</v>
      </c>
      <c r="I2899" s="54" t="s">
        <v>295</v>
      </c>
      <c r="J2899" s="54" t="s">
        <v>375</v>
      </c>
    </row>
    <row r="2900" customFormat="false" ht="15" hidden="false" customHeight="true" outlineLevel="0" collapsed="false">
      <c r="A2900" s="54" t="n">
        <v>20260711</v>
      </c>
      <c r="B2900" s="54" t="s">
        <v>289</v>
      </c>
      <c r="C2900" s="54" t="s">
        <v>290</v>
      </c>
      <c r="D2900" s="54" t="s">
        <v>3871</v>
      </c>
      <c r="E2900" s="54" t="s">
        <v>3872</v>
      </c>
      <c r="F2900" s="54" t="s">
        <v>6278</v>
      </c>
      <c r="G2900" s="54" t="s">
        <v>6014</v>
      </c>
      <c r="H2900" s="54" t="n">
        <v>21765</v>
      </c>
      <c r="I2900" s="54" t="s">
        <v>295</v>
      </c>
      <c r="J2900" s="54" t="s">
        <v>569</v>
      </c>
    </row>
    <row r="2901" customFormat="false" ht="15" hidden="false" customHeight="true" outlineLevel="0" collapsed="false">
      <c r="A2901" s="54" t="n">
        <v>20260711</v>
      </c>
      <c r="B2901" s="54" t="s">
        <v>289</v>
      </c>
      <c r="C2901" s="54" t="s">
        <v>290</v>
      </c>
      <c r="D2901" s="54" t="s">
        <v>3881</v>
      </c>
      <c r="E2901" s="54" t="s">
        <v>3882</v>
      </c>
      <c r="F2901" s="54" t="s">
        <v>6279</v>
      </c>
      <c r="G2901" s="54" t="s">
        <v>5702</v>
      </c>
      <c r="H2901" s="54" t="n">
        <v>21543</v>
      </c>
      <c r="I2901" s="54" t="s">
        <v>295</v>
      </c>
      <c r="J2901" s="54" t="s">
        <v>569</v>
      </c>
    </row>
    <row r="2902" customFormat="false" ht="15" hidden="false" customHeight="true" outlineLevel="0" collapsed="false">
      <c r="A2902" s="54" t="n">
        <v>20260711</v>
      </c>
      <c r="B2902" s="54" t="s">
        <v>592</v>
      </c>
      <c r="C2902" s="54" t="s">
        <v>290</v>
      </c>
      <c r="D2902" s="54" t="s">
        <v>6280</v>
      </c>
      <c r="E2902" s="54" t="s">
        <v>6281</v>
      </c>
      <c r="F2902" s="54" t="s">
        <v>6282</v>
      </c>
      <c r="G2902" s="54" t="s">
        <v>6283</v>
      </c>
      <c r="H2902" s="54" t="n">
        <v>16234</v>
      </c>
      <c r="I2902" s="54" t="s">
        <v>295</v>
      </c>
      <c r="J2902" s="54" t="s">
        <v>1381</v>
      </c>
    </row>
    <row r="2903" customFormat="false" ht="15" hidden="false" customHeight="true" outlineLevel="0" collapsed="false">
      <c r="A2903" s="54" t="n">
        <v>20260711</v>
      </c>
      <c r="B2903" s="54" t="s">
        <v>592</v>
      </c>
      <c r="C2903" s="54" t="s">
        <v>290</v>
      </c>
      <c r="D2903" s="54" t="s">
        <v>6280</v>
      </c>
      <c r="E2903" s="54" t="s">
        <v>6281</v>
      </c>
      <c r="F2903" s="54" t="s">
        <v>5914</v>
      </c>
      <c r="G2903" s="54" t="s">
        <v>6284</v>
      </c>
      <c r="H2903" s="54" t="n">
        <v>5972</v>
      </c>
      <c r="I2903" s="54" t="s">
        <v>295</v>
      </c>
      <c r="J2903" s="54" t="s">
        <v>1381</v>
      </c>
    </row>
    <row r="2904" customFormat="false" ht="15" hidden="false" customHeight="true" outlineLevel="0" collapsed="false">
      <c r="A2904" s="54" t="n">
        <v>20260711</v>
      </c>
      <c r="B2904" s="54" t="s">
        <v>306</v>
      </c>
      <c r="C2904" s="54" t="s">
        <v>307</v>
      </c>
      <c r="D2904" s="54" t="s">
        <v>3889</v>
      </c>
      <c r="E2904" s="54" t="s">
        <v>3890</v>
      </c>
      <c r="F2904" s="54" t="s">
        <v>6285</v>
      </c>
      <c r="G2904" s="54" t="s">
        <v>6286</v>
      </c>
      <c r="H2904" s="54" t="n">
        <v>4</v>
      </c>
      <c r="I2904" s="54" t="s">
        <v>315</v>
      </c>
      <c r="J2904" s="54" t="s">
        <v>2347</v>
      </c>
    </row>
    <row r="2905" customFormat="false" ht="15" hidden="false" customHeight="true" outlineLevel="0" collapsed="false">
      <c r="A2905" s="54" t="n">
        <v>20260711</v>
      </c>
      <c r="B2905" s="54" t="s">
        <v>306</v>
      </c>
      <c r="C2905" s="54" t="s">
        <v>307</v>
      </c>
      <c r="D2905" s="54" t="s">
        <v>3889</v>
      </c>
      <c r="E2905" s="54" t="s">
        <v>3890</v>
      </c>
      <c r="F2905" s="54" t="s">
        <v>6285</v>
      </c>
      <c r="G2905" s="54" t="s">
        <v>5246</v>
      </c>
      <c r="H2905" s="54" t="n">
        <v>5</v>
      </c>
      <c r="I2905" s="54" t="s">
        <v>295</v>
      </c>
      <c r="J2905" s="54" t="s">
        <v>2347</v>
      </c>
    </row>
    <row r="2906" customFormat="false" ht="15" hidden="false" customHeight="true" outlineLevel="0" collapsed="false">
      <c r="A2906" s="54" t="n">
        <v>20260711</v>
      </c>
      <c r="B2906" s="54" t="s">
        <v>306</v>
      </c>
      <c r="C2906" s="54" t="s">
        <v>307</v>
      </c>
      <c r="D2906" s="54" t="s">
        <v>3889</v>
      </c>
      <c r="E2906" s="54" t="s">
        <v>3890</v>
      </c>
      <c r="F2906" s="54" t="s">
        <v>6287</v>
      </c>
      <c r="G2906" s="54" t="s">
        <v>5649</v>
      </c>
      <c r="H2906" s="54" t="n">
        <v>21710</v>
      </c>
      <c r="I2906" s="54" t="s">
        <v>315</v>
      </c>
      <c r="J2906" s="54" t="s">
        <v>2347</v>
      </c>
    </row>
    <row r="2907" customFormat="false" ht="15" hidden="false" customHeight="true" outlineLevel="0" collapsed="false">
      <c r="A2907" s="54" t="n">
        <v>20260711</v>
      </c>
      <c r="B2907" s="54" t="s">
        <v>306</v>
      </c>
      <c r="C2907" s="54" t="s">
        <v>307</v>
      </c>
      <c r="D2907" s="54" t="s">
        <v>3889</v>
      </c>
      <c r="E2907" s="54" t="s">
        <v>3890</v>
      </c>
      <c r="F2907" s="54" t="s">
        <v>6287</v>
      </c>
      <c r="G2907" s="54" t="s">
        <v>5649</v>
      </c>
      <c r="H2907" s="54" t="n">
        <v>21710</v>
      </c>
      <c r="I2907" s="54" t="s">
        <v>295</v>
      </c>
      <c r="J2907" s="54" t="s">
        <v>2347</v>
      </c>
    </row>
    <row r="2908" customFormat="false" ht="15" hidden="false" customHeight="true" outlineLevel="0" collapsed="false">
      <c r="A2908" s="54" t="n">
        <v>20260711</v>
      </c>
      <c r="B2908" s="54" t="s">
        <v>289</v>
      </c>
      <c r="C2908" s="54" t="s">
        <v>290</v>
      </c>
      <c r="D2908" s="54" t="s">
        <v>3900</v>
      </c>
      <c r="E2908" s="54" t="s">
        <v>3901</v>
      </c>
      <c r="F2908" s="54" t="s">
        <v>6288</v>
      </c>
      <c r="G2908" s="54" t="s">
        <v>6289</v>
      </c>
      <c r="H2908" s="54" t="n">
        <v>6</v>
      </c>
      <c r="I2908" s="54" t="s">
        <v>360</v>
      </c>
      <c r="J2908" s="54" t="s">
        <v>1463</v>
      </c>
    </row>
    <row r="2909" customFormat="false" ht="15" hidden="false" customHeight="true" outlineLevel="0" collapsed="false">
      <c r="A2909" s="54" t="n">
        <v>20260711</v>
      </c>
      <c r="B2909" s="54" t="s">
        <v>289</v>
      </c>
      <c r="C2909" s="54" t="s">
        <v>290</v>
      </c>
      <c r="D2909" s="54" t="s">
        <v>3900</v>
      </c>
      <c r="E2909" s="54" t="s">
        <v>3901</v>
      </c>
      <c r="F2909" s="54" t="s">
        <v>6288</v>
      </c>
      <c r="G2909" s="54" t="s">
        <v>6289</v>
      </c>
      <c r="H2909" s="54" t="n">
        <v>6</v>
      </c>
      <c r="I2909" s="54" t="s">
        <v>295</v>
      </c>
      <c r="J2909" s="54" t="s">
        <v>1463</v>
      </c>
    </row>
    <row r="2910" customFormat="false" ht="15" hidden="false" customHeight="true" outlineLevel="0" collapsed="false">
      <c r="A2910" s="54" t="n">
        <v>20260711</v>
      </c>
      <c r="B2910" s="54" t="s">
        <v>289</v>
      </c>
      <c r="C2910" s="54" t="s">
        <v>290</v>
      </c>
      <c r="D2910" s="54" t="s">
        <v>3900</v>
      </c>
      <c r="E2910" s="54" t="s">
        <v>3901</v>
      </c>
      <c r="F2910" s="54" t="s">
        <v>5869</v>
      </c>
      <c r="G2910" s="54" t="s">
        <v>6290</v>
      </c>
      <c r="H2910" s="54" t="n">
        <v>18238</v>
      </c>
      <c r="I2910" s="54" t="s">
        <v>360</v>
      </c>
      <c r="J2910" s="54" t="s">
        <v>1463</v>
      </c>
    </row>
    <row r="2911" customFormat="false" ht="15" hidden="false" customHeight="true" outlineLevel="0" collapsed="false">
      <c r="A2911" s="54" t="n">
        <v>20260711</v>
      </c>
      <c r="B2911" s="54" t="s">
        <v>289</v>
      </c>
      <c r="C2911" s="54" t="s">
        <v>290</v>
      </c>
      <c r="D2911" s="54" t="s">
        <v>3900</v>
      </c>
      <c r="E2911" s="54" t="s">
        <v>3901</v>
      </c>
      <c r="F2911" s="54" t="s">
        <v>5869</v>
      </c>
      <c r="G2911" s="54" t="s">
        <v>6290</v>
      </c>
      <c r="H2911" s="54" t="n">
        <v>18238</v>
      </c>
      <c r="I2911" s="54" t="s">
        <v>295</v>
      </c>
      <c r="J2911" s="54" t="s">
        <v>1463</v>
      </c>
    </row>
    <row r="2912" customFormat="false" ht="15" hidden="false" customHeight="true" outlineLevel="0" collapsed="false">
      <c r="A2912" s="54" t="n">
        <v>20260711</v>
      </c>
      <c r="B2912" s="54" t="s">
        <v>289</v>
      </c>
      <c r="C2912" s="54" t="s">
        <v>290</v>
      </c>
      <c r="D2912" s="54" t="s">
        <v>3900</v>
      </c>
      <c r="E2912" s="54" t="s">
        <v>3901</v>
      </c>
      <c r="F2912" s="54" t="s">
        <v>6291</v>
      </c>
      <c r="G2912" s="54" t="s">
        <v>5282</v>
      </c>
      <c r="H2912" s="54" t="n">
        <v>10817</v>
      </c>
      <c r="I2912" s="54" t="s">
        <v>360</v>
      </c>
      <c r="J2912" s="54" t="s">
        <v>1463</v>
      </c>
    </row>
    <row r="2913" customFormat="false" ht="15" hidden="false" customHeight="true" outlineLevel="0" collapsed="false">
      <c r="A2913" s="54" t="n">
        <v>20260711</v>
      </c>
      <c r="B2913" s="54" t="s">
        <v>289</v>
      </c>
      <c r="C2913" s="54" t="s">
        <v>290</v>
      </c>
      <c r="D2913" s="54" t="s">
        <v>3900</v>
      </c>
      <c r="E2913" s="54" t="s">
        <v>3901</v>
      </c>
      <c r="F2913" s="54" t="s">
        <v>6291</v>
      </c>
      <c r="G2913" s="54" t="s">
        <v>5282</v>
      </c>
      <c r="H2913" s="54" t="n">
        <v>10817</v>
      </c>
      <c r="I2913" s="54" t="s">
        <v>295</v>
      </c>
      <c r="J2913" s="54" t="s">
        <v>1463</v>
      </c>
    </row>
    <row r="2914" customFormat="false" ht="15" hidden="false" customHeight="true" outlineLevel="0" collapsed="false">
      <c r="A2914" s="54" t="n">
        <v>20260711</v>
      </c>
      <c r="B2914" s="54" t="s">
        <v>306</v>
      </c>
      <c r="C2914" s="54" t="s">
        <v>290</v>
      </c>
      <c r="D2914" s="54" t="s">
        <v>3911</v>
      </c>
      <c r="E2914" s="54" t="s">
        <v>3912</v>
      </c>
      <c r="F2914" s="54" t="s">
        <v>6292</v>
      </c>
      <c r="G2914" s="54" t="s">
        <v>6293</v>
      </c>
      <c r="H2914" s="54" t="n">
        <v>18177</v>
      </c>
      <c r="I2914" s="54" t="s">
        <v>315</v>
      </c>
      <c r="J2914" s="54" t="s">
        <v>368</v>
      </c>
    </row>
    <row r="2915" customFormat="false" ht="15" hidden="false" customHeight="true" outlineLevel="0" collapsed="false">
      <c r="A2915" s="54" t="n">
        <v>20260711</v>
      </c>
      <c r="B2915" s="54" t="s">
        <v>306</v>
      </c>
      <c r="C2915" s="54" t="s">
        <v>290</v>
      </c>
      <c r="D2915" s="54" t="s">
        <v>3911</v>
      </c>
      <c r="E2915" s="54" t="s">
        <v>3912</v>
      </c>
      <c r="F2915" s="54" t="s">
        <v>6292</v>
      </c>
      <c r="G2915" s="54" t="s">
        <v>6293</v>
      </c>
      <c r="H2915" s="54" t="n">
        <v>18177</v>
      </c>
      <c r="I2915" s="54" t="s">
        <v>295</v>
      </c>
      <c r="J2915" s="54" t="s">
        <v>368</v>
      </c>
    </row>
    <row r="2916" customFormat="false" ht="15" hidden="false" customHeight="true" outlineLevel="0" collapsed="false">
      <c r="A2916" s="54" t="n">
        <v>20260711</v>
      </c>
      <c r="B2916" s="54" t="s">
        <v>289</v>
      </c>
      <c r="C2916" s="54" t="s">
        <v>290</v>
      </c>
      <c r="D2916" s="54" t="s">
        <v>6294</v>
      </c>
      <c r="E2916" s="54" t="s">
        <v>6295</v>
      </c>
      <c r="F2916" s="54" t="s">
        <v>6296</v>
      </c>
      <c r="G2916" s="54" t="s">
        <v>6297</v>
      </c>
      <c r="H2916" s="54" t="n">
        <v>10782</v>
      </c>
      <c r="I2916" s="54" t="s">
        <v>295</v>
      </c>
      <c r="J2916" s="54" t="s">
        <v>874</v>
      </c>
    </row>
    <row r="2917" customFormat="false" ht="15" hidden="false" customHeight="true" outlineLevel="0" collapsed="false">
      <c r="A2917" s="54" t="n">
        <v>20260711</v>
      </c>
      <c r="B2917" s="54" t="s">
        <v>289</v>
      </c>
      <c r="C2917" s="54" t="s">
        <v>290</v>
      </c>
      <c r="D2917" s="54" t="s">
        <v>6294</v>
      </c>
      <c r="E2917" s="54" t="s">
        <v>6295</v>
      </c>
      <c r="F2917" s="54" t="s">
        <v>6298</v>
      </c>
      <c r="G2917" s="54" t="s">
        <v>6299</v>
      </c>
      <c r="H2917" s="54" t="n">
        <v>10772</v>
      </c>
      <c r="I2917" s="54" t="s">
        <v>360</v>
      </c>
      <c r="J2917" s="54" t="s">
        <v>874</v>
      </c>
    </row>
    <row r="2918" customFormat="false" ht="15" hidden="false" customHeight="true" outlineLevel="0" collapsed="false">
      <c r="A2918" s="54" t="n">
        <v>20260711</v>
      </c>
      <c r="B2918" s="54" t="s">
        <v>289</v>
      </c>
      <c r="C2918" s="54" t="s">
        <v>290</v>
      </c>
      <c r="D2918" s="54" t="s">
        <v>6294</v>
      </c>
      <c r="E2918" s="54" t="s">
        <v>6295</v>
      </c>
      <c r="F2918" s="54" t="s">
        <v>6300</v>
      </c>
      <c r="G2918" s="54" t="s">
        <v>6301</v>
      </c>
      <c r="H2918" s="54" t="n">
        <v>8801</v>
      </c>
      <c r="I2918" s="54" t="s">
        <v>295</v>
      </c>
      <c r="J2918" s="54" t="s">
        <v>874</v>
      </c>
    </row>
    <row r="2919" customFormat="false" ht="15" hidden="false" customHeight="true" outlineLevel="0" collapsed="false">
      <c r="A2919" s="54" t="n">
        <v>20260711</v>
      </c>
      <c r="B2919" s="54" t="s">
        <v>289</v>
      </c>
      <c r="C2919" s="54" t="s">
        <v>290</v>
      </c>
      <c r="D2919" s="54" t="s">
        <v>6294</v>
      </c>
      <c r="E2919" s="54" t="s">
        <v>6295</v>
      </c>
      <c r="F2919" s="54" t="s">
        <v>6302</v>
      </c>
      <c r="G2919" s="54" t="s">
        <v>6301</v>
      </c>
      <c r="H2919" s="54" t="n">
        <v>8800</v>
      </c>
      <c r="I2919" s="54" t="s">
        <v>360</v>
      </c>
      <c r="J2919" s="54" t="s">
        <v>874</v>
      </c>
    </row>
    <row r="2920" customFormat="false" ht="15" hidden="false" customHeight="true" outlineLevel="0" collapsed="false">
      <c r="A2920" s="54" t="n">
        <v>20260711</v>
      </c>
      <c r="B2920" s="54" t="s">
        <v>289</v>
      </c>
      <c r="C2920" s="54" t="s">
        <v>290</v>
      </c>
      <c r="D2920" s="54" t="s">
        <v>6294</v>
      </c>
      <c r="E2920" s="54" t="s">
        <v>6295</v>
      </c>
      <c r="F2920" s="54" t="s">
        <v>6303</v>
      </c>
      <c r="G2920" s="54" t="s">
        <v>6304</v>
      </c>
      <c r="H2920" s="54" t="n">
        <v>2979</v>
      </c>
      <c r="I2920" s="54" t="s">
        <v>360</v>
      </c>
      <c r="J2920" s="54" t="s">
        <v>874</v>
      </c>
    </row>
    <row r="2921" customFormat="false" ht="15" hidden="false" customHeight="true" outlineLevel="0" collapsed="false">
      <c r="A2921" s="54" t="n">
        <v>20260711</v>
      </c>
      <c r="B2921" s="54" t="s">
        <v>289</v>
      </c>
      <c r="C2921" s="54" t="s">
        <v>290</v>
      </c>
      <c r="D2921" s="54" t="s">
        <v>6294</v>
      </c>
      <c r="E2921" s="54" t="s">
        <v>6295</v>
      </c>
      <c r="F2921" s="54" t="s">
        <v>6303</v>
      </c>
      <c r="G2921" s="54" t="s">
        <v>6305</v>
      </c>
      <c r="H2921" s="54" t="n">
        <v>2980</v>
      </c>
      <c r="I2921" s="54" t="s">
        <v>295</v>
      </c>
      <c r="J2921" s="54" t="s">
        <v>874</v>
      </c>
    </row>
    <row r="2922" customFormat="false" ht="15" hidden="false" customHeight="true" outlineLevel="0" collapsed="false">
      <c r="A2922" s="54" t="n">
        <v>20260711</v>
      </c>
      <c r="B2922" s="54" t="s">
        <v>289</v>
      </c>
      <c r="C2922" s="54" t="s">
        <v>290</v>
      </c>
      <c r="D2922" s="54" t="s">
        <v>6294</v>
      </c>
      <c r="E2922" s="54" t="s">
        <v>6295</v>
      </c>
      <c r="F2922" s="54" t="s">
        <v>6306</v>
      </c>
      <c r="G2922" s="54" t="s">
        <v>6307</v>
      </c>
      <c r="H2922" s="54" t="n">
        <v>1543</v>
      </c>
      <c r="I2922" s="54" t="s">
        <v>295</v>
      </c>
      <c r="J2922" s="54" t="s">
        <v>874</v>
      </c>
    </row>
    <row r="2923" customFormat="false" ht="15" hidden="false" customHeight="true" outlineLevel="0" collapsed="false">
      <c r="A2923" s="54" t="n">
        <v>20260711</v>
      </c>
      <c r="B2923" s="54" t="s">
        <v>289</v>
      </c>
      <c r="C2923" s="54" t="s">
        <v>290</v>
      </c>
      <c r="D2923" s="54" t="s">
        <v>6294</v>
      </c>
      <c r="E2923" s="54" t="s">
        <v>6295</v>
      </c>
      <c r="F2923" s="54" t="s">
        <v>6308</v>
      </c>
      <c r="G2923" s="54" t="s">
        <v>6309</v>
      </c>
      <c r="H2923" s="54" t="n">
        <v>5073</v>
      </c>
      <c r="I2923" s="54" t="s">
        <v>360</v>
      </c>
      <c r="J2923" s="54" t="s">
        <v>874</v>
      </c>
    </row>
    <row r="2924" customFormat="false" ht="15" hidden="false" customHeight="true" outlineLevel="0" collapsed="false">
      <c r="A2924" s="54" t="n">
        <v>20260711</v>
      </c>
      <c r="B2924" s="54" t="s">
        <v>289</v>
      </c>
      <c r="C2924" s="54" t="s">
        <v>290</v>
      </c>
      <c r="D2924" s="54" t="s">
        <v>6294</v>
      </c>
      <c r="E2924" s="54" t="s">
        <v>6295</v>
      </c>
      <c r="F2924" s="54" t="s">
        <v>6308</v>
      </c>
      <c r="G2924" s="54" t="s">
        <v>6309</v>
      </c>
      <c r="H2924" s="54" t="n">
        <v>5073</v>
      </c>
      <c r="I2924" s="54" t="s">
        <v>295</v>
      </c>
      <c r="J2924" s="54" t="s">
        <v>874</v>
      </c>
    </row>
    <row r="2925" customFormat="false" ht="15" hidden="false" customHeight="true" outlineLevel="0" collapsed="false">
      <c r="A2925" s="54" t="n">
        <v>20260711</v>
      </c>
      <c r="B2925" s="54" t="s">
        <v>306</v>
      </c>
      <c r="C2925" s="54" t="s">
        <v>290</v>
      </c>
      <c r="D2925" s="54" t="s">
        <v>429</v>
      </c>
      <c r="E2925" s="54" t="s">
        <v>430</v>
      </c>
      <c r="F2925" s="54" t="s">
        <v>6310</v>
      </c>
      <c r="G2925" s="54" t="s">
        <v>6311</v>
      </c>
      <c r="H2925" s="54" t="n">
        <v>28800</v>
      </c>
      <c r="I2925" s="54" t="s">
        <v>315</v>
      </c>
      <c r="J2925" s="54" t="s">
        <v>433</v>
      </c>
    </row>
    <row r="2926" customFormat="false" ht="15" hidden="false" customHeight="true" outlineLevel="0" collapsed="false">
      <c r="A2926" s="54" t="n">
        <v>20260711</v>
      </c>
      <c r="B2926" s="54" t="s">
        <v>289</v>
      </c>
      <c r="C2926" s="54" t="s">
        <v>290</v>
      </c>
      <c r="D2926" s="54" t="s">
        <v>6312</v>
      </c>
      <c r="E2926" s="54" t="s">
        <v>6313</v>
      </c>
      <c r="F2926" s="54" t="s">
        <v>6314</v>
      </c>
      <c r="G2926" s="54" t="s">
        <v>6315</v>
      </c>
      <c r="H2926" s="54" t="n">
        <v>9204</v>
      </c>
      <c r="I2926" s="54" t="s">
        <v>295</v>
      </c>
      <c r="J2926" s="54" t="s">
        <v>2306</v>
      </c>
    </row>
    <row r="2927" customFormat="false" ht="15" hidden="false" customHeight="true" outlineLevel="0" collapsed="false">
      <c r="A2927" s="54" t="n">
        <v>20260711</v>
      </c>
      <c r="B2927" s="54" t="s">
        <v>289</v>
      </c>
      <c r="C2927" s="54" t="s">
        <v>290</v>
      </c>
      <c r="D2927" s="54" t="s">
        <v>6312</v>
      </c>
      <c r="E2927" s="54" t="s">
        <v>6313</v>
      </c>
      <c r="F2927" s="54" t="s">
        <v>6316</v>
      </c>
      <c r="G2927" s="54" t="s">
        <v>6317</v>
      </c>
      <c r="H2927" s="54" t="n">
        <v>9051</v>
      </c>
      <c r="I2927" s="54" t="s">
        <v>295</v>
      </c>
      <c r="J2927" s="54" t="s">
        <v>2306</v>
      </c>
    </row>
    <row r="2928" customFormat="false" ht="15" hidden="false" customHeight="true" outlineLevel="0" collapsed="false">
      <c r="A2928" s="54" t="n">
        <v>20260711</v>
      </c>
      <c r="B2928" s="54" t="s">
        <v>289</v>
      </c>
      <c r="C2928" s="54" t="s">
        <v>290</v>
      </c>
      <c r="D2928" s="54" t="s">
        <v>6312</v>
      </c>
      <c r="E2928" s="54" t="s">
        <v>6313</v>
      </c>
      <c r="F2928" s="54" t="s">
        <v>6318</v>
      </c>
      <c r="G2928" s="54" t="s">
        <v>6319</v>
      </c>
      <c r="H2928" s="54" t="n">
        <v>5324</v>
      </c>
      <c r="I2928" s="54" t="s">
        <v>295</v>
      </c>
      <c r="J2928" s="54" t="s">
        <v>2306</v>
      </c>
    </row>
    <row r="2929" customFormat="false" ht="15" hidden="false" customHeight="true" outlineLevel="0" collapsed="false">
      <c r="A2929" s="54" t="n">
        <v>20260711</v>
      </c>
      <c r="B2929" s="54" t="s">
        <v>289</v>
      </c>
      <c r="C2929" s="54" t="s">
        <v>290</v>
      </c>
      <c r="D2929" s="54" t="s">
        <v>6312</v>
      </c>
      <c r="E2929" s="54" t="s">
        <v>6313</v>
      </c>
      <c r="F2929" s="54" t="s">
        <v>6320</v>
      </c>
      <c r="G2929" s="54" t="s">
        <v>6148</v>
      </c>
      <c r="H2929" s="54" t="n">
        <v>5589</v>
      </c>
      <c r="I2929" s="54" t="s">
        <v>295</v>
      </c>
      <c r="J2929" s="54" t="s">
        <v>2306</v>
      </c>
    </row>
    <row r="2930" customFormat="false" ht="15" hidden="false" customHeight="true" outlineLevel="0" collapsed="false">
      <c r="A2930" s="54" t="n">
        <v>20260711</v>
      </c>
      <c r="B2930" s="54" t="s">
        <v>289</v>
      </c>
      <c r="C2930" s="54" t="s">
        <v>290</v>
      </c>
      <c r="D2930" s="54" t="s">
        <v>4005</v>
      </c>
      <c r="E2930" s="54" t="s">
        <v>4006</v>
      </c>
      <c r="F2930" s="54" t="s">
        <v>6321</v>
      </c>
      <c r="G2930" s="54" t="s">
        <v>6322</v>
      </c>
      <c r="H2930" s="54" t="n">
        <v>4914</v>
      </c>
      <c r="I2930" s="54" t="s">
        <v>295</v>
      </c>
      <c r="J2930" s="54" t="s">
        <v>303</v>
      </c>
    </row>
    <row r="2931" customFormat="false" ht="15" hidden="false" customHeight="true" outlineLevel="0" collapsed="false">
      <c r="A2931" s="54" t="n">
        <v>20260711</v>
      </c>
      <c r="B2931" s="54" t="s">
        <v>289</v>
      </c>
      <c r="C2931" s="54" t="s">
        <v>290</v>
      </c>
      <c r="D2931" s="54" t="s">
        <v>4005</v>
      </c>
      <c r="E2931" s="54" t="s">
        <v>4006</v>
      </c>
      <c r="F2931" s="54" t="s">
        <v>6323</v>
      </c>
      <c r="G2931" s="54" t="s">
        <v>6324</v>
      </c>
      <c r="H2931" s="54" t="n">
        <v>11620</v>
      </c>
      <c r="I2931" s="54" t="s">
        <v>295</v>
      </c>
      <c r="J2931" s="54" t="s">
        <v>303</v>
      </c>
    </row>
    <row r="2932" customFormat="false" ht="15" hidden="false" customHeight="true" outlineLevel="0" collapsed="false">
      <c r="A2932" s="54" t="n">
        <v>20260711</v>
      </c>
      <c r="B2932" s="54" t="s">
        <v>289</v>
      </c>
      <c r="C2932" s="54" t="s">
        <v>290</v>
      </c>
      <c r="D2932" s="54" t="s">
        <v>4005</v>
      </c>
      <c r="E2932" s="54" t="s">
        <v>4006</v>
      </c>
      <c r="F2932" s="54" t="s">
        <v>6325</v>
      </c>
      <c r="G2932" s="54" t="s">
        <v>6326</v>
      </c>
      <c r="H2932" s="54" t="n">
        <v>4425</v>
      </c>
      <c r="I2932" s="54" t="s">
        <v>295</v>
      </c>
      <c r="J2932" s="54" t="s">
        <v>303</v>
      </c>
    </row>
    <row r="2933" customFormat="false" ht="15" hidden="false" customHeight="true" outlineLevel="0" collapsed="false">
      <c r="A2933" s="54" t="n">
        <v>20260711</v>
      </c>
      <c r="B2933" s="54" t="s">
        <v>289</v>
      </c>
      <c r="C2933" s="54" t="s">
        <v>290</v>
      </c>
      <c r="D2933" s="54" t="s">
        <v>4005</v>
      </c>
      <c r="E2933" s="54" t="s">
        <v>4006</v>
      </c>
      <c r="F2933" s="54" t="s">
        <v>6327</v>
      </c>
      <c r="G2933" s="54" t="s">
        <v>6328</v>
      </c>
      <c r="H2933" s="54" t="n">
        <v>11632</v>
      </c>
      <c r="I2933" s="54" t="s">
        <v>295</v>
      </c>
      <c r="J2933" s="54" t="s">
        <v>303</v>
      </c>
    </row>
    <row r="2934" customFormat="false" ht="15" hidden="false" customHeight="true" outlineLevel="0" collapsed="false">
      <c r="A2934" s="54" t="n">
        <v>20260711</v>
      </c>
      <c r="B2934" s="54" t="s">
        <v>306</v>
      </c>
      <c r="C2934" s="54" t="s">
        <v>290</v>
      </c>
      <c r="D2934" s="54" t="s">
        <v>4032</v>
      </c>
      <c r="E2934" s="54" t="s">
        <v>4033</v>
      </c>
      <c r="F2934" s="54" t="s">
        <v>6329</v>
      </c>
      <c r="G2934" s="54" t="s">
        <v>6330</v>
      </c>
      <c r="H2934" s="54" t="n">
        <v>11605</v>
      </c>
      <c r="I2934" s="54" t="s">
        <v>295</v>
      </c>
      <c r="J2934" s="54" t="s">
        <v>4035</v>
      </c>
    </row>
    <row r="2935" customFormat="false" ht="15" hidden="false" customHeight="true" outlineLevel="0" collapsed="false">
      <c r="A2935" s="54" t="n">
        <v>20260711</v>
      </c>
      <c r="B2935" s="54" t="s">
        <v>306</v>
      </c>
      <c r="C2935" s="54" t="s">
        <v>307</v>
      </c>
      <c r="D2935" s="54" t="s">
        <v>4061</v>
      </c>
      <c r="E2935" s="54" t="s">
        <v>4062</v>
      </c>
      <c r="F2935" s="54" t="s">
        <v>6331</v>
      </c>
      <c r="G2935" s="54" t="s">
        <v>5777</v>
      </c>
      <c r="H2935" s="54" t="n">
        <v>21709</v>
      </c>
      <c r="I2935" s="54" t="s">
        <v>295</v>
      </c>
      <c r="J2935" s="54" t="s">
        <v>392</v>
      </c>
    </row>
    <row r="2936" customFormat="false" ht="15" hidden="false" customHeight="true" outlineLevel="0" collapsed="false">
      <c r="A2936" s="54" t="n">
        <v>20260711</v>
      </c>
      <c r="B2936" s="54" t="s">
        <v>497</v>
      </c>
      <c r="C2936" s="54" t="s">
        <v>307</v>
      </c>
      <c r="D2936" s="54" t="s">
        <v>4083</v>
      </c>
      <c r="E2936" s="54" t="s">
        <v>4084</v>
      </c>
      <c r="F2936" s="54" t="s">
        <v>6332</v>
      </c>
      <c r="G2936" s="54" t="s">
        <v>6333</v>
      </c>
      <c r="H2936" s="54" t="n">
        <v>14902</v>
      </c>
      <c r="I2936" s="54" t="s">
        <v>295</v>
      </c>
      <c r="J2936" s="54" t="s">
        <v>894</v>
      </c>
    </row>
    <row r="2937" customFormat="false" ht="15" hidden="false" customHeight="true" outlineLevel="0" collapsed="false">
      <c r="A2937" s="54" t="n">
        <v>20260711</v>
      </c>
      <c r="B2937" s="54" t="s">
        <v>497</v>
      </c>
      <c r="C2937" s="54" t="s">
        <v>307</v>
      </c>
      <c r="D2937" s="54" t="s">
        <v>4089</v>
      </c>
      <c r="E2937" s="54" t="s">
        <v>4090</v>
      </c>
      <c r="F2937" s="54" t="s">
        <v>6334</v>
      </c>
      <c r="G2937" s="54" t="s">
        <v>5280</v>
      </c>
      <c r="H2937" s="54" t="n">
        <v>14368</v>
      </c>
      <c r="I2937" s="54" t="s">
        <v>295</v>
      </c>
      <c r="J2937" s="54" t="s">
        <v>894</v>
      </c>
    </row>
    <row r="2938" customFormat="false" ht="15" hidden="false" customHeight="true" outlineLevel="0" collapsed="false">
      <c r="A2938" s="54" t="n">
        <v>20260711</v>
      </c>
      <c r="B2938" s="54" t="s">
        <v>168</v>
      </c>
      <c r="C2938" s="54" t="s">
        <v>290</v>
      </c>
      <c r="D2938" s="54" t="s">
        <v>6335</v>
      </c>
      <c r="E2938" s="54" t="s">
        <v>6336</v>
      </c>
      <c r="F2938" s="54" t="s">
        <v>6337</v>
      </c>
      <c r="G2938" s="54" t="s">
        <v>6338</v>
      </c>
      <c r="H2938" s="54" t="n">
        <v>15138</v>
      </c>
      <c r="I2938" s="54" t="s">
        <v>295</v>
      </c>
      <c r="J2938" s="54" t="s">
        <v>1709</v>
      </c>
    </row>
    <row r="2939" customFormat="false" ht="15" hidden="false" customHeight="true" outlineLevel="0" collapsed="false">
      <c r="A2939" s="54" t="n">
        <v>20260711</v>
      </c>
      <c r="B2939" s="54" t="s">
        <v>168</v>
      </c>
      <c r="C2939" s="54" t="s">
        <v>290</v>
      </c>
      <c r="D2939" s="54" t="s">
        <v>6335</v>
      </c>
      <c r="E2939" s="54" t="s">
        <v>6336</v>
      </c>
      <c r="F2939" s="54" t="s">
        <v>6339</v>
      </c>
      <c r="G2939" s="54" t="s">
        <v>5282</v>
      </c>
      <c r="H2939" s="54" t="n">
        <v>12594</v>
      </c>
      <c r="I2939" s="54" t="s">
        <v>295</v>
      </c>
      <c r="J2939" s="54" t="s">
        <v>1709</v>
      </c>
    </row>
    <row r="2940" customFormat="false" ht="15" hidden="false" customHeight="true" outlineLevel="0" collapsed="false">
      <c r="A2940" s="54" t="n">
        <v>20260711</v>
      </c>
      <c r="B2940" s="54" t="s">
        <v>289</v>
      </c>
      <c r="C2940" s="54" t="s">
        <v>290</v>
      </c>
      <c r="D2940" s="54" t="s">
        <v>435</v>
      </c>
      <c r="E2940" s="54" t="s">
        <v>436</v>
      </c>
      <c r="F2940" s="54" t="s">
        <v>5869</v>
      </c>
      <c r="G2940" s="54" t="s">
        <v>6340</v>
      </c>
      <c r="H2940" s="54" t="n">
        <v>18185</v>
      </c>
      <c r="I2940" s="54" t="s">
        <v>295</v>
      </c>
      <c r="J2940" s="54" t="s">
        <v>439</v>
      </c>
    </row>
    <row r="2941" customFormat="false" ht="15" hidden="false" customHeight="true" outlineLevel="0" collapsed="false">
      <c r="A2941" s="54" t="n">
        <v>20260711</v>
      </c>
      <c r="B2941" s="54" t="s">
        <v>289</v>
      </c>
      <c r="C2941" s="54" t="s">
        <v>290</v>
      </c>
      <c r="D2941" s="54" t="s">
        <v>435</v>
      </c>
      <c r="E2941" s="54" t="s">
        <v>436</v>
      </c>
      <c r="F2941" s="54" t="s">
        <v>6341</v>
      </c>
      <c r="G2941" s="54" t="s">
        <v>6342</v>
      </c>
      <c r="H2941" s="54" t="n">
        <v>10824</v>
      </c>
      <c r="I2941" s="54" t="s">
        <v>315</v>
      </c>
      <c r="J2941" s="54" t="s">
        <v>439</v>
      </c>
    </row>
    <row r="2942" customFormat="false" ht="15" hidden="false" customHeight="true" outlineLevel="0" collapsed="false">
      <c r="A2942" s="54" t="n">
        <v>20260711</v>
      </c>
      <c r="B2942" s="54" t="s">
        <v>289</v>
      </c>
      <c r="C2942" s="54" t="s">
        <v>290</v>
      </c>
      <c r="D2942" s="54" t="s">
        <v>435</v>
      </c>
      <c r="E2942" s="54" t="s">
        <v>436</v>
      </c>
      <c r="F2942" s="54" t="s">
        <v>6341</v>
      </c>
      <c r="G2942" s="54" t="s">
        <v>6342</v>
      </c>
      <c r="H2942" s="54" t="n">
        <v>10824</v>
      </c>
      <c r="I2942" s="54" t="s">
        <v>295</v>
      </c>
      <c r="J2942" s="54" t="s">
        <v>439</v>
      </c>
    </row>
    <row r="2943" customFormat="false" ht="15" hidden="false" customHeight="true" outlineLevel="0" collapsed="false">
      <c r="A2943" s="54" t="n">
        <v>20260711</v>
      </c>
      <c r="B2943" s="54" t="s">
        <v>289</v>
      </c>
      <c r="C2943" s="54" t="s">
        <v>290</v>
      </c>
      <c r="D2943" s="54" t="s">
        <v>4097</v>
      </c>
      <c r="E2943" s="54" t="s">
        <v>4098</v>
      </c>
      <c r="F2943" s="54" t="s">
        <v>6343</v>
      </c>
      <c r="G2943" s="54" t="s">
        <v>6344</v>
      </c>
      <c r="H2943" s="54" t="n">
        <v>1830</v>
      </c>
      <c r="I2943" s="54" t="s">
        <v>295</v>
      </c>
      <c r="J2943" s="54" t="s">
        <v>2306</v>
      </c>
    </row>
    <row r="2944" customFormat="false" ht="15" hidden="false" customHeight="true" outlineLevel="0" collapsed="false">
      <c r="A2944" s="54" t="n">
        <v>20260711</v>
      </c>
      <c r="B2944" s="54" t="s">
        <v>289</v>
      </c>
      <c r="C2944" s="54" t="s">
        <v>290</v>
      </c>
      <c r="D2944" s="54" t="s">
        <v>4097</v>
      </c>
      <c r="E2944" s="54" t="s">
        <v>4098</v>
      </c>
      <c r="F2944" s="54" t="s">
        <v>6345</v>
      </c>
      <c r="G2944" s="54" t="s">
        <v>6346</v>
      </c>
      <c r="H2944" s="54" t="n">
        <v>17922</v>
      </c>
      <c r="I2944" s="54" t="s">
        <v>295</v>
      </c>
      <c r="J2944" s="54" t="s">
        <v>2306</v>
      </c>
    </row>
    <row r="2945" customFormat="false" ht="15" hidden="false" customHeight="true" outlineLevel="0" collapsed="false">
      <c r="A2945" s="54" t="n">
        <v>20260711</v>
      </c>
      <c r="B2945" s="54" t="s">
        <v>289</v>
      </c>
      <c r="C2945" s="54" t="s">
        <v>290</v>
      </c>
      <c r="D2945" s="54" t="s">
        <v>4097</v>
      </c>
      <c r="E2945" s="54" t="s">
        <v>4098</v>
      </c>
      <c r="F2945" s="54" t="s">
        <v>6347</v>
      </c>
      <c r="G2945" s="54" t="s">
        <v>6348</v>
      </c>
      <c r="H2945" s="54" t="n">
        <v>9985</v>
      </c>
      <c r="I2945" s="54" t="s">
        <v>295</v>
      </c>
      <c r="J2945" s="54" t="s">
        <v>2306</v>
      </c>
    </row>
    <row r="2946" customFormat="false" ht="15" hidden="false" customHeight="true" outlineLevel="0" collapsed="false">
      <c r="A2946" s="54" t="n">
        <v>20260711</v>
      </c>
      <c r="B2946" s="54" t="s">
        <v>168</v>
      </c>
      <c r="C2946" s="54" t="s">
        <v>290</v>
      </c>
      <c r="D2946" s="54" t="s">
        <v>6349</v>
      </c>
      <c r="E2946" s="54" t="s">
        <v>6350</v>
      </c>
      <c r="F2946" s="54" t="s">
        <v>6351</v>
      </c>
      <c r="G2946" s="54" t="s">
        <v>6352</v>
      </c>
      <c r="H2946" s="54" t="n">
        <v>13004</v>
      </c>
      <c r="I2946" s="54" t="s">
        <v>295</v>
      </c>
      <c r="J2946" s="54" t="s">
        <v>818</v>
      </c>
    </row>
    <row r="2947" customFormat="false" ht="15" hidden="false" customHeight="true" outlineLevel="0" collapsed="false">
      <c r="A2947" s="54" t="n">
        <v>20260711</v>
      </c>
      <c r="B2947" s="54" t="s">
        <v>168</v>
      </c>
      <c r="C2947" s="54" t="s">
        <v>290</v>
      </c>
      <c r="D2947" s="54" t="s">
        <v>6349</v>
      </c>
      <c r="E2947" s="54" t="s">
        <v>6350</v>
      </c>
      <c r="F2947" s="54" t="s">
        <v>6353</v>
      </c>
      <c r="G2947" s="54" t="s">
        <v>6052</v>
      </c>
      <c r="H2947" s="54" t="n">
        <v>14466</v>
      </c>
      <c r="I2947" s="54" t="s">
        <v>295</v>
      </c>
      <c r="J2947" s="54" t="s">
        <v>818</v>
      </c>
    </row>
    <row r="2948" customFormat="false" ht="15" hidden="false" customHeight="true" outlineLevel="0" collapsed="false">
      <c r="A2948" s="54" t="n">
        <v>20260711</v>
      </c>
      <c r="B2948" s="54" t="s">
        <v>306</v>
      </c>
      <c r="C2948" s="54" t="s">
        <v>290</v>
      </c>
      <c r="D2948" s="54" t="s">
        <v>4121</v>
      </c>
      <c r="E2948" s="54" t="s">
        <v>4122</v>
      </c>
      <c r="F2948" s="54" t="s">
        <v>6354</v>
      </c>
      <c r="G2948" s="54" t="s">
        <v>5789</v>
      </c>
      <c r="H2948" s="54" t="n">
        <v>626</v>
      </c>
      <c r="I2948" s="54" t="s">
        <v>295</v>
      </c>
      <c r="J2948" s="54" t="s">
        <v>368</v>
      </c>
    </row>
    <row r="2949" customFormat="false" ht="15" hidden="false" customHeight="true" outlineLevel="0" collapsed="false">
      <c r="A2949" s="54" t="n">
        <v>20260711</v>
      </c>
      <c r="B2949" s="54" t="s">
        <v>306</v>
      </c>
      <c r="C2949" s="54" t="s">
        <v>290</v>
      </c>
      <c r="D2949" s="54" t="s">
        <v>4121</v>
      </c>
      <c r="E2949" s="54" t="s">
        <v>4122</v>
      </c>
      <c r="F2949" s="54" t="s">
        <v>6355</v>
      </c>
      <c r="G2949" s="54" t="s">
        <v>5789</v>
      </c>
      <c r="H2949" s="54" t="n">
        <v>625</v>
      </c>
      <c r="I2949" s="54" t="s">
        <v>315</v>
      </c>
      <c r="J2949" s="54" t="s">
        <v>368</v>
      </c>
    </row>
    <row r="2950" customFormat="false" ht="15" hidden="false" customHeight="true" outlineLevel="0" collapsed="false">
      <c r="A2950" s="54" t="n">
        <v>20260711</v>
      </c>
      <c r="B2950" s="54" t="s">
        <v>306</v>
      </c>
      <c r="C2950" s="54" t="s">
        <v>290</v>
      </c>
      <c r="D2950" s="54" t="s">
        <v>4121</v>
      </c>
      <c r="E2950" s="54" t="s">
        <v>4122</v>
      </c>
      <c r="F2950" s="54" t="s">
        <v>6356</v>
      </c>
      <c r="G2950" s="54" t="s">
        <v>6357</v>
      </c>
      <c r="H2950" s="54" t="n">
        <v>24537</v>
      </c>
      <c r="I2950" s="54" t="s">
        <v>295</v>
      </c>
      <c r="J2950" s="54" t="s">
        <v>368</v>
      </c>
    </row>
    <row r="2951" customFormat="false" ht="15" hidden="false" customHeight="true" outlineLevel="0" collapsed="false">
      <c r="A2951" s="54" t="n">
        <v>20260711</v>
      </c>
      <c r="B2951" s="54" t="s">
        <v>306</v>
      </c>
      <c r="C2951" s="54" t="s">
        <v>290</v>
      </c>
      <c r="D2951" s="54" t="s">
        <v>4121</v>
      </c>
      <c r="E2951" s="54" t="s">
        <v>4122</v>
      </c>
      <c r="F2951" s="54" t="s">
        <v>6358</v>
      </c>
      <c r="G2951" s="54" t="s">
        <v>6357</v>
      </c>
      <c r="H2951" s="54" t="n">
        <v>24536</v>
      </c>
      <c r="I2951" s="54" t="s">
        <v>315</v>
      </c>
      <c r="J2951" s="54" t="s">
        <v>368</v>
      </c>
    </row>
    <row r="2952" customFormat="false" ht="15" hidden="false" customHeight="true" outlineLevel="0" collapsed="false">
      <c r="A2952" s="54" t="n">
        <v>20260711</v>
      </c>
      <c r="B2952" s="54" t="s">
        <v>306</v>
      </c>
      <c r="C2952" s="54" t="s">
        <v>290</v>
      </c>
      <c r="D2952" s="54" t="s">
        <v>4121</v>
      </c>
      <c r="E2952" s="54" t="s">
        <v>4122</v>
      </c>
      <c r="F2952" s="54" t="s">
        <v>6359</v>
      </c>
      <c r="G2952" s="54" t="s">
        <v>6360</v>
      </c>
      <c r="H2952" s="54" t="n">
        <v>3653</v>
      </c>
      <c r="I2952" s="54" t="s">
        <v>295</v>
      </c>
      <c r="J2952" s="54" t="s">
        <v>368</v>
      </c>
    </row>
    <row r="2953" customFormat="false" ht="15" hidden="false" customHeight="true" outlineLevel="0" collapsed="false">
      <c r="A2953" s="54" t="n">
        <v>20260711</v>
      </c>
      <c r="B2953" s="54" t="s">
        <v>306</v>
      </c>
      <c r="C2953" s="54" t="s">
        <v>290</v>
      </c>
      <c r="D2953" s="54" t="s">
        <v>4121</v>
      </c>
      <c r="E2953" s="54" t="s">
        <v>4122</v>
      </c>
      <c r="F2953" s="54" t="s">
        <v>6359</v>
      </c>
      <c r="G2953" s="54" t="s">
        <v>6361</v>
      </c>
      <c r="H2953" s="54" t="n">
        <v>3654</v>
      </c>
      <c r="I2953" s="54" t="s">
        <v>315</v>
      </c>
      <c r="J2953" s="54" t="s">
        <v>368</v>
      </c>
    </row>
    <row r="2954" customFormat="false" ht="15" hidden="false" customHeight="true" outlineLevel="0" collapsed="false">
      <c r="A2954" s="54" t="n">
        <v>20260711</v>
      </c>
      <c r="B2954" s="54" t="s">
        <v>306</v>
      </c>
      <c r="C2954" s="54" t="s">
        <v>290</v>
      </c>
      <c r="D2954" s="54" t="s">
        <v>4134</v>
      </c>
      <c r="E2954" s="54" t="s">
        <v>4135</v>
      </c>
      <c r="F2954" s="54" t="s">
        <v>6362</v>
      </c>
      <c r="G2954" s="54" t="s">
        <v>5284</v>
      </c>
      <c r="H2954" s="54" t="n">
        <v>21701</v>
      </c>
      <c r="I2954" s="54" t="s">
        <v>295</v>
      </c>
      <c r="J2954" s="54" t="s">
        <v>989</v>
      </c>
    </row>
    <row r="2955" customFormat="false" ht="15" hidden="false" customHeight="true" outlineLevel="0" collapsed="false">
      <c r="A2955" s="54" t="n">
        <v>20260711</v>
      </c>
      <c r="B2955" s="54" t="s">
        <v>306</v>
      </c>
      <c r="C2955" s="54" t="s">
        <v>290</v>
      </c>
      <c r="D2955" s="54" t="s">
        <v>4134</v>
      </c>
      <c r="E2955" s="54" t="s">
        <v>4135</v>
      </c>
      <c r="F2955" s="54" t="s">
        <v>6363</v>
      </c>
      <c r="G2955" s="54" t="s">
        <v>5284</v>
      </c>
      <c r="H2955" s="54" t="n">
        <v>21699</v>
      </c>
      <c r="I2955" s="54" t="s">
        <v>315</v>
      </c>
      <c r="J2955" s="54" t="s">
        <v>989</v>
      </c>
    </row>
    <row r="2956" customFormat="false" ht="15" hidden="false" customHeight="true" outlineLevel="0" collapsed="false">
      <c r="A2956" s="54" t="n">
        <v>20260711</v>
      </c>
      <c r="B2956" s="54" t="s">
        <v>306</v>
      </c>
      <c r="C2956" s="54" t="s">
        <v>290</v>
      </c>
      <c r="D2956" s="54" t="s">
        <v>4139</v>
      </c>
      <c r="E2956" s="54" t="s">
        <v>4140</v>
      </c>
      <c r="F2956" s="54" t="s">
        <v>6364</v>
      </c>
      <c r="G2956" s="54" t="s">
        <v>6365</v>
      </c>
      <c r="H2956" s="54" t="n">
        <v>9147</v>
      </c>
      <c r="I2956" s="54" t="s">
        <v>295</v>
      </c>
      <c r="J2956" s="54" t="s">
        <v>375</v>
      </c>
    </row>
    <row r="2957" customFormat="false" ht="15" hidden="false" customHeight="true" outlineLevel="0" collapsed="false">
      <c r="A2957" s="54" t="n">
        <v>20260711</v>
      </c>
      <c r="B2957" s="54" t="s">
        <v>306</v>
      </c>
      <c r="C2957" s="54" t="s">
        <v>290</v>
      </c>
      <c r="D2957" s="54" t="s">
        <v>4139</v>
      </c>
      <c r="E2957" s="54" t="s">
        <v>4140</v>
      </c>
      <c r="F2957" s="54" t="s">
        <v>6366</v>
      </c>
      <c r="G2957" s="54" t="s">
        <v>5340</v>
      </c>
      <c r="H2957" s="54" t="n">
        <v>8360</v>
      </c>
      <c r="I2957" s="54" t="s">
        <v>295</v>
      </c>
      <c r="J2957" s="54" t="s">
        <v>375</v>
      </c>
    </row>
    <row r="2958" customFormat="false" ht="15" hidden="false" customHeight="true" outlineLevel="0" collapsed="false">
      <c r="A2958" s="54" t="n">
        <v>20260711</v>
      </c>
      <c r="B2958" s="54" t="s">
        <v>289</v>
      </c>
      <c r="C2958" s="54" t="s">
        <v>290</v>
      </c>
      <c r="D2958" s="54" t="s">
        <v>4170</v>
      </c>
      <c r="E2958" s="54" t="s">
        <v>4171</v>
      </c>
      <c r="F2958" s="54" t="s">
        <v>6367</v>
      </c>
      <c r="G2958" s="54" t="s">
        <v>6368</v>
      </c>
      <c r="H2958" s="54" t="n">
        <v>3</v>
      </c>
      <c r="I2958" s="54" t="s">
        <v>295</v>
      </c>
      <c r="J2958" s="54" t="s">
        <v>296</v>
      </c>
    </row>
    <row r="2959" customFormat="false" ht="15" hidden="false" customHeight="true" outlineLevel="0" collapsed="false">
      <c r="A2959" s="54" t="n">
        <v>20260711</v>
      </c>
      <c r="B2959" s="54" t="s">
        <v>289</v>
      </c>
      <c r="C2959" s="54" t="s">
        <v>290</v>
      </c>
      <c r="D2959" s="54" t="s">
        <v>4170</v>
      </c>
      <c r="E2959" s="54" t="s">
        <v>4171</v>
      </c>
      <c r="F2959" s="54" t="s">
        <v>6369</v>
      </c>
      <c r="G2959" s="54" t="s">
        <v>6370</v>
      </c>
      <c r="H2959" s="54" t="n">
        <v>4</v>
      </c>
      <c r="I2959" s="54" t="s">
        <v>295</v>
      </c>
      <c r="J2959" s="54" t="s">
        <v>296</v>
      </c>
    </row>
    <row r="2960" customFormat="false" ht="15" hidden="false" customHeight="true" outlineLevel="0" collapsed="false">
      <c r="A2960" s="54" t="n">
        <v>20260711</v>
      </c>
      <c r="B2960" s="54" t="s">
        <v>289</v>
      </c>
      <c r="C2960" s="54" t="s">
        <v>290</v>
      </c>
      <c r="D2960" s="54" t="s">
        <v>4170</v>
      </c>
      <c r="E2960" s="54" t="s">
        <v>4171</v>
      </c>
      <c r="F2960" s="54" t="s">
        <v>6371</v>
      </c>
      <c r="G2960" s="54" t="s">
        <v>6372</v>
      </c>
      <c r="H2960" s="54" t="n">
        <v>21787</v>
      </c>
      <c r="I2960" s="54" t="s">
        <v>295</v>
      </c>
      <c r="J2960" s="54" t="s">
        <v>296</v>
      </c>
    </row>
    <row r="2961" customFormat="false" ht="15" hidden="false" customHeight="true" outlineLevel="0" collapsed="false">
      <c r="A2961" s="54" t="n">
        <v>20260711</v>
      </c>
      <c r="B2961" s="54" t="s">
        <v>289</v>
      </c>
      <c r="C2961" s="54" t="s">
        <v>290</v>
      </c>
      <c r="D2961" s="54" t="s">
        <v>4170</v>
      </c>
      <c r="E2961" s="54" t="s">
        <v>4171</v>
      </c>
      <c r="F2961" s="54" t="s">
        <v>6373</v>
      </c>
      <c r="G2961" s="54" t="s">
        <v>5735</v>
      </c>
      <c r="H2961" s="54" t="n">
        <v>10856</v>
      </c>
      <c r="I2961" s="54" t="s">
        <v>295</v>
      </c>
      <c r="J2961" s="54" t="s">
        <v>296</v>
      </c>
    </row>
    <row r="2962" customFormat="false" ht="15" hidden="false" customHeight="true" outlineLevel="0" collapsed="false">
      <c r="A2962" s="54" t="n">
        <v>20260711</v>
      </c>
      <c r="B2962" s="54" t="s">
        <v>6374</v>
      </c>
      <c r="C2962" s="54" t="s">
        <v>290</v>
      </c>
      <c r="D2962" s="54" t="s">
        <v>6375</v>
      </c>
      <c r="E2962" s="54" t="s">
        <v>484</v>
      </c>
      <c r="F2962" s="54" t="s">
        <v>6376</v>
      </c>
      <c r="G2962" s="54" t="s">
        <v>6377</v>
      </c>
      <c r="H2962" s="54" t="n">
        <v>449</v>
      </c>
      <c r="I2962" s="54" t="s">
        <v>295</v>
      </c>
      <c r="J2962" s="54" t="s">
        <v>6378</v>
      </c>
    </row>
    <row r="2963" customFormat="false" ht="15" hidden="false" customHeight="true" outlineLevel="0" collapsed="false">
      <c r="A2963" s="54" t="n">
        <v>20260711</v>
      </c>
      <c r="B2963" s="54" t="s">
        <v>306</v>
      </c>
      <c r="C2963" s="54" t="s">
        <v>290</v>
      </c>
      <c r="D2963" s="54" t="s">
        <v>6379</v>
      </c>
      <c r="E2963" s="54" t="s">
        <v>6380</v>
      </c>
      <c r="F2963" s="54" t="s">
        <v>6381</v>
      </c>
      <c r="G2963" s="54" t="s">
        <v>5516</v>
      </c>
      <c r="H2963" s="54" t="n">
        <v>21534</v>
      </c>
      <c r="I2963" s="54" t="s">
        <v>295</v>
      </c>
      <c r="J2963" s="54" t="s">
        <v>1067</v>
      </c>
    </row>
    <row r="2964" customFormat="false" ht="15" hidden="false" customHeight="true" outlineLevel="0" collapsed="false">
      <c r="A2964" s="54" t="n">
        <v>20260711</v>
      </c>
      <c r="B2964" s="54" t="s">
        <v>688</v>
      </c>
      <c r="C2964" s="54" t="s">
        <v>307</v>
      </c>
      <c r="D2964" s="54" t="s">
        <v>6382</v>
      </c>
      <c r="E2964" s="54" t="s">
        <v>6383</v>
      </c>
      <c r="F2964" s="54" t="s">
        <v>6384</v>
      </c>
      <c r="G2964" s="54" t="s">
        <v>6385</v>
      </c>
      <c r="H2964" s="54" t="n">
        <v>14820</v>
      </c>
      <c r="I2964" s="54" t="s">
        <v>295</v>
      </c>
      <c r="J2964" s="54" t="s">
        <v>693</v>
      </c>
    </row>
    <row r="2965" customFormat="false" ht="15" hidden="false" customHeight="true" outlineLevel="0" collapsed="false">
      <c r="A2965" s="54" t="n">
        <v>20260711</v>
      </c>
      <c r="B2965" s="54" t="s">
        <v>688</v>
      </c>
      <c r="C2965" s="54" t="s">
        <v>307</v>
      </c>
      <c r="D2965" s="54" t="s">
        <v>6382</v>
      </c>
      <c r="E2965" s="54" t="s">
        <v>6383</v>
      </c>
      <c r="F2965" s="54" t="s">
        <v>6386</v>
      </c>
      <c r="G2965" s="54" t="s">
        <v>6387</v>
      </c>
      <c r="H2965" s="54" t="n">
        <v>17671</v>
      </c>
      <c r="I2965" s="54" t="s">
        <v>295</v>
      </c>
      <c r="J2965" s="54" t="s">
        <v>693</v>
      </c>
    </row>
    <row r="2966" customFormat="false" ht="15" hidden="false" customHeight="true" outlineLevel="0" collapsed="false">
      <c r="A2966" s="54" t="n">
        <v>20260711</v>
      </c>
      <c r="B2966" s="54" t="s">
        <v>306</v>
      </c>
      <c r="C2966" s="54" t="s">
        <v>307</v>
      </c>
      <c r="D2966" s="54" t="s">
        <v>4248</v>
      </c>
      <c r="E2966" s="54" t="s">
        <v>4249</v>
      </c>
      <c r="F2966" s="54" t="s">
        <v>6388</v>
      </c>
      <c r="G2966" s="54" t="s">
        <v>6389</v>
      </c>
      <c r="H2966" s="54" t="n">
        <v>16404</v>
      </c>
      <c r="I2966" s="54" t="s">
        <v>295</v>
      </c>
      <c r="J2966" s="54" t="s">
        <v>2347</v>
      </c>
    </row>
    <row r="2967" customFormat="false" ht="15" hidden="false" customHeight="true" outlineLevel="0" collapsed="false">
      <c r="A2967" s="54" t="n">
        <v>20260711</v>
      </c>
      <c r="B2967" s="54" t="s">
        <v>306</v>
      </c>
      <c r="C2967" s="54" t="s">
        <v>307</v>
      </c>
      <c r="D2967" s="54" t="s">
        <v>4248</v>
      </c>
      <c r="E2967" s="54" t="s">
        <v>4249</v>
      </c>
      <c r="F2967" s="54" t="s">
        <v>6390</v>
      </c>
      <c r="G2967" s="54" t="s">
        <v>6212</v>
      </c>
      <c r="H2967" s="54" t="n">
        <v>5265</v>
      </c>
      <c r="I2967" s="54" t="s">
        <v>295</v>
      </c>
      <c r="J2967" s="54" t="s">
        <v>2347</v>
      </c>
    </row>
    <row r="2968" customFormat="false" ht="15" hidden="false" customHeight="true" outlineLevel="0" collapsed="false">
      <c r="A2968" s="54" t="n">
        <v>20260711</v>
      </c>
      <c r="B2968" s="54" t="s">
        <v>306</v>
      </c>
      <c r="C2968" s="54" t="s">
        <v>307</v>
      </c>
      <c r="D2968" s="54" t="s">
        <v>4264</v>
      </c>
      <c r="E2968" s="54" t="s">
        <v>4265</v>
      </c>
      <c r="F2968" s="54" t="s">
        <v>6363</v>
      </c>
      <c r="G2968" s="54" t="s">
        <v>6391</v>
      </c>
      <c r="H2968" s="54" t="n">
        <v>21730</v>
      </c>
      <c r="I2968" s="54" t="s">
        <v>295</v>
      </c>
      <c r="J2968" s="54" t="s">
        <v>392</v>
      </c>
    </row>
    <row r="2969" customFormat="false" ht="15" hidden="false" customHeight="true" outlineLevel="0" collapsed="false">
      <c r="A2969" s="54" t="n">
        <v>20260711</v>
      </c>
      <c r="B2969" s="54" t="s">
        <v>306</v>
      </c>
      <c r="C2969" s="54" t="s">
        <v>307</v>
      </c>
      <c r="D2969" s="54" t="s">
        <v>4264</v>
      </c>
      <c r="E2969" s="54" t="s">
        <v>4265</v>
      </c>
      <c r="F2969" s="54" t="s">
        <v>6392</v>
      </c>
      <c r="G2969" s="54" t="s">
        <v>6393</v>
      </c>
      <c r="H2969" s="54" t="n">
        <v>21731</v>
      </c>
      <c r="I2969" s="54" t="s">
        <v>315</v>
      </c>
      <c r="J2969" s="54" t="s">
        <v>392</v>
      </c>
    </row>
    <row r="2970" customFormat="false" ht="15" hidden="false" customHeight="true" outlineLevel="0" collapsed="false">
      <c r="A2970" s="54" t="n">
        <v>20260711</v>
      </c>
      <c r="B2970" s="54" t="s">
        <v>306</v>
      </c>
      <c r="C2970" s="54" t="s">
        <v>290</v>
      </c>
      <c r="D2970" s="54" t="s">
        <v>4297</v>
      </c>
      <c r="E2970" s="54" t="s">
        <v>4298</v>
      </c>
      <c r="F2970" s="54" t="s">
        <v>6394</v>
      </c>
      <c r="G2970" s="54" t="s">
        <v>6395</v>
      </c>
      <c r="H2970" s="54" t="n">
        <v>102</v>
      </c>
      <c r="I2970" s="54" t="s">
        <v>295</v>
      </c>
      <c r="J2970" s="54" t="s">
        <v>375</v>
      </c>
    </row>
    <row r="2971" customFormat="false" ht="15" hidden="false" customHeight="true" outlineLevel="0" collapsed="false">
      <c r="A2971" s="54" t="n">
        <v>20260711</v>
      </c>
      <c r="B2971" s="54" t="s">
        <v>306</v>
      </c>
      <c r="C2971" s="54" t="s">
        <v>290</v>
      </c>
      <c r="D2971" s="54" t="s">
        <v>4297</v>
      </c>
      <c r="E2971" s="54" t="s">
        <v>4298</v>
      </c>
      <c r="F2971" s="54" t="s">
        <v>6396</v>
      </c>
      <c r="G2971" s="54" t="s">
        <v>6397</v>
      </c>
      <c r="H2971" s="54" t="n">
        <v>21194</v>
      </c>
      <c r="I2971" s="54" t="s">
        <v>295</v>
      </c>
      <c r="J2971" s="54" t="s">
        <v>375</v>
      </c>
    </row>
    <row r="2972" customFormat="false" ht="15" hidden="false" customHeight="true" outlineLevel="0" collapsed="false">
      <c r="A2972" s="54" t="n">
        <v>20260711</v>
      </c>
      <c r="B2972" s="54" t="s">
        <v>306</v>
      </c>
      <c r="C2972" s="54" t="s">
        <v>290</v>
      </c>
      <c r="D2972" s="54" t="s">
        <v>4297</v>
      </c>
      <c r="E2972" s="54" t="s">
        <v>4298</v>
      </c>
      <c r="F2972" s="54" t="s">
        <v>6398</v>
      </c>
      <c r="G2972" s="54" t="s">
        <v>6399</v>
      </c>
      <c r="H2972" s="54" t="n">
        <v>16</v>
      </c>
      <c r="I2972" s="54" t="s">
        <v>295</v>
      </c>
      <c r="J2972" s="54" t="s">
        <v>375</v>
      </c>
    </row>
    <row r="2973" customFormat="false" ht="15" hidden="false" customHeight="true" outlineLevel="0" collapsed="false">
      <c r="A2973" s="54" t="n">
        <v>20260711</v>
      </c>
      <c r="B2973" s="54" t="s">
        <v>688</v>
      </c>
      <c r="C2973" s="54" t="s">
        <v>307</v>
      </c>
      <c r="D2973" s="54" t="s">
        <v>6400</v>
      </c>
      <c r="E2973" s="54" t="s">
        <v>6401</v>
      </c>
      <c r="F2973" s="54" t="s">
        <v>6402</v>
      </c>
      <c r="G2973" s="54" t="s">
        <v>6403</v>
      </c>
      <c r="H2973" s="54" t="n">
        <v>17256</v>
      </c>
      <c r="I2973" s="54" t="s">
        <v>295</v>
      </c>
      <c r="J2973" s="54" t="s">
        <v>142</v>
      </c>
    </row>
    <row r="2974" customFormat="false" ht="15" hidden="false" customHeight="true" outlineLevel="0" collapsed="false">
      <c r="A2974" s="54" t="n">
        <v>20260711</v>
      </c>
      <c r="B2974" s="54" t="s">
        <v>688</v>
      </c>
      <c r="C2974" s="54" t="s">
        <v>307</v>
      </c>
      <c r="D2974" s="54" t="s">
        <v>6400</v>
      </c>
      <c r="E2974" s="54" t="s">
        <v>6401</v>
      </c>
      <c r="F2974" s="54" t="s">
        <v>6404</v>
      </c>
      <c r="G2974" s="54" t="s">
        <v>6405</v>
      </c>
      <c r="H2974" s="54" t="n">
        <v>278</v>
      </c>
      <c r="I2974" s="54" t="s">
        <v>295</v>
      </c>
      <c r="J2974" s="54" t="s">
        <v>142</v>
      </c>
    </row>
    <row r="2975" customFormat="false" ht="15" hidden="false" customHeight="true" outlineLevel="0" collapsed="false">
      <c r="A2975" s="54" t="n">
        <v>20260711</v>
      </c>
      <c r="B2975" s="54" t="s">
        <v>688</v>
      </c>
      <c r="C2975" s="54" t="s">
        <v>307</v>
      </c>
      <c r="D2975" s="54" t="s">
        <v>6400</v>
      </c>
      <c r="E2975" s="54" t="s">
        <v>6401</v>
      </c>
      <c r="F2975" s="54" t="s">
        <v>6406</v>
      </c>
      <c r="G2975" s="54" t="s">
        <v>6407</v>
      </c>
      <c r="H2975" s="54" t="n">
        <v>4</v>
      </c>
      <c r="I2975" s="54" t="s">
        <v>295</v>
      </c>
      <c r="J2975" s="54" t="s">
        <v>142</v>
      </c>
    </row>
    <row r="2976" customFormat="false" ht="15" hidden="false" customHeight="true" outlineLevel="0" collapsed="false">
      <c r="A2976" s="54" t="n">
        <v>20260711</v>
      </c>
      <c r="B2976" s="54" t="s">
        <v>688</v>
      </c>
      <c r="C2976" s="54" t="s">
        <v>307</v>
      </c>
      <c r="D2976" s="54" t="s">
        <v>6400</v>
      </c>
      <c r="E2976" s="54" t="s">
        <v>6401</v>
      </c>
      <c r="F2976" s="54" t="s">
        <v>6408</v>
      </c>
      <c r="G2976" s="54" t="s">
        <v>6409</v>
      </c>
      <c r="H2976" s="54" t="n">
        <v>11119</v>
      </c>
      <c r="I2976" s="54" t="s">
        <v>295</v>
      </c>
      <c r="J2976" s="54" t="s">
        <v>142</v>
      </c>
    </row>
    <row r="2977" customFormat="false" ht="15" hidden="false" customHeight="true" outlineLevel="0" collapsed="false">
      <c r="A2977" s="54" t="n">
        <v>20260711</v>
      </c>
      <c r="B2977" s="54" t="s">
        <v>688</v>
      </c>
      <c r="C2977" s="54" t="s">
        <v>307</v>
      </c>
      <c r="D2977" s="54" t="s">
        <v>4328</v>
      </c>
      <c r="E2977" s="54" t="s">
        <v>4329</v>
      </c>
      <c r="F2977" s="54" t="s">
        <v>6410</v>
      </c>
      <c r="G2977" s="54" t="s">
        <v>6411</v>
      </c>
      <c r="H2977" s="54" t="n">
        <v>18085</v>
      </c>
      <c r="I2977" s="54" t="s">
        <v>295</v>
      </c>
      <c r="J2977" s="54" t="s">
        <v>142</v>
      </c>
    </row>
    <row r="2978" customFormat="false" ht="15" hidden="false" customHeight="true" outlineLevel="0" collapsed="false">
      <c r="A2978" s="54" t="n">
        <v>20260711</v>
      </c>
      <c r="B2978" s="54" t="s">
        <v>688</v>
      </c>
      <c r="C2978" s="54" t="s">
        <v>307</v>
      </c>
      <c r="D2978" s="54" t="s">
        <v>4328</v>
      </c>
      <c r="E2978" s="54" t="s">
        <v>4329</v>
      </c>
      <c r="F2978" s="54" t="s">
        <v>5993</v>
      </c>
      <c r="G2978" s="54" t="s">
        <v>6412</v>
      </c>
      <c r="H2978" s="54" t="n">
        <v>10851</v>
      </c>
      <c r="I2978" s="54" t="s">
        <v>295</v>
      </c>
      <c r="J2978" s="54" t="s">
        <v>142</v>
      </c>
    </row>
    <row r="2979" customFormat="false" ht="15" hidden="false" customHeight="true" outlineLevel="0" collapsed="false">
      <c r="A2979" s="54" t="n">
        <v>20260711</v>
      </c>
      <c r="B2979" s="54" t="s">
        <v>688</v>
      </c>
      <c r="C2979" s="54" t="s">
        <v>307</v>
      </c>
      <c r="D2979" s="54" t="s">
        <v>4350</v>
      </c>
      <c r="E2979" s="54" t="s">
        <v>4351</v>
      </c>
      <c r="F2979" s="54" t="s">
        <v>6413</v>
      </c>
      <c r="G2979" s="54" t="s">
        <v>6414</v>
      </c>
      <c r="H2979" s="54" t="n">
        <v>14017</v>
      </c>
      <c r="I2979" s="54" t="s">
        <v>295</v>
      </c>
      <c r="J2979" s="54" t="s">
        <v>142</v>
      </c>
    </row>
    <row r="2980" customFormat="false" ht="15" hidden="false" customHeight="true" outlineLevel="0" collapsed="false">
      <c r="A2980" s="54" t="n">
        <v>20260711</v>
      </c>
      <c r="B2980" s="54" t="s">
        <v>688</v>
      </c>
      <c r="C2980" s="54" t="s">
        <v>307</v>
      </c>
      <c r="D2980" s="54" t="s">
        <v>4350</v>
      </c>
      <c r="E2980" s="54" t="s">
        <v>4351</v>
      </c>
      <c r="F2980" s="54" t="s">
        <v>6415</v>
      </c>
      <c r="G2980" s="54" t="s">
        <v>6416</v>
      </c>
      <c r="H2980" s="54" t="n">
        <v>6</v>
      </c>
      <c r="I2980" s="54" t="s">
        <v>295</v>
      </c>
      <c r="J2980" s="54" t="s">
        <v>142</v>
      </c>
    </row>
    <row r="2981" customFormat="false" ht="15" hidden="false" customHeight="true" outlineLevel="0" collapsed="false">
      <c r="A2981" s="54" t="n">
        <v>20260711</v>
      </c>
      <c r="B2981" s="54" t="s">
        <v>688</v>
      </c>
      <c r="C2981" s="54" t="s">
        <v>307</v>
      </c>
      <c r="D2981" s="54" t="s">
        <v>4350</v>
      </c>
      <c r="E2981" s="54" t="s">
        <v>4351</v>
      </c>
      <c r="F2981" s="54" t="s">
        <v>6417</v>
      </c>
      <c r="G2981" s="54" t="s">
        <v>6418</v>
      </c>
      <c r="H2981" s="54" t="n">
        <v>16017</v>
      </c>
      <c r="I2981" s="54" t="s">
        <v>295</v>
      </c>
      <c r="J2981" s="54" t="s">
        <v>142</v>
      </c>
    </row>
    <row r="2982" customFormat="false" ht="15" hidden="false" customHeight="true" outlineLevel="0" collapsed="false">
      <c r="A2982" s="54" t="n">
        <v>20260711</v>
      </c>
      <c r="B2982" s="54" t="s">
        <v>688</v>
      </c>
      <c r="C2982" s="54" t="s">
        <v>307</v>
      </c>
      <c r="D2982" s="54" t="s">
        <v>4350</v>
      </c>
      <c r="E2982" s="54" t="s">
        <v>4351</v>
      </c>
      <c r="F2982" s="54" t="s">
        <v>6419</v>
      </c>
      <c r="G2982" s="54" t="s">
        <v>6420</v>
      </c>
      <c r="H2982" s="54" t="n">
        <v>1917</v>
      </c>
      <c r="I2982" s="54" t="s">
        <v>295</v>
      </c>
      <c r="J2982" s="54" t="s">
        <v>142</v>
      </c>
    </row>
    <row r="2983" customFormat="false" ht="15" hidden="false" customHeight="true" outlineLevel="0" collapsed="false">
      <c r="A2983" s="54" t="n">
        <v>20260711</v>
      </c>
      <c r="B2983" s="54" t="s">
        <v>289</v>
      </c>
      <c r="C2983" s="54" t="s">
        <v>307</v>
      </c>
      <c r="D2983" s="54" t="s">
        <v>4377</v>
      </c>
      <c r="E2983" s="54" t="s">
        <v>4378</v>
      </c>
      <c r="F2983" s="54" t="s">
        <v>6421</v>
      </c>
      <c r="G2983" s="54" t="s">
        <v>6422</v>
      </c>
      <c r="H2983" s="54" t="n">
        <v>6</v>
      </c>
      <c r="I2983" s="54" t="s">
        <v>295</v>
      </c>
      <c r="J2983" s="54" t="s">
        <v>1659</v>
      </c>
    </row>
    <row r="2984" customFormat="false" ht="15" hidden="false" customHeight="true" outlineLevel="0" collapsed="false">
      <c r="A2984" s="54" t="n">
        <v>20260711</v>
      </c>
      <c r="B2984" s="54" t="s">
        <v>289</v>
      </c>
      <c r="C2984" s="54" t="s">
        <v>307</v>
      </c>
      <c r="D2984" s="54" t="s">
        <v>4377</v>
      </c>
      <c r="E2984" s="54" t="s">
        <v>4378</v>
      </c>
      <c r="F2984" s="54" t="s">
        <v>5834</v>
      </c>
      <c r="G2984" s="54" t="s">
        <v>6423</v>
      </c>
      <c r="H2984" s="54" t="n">
        <v>27483</v>
      </c>
      <c r="I2984" s="54" t="s">
        <v>295</v>
      </c>
      <c r="J2984" s="54" t="s">
        <v>1659</v>
      </c>
    </row>
    <row r="2985" customFormat="false" ht="15" hidden="false" customHeight="true" outlineLevel="0" collapsed="false">
      <c r="A2985" s="54" t="n">
        <v>20260711</v>
      </c>
      <c r="B2985" s="54" t="s">
        <v>289</v>
      </c>
      <c r="C2985" s="54" t="s">
        <v>307</v>
      </c>
      <c r="D2985" s="54" t="s">
        <v>4377</v>
      </c>
      <c r="E2985" s="54" t="s">
        <v>4378</v>
      </c>
      <c r="F2985" s="54" t="s">
        <v>6424</v>
      </c>
      <c r="G2985" s="54" t="s">
        <v>6425</v>
      </c>
      <c r="H2985" s="54" t="n">
        <v>1923</v>
      </c>
      <c r="I2985" s="54" t="s">
        <v>295</v>
      </c>
      <c r="J2985" s="54" t="s">
        <v>1659</v>
      </c>
    </row>
    <row r="2986" customFormat="false" ht="15" hidden="false" customHeight="true" outlineLevel="0" collapsed="false">
      <c r="A2986" s="54" t="n">
        <v>20260711</v>
      </c>
      <c r="B2986" s="54" t="s">
        <v>306</v>
      </c>
      <c r="C2986" s="54" t="s">
        <v>290</v>
      </c>
      <c r="D2986" s="54" t="s">
        <v>4411</v>
      </c>
      <c r="E2986" s="54" t="s">
        <v>4412</v>
      </c>
      <c r="F2986" s="54" t="s">
        <v>6426</v>
      </c>
      <c r="G2986" s="54" t="s">
        <v>6181</v>
      </c>
      <c r="H2986" s="54" t="n">
        <v>15849</v>
      </c>
      <c r="I2986" s="54" t="s">
        <v>315</v>
      </c>
      <c r="J2986" s="54" t="s">
        <v>375</v>
      </c>
    </row>
    <row r="2987" customFormat="false" ht="15" hidden="false" customHeight="true" outlineLevel="0" collapsed="false">
      <c r="A2987" s="54" t="n">
        <v>20260711</v>
      </c>
      <c r="B2987" s="54" t="s">
        <v>306</v>
      </c>
      <c r="C2987" s="54" t="s">
        <v>290</v>
      </c>
      <c r="D2987" s="54" t="s">
        <v>4411</v>
      </c>
      <c r="E2987" s="54" t="s">
        <v>4412</v>
      </c>
      <c r="F2987" s="54" t="s">
        <v>6426</v>
      </c>
      <c r="G2987" s="54" t="s">
        <v>6181</v>
      </c>
      <c r="H2987" s="54" t="n">
        <v>15849</v>
      </c>
      <c r="I2987" s="54" t="s">
        <v>295</v>
      </c>
      <c r="J2987" s="54" t="s">
        <v>375</v>
      </c>
    </row>
    <row r="2988" customFormat="false" ht="15" hidden="false" customHeight="true" outlineLevel="0" collapsed="false">
      <c r="A2988" s="54" t="n">
        <v>20260711</v>
      </c>
      <c r="B2988" s="54" t="s">
        <v>289</v>
      </c>
      <c r="C2988" s="54" t="s">
        <v>290</v>
      </c>
      <c r="D2988" s="54" t="s">
        <v>4423</v>
      </c>
      <c r="E2988" s="54" t="s">
        <v>4424</v>
      </c>
      <c r="F2988" s="54" t="s">
        <v>6427</v>
      </c>
      <c r="G2988" s="54" t="s">
        <v>6428</v>
      </c>
      <c r="H2988" s="54" t="n">
        <v>6</v>
      </c>
      <c r="I2988" s="54" t="s">
        <v>295</v>
      </c>
      <c r="J2988" s="54" t="s">
        <v>1016</v>
      </c>
    </row>
    <row r="2989" customFormat="false" ht="15" hidden="false" customHeight="true" outlineLevel="0" collapsed="false">
      <c r="A2989" s="54" t="n">
        <v>20260711</v>
      </c>
      <c r="B2989" s="54" t="s">
        <v>289</v>
      </c>
      <c r="C2989" s="54" t="s">
        <v>290</v>
      </c>
      <c r="D2989" s="54" t="s">
        <v>4423</v>
      </c>
      <c r="E2989" s="54" t="s">
        <v>4424</v>
      </c>
      <c r="F2989" s="54" t="s">
        <v>6429</v>
      </c>
      <c r="G2989" s="54" t="s">
        <v>5654</v>
      </c>
      <c r="H2989" s="54" t="n">
        <v>15045</v>
      </c>
      <c r="I2989" s="54" t="s">
        <v>295</v>
      </c>
      <c r="J2989" s="54" t="s">
        <v>1016</v>
      </c>
    </row>
    <row r="2990" customFormat="false" ht="15" hidden="false" customHeight="true" outlineLevel="0" collapsed="false">
      <c r="A2990" s="54" t="n">
        <v>20260711</v>
      </c>
      <c r="B2990" s="54" t="s">
        <v>289</v>
      </c>
      <c r="C2990" s="54" t="s">
        <v>290</v>
      </c>
      <c r="D2990" s="54" t="s">
        <v>4423</v>
      </c>
      <c r="E2990" s="54" t="s">
        <v>4424</v>
      </c>
      <c r="F2990" s="54" t="s">
        <v>6430</v>
      </c>
      <c r="G2990" s="54" t="s">
        <v>6431</v>
      </c>
      <c r="H2990" s="54" t="n">
        <v>14854</v>
      </c>
      <c r="I2990" s="54" t="s">
        <v>295</v>
      </c>
      <c r="J2990" s="54" t="s">
        <v>1016</v>
      </c>
    </row>
    <row r="2991" customFormat="false" ht="15" hidden="false" customHeight="true" outlineLevel="0" collapsed="false">
      <c r="A2991" s="54" t="n">
        <v>20260711</v>
      </c>
      <c r="B2991" s="54" t="s">
        <v>306</v>
      </c>
      <c r="C2991" s="54" t="s">
        <v>307</v>
      </c>
      <c r="D2991" s="54" t="s">
        <v>4430</v>
      </c>
      <c r="E2991" s="54" t="s">
        <v>4431</v>
      </c>
      <c r="F2991" s="54" t="s">
        <v>5254</v>
      </c>
      <c r="G2991" s="54" t="s">
        <v>6432</v>
      </c>
      <c r="H2991" s="54" t="n">
        <v>19896</v>
      </c>
      <c r="I2991" s="54" t="s">
        <v>295</v>
      </c>
      <c r="J2991" s="54" t="s">
        <v>392</v>
      </c>
    </row>
    <row r="2992" customFormat="false" ht="15" hidden="false" customHeight="true" outlineLevel="0" collapsed="false">
      <c r="A2992" s="54" t="n">
        <v>20260711</v>
      </c>
      <c r="B2992" s="54" t="s">
        <v>306</v>
      </c>
      <c r="C2992" s="54" t="s">
        <v>307</v>
      </c>
      <c r="D2992" s="54" t="s">
        <v>4430</v>
      </c>
      <c r="E2992" s="54" t="s">
        <v>4431</v>
      </c>
      <c r="F2992" s="54" t="s">
        <v>6433</v>
      </c>
      <c r="G2992" s="54" t="s">
        <v>6434</v>
      </c>
      <c r="H2992" s="54" t="n">
        <v>19897</v>
      </c>
      <c r="I2992" s="54" t="s">
        <v>315</v>
      </c>
      <c r="J2992" s="54" t="s">
        <v>392</v>
      </c>
    </row>
    <row r="2993" customFormat="false" ht="15" hidden="false" customHeight="true" outlineLevel="0" collapsed="false">
      <c r="A2993" s="54" t="n">
        <v>20260711</v>
      </c>
      <c r="B2993" s="54" t="s">
        <v>306</v>
      </c>
      <c r="C2993" s="54" t="s">
        <v>307</v>
      </c>
      <c r="D2993" s="54" t="s">
        <v>4430</v>
      </c>
      <c r="E2993" s="54" t="s">
        <v>4431</v>
      </c>
      <c r="F2993" s="54" t="s">
        <v>6435</v>
      </c>
      <c r="G2993" s="54" t="s">
        <v>5160</v>
      </c>
      <c r="H2993" s="54" t="n">
        <v>1743</v>
      </c>
      <c r="I2993" s="54" t="s">
        <v>295</v>
      </c>
      <c r="J2993" s="54" t="s">
        <v>392</v>
      </c>
    </row>
    <row r="2994" customFormat="false" ht="15" hidden="false" customHeight="true" outlineLevel="0" collapsed="false">
      <c r="A2994" s="54" t="n">
        <v>20260711</v>
      </c>
      <c r="B2994" s="54" t="s">
        <v>306</v>
      </c>
      <c r="C2994" s="54" t="s">
        <v>307</v>
      </c>
      <c r="D2994" s="54" t="s">
        <v>4430</v>
      </c>
      <c r="E2994" s="54" t="s">
        <v>4431</v>
      </c>
      <c r="F2994" s="54" t="s">
        <v>6436</v>
      </c>
      <c r="G2994" s="54" t="s">
        <v>5160</v>
      </c>
      <c r="H2994" s="54" t="n">
        <v>1741</v>
      </c>
      <c r="I2994" s="54" t="s">
        <v>315</v>
      </c>
      <c r="J2994" s="54" t="s">
        <v>392</v>
      </c>
    </row>
    <row r="2995" customFormat="false" ht="15" hidden="false" customHeight="true" outlineLevel="0" collapsed="false">
      <c r="A2995" s="54" t="n">
        <v>20260711</v>
      </c>
      <c r="B2995" s="54" t="s">
        <v>688</v>
      </c>
      <c r="C2995" s="54" t="s">
        <v>307</v>
      </c>
      <c r="D2995" s="54" t="s">
        <v>4438</v>
      </c>
      <c r="E2995" s="54" t="s">
        <v>4439</v>
      </c>
      <c r="F2995" s="54" t="s">
        <v>6437</v>
      </c>
      <c r="G2995" s="54" t="s">
        <v>6438</v>
      </c>
      <c r="H2995" s="54" t="n">
        <v>15284</v>
      </c>
      <c r="I2995" s="54" t="s">
        <v>295</v>
      </c>
      <c r="J2995" s="54" t="s">
        <v>142</v>
      </c>
    </row>
    <row r="2996" customFormat="false" ht="15" hidden="false" customHeight="true" outlineLevel="0" collapsed="false">
      <c r="A2996" s="54" t="n">
        <v>20260711</v>
      </c>
      <c r="B2996" s="54" t="s">
        <v>688</v>
      </c>
      <c r="C2996" s="54" t="s">
        <v>307</v>
      </c>
      <c r="D2996" s="54" t="s">
        <v>4438</v>
      </c>
      <c r="E2996" s="54" t="s">
        <v>4439</v>
      </c>
      <c r="F2996" s="54" t="s">
        <v>6439</v>
      </c>
      <c r="G2996" s="54" t="s">
        <v>6387</v>
      </c>
      <c r="H2996" s="54" t="n">
        <v>16109</v>
      </c>
      <c r="I2996" s="54" t="s">
        <v>295</v>
      </c>
      <c r="J2996" s="54" t="s">
        <v>142</v>
      </c>
    </row>
    <row r="2997" customFormat="false" ht="15" hidden="false" customHeight="true" outlineLevel="0" collapsed="false">
      <c r="A2997" s="54" t="n">
        <v>20260711</v>
      </c>
      <c r="B2997" s="54" t="s">
        <v>688</v>
      </c>
      <c r="C2997" s="54" t="s">
        <v>307</v>
      </c>
      <c r="D2997" s="54" t="s">
        <v>4445</v>
      </c>
      <c r="E2997" s="54" t="s">
        <v>153</v>
      </c>
      <c r="F2997" s="54" t="s">
        <v>6440</v>
      </c>
      <c r="G2997" s="54" t="s">
        <v>5598</v>
      </c>
      <c r="H2997" s="54" t="n">
        <v>18576</v>
      </c>
      <c r="I2997" s="54" t="s">
        <v>295</v>
      </c>
      <c r="J2997" s="54" t="s">
        <v>142</v>
      </c>
    </row>
    <row r="2998" customFormat="false" ht="15" hidden="false" customHeight="true" outlineLevel="0" collapsed="false">
      <c r="A2998" s="54" t="n">
        <v>20260711</v>
      </c>
      <c r="B2998" s="54" t="s">
        <v>688</v>
      </c>
      <c r="C2998" s="54" t="s">
        <v>307</v>
      </c>
      <c r="D2998" s="54" t="s">
        <v>4445</v>
      </c>
      <c r="E2998" s="54" t="s">
        <v>153</v>
      </c>
      <c r="F2998" s="54" t="s">
        <v>6441</v>
      </c>
      <c r="G2998" s="54" t="s">
        <v>6442</v>
      </c>
      <c r="H2998" s="54" t="n">
        <v>9779</v>
      </c>
      <c r="I2998" s="54" t="s">
        <v>295</v>
      </c>
      <c r="J2998" s="54" t="s">
        <v>142</v>
      </c>
    </row>
    <row r="2999" customFormat="false" ht="15" hidden="false" customHeight="true" outlineLevel="0" collapsed="false">
      <c r="A2999" s="54" t="n">
        <v>20260711</v>
      </c>
      <c r="B2999" s="54" t="s">
        <v>688</v>
      </c>
      <c r="C2999" s="54" t="s">
        <v>307</v>
      </c>
      <c r="D2999" s="54" t="s">
        <v>4445</v>
      </c>
      <c r="E2999" s="54" t="s">
        <v>153</v>
      </c>
      <c r="F2999" s="54" t="s">
        <v>6443</v>
      </c>
      <c r="G2999" s="54" t="s">
        <v>5406</v>
      </c>
      <c r="H2999" s="54" t="n">
        <v>423</v>
      </c>
      <c r="I2999" s="54" t="s">
        <v>295</v>
      </c>
      <c r="J2999" s="54" t="s">
        <v>142</v>
      </c>
    </row>
    <row r="3000" customFormat="false" ht="15" hidden="false" customHeight="true" outlineLevel="0" collapsed="false">
      <c r="A3000" s="54" t="n">
        <v>20260711</v>
      </c>
      <c r="B3000" s="54" t="s">
        <v>306</v>
      </c>
      <c r="C3000" s="54" t="s">
        <v>290</v>
      </c>
      <c r="D3000" s="54" t="s">
        <v>4450</v>
      </c>
      <c r="E3000" s="54" t="s">
        <v>4451</v>
      </c>
      <c r="F3000" s="54" t="s">
        <v>6444</v>
      </c>
      <c r="G3000" s="54" t="s">
        <v>6445</v>
      </c>
      <c r="H3000" s="54" t="n">
        <v>21644</v>
      </c>
      <c r="I3000" s="54" t="s">
        <v>295</v>
      </c>
      <c r="J3000" s="54" t="s">
        <v>375</v>
      </c>
    </row>
    <row r="3001" customFormat="false" ht="15" hidden="false" customHeight="true" outlineLevel="0" collapsed="false">
      <c r="A3001" s="54" t="n">
        <v>20260711</v>
      </c>
      <c r="B3001" s="54" t="s">
        <v>289</v>
      </c>
      <c r="C3001" s="54" t="s">
        <v>290</v>
      </c>
      <c r="D3001" s="54" t="s">
        <v>455</v>
      </c>
      <c r="E3001" s="54" t="s">
        <v>456</v>
      </c>
      <c r="F3001" s="54" t="s">
        <v>6446</v>
      </c>
      <c r="G3001" s="54" t="s">
        <v>6447</v>
      </c>
      <c r="H3001" s="54" t="n">
        <v>28800</v>
      </c>
      <c r="I3001" s="54" t="s">
        <v>360</v>
      </c>
      <c r="J3001" s="54" t="s">
        <v>459</v>
      </c>
    </row>
    <row r="3002" customFormat="false" ht="15" hidden="false" customHeight="true" outlineLevel="0" collapsed="false">
      <c r="A3002" s="54" t="n">
        <v>20260711</v>
      </c>
      <c r="B3002" s="54" t="s">
        <v>289</v>
      </c>
      <c r="C3002" s="54" t="s">
        <v>307</v>
      </c>
      <c r="D3002" s="54" t="s">
        <v>6448</v>
      </c>
      <c r="E3002" s="54" t="s">
        <v>6449</v>
      </c>
      <c r="F3002" s="54" t="s">
        <v>6450</v>
      </c>
      <c r="G3002" s="54" t="s">
        <v>6451</v>
      </c>
      <c r="H3002" s="54" t="n">
        <v>16085</v>
      </c>
      <c r="I3002" s="54" t="s">
        <v>295</v>
      </c>
      <c r="J3002" s="54" t="s">
        <v>1441</v>
      </c>
    </row>
    <row r="3003" customFormat="false" ht="15" hidden="false" customHeight="true" outlineLevel="0" collapsed="false">
      <c r="A3003" s="54" t="n">
        <v>20260711</v>
      </c>
      <c r="B3003" s="54" t="s">
        <v>289</v>
      </c>
      <c r="C3003" s="54" t="s">
        <v>307</v>
      </c>
      <c r="D3003" s="54" t="s">
        <v>6448</v>
      </c>
      <c r="E3003" s="54" t="s">
        <v>6449</v>
      </c>
      <c r="F3003" s="54" t="s">
        <v>6452</v>
      </c>
      <c r="G3003" s="54" t="s">
        <v>5669</v>
      </c>
      <c r="H3003" s="54" t="n">
        <v>12741</v>
      </c>
      <c r="I3003" s="54" t="s">
        <v>295</v>
      </c>
      <c r="J3003" s="54" t="s">
        <v>1441</v>
      </c>
    </row>
    <row r="3004" customFormat="false" ht="15" hidden="false" customHeight="true" outlineLevel="0" collapsed="false">
      <c r="A3004" s="54" t="n">
        <v>20260711</v>
      </c>
      <c r="B3004" s="54" t="s">
        <v>306</v>
      </c>
      <c r="C3004" s="54" t="s">
        <v>290</v>
      </c>
      <c r="D3004" s="54" t="s">
        <v>6453</v>
      </c>
      <c r="E3004" s="54" t="s">
        <v>6454</v>
      </c>
      <c r="F3004" s="54" t="s">
        <v>5232</v>
      </c>
      <c r="G3004" s="54" t="s">
        <v>6455</v>
      </c>
      <c r="H3004" s="54" t="n">
        <v>20018</v>
      </c>
      <c r="I3004" s="54" t="s">
        <v>295</v>
      </c>
      <c r="J3004" s="54" t="s">
        <v>1067</v>
      </c>
    </row>
    <row r="3005" customFormat="false" ht="15" hidden="false" customHeight="true" outlineLevel="0" collapsed="false">
      <c r="A3005" s="54" t="n">
        <v>20260711</v>
      </c>
      <c r="B3005" s="54" t="s">
        <v>306</v>
      </c>
      <c r="C3005" s="54" t="s">
        <v>290</v>
      </c>
      <c r="D3005" s="54" t="s">
        <v>6453</v>
      </c>
      <c r="E3005" s="54" t="s">
        <v>6454</v>
      </c>
      <c r="F3005" s="54" t="s">
        <v>6456</v>
      </c>
      <c r="G3005" s="54" t="s">
        <v>6014</v>
      </c>
      <c r="H3005" s="54" t="n">
        <v>1570</v>
      </c>
      <c r="I3005" s="54" t="s">
        <v>295</v>
      </c>
      <c r="J3005" s="54" t="s">
        <v>1067</v>
      </c>
    </row>
    <row r="3006" customFormat="false" ht="15" hidden="false" customHeight="true" outlineLevel="0" collapsed="false">
      <c r="A3006" s="54" t="n">
        <v>20260711</v>
      </c>
      <c r="B3006" s="54" t="s">
        <v>497</v>
      </c>
      <c r="C3006" s="54" t="s">
        <v>307</v>
      </c>
      <c r="D3006" s="54" t="s">
        <v>4499</v>
      </c>
      <c r="E3006" s="54" t="s">
        <v>4500</v>
      </c>
      <c r="F3006" s="54" t="s">
        <v>6457</v>
      </c>
      <c r="G3006" s="54" t="s">
        <v>6458</v>
      </c>
      <c r="H3006" s="54" t="n">
        <v>14489</v>
      </c>
      <c r="I3006" s="54" t="s">
        <v>295</v>
      </c>
      <c r="J3006" s="54" t="s">
        <v>894</v>
      </c>
    </row>
    <row r="3007" customFormat="false" ht="15" hidden="false" customHeight="true" outlineLevel="0" collapsed="false">
      <c r="A3007" s="54" t="n">
        <v>20260711</v>
      </c>
      <c r="B3007" s="54" t="s">
        <v>306</v>
      </c>
      <c r="C3007" s="54" t="s">
        <v>290</v>
      </c>
      <c r="D3007" s="54" t="s">
        <v>4504</v>
      </c>
      <c r="E3007" s="54" t="s">
        <v>4505</v>
      </c>
      <c r="F3007" s="54" t="s">
        <v>6459</v>
      </c>
      <c r="G3007" s="54" t="s">
        <v>6460</v>
      </c>
      <c r="H3007" s="54" t="n">
        <v>21727</v>
      </c>
      <c r="I3007" s="54" t="s">
        <v>295</v>
      </c>
      <c r="J3007" s="54" t="s">
        <v>2159</v>
      </c>
    </row>
    <row r="3008" customFormat="false" ht="15" hidden="false" customHeight="true" outlineLevel="0" collapsed="false">
      <c r="A3008" s="54" t="n">
        <v>20260711</v>
      </c>
      <c r="B3008" s="54" t="s">
        <v>289</v>
      </c>
      <c r="C3008" s="54" t="s">
        <v>307</v>
      </c>
      <c r="D3008" s="54" t="s">
        <v>4554</v>
      </c>
      <c r="E3008" s="54" t="s">
        <v>4555</v>
      </c>
      <c r="F3008" s="54" t="s">
        <v>5272</v>
      </c>
      <c r="G3008" s="54" t="s">
        <v>6461</v>
      </c>
      <c r="H3008" s="54" t="n">
        <v>4641</v>
      </c>
      <c r="I3008" s="54" t="s">
        <v>295</v>
      </c>
      <c r="J3008" s="54" t="s">
        <v>1133</v>
      </c>
    </row>
    <row r="3009" customFormat="false" ht="15" hidden="false" customHeight="true" outlineLevel="0" collapsed="false">
      <c r="A3009" s="54" t="n">
        <v>20260711</v>
      </c>
      <c r="B3009" s="54" t="s">
        <v>289</v>
      </c>
      <c r="C3009" s="54" t="s">
        <v>307</v>
      </c>
      <c r="D3009" s="54" t="s">
        <v>4554</v>
      </c>
      <c r="E3009" s="54" t="s">
        <v>4555</v>
      </c>
      <c r="F3009" s="54" t="s">
        <v>6462</v>
      </c>
      <c r="G3009" s="54" t="s">
        <v>6463</v>
      </c>
      <c r="H3009" s="54" t="n">
        <v>3099</v>
      </c>
      <c r="I3009" s="54" t="s">
        <v>295</v>
      </c>
      <c r="J3009" s="54" t="s">
        <v>1133</v>
      </c>
    </row>
    <row r="3010" customFormat="false" ht="15" hidden="false" customHeight="true" outlineLevel="0" collapsed="false">
      <c r="A3010" s="54" t="n">
        <v>20260711</v>
      </c>
      <c r="B3010" s="54" t="s">
        <v>289</v>
      </c>
      <c r="C3010" s="54" t="s">
        <v>307</v>
      </c>
      <c r="D3010" s="54" t="s">
        <v>4554</v>
      </c>
      <c r="E3010" s="54" t="s">
        <v>4555</v>
      </c>
      <c r="F3010" s="54" t="s">
        <v>6464</v>
      </c>
      <c r="G3010" s="54" t="s">
        <v>6465</v>
      </c>
      <c r="H3010" s="54" t="n">
        <v>2072</v>
      </c>
      <c r="I3010" s="54" t="s">
        <v>295</v>
      </c>
      <c r="J3010" s="54" t="s">
        <v>1133</v>
      </c>
    </row>
    <row r="3011" customFormat="false" ht="15" hidden="false" customHeight="true" outlineLevel="0" collapsed="false">
      <c r="A3011" s="54" t="n">
        <v>20260711</v>
      </c>
      <c r="B3011" s="54" t="s">
        <v>289</v>
      </c>
      <c r="C3011" s="54" t="s">
        <v>307</v>
      </c>
      <c r="D3011" s="54" t="s">
        <v>4554</v>
      </c>
      <c r="E3011" s="54" t="s">
        <v>4555</v>
      </c>
      <c r="F3011" s="54" t="s">
        <v>6466</v>
      </c>
      <c r="G3011" s="54" t="s">
        <v>6467</v>
      </c>
      <c r="H3011" s="54" t="n">
        <v>665</v>
      </c>
      <c r="I3011" s="54" t="s">
        <v>295</v>
      </c>
      <c r="J3011" s="54" t="s">
        <v>1133</v>
      </c>
    </row>
    <row r="3012" customFormat="false" ht="15" hidden="false" customHeight="true" outlineLevel="0" collapsed="false">
      <c r="A3012" s="54" t="n">
        <v>20260711</v>
      </c>
      <c r="B3012" s="54" t="s">
        <v>289</v>
      </c>
      <c r="C3012" s="54" t="s">
        <v>307</v>
      </c>
      <c r="D3012" s="54" t="s">
        <v>4554</v>
      </c>
      <c r="E3012" s="54" t="s">
        <v>4555</v>
      </c>
      <c r="F3012" s="54" t="s">
        <v>6468</v>
      </c>
      <c r="G3012" s="54" t="s">
        <v>6469</v>
      </c>
      <c r="H3012" s="54" t="n">
        <v>1062</v>
      </c>
      <c r="I3012" s="54" t="s">
        <v>295</v>
      </c>
      <c r="J3012" s="54" t="s">
        <v>1133</v>
      </c>
    </row>
    <row r="3013" customFormat="false" ht="15" hidden="false" customHeight="true" outlineLevel="0" collapsed="false">
      <c r="A3013" s="54" t="n">
        <v>20260711</v>
      </c>
      <c r="B3013" s="54" t="s">
        <v>289</v>
      </c>
      <c r="C3013" s="54" t="s">
        <v>307</v>
      </c>
      <c r="D3013" s="54" t="s">
        <v>4554</v>
      </c>
      <c r="E3013" s="54" t="s">
        <v>4555</v>
      </c>
      <c r="F3013" s="54" t="s">
        <v>6470</v>
      </c>
      <c r="G3013" s="54" t="s">
        <v>6471</v>
      </c>
      <c r="H3013" s="54" t="n">
        <v>282</v>
      </c>
      <c r="I3013" s="54" t="s">
        <v>295</v>
      </c>
      <c r="J3013" s="54" t="s">
        <v>1133</v>
      </c>
    </row>
    <row r="3014" customFormat="false" ht="15" hidden="false" customHeight="true" outlineLevel="0" collapsed="false">
      <c r="A3014" s="54" t="n">
        <v>20260711</v>
      </c>
      <c r="B3014" s="54" t="s">
        <v>289</v>
      </c>
      <c r="C3014" s="54" t="s">
        <v>307</v>
      </c>
      <c r="D3014" s="54" t="s">
        <v>4554</v>
      </c>
      <c r="E3014" s="54" t="s">
        <v>4555</v>
      </c>
      <c r="F3014" s="54" t="s">
        <v>6472</v>
      </c>
      <c r="G3014" s="54" t="s">
        <v>6473</v>
      </c>
      <c r="H3014" s="54" t="n">
        <v>360</v>
      </c>
      <c r="I3014" s="54" t="s">
        <v>295</v>
      </c>
      <c r="J3014" s="54" t="s">
        <v>1133</v>
      </c>
    </row>
    <row r="3015" customFormat="false" ht="15" hidden="false" customHeight="true" outlineLevel="0" collapsed="false">
      <c r="A3015" s="54" t="n">
        <v>20260711</v>
      </c>
      <c r="B3015" s="54" t="s">
        <v>289</v>
      </c>
      <c r="C3015" s="54" t="s">
        <v>307</v>
      </c>
      <c r="D3015" s="54" t="s">
        <v>4554</v>
      </c>
      <c r="E3015" s="54" t="s">
        <v>4555</v>
      </c>
      <c r="F3015" s="54" t="s">
        <v>6474</v>
      </c>
      <c r="G3015" s="54" t="s">
        <v>6475</v>
      </c>
      <c r="H3015" s="54" t="n">
        <v>1061</v>
      </c>
      <c r="I3015" s="54" t="s">
        <v>295</v>
      </c>
      <c r="J3015" s="54" t="s">
        <v>1133</v>
      </c>
    </row>
    <row r="3016" customFormat="false" ht="15" hidden="false" customHeight="true" outlineLevel="0" collapsed="false">
      <c r="A3016" s="54" t="n">
        <v>20260711</v>
      </c>
      <c r="B3016" s="54" t="s">
        <v>289</v>
      </c>
      <c r="C3016" s="54" t="s">
        <v>307</v>
      </c>
      <c r="D3016" s="54" t="s">
        <v>4554</v>
      </c>
      <c r="E3016" s="54" t="s">
        <v>4555</v>
      </c>
      <c r="F3016" s="54" t="s">
        <v>6476</v>
      </c>
      <c r="G3016" s="54" t="s">
        <v>6477</v>
      </c>
      <c r="H3016" s="54" t="n">
        <v>608</v>
      </c>
      <c r="I3016" s="54" t="s">
        <v>295</v>
      </c>
      <c r="J3016" s="54" t="s">
        <v>1133</v>
      </c>
    </row>
    <row r="3017" customFormat="false" ht="15" hidden="false" customHeight="true" outlineLevel="0" collapsed="false">
      <c r="A3017" s="54" t="n">
        <v>20260711</v>
      </c>
      <c r="B3017" s="54" t="s">
        <v>289</v>
      </c>
      <c r="C3017" s="54" t="s">
        <v>307</v>
      </c>
      <c r="D3017" s="54" t="s">
        <v>4554</v>
      </c>
      <c r="E3017" s="54" t="s">
        <v>4555</v>
      </c>
      <c r="F3017" s="54" t="s">
        <v>6478</v>
      </c>
      <c r="G3017" s="54" t="s">
        <v>6479</v>
      </c>
      <c r="H3017" s="54" t="n">
        <v>324</v>
      </c>
      <c r="I3017" s="54" t="s">
        <v>295</v>
      </c>
      <c r="J3017" s="54" t="s">
        <v>1133</v>
      </c>
    </row>
    <row r="3018" customFormat="false" ht="15" hidden="false" customHeight="true" outlineLevel="0" collapsed="false">
      <c r="A3018" s="54" t="n">
        <v>20260711</v>
      </c>
      <c r="B3018" s="54" t="s">
        <v>289</v>
      </c>
      <c r="C3018" s="54" t="s">
        <v>307</v>
      </c>
      <c r="D3018" s="54" t="s">
        <v>4554</v>
      </c>
      <c r="E3018" s="54" t="s">
        <v>4555</v>
      </c>
      <c r="F3018" s="54" t="s">
        <v>6480</v>
      </c>
      <c r="G3018" s="54" t="s">
        <v>6481</v>
      </c>
      <c r="H3018" s="54" t="n">
        <v>242</v>
      </c>
      <c r="I3018" s="54" t="s">
        <v>295</v>
      </c>
      <c r="J3018" s="54" t="s">
        <v>1133</v>
      </c>
    </row>
    <row r="3019" customFormat="false" ht="15" hidden="false" customHeight="true" outlineLevel="0" collapsed="false">
      <c r="A3019" s="54" t="n">
        <v>20260711</v>
      </c>
      <c r="B3019" s="54" t="s">
        <v>289</v>
      </c>
      <c r="C3019" s="54" t="s">
        <v>307</v>
      </c>
      <c r="D3019" s="54" t="s">
        <v>4554</v>
      </c>
      <c r="E3019" s="54" t="s">
        <v>4555</v>
      </c>
      <c r="F3019" s="54" t="s">
        <v>6482</v>
      </c>
      <c r="G3019" s="54" t="s">
        <v>6483</v>
      </c>
      <c r="H3019" s="54" t="n">
        <v>730</v>
      </c>
      <c r="I3019" s="54" t="s">
        <v>295</v>
      </c>
      <c r="J3019" s="54" t="s">
        <v>1133</v>
      </c>
    </row>
    <row r="3020" customFormat="false" ht="15" hidden="false" customHeight="true" outlineLevel="0" collapsed="false">
      <c r="A3020" s="54" t="n">
        <v>20260711</v>
      </c>
      <c r="B3020" s="54" t="s">
        <v>289</v>
      </c>
      <c r="C3020" s="54" t="s">
        <v>307</v>
      </c>
      <c r="D3020" s="54" t="s">
        <v>4554</v>
      </c>
      <c r="E3020" s="54" t="s">
        <v>4555</v>
      </c>
      <c r="F3020" s="54" t="s">
        <v>6484</v>
      </c>
      <c r="G3020" s="54" t="s">
        <v>6485</v>
      </c>
      <c r="H3020" s="54" t="n">
        <v>193</v>
      </c>
      <c r="I3020" s="54" t="s">
        <v>295</v>
      </c>
      <c r="J3020" s="54" t="s">
        <v>1133</v>
      </c>
    </row>
    <row r="3021" customFormat="false" ht="15" hidden="false" customHeight="true" outlineLevel="0" collapsed="false">
      <c r="A3021" s="54" t="n">
        <v>20260711</v>
      </c>
      <c r="B3021" s="54" t="s">
        <v>289</v>
      </c>
      <c r="C3021" s="54" t="s">
        <v>307</v>
      </c>
      <c r="D3021" s="54" t="s">
        <v>4554</v>
      </c>
      <c r="E3021" s="54" t="s">
        <v>4555</v>
      </c>
      <c r="F3021" s="54" t="s">
        <v>6486</v>
      </c>
      <c r="G3021" s="54" t="s">
        <v>6487</v>
      </c>
      <c r="H3021" s="54" t="n">
        <v>294</v>
      </c>
      <c r="I3021" s="54" t="s">
        <v>295</v>
      </c>
      <c r="J3021" s="54" t="s">
        <v>1133</v>
      </c>
    </row>
    <row r="3022" customFormat="false" ht="15" hidden="false" customHeight="true" outlineLevel="0" collapsed="false">
      <c r="A3022" s="54" t="n">
        <v>20260711</v>
      </c>
      <c r="B3022" s="54" t="s">
        <v>289</v>
      </c>
      <c r="C3022" s="54" t="s">
        <v>307</v>
      </c>
      <c r="D3022" s="54" t="s">
        <v>4554</v>
      </c>
      <c r="E3022" s="54" t="s">
        <v>4555</v>
      </c>
      <c r="F3022" s="54" t="s">
        <v>6488</v>
      </c>
      <c r="G3022" s="54" t="s">
        <v>6489</v>
      </c>
      <c r="H3022" s="54" t="n">
        <v>1037</v>
      </c>
      <c r="I3022" s="54" t="s">
        <v>295</v>
      </c>
      <c r="J3022" s="54" t="s">
        <v>1133</v>
      </c>
    </row>
    <row r="3023" customFormat="false" ht="15" hidden="false" customHeight="true" outlineLevel="0" collapsed="false">
      <c r="A3023" s="54" t="n">
        <v>20260711</v>
      </c>
      <c r="B3023" s="54" t="s">
        <v>289</v>
      </c>
      <c r="C3023" s="54" t="s">
        <v>307</v>
      </c>
      <c r="D3023" s="54" t="s">
        <v>4554</v>
      </c>
      <c r="E3023" s="54" t="s">
        <v>4555</v>
      </c>
      <c r="F3023" s="54" t="s">
        <v>6490</v>
      </c>
      <c r="G3023" s="54" t="s">
        <v>6491</v>
      </c>
      <c r="H3023" s="54" t="n">
        <v>122</v>
      </c>
      <c r="I3023" s="54" t="s">
        <v>295</v>
      </c>
      <c r="J3023" s="54" t="s">
        <v>1133</v>
      </c>
    </row>
    <row r="3024" customFormat="false" ht="15" hidden="false" customHeight="true" outlineLevel="0" collapsed="false">
      <c r="A3024" s="54" t="n">
        <v>20260711</v>
      </c>
      <c r="B3024" s="54" t="s">
        <v>289</v>
      </c>
      <c r="C3024" s="54" t="s">
        <v>307</v>
      </c>
      <c r="D3024" s="54" t="s">
        <v>4554</v>
      </c>
      <c r="E3024" s="54" t="s">
        <v>4555</v>
      </c>
      <c r="F3024" s="54" t="s">
        <v>6492</v>
      </c>
      <c r="G3024" s="54" t="s">
        <v>6493</v>
      </c>
      <c r="H3024" s="54" t="n">
        <v>453</v>
      </c>
      <c r="I3024" s="54" t="s">
        <v>295</v>
      </c>
      <c r="J3024" s="54" t="s">
        <v>1133</v>
      </c>
    </row>
    <row r="3025" customFormat="false" ht="15" hidden="false" customHeight="true" outlineLevel="0" collapsed="false">
      <c r="A3025" s="54" t="n">
        <v>20260711</v>
      </c>
      <c r="B3025" s="54" t="s">
        <v>289</v>
      </c>
      <c r="C3025" s="54" t="s">
        <v>307</v>
      </c>
      <c r="D3025" s="54" t="s">
        <v>4554</v>
      </c>
      <c r="E3025" s="54" t="s">
        <v>4555</v>
      </c>
      <c r="F3025" s="54" t="s">
        <v>6494</v>
      </c>
      <c r="G3025" s="54" t="s">
        <v>6495</v>
      </c>
      <c r="H3025" s="54" t="n">
        <v>258</v>
      </c>
      <c r="I3025" s="54" t="s">
        <v>295</v>
      </c>
      <c r="J3025" s="54" t="s">
        <v>1133</v>
      </c>
    </row>
    <row r="3026" customFormat="false" ht="15" hidden="false" customHeight="true" outlineLevel="0" collapsed="false">
      <c r="A3026" s="54" t="n">
        <v>20260711</v>
      </c>
      <c r="B3026" s="54" t="s">
        <v>289</v>
      </c>
      <c r="C3026" s="54" t="s">
        <v>307</v>
      </c>
      <c r="D3026" s="54" t="s">
        <v>4554</v>
      </c>
      <c r="E3026" s="54" t="s">
        <v>4555</v>
      </c>
      <c r="F3026" s="54" t="s">
        <v>6496</v>
      </c>
      <c r="G3026" s="54" t="s">
        <v>6497</v>
      </c>
      <c r="H3026" s="54" t="n">
        <v>1174</v>
      </c>
      <c r="I3026" s="54" t="s">
        <v>295</v>
      </c>
      <c r="J3026" s="54" t="s">
        <v>1133</v>
      </c>
    </row>
    <row r="3027" customFormat="false" ht="15" hidden="false" customHeight="true" outlineLevel="0" collapsed="false">
      <c r="A3027" s="54" t="n">
        <v>20260711</v>
      </c>
      <c r="B3027" s="54" t="s">
        <v>289</v>
      </c>
      <c r="C3027" s="54" t="s">
        <v>307</v>
      </c>
      <c r="D3027" s="54" t="s">
        <v>4554</v>
      </c>
      <c r="E3027" s="54" t="s">
        <v>4555</v>
      </c>
      <c r="F3027" s="54" t="s">
        <v>6498</v>
      </c>
      <c r="G3027" s="54" t="s">
        <v>6499</v>
      </c>
      <c r="H3027" s="54" t="n">
        <v>388</v>
      </c>
      <c r="I3027" s="54" t="s">
        <v>295</v>
      </c>
      <c r="J3027" s="54" t="s">
        <v>1133</v>
      </c>
    </row>
    <row r="3028" customFormat="false" ht="15" hidden="false" customHeight="true" outlineLevel="0" collapsed="false">
      <c r="A3028" s="54" t="n">
        <v>20260711</v>
      </c>
      <c r="B3028" s="54" t="s">
        <v>289</v>
      </c>
      <c r="C3028" s="54" t="s">
        <v>307</v>
      </c>
      <c r="D3028" s="54" t="s">
        <v>4554</v>
      </c>
      <c r="E3028" s="54" t="s">
        <v>4555</v>
      </c>
      <c r="F3028" s="54" t="s">
        <v>6500</v>
      </c>
      <c r="G3028" s="54" t="s">
        <v>6501</v>
      </c>
      <c r="H3028" s="54" t="n">
        <v>323</v>
      </c>
      <c r="I3028" s="54" t="s">
        <v>295</v>
      </c>
      <c r="J3028" s="54" t="s">
        <v>1133</v>
      </c>
    </row>
    <row r="3029" customFormat="false" ht="15" hidden="false" customHeight="true" outlineLevel="0" collapsed="false">
      <c r="A3029" s="54" t="n">
        <v>20260711</v>
      </c>
      <c r="B3029" s="54" t="s">
        <v>289</v>
      </c>
      <c r="C3029" s="54" t="s">
        <v>307</v>
      </c>
      <c r="D3029" s="54" t="s">
        <v>4554</v>
      </c>
      <c r="E3029" s="54" t="s">
        <v>4555</v>
      </c>
      <c r="F3029" s="54" t="s">
        <v>6502</v>
      </c>
      <c r="G3029" s="54" t="s">
        <v>6503</v>
      </c>
      <c r="H3029" s="54" t="n">
        <v>154</v>
      </c>
      <c r="I3029" s="54" t="s">
        <v>295</v>
      </c>
      <c r="J3029" s="54" t="s">
        <v>1133</v>
      </c>
    </row>
    <row r="3030" customFormat="false" ht="15" hidden="false" customHeight="true" outlineLevel="0" collapsed="false">
      <c r="A3030" s="54" t="n">
        <v>20260711</v>
      </c>
      <c r="B3030" s="54" t="s">
        <v>289</v>
      </c>
      <c r="C3030" s="54" t="s">
        <v>307</v>
      </c>
      <c r="D3030" s="54" t="s">
        <v>4554</v>
      </c>
      <c r="E3030" s="54" t="s">
        <v>4555</v>
      </c>
      <c r="F3030" s="54" t="s">
        <v>6504</v>
      </c>
      <c r="G3030" s="54" t="s">
        <v>6505</v>
      </c>
      <c r="H3030" s="54" t="n">
        <v>3405</v>
      </c>
      <c r="I3030" s="54" t="s">
        <v>295</v>
      </c>
      <c r="J3030" s="54" t="s">
        <v>1133</v>
      </c>
    </row>
    <row r="3031" customFormat="false" ht="15" hidden="false" customHeight="true" outlineLevel="0" collapsed="false">
      <c r="A3031" s="54" t="n">
        <v>20260711</v>
      </c>
      <c r="B3031" s="54" t="s">
        <v>289</v>
      </c>
      <c r="C3031" s="54" t="s">
        <v>307</v>
      </c>
      <c r="D3031" s="54" t="s">
        <v>4554</v>
      </c>
      <c r="E3031" s="54" t="s">
        <v>4555</v>
      </c>
      <c r="F3031" s="54" t="s">
        <v>6506</v>
      </c>
      <c r="G3031" s="54" t="s">
        <v>6507</v>
      </c>
      <c r="H3031" s="54" t="n">
        <v>376</v>
      </c>
      <c r="I3031" s="54" t="s">
        <v>295</v>
      </c>
      <c r="J3031" s="54" t="s">
        <v>1133</v>
      </c>
    </row>
    <row r="3032" customFormat="false" ht="15" hidden="false" customHeight="true" outlineLevel="0" collapsed="false">
      <c r="A3032" s="54" t="n">
        <v>20260711</v>
      </c>
      <c r="B3032" s="54" t="s">
        <v>289</v>
      </c>
      <c r="C3032" s="54" t="s">
        <v>307</v>
      </c>
      <c r="D3032" s="54" t="s">
        <v>4554</v>
      </c>
      <c r="E3032" s="54" t="s">
        <v>4555</v>
      </c>
      <c r="F3032" s="54" t="s">
        <v>6508</v>
      </c>
      <c r="G3032" s="54" t="s">
        <v>6509</v>
      </c>
      <c r="H3032" s="54" t="n">
        <v>782</v>
      </c>
      <c r="I3032" s="54" t="s">
        <v>295</v>
      </c>
      <c r="J3032" s="54" t="s">
        <v>1133</v>
      </c>
    </row>
    <row r="3033" customFormat="false" ht="15" hidden="false" customHeight="true" outlineLevel="0" collapsed="false">
      <c r="A3033" s="54" t="n">
        <v>20260711</v>
      </c>
      <c r="B3033" s="54" t="s">
        <v>289</v>
      </c>
      <c r="C3033" s="54" t="s">
        <v>307</v>
      </c>
      <c r="D3033" s="54" t="s">
        <v>4554</v>
      </c>
      <c r="E3033" s="54" t="s">
        <v>4555</v>
      </c>
      <c r="F3033" s="54" t="s">
        <v>6510</v>
      </c>
      <c r="G3033" s="54" t="s">
        <v>6511</v>
      </c>
      <c r="H3033" s="54" t="n">
        <v>3507</v>
      </c>
      <c r="I3033" s="54" t="s">
        <v>295</v>
      </c>
      <c r="J3033" s="54" t="s">
        <v>1133</v>
      </c>
    </row>
    <row r="3034" customFormat="false" ht="15" hidden="false" customHeight="true" outlineLevel="0" collapsed="false">
      <c r="A3034" s="54" t="n">
        <v>20260711</v>
      </c>
      <c r="B3034" s="54" t="s">
        <v>306</v>
      </c>
      <c r="C3034" s="54" t="s">
        <v>290</v>
      </c>
      <c r="D3034" s="54" t="s">
        <v>4618</v>
      </c>
      <c r="E3034" s="54" t="s">
        <v>4619</v>
      </c>
      <c r="F3034" s="54" t="s">
        <v>6512</v>
      </c>
      <c r="G3034" s="54" t="s">
        <v>5680</v>
      </c>
      <c r="H3034" s="54" t="n">
        <v>20388</v>
      </c>
      <c r="I3034" s="54" t="s">
        <v>295</v>
      </c>
      <c r="J3034" s="54" t="s">
        <v>375</v>
      </c>
    </row>
    <row r="3035" customFormat="false" ht="15" hidden="false" customHeight="true" outlineLevel="0" collapsed="false">
      <c r="A3035" s="54" t="n">
        <v>20260711</v>
      </c>
      <c r="B3035" s="54" t="s">
        <v>306</v>
      </c>
      <c r="C3035" s="54" t="s">
        <v>307</v>
      </c>
      <c r="D3035" s="54" t="s">
        <v>6513</v>
      </c>
      <c r="E3035" s="54" t="s">
        <v>6514</v>
      </c>
      <c r="F3035" s="54" t="s">
        <v>6515</v>
      </c>
      <c r="G3035" s="54" t="s">
        <v>6450</v>
      </c>
      <c r="H3035" s="54" t="n">
        <v>28805</v>
      </c>
      <c r="I3035" s="54" t="s">
        <v>295</v>
      </c>
      <c r="J3035" s="54" t="s">
        <v>392</v>
      </c>
    </row>
    <row r="3036" customFormat="false" ht="15" hidden="false" customHeight="true" outlineLevel="0" collapsed="false">
      <c r="A3036" s="54" t="n">
        <v>20260711</v>
      </c>
      <c r="B3036" s="54" t="s">
        <v>306</v>
      </c>
      <c r="C3036" s="54" t="s">
        <v>307</v>
      </c>
      <c r="D3036" s="54" t="s">
        <v>6513</v>
      </c>
      <c r="E3036" s="54" t="s">
        <v>6514</v>
      </c>
      <c r="F3036" s="54" t="s">
        <v>6516</v>
      </c>
      <c r="G3036" s="54" t="s">
        <v>6517</v>
      </c>
      <c r="H3036" s="54" t="n">
        <v>28810</v>
      </c>
      <c r="I3036" s="54" t="s">
        <v>315</v>
      </c>
      <c r="J3036" s="54" t="s">
        <v>392</v>
      </c>
    </row>
    <row r="3037" customFormat="false" ht="15" hidden="false" customHeight="true" outlineLevel="0" collapsed="false">
      <c r="A3037" s="54" t="n">
        <v>20260711</v>
      </c>
      <c r="B3037" s="54" t="s">
        <v>306</v>
      </c>
      <c r="C3037" s="54" t="s">
        <v>307</v>
      </c>
      <c r="D3037" s="54" t="s">
        <v>6513</v>
      </c>
      <c r="E3037" s="54" t="s">
        <v>6514</v>
      </c>
      <c r="F3037" s="54" t="s">
        <v>6518</v>
      </c>
      <c r="G3037" s="54" t="s">
        <v>6519</v>
      </c>
      <c r="H3037" s="54" t="n">
        <v>32592</v>
      </c>
      <c r="I3037" s="54" t="s">
        <v>295</v>
      </c>
      <c r="J3037" s="54" t="s">
        <v>392</v>
      </c>
    </row>
    <row r="3038" customFormat="false" ht="15" hidden="false" customHeight="true" outlineLevel="0" collapsed="false">
      <c r="A3038" s="54" t="n">
        <v>20260711</v>
      </c>
      <c r="B3038" s="54" t="s">
        <v>306</v>
      </c>
      <c r="C3038" s="54" t="s">
        <v>307</v>
      </c>
      <c r="D3038" s="54" t="s">
        <v>6513</v>
      </c>
      <c r="E3038" s="54" t="s">
        <v>6514</v>
      </c>
      <c r="F3038" s="54" t="s">
        <v>6518</v>
      </c>
      <c r="G3038" s="54" t="s">
        <v>6520</v>
      </c>
      <c r="H3038" s="54" t="n">
        <v>32657</v>
      </c>
      <c r="I3038" s="54" t="s">
        <v>315</v>
      </c>
      <c r="J3038" s="54" t="s">
        <v>392</v>
      </c>
    </row>
    <row r="3039" customFormat="false" ht="15" hidden="false" customHeight="true" outlineLevel="0" collapsed="false">
      <c r="A3039" s="54" t="n">
        <v>20260711</v>
      </c>
      <c r="B3039" s="54" t="s">
        <v>306</v>
      </c>
      <c r="C3039" s="54" t="s">
        <v>290</v>
      </c>
      <c r="D3039" s="54" t="s">
        <v>4646</v>
      </c>
      <c r="E3039" s="54" t="s">
        <v>4647</v>
      </c>
      <c r="F3039" s="54" t="s">
        <v>6521</v>
      </c>
      <c r="G3039" s="54" t="s">
        <v>6522</v>
      </c>
      <c r="H3039" s="54" t="n">
        <v>21291</v>
      </c>
      <c r="I3039" s="54" t="s">
        <v>315</v>
      </c>
      <c r="J3039" s="54" t="s">
        <v>375</v>
      </c>
    </row>
    <row r="3040" customFormat="false" ht="15" hidden="false" customHeight="true" outlineLevel="0" collapsed="false">
      <c r="A3040" s="54" t="n">
        <v>20260711</v>
      </c>
      <c r="B3040" s="54" t="s">
        <v>306</v>
      </c>
      <c r="C3040" s="54" t="s">
        <v>290</v>
      </c>
      <c r="D3040" s="54" t="s">
        <v>4646</v>
      </c>
      <c r="E3040" s="54" t="s">
        <v>4647</v>
      </c>
      <c r="F3040" s="54" t="s">
        <v>6521</v>
      </c>
      <c r="G3040" s="54" t="s">
        <v>6522</v>
      </c>
      <c r="H3040" s="54" t="n">
        <v>21291</v>
      </c>
      <c r="I3040" s="54" t="s">
        <v>295</v>
      </c>
      <c r="J3040" s="54" t="s">
        <v>375</v>
      </c>
    </row>
    <row r="3041" customFormat="false" ht="15" hidden="false" customHeight="true" outlineLevel="0" collapsed="false">
      <c r="A3041" s="54" t="n">
        <v>20260711</v>
      </c>
      <c r="B3041" s="54" t="s">
        <v>306</v>
      </c>
      <c r="C3041" s="54" t="s">
        <v>290</v>
      </c>
      <c r="D3041" s="54" t="s">
        <v>6523</v>
      </c>
      <c r="E3041" s="54" t="s">
        <v>6524</v>
      </c>
      <c r="F3041" s="54" t="s">
        <v>6525</v>
      </c>
      <c r="G3041" s="54" t="s">
        <v>5160</v>
      </c>
      <c r="H3041" s="54" t="n">
        <v>21633</v>
      </c>
      <c r="I3041" s="54" t="s">
        <v>295</v>
      </c>
      <c r="J3041" s="54" t="s">
        <v>734</v>
      </c>
    </row>
    <row r="3042" customFormat="false" ht="15" hidden="false" customHeight="true" outlineLevel="0" collapsed="false">
      <c r="A3042" s="54" t="n">
        <v>20260711</v>
      </c>
      <c r="B3042" s="54" t="s">
        <v>306</v>
      </c>
      <c r="C3042" s="54" t="s">
        <v>290</v>
      </c>
      <c r="D3042" s="54" t="s">
        <v>469</v>
      </c>
      <c r="E3042" s="54" t="s">
        <v>470</v>
      </c>
      <c r="F3042" s="54" t="s">
        <v>6526</v>
      </c>
      <c r="G3042" s="54" t="s">
        <v>6527</v>
      </c>
      <c r="H3042" s="54" t="n">
        <v>19171</v>
      </c>
      <c r="I3042" s="54" t="s">
        <v>315</v>
      </c>
      <c r="J3042" s="54" t="s">
        <v>473</v>
      </c>
    </row>
    <row r="3043" customFormat="false" ht="15" hidden="false" customHeight="true" outlineLevel="0" collapsed="false">
      <c r="A3043" s="54" t="n">
        <v>20260711</v>
      </c>
      <c r="B3043" s="54" t="s">
        <v>306</v>
      </c>
      <c r="C3043" s="54" t="s">
        <v>290</v>
      </c>
      <c r="D3043" s="54" t="s">
        <v>469</v>
      </c>
      <c r="E3043" s="54" t="s">
        <v>470</v>
      </c>
      <c r="F3043" s="54" t="s">
        <v>6526</v>
      </c>
      <c r="G3043" s="54" t="s">
        <v>6527</v>
      </c>
      <c r="H3043" s="54" t="n">
        <v>19171</v>
      </c>
      <c r="I3043" s="54" t="s">
        <v>295</v>
      </c>
      <c r="J3043" s="54" t="s">
        <v>473</v>
      </c>
    </row>
    <row r="3044" customFormat="false" ht="15" hidden="false" customHeight="true" outlineLevel="0" collapsed="false">
      <c r="A3044" s="54" t="n">
        <v>20260711</v>
      </c>
      <c r="B3044" s="54" t="s">
        <v>688</v>
      </c>
      <c r="C3044" s="54" t="s">
        <v>307</v>
      </c>
      <c r="D3044" s="54" t="s">
        <v>4665</v>
      </c>
      <c r="E3044" s="54" t="s">
        <v>4666</v>
      </c>
      <c r="F3044" s="54" t="s">
        <v>6528</v>
      </c>
      <c r="G3044" s="54" t="s">
        <v>6529</v>
      </c>
      <c r="H3044" s="54" t="n">
        <v>13479</v>
      </c>
      <c r="I3044" s="54" t="s">
        <v>295</v>
      </c>
      <c r="J3044" s="54" t="s">
        <v>693</v>
      </c>
    </row>
    <row r="3045" customFormat="false" ht="15" hidden="false" customHeight="true" outlineLevel="0" collapsed="false">
      <c r="A3045" s="54" t="n">
        <v>20260711</v>
      </c>
      <c r="B3045" s="54" t="s">
        <v>688</v>
      </c>
      <c r="C3045" s="54" t="s">
        <v>307</v>
      </c>
      <c r="D3045" s="54" t="s">
        <v>4665</v>
      </c>
      <c r="E3045" s="54" t="s">
        <v>4666</v>
      </c>
      <c r="F3045" s="54" t="s">
        <v>6530</v>
      </c>
      <c r="G3045" s="54" t="s">
        <v>6531</v>
      </c>
      <c r="H3045" s="54" t="n">
        <v>5257</v>
      </c>
      <c r="I3045" s="54" t="s">
        <v>295</v>
      </c>
      <c r="J3045" s="54" t="s">
        <v>693</v>
      </c>
    </row>
    <row r="3046" customFormat="false" ht="15" hidden="false" customHeight="true" outlineLevel="0" collapsed="false">
      <c r="A3046" s="54" t="n">
        <v>20260711</v>
      </c>
      <c r="B3046" s="54" t="s">
        <v>688</v>
      </c>
      <c r="C3046" s="54" t="s">
        <v>307</v>
      </c>
      <c r="D3046" s="54" t="s">
        <v>4665</v>
      </c>
      <c r="E3046" s="54" t="s">
        <v>4666</v>
      </c>
      <c r="F3046" s="54" t="s">
        <v>6532</v>
      </c>
      <c r="G3046" s="54" t="s">
        <v>6533</v>
      </c>
      <c r="H3046" s="54" t="n">
        <v>8636</v>
      </c>
      <c r="I3046" s="54" t="s">
        <v>295</v>
      </c>
      <c r="J3046" s="54" t="s">
        <v>693</v>
      </c>
    </row>
    <row r="3047" customFormat="false" ht="15" hidden="false" customHeight="true" outlineLevel="0" collapsed="false">
      <c r="A3047" s="54" t="n">
        <v>20260711</v>
      </c>
      <c r="B3047" s="54" t="s">
        <v>688</v>
      </c>
      <c r="C3047" s="54" t="s">
        <v>307</v>
      </c>
      <c r="D3047" s="54" t="s">
        <v>4665</v>
      </c>
      <c r="E3047" s="54" t="s">
        <v>4666</v>
      </c>
      <c r="F3047" s="54" t="s">
        <v>6534</v>
      </c>
      <c r="G3047" s="54" t="s">
        <v>6535</v>
      </c>
      <c r="H3047" s="54" t="n">
        <v>5053</v>
      </c>
      <c r="I3047" s="54" t="s">
        <v>295</v>
      </c>
      <c r="J3047" s="54" t="s">
        <v>693</v>
      </c>
    </row>
    <row r="3048" customFormat="false" ht="15" hidden="false" customHeight="true" outlineLevel="0" collapsed="false">
      <c r="A3048" s="54" t="n">
        <v>20260711</v>
      </c>
      <c r="B3048" s="54" t="s">
        <v>289</v>
      </c>
      <c r="C3048" s="54" t="s">
        <v>307</v>
      </c>
      <c r="D3048" s="54" t="s">
        <v>4670</v>
      </c>
      <c r="E3048" s="54" t="s">
        <v>4671</v>
      </c>
      <c r="F3048" s="54" t="s">
        <v>6536</v>
      </c>
      <c r="G3048" s="54" t="s">
        <v>6537</v>
      </c>
      <c r="H3048" s="54" t="n">
        <v>4</v>
      </c>
      <c r="I3048" s="54" t="s">
        <v>295</v>
      </c>
      <c r="J3048" s="54" t="s">
        <v>1133</v>
      </c>
    </row>
    <row r="3049" customFormat="false" ht="15" hidden="false" customHeight="true" outlineLevel="0" collapsed="false">
      <c r="A3049" s="54" t="n">
        <v>20260711</v>
      </c>
      <c r="B3049" s="54" t="s">
        <v>289</v>
      </c>
      <c r="C3049" s="54" t="s">
        <v>307</v>
      </c>
      <c r="D3049" s="54" t="s">
        <v>4670</v>
      </c>
      <c r="E3049" s="54" t="s">
        <v>4671</v>
      </c>
      <c r="F3049" s="54" t="s">
        <v>6538</v>
      </c>
      <c r="G3049" s="54" t="s">
        <v>6539</v>
      </c>
      <c r="H3049" s="54" t="n">
        <v>7</v>
      </c>
      <c r="I3049" s="54" t="s">
        <v>295</v>
      </c>
      <c r="J3049" s="54" t="s">
        <v>1133</v>
      </c>
    </row>
    <row r="3050" customFormat="false" ht="15" hidden="false" customHeight="true" outlineLevel="0" collapsed="false">
      <c r="A3050" s="54" t="n">
        <v>20260711</v>
      </c>
      <c r="B3050" s="54" t="s">
        <v>289</v>
      </c>
      <c r="C3050" s="54" t="s">
        <v>307</v>
      </c>
      <c r="D3050" s="54" t="s">
        <v>4670</v>
      </c>
      <c r="E3050" s="54" t="s">
        <v>4671</v>
      </c>
      <c r="F3050" s="54" t="s">
        <v>6540</v>
      </c>
      <c r="G3050" s="54" t="s">
        <v>6541</v>
      </c>
      <c r="H3050" s="54" t="n">
        <v>15889</v>
      </c>
      <c r="I3050" s="54" t="s">
        <v>295</v>
      </c>
      <c r="J3050" s="54" t="s">
        <v>1133</v>
      </c>
    </row>
    <row r="3051" customFormat="false" ht="15" hidden="false" customHeight="true" outlineLevel="0" collapsed="false">
      <c r="A3051" s="54" t="n">
        <v>20260711</v>
      </c>
      <c r="B3051" s="54" t="s">
        <v>289</v>
      </c>
      <c r="C3051" s="54" t="s">
        <v>307</v>
      </c>
      <c r="D3051" s="54" t="s">
        <v>4670</v>
      </c>
      <c r="E3051" s="54" t="s">
        <v>4671</v>
      </c>
      <c r="F3051" s="54" t="s">
        <v>6542</v>
      </c>
      <c r="G3051" s="54" t="s">
        <v>6543</v>
      </c>
      <c r="H3051" s="54" t="n">
        <v>143</v>
      </c>
      <c r="I3051" s="54" t="s">
        <v>295</v>
      </c>
      <c r="J3051" s="54" t="s">
        <v>1133</v>
      </c>
    </row>
    <row r="3052" customFormat="false" ht="15" hidden="false" customHeight="true" outlineLevel="0" collapsed="false">
      <c r="A3052" s="54" t="n">
        <v>20260711</v>
      </c>
      <c r="B3052" s="54" t="s">
        <v>289</v>
      </c>
      <c r="C3052" s="54" t="s">
        <v>307</v>
      </c>
      <c r="D3052" s="54" t="s">
        <v>4670</v>
      </c>
      <c r="E3052" s="54" t="s">
        <v>4671</v>
      </c>
      <c r="F3052" s="54" t="s">
        <v>6544</v>
      </c>
      <c r="G3052" s="54" t="s">
        <v>6079</v>
      </c>
      <c r="H3052" s="54" t="n">
        <v>13104</v>
      </c>
      <c r="I3052" s="54" t="s">
        <v>295</v>
      </c>
      <c r="J3052" s="54" t="s">
        <v>1133</v>
      </c>
    </row>
    <row r="3053" customFormat="false" ht="15" hidden="false" customHeight="true" outlineLevel="0" collapsed="false">
      <c r="A3053" s="54" t="n">
        <v>20260711</v>
      </c>
      <c r="B3053" s="54" t="s">
        <v>306</v>
      </c>
      <c r="C3053" s="54" t="s">
        <v>307</v>
      </c>
      <c r="D3053" s="54" t="s">
        <v>6545</v>
      </c>
      <c r="E3053" s="54" t="s">
        <v>6546</v>
      </c>
      <c r="F3053" s="54" t="s">
        <v>6547</v>
      </c>
      <c r="G3053" s="54" t="s">
        <v>6548</v>
      </c>
      <c r="H3053" s="54" t="n">
        <v>13937</v>
      </c>
      <c r="I3053" s="54" t="s">
        <v>295</v>
      </c>
      <c r="J3053" s="54" t="s">
        <v>392</v>
      </c>
    </row>
    <row r="3054" customFormat="false" ht="15" hidden="false" customHeight="true" outlineLevel="0" collapsed="false">
      <c r="A3054" s="54" t="n">
        <v>20260711</v>
      </c>
      <c r="B3054" s="54" t="s">
        <v>306</v>
      </c>
      <c r="C3054" s="54" t="s">
        <v>307</v>
      </c>
      <c r="D3054" s="54" t="s">
        <v>6545</v>
      </c>
      <c r="E3054" s="54" t="s">
        <v>6546</v>
      </c>
      <c r="F3054" s="54" t="s">
        <v>6549</v>
      </c>
      <c r="G3054" s="54" t="s">
        <v>6550</v>
      </c>
      <c r="H3054" s="54" t="n">
        <v>8596</v>
      </c>
      <c r="I3054" s="54" t="s">
        <v>295</v>
      </c>
      <c r="J3054" s="54" t="s">
        <v>392</v>
      </c>
    </row>
    <row r="3055" customFormat="false" ht="15" hidden="false" customHeight="true" outlineLevel="0" collapsed="false">
      <c r="A3055" s="54" t="n">
        <v>20260711</v>
      </c>
      <c r="B3055" s="54" t="s">
        <v>306</v>
      </c>
      <c r="C3055" s="54" t="s">
        <v>290</v>
      </c>
      <c r="D3055" s="54" t="s">
        <v>4702</v>
      </c>
      <c r="E3055" s="54" t="s">
        <v>4703</v>
      </c>
      <c r="F3055" s="54" t="s">
        <v>6551</v>
      </c>
      <c r="G3055" s="54" t="s">
        <v>6552</v>
      </c>
      <c r="H3055" s="54" t="n">
        <v>337</v>
      </c>
      <c r="I3055" s="54" t="s">
        <v>295</v>
      </c>
      <c r="J3055" s="54" t="s">
        <v>989</v>
      </c>
    </row>
    <row r="3056" customFormat="false" ht="15" hidden="false" customHeight="true" outlineLevel="0" collapsed="false">
      <c r="A3056" s="54" t="n">
        <v>20260711</v>
      </c>
      <c r="B3056" s="54" t="s">
        <v>306</v>
      </c>
      <c r="C3056" s="54" t="s">
        <v>290</v>
      </c>
      <c r="D3056" s="54" t="s">
        <v>4702</v>
      </c>
      <c r="E3056" s="54" t="s">
        <v>4703</v>
      </c>
      <c r="F3056" s="54" t="s">
        <v>6553</v>
      </c>
      <c r="G3056" s="54" t="s">
        <v>6554</v>
      </c>
      <c r="H3056" s="54" t="n">
        <v>2379</v>
      </c>
      <c r="I3056" s="54" t="s">
        <v>295</v>
      </c>
      <c r="J3056" s="54" t="s">
        <v>989</v>
      </c>
    </row>
    <row r="3057" customFormat="false" ht="15" hidden="false" customHeight="true" outlineLevel="0" collapsed="false">
      <c r="A3057" s="54" t="n">
        <v>20260711</v>
      </c>
      <c r="B3057" s="54" t="s">
        <v>306</v>
      </c>
      <c r="C3057" s="54" t="s">
        <v>290</v>
      </c>
      <c r="D3057" s="54" t="s">
        <v>4702</v>
      </c>
      <c r="E3057" s="54" t="s">
        <v>4703</v>
      </c>
      <c r="F3057" s="54" t="s">
        <v>6555</v>
      </c>
      <c r="G3057" s="54" t="s">
        <v>6556</v>
      </c>
      <c r="H3057" s="54" t="n">
        <v>18916</v>
      </c>
      <c r="I3057" s="54" t="s">
        <v>295</v>
      </c>
      <c r="J3057" s="54" t="s">
        <v>989</v>
      </c>
    </row>
    <row r="3058" customFormat="false" ht="15" hidden="false" customHeight="true" outlineLevel="0" collapsed="false">
      <c r="A3058" s="54" t="n">
        <v>20260711</v>
      </c>
      <c r="B3058" s="54" t="s">
        <v>306</v>
      </c>
      <c r="C3058" s="54" t="s">
        <v>290</v>
      </c>
      <c r="D3058" s="54" t="s">
        <v>4720</v>
      </c>
      <c r="E3058" s="54" t="s">
        <v>4721</v>
      </c>
      <c r="F3058" s="54" t="s">
        <v>6557</v>
      </c>
      <c r="G3058" s="54" t="s">
        <v>6558</v>
      </c>
      <c r="H3058" s="54" t="n">
        <v>1448</v>
      </c>
      <c r="I3058" s="54" t="s">
        <v>295</v>
      </c>
      <c r="J3058" s="54" t="s">
        <v>989</v>
      </c>
    </row>
    <row r="3059" customFormat="false" ht="15" hidden="false" customHeight="true" outlineLevel="0" collapsed="false">
      <c r="A3059" s="54" t="n">
        <v>20260711</v>
      </c>
      <c r="B3059" s="54" t="s">
        <v>306</v>
      </c>
      <c r="C3059" s="54" t="s">
        <v>290</v>
      </c>
      <c r="D3059" s="54" t="s">
        <v>4720</v>
      </c>
      <c r="E3059" s="54" t="s">
        <v>4721</v>
      </c>
      <c r="F3059" s="54" t="s">
        <v>6559</v>
      </c>
      <c r="G3059" s="54" t="s">
        <v>6560</v>
      </c>
      <c r="H3059" s="54" t="n">
        <v>3628</v>
      </c>
      <c r="I3059" s="54" t="s">
        <v>295</v>
      </c>
      <c r="J3059" s="54" t="s">
        <v>989</v>
      </c>
    </row>
    <row r="3060" customFormat="false" ht="15" hidden="false" customHeight="true" outlineLevel="0" collapsed="false">
      <c r="A3060" s="54" t="n">
        <v>20260711</v>
      </c>
      <c r="B3060" s="54" t="s">
        <v>306</v>
      </c>
      <c r="C3060" s="54" t="s">
        <v>290</v>
      </c>
      <c r="D3060" s="54" t="s">
        <v>4720</v>
      </c>
      <c r="E3060" s="54" t="s">
        <v>4721</v>
      </c>
      <c r="F3060" s="54" t="s">
        <v>6561</v>
      </c>
      <c r="G3060" s="54" t="s">
        <v>6562</v>
      </c>
      <c r="H3060" s="54" t="n">
        <v>16564</v>
      </c>
      <c r="I3060" s="54" t="s">
        <v>295</v>
      </c>
      <c r="J3060" s="54" t="s">
        <v>989</v>
      </c>
    </row>
    <row r="3061" customFormat="false" ht="15" hidden="false" customHeight="true" outlineLevel="0" collapsed="false">
      <c r="A3061" s="54" t="n">
        <v>20260711</v>
      </c>
      <c r="B3061" s="54" t="s">
        <v>306</v>
      </c>
      <c r="C3061" s="54" t="s">
        <v>307</v>
      </c>
      <c r="D3061" s="54" t="s">
        <v>4773</v>
      </c>
      <c r="E3061" s="54" t="s">
        <v>4774</v>
      </c>
      <c r="F3061" s="54" t="s">
        <v>6102</v>
      </c>
      <c r="G3061" s="54" t="s">
        <v>6563</v>
      </c>
      <c r="H3061" s="54" t="n">
        <v>9</v>
      </c>
      <c r="I3061" s="54" t="s">
        <v>295</v>
      </c>
      <c r="J3061" s="54" t="s">
        <v>312</v>
      </c>
    </row>
    <row r="3062" customFormat="false" ht="15" hidden="false" customHeight="true" outlineLevel="0" collapsed="false">
      <c r="A3062" s="54" t="n">
        <v>20260711</v>
      </c>
      <c r="B3062" s="54" t="s">
        <v>306</v>
      </c>
      <c r="C3062" s="54" t="s">
        <v>307</v>
      </c>
      <c r="D3062" s="54" t="s">
        <v>4773</v>
      </c>
      <c r="E3062" s="54" t="s">
        <v>4774</v>
      </c>
      <c r="F3062" s="54" t="s">
        <v>5612</v>
      </c>
      <c r="G3062" s="54" t="s">
        <v>5454</v>
      </c>
      <c r="H3062" s="54" t="n">
        <v>21601</v>
      </c>
      <c r="I3062" s="54" t="s">
        <v>295</v>
      </c>
      <c r="J3062" s="54" t="s">
        <v>312</v>
      </c>
    </row>
    <row r="3063" customFormat="false" ht="15" hidden="false" customHeight="true" outlineLevel="0" collapsed="false">
      <c r="A3063" s="54" t="n">
        <v>20260711</v>
      </c>
      <c r="B3063" s="54" t="s">
        <v>306</v>
      </c>
      <c r="C3063" s="54" t="s">
        <v>307</v>
      </c>
      <c r="D3063" s="54" t="s">
        <v>4783</v>
      </c>
      <c r="E3063" s="54" t="s">
        <v>4784</v>
      </c>
      <c r="F3063" s="54" t="s">
        <v>6564</v>
      </c>
      <c r="G3063" s="54" t="s">
        <v>6565</v>
      </c>
      <c r="H3063" s="54" t="n">
        <v>10934</v>
      </c>
      <c r="I3063" s="54" t="s">
        <v>315</v>
      </c>
      <c r="J3063" s="54" t="s">
        <v>392</v>
      </c>
    </row>
    <row r="3064" customFormat="false" ht="15" hidden="false" customHeight="true" outlineLevel="0" collapsed="false">
      <c r="A3064" s="54" t="n">
        <v>20260711</v>
      </c>
      <c r="B3064" s="54" t="s">
        <v>306</v>
      </c>
      <c r="C3064" s="54" t="s">
        <v>307</v>
      </c>
      <c r="D3064" s="54" t="s">
        <v>4783</v>
      </c>
      <c r="E3064" s="54" t="s">
        <v>4784</v>
      </c>
      <c r="F3064" s="54" t="s">
        <v>6564</v>
      </c>
      <c r="G3064" s="54" t="s">
        <v>6565</v>
      </c>
      <c r="H3064" s="54" t="n">
        <v>10934</v>
      </c>
      <c r="I3064" s="54" t="s">
        <v>295</v>
      </c>
      <c r="J3064" s="54" t="s">
        <v>392</v>
      </c>
    </row>
    <row r="3065" customFormat="false" ht="15" hidden="false" customHeight="true" outlineLevel="0" collapsed="false">
      <c r="A3065" s="54" t="n">
        <v>20260711</v>
      </c>
      <c r="B3065" s="54" t="s">
        <v>306</v>
      </c>
      <c r="C3065" s="54" t="s">
        <v>307</v>
      </c>
      <c r="D3065" s="54" t="s">
        <v>4783</v>
      </c>
      <c r="E3065" s="54" t="s">
        <v>4784</v>
      </c>
      <c r="F3065" s="54" t="s">
        <v>6566</v>
      </c>
      <c r="G3065" s="54" t="s">
        <v>6567</v>
      </c>
      <c r="H3065" s="54" t="n">
        <v>1084</v>
      </c>
      <c r="I3065" s="54" t="s">
        <v>315</v>
      </c>
      <c r="J3065" s="54" t="s">
        <v>392</v>
      </c>
    </row>
    <row r="3066" customFormat="false" ht="15" hidden="false" customHeight="true" outlineLevel="0" collapsed="false">
      <c r="A3066" s="54" t="n">
        <v>20260711</v>
      </c>
      <c r="B3066" s="54" t="s">
        <v>306</v>
      </c>
      <c r="C3066" s="54" t="s">
        <v>307</v>
      </c>
      <c r="D3066" s="54" t="s">
        <v>4783</v>
      </c>
      <c r="E3066" s="54" t="s">
        <v>4784</v>
      </c>
      <c r="F3066" s="54" t="s">
        <v>6566</v>
      </c>
      <c r="G3066" s="54" t="s">
        <v>6567</v>
      </c>
      <c r="H3066" s="54" t="n">
        <v>1084</v>
      </c>
      <c r="I3066" s="54" t="s">
        <v>295</v>
      </c>
      <c r="J3066" s="54" t="s">
        <v>392</v>
      </c>
    </row>
    <row r="3067" customFormat="false" ht="15" hidden="false" customHeight="true" outlineLevel="0" collapsed="false">
      <c r="A3067" s="54" t="n">
        <v>20260711</v>
      </c>
      <c r="B3067" s="54" t="s">
        <v>306</v>
      </c>
      <c r="C3067" s="54" t="s">
        <v>307</v>
      </c>
      <c r="D3067" s="54" t="s">
        <v>4783</v>
      </c>
      <c r="E3067" s="54" t="s">
        <v>4784</v>
      </c>
      <c r="F3067" s="54" t="s">
        <v>6568</v>
      </c>
      <c r="G3067" s="54" t="s">
        <v>6569</v>
      </c>
      <c r="H3067" s="54" t="n">
        <v>4505</v>
      </c>
      <c r="I3067" s="54" t="s">
        <v>295</v>
      </c>
      <c r="J3067" s="54" t="s">
        <v>392</v>
      </c>
    </row>
    <row r="3068" customFormat="false" ht="15" hidden="false" customHeight="true" outlineLevel="0" collapsed="false">
      <c r="A3068" s="54" t="n">
        <v>20260711</v>
      </c>
      <c r="B3068" s="54" t="s">
        <v>306</v>
      </c>
      <c r="C3068" s="54" t="s">
        <v>307</v>
      </c>
      <c r="D3068" s="54" t="s">
        <v>4783</v>
      </c>
      <c r="E3068" s="54" t="s">
        <v>4784</v>
      </c>
      <c r="F3068" s="54" t="s">
        <v>6568</v>
      </c>
      <c r="G3068" s="54" t="s">
        <v>6570</v>
      </c>
      <c r="H3068" s="54" t="n">
        <v>4507</v>
      </c>
      <c r="I3068" s="54" t="s">
        <v>315</v>
      </c>
      <c r="J3068" s="54" t="s">
        <v>392</v>
      </c>
    </row>
    <row r="3069" customFormat="false" ht="15" hidden="false" customHeight="true" outlineLevel="0" collapsed="false">
      <c r="A3069" s="54" t="n">
        <v>20260711</v>
      </c>
      <c r="B3069" s="54" t="s">
        <v>289</v>
      </c>
      <c r="C3069" s="54" t="s">
        <v>290</v>
      </c>
      <c r="D3069" s="54" t="s">
        <v>6571</v>
      </c>
      <c r="E3069" s="54" t="s">
        <v>6572</v>
      </c>
      <c r="F3069" s="54" t="s">
        <v>6573</v>
      </c>
      <c r="G3069" s="54" t="s">
        <v>6574</v>
      </c>
      <c r="H3069" s="54" t="n">
        <v>5388</v>
      </c>
      <c r="I3069" s="54" t="s">
        <v>360</v>
      </c>
      <c r="J3069" s="54" t="s">
        <v>407</v>
      </c>
    </row>
    <row r="3070" customFormat="false" ht="15" hidden="false" customHeight="true" outlineLevel="0" collapsed="false">
      <c r="A3070" s="54" t="n">
        <v>20260711</v>
      </c>
      <c r="B3070" s="54" t="s">
        <v>289</v>
      </c>
      <c r="C3070" s="54" t="s">
        <v>290</v>
      </c>
      <c r="D3070" s="54" t="s">
        <v>6571</v>
      </c>
      <c r="E3070" s="54" t="s">
        <v>6572</v>
      </c>
      <c r="F3070" s="54" t="s">
        <v>6573</v>
      </c>
      <c r="G3070" s="54" t="s">
        <v>6574</v>
      </c>
      <c r="H3070" s="54" t="n">
        <v>5388</v>
      </c>
      <c r="I3070" s="54" t="s">
        <v>295</v>
      </c>
      <c r="J3070" s="54" t="s">
        <v>407</v>
      </c>
    </row>
    <row r="3071" customFormat="false" ht="15" hidden="false" customHeight="true" outlineLevel="0" collapsed="false">
      <c r="A3071" s="54" t="n">
        <v>20260711</v>
      </c>
      <c r="B3071" s="54" t="s">
        <v>289</v>
      </c>
      <c r="C3071" s="54" t="s">
        <v>290</v>
      </c>
      <c r="D3071" s="54" t="s">
        <v>6571</v>
      </c>
      <c r="E3071" s="54" t="s">
        <v>6572</v>
      </c>
      <c r="F3071" s="54" t="s">
        <v>6575</v>
      </c>
      <c r="G3071" s="54" t="s">
        <v>6576</v>
      </c>
      <c r="H3071" s="54" t="n">
        <v>13155</v>
      </c>
      <c r="I3071" s="54" t="s">
        <v>360</v>
      </c>
      <c r="J3071" s="54" t="s">
        <v>407</v>
      </c>
    </row>
    <row r="3072" customFormat="false" ht="15" hidden="false" customHeight="true" outlineLevel="0" collapsed="false">
      <c r="A3072" s="54" t="n">
        <v>20260711</v>
      </c>
      <c r="B3072" s="54" t="s">
        <v>289</v>
      </c>
      <c r="C3072" s="54" t="s">
        <v>290</v>
      </c>
      <c r="D3072" s="54" t="s">
        <v>6571</v>
      </c>
      <c r="E3072" s="54" t="s">
        <v>6572</v>
      </c>
      <c r="F3072" s="54" t="s">
        <v>6575</v>
      </c>
      <c r="G3072" s="54" t="s">
        <v>6576</v>
      </c>
      <c r="H3072" s="54" t="n">
        <v>13155</v>
      </c>
      <c r="I3072" s="54" t="s">
        <v>295</v>
      </c>
      <c r="J3072" s="54" t="s">
        <v>407</v>
      </c>
    </row>
    <row r="3073" customFormat="false" ht="15" hidden="false" customHeight="true" outlineLevel="0" collapsed="false">
      <c r="A3073" s="54" t="n">
        <v>20260711</v>
      </c>
      <c r="B3073" s="54" t="s">
        <v>289</v>
      </c>
      <c r="C3073" s="54" t="s">
        <v>290</v>
      </c>
      <c r="D3073" s="54" t="s">
        <v>6571</v>
      </c>
      <c r="E3073" s="54" t="s">
        <v>6572</v>
      </c>
      <c r="F3073" s="54" t="s">
        <v>6577</v>
      </c>
      <c r="G3073" s="54" t="s">
        <v>6578</v>
      </c>
      <c r="H3073" s="54" t="n">
        <v>923</v>
      </c>
      <c r="I3073" s="54" t="s">
        <v>360</v>
      </c>
      <c r="J3073" s="54" t="s">
        <v>407</v>
      </c>
    </row>
    <row r="3074" customFormat="false" ht="15" hidden="false" customHeight="true" outlineLevel="0" collapsed="false">
      <c r="A3074" s="54" t="n">
        <v>20260711</v>
      </c>
      <c r="B3074" s="54" t="s">
        <v>289</v>
      </c>
      <c r="C3074" s="54" t="s">
        <v>290</v>
      </c>
      <c r="D3074" s="54" t="s">
        <v>6571</v>
      </c>
      <c r="E3074" s="54" t="s">
        <v>6572</v>
      </c>
      <c r="F3074" s="54" t="s">
        <v>6577</v>
      </c>
      <c r="G3074" s="54" t="s">
        <v>6578</v>
      </c>
      <c r="H3074" s="54" t="n">
        <v>923</v>
      </c>
      <c r="I3074" s="54" t="s">
        <v>295</v>
      </c>
      <c r="J3074" s="54" t="s">
        <v>407</v>
      </c>
    </row>
    <row r="3075" customFormat="false" ht="15" hidden="false" customHeight="true" outlineLevel="0" collapsed="false">
      <c r="A3075" s="54" t="n">
        <v>20260711</v>
      </c>
      <c r="B3075" s="54" t="s">
        <v>289</v>
      </c>
      <c r="C3075" s="54" t="s">
        <v>290</v>
      </c>
      <c r="D3075" s="54" t="s">
        <v>6571</v>
      </c>
      <c r="E3075" s="54" t="s">
        <v>6572</v>
      </c>
      <c r="F3075" s="54" t="s">
        <v>6579</v>
      </c>
      <c r="G3075" s="54" t="s">
        <v>6580</v>
      </c>
      <c r="H3075" s="54" t="n">
        <v>17</v>
      </c>
      <c r="I3075" s="54" t="s">
        <v>295</v>
      </c>
      <c r="J3075" s="54" t="s">
        <v>407</v>
      </c>
    </row>
    <row r="3076" customFormat="false" ht="15" hidden="false" customHeight="true" outlineLevel="0" collapsed="false">
      <c r="A3076" s="54" t="n">
        <v>20260711</v>
      </c>
      <c r="B3076" s="54" t="s">
        <v>289</v>
      </c>
      <c r="C3076" s="54" t="s">
        <v>290</v>
      </c>
      <c r="D3076" s="54" t="s">
        <v>6571</v>
      </c>
      <c r="E3076" s="54" t="s">
        <v>6572</v>
      </c>
      <c r="F3076" s="54" t="s">
        <v>6581</v>
      </c>
      <c r="G3076" s="54" t="s">
        <v>6580</v>
      </c>
      <c r="H3076" s="54" t="n">
        <v>16</v>
      </c>
      <c r="I3076" s="54" t="s">
        <v>360</v>
      </c>
      <c r="J3076" s="54" t="s">
        <v>407</v>
      </c>
    </row>
    <row r="3077" customFormat="false" ht="15" hidden="false" customHeight="true" outlineLevel="0" collapsed="false">
      <c r="A3077" s="54" t="n">
        <v>20260711</v>
      </c>
      <c r="B3077" s="54" t="s">
        <v>289</v>
      </c>
      <c r="C3077" s="54" t="s">
        <v>290</v>
      </c>
      <c r="D3077" s="54" t="s">
        <v>6571</v>
      </c>
      <c r="E3077" s="54" t="s">
        <v>6572</v>
      </c>
      <c r="F3077" s="54" t="s">
        <v>6582</v>
      </c>
      <c r="G3077" s="54" t="s">
        <v>6583</v>
      </c>
      <c r="H3077" s="54" t="n">
        <v>6028</v>
      </c>
      <c r="I3077" s="54" t="s">
        <v>360</v>
      </c>
      <c r="J3077" s="54" t="s">
        <v>407</v>
      </c>
    </row>
    <row r="3078" customFormat="false" ht="15" hidden="false" customHeight="true" outlineLevel="0" collapsed="false">
      <c r="A3078" s="54" t="n">
        <v>20260711</v>
      </c>
      <c r="B3078" s="54" t="s">
        <v>289</v>
      </c>
      <c r="C3078" s="54" t="s">
        <v>290</v>
      </c>
      <c r="D3078" s="54" t="s">
        <v>6571</v>
      </c>
      <c r="E3078" s="54" t="s">
        <v>6572</v>
      </c>
      <c r="F3078" s="54" t="s">
        <v>6582</v>
      </c>
      <c r="G3078" s="54" t="s">
        <v>6583</v>
      </c>
      <c r="H3078" s="54" t="n">
        <v>6028</v>
      </c>
      <c r="I3078" s="54" t="s">
        <v>295</v>
      </c>
      <c r="J3078" s="54" t="s">
        <v>407</v>
      </c>
    </row>
    <row r="3079" customFormat="false" ht="15" hidden="false" customHeight="true" outlineLevel="0" collapsed="false">
      <c r="A3079" s="54" t="n">
        <v>20260711</v>
      </c>
      <c r="B3079" s="54" t="s">
        <v>289</v>
      </c>
      <c r="C3079" s="54" t="s">
        <v>290</v>
      </c>
      <c r="D3079" s="54" t="s">
        <v>6571</v>
      </c>
      <c r="E3079" s="54" t="s">
        <v>6572</v>
      </c>
      <c r="F3079" s="54" t="s">
        <v>6584</v>
      </c>
      <c r="G3079" s="54" t="s">
        <v>6585</v>
      </c>
      <c r="H3079" s="54" t="n">
        <v>626</v>
      </c>
      <c r="I3079" s="54" t="s">
        <v>360</v>
      </c>
      <c r="J3079" s="54" t="s">
        <v>407</v>
      </c>
    </row>
    <row r="3080" customFormat="false" ht="15" hidden="false" customHeight="true" outlineLevel="0" collapsed="false">
      <c r="A3080" s="54" t="n">
        <v>20260711</v>
      </c>
      <c r="B3080" s="54" t="s">
        <v>289</v>
      </c>
      <c r="C3080" s="54" t="s">
        <v>290</v>
      </c>
      <c r="D3080" s="54" t="s">
        <v>6571</v>
      </c>
      <c r="E3080" s="54" t="s">
        <v>6572</v>
      </c>
      <c r="F3080" s="54" t="s">
        <v>6584</v>
      </c>
      <c r="G3080" s="54" t="s">
        <v>6585</v>
      </c>
      <c r="H3080" s="54" t="n">
        <v>626</v>
      </c>
      <c r="I3080" s="54" t="s">
        <v>295</v>
      </c>
      <c r="J3080" s="54" t="s">
        <v>407</v>
      </c>
    </row>
    <row r="3081" customFormat="false" ht="15" hidden="false" customHeight="true" outlineLevel="0" collapsed="false">
      <c r="A3081" s="54" t="n">
        <v>20260711</v>
      </c>
      <c r="B3081" s="54" t="s">
        <v>306</v>
      </c>
      <c r="C3081" s="54" t="s">
        <v>290</v>
      </c>
      <c r="D3081" s="54" t="s">
        <v>4809</v>
      </c>
      <c r="E3081" s="54" t="s">
        <v>4810</v>
      </c>
      <c r="F3081" s="54" t="s">
        <v>6586</v>
      </c>
      <c r="G3081" s="54" t="s">
        <v>6587</v>
      </c>
      <c r="H3081" s="54" t="n">
        <v>24024</v>
      </c>
      <c r="I3081" s="54" t="s">
        <v>295</v>
      </c>
      <c r="J3081" s="54" t="s">
        <v>368</v>
      </c>
    </row>
    <row r="3082" customFormat="false" ht="15" hidden="false" customHeight="true" outlineLevel="0" collapsed="false">
      <c r="A3082" s="54" t="n">
        <v>20260711</v>
      </c>
      <c r="B3082" s="54" t="s">
        <v>306</v>
      </c>
      <c r="C3082" s="54" t="s">
        <v>290</v>
      </c>
      <c r="D3082" s="54" t="s">
        <v>4809</v>
      </c>
      <c r="E3082" s="54" t="s">
        <v>4810</v>
      </c>
      <c r="F3082" s="54" t="s">
        <v>6588</v>
      </c>
      <c r="G3082" s="54" t="s">
        <v>6589</v>
      </c>
      <c r="H3082" s="54" t="n">
        <v>24025</v>
      </c>
      <c r="I3082" s="54" t="s">
        <v>315</v>
      </c>
      <c r="J3082" s="54" t="s">
        <v>368</v>
      </c>
    </row>
    <row r="3083" customFormat="false" ht="15" hidden="false" customHeight="true" outlineLevel="0" collapsed="false">
      <c r="A3083" s="54" t="n">
        <v>20260711</v>
      </c>
      <c r="B3083" s="54" t="s">
        <v>306</v>
      </c>
      <c r="C3083" s="54" t="s">
        <v>290</v>
      </c>
      <c r="D3083" s="54" t="s">
        <v>4809</v>
      </c>
      <c r="E3083" s="54" t="s">
        <v>4810</v>
      </c>
      <c r="F3083" s="54" t="s">
        <v>6590</v>
      </c>
      <c r="G3083" s="54" t="s">
        <v>6591</v>
      </c>
      <c r="H3083" s="54" t="n">
        <v>5422</v>
      </c>
      <c r="I3083" s="54" t="s">
        <v>295</v>
      </c>
      <c r="J3083" s="54" t="s">
        <v>368</v>
      </c>
    </row>
    <row r="3084" customFormat="false" ht="15" hidden="false" customHeight="true" outlineLevel="0" collapsed="false">
      <c r="A3084" s="54" t="n">
        <v>20260711</v>
      </c>
      <c r="B3084" s="54" t="s">
        <v>306</v>
      </c>
      <c r="C3084" s="54" t="s">
        <v>290</v>
      </c>
      <c r="D3084" s="54" t="s">
        <v>4809</v>
      </c>
      <c r="E3084" s="54" t="s">
        <v>4810</v>
      </c>
      <c r="F3084" s="54" t="s">
        <v>6592</v>
      </c>
      <c r="G3084" s="54" t="s">
        <v>6593</v>
      </c>
      <c r="H3084" s="54" t="n">
        <v>5423</v>
      </c>
      <c r="I3084" s="54" t="s">
        <v>315</v>
      </c>
      <c r="J3084" s="54" t="s">
        <v>368</v>
      </c>
    </row>
    <row r="3085" customFormat="false" ht="15" hidden="false" customHeight="true" outlineLevel="0" collapsed="false">
      <c r="A3085" s="54" t="n">
        <v>20260711</v>
      </c>
      <c r="B3085" s="54" t="s">
        <v>306</v>
      </c>
      <c r="C3085" s="54" t="s">
        <v>290</v>
      </c>
      <c r="D3085" s="54" t="s">
        <v>4820</v>
      </c>
      <c r="E3085" s="54" t="s">
        <v>4821</v>
      </c>
      <c r="F3085" s="54" t="s">
        <v>6594</v>
      </c>
      <c r="G3085" s="54" t="s">
        <v>6595</v>
      </c>
      <c r="H3085" s="54" t="n">
        <v>21662</v>
      </c>
      <c r="I3085" s="54" t="s">
        <v>295</v>
      </c>
      <c r="J3085" s="54" t="s">
        <v>375</v>
      </c>
    </row>
    <row r="3086" customFormat="false" ht="15" hidden="false" customHeight="true" outlineLevel="0" collapsed="false">
      <c r="A3086" s="54" t="n">
        <v>20260711</v>
      </c>
      <c r="B3086" s="54" t="s">
        <v>289</v>
      </c>
      <c r="C3086" s="54" t="s">
        <v>290</v>
      </c>
      <c r="D3086" s="54" t="s">
        <v>6596</v>
      </c>
      <c r="E3086" s="54" t="s">
        <v>6597</v>
      </c>
      <c r="F3086" s="54" t="s">
        <v>6598</v>
      </c>
      <c r="G3086" s="54" t="s">
        <v>5284</v>
      </c>
      <c r="H3086" s="54" t="n">
        <v>18555</v>
      </c>
      <c r="I3086" s="54" t="s">
        <v>360</v>
      </c>
      <c r="J3086" s="54" t="s">
        <v>439</v>
      </c>
    </row>
    <row r="3087" customFormat="false" ht="15" hidden="false" customHeight="true" outlineLevel="0" collapsed="false">
      <c r="A3087" s="54" t="n">
        <v>20260711</v>
      </c>
      <c r="B3087" s="54" t="s">
        <v>289</v>
      </c>
      <c r="C3087" s="54" t="s">
        <v>290</v>
      </c>
      <c r="D3087" s="54" t="s">
        <v>6596</v>
      </c>
      <c r="E3087" s="54" t="s">
        <v>6597</v>
      </c>
      <c r="F3087" s="54" t="s">
        <v>5477</v>
      </c>
      <c r="G3087" s="54" t="s">
        <v>5514</v>
      </c>
      <c r="H3087" s="54" t="n">
        <v>18015</v>
      </c>
      <c r="I3087" s="54" t="s">
        <v>295</v>
      </c>
      <c r="J3087" s="54" t="s">
        <v>439</v>
      </c>
    </row>
    <row r="3088" customFormat="false" ht="15" hidden="false" customHeight="true" outlineLevel="0" collapsed="false">
      <c r="A3088" s="54" t="n">
        <v>20260711</v>
      </c>
      <c r="B3088" s="54" t="s">
        <v>289</v>
      </c>
      <c r="C3088" s="54" t="s">
        <v>290</v>
      </c>
      <c r="D3088" s="54" t="s">
        <v>6596</v>
      </c>
      <c r="E3088" s="54" t="s">
        <v>6597</v>
      </c>
      <c r="F3088" s="54" t="s">
        <v>6599</v>
      </c>
      <c r="G3088" s="54" t="s">
        <v>6600</v>
      </c>
      <c r="H3088" s="54" t="n">
        <v>331</v>
      </c>
      <c r="I3088" s="54" t="s">
        <v>295</v>
      </c>
      <c r="J3088" s="54" t="s">
        <v>439</v>
      </c>
    </row>
    <row r="3089" customFormat="false" ht="15" hidden="false" customHeight="true" outlineLevel="0" collapsed="false">
      <c r="A3089" s="54" t="n">
        <v>20260711</v>
      </c>
      <c r="B3089" s="54" t="s">
        <v>289</v>
      </c>
      <c r="C3089" s="54" t="s">
        <v>290</v>
      </c>
      <c r="D3089" s="54" t="s">
        <v>6596</v>
      </c>
      <c r="E3089" s="54" t="s">
        <v>6597</v>
      </c>
      <c r="F3089" s="54" t="s">
        <v>6601</v>
      </c>
      <c r="G3089" s="54" t="s">
        <v>6602</v>
      </c>
      <c r="H3089" s="54" t="n">
        <v>124</v>
      </c>
      <c r="I3089" s="54" t="s">
        <v>295</v>
      </c>
      <c r="J3089" s="54" t="s">
        <v>439</v>
      </c>
    </row>
    <row r="3090" customFormat="false" ht="15" hidden="false" customHeight="true" outlineLevel="0" collapsed="false">
      <c r="A3090" s="54" t="n">
        <v>20260711</v>
      </c>
      <c r="B3090" s="54" t="s">
        <v>289</v>
      </c>
      <c r="C3090" s="54" t="s">
        <v>290</v>
      </c>
      <c r="D3090" s="54" t="s">
        <v>6596</v>
      </c>
      <c r="E3090" s="54" t="s">
        <v>6597</v>
      </c>
      <c r="F3090" s="54" t="s">
        <v>6603</v>
      </c>
      <c r="G3090" s="54" t="s">
        <v>6604</v>
      </c>
      <c r="H3090" s="54" t="n">
        <v>72</v>
      </c>
      <c r="I3090" s="54" t="s">
        <v>360</v>
      </c>
      <c r="J3090" s="54" t="s">
        <v>439</v>
      </c>
    </row>
    <row r="3091" customFormat="false" ht="15" hidden="false" customHeight="true" outlineLevel="0" collapsed="false">
      <c r="A3091" s="54" t="n">
        <v>20260711</v>
      </c>
      <c r="B3091" s="54" t="s">
        <v>289</v>
      </c>
      <c r="C3091" s="54" t="s">
        <v>290</v>
      </c>
      <c r="D3091" s="54" t="s">
        <v>6596</v>
      </c>
      <c r="E3091" s="54" t="s">
        <v>6597</v>
      </c>
      <c r="F3091" s="54" t="s">
        <v>6605</v>
      </c>
      <c r="G3091" s="54" t="s">
        <v>6606</v>
      </c>
      <c r="H3091" s="54" t="n">
        <v>2120</v>
      </c>
      <c r="I3091" s="54" t="s">
        <v>295</v>
      </c>
      <c r="J3091" s="54" t="s">
        <v>439</v>
      </c>
    </row>
    <row r="3092" customFormat="false" ht="15" hidden="false" customHeight="true" outlineLevel="0" collapsed="false">
      <c r="A3092" s="54" t="n">
        <v>20260711</v>
      </c>
      <c r="B3092" s="54" t="s">
        <v>289</v>
      </c>
      <c r="C3092" s="54" t="s">
        <v>290</v>
      </c>
      <c r="D3092" s="54" t="s">
        <v>6596</v>
      </c>
      <c r="E3092" s="54" t="s">
        <v>6597</v>
      </c>
      <c r="F3092" s="54" t="s">
        <v>6607</v>
      </c>
      <c r="G3092" s="54" t="s">
        <v>6608</v>
      </c>
      <c r="H3092" s="54" t="n">
        <v>2152</v>
      </c>
      <c r="I3092" s="54" t="s">
        <v>360</v>
      </c>
      <c r="J3092" s="54" t="s">
        <v>439</v>
      </c>
    </row>
    <row r="3093" customFormat="false" ht="15" hidden="false" customHeight="true" outlineLevel="0" collapsed="false">
      <c r="A3093" s="54" t="n">
        <v>20260711</v>
      </c>
      <c r="B3093" s="54" t="s">
        <v>289</v>
      </c>
      <c r="C3093" s="54" t="s">
        <v>290</v>
      </c>
      <c r="D3093" s="54" t="s">
        <v>6596</v>
      </c>
      <c r="E3093" s="54" t="s">
        <v>6597</v>
      </c>
      <c r="F3093" s="54" t="s">
        <v>6609</v>
      </c>
      <c r="G3093" s="54" t="s">
        <v>6610</v>
      </c>
      <c r="H3093" s="54" t="n">
        <v>4061</v>
      </c>
      <c r="I3093" s="54" t="s">
        <v>295</v>
      </c>
      <c r="J3093" s="54" t="s">
        <v>439</v>
      </c>
    </row>
    <row r="3094" customFormat="false" ht="15" hidden="false" customHeight="true" outlineLevel="0" collapsed="false">
      <c r="A3094" s="54" t="n">
        <v>20260711</v>
      </c>
      <c r="B3094" s="54" t="s">
        <v>289</v>
      </c>
      <c r="C3094" s="54" t="s">
        <v>290</v>
      </c>
      <c r="D3094" s="54" t="s">
        <v>6596</v>
      </c>
      <c r="E3094" s="54" t="s">
        <v>6597</v>
      </c>
      <c r="F3094" s="54" t="s">
        <v>6611</v>
      </c>
      <c r="G3094" s="54" t="s">
        <v>6612</v>
      </c>
      <c r="H3094" s="54" t="n">
        <v>129</v>
      </c>
      <c r="I3094" s="54" t="s">
        <v>295</v>
      </c>
      <c r="J3094" s="54" t="s">
        <v>439</v>
      </c>
    </row>
    <row r="3095" customFormat="false" ht="15" hidden="false" customHeight="true" outlineLevel="0" collapsed="false">
      <c r="A3095" s="54" t="n">
        <v>20260711</v>
      </c>
      <c r="B3095" s="54" t="s">
        <v>289</v>
      </c>
      <c r="C3095" s="54" t="s">
        <v>290</v>
      </c>
      <c r="D3095" s="54" t="s">
        <v>6596</v>
      </c>
      <c r="E3095" s="54" t="s">
        <v>6597</v>
      </c>
      <c r="F3095" s="54" t="s">
        <v>6613</v>
      </c>
      <c r="G3095" s="54" t="s">
        <v>6614</v>
      </c>
      <c r="H3095" s="54" t="n">
        <v>1035</v>
      </c>
      <c r="I3095" s="54" t="s">
        <v>360</v>
      </c>
      <c r="J3095" s="54" t="s">
        <v>439</v>
      </c>
    </row>
    <row r="3096" customFormat="false" ht="15" hidden="false" customHeight="true" outlineLevel="0" collapsed="false">
      <c r="A3096" s="54" t="n">
        <v>20260711</v>
      </c>
      <c r="B3096" s="54" t="s">
        <v>289</v>
      </c>
      <c r="C3096" s="54" t="s">
        <v>290</v>
      </c>
      <c r="D3096" s="54" t="s">
        <v>6596</v>
      </c>
      <c r="E3096" s="54" t="s">
        <v>6597</v>
      </c>
      <c r="F3096" s="54" t="s">
        <v>6613</v>
      </c>
      <c r="G3096" s="54" t="s">
        <v>6615</v>
      </c>
      <c r="H3096" s="54" t="n">
        <v>1043</v>
      </c>
      <c r="I3096" s="54" t="s">
        <v>295</v>
      </c>
      <c r="J3096" s="54" t="s">
        <v>439</v>
      </c>
    </row>
    <row r="3097" customFormat="false" ht="15" hidden="false" customHeight="true" outlineLevel="0" collapsed="false">
      <c r="A3097" s="54" t="n">
        <v>20260711</v>
      </c>
      <c r="B3097" s="54" t="s">
        <v>289</v>
      </c>
      <c r="C3097" s="54" t="s">
        <v>290</v>
      </c>
      <c r="D3097" s="54" t="s">
        <v>6596</v>
      </c>
      <c r="E3097" s="54" t="s">
        <v>6597</v>
      </c>
      <c r="F3097" s="54" t="s">
        <v>6616</v>
      </c>
      <c r="G3097" s="54" t="s">
        <v>6617</v>
      </c>
      <c r="H3097" s="54" t="n">
        <v>1635</v>
      </c>
      <c r="I3097" s="54" t="s">
        <v>360</v>
      </c>
      <c r="J3097" s="54" t="s">
        <v>439</v>
      </c>
    </row>
    <row r="3098" customFormat="false" ht="15" hidden="false" customHeight="true" outlineLevel="0" collapsed="false">
      <c r="A3098" s="54" t="n">
        <v>20260711</v>
      </c>
      <c r="B3098" s="54" t="s">
        <v>289</v>
      </c>
      <c r="C3098" s="54" t="s">
        <v>290</v>
      </c>
      <c r="D3098" s="54" t="s">
        <v>6596</v>
      </c>
      <c r="E3098" s="54" t="s">
        <v>6597</v>
      </c>
      <c r="F3098" s="54" t="s">
        <v>6616</v>
      </c>
      <c r="G3098" s="54" t="s">
        <v>6617</v>
      </c>
      <c r="H3098" s="54" t="n">
        <v>1635</v>
      </c>
      <c r="I3098" s="54" t="s">
        <v>295</v>
      </c>
      <c r="J3098" s="54" t="s">
        <v>439</v>
      </c>
    </row>
    <row r="3099" customFormat="false" ht="15" hidden="false" customHeight="true" outlineLevel="0" collapsed="false">
      <c r="A3099" s="54" t="n">
        <v>20260711</v>
      </c>
      <c r="B3099" s="54" t="s">
        <v>306</v>
      </c>
      <c r="C3099" s="54" t="s">
        <v>290</v>
      </c>
      <c r="D3099" s="54" t="s">
        <v>4835</v>
      </c>
      <c r="E3099" s="54" t="s">
        <v>4836</v>
      </c>
      <c r="F3099" s="54" t="s">
        <v>6618</v>
      </c>
      <c r="G3099" s="54" t="s">
        <v>6619</v>
      </c>
      <c r="H3099" s="54" t="n">
        <v>10</v>
      </c>
      <c r="I3099" s="54" t="s">
        <v>1642</v>
      </c>
      <c r="J3099" s="54" t="s">
        <v>1067</v>
      </c>
    </row>
    <row r="3100" customFormat="false" ht="15" hidden="false" customHeight="true" outlineLevel="0" collapsed="false">
      <c r="A3100" s="54" t="n">
        <v>20260711</v>
      </c>
      <c r="B3100" s="54" t="s">
        <v>306</v>
      </c>
      <c r="C3100" s="54" t="s">
        <v>290</v>
      </c>
      <c r="D3100" s="54" t="s">
        <v>4835</v>
      </c>
      <c r="E3100" s="54" t="s">
        <v>4836</v>
      </c>
      <c r="F3100" s="54" t="s">
        <v>6618</v>
      </c>
      <c r="G3100" s="54" t="s">
        <v>5785</v>
      </c>
      <c r="H3100" s="54" t="n">
        <v>21708</v>
      </c>
      <c r="I3100" s="54" t="s">
        <v>295</v>
      </c>
      <c r="J3100" s="54" t="s">
        <v>1067</v>
      </c>
    </row>
    <row r="3101" customFormat="false" ht="15" hidden="false" customHeight="true" outlineLevel="0" collapsed="false">
      <c r="A3101" s="54" t="n">
        <v>20260711</v>
      </c>
      <c r="B3101" s="54" t="s">
        <v>306</v>
      </c>
      <c r="C3101" s="54" t="s">
        <v>307</v>
      </c>
      <c r="D3101" s="54" t="s">
        <v>4854</v>
      </c>
      <c r="E3101" s="54" t="s">
        <v>4855</v>
      </c>
      <c r="F3101" s="54" t="s">
        <v>5933</v>
      </c>
      <c r="G3101" s="54" t="s">
        <v>5785</v>
      </c>
      <c r="H3101" s="54" t="n">
        <v>21594</v>
      </c>
      <c r="I3101" s="54" t="s">
        <v>295</v>
      </c>
      <c r="J3101" s="54" t="s">
        <v>2347</v>
      </c>
    </row>
    <row r="3102" customFormat="false" ht="15" hidden="false" customHeight="true" outlineLevel="0" collapsed="false">
      <c r="A3102" s="54" t="n">
        <v>20260711</v>
      </c>
      <c r="B3102" s="54" t="s">
        <v>306</v>
      </c>
      <c r="C3102" s="54" t="s">
        <v>307</v>
      </c>
      <c r="D3102" s="54" t="s">
        <v>4854</v>
      </c>
      <c r="E3102" s="54" t="s">
        <v>4855</v>
      </c>
      <c r="F3102" s="54" t="s">
        <v>5513</v>
      </c>
      <c r="G3102" s="54" t="s">
        <v>5785</v>
      </c>
      <c r="H3102" s="54" t="n">
        <v>21593</v>
      </c>
      <c r="I3102" s="54" t="s">
        <v>315</v>
      </c>
      <c r="J3102" s="54" t="s">
        <v>2347</v>
      </c>
    </row>
    <row r="3103" customFormat="false" ht="15" hidden="false" customHeight="true" outlineLevel="0" collapsed="false">
      <c r="A3103" s="54" t="n">
        <v>20260711</v>
      </c>
      <c r="B3103" s="54" t="s">
        <v>168</v>
      </c>
      <c r="C3103" s="54" t="s">
        <v>290</v>
      </c>
      <c r="D3103" s="54" t="s">
        <v>4862</v>
      </c>
      <c r="E3103" s="54" t="s">
        <v>4863</v>
      </c>
      <c r="F3103" s="54" t="s">
        <v>6620</v>
      </c>
      <c r="G3103" s="54" t="s">
        <v>6621</v>
      </c>
      <c r="H3103" s="54" t="n">
        <v>13442</v>
      </c>
      <c r="I3103" s="54" t="s">
        <v>295</v>
      </c>
      <c r="J3103" s="54" t="s">
        <v>818</v>
      </c>
    </row>
    <row r="3104" customFormat="false" ht="15" hidden="false" customHeight="true" outlineLevel="0" collapsed="false">
      <c r="A3104" s="54" t="n">
        <v>20260711</v>
      </c>
      <c r="B3104" s="54" t="s">
        <v>168</v>
      </c>
      <c r="C3104" s="54" t="s">
        <v>290</v>
      </c>
      <c r="D3104" s="54" t="s">
        <v>4862</v>
      </c>
      <c r="E3104" s="54" t="s">
        <v>4863</v>
      </c>
      <c r="F3104" s="54" t="s">
        <v>6622</v>
      </c>
      <c r="G3104" s="54" t="s">
        <v>6623</v>
      </c>
      <c r="H3104" s="54" t="n">
        <v>12313</v>
      </c>
      <c r="I3104" s="54" t="s">
        <v>295</v>
      </c>
      <c r="J3104" s="54" t="s">
        <v>818</v>
      </c>
    </row>
    <row r="3105" customFormat="false" ht="15" hidden="false" customHeight="true" outlineLevel="0" collapsed="false">
      <c r="A3105" s="54" t="n">
        <v>20260711</v>
      </c>
      <c r="B3105" s="54" t="s">
        <v>306</v>
      </c>
      <c r="C3105" s="54" t="s">
        <v>290</v>
      </c>
      <c r="D3105" s="54" t="s">
        <v>4875</v>
      </c>
      <c r="E3105" s="54" t="s">
        <v>4876</v>
      </c>
      <c r="F3105" s="54" t="s">
        <v>6624</v>
      </c>
      <c r="G3105" s="54" t="s">
        <v>6625</v>
      </c>
      <c r="H3105" s="54" t="n">
        <v>22537</v>
      </c>
      <c r="I3105" s="54" t="s">
        <v>295</v>
      </c>
      <c r="J3105" s="54" t="s">
        <v>368</v>
      </c>
    </row>
    <row r="3106" customFormat="false" ht="15" hidden="false" customHeight="true" outlineLevel="0" collapsed="false">
      <c r="A3106" s="54" t="n">
        <v>20260711</v>
      </c>
      <c r="B3106" s="54" t="s">
        <v>306</v>
      </c>
      <c r="C3106" s="54" t="s">
        <v>290</v>
      </c>
      <c r="D3106" s="54" t="s">
        <v>4875</v>
      </c>
      <c r="E3106" s="54" t="s">
        <v>4876</v>
      </c>
      <c r="F3106" s="54" t="s">
        <v>6626</v>
      </c>
      <c r="G3106" s="54" t="s">
        <v>6625</v>
      </c>
      <c r="H3106" s="54" t="n">
        <v>22535</v>
      </c>
      <c r="I3106" s="54" t="s">
        <v>315</v>
      </c>
      <c r="J3106" s="54" t="s">
        <v>368</v>
      </c>
    </row>
    <row r="3107" customFormat="false" ht="15" hidden="false" customHeight="true" outlineLevel="0" collapsed="false">
      <c r="A3107" s="54" t="n">
        <v>20260711</v>
      </c>
      <c r="B3107" s="54" t="s">
        <v>306</v>
      </c>
      <c r="C3107" s="54" t="s">
        <v>290</v>
      </c>
      <c r="D3107" s="54" t="s">
        <v>4875</v>
      </c>
      <c r="E3107" s="54" t="s">
        <v>4876</v>
      </c>
      <c r="F3107" s="54" t="s">
        <v>6627</v>
      </c>
      <c r="G3107" s="54" t="s">
        <v>6628</v>
      </c>
      <c r="H3107" s="54" t="n">
        <v>6443</v>
      </c>
      <c r="I3107" s="54" t="s">
        <v>295</v>
      </c>
      <c r="J3107" s="54" t="s">
        <v>368</v>
      </c>
    </row>
    <row r="3108" customFormat="false" ht="15" hidden="false" customHeight="true" outlineLevel="0" collapsed="false">
      <c r="A3108" s="54" t="n">
        <v>20260711</v>
      </c>
      <c r="B3108" s="54" t="s">
        <v>306</v>
      </c>
      <c r="C3108" s="54" t="s">
        <v>290</v>
      </c>
      <c r="D3108" s="54" t="s">
        <v>4875</v>
      </c>
      <c r="E3108" s="54" t="s">
        <v>4876</v>
      </c>
      <c r="F3108" s="54" t="s">
        <v>6627</v>
      </c>
      <c r="G3108" s="54" t="s">
        <v>6629</v>
      </c>
      <c r="H3108" s="54" t="n">
        <v>6449</v>
      </c>
      <c r="I3108" s="54" t="s">
        <v>315</v>
      </c>
      <c r="J3108" s="54" t="s">
        <v>368</v>
      </c>
    </row>
    <row r="3109" customFormat="false" ht="15" hidden="false" customHeight="true" outlineLevel="0" collapsed="false">
      <c r="A3109" s="54" t="n">
        <v>20260711</v>
      </c>
      <c r="B3109" s="54" t="s">
        <v>688</v>
      </c>
      <c r="C3109" s="54" t="s">
        <v>290</v>
      </c>
      <c r="D3109" s="54" t="s">
        <v>4897</v>
      </c>
      <c r="E3109" s="54" t="s">
        <v>4898</v>
      </c>
      <c r="F3109" s="54" t="s">
        <v>6630</v>
      </c>
      <c r="G3109" s="54" t="s">
        <v>6222</v>
      </c>
      <c r="H3109" s="54" t="n">
        <v>14542</v>
      </c>
      <c r="I3109" s="54" t="s">
        <v>295</v>
      </c>
      <c r="J3109" s="54" t="s">
        <v>779</v>
      </c>
    </row>
    <row r="3110" customFormat="false" ht="15" hidden="false" customHeight="true" outlineLevel="0" collapsed="false">
      <c r="A3110" s="54" t="n">
        <v>20260711</v>
      </c>
      <c r="B3110" s="54" t="s">
        <v>688</v>
      </c>
      <c r="C3110" s="54" t="s">
        <v>290</v>
      </c>
      <c r="D3110" s="54" t="s">
        <v>4897</v>
      </c>
      <c r="E3110" s="54" t="s">
        <v>4898</v>
      </c>
      <c r="F3110" s="54" t="s">
        <v>6631</v>
      </c>
      <c r="G3110" s="54" t="s">
        <v>6632</v>
      </c>
      <c r="H3110" s="54" t="n">
        <v>14496</v>
      </c>
      <c r="I3110" s="54" t="s">
        <v>295</v>
      </c>
      <c r="J3110" s="54" t="s">
        <v>779</v>
      </c>
    </row>
    <row r="3111" customFormat="false" ht="15" hidden="false" customHeight="true" outlineLevel="0" collapsed="false">
      <c r="A3111" s="54" t="n">
        <v>20260711</v>
      </c>
      <c r="B3111" s="54" t="s">
        <v>289</v>
      </c>
      <c r="C3111" s="54" t="s">
        <v>290</v>
      </c>
      <c r="D3111" s="54" t="s">
        <v>6633</v>
      </c>
      <c r="E3111" s="54" t="s">
        <v>6634</v>
      </c>
      <c r="F3111" s="54" t="s">
        <v>6635</v>
      </c>
      <c r="G3111" s="54" t="s">
        <v>6636</v>
      </c>
      <c r="H3111" s="54" t="n">
        <v>18815</v>
      </c>
      <c r="I3111" s="54" t="s">
        <v>295</v>
      </c>
      <c r="J3111" s="54" t="s">
        <v>1463</v>
      </c>
    </row>
    <row r="3112" customFormat="false" ht="15" hidden="false" customHeight="true" outlineLevel="0" collapsed="false">
      <c r="A3112" s="54" t="n">
        <v>20260711</v>
      </c>
      <c r="B3112" s="54" t="s">
        <v>289</v>
      </c>
      <c r="C3112" s="54" t="s">
        <v>290</v>
      </c>
      <c r="D3112" s="54" t="s">
        <v>6633</v>
      </c>
      <c r="E3112" s="54" t="s">
        <v>6634</v>
      </c>
      <c r="F3112" s="54" t="s">
        <v>6637</v>
      </c>
      <c r="G3112" s="54" t="s">
        <v>6636</v>
      </c>
      <c r="H3112" s="54" t="n">
        <v>18814</v>
      </c>
      <c r="I3112" s="54" t="s">
        <v>360</v>
      </c>
      <c r="J3112" s="54" t="s">
        <v>1463</v>
      </c>
    </row>
    <row r="3113" customFormat="false" ht="15" hidden="false" customHeight="true" outlineLevel="0" collapsed="false">
      <c r="A3113" s="54" t="n">
        <v>20260711</v>
      </c>
      <c r="B3113" s="54" t="s">
        <v>289</v>
      </c>
      <c r="C3113" s="54" t="s">
        <v>290</v>
      </c>
      <c r="D3113" s="54" t="s">
        <v>6633</v>
      </c>
      <c r="E3113" s="54" t="s">
        <v>6634</v>
      </c>
      <c r="F3113" s="54" t="s">
        <v>5265</v>
      </c>
      <c r="G3113" s="54" t="s">
        <v>6638</v>
      </c>
      <c r="H3113" s="54" t="n">
        <v>12083</v>
      </c>
      <c r="I3113" s="54" t="s">
        <v>360</v>
      </c>
      <c r="J3113" s="54" t="s">
        <v>1463</v>
      </c>
    </row>
    <row r="3114" customFormat="false" ht="15" hidden="false" customHeight="true" outlineLevel="0" collapsed="false">
      <c r="A3114" s="54" t="n">
        <v>20260711</v>
      </c>
      <c r="B3114" s="54" t="s">
        <v>289</v>
      </c>
      <c r="C3114" s="54" t="s">
        <v>290</v>
      </c>
      <c r="D3114" s="54" t="s">
        <v>6633</v>
      </c>
      <c r="E3114" s="54" t="s">
        <v>6634</v>
      </c>
      <c r="F3114" s="54" t="s">
        <v>5265</v>
      </c>
      <c r="G3114" s="54" t="s">
        <v>6638</v>
      </c>
      <c r="H3114" s="54" t="n">
        <v>12083</v>
      </c>
      <c r="I3114" s="54" t="s">
        <v>295</v>
      </c>
      <c r="J3114" s="54" t="s">
        <v>1463</v>
      </c>
    </row>
    <row r="3115" customFormat="false" ht="15" hidden="false" customHeight="true" outlineLevel="0" collapsed="false">
      <c r="A3115" s="54" t="n">
        <v>20260711</v>
      </c>
      <c r="B3115" s="54" t="s">
        <v>289</v>
      </c>
      <c r="C3115" s="54" t="s">
        <v>307</v>
      </c>
      <c r="D3115" s="54" t="s">
        <v>4905</v>
      </c>
      <c r="E3115" s="54" t="s">
        <v>4906</v>
      </c>
      <c r="F3115" s="54" t="s">
        <v>6639</v>
      </c>
      <c r="G3115" s="54" t="s">
        <v>6640</v>
      </c>
      <c r="H3115" s="54" t="n">
        <v>24448</v>
      </c>
      <c r="I3115" s="54" t="s">
        <v>295</v>
      </c>
      <c r="J3115" s="54" t="s">
        <v>1659</v>
      </c>
    </row>
    <row r="3116" customFormat="false" ht="15" hidden="false" customHeight="true" outlineLevel="0" collapsed="false">
      <c r="A3116" s="54" t="n">
        <v>20260711</v>
      </c>
      <c r="B3116" s="54" t="s">
        <v>289</v>
      </c>
      <c r="C3116" s="54" t="s">
        <v>307</v>
      </c>
      <c r="D3116" s="54" t="s">
        <v>4905</v>
      </c>
      <c r="E3116" s="54" t="s">
        <v>4906</v>
      </c>
      <c r="F3116" s="54" t="s">
        <v>6641</v>
      </c>
      <c r="G3116" s="54" t="s">
        <v>6642</v>
      </c>
      <c r="H3116" s="54" t="n">
        <v>4919</v>
      </c>
      <c r="I3116" s="54" t="s">
        <v>295</v>
      </c>
      <c r="J3116" s="54" t="s">
        <v>1659</v>
      </c>
    </row>
    <row r="3117" customFormat="false" ht="15" hidden="false" customHeight="true" outlineLevel="0" collapsed="false">
      <c r="A3117" s="54" t="n">
        <v>20260711</v>
      </c>
      <c r="B3117" s="54" t="s">
        <v>306</v>
      </c>
      <c r="C3117" s="54" t="s">
        <v>290</v>
      </c>
      <c r="D3117" s="54" t="s">
        <v>4909</v>
      </c>
      <c r="E3117" s="54" t="s">
        <v>4910</v>
      </c>
      <c r="F3117" s="54" t="s">
        <v>5641</v>
      </c>
      <c r="G3117" s="54" t="s">
        <v>6643</v>
      </c>
      <c r="H3117" s="54" t="n">
        <v>8079</v>
      </c>
      <c r="I3117" s="54" t="s">
        <v>295</v>
      </c>
      <c r="J3117" s="54" t="s">
        <v>989</v>
      </c>
    </row>
    <row r="3118" customFormat="false" ht="15" hidden="false" customHeight="true" outlineLevel="0" collapsed="false">
      <c r="A3118" s="54" t="n">
        <v>20260711</v>
      </c>
      <c r="B3118" s="54" t="s">
        <v>306</v>
      </c>
      <c r="C3118" s="54" t="s">
        <v>290</v>
      </c>
      <c r="D3118" s="54" t="s">
        <v>4909</v>
      </c>
      <c r="E3118" s="54" t="s">
        <v>4910</v>
      </c>
      <c r="F3118" s="54" t="s">
        <v>6644</v>
      </c>
      <c r="G3118" s="54" t="s">
        <v>6645</v>
      </c>
      <c r="H3118" s="54" t="n">
        <v>13026</v>
      </c>
      <c r="I3118" s="54" t="s">
        <v>295</v>
      </c>
      <c r="J3118" s="54" t="s">
        <v>989</v>
      </c>
    </row>
    <row r="3119" customFormat="false" ht="15" hidden="false" customHeight="true" outlineLevel="0" collapsed="false">
      <c r="A3119" s="54" t="n">
        <v>20260711</v>
      </c>
      <c r="B3119" s="54" t="s">
        <v>306</v>
      </c>
      <c r="C3119" s="54" t="s">
        <v>290</v>
      </c>
      <c r="D3119" s="54" t="s">
        <v>4909</v>
      </c>
      <c r="E3119" s="54" t="s">
        <v>4910</v>
      </c>
      <c r="F3119" s="54" t="s">
        <v>6646</v>
      </c>
      <c r="G3119" s="54" t="s">
        <v>6647</v>
      </c>
      <c r="H3119" s="54" t="n">
        <v>559</v>
      </c>
      <c r="I3119" s="54" t="s">
        <v>295</v>
      </c>
      <c r="J3119" s="54" t="s">
        <v>989</v>
      </c>
    </row>
    <row r="3120" customFormat="false" ht="15" hidden="false" customHeight="true" outlineLevel="0" collapsed="false">
      <c r="A3120" s="54" t="n">
        <v>20260711</v>
      </c>
      <c r="B3120" s="54" t="s">
        <v>688</v>
      </c>
      <c r="C3120" s="54" t="s">
        <v>307</v>
      </c>
      <c r="D3120" s="54" t="s">
        <v>4934</v>
      </c>
      <c r="E3120" s="54" t="s">
        <v>160</v>
      </c>
      <c r="F3120" s="54" t="s">
        <v>6648</v>
      </c>
      <c r="G3120" s="54" t="s">
        <v>6649</v>
      </c>
      <c r="H3120" s="54" t="n">
        <v>18437</v>
      </c>
      <c r="I3120" s="54" t="s">
        <v>295</v>
      </c>
      <c r="J3120" s="54" t="s">
        <v>142</v>
      </c>
    </row>
    <row r="3121" customFormat="false" ht="15" hidden="false" customHeight="true" outlineLevel="0" collapsed="false">
      <c r="A3121" s="54" t="n">
        <v>20260711</v>
      </c>
      <c r="B3121" s="54" t="s">
        <v>688</v>
      </c>
      <c r="C3121" s="54" t="s">
        <v>307</v>
      </c>
      <c r="D3121" s="54" t="s">
        <v>4934</v>
      </c>
      <c r="E3121" s="54" t="s">
        <v>160</v>
      </c>
      <c r="F3121" s="54" t="s">
        <v>6650</v>
      </c>
      <c r="G3121" s="54" t="s">
        <v>5602</v>
      </c>
      <c r="H3121" s="54" t="n">
        <v>14017</v>
      </c>
      <c r="I3121" s="54" t="s">
        <v>295</v>
      </c>
      <c r="J3121" s="54" t="s">
        <v>142</v>
      </c>
    </row>
    <row r="3122" customFormat="false" ht="15" hidden="false" customHeight="true" outlineLevel="0" collapsed="false">
      <c r="A3122" s="54" t="n">
        <v>20260711</v>
      </c>
      <c r="B3122" s="54" t="s">
        <v>289</v>
      </c>
      <c r="C3122" s="54" t="s">
        <v>290</v>
      </c>
      <c r="D3122" s="54" t="s">
        <v>4939</v>
      </c>
      <c r="E3122" s="54" t="s">
        <v>4940</v>
      </c>
      <c r="F3122" s="54" t="s">
        <v>6651</v>
      </c>
      <c r="G3122" s="54" t="s">
        <v>5280</v>
      </c>
      <c r="H3122" s="54" t="n">
        <v>18551</v>
      </c>
      <c r="I3122" s="54" t="s">
        <v>295</v>
      </c>
      <c r="J3122" s="54" t="s">
        <v>303</v>
      </c>
    </row>
    <row r="3123" customFormat="false" ht="15" hidden="false" customHeight="true" outlineLevel="0" collapsed="false">
      <c r="A3123" s="54" t="n">
        <v>20260711</v>
      </c>
      <c r="B3123" s="54" t="s">
        <v>289</v>
      </c>
      <c r="C3123" s="54" t="s">
        <v>290</v>
      </c>
      <c r="D3123" s="54" t="s">
        <v>4939</v>
      </c>
      <c r="E3123" s="54" t="s">
        <v>4940</v>
      </c>
      <c r="F3123" s="54" t="s">
        <v>6652</v>
      </c>
      <c r="G3123" s="54" t="s">
        <v>6511</v>
      </c>
      <c r="H3123" s="54" t="n">
        <v>14510</v>
      </c>
      <c r="I3123" s="54" t="s">
        <v>295</v>
      </c>
      <c r="J3123" s="54" t="s">
        <v>303</v>
      </c>
    </row>
    <row r="3124" customFormat="false" ht="15" hidden="false" customHeight="true" outlineLevel="0" collapsed="false">
      <c r="A3124" s="54" t="n">
        <v>20260711</v>
      </c>
      <c r="B3124" s="54" t="s">
        <v>306</v>
      </c>
      <c r="C3124" s="54" t="s">
        <v>290</v>
      </c>
      <c r="D3124" s="54" t="s">
        <v>6653</v>
      </c>
      <c r="E3124" s="54" t="s">
        <v>6654</v>
      </c>
      <c r="F3124" s="54" t="s">
        <v>6655</v>
      </c>
      <c r="G3124" s="54" t="s">
        <v>5347</v>
      </c>
      <c r="H3124" s="54" t="n">
        <v>21</v>
      </c>
      <c r="I3124" s="54" t="s">
        <v>295</v>
      </c>
      <c r="J3124" s="54" t="s">
        <v>375</v>
      </c>
    </row>
    <row r="3125" customFormat="false" ht="15" hidden="false" customHeight="true" outlineLevel="0" collapsed="false">
      <c r="A3125" s="54" t="n">
        <v>20260711</v>
      </c>
      <c r="B3125" s="54" t="s">
        <v>306</v>
      </c>
      <c r="C3125" s="54" t="s">
        <v>290</v>
      </c>
      <c r="D3125" s="54" t="s">
        <v>6653</v>
      </c>
      <c r="E3125" s="54" t="s">
        <v>6654</v>
      </c>
      <c r="F3125" s="54" t="s">
        <v>5452</v>
      </c>
      <c r="G3125" s="54" t="s">
        <v>5991</v>
      </c>
      <c r="H3125" s="54" t="n">
        <v>21808</v>
      </c>
      <c r="I3125" s="54" t="s">
        <v>295</v>
      </c>
      <c r="J3125" s="54" t="s">
        <v>375</v>
      </c>
    </row>
    <row r="3126" customFormat="false" ht="15" hidden="false" customHeight="true" outlineLevel="0" collapsed="false">
      <c r="A3126" s="54" t="n">
        <v>20260711</v>
      </c>
      <c r="B3126" s="54" t="s">
        <v>289</v>
      </c>
      <c r="C3126" s="54" t="s">
        <v>307</v>
      </c>
      <c r="D3126" s="54" t="s">
        <v>4948</v>
      </c>
      <c r="E3126" s="54" t="s">
        <v>4949</v>
      </c>
      <c r="F3126" s="54" t="s">
        <v>6656</v>
      </c>
      <c r="G3126" s="54" t="s">
        <v>6657</v>
      </c>
      <c r="H3126" s="54" t="n">
        <v>20463</v>
      </c>
      <c r="I3126" s="54" t="s">
        <v>295</v>
      </c>
      <c r="J3126" s="54" t="s">
        <v>1659</v>
      </c>
    </row>
    <row r="3127" customFormat="false" ht="15" hidden="false" customHeight="true" outlineLevel="0" collapsed="false">
      <c r="A3127" s="54" t="n">
        <v>20260711</v>
      </c>
      <c r="B3127" s="54" t="s">
        <v>289</v>
      </c>
      <c r="C3127" s="54" t="s">
        <v>307</v>
      </c>
      <c r="D3127" s="54" t="s">
        <v>4948</v>
      </c>
      <c r="E3127" s="54" t="s">
        <v>4949</v>
      </c>
      <c r="F3127" s="54" t="s">
        <v>6658</v>
      </c>
      <c r="G3127" s="54" t="s">
        <v>6659</v>
      </c>
      <c r="H3127" s="54" t="n">
        <v>8488</v>
      </c>
      <c r="I3127" s="54" t="s">
        <v>295</v>
      </c>
      <c r="J3127" s="54" t="s">
        <v>1659</v>
      </c>
    </row>
    <row r="3128" customFormat="false" ht="15" hidden="false" customHeight="true" outlineLevel="0" collapsed="false">
      <c r="A3128" s="54" t="n">
        <v>20260711</v>
      </c>
      <c r="B3128" s="54" t="s">
        <v>306</v>
      </c>
      <c r="C3128" s="54" t="s">
        <v>290</v>
      </c>
      <c r="D3128" s="54" t="s">
        <v>4964</v>
      </c>
      <c r="E3128" s="54" t="s">
        <v>4965</v>
      </c>
      <c r="F3128" s="54" t="s">
        <v>6660</v>
      </c>
      <c r="G3128" s="54" t="s">
        <v>6661</v>
      </c>
      <c r="H3128" s="54" t="n">
        <v>28593</v>
      </c>
      <c r="I3128" s="54" t="s">
        <v>295</v>
      </c>
      <c r="J3128" s="54" t="s">
        <v>375</v>
      </c>
    </row>
    <row r="3129" customFormat="false" ht="15" hidden="false" customHeight="true" outlineLevel="0" collapsed="false">
      <c r="A3129" s="54" t="n">
        <v>20260711</v>
      </c>
      <c r="B3129" s="54" t="s">
        <v>306</v>
      </c>
      <c r="C3129" s="54" t="s">
        <v>290</v>
      </c>
      <c r="D3129" s="54" t="s">
        <v>5010</v>
      </c>
      <c r="E3129" s="54" t="s">
        <v>5011</v>
      </c>
      <c r="F3129" s="54" t="s">
        <v>6662</v>
      </c>
      <c r="G3129" s="54" t="s">
        <v>6663</v>
      </c>
      <c r="H3129" s="54" t="n">
        <v>6997</v>
      </c>
      <c r="I3129" s="54" t="s">
        <v>295</v>
      </c>
      <c r="J3129" s="54" t="s">
        <v>473</v>
      </c>
    </row>
    <row r="3130" customFormat="false" ht="15" hidden="false" customHeight="true" outlineLevel="0" collapsed="false">
      <c r="A3130" s="54" t="n">
        <v>20260711</v>
      </c>
      <c r="B3130" s="54" t="s">
        <v>306</v>
      </c>
      <c r="C3130" s="54" t="s">
        <v>290</v>
      </c>
      <c r="D3130" s="54" t="s">
        <v>5010</v>
      </c>
      <c r="E3130" s="54" t="s">
        <v>5011</v>
      </c>
      <c r="F3130" s="54" t="s">
        <v>6662</v>
      </c>
      <c r="G3130" s="54" t="s">
        <v>6664</v>
      </c>
      <c r="H3130" s="54" t="n">
        <v>6999</v>
      </c>
      <c r="I3130" s="54" t="s">
        <v>315</v>
      </c>
      <c r="J3130" s="54" t="s">
        <v>473</v>
      </c>
    </row>
    <row r="3131" customFormat="false" ht="15" hidden="false" customHeight="true" outlineLevel="0" collapsed="false">
      <c r="A3131" s="54" t="n">
        <v>20260711</v>
      </c>
      <c r="B3131" s="54" t="s">
        <v>306</v>
      </c>
      <c r="C3131" s="54" t="s">
        <v>290</v>
      </c>
      <c r="D3131" s="54" t="s">
        <v>5010</v>
      </c>
      <c r="E3131" s="54" t="s">
        <v>5011</v>
      </c>
      <c r="F3131" s="54" t="s">
        <v>6665</v>
      </c>
      <c r="G3131" s="54" t="s">
        <v>6666</v>
      </c>
      <c r="H3131" s="54" t="n">
        <v>14376</v>
      </c>
      <c r="I3131" s="54" t="s">
        <v>315</v>
      </c>
      <c r="J3131" s="54" t="s">
        <v>473</v>
      </c>
    </row>
    <row r="3132" customFormat="false" ht="15" hidden="false" customHeight="true" outlineLevel="0" collapsed="false">
      <c r="A3132" s="54" t="n">
        <v>20260711</v>
      </c>
      <c r="B3132" s="54" t="s">
        <v>306</v>
      </c>
      <c r="C3132" s="54" t="s">
        <v>290</v>
      </c>
      <c r="D3132" s="54" t="s">
        <v>5010</v>
      </c>
      <c r="E3132" s="54" t="s">
        <v>5011</v>
      </c>
      <c r="F3132" s="54" t="s">
        <v>6665</v>
      </c>
      <c r="G3132" s="54" t="s">
        <v>6666</v>
      </c>
      <c r="H3132" s="54" t="n">
        <v>14376</v>
      </c>
      <c r="I3132" s="54" t="s">
        <v>295</v>
      </c>
      <c r="J3132" s="54" t="s">
        <v>473</v>
      </c>
    </row>
    <row r="3133" customFormat="false" ht="15" hidden="false" customHeight="true" outlineLevel="0" collapsed="false">
      <c r="A3133" s="54" t="n">
        <v>20260711</v>
      </c>
      <c r="B3133" s="54" t="s">
        <v>306</v>
      </c>
      <c r="C3133" s="54" t="s">
        <v>290</v>
      </c>
      <c r="D3133" s="54" t="s">
        <v>5010</v>
      </c>
      <c r="E3133" s="54" t="s">
        <v>5011</v>
      </c>
      <c r="F3133" s="54" t="s">
        <v>6667</v>
      </c>
      <c r="G3133" s="54" t="s">
        <v>6668</v>
      </c>
      <c r="H3133" s="54" t="n">
        <v>1936</v>
      </c>
      <c r="I3133" s="54" t="s">
        <v>315</v>
      </c>
      <c r="J3133" s="54" t="s">
        <v>473</v>
      </c>
    </row>
    <row r="3134" customFormat="false" ht="15" hidden="false" customHeight="true" outlineLevel="0" collapsed="false">
      <c r="A3134" s="54" t="n">
        <v>20260711</v>
      </c>
      <c r="B3134" s="54" t="s">
        <v>306</v>
      </c>
      <c r="C3134" s="54" t="s">
        <v>290</v>
      </c>
      <c r="D3134" s="54" t="s">
        <v>5010</v>
      </c>
      <c r="E3134" s="54" t="s">
        <v>5011</v>
      </c>
      <c r="F3134" s="54" t="s">
        <v>6667</v>
      </c>
      <c r="G3134" s="54" t="s">
        <v>6668</v>
      </c>
      <c r="H3134" s="54" t="n">
        <v>1936</v>
      </c>
      <c r="I3134" s="54" t="s">
        <v>295</v>
      </c>
      <c r="J3134" s="54" t="s">
        <v>473</v>
      </c>
    </row>
    <row r="3135" customFormat="false" ht="15" hidden="false" customHeight="true" outlineLevel="0" collapsed="false">
      <c r="A3135" s="54" t="n">
        <v>20260711</v>
      </c>
      <c r="B3135" s="54" t="s">
        <v>306</v>
      </c>
      <c r="C3135" s="54" t="s">
        <v>290</v>
      </c>
      <c r="D3135" s="54" t="s">
        <v>5010</v>
      </c>
      <c r="E3135" s="54" t="s">
        <v>5011</v>
      </c>
      <c r="F3135" s="54" t="s">
        <v>6669</v>
      </c>
      <c r="G3135" s="54" t="s">
        <v>6670</v>
      </c>
      <c r="H3135" s="54" t="n">
        <v>10200</v>
      </c>
      <c r="I3135" s="54" t="s">
        <v>295</v>
      </c>
      <c r="J3135" s="54" t="s">
        <v>473</v>
      </c>
    </row>
    <row r="3136" customFormat="false" ht="15" hidden="false" customHeight="true" outlineLevel="0" collapsed="false">
      <c r="A3136" s="54" t="n">
        <v>20260711</v>
      </c>
      <c r="B3136" s="54" t="s">
        <v>306</v>
      </c>
      <c r="C3136" s="54" t="s">
        <v>290</v>
      </c>
      <c r="D3136" s="54" t="s">
        <v>5010</v>
      </c>
      <c r="E3136" s="54" t="s">
        <v>5011</v>
      </c>
      <c r="F3136" s="54" t="s">
        <v>6669</v>
      </c>
      <c r="G3136" s="54" t="s">
        <v>6671</v>
      </c>
      <c r="H3136" s="54" t="n">
        <v>10202</v>
      </c>
      <c r="I3136" s="54" t="s">
        <v>315</v>
      </c>
      <c r="J3136" s="54" t="s">
        <v>473</v>
      </c>
    </row>
    <row r="3137" customFormat="false" ht="15" hidden="false" customHeight="true" outlineLevel="0" collapsed="false">
      <c r="A3137" s="54" t="n">
        <v>20260711</v>
      </c>
      <c r="B3137" s="54" t="s">
        <v>289</v>
      </c>
      <c r="C3137" s="54" t="s">
        <v>290</v>
      </c>
      <c r="D3137" s="54" t="s">
        <v>6672</v>
      </c>
      <c r="E3137" s="54" t="s">
        <v>6673</v>
      </c>
      <c r="F3137" s="54" t="s">
        <v>6674</v>
      </c>
      <c r="G3137" s="54" t="s">
        <v>6675</v>
      </c>
      <c r="H3137" s="54" t="n">
        <v>71</v>
      </c>
      <c r="I3137" s="54" t="s">
        <v>295</v>
      </c>
      <c r="J3137" s="54" t="s">
        <v>2306</v>
      </c>
    </row>
    <row r="3138" customFormat="false" ht="15" hidden="false" customHeight="true" outlineLevel="0" collapsed="false">
      <c r="A3138" s="54" t="n">
        <v>20260711</v>
      </c>
      <c r="B3138" s="54" t="s">
        <v>289</v>
      </c>
      <c r="C3138" s="54" t="s">
        <v>290</v>
      </c>
      <c r="D3138" s="54" t="s">
        <v>6672</v>
      </c>
      <c r="E3138" s="54" t="s">
        <v>6673</v>
      </c>
      <c r="F3138" s="54" t="s">
        <v>6676</v>
      </c>
      <c r="G3138" s="54" t="s">
        <v>6677</v>
      </c>
      <c r="H3138" s="54" t="n">
        <v>6626</v>
      </c>
      <c r="I3138" s="54" t="s">
        <v>295</v>
      </c>
      <c r="J3138" s="54" t="s">
        <v>2306</v>
      </c>
    </row>
    <row r="3139" customFormat="false" ht="15" hidden="false" customHeight="true" outlineLevel="0" collapsed="false">
      <c r="A3139" s="54" t="n">
        <v>20260711</v>
      </c>
      <c r="B3139" s="54" t="s">
        <v>289</v>
      </c>
      <c r="C3139" s="54" t="s">
        <v>290</v>
      </c>
      <c r="D3139" s="54" t="s">
        <v>6672</v>
      </c>
      <c r="E3139" s="54" t="s">
        <v>6673</v>
      </c>
      <c r="F3139" s="54" t="s">
        <v>6678</v>
      </c>
      <c r="G3139" s="54" t="s">
        <v>6679</v>
      </c>
      <c r="H3139" s="54" t="n">
        <v>7737</v>
      </c>
      <c r="I3139" s="54" t="s">
        <v>295</v>
      </c>
      <c r="J3139" s="54" t="s">
        <v>2306</v>
      </c>
    </row>
    <row r="3140" customFormat="false" ht="15" hidden="false" customHeight="true" outlineLevel="0" collapsed="false">
      <c r="A3140" s="54" t="n">
        <v>20260711</v>
      </c>
      <c r="B3140" s="54" t="s">
        <v>289</v>
      </c>
      <c r="C3140" s="54" t="s">
        <v>290</v>
      </c>
      <c r="D3140" s="54" t="s">
        <v>6672</v>
      </c>
      <c r="E3140" s="54" t="s">
        <v>6673</v>
      </c>
      <c r="F3140" s="54" t="s">
        <v>6680</v>
      </c>
      <c r="G3140" s="54" t="s">
        <v>6681</v>
      </c>
      <c r="H3140" s="54" t="n">
        <v>2725</v>
      </c>
      <c r="I3140" s="54" t="s">
        <v>295</v>
      </c>
      <c r="J3140" s="54" t="s">
        <v>2306</v>
      </c>
    </row>
    <row r="3141" customFormat="false" ht="15" hidden="false" customHeight="true" outlineLevel="0" collapsed="false">
      <c r="A3141" s="54" t="n">
        <v>20260711</v>
      </c>
      <c r="B3141" s="54" t="s">
        <v>289</v>
      </c>
      <c r="C3141" s="54" t="s">
        <v>290</v>
      </c>
      <c r="D3141" s="54" t="s">
        <v>6672</v>
      </c>
      <c r="E3141" s="54" t="s">
        <v>6673</v>
      </c>
      <c r="F3141" s="54" t="s">
        <v>6682</v>
      </c>
      <c r="G3141" s="54" t="s">
        <v>6683</v>
      </c>
      <c r="H3141" s="54" t="n">
        <v>11273</v>
      </c>
      <c r="I3141" s="54" t="s">
        <v>295</v>
      </c>
      <c r="J3141" s="54" t="s">
        <v>2306</v>
      </c>
    </row>
    <row r="3142" customFormat="false" ht="15" hidden="false" customHeight="true" outlineLevel="0" collapsed="false">
      <c r="A3142" s="54" t="n">
        <v>20260711</v>
      </c>
      <c r="B3142" s="54" t="s">
        <v>497</v>
      </c>
      <c r="C3142" s="54" t="s">
        <v>307</v>
      </c>
      <c r="D3142" s="54" t="s">
        <v>5021</v>
      </c>
      <c r="E3142" s="54" t="s">
        <v>5022</v>
      </c>
      <c r="F3142" s="54" t="s">
        <v>5564</v>
      </c>
      <c r="G3142" s="54" t="s">
        <v>6684</v>
      </c>
      <c r="H3142" s="54" t="n">
        <v>10082</v>
      </c>
      <c r="I3142" s="54" t="s">
        <v>295</v>
      </c>
      <c r="J3142" s="54" t="s">
        <v>502</v>
      </c>
    </row>
    <row r="3143" customFormat="false" ht="15" hidden="false" customHeight="true" outlineLevel="0" collapsed="false">
      <c r="A3143" s="54" t="n">
        <v>20260711</v>
      </c>
      <c r="B3143" s="54" t="s">
        <v>497</v>
      </c>
      <c r="C3143" s="54" t="s">
        <v>307</v>
      </c>
      <c r="D3143" s="54" t="s">
        <v>5021</v>
      </c>
      <c r="E3143" s="54" t="s">
        <v>5022</v>
      </c>
      <c r="F3143" s="54" t="s">
        <v>6685</v>
      </c>
      <c r="G3143" s="54" t="s">
        <v>5921</v>
      </c>
      <c r="H3143" s="54" t="n">
        <v>3968</v>
      </c>
      <c r="I3143" s="54" t="s">
        <v>295</v>
      </c>
      <c r="J3143" s="54" t="s">
        <v>502</v>
      </c>
    </row>
    <row r="3144" customFormat="false" ht="15" hidden="false" customHeight="true" outlineLevel="0" collapsed="false">
      <c r="A3144" s="54" t="n">
        <v>20260711</v>
      </c>
      <c r="B3144" s="54" t="s">
        <v>289</v>
      </c>
      <c r="C3144" s="54" t="s">
        <v>290</v>
      </c>
      <c r="D3144" s="54" t="s">
        <v>480</v>
      </c>
      <c r="E3144" s="54" t="s">
        <v>481</v>
      </c>
      <c r="F3144" s="54" t="s">
        <v>6686</v>
      </c>
      <c r="G3144" s="54" t="s">
        <v>6687</v>
      </c>
      <c r="H3144" s="54" t="n">
        <v>5179</v>
      </c>
      <c r="I3144" s="54" t="s">
        <v>295</v>
      </c>
      <c r="J3144" s="54" t="s">
        <v>484</v>
      </c>
    </row>
    <row r="3145" customFormat="false" ht="15" hidden="false" customHeight="true" outlineLevel="0" collapsed="false">
      <c r="A3145" s="54" t="n">
        <v>20260711</v>
      </c>
      <c r="B3145" s="54" t="s">
        <v>289</v>
      </c>
      <c r="C3145" s="54" t="s">
        <v>290</v>
      </c>
      <c r="D3145" s="54" t="s">
        <v>480</v>
      </c>
      <c r="E3145" s="54" t="s">
        <v>481</v>
      </c>
      <c r="F3145" s="54" t="s">
        <v>6688</v>
      </c>
      <c r="G3145" s="54" t="s">
        <v>6687</v>
      </c>
      <c r="H3145" s="54" t="n">
        <v>5178</v>
      </c>
      <c r="I3145" s="54" t="s">
        <v>360</v>
      </c>
      <c r="J3145" s="54" t="s">
        <v>484</v>
      </c>
    </row>
    <row r="3146" customFormat="false" ht="15" hidden="false" customHeight="true" outlineLevel="0" collapsed="false">
      <c r="A3146" s="54" t="n">
        <v>20260711</v>
      </c>
      <c r="B3146" s="54" t="s">
        <v>289</v>
      </c>
      <c r="C3146" s="54" t="s">
        <v>290</v>
      </c>
      <c r="D3146" s="54" t="s">
        <v>480</v>
      </c>
      <c r="E3146" s="54" t="s">
        <v>481</v>
      </c>
      <c r="F3146" s="54" t="s">
        <v>6689</v>
      </c>
      <c r="G3146" s="54" t="s">
        <v>6690</v>
      </c>
      <c r="H3146" s="54" t="n">
        <v>1</v>
      </c>
      <c r="I3146" s="54" t="s">
        <v>295</v>
      </c>
      <c r="J3146" s="54" t="s">
        <v>484</v>
      </c>
    </row>
    <row r="3147" customFormat="false" ht="15" hidden="false" customHeight="true" outlineLevel="0" collapsed="false">
      <c r="A3147" s="54" t="n">
        <v>20260711</v>
      </c>
      <c r="B3147" s="54" t="s">
        <v>289</v>
      </c>
      <c r="C3147" s="54" t="s">
        <v>290</v>
      </c>
      <c r="D3147" s="54" t="s">
        <v>480</v>
      </c>
      <c r="E3147" s="54" t="s">
        <v>481</v>
      </c>
      <c r="F3147" s="54" t="s">
        <v>6691</v>
      </c>
      <c r="G3147" s="54" t="s">
        <v>6692</v>
      </c>
      <c r="H3147" s="54" t="n">
        <v>10252</v>
      </c>
      <c r="I3147" s="54" t="s">
        <v>360</v>
      </c>
      <c r="J3147" s="54" t="s">
        <v>484</v>
      </c>
    </row>
    <row r="3148" customFormat="false" ht="15" hidden="false" customHeight="true" outlineLevel="0" collapsed="false">
      <c r="A3148" s="54" t="n">
        <v>20260711</v>
      </c>
      <c r="B3148" s="54" t="s">
        <v>289</v>
      </c>
      <c r="C3148" s="54" t="s">
        <v>290</v>
      </c>
      <c r="D3148" s="54" t="s">
        <v>480</v>
      </c>
      <c r="E3148" s="54" t="s">
        <v>481</v>
      </c>
      <c r="F3148" s="54" t="s">
        <v>6691</v>
      </c>
      <c r="G3148" s="54" t="s">
        <v>6692</v>
      </c>
      <c r="H3148" s="54" t="n">
        <v>10252</v>
      </c>
      <c r="I3148" s="54" t="s">
        <v>295</v>
      </c>
      <c r="J3148" s="54" t="s">
        <v>484</v>
      </c>
    </row>
    <row r="3149" customFormat="false" ht="15" hidden="false" customHeight="true" outlineLevel="0" collapsed="false">
      <c r="A3149" s="54" t="n">
        <v>20260711</v>
      </c>
      <c r="B3149" s="54" t="s">
        <v>289</v>
      </c>
      <c r="C3149" s="54" t="s">
        <v>290</v>
      </c>
      <c r="D3149" s="54" t="s">
        <v>480</v>
      </c>
      <c r="E3149" s="54" t="s">
        <v>481</v>
      </c>
      <c r="F3149" s="54" t="s">
        <v>6693</v>
      </c>
      <c r="G3149" s="54" t="s">
        <v>6694</v>
      </c>
      <c r="H3149" s="54" t="n">
        <v>14080</v>
      </c>
      <c r="I3149" s="54" t="s">
        <v>295</v>
      </c>
      <c r="J3149" s="54" t="s">
        <v>484</v>
      </c>
    </row>
    <row r="3150" customFormat="false" ht="15" hidden="false" customHeight="true" outlineLevel="0" collapsed="false">
      <c r="A3150" s="54" t="n">
        <v>20260711</v>
      </c>
      <c r="B3150" s="54" t="s">
        <v>289</v>
      </c>
      <c r="C3150" s="54" t="s">
        <v>290</v>
      </c>
      <c r="D3150" s="54" t="s">
        <v>480</v>
      </c>
      <c r="E3150" s="54" t="s">
        <v>481</v>
      </c>
      <c r="F3150" s="54" t="s">
        <v>6695</v>
      </c>
      <c r="G3150" s="54" t="s">
        <v>6694</v>
      </c>
      <c r="H3150" s="54" t="n">
        <v>14079</v>
      </c>
      <c r="I3150" s="54" t="s">
        <v>360</v>
      </c>
      <c r="J3150" s="54" t="s">
        <v>484</v>
      </c>
    </row>
    <row r="3151" customFormat="false" ht="15" hidden="false" customHeight="true" outlineLevel="0" collapsed="false">
      <c r="A3151" s="54" t="n">
        <v>20260711</v>
      </c>
      <c r="B3151" s="54" t="s">
        <v>289</v>
      </c>
      <c r="C3151" s="54" t="s">
        <v>290</v>
      </c>
      <c r="D3151" s="54" t="s">
        <v>480</v>
      </c>
      <c r="E3151" s="54" t="s">
        <v>481</v>
      </c>
      <c r="F3151" s="54" t="s">
        <v>6696</v>
      </c>
      <c r="G3151" s="54" t="s">
        <v>6697</v>
      </c>
      <c r="H3151" s="54" t="n">
        <v>28800</v>
      </c>
      <c r="I3151" s="54" t="s">
        <v>360</v>
      </c>
      <c r="J3151" s="54" t="s">
        <v>484</v>
      </c>
    </row>
    <row r="3152" customFormat="false" ht="15" hidden="false" customHeight="true" outlineLevel="0" collapsed="false">
      <c r="A3152" s="54" t="n">
        <v>20260711</v>
      </c>
      <c r="B3152" s="54" t="s">
        <v>497</v>
      </c>
      <c r="C3152" s="54" t="s">
        <v>307</v>
      </c>
      <c r="D3152" s="54" t="s">
        <v>5033</v>
      </c>
      <c r="E3152" s="54" t="s">
        <v>5034</v>
      </c>
      <c r="F3152" s="54" t="s">
        <v>6332</v>
      </c>
      <c r="G3152" s="54" t="s">
        <v>6698</v>
      </c>
      <c r="H3152" s="54" t="n">
        <v>263</v>
      </c>
      <c r="I3152" s="54" t="s">
        <v>295</v>
      </c>
      <c r="J3152" s="54" t="s">
        <v>502</v>
      </c>
    </row>
    <row r="3153" customFormat="false" ht="15" hidden="false" customHeight="true" outlineLevel="0" collapsed="false">
      <c r="A3153" s="54" t="n">
        <v>20260711</v>
      </c>
      <c r="B3153" s="54" t="s">
        <v>497</v>
      </c>
      <c r="C3153" s="54" t="s">
        <v>307</v>
      </c>
      <c r="D3153" s="54" t="s">
        <v>5033</v>
      </c>
      <c r="E3153" s="54" t="s">
        <v>5034</v>
      </c>
      <c r="F3153" s="54" t="s">
        <v>5893</v>
      </c>
      <c r="G3153" s="54" t="s">
        <v>6699</v>
      </c>
      <c r="H3153" s="54" t="n">
        <v>14402</v>
      </c>
      <c r="I3153" s="54" t="s">
        <v>295</v>
      </c>
      <c r="J3153" s="54" t="s">
        <v>502</v>
      </c>
    </row>
    <row r="3154" customFormat="false" ht="15" hidden="false" customHeight="true" outlineLevel="0" collapsed="false">
      <c r="A3154" s="54" t="n">
        <v>20260711</v>
      </c>
      <c r="B3154" s="54" t="s">
        <v>306</v>
      </c>
      <c r="C3154" s="54" t="s">
        <v>290</v>
      </c>
      <c r="D3154" s="54" t="s">
        <v>5038</v>
      </c>
      <c r="E3154" s="54" t="s">
        <v>5039</v>
      </c>
      <c r="F3154" s="54" t="s">
        <v>6700</v>
      </c>
      <c r="G3154" s="54" t="s">
        <v>5777</v>
      </c>
      <c r="H3154" s="54" t="n">
        <v>21302</v>
      </c>
      <c r="I3154" s="54" t="s">
        <v>295</v>
      </c>
      <c r="J3154" s="54" t="s">
        <v>3727</v>
      </c>
    </row>
    <row r="3155" customFormat="false" ht="15" hidden="false" customHeight="true" outlineLevel="0" collapsed="false">
      <c r="A3155" s="54" t="n">
        <v>20260711</v>
      </c>
      <c r="B3155" s="54" t="s">
        <v>306</v>
      </c>
      <c r="C3155" s="54" t="s">
        <v>290</v>
      </c>
      <c r="D3155" s="54" t="s">
        <v>5060</v>
      </c>
      <c r="E3155" s="54" t="s">
        <v>5061</v>
      </c>
      <c r="F3155" s="54" t="s">
        <v>6701</v>
      </c>
      <c r="G3155" s="54" t="s">
        <v>6702</v>
      </c>
      <c r="H3155" s="54" t="n">
        <v>5724</v>
      </c>
      <c r="I3155" s="54" t="s">
        <v>315</v>
      </c>
      <c r="J3155" s="54" t="s">
        <v>335</v>
      </c>
    </row>
    <row r="3156" customFormat="false" ht="15" hidden="false" customHeight="true" outlineLevel="0" collapsed="false">
      <c r="A3156" s="54" t="n">
        <v>20260711</v>
      </c>
      <c r="B3156" s="54" t="s">
        <v>306</v>
      </c>
      <c r="C3156" s="54" t="s">
        <v>290</v>
      </c>
      <c r="D3156" s="54" t="s">
        <v>5060</v>
      </c>
      <c r="E3156" s="54" t="s">
        <v>5061</v>
      </c>
      <c r="F3156" s="54" t="s">
        <v>6701</v>
      </c>
      <c r="G3156" s="54" t="s">
        <v>6703</v>
      </c>
      <c r="H3156" s="54" t="n">
        <v>15737</v>
      </c>
      <c r="I3156" s="54" t="s">
        <v>295</v>
      </c>
      <c r="J3156" s="54" t="s">
        <v>335</v>
      </c>
    </row>
    <row r="3157" customFormat="false" ht="15" hidden="false" customHeight="true" outlineLevel="0" collapsed="false">
      <c r="A3157" s="54" t="n">
        <v>20260711</v>
      </c>
      <c r="B3157" s="54" t="s">
        <v>306</v>
      </c>
      <c r="C3157" s="54" t="s">
        <v>290</v>
      </c>
      <c r="D3157" s="54" t="s">
        <v>5060</v>
      </c>
      <c r="E3157" s="54" t="s">
        <v>5061</v>
      </c>
      <c r="F3157" s="54" t="s">
        <v>6704</v>
      </c>
      <c r="G3157" s="54" t="s">
        <v>6705</v>
      </c>
      <c r="H3157" s="54" t="n">
        <v>1370</v>
      </c>
      <c r="I3157" s="54" t="s">
        <v>315</v>
      </c>
      <c r="J3157" s="54" t="s">
        <v>335</v>
      </c>
    </row>
    <row r="3158" customFormat="false" ht="15" hidden="false" customHeight="true" outlineLevel="0" collapsed="false">
      <c r="A3158" s="54" t="n">
        <v>20260711</v>
      </c>
      <c r="B3158" s="54" t="s">
        <v>306</v>
      </c>
      <c r="C3158" s="54" t="s">
        <v>290</v>
      </c>
      <c r="D3158" s="54" t="s">
        <v>5060</v>
      </c>
      <c r="E3158" s="54" t="s">
        <v>5061</v>
      </c>
      <c r="F3158" s="54" t="s">
        <v>6706</v>
      </c>
      <c r="G3158" s="54" t="s">
        <v>6707</v>
      </c>
      <c r="H3158" s="54" t="n">
        <v>609</v>
      </c>
      <c r="I3158" s="54" t="s">
        <v>315</v>
      </c>
      <c r="J3158" s="54" t="s">
        <v>335</v>
      </c>
    </row>
    <row r="3159" customFormat="false" ht="15" hidden="false" customHeight="true" outlineLevel="0" collapsed="false">
      <c r="A3159" s="54" t="n">
        <v>20260711</v>
      </c>
      <c r="B3159" s="54" t="s">
        <v>306</v>
      </c>
      <c r="C3159" s="54" t="s">
        <v>290</v>
      </c>
      <c r="D3159" s="54" t="s">
        <v>5060</v>
      </c>
      <c r="E3159" s="54" t="s">
        <v>5061</v>
      </c>
      <c r="F3159" s="54" t="s">
        <v>6708</v>
      </c>
      <c r="G3159" s="54" t="s">
        <v>6709</v>
      </c>
      <c r="H3159" s="54" t="n">
        <v>2061</v>
      </c>
      <c r="I3159" s="54" t="s">
        <v>315</v>
      </c>
      <c r="J3159" s="54" t="s">
        <v>335</v>
      </c>
    </row>
    <row r="3160" customFormat="false" ht="15" hidden="false" customHeight="true" outlineLevel="0" collapsed="false">
      <c r="A3160" s="54" t="n">
        <v>20260711</v>
      </c>
      <c r="B3160" s="54" t="s">
        <v>306</v>
      </c>
      <c r="C3160" s="54" t="s">
        <v>290</v>
      </c>
      <c r="D3160" s="54" t="s">
        <v>5060</v>
      </c>
      <c r="E3160" s="54" t="s">
        <v>5061</v>
      </c>
      <c r="F3160" s="54" t="s">
        <v>6710</v>
      </c>
      <c r="G3160" s="54" t="s">
        <v>6711</v>
      </c>
      <c r="H3160" s="54" t="n">
        <v>2360</v>
      </c>
      <c r="I3160" s="54" t="s">
        <v>295</v>
      </c>
      <c r="J3160" s="54" t="s">
        <v>335</v>
      </c>
    </row>
    <row r="3161" customFormat="false" ht="15" hidden="false" customHeight="true" outlineLevel="0" collapsed="false">
      <c r="A3161" s="54" t="n">
        <v>20260711</v>
      </c>
      <c r="B3161" s="54" t="s">
        <v>306</v>
      </c>
      <c r="C3161" s="54" t="s">
        <v>290</v>
      </c>
      <c r="D3161" s="54" t="s">
        <v>5060</v>
      </c>
      <c r="E3161" s="54" t="s">
        <v>5061</v>
      </c>
      <c r="F3161" s="54" t="s">
        <v>6712</v>
      </c>
      <c r="G3161" s="54" t="s">
        <v>6711</v>
      </c>
      <c r="H3161" s="54" t="n">
        <v>2359</v>
      </c>
      <c r="I3161" s="54" t="s">
        <v>315</v>
      </c>
      <c r="J3161" s="54" t="s">
        <v>335</v>
      </c>
    </row>
    <row r="3162" customFormat="false" ht="15" hidden="false" customHeight="true" outlineLevel="0" collapsed="false">
      <c r="A3162" s="54" t="n">
        <v>20260711</v>
      </c>
      <c r="B3162" s="54" t="s">
        <v>306</v>
      </c>
      <c r="C3162" s="54" t="s">
        <v>290</v>
      </c>
      <c r="D3162" s="54" t="s">
        <v>5060</v>
      </c>
      <c r="E3162" s="54" t="s">
        <v>5061</v>
      </c>
      <c r="F3162" s="54" t="s">
        <v>6713</v>
      </c>
      <c r="G3162" s="54" t="s">
        <v>6714</v>
      </c>
      <c r="H3162" s="54" t="n">
        <v>8743</v>
      </c>
      <c r="I3162" s="54" t="s">
        <v>295</v>
      </c>
      <c r="J3162" s="54" t="s">
        <v>335</v>
      </c>
    </row>
    <row r="3163" customFormat="false" ht="15" hidden="false" customHeight="true" outlineLevel="0" collapsed="false">
      <c r="A3163" s="54" t="n">
        <v>20260711</v>
      </c>
      <c r="B3163" s="54" t="s">
        <v>306</v>
      </c>
      <c r="C3163" s="54" t="s">
        <v>290</v>
      </c>
      <c r="D3163" s="54" t="s">
        <v>5060</v>
      </c>
      <c r="E3163" s="54" t="s">
        <v>5061</v>
      </c>
      <c r="F3163" s="54" t="s">
        <v>6713</v>
      </c>
      <c r="G3163" s="54" t="s">
        <v>6715</v>
      </c>
      <c r="H3163" s="54" t="n">
        <v>8749</v>
      </c>
      <c r="I3163" s="54" t="s">
        <v>315</v>
      </c>
      <c r="J3163" s="54" t="s">
        <v>335</v>
      </c>
    </row>
    <row r="3164" customFormat="false" ht="15" hidden="false" customHeight="true" outlineLevel="0" collapsed="false">
      <c r="A3164" s="54" t="n">
        <v>20260711</v>
      </c>
      <c r="B3164" s="54" t="s">
        <v>289</v>
      </c>
      <c r="C3164" s="54" t="s">
        <v>290</v>
      </c>
      <c r="D3164" s="54" t="s">
        <v>491</v>
      </c>
      <c r="E3164" s="54" t="s">
        <v>492</v>
      </c>
      <c r="F3164" s="54" t="s">
        <v>6716</v>
      </c>
      <c r="G3164" s="54" t="s">
        <v>6717</v>
      </c>
      <c r="H3164" s="54" t="n">
        <v>84</v>
      </c>
      <c r="I3164" s="54" t="s">
        <v>295</v>
      </c>
      <c r="J3164" s="54" t="s">
        <v>414</v>
      </c>
    </row>
    <row r="3165" customFormat="false" ht="15" hidden="false" customHeight="true" outlineLevel="0" collapsed="false">
      <c r="A3165" s="54" t="n">
        <v>20260711</v>
      </c>
      <c r="B3165" s="54" t="s">
        <v>289</v>
      </c>
      <c r="C3165" s="54" t="s">
        <v>290</v>
      </c>
      <c r="D3165" s="54" t="s">
        <v>491</v>
      </c>
      <c r="E3165" s="54" t="s">
        <v>492</v>
      </c>
      <c r="F3165" s="54" t="s">
        <v>6718</v>
      </c>
      <c r="G3165" s="54" t="s">
        <v>6719</v>
      </c>
      <c r="H3165" s="54" t="n">
        <v>25398</v>
      </c>
      <c r="I3165" s="54" t="s">
        <v>295</v>
      </c>
      <c r="J3165" s="54" t="s">
        <v>414</v>
      </c>
    </row>
    <row r="3166" customFormat="false" ht="15" hidden="false" customHeight="true" outlineLevel="0" collapsed="false">
      <c r="A3166" s="54" t="n">
        <v>20260711</v>
      </c>
      <c r="B3166" s="54" t="s">
        <v>289</v>
      </c>
      <c r="C3166" s="54" t="s">
        <v>290</v>
      </c>
      <c r="D3166" s="54" t="s">
        <v>5079</v>
      </c>
      <c r="E3166" s="54" t="s">
        <v>5080</v>
      </c>
      <c r="F3166" s="54" t="s">
        <v>6720</v>
      </c>
      <c r="G3166" s="54" t="s">
        <v>6539</v>
      </c>
      <c r="H3166" s="54" t="n">
        <v>324</v>
      </c>
      <c r="I3166" s="54" t="s">
        <v>295</v>
      </c>
      <c r="J3166" s="54" t="s">
        <v>2306</v>
      </c>
    </row>
    <row r="3167" customFormat="false" ht="15" hidden="false" customHeight="true" outlineLevel="0" collapsed="false">
      <c r="A3167" s="54" t="n">
        <v>20260711</v>
      </c>
      <c r="B3167" s="54" t="s">
        <v>289</v>
      </c>
      <c r="C3167" s="54" t="s">
        <v>290</v>
      </c>
      <c r="D3167" s="54" t="s">
        <v>5079</v>
      </c>
      <c r="E3167" s="54" t="s">
        <v>5080</v>
      </c>
      <c r="F3167" s="54" t="s">
        <v>5617</v>
      </c>
      <c r="G3167" s="54" t="s">
        <v>6721</v>
      </c>
      <c r="H3167" s="54" t="n">
        <v>19479</v>
      </c>
      <c r="I3167" s="54" t="s">
        <v>295</v>
      </c>
      <c r="J3167" s="54" t="s">
        <v>2306</v>
      </c>
    </row>
    <row r="3168" customFormat="false" ht="15" hidden="false" customHeight="true" outlineLevel="0" collapsed="false">
      <c r="A3168" s="54" t="n">
        <v>20260711</v>
      </c>
      <c r="B3168" s="54" t="s">
        <v>289</v>
      </c>
      <c r="C3168" s="54" t="s">
        <v>290</v>
      </c>
      <c r="D3168" s="54" t="s">
        <v>5079</v>
      </c>
      <c r="E3168" s="54" t="s">
        <v>5080</v>
      </c>
      <c r="F3168" s="54" t="s">
        <v>6722</v>
      </c>
      <c r="G3168" s="54" t="s">
        <v>6723</v>
      </c>
      <c r="H3168" s="54" t="n">
        <v>2108</v>
      </c>
      <c r="I3168" s="54" t="s">
        <v>295</v>
      </c>
      <c r="J3168" s="54" t="s">
        <v>2306</v>
      </c>
    </row>
    <row r="3169" customFormat="false" ht="15" hidden="false" customHeight="true" outlineLevel="0" collapsed="false">
      <c r="A3169" s="54" t="n">
        <v>20260711</v>
      </c>
      <c r="B3169" s="54" t="s">
        <v>289</v>
      </c>
      <c r="C3169" s="54" t="s">
        <v>290</v>
      </c>
      <c r="D3169" s="54" t="s">
        <v>5079</v>
      </c>
      <c r="E3169" s="54" t="s">
        <v>5080</v>
      </c>
      <c r="F3169" s="54" t="s">
        <v>6724</v>
      </c>
      <c r="G3169" s="54" t="s">
        <v>5628</v>
      </c>
      <c r="H3169" s="54" t="n">
        <v>7216</v>
      </c>
      <c r="I3169" s="54" t="s">
        <v>295</v>
      </c>
      <c r="J3169" s="54" t="s">
        <v>2306</v>
      </c>
    </row>
    <row r="3170" customFormat="false" ht="15" hidden="false" customHeight="true" outlineLevel="0" collapsed="false">
      <c r="A3170" s="54" t="n">
        <v>20260711</v>
      </c>
      <c r="B3170" s="54" t="s">
        <v>688</v>
      </c>
      <c r="C3170" s="54" t="s">
        <v>307</v>
      </c>
      <c r="D3170" s="54" t="s">
        <v>5090</v>
      </c>
      <c r="E3170" s="54" t="s">
        <v>139</v>
      </c>
      <c r="F3170" s="54" t="s">
        <v>6725</v>
      </c>
      <c r="G3170" s="54" t="s">
        <v>5660</v>
      </c>
      <c r="H3170" s="54" t="n">
        <v>18103</v>
      </c>
      <c r="I3170" s="54" t="s">
        <v>295</v>
      </c>
      <c r="J3170" s="54" t="s">
        <v>745</v>
      </c>
    </row>
    <row r="3171" customFormat="false" ht="15" hidden="false" customHeight="true" outlineLevel="0" collapsed="false">
      <c r="A3171" s="54" t="n">
        <v>20260711</v>
      </c>
      <c r="B3171" s="54" t="s">
        <v>688</v>
      </c>
      <c r="C3171" s="54" t="s">
        <v>307</v>
      </c>
      <c r="D3171" s="54" t="s">
        <v>5090</v>
      </c>
      <c r="E3171" s="54" t="s">
        <v>139</v>
      </c>
      <c r="F3171" s="54" t="s">
        <v>6726</v>
      </c>
      <c r="G3171" s="54" t="s">
        <v>6727</v>
      </c>
      <c r="H3171" s="54" t="n">
        <v>8634</v>
      </c>
      <c r="I3171" s="54" t="s">
        <v>295</v>
      </c>
      <c r="J3171" s="54" t="s">
        <v>745</v>
      </c>
    </row>
    <row r="3172" customFormat="false" ht="15" hidden="false" customHeight="true" outlineLevel="0" collapsed="false">
      <c r="A3172" s="54" t="n">
        <v>20260711</v>
      </c>
      <c r="B3172" s="54" t="s">
        <v>688</v>
      </c>
      <c r="C3172" s="54" t="s">
        <v>307</v>
      </c>
      <c r="D3172" s="54" t="s">
        <v>5090</v>
      </c>
      <c r="E3172" s="54" t="s">
        <v>139</v>
      </c>
      <c r="F3172" s="54" t="s">
        <v>6728</v>
      </c>
      <c r="G3172" s="54" t="s">
        <v>6729</v>
      </c>
      <c r="H3172" s="54" t="n">
        <v>1590</v>
      </c>
      <c r="I3172" s="54" t="s">
        <v>295</v>
      </c>
      <c r="J3172" s="54" t="s">
        <v>745</v>
      </c>
    </row>
    <row r="3173" customFormat="false" ht="15" hidden="false" customHeight="true" outlineLevel="0" collapsed="false">
      <c r="A3173" s="54" t="n">
        <v>20260711</v>
      </c>
      <c r="B3173" s="54" t="s">
        <v>306</v>
      </c>
      <c r="C3173" s="54" t="s">
        <v>290</v>
      </c>
      <c r="D3173" s="54" t="s">
        <v>6730</v>
      </c>
      <c r="E3173" s="54" t="s">
        <v>6731</v>
      </c>
      <c r="F3173" s="54" t="s">
        <v>6732</v>
      </c>
      <c r="G3173" s="54" t="s">
        <v>6733</v>
      </c>
      <c r="H3173" s="54" t="n">
        <v>9</v>
      </c>
      <c r="I3173" s="54" t="s">
        <v>295</v>
      </c>
      <c r="J3173" s="54" t="s">
        <v>1709</v>
      </c>
    </row>
    <row r="3174" customFormat="false" ht="15" hidden="false" customHeight="true" outlineLevel="0" collapsed="false">
      <c r="A3174" s="54" t="n">
        <v>20260711</v>
      </c>
      <c r="B3174" s="54" t="s">
        <v>306</v>
      </c>
      <c r="C3174" s="54" t="s">
        <v>290</v>
      </c>
      <c r="D3174" s="54" t="s">
        <v>6730</v>
      </c>
      <c r="E3174" s="54" t="s">
        <v>6731</v>
      </c>
      <c r="F3174" s="54" t="s">
        <v>6734</v>
      </c>
      <c r="G3174" s="54" t="s">
        <v>6735</v>
      </c>
      <c r="H3174" s="54" t="n">
        <v>16751</v>
      </c>
      <c r="I3174" s="54" t="s">
        <v>295</v>
      </c>
      <c r="J3174" s="54" t="s">
        <v>1709</v>
      </c>
    </row>
    <row r="3175" customFormat="false" ht="15" hidden="false" customHeight="true" outlineLevel="0" collapsed="false">
      <c r="A3175" s="54" t="n">
        <v>20260711</v>
      </c>
      <c r="B3175" s="54" t="s">
        <v>306</v>
      </c>
      <c r="C3175" s="54" t="s">
        <v>290</v>
      </c>
      <c r="D3175" s="54" t="s">
        <v>6730</v>
      </c>
      <c r="E3175" s="54" t="s">
        <v>6731</v>
      </c>
      <c r="F3175" s="54" t="s">
        <v>6736</v>
      </c>
      <c r="G3175" s="54" t="s">
        <v>6737</v>
      </c>
      <c r="H3175" s="54" t="n">
        <v>4220</v>
      </c>
      <c r="I3175" s="54" t="s">
        <v>295</v>
      </c>
      <c r="J3175" s="54" t="s">
        <v>1709</v>
      </c>
    </row>
    <row r="3176" customFormat="false" ht="15" hidden="false" customHeight="true" outlineLevel="0" collapsed="false">
      <c r="A3176" s="54" t="n">
        <v>20260711</v>
      </c>
      <c r="B3176" s="54" t="s">
        <v>306</v>
      </c>
      <c r="C3176" s="54" t="s">
        <v>290</v>
      </c>
      <c r="D3176" s="54" t="s">
        <v>6730</v>
      </c>
      <c r="E3176" s="54" t="s">
        <v>6731</v>
      </c>
      <c r="F3176" s="54" t="s">
        <v>6738</v>
      </c>
      <c r="G3176" s="54" t="s">
        <v>6739</v>
      </c>
      <c r="H3176" s="54" t="n">
        <v>801</v>
      </c>
      <c r="I3176" s="54" t="s">
        <v>295</v>
      </c>
      <c r="J3176" s="54" t="s">
        <v>1709</v>
      </c>
    </row>
    <row r="3177" customFormat="false" ht="15" hidden="false" customHeight="true" outlineLevel="0" collapsed="false">
      <c r="A3177" s="54" t="n">
        <v>20260711</v>
      </c>
      <c r="B3177" s="54" t="s">
        <v>306</v>
      </c>
      <c r="C3177" s="54" t="s">
        <v>290</v>
      </c>
      <c r="D3177" s="54" t="s">
        <v>5128</v>
      </c>
      <c r="E3177" s="54" t="s">
        <v>5129</v>
      </c>
      <c r="F3177" s="54" t="s">
        <v>6740</v>
      </c>
      <c r="G3177" s="54" t="s">
        <v>6741</v>
      </c>
      <c r="H3177" s="54" t="n">
        <v>14384</v>
      </c>
      <c r="I3177" s="54" t="s">
        <v>295</v>
      </c>
      <c r="J3177" s="54" t="s">
        <v>335</v>
      </c>
    </row>
    <row r="3178" customFormat="false" ht="15" hidden="false" customHeight="true" outlineLevel="0" collapsed="false">
      <c r="A3178" s="54" t="n">
        <v>20260711</v>
      </c>
      <c r="B3178" s="54" t="s">
        <v>306</v>
      </c>
      <c r="C3178" s="54" t="s">
        <v>290</v>
      </c>
      <c r="D3178" s="54" t="s">
        <v>5128</v>
      </c>
      <c r="E3178" s="54" t="s">
        <v>5129</v>
      </c>
      <c r="F3178" s="54" t="s">
        <v>6742</v>
      </c>
      <c r="G3178" s="54" t="s">
        <v>6743</v>
      </c>
      <c r="H3178" s="54" t="n">
        <v>14384</v>
      </c>
      <c r="I3178" s="54" t="s">
        <v>315</v>
      </c>
      <c r="J3178" s="54" t="s">
        <v>335</v>
      </c>
    </row>
    <row r="3179" customFormat="false" ht="15" hidden="false" customHeight="true" outlineLevel="0" collapsed="false">
      <c r="A3179" s="54" t="n">
        <v>20260711</v>
      </c>
      <c r="B3179" s="54" t="s">
        <v>306</v>
      </c>
      <c r="C3179" s="54" t="s">
        <v>290</v>
      </c>
      <c r="D3179" s="54" t="s">
        <v>5128</v>
      </c>
      <c r="E3179" s="54" t="s">
        <v>5129</v>
      </c>
      <c r="F3179" s="54" t="s">
        <v>6744</v>
      </c>
      <c r="G3179" s="54" t="s">
        <v>6745</v>
      </c>
      <c r="H3179" s="54" t="n">
        <v>14902</v>
      </c>
      <c r="I3179" s="54" t="s">
        <v>295</v>
      </c>
      <c r="J3179" s="54" t="s">
        <v>335</v>
      </c>
    </row>
    <row r="3180" customFormat="false" ht="15" hidden="false" customHeight="true" outlineLevel="0" collapsed="false">
      <c r="A3180" s="54" t="n">
        <v>20260711</v>
      </c>
      <c r="B3180" s="54" t="s">
        <v>306</v>
      </c>
      <c r="C3180" s="54" t="s">
        <v>290</v>
      </c>
      <c r="D3180" s="54" t="s">
        <v>5128</v>
      </c>
      <c r="E3180" s="54" t="s">
        <v>5129</v>
      </c>
      <c r="F3180" s="54" t="s">
        <v>6746</v>
      </c>
      <c r="G3180" s="54" t="s">
        <v>6747</v>
      </c>
      <c r="H3180" s="54" t="n">
        <v>14903</v>
      </c>
      <c r="I3180" s="54" t="s">
        <v>315</v>
      </c>
      <c r="J3180" s="54" t="s">
        <v>335</v>
      </c>
    </row>
    <row r="3181" customFormat="false" ht="15" hidden="false" customHeight="true" outlineLevel="0" collapsed="false">
      <c r="A3181" s="54" t="n">
        <v>20260711</v>
      </c>
      <c r="B3181" s="54" t="s">
        <v>289</v>
      </c>
      <c r="C3181" s="54" t="s">
        <v>307</v>
      </c>
      <c r="D3181" s="54" t="s">
        <v>5134</v>
      </c>
      <c r="E3181" s="54" t="s">
        <v>5135</v>
      </c>
      <c r="F3181" s="54" t="s">
        <v>6748</v>
      </c>
      <c r="G3181" s="54" t="s">
        <v>6749</v>
      </c>
      <c r="H3181" s="54" t="n">
        <v>18429</v>
      </c>
      <c r="I3181" s="54" t="s">
        <v>295</v>
      </c>
      <c r="J3181" s="54" t="s">
        <v>707</v>
      </c>
    </row>
    <row r="3182" customFormat="false" ht="15" hidden="false" customHeight="true" outlineLevel="0" collapsed="false">
      <c r="A3182" s="54" t="n">
        <v>20260711</v>
      </c>
      <c r="B3182" s="54" t="s">
        <v>289</v>
      </c>
      <c r="C3182" s="54" t="s">
        <v>307</v>
      </c>
      <c r="D3182" s="54" t="s">
        <v>5134</v>
      </c>
      <c r="E3182" s="54" t="s">
        <v>5135</v>
      </c>
      <c r="F3182" s="54" t="s">
        <v>6493</v>
      </c>
      <c r="G3182" s="54" t="s">
        <v>6750</v>
      </c>
      <c r="H3182" s="54" t="n">
        <v>10438</v>
      </c>
      <c r="I3182" s="54" t="s">
        <v>295</v>
      </c>
      <c r="J3182" s="54" t="s">
        <v>707</v>
      </c>
    </row>
    <row r="3183" customFormat="false" ht="15" hidden="false" customHeight="true" outlineLevel="0" collapsed="false">
      <c r="A3183" s="54" t="n">
        <v>20260711</v>
      </c>
      <c r="B3183" s="54" t="s">
        <v>289</v>
      </c>
      <c r="C3183" s="54" t="s">
        <v>307</v>
      </c>
      <c r="D3183" s="54" t="s">
        <v>5138</v>
      </c>
      <c r="E3183" s="54" t="s">
        <v>5139</v>
      </c>
      <c r="F3183" s="54" t="s">
        <v>6751</v>
      </c>
      <c r="G3183" s="54" t="s">
        <v>6752</v>
      </c>
      <c r="H3183" s="54" t="n">
        <v>18350</v>
      </c>
      <c r="I3183" s="54" t="s">
        <v>295</v>
      </c>
      <c r="J3183" s="54" t="s">
        <v>1074</v>
      </c>
    </row>
    <row r="3184" customFormat="false" ht="15" hidden="false" customHeight="true" outlineLevel="0" collapsed="false">
      <c r="A3184" s="54" t="n">
        <v>20260711</v>
      </c>
      <c r="B3184" s="54" t="s">
        <v>289</v>
      </c>
      <c r="C3184" s="54" t="s">
        <v>307</v>
      </c>
      <c r="D3184" s="54" t="s">
        <v>5138</v>
      </c>
      <c r="E3184" s="54" t="s">
        <v>5139</v>
      </c>
      <c r="F3184" s="54" t="s">
        <v>6753</v>
      </c>
      <c r="G3184" s="54" t="s">
        <v>5569</v>
      </c>
      <c r="H3184" s="54" t="n">
        <v>10567</v>
      </c>
      <c r="I3184" s="54" t="s">
        <v>295</v>
      </c>
      <c r="J3184" s="54" t="s">
        <v>1074</v>
      </c>
    </row>
    <row r="3185" customFormat="false" ht="15" hidden="false" customHeight="true" outlineLevel="0" collapsed="false">
      <c r="A3185" s="54" t="n">
        <v>20260712</v>
      </c>
      <c r="B3185" s="54" t="s">
        <v>306</v>
      </c>
      <c r="C3185" s="54" t="s">
        <v>307</v>
      </c>
      <c r="D3185" s="54" t="s">
        <v>710</v>
      </c>
      <c r="E3185" s="54" t="s">
        <v>711</v>
      </c>
      <c r="F3185" s="54" t="s">
        <v>6754</v>
      </c>
      <c r="G3185" s="54" t="s">
        <v>6755</v>
      </c>
      <c r="H3185" s="54" t="n">
        <v>21713</v>
      </c>
      <c r="I3185" s="54" t="s">
        <v>295</v>
      </c>
      <c r="J3185" s="54" t="s">
        <v>312</v>
      </c>
    </row>
    <row r="3186" customFormat="false" ht="15" hidden="false" customHeight="true" outlineLevel="0" collapsed="false">
      <c r="A3186" s="54" t="n">
        <v>20260712</v>
      </c>
      <c r="B3186" s="54" t="s">
        <v>306</v>
      </c>
      <c r="C3186" s="54" t="s">
        <v>307</v>
      </c>
      <c r="D3186" s="54" t="s">
        <v>710</v>
      </c>
      <c r="E3186" s="54" t="s">
        <v>711</v>
      </c>
      <c r="F3186" s="54" t="s">
        <v>6756</v>
      </c>
      <c r="G3186" s="54" t="s">
        <v>6757</v>
      </c>
      <c r="H3186" s="54" t="n">
        <v>21714</v>
      </c>
      <c r="I3186" s="54" t="s">
        <v>315</v>
      </c>
      <c r="J3186" s="54" t="s">
        <v>312</v>
      </c>
    </row>
    <row r="3187" customFormat="false" ht="15" hidden="false" customHeight="true" outlineLevel="0" collapsed="false">
      <c r="A3187" s="54" t="n">
        <v>20260712</v>
      </c>
      <c r="B3187" s="54" t="s">
        <v>306</v>
      </c>
      <c r="C3187" s="54" t="s">
        <v>307</v>
      </c>
      <c r="D3187" s="54" t="s">
        <v>710</v>
      </c>
      <c r="E3187" s="54" t="s">
        <v>711</v>
      </c>
      <c r="F3187" s="54" t="s">
        <v>6758</v>
      </c>
      <c r="G3187" s="54" t="s">
        <v>6759</v>
      </c>
      <c r="H3187" s="54" t="n">
        <v>10887</v>
      </c>
      <c r="I3187" s="54" t="s">
        <v>295</v>
      </c>
      <c r="J3187" s="54" t="s">
        <v>312</v>
      </c>
    </row>
    <row r="3188" customFormat="false" ht="15" hidden="false" customHeight="true" outlineLevel="0" collapsed="false">
      <c r="A3188" s="54" t="n">
        <v>20260712</v>
      </c>
      <c r="B3188" s="54" t="s">
        <v>306</v>
      </c>
      <c r="C3188" s="54" t="s">
        <v>307</v>
      </c>
      <c r="D3188" s="54" t="s">
        <v>710</v>
      </c>
      <c r="E3188" s="54" t="s">
        <v>711</v>
      </c>
      <c r="F3188" s="54" t="s">
        <v>6760</v>
      </c>
      <c r="G3188" s="54" t="s">
        <v>6761</v>
      </c>
      <c r="H3188" s="54" t="n">
        <v>10888</v>
      </c>
      <c r="I3188" s="54" t="s">
        <v>315</v>
      </c>
      <c r="J3188" s="54" t="s">
        <v>312</v>
      </c>
    </row>
    <row r="3189" customFormat="false" ht="15" hidden="false" customHeight="true" outlineLevel="0" collapsed="false">
      <c r="A3189" s="54" t="n">
        <v>20260712</v>
      </c>
      <c r="B3189" s="54" t="s">
        <v>688</v>
      </c>
      <c r="C3189" s="54" t="s">
        <v>307</v>
      </c>
      <c r="D3189" s="54" t="s">
        <v>5221</v>
      </c>
      <c r="E3189" s="54" t="s">
        <v>159</v>
      </c>
      <c r="F3189" s="54" t="s">
        <v>6762</v>
      </c>
      <c r="G3189" s="54" t="s">
        <v>6763</v>
      </c>
      <c r="H3189" s="54" t="n">
        <v>113</v>
      </c>
      <c r="I3189" s="54" t="s">
        <v>295</v>
      </c>
      <c r="J3189" s="54" t="s">
        <v>142</v>
      </c>
    </row>
    <row r="3190" customFormat="false" ht="15" hidden="false" customHeight="true" outlineLevel="0" collapsed="false">
      <c r="A3190" s="54" t="n">
        <v>20260712</v>
      </c>
      <c r="B3190" s="54" t="s">
        <v>688</v>
      </c>
      <c r="C3190" s="54" t="s">
        <v>307</v>
      </c>
      <c r="D3190" s="54" t="s">
        <v>5221</v>
      </c>
      <c r="E3190" s="54" t="s">
        <v>159</v>
      </c>
      <c r="F3190" s="54" t="s">
        <v>6764</v>
      </c>
      <c r="G3190" s="54" t="s">
        <v>6765</v>
      </c>
      <c r="H3190" s="54" t="n">
        <v>14425</v>
      </c>
      <c r="I3190" s="54" t="s">
        <v>295</v>
      </c>
      <c r="J3190" s="54" t="s">
        <v>142</v>
      </c>
    </row>
    <row r="3191" customFormat="false" ht="15" hidden="false" customHeight="true" outlineLevel="0" collapsed="false">
      <c r="A3191" s="54" t="n">
        <v>20260712</v>
      </c>
      <c r="B3191" s="54" t="s">
        <v>688</v>
      </c>
      <c r="C3191" s="54" t="s">
        <v>307</v>
      </c>
      <c r="D3191" s="54" t="s">
        <v>5221</v>
      </c>
      <c r="E3191" s="54" t="s">
        <v>159</v>
      </c>
      <c r="F3191" s="54" t="s">
        <v>6766</v>
      </c>
      <c r="G3191" s="54" t="s">
        <v>6767</v>
      </c>
      <c r="H3191" s="54" t="n">
        <v>17951</v>
      </c>
      <c r="I3191" s="54" t="s">
        <v>295</v>
      </c>
      <c r="J3191" s="54" t="s">
        <v>142</v>
      </c>
    </row>
    <row r="3192" customFormat="false" ht="15" hidden="false" customHeight="true" outlineLevel="0" collapsed="false">
      <c r="A3192" s="54" t="n">
        <v>20260712</v>
      </c>
      <c r="B3192" s="54" t="s">
        <v>688</v>
      </c>
      <c r="C3192" s="54" t="s">
        <v>307</v>
      </c>
      <c r="D3192" s="54" t="s">
        <v>799</v>
      </c>
      <c r="E3192" s="54" t="s">
        <v>800</v>
      </c>
      <c r="F3192" s="54" t="s">
        <v>6768</v>
      </c>
      <c r="G3192" s="54" t="s">
        <v>6769</v>
      </c>
      <c r="H3192" s="54" t="n">
        <v>8525</v>
      </c>
      <c r="I3192" s="54" t="s">
        <v>295</v>
      </c>
      <c r="J3192" s="54" t="s">
        <v>745</v>
      </c>
    </row>
    <row r="3193" customFormat="false" ht="15" hidden="false" customHeight="true" outlineLevel="0" collapsed="false">
      <c r="A3193" s="54" t="n">
        <v>20260712</v>
      </c>
      <c r="B3193" s="54" t="s">
        <v>688</v>
      </c>
      <c r="C3193" s="54" t="s">
        <v>307</v>
      </c>
      <c r="D3193" s="54" t="s">
        <v>799</v>
      </c>
      <c r="E3193" s="54" t="s">
        <v>800</v>
      </c>
      <c r="F3193" s="54" t="s">
        <v>6770</v>
      </c>
      <c r="G3193" s="54" t="s">
        <v>6771</v>
      </c>
      <c r="H3193" s="54" t="n">
        <v>6725</v>
      </c>
      <c r="I3193" s="54" t="s">
        <v>295</v>
      </c>
      <c r="J3193" s="54" t="s">
        <v>745</v>
      </c>
    </row>
    <row r="3194" customFormat="false" ht="15" hidden="false" customHeight="true" outlineLevel="0" collapsed="false">
      <c r="A3194" s="54" t="n">
        <v>20260712</v>
      </c>
      <c r="B3194" s="54" t="s">
        <v>688</v>
      </c>
      <c r="C3194" s="54" t="s">
        <v>307</v>
      </c>
      <c r="D3194" s="54" t="s">
        <v>799</v>
      </c>
      <c r="E3194" s="54" t="s">
        <v>800</v>
      </c>
      <c r="F3194" s="54" t="s">
        <v>6772</v>
      </c>
      <c r="G3194" s="54" t="s">
        <v>6773</v>
      </c>
      <c r="H3194" s="54" t="n">
        <v>168</v>
      </c>
      <c r="I3194" s="54" t="s">
        <v>295</v>
      </c>
      <c r="J3194" s="54" t="s">
        <v>745</v>
      </c>
    </row>
    <row r="3195" customFormat="false" ht="15" hidden="false" customHeight="true" outlineLevel="0" collapsed="false">
      <c r="A3195" s="54" t="n">
        <v>20260712</v>
      </c>
      <c r="B3195" s="54" t="s">
        <v>688</v>
      </c>
      <c r="C3195" s="54" t="s">
        <v>307</v>
      </c>
      <c r="D3195" s="54" t="s">
        <v>799</v>
      </c>
      <c r="E3195" s="54" t="s">
        <v>800</v>
      </c>
      <c r="F3195" s="54" t="s">
        <v>6774</v>
      </c>
      <c r="G3195" s="54" t="s">
        <v>6775</v>
      </c>
      <c r="H3195" s="54" t="n">
        <v>1380</v>
      </c>
      <c r="I3195" s="54" t="s">
        <v>295</v>
      </c>
      <c r="J3195" s="54" t="s">
        <v>745</v>
      </c>
    </row>
    <row r="3196" customFormat="false" ht="15" hidden="false" customHeight="true" outlineLevel="0" collapsed="false">
      <c r="A3196" s="54" t="n">
        <v>20260712</v>
      </c>
      <c r="B3196" s="54" t="s">
        <v>688</v>
      </c>
      <c r="C3196" s="54" t="s">
        <v>307</v>
      </c>
      <c r="D3196" s="54" t="s">
        <v>799</v>
      </c>
      <c r="E3196" s="54" t="s">
        <v>800</v>
      </c>
      <c r="F3196" s="54" t="s">
        <v>6776</v>
      </c>
      <c r="G3196" s="54" t="s">
        <v>6777</v>
      </c>
      <c r="H3196" s="54" t="n">
        <v>16152</v>
      </c>
      <c r="I3196" s="54" t="s">
        <v>295</v>
      </c>
      <c r="J3196" s="54" t="s">
        <v>745</v>
      </c>
    </row>
    <row r="3197" customFormat="false" ht="15" hidden="false" customHeight="true" outlineLevel="0" collapsed="false">
      <c r="A3197" s="54" t="n">
        <v>20260712</v>
      </c>
      <c r="B3197" s="54" t="s">
        <v>306</v>
      </c>
      <c r="C3197" s="54" t="s">
        <v>290</v>
      </c>
      <c r="D3197" s="54" t="s">
        <v>5260</v>
      </c>
      <c r="E3197" s="54" t="s">
        <v>5261</v>
      </c>
      <c r="F3197" s="54" t="s">
        <v>6778</v>
      </c>
      <c r="G3197" s="54" t="s">
        <v>6779</v>
      </c>
      <c r="H3197" s="54" t="n">
        <v>22037</v>
      </c>
      <c r="I3197" s="54" t="s">
        <v>315</v>
      </c>
      <c r="J3197" s="54" t="s">
        <v>335</v>
      </c>
    </row>
    <row r="3198" customFormat="false" ht="15" hidden="false" customHeight="true" outlineLevel="0" collapsed="false">
      <c r="A3198" s="54" t="n">
        <v>20260712</v>
      </c>
      <c r="B3198" s="54" t="s">
        <v>306</v>
      </c>
      <c r="C3198" s="54" t="s">
        <v>290</v>
      </c>
      <c r="D3198" s="54" t="s">
        <v>5260</v>
      </c>
      <c r="E3198" s="54" t="s">
        <v>5261</v>
      </c>
      <c r="F3198" s="54" t="s">
        <v>6778</v>
      </c>
      <c r="G3198" s="54" t="s">
        <v>6779</v>
      </c>
      <c r="H3198" s="54" t="n">
        <v>22037</v>
      </c>
      <c r="I3198" s="54" t="s">
        <v>295</v>
      </c>
      <c r="J3198" s="54" t="s">
        <v>335</v>
      </c>
    </row>
    <row r="3199" customFormat="false" ht="15" hidden="false" customHeight="true" outlineLevel="0" collapsed="false">
      <c r="A3199" s="54" t="n">
        <v>20260712</v>
      </c>
      <c r="B3199" s="54" t="s">
        <v>306</v>
      </c>
      <c r="C3199" s="54" t="s">
        <v>290</v>
      </c>
      <c r="D3199" s="54" t="s">
        <v>5260</v>
      </c>
      <c r="E3199" s="54" t="s">
        <v>5261</v>
      </c>
      <c r="F3199" s="54" t="s">
        <v>6780</v>
      </c>
      <c r="G3199" s="54" t="s">
        <v>6781</v>
      </c>
      <c r="H3199" s="54" t="n">
        <v>6833</v>
      </c>
      <c r="I3199" s="54" t="s">
        <v>295</v>
      </c>
      <c r="J3199" s="54" t="s">
        <v>335</v>
      </c>
    </row>
    <row r="3200" customFormat="false" ht="15" hidden="false" customHeight="true" outlineLevel="0" collapsed="false">
      <c r="A3200" s="54" t="n">
        <v>20260712</v>
      </c>
      <c r="B3200" s="54" t="s">
        <v>306</v>
      </c>
      <c r="C3200" s="54" t="s">
        <v>290</v>
      </c>
      <c r="D3200" s="54" t="s">
        <v>5260</v>
      </c>
      <c r="E3200" s="54" t="s">
        <v>5261</v>
      </c>
      <c r="F3200" s="54" t="s">
        <v>6782</v>
      </c>
      <c r="G3200" s="54" t="s">
        <v>6781</v>
      </c>
      <c r="H3200" s="54" t="n">
        <v>6832</v>
      </c>
      <c r="I3200" s="54" t="s">
        <v>315</v>
      </c>
      <c r="J3200" s="54" t="s">
        <v>335</v>
      </c>
    </row>
    <row r="3201" customFormat="false" ht="15" hidden="false" customHeight="true" outlineLevel="0" collapsed="false">
      <c r="A3201" s="54" t="n">
        <v>20260712</v>
      </c>
      <c r="B3201" s="54" t="s">
        <v>306</v>
      </c>
      <c r="C3201" s="54" t="s">
        <v>307</v>
      </c>
      <c r="D3201" s="54" t="s">
        <v>308</v>
      </c>
      <c r="E3201" s="54" t="s">
        <v>309</v>
      </c>
      <c r="F3201" s="54" t="s">
        <v>6783</v>
      </c>
      <c r="G3201" s="54" t="s">
        <v>6784</v>
      </c>
      <c r="H3201" s="54" t="n">
        <v>3142</v>
      </c>
      <c r="I3201" s="54" t="s">
        <v>315</v>
      </c>
      <c r="J3201" s="54" t="s">
        <v>312</v>
      </c>
    </row>
    <row r="3202" customFormat="false" ht="15" hidden="false" customHeight="true" outlineLevel="0" collapsed="false">
      <c r="A3202" s="54" t="n">
        <v>20260712</v>
      </c>
      <c r="B3202" s="54" t="s">
        <v>306</v>
      </c>
      <c r="C3202" s="54" t="s">
        <v>307</v>
      </c>
      <c r="D3202" s="54" t="s">
        <v>308</v>
      </c>
      <c r="E3202" s="54" t="s">
        <v>309</v>
      </c>
      <c r="F3202" s="54" t="s">
        <v>6783</v>
      </c>
      <c r="G3202" s="54" t="s">
        <v>6784</v>
      </c>
      <c r="H3202" s="54" t="n">
        <v>3142</v>
      </c>
      <c r="I3202" s="54" t="s">
        <v>295</v>
      </c>
      <c r="J3202" s="54" t="s">
        <v>312</v>
      </c>
    </row>
    <row r="3203" customFormat="false" ht="15" hidden="false" customHeight="true" outlineLevel="0" collapsed="false">
      <c r="A3203" s="54" t="n">
        <v>20260712</v>
      </c>
      <c r="B3203" s="54" t="s">
        <v>306</v>
      </c>
      <c r="C3203" s="54" t="s">
        <v>307</v>
      </c>
      <c r="D3203" s="54" t="s">
        <v>308</v>
      </c>
      <c r="E3203" s="54" t="s">
        <v>309</v>
      </c>
      <c r="F3203" s="54" t="s">
        <v>6785</v>
      </c>
      <c r="G3203" s="54" t="s">
        <v>6786</v>
      </c>
      <c r="H3203" s="54" t="n">
        <v>1074</v>
      </c>
      <c r="I3203" s="54" t="s">
        <v>295</v>
      </c>
      <c r="J3203" s="54" t="s">
        <v>312</v>
      </c>
    </row>
    <row r="3204" customFormat="false" ht="15" hidden="false" customHeight="true" outlineLevel="0" collapsed="false">
      <c r="A3204" s="54" t="n">
        <v>20260712</v>
      </c>
      <c r="B3204" s="54" t="s">
        <v>306</v>
      </c>
      <c r="C3204" s="54" t="s">
        <v>307</v>
      </c>
      <c r="D3204" s="54" t="s">
        <v>308</v>
      </c>
      <c r="E3204" s="54" t="s">
        <v>309</v>
      </c>
      <c r="F3204" s="54" t="s">
        <v>6787</v>
      </c>
      <c r="G3204" s="54" t="s">
        <v>6788</v>
      </c>
      <c r="H3204" s="54" t="n">
        <v>1061</v>
      </c>
      <c r="I3204" s="54" t="s">
        <v>315</v>
      </c>
      <c r="J3204" s="54" t="s">
        <v>312</v>
      </c>
    </row>
    <row r="3205" customFormat="false" ht="15" hidden="false" customHeight="true" outlineLevel="0" collapsed="false">
      <c r="A3205" s="54" t="n">
        <v>20260712</v>
      </c>
      <c r="B3205" s="54" t="s">
        <v>306</v>
      </c>
      <c r="C3205" s="54" t="s">
        <v>307</v>
      </c>
      <c r="D3205" s="54" t="s">
        <v>308</v>
      </c>
      <c r="E3205" s="54" t="s">
        <v>309</v>
      </c>
      <c r="F3205" s="54" t="s">
        <v>6787</v>
      </c>
      <c r="G3205" s="54" t="s">
        <v>6788</v>
      </c>
      <c r="H3205" s="54" t="n">
        <v>1061</v>
      </c>
      <c r="I3205" s="54" t="s">
        <v>295</v>
      </c>
      <c r="J3205" s="54" t="s">
        <v>312</v>
      </c>
    </row>
    <row r="3206" customFormat="false" ht="15" hidden="false" customHeight="true" outlineLevel="0" collapsed="false">
      <c r="A3206" s="54" t="n">
        <v>20260712</v>
      </c>
      <c r="B3206" s="54" t="s">
        <v>306</v>
      </c>
      <c r="C3206" s="54" t="s">
        <v>307</v>
      </c>
      <c r="D3206" s="54" t="s">
        <v>308</v>
      </c>
      <c r="E3206" s="54" t="s">
        <v>309</v>
      </c>
      <c r="F3206" s="54" t="s">
        <v>6789</v>
      </c>
      <c r="G3206" s="54" t="s">
        <v>6790</v>
      </c>
      <c r="H3206" s="54" t="n">
        <v>693</v>
      </c>
      <c r="I3206" s="54" t="s">
        <v>315</v>
      </c>
      <c r="J3206" s="54" t="s">
        <v>312</v>
      </c>
    </row>
    <row r="3207" customFormat="false" ht="15" hidden="false" customHeight="true" outlineLevel="0" collapsed="false">
      <c r="A3207" s="54" t="n">
        <v>20260712</v>
      </c>
      <c r="B3207" s="54" t="s">
        <v>306</v>
      </c>
      <c r="C3207" s="54" t="s">
        <v>307</v>
      </c>
      <c r="D3207" s="54" t="s">
        <v>308</v>
      </c>
      <c r="E3207" s="54" t="s">
        <v>309</v>
      </c>
      <c r="F3207" s="54" t="s">
        <v>6789</v>
      </c>
      <c r="G3207" s="54" t="s">
        <v>6790</v>
      </c>
      <c r="H3207" s="54" t="n">
        <v>693</v>
      </c>
      <c r="I3207" s="54" t="s">
        <v>295</v>
      </c>
      <c r="J3207" s="54" t="s">
        <v>312</v>
      </c>
    </row>
    <row r="3208" customFormat="false" ht="15" hidden="false" customHeight="true" outlineLevel="0" collapsed="false">
      <c r="A3208" s="54" t="n">
        <v>20260712</v>
      </c>
      <c r="B3208" s="54" t="s">
        <v>306</v>
      </c>
      <c r="C3208" s="54" t="s">
        <v>307</v>
      </c>
      <c r="D3208" s="54" t="s">
        <v>308</v>
      </c>
      <c r="E3208" s="54" t="s">
        <v>309</v>
      </c>
      <c r="F3208" s="54" t="s">
        <v>6791</v>
      </c>
      <c r="G3208" s="54" t="s">
        <v>6792</v>
      </c>
      <c r="H3208" s="54" t="n">
        <v>2335</v>
      </c>
      <c r="I3208" s="54" t="s">
        <v>315</v>
      </c>
      <c r="J3208" s="54" t="s">
        <v>312</v>
      </c>
    </row>
    <row r="3209" customFormat="false" ht="15" hidden="false" customHeight="true" outlineLevel="0" collapsed="false">
      <c r="A3209" s="54" t="n">
        <v>20260712</v>
      </c>
      <c r="B3209" s="54" t="s">
        <v>306</v>
      </c>
      <c r="C3209" s="54" t="s">
        <v>307</v>
      </c>
      <c r="D3209" s="54" t="s">
        <v>308</v>
      </c>
      <c r="E3209" s="54" t="s">
        <v>309</v>
      </c>
      <c r="F3209" s="54" t="s">
        <v>6791</v>
      </c>
      <c r="G3209" s="54" t="s">
        <v>6792</v>
      </c>
      <c r="H3209" s="54" t="n">
        <v>2335</v>
      </c>
      <c r="I3209" s="54" t="s">
        <v>295</v>
      </c>
      <c r="J3209" s="54" t="s">
        <v>312</v>
      </c>
    </row>
    <row r="3210" customFormat="false" ht="15" hidden="false" customHeight="true" outlineLevel="0" collapsed="false">
      <c r="A3210" s="54" t="n">
        <v>20260712</v>
      </c>
      <c r="B3210" s="54" t="s">
        <v>306</v>
      </c>
      <c r="C3210" s="54" t="s">
        <v>307</v>
      </c>
      <c r="D3210" s="54" t="s">
        <v>308</v>
      </c>
      <c r="E3210" s="54" t="s">
        <v>309</v>
      </c>
      <c r="F3210" s="54" t="s">
        <v>6793</v>
      </c>
      <c r="G3210" s="54" t="s">
        <v>6794</v>
      </c>
      <c r="H3210" s="54" t="n">
        <v>1</v>
      </c>
      <c r="I3210" s="54" t="s">
        <v>295</v>
      </c>
      <c r="J3210" s="54" t="s">
        <v>312</v>
      </c>
    </row>
    <row r="3211" customFormat="false" ht="15" hidden="false" customHeight="true" outlineLevel="0" collapsed="false">
      <c r="A3211" s="54" t="n">
        <v>20260712</v>
      </c>
      <c r="B3211" s="54" t="s">
        <v>306</v>
      </c>
      <c r="C3211" s="54" t="s">
        <v>307</v>
      </c>
      <c r="D3211" s="54" t="s">
        <v>308</v>
      </c>
      <c r="E3211" s="54" t="s">
        <v>309</v>
      </c>
      <c r="F3211" s="54" t="s">
        <v>6795</v>
      </c>
      <c r="G3211" s="54" t="s">
        <v>6796</v>
      </c>
      <c r="H3211" s="54" t="n">
        <v>6</v>
      </c>
      <c r="I3211" s="54" t="s">
        <v>315</v>
      </c>
      <c r="J3211" s="54" t="s">
        <v>312</v>
      </c>
    </row>
    <row r="3212" customFormat="false" ht="15" hidden="false" customHeight="true" outlineLevel="0" collapsed="false">
      <c r="A3212" s="54" t="n">
        <v>20260712</v>
      </c>
      <c r="B3212" s="54" t="s">
        <v>306</v>
      </c>
      <c r="C3212" s="54" t="s">
        <v>307</v>
      </c>
      <c r="D3212" s="54" t="s">
        <v>308</v>
      </c>
      <c r="E3212" s="54" t="s">
        <v>309</v>
      </c>
      <c r="F3212" s="54" t="s">
        <v>6795</v>
      </c>
      <c r="G3212" s="54" t="s">
        <v>6796</v>
      </c>
      <c r="H3212" s="54" t="n">
        <v>6</v>
      </c>
      <c r="I3212" s="54" t="s">
        <v>295</v>
      </c>
      <c r="J3212" s="54" t="s">
        <v>312</v>
      </c>
    </row>
    <row r="3213" customFormat="false" ht="15" hidden="false" customHeight="true" outlineLevel="0" collapsed="false">
      <c r="A3213" s="54" t="n">
        <v>20260712</v>
      </c>
      <c r="B3213" s="54" t="s">
        <v>306</v>
      </c>
      <c r="C3213" s="54" t="s">
        <v>307</v>
      </c>
      <c r="D3213" s="54" t="s">
        <v>308</v>
      </c>
      <c r="E3213" s="54" t="s">
        <v>309</v>
      </c>
      <c r="F3213" s="54" t="s">
        <v>6797</v>
      </c>
      <c r="G3213" s="54" t="s">
        <v>6798</v>
      </c>
      <c r="H3213" s="54" t="n">
        <v>2801</v>
      </c>
      <c r="I3213" s="54" t="s">
        <v>315</v>
      </c>
      <c r="J3213" s="54" t="s">
        <v>312</v>
      </c>
    </row>
    <row r="3214" customFormat="false" ht="15" hidden="false" customHeight="true" outlineLevel="0" collapsed="false">
      <c r="A3214" s="54" t="n">
        <v>20260712</v>
      </c>
      <c r="B3214" s="54" t="s">
        <v>306</v>
      </c>
      <c r="C3214" s="54" t="s">
        <v>307</v>
      </c>
      <c r="D3214" s="54" t="s">
        <v>308</v>
      </c>
      <c r="E3214" s="54" t="s">
        <v>309</v>
      </c>
      <c r="F3214" s="54" t="s">
        <v>6797</v>
      </c>
      <c r="G3214" s="54" t="s">
        <v>6798</v>
      </c>
      <c r="H3214" s="54" t="n">
        <v>2801</v>
      </c>
      <c r="I3214" s="54" t="s">
        <v>295</v>
      </c>
      <c r="J3214" s="54" t="s">
        <v>312</v>
      </c>
    </row>
    <row r="3215" customFormat="false" ht="15" hidden="false" customHeight="true" outlineLevel="0" collapsed="false">
      <c r="A3215" s="54" t="n">
        <v>20260712</v>
      </c>
      <c r="B3215" s="54" t="s">
        <v>306</v>
      </c>
      <c r="C3215" s="54" t="s">
        <v>307</v>
      </c>
      <c r="D3215" s="54" t="s">
        <v>308</v>
      </c>
      <c r="E3215" s="54" t="s">
        <v>309</v>
      </c>
      <c r="F3215" s="54" t="s">
        <v>6799</v>
      </c>
      <c r="G3215" s="54" t="s">
        <v>6800</v>
      </c>
      <c r="H3215" s="54" t="n">
        <v>21449</v>
      </c>
      <c r="I3215" s="54" t="s">
        <v>295</v>
      </c>
      <c r="J3215" s="54" t="s">
        <v>312</v>
      </c>
    </row>
    <row r="3216" customFormat="false" ht="15" hidden="false" customHeight="true" outlineLevel="0" collapsed="false">
      <c r="A3216" s="54" t="n">
        <v>20260712</v>
      </c>
      <c r="B3216" s="54" t="s">
        <v>306</v>
      </c>
      <c r="C3216" s="54" t="s">
        <v>307</v>
      </c>
      <c r="D3216" s="54" t="s">
        <v>308</v>
      </c>
      <c r="E3216" s="54" t="s">
        <v>309</v>
      </c>
      <c r="F3216" s="54" t="s">
        <v>6801</v>
      </c>
      <c r="G3216" s="54" t="s">
        <v>6800</v>
      </c>
      <c r="H3216" s="54" t="n">
        <v>21448</v>
      </c>
      <c r="I3216" s="54" t="s">
        <v>315</v>
      </c>
      <c r="J3216" s="54" t="s">
        <v>312</v>
      </c>
    </row>
    <row r="3217" customFormat="false" ht="15" hidden="false" customHeight="true" outlineLevel="0" collapsed="false">
      <c r="A3217" s="54" t="n">
        <v>20260712</v>
      </c>
      <c r="B3217" s="54" t="s">
        <v>289</v>
      </c>
      <c r="C3217" s="54" t="s">
        <v>290</v>
      </c>
      <c r="D3217" s="54" t="s">
        <v>5358</v>
      </c>
      <c r="E3217" s="54" t="s">
        <v>5359</v>
      </c>
      <c r="F3217" s="54" t="s">
        <v>6802</v>
      </c>
      <c r="G3217" s="54" t="s">
        <v>6803</v>
      </c>
      <c r="H3217" s="54" t="n">
        <v>7203</v>
      </c>
      <c r="I3217" s="54" t="s">
        <v>295</v>
      </c>
      <c r="J3217" s="54" t="s">
        <v>414</v>
      </c>
    </row>
    <row r="3218" customFormat="false" ht="15" hidden="false" customHeight="true" outlineLevel="0" collapsed="false">
      <c r="A3218" s="54" t="n">
        <v>20260712</v>
      </c>
      <c r="B3218" s="54" t="s">
        <v>306</v>
      </c>
      <c r="C3218" s="54" t="s">
        <v>290</v>
      </c>
      <c r="D3218" s="54" t="s">
        <v>331</v>
      </c>
      <c r="E3218" s="54" t="s">
        <v>332</v>
      </c>
      <c r="F3218" s="54" t="s">
        <v>6804</v>
      </c>
      <c r="G3218" s="54" t="s">
        <v>6805</v>
      </c>
      <c r="H3218" s="54" t="n">
        <v>12</v>
      </c>
      <c r="I3218" s="54" t="s">
        <v>295</v>
      </c>
      <c r="J3218" s="54" t="s">
        <v>335</v>
      </c>
    </row>
    <row r="3219" customFormat="false" ht="15" hidden="false" customHeight="true" outlineLevel="0" collapsed="false">
      <c r="A3219" s="54" t="n">
        <v>20260712</v>
      </c>
      <c r="B3219" s="54" t="s">
        <v>306</v>
      </c>
      <c r="C3219" s="54" t="s">
        <v>290</v>
      </c>
      <c r="D3219" s="54" t="s">
        <v>331</v>
      </c>
      <c r="E3219" s="54" t="s">
        <v>332</v>
      </c>
      <c r="F3219" s="54" t="s">
        <v>6806</v>
      </c>
      <c r="G3219" s="54" t="s">
        <v>6807</v>
      </c>
      <c r="H3219" s="54" t="n">
        <v>12</v>
      </c>
      <c r="I3219" s="54" t="s">
        <v>315</v>
      </c>
      <c r="J3219" s="54" t="s">
        <v>335</v>
      </c>
    </row>
    <row r="3220" customFormat="false" ht="15" hidden="false" customHeight="true" outlineLevel="0" collapsed="false">
      <c r="A3220" s="54" t="n">
        <v>20260712</v>
      </c>
      <c r="B3220" s="54" t="s">
        <v>306</v>
      </c>
      <c r="C3220" s="54" t="s">
        <v>290</v>
      </c>
      <c r="D3220" s="54" t="s">
        <v>331</v>
      </c>
      <c r="E3220" s="54" t="s">
        <v>332</v>
      </c>
      <c r="F3220" s="54" t="s">
        <v>6808</v>
      </c>
      <c r="G3220" s="54" t="s">
        <v>6809</v>
      </c>
      <c r="H3220" s="54" t="n">
        <v>18437</v>
      </c>
      <c r="I3220" s="54" t="s">
        <v>295</v>
      </c>
      <c r="J3220" s="54" t="s">
        <v>335</v>
      </c>
    </row>
    <row r="3221" customFormat="false" ht="15" hidden="false" customHeight="true" outlineLevel="0" collapsed="false">
      <c r="A3221" s="54" t="n">
        <v>20260712</v>
      </c>
      <c r="B3221" s="54" t="s">
        <v>306</v>
      </c>
      <c r="C3221" s="54" t="s">
        <v>290</v>
      </c>
      <c r="D3221" s="54" t="s">
        <v>331</v>
      </c>
      <c r="E3221" s="54" t="s">
        <v>332</v>
      </c>
      <c r="F3221" s="54" t="s">
        <v>6810</v>
      </c>
      <c r="G3221" s="54" t="s">
        <v>6811</v>
      </c>
      <c r="H3221" s="54" t="n">
        <v>18435</v>
      </c>
      <c r="I3221" s="54" t="s">
        <v>315</v>
      </c>
      <c r="J3221" s="54" t="s">
        <v>335</v>
      </c>
    </row>
    <row r="3222" customFormat="false" ht="15" hidden="false" customHeight="true" outlineLevel="0" collapsed="false">
      <c r="A3222" s="54" t="n">
        <v>20260712</v>
      </c>
      <c r="B3222" s="54" t="s">
        <v>306</v>
      </c>
      <c r="C3222" s="54" t="s">
        <v>290</v>
      </c>
      <c r="D3222" s="54" t="s">
        <v>331</v>
      </c>
      <c r="E3222" s="54" t="s">
        <v>332</v>
      </c>
      <c r="F3222" s="54" t="s">
        <v>6812</v>
      </c>
      <c r="G3222" s="54" t="s">
        <v>6813</v>
      </c>
      <c r="H3222" s="54" t="n">
        <v>10858</v>
      </c>
      <c r="I3222" s="54" t="s">
        <v>315</v>
      </c>
      <c r="J3222" s="54" t="s">
        <v>335</v>
      </c>
    </row>
    <row r="3223" customFormat="false" ht="15" hidden="false" customHeight="true" outlineLevel="0" collapsed="false">
      <c r="A3223" s="54" t="n">
        <v>20260712</v>
      </c>
      <c r="B3223" s="54" t="s">
        <v>306</v>
      </c>
      <c r="C3223" s="54" t="s">
        <v>290</v>
      </c>
      <c r="D3223" s="54" t="s">
        <v>331</v>
      </c>
      <c r="E3223" s="54" t="s">
        <v>332</v>
      </c>
      <c r="F3223" s="54" t="s">
        <v>6814</v>
      </c>
      <c r="G3223" s="54" t="s">
        <v>6815</v>
      </c>
      <c r="H3223" s="54" t="n">
        <v>10855</v>
      </c>
      <c r="I3223" s="54" t="s">
        <v>295</v>
      </c>
      <c r="J3223" s="54" t="s">
        <v>335</v>
      </c>
    </row>
    <row r="3224" customFormat="false" ht="15" hidden="false" customHeight="true" outlineLevel="0" collapsed="false">
      <c r="A3224" s="54" t="n">
        <v>20260712</v>
      </c>
      <c r="B3224" s="54" t="s">
        <v>306</v>
      </c>
      <c r="C3224" s="54" t="s">
        <v>290</v>
      </c>
      <c r="D3224" s="54" t="s">
        <v>1165</v>
      </c>
      <c r="E3224" s="54" t="s">
        <v>1166</v>
      </c>
      <c r="F3224" s="54" t="s">
        <v>6816</v>
      </c>
      <c r="G3224" s="54" t="s">
        <v>6817</v>
      </c>
      <c r="H3224" s="54" t="n">
        <v>1976</v>
      </c>
      <c r="I3224" s="54" t="s">
        <v>295</v>
      </c>
      <c r="J3224" s="54" t="s">
        <v>352</v>
      </c>
    </row>
    <row r="3225" customFormat="false" ht="15" hidden="false" customHeight="true" outlineLevel="0" collapsed="false">
      <c r="A3225" s="54" t="n">
        <v>20260712</v>
      </c>
      <c r="B3225" s="54" t="s">
        <v>306</v>
      </c>
      <c r="C3225" s="54" t="s">
        <v>290</v>
      </c>
      <c r="D3225" s="54" t="s">
        <v>1165</v>
      </c>
      <c r="E3225" s="54" t="s">
        <v>1166</v>
      </c>
      <c r="F3225" s="54" t="s">
        <v>6818</v>
      </c>
      <c r="G3225" s="54" t="s">
        <v>6817</v>
      </c>
      <c r="H3225" s="54" t="n">
        <v>1975</v>
      </c>
      <c r="I3225" s="54" t="s">
        <v>315</v>
      </c>
      <c r="J3225" s="54" t="s">
        <v>352</v>
      </c>
    </row>
    <row r="3226" customFormat="false" ht="15" hidden="false" customHeight="true" outlineLevel="0" collapsed="false">
      <c r="A3226" s="54" t="n">
        <v>20260712</v>
      </c>
      <c r="B3226" s="54" t="s">
        <v>306</v>
      </c>
      <c r="C3226" s="54" t="s">
        <v>290</v>
      </c>
      <c r="D3226" s="54" t="s">
        <v>1165</v>
      </c>
      <c r="E3226" s="54" t="s">
        <v>1166</v>
      </c>
      <c r="F3226" s="54" t="s">
        <v>6819</v>
      </c>
      <c r="G3226" s="54" t="s">
        <v>6820</v>
      </c>
      <c r="H3226" s="54" t="n">
        <v>8346</v>
      </c>
      <c r="I3226" s="54" t="s">
        <v>315</v>
      </c>
      <c r="J3226" s="54" t="s">
        <v>352</v>
      </c>
    </row>
    <row r="3227" customFormat="false" ht="15" hidden="false" customHeight="true" outlineLevel="0" collapsed="false">
      <c r="A3227" s="54" t="n">
        <v>20260712</v>
      </c>
      <c r="B3227" s="54" t="s">
        <v>306</v>
      </c>
      <c r="C3227" s="54" t="s">
        <v>290</v>
      </c>
      <c r="D3227" s="54" t="s">
        <v>1165</v>
      </c>
      <c r="E3227" s="54" t="s">
        <v>1166</v>
      </c>
      <c r="F3227" s="54" t="s">
        <v>6819</v>
      </c>
      <c r="G3227" s="54" t="s">
        <v>6820</v>
      </c>
      <c r="H3227" s="54" t="n">
        <v>8346</v>
      </c>
      <c r="I3227" s="54" t="s">
        <v>295</v>
      </c>
      <c r="J3227" s="54" t="s">
        <v>352</v>
      </c>
    </row>
    <row r="3228" customFormat="false" ht="15" hidden="false" customHeight="true" outlineLevel="0" collapsed="false">
      <c r="A3228" s="54" t="n">
        <v>20260712</v>
      </c>
      <c r="B3228" s="54" t="s">
        <v>306</v>
      </c>
      <c r="C3228" s="54" t="s">
        <v>290</v>
      </c>
      <c r="D3228" s="54" t="s">
        <v>1165</v>
      </c>
      <c r="E3228" s="54" t="s">
        <v>1166</v>
      </c>
      <c r="F3228" s="54" t="s">
        <v>6821</v>
      </c>
      <c r="G3228" s="54" t="s">
        <v>6822</v>
      </c>
      <c r="H3228" s="54" t="n">
        <v>15912</v>
      </c>
      <c r="I3228" s="54" t="s">
        <v>315</v>
      </c>
      <c r="J3228" s="54" t="s">
        <v>352</v>
      </c>
    </row>
    <row r="3229" customFormat="false" ht="15" hidden="false" customHeight="true" outlineLevel="0" collapsed="false">
      <c r="A3229" s="54" t="n">
        <v>20260712</v>
      </c>
      <c r="B3229" s="54" t="s">
        <v>306</v>
      </c>
      <c r="C3229" s="54" t="s">
        <v>290</v>
      </c>
      <c r="D3229" s="54" t="s">
        <v>1165</v>
      </c>
      <c r="E3229" s="54" t="s">
        <v>1166</v>
      </c>
      <c r="F3229" s="54" t="s">
        <v>6821</v>
      </c>
      <c r="G3229" s="54" t="s">
        <v>6822</v>
      </c>
      <c r="H3229" s="54" t="n">
        <v>15912</v>
      </c>
      <c r="I3229" s="54" t="s">
        <v>295</v>
      </c>
      <c r="J3229" s="54" t="s">
        <v>352</v>
      </c>
    </row>
    <row r="3230" customFormat="false" ht="15" hidden="false" customHeight="true" outlineLevel="0" collapsed="false">
      <c r="A3230" s="54" t="n">
        <v>20260712</v>
      </c>
      <c r="B3230" s="54" t="s">
        <v>306</v>
      </c>
      <c r="C3230" s="54" t="s">
        <v>290</v>
      </c>
      <c r="D3230" s="54" t="s">
        <v>1165</v>
      </c>
      <c r="E3230" s="54" t="s">
        <v>1166</v>
      </c>
      <c r="F3230" s="54" t="s">
        <v>6823</v>
      </c>
      <c r="G3230" s="54" t="s">
        <v>6824</v>
      </c>
      <c r="H3230" s="54" t="n">
        <v>2292</v>
      </c>
      <c r="I3230" s="54" t="s">
        <v>315</v>
      </c>
      <c r="J3230" s="54" t="s">
        <v>352</v>
      </c>
    </row>
    <row r="3231" customFormat="false" ht="15" hidden="false" customHeight="true" outlineLevel="0" collapsed="false">
      <c r="A3231" s="54" t="n">
        <v>20260712</v>
      </c>
      <c r="B3231" s="54" t="s">
        <v>306</v>
      </c>
      <c r="C3231" s="54" t="s">
        <v>290</v>
      </c>
      <c r="D3231" s="54" t="s">
        <v>1165</v>
      </c>
      <c r="E3231" s="54" t="s">
        <v>1166</v>
      </c>
      <c r="F3231" s="54" t="s">
        <v>6823</v>
      </c>
      <c r="G3231" s="54" t="s">
        <v>6824</v>
      </c>
      <c r="H3231" s="54" t="n">
        <v>2292</v>
      </c>
      <c r="I3231" s="54" t="s">
        <v>295</v>
      </c>
      <c r="J3231" s="54" t="s">
        <v>352</v>
      </c>
    </row>
    <row r="3232" customFormat="false" ht="15" hidden="false" customHeight="true" outlineLevel="0" collapsed="false">
      <c r="A3232" s="54" t="n">
        <v>20260712</v>
      </c>
      <c r="B3232" s="54" t="s">
        <v>289</v>
      </c>
      <c r="C3232" s="54" t="s">
        <v>290</v>
      </c>
      <c r="D3232" s="54" t="s">
        <v>5531</v>
      </c>
      <c r="E3232" s="54" t="s">
        <v>5532</v>
      </c>
      <c r="F3232" s="54" t="s">
        <v>6825</v>
      </c>
      <c r="G3232" s="54" t="s">
        <v>6826</v>
      </c>
      <c r="H3232" s="54" t="n">
        <v>3771</v>
      </c>
      <c r="I3232" s="54" t="s">
        <v>295</v>
      </c>
      <c r="J3232" s="54" t="s">
        <v>303</v>
      </c>
    </row>
    <row r="3233" customFormat="false" ht="15" hidden="false" customHeight="true" outlineLevel="0" collapsed="false">
      <c r="A3233" s="54" t="n">
        <v>20260712</v>
      </c>
      <c r="B3233" s="54" t="s">
        <v>289</v>
      </c>
      <c r="C3233" s="54" t="s">
        <v>290</v>
      </c>
      <c r="D3233" s="54" t="s">
        <v>5531</v>
      </c>
      <c r="E3233" s="54" t="s">
        <v>5532</v>
      </c>
      <c r="F3233" s="54" t="s">
        <v>6827</v>
      </c>
      <c r="G3233" s="54" t="s">
        <v>6828</v>
      </c>
      <c r="H3233" s="54" t="n">
        <v>68</v>
      </c>
      <c r="I3233" s="54" t="s">
        <v>295</v>
      </c>
      <c r="J3233" s="54" t="s">
        <v>303</v>
      </c>
    </row>
    <row r="3234" customFormat="false" ht="15" hidden="false" customHeight="true" outlineLevel="0" collapsed="false">
      <c r="A3234" s="54" t="n">
        <v>20260712</v>
      </c>
      <c r="B3234" s="54" t="s">
        <v>688</v>
      </c>
      <c r="C3234" s="54" t="s">
        <v>290</v>
      </c>
      <c r="D3234" s="54" t="s">
        <v>1731</v>
      </c>
      <c r="E3234" s="54" t="s">
        <v>1732</v>
      </c>
      <c r="F3234" s="54" t="s">
        <v>6829</v>
      </c>
      <c r="G3234" s="54" t="s">
        <v>6830</v>
      </c>
      <c r="H3234" s="54" t="n">
        <v>9</v>
      </c>
      <c r="I3234" s="54" t="s">
        <v>295</v>
      </c>
      <c r="J3234" s="54" t="s">
        <v>997</v>
      </c>
    </row>
    <row r="3235" customFormat="false" ht="15" hidden="false" customHeight="true" outlineLevel="0" collapsed="false">
      <c r="A3235" s="54" t="n">
        <v>20260712</v>
      </c>
      <c r="B3235" s="54" t="s">
        <v>688</v>
      </c>
      <c r="C3235" s="54" t="s">
        <v>290</v>
      </c>
      <c r="D3235" s="54" t="s">
        <v>1731</v>
      </c>
      <c r="E3235" s="54" t="s">
        <v>1732</v>
      </c>
      <c r="F3235" s="54" t="s">
        <v>6831</v>
      </c>
      <c r="G3235" s="54" t="s">
        <v>6832</v>
      </c>
      <c r="H3235" s="54" t="n">
        <v>3791</v>
      </c>
      <c r="I3235" s="54" t="s">
        <v>295</v>
      </c>
      <c r="J3235" s="54" t="s">
        <v>997</v>
      </c>
    </row>
    <row r="3236" customFormat="false" ht="15" hidden="false" customHeight="true" outlineLevel="0" collapsed="false">
      <c r="A3236" s="54" t="n">
        <v>20260712</v>
      </c>
      <c r="B3236" s="54" t="s">
        <v>688</v>
      </c>
      <c r="C3236" s="54" t="s">
        <v>290</v>
      </c>
      <c r="D3236" s="54" t="s">
        <v>1731</v>
      </c>
      <c r="E3236" s="54" t="s">
        <v>1732</v>
      </c>
      <c r="F3236" s="54" t="s">
        <v>6833</v>
      </c>
      <c r="G3236" s="54" t="s">
        <v>6834</v>
      </c>
      <c r="H3236" s="54" t="n">
        <v>16</v>
      </c>
      <c r="I3236" s="54" t="s">
        <v>295</v>
      </c>
      <c r="J3236" s="54" t="s">
        <v>997</v>
      </c>
    </row>
    <row r="3237" customFormat="false" ht="15" hidden="false" customHeight="true" outlineLevel="0" collapsed="false">
      <c r="A3237" s="54" t="n">
        <v>20260712</v>
      </c>
      <c r="B3237" s="54" t="s">
        <v>688</v>
      </c>
      <c r="C3237" s="54" t="s">
        <v>290</v>
      </c>
      <c r="D3237" s="54" t="s">
        <v>1731</v>
      </c>
      <c r="E3237" s="54" t="s">
        <v>1732</v>
      </c>
      <c r="F3237" s="54" t="s">
        <v>6835</v>
      </c>
      <c r="G3237" s="54" t="s">
        <v>6836</v>
      </c>
      <c r="H3237" s="54" t="n">
        <v>10480</v>
      </c>
      <c r="I3237" s="54" t="s">
        <v>295</v>
      </c>
      <c r="J3237" s="54" t="s">
        <v>997</v>
      </c>
    </row>
    <row r="3238" customFormat="false" ht="15" hidden="false" customHeight="true" outlineLevel="0" collapsed="false">
      <c r="A3238" s="54" t="n">
        <v>20260712</v>
      </c>
      <c r="B3238" s="54" t="s">
        <v>688</v>
      </c>
      <c r="C3238" s="54" t="s">
        <v>290</v>
      </c>
      <c r="D3238" s="54" t="s">
        <v>1731</v>
      </c>
      <c r="E3238" s="54" t="s">
        <v>1732</v>
      </c>
      <c r="F3238" s="54" t="s">
        <v>6837</v>
      </c>
      <c r="G3238" s="54" t="s">
        <v>6838</v>
      </c>
      <c r="H3238" s="54" t="n">
        <v>4909</v>
      </c>
      <c r="I3238" s="54" t="s">
        <v>295</v>
      </c>
      <c r="J3238" s="54" t="s">
        <v>997</v>
      </c>
    </row>
    <row r="3239" customFormat="false" ht="15" hidden="false" customHeight="true" outlineLevel="0" collapsed="false">
      <c r="A3239" s="54" t="n">
        <v>20260712</v>
      </c>
      <c r="B3239" s="54" t="s">
        <v>688</v>
      </c>
      <c r="C3239" s="54" t="s">
        <v>290</v>
      </c>
      <c r="D3239" s="54" t="s">
        <v>1731</v>
      </c>
      <c r="E3239" s="54" t="s">
        <v>1732</v>
      </c>
      <c r="F3239" s="54" t="s">
        <v>6839</v>
      </c>
      <c r="G3239" s="54" t="s">
        <v>6840</v>
      </c>
      <c r="H3239" s="54" t="n">
        <v>6</v>
      </c>
      <c r="I3239" s="54" t="s">
        <v>295</v>
      </c>
      <c r="J3239" s="54" t="s">
        <v>997</v>
      </c>
    </row>
    <row r="3240" customFormat="false" ht="15" hidden="false" customHeight="true" outlineLevel="0" collapsed="false">
      <c r="A3240" s="54" t="n">
        <v>20260712</v>
      </c>
      <c r="B3240" s="54" t="s">
        <v>688</v>
      </c>
      <c r="C3240" s="54" t="s">
        <v>290</v>
      </c>
      <c r="D3240" s="54" t="s">
        <v>1731</v>
      </c>
      <c r="E3240" s="54" t="s">
        <v>1732</v>
      </c>
      <c r="F3240" s="54" t="s">
        <v>6841</v>
      </c>
      <c r="G3240" s="54" t="s">
        <v>6842</v>
      </c>
      <c r="H3240" s="54" t="n">
        <v>5335</v>
      </c>
      <c r="I3240" s="54" t="s">
        <v>295</v>
      </c>
      <c r="J3240" s="54" t="s">
        <v>997</v>
      </c>
    </row>
    <row r="3241" customFormat="false" ht="15" hidden="false" customHeight="true" outlineLevel="0" collapsed="false">
      <c r="A3241" s="54" t="n">
        <v>20260712</v>
      </c>
      <c r="B3241" s="54" t="s">
        <v>688</v>
      </c>
      <c r="C3241" s="54" t="s">
        <v>290</v>
      </c>
      <c r="D3241" s="54" t="s">
        <v>1731</v>
      </c>
      <c r="E3241" s="54" t="s">
        <v>1732</v>
      </c>
      <c r="F3241" s="54" t="s">
        <v>6843</v>
      </c>
      <c r="G3241" s="54" t="s">
        <v>6844</v>
      </c>
      <c r="H3241" s="54" t="n">
        <v>1581</v>
      </c>
      <c r="I3241" s="54" t="s">
        <v>295</v>
      </c>
      <c r="J3241" s="54" t="s">
        <v>997</v>
      </c>
    </row>
    <row r="3242" customFormat="false" ht="15" hidden="false" customHeight="true" outlineLevel="0" collapsed="false">
      <c r="A3242" s="54" t="n">
        <v>20260712</v>
      </c>
      <c r="B3242" s="54" t="s">
        <v>688</v>
      </c>
      <c r="C3242" s="54" t="s">
        <v>290</v>
      </c>
      <c r="D3242" s="54" t="s">
        <v>1731</v>
      </c>
      <c r="E3242" s="54" t="s">
        <v>1732</v>
      </c>
      <c r="F3242" s="54" t="s">
        <v>6845</v>
      </c>
      <c r="G3242" s="54" t="s">
        <v>6846</v>
      </c>
      <c r="H3242" s="54" t="n">
        <v>828</v>
      </c>
      <c r="I3242" s="54" t="s">
        <v>295</v>
      </c>
      <c r="J3242" s="54" t="s">
        <v>997</v>
      </c>
    </row>
    <row r="3243" customFormat="false" ht="15" hidden="false" customHeight="true" outlineLevel="0" collapsed="false">
      <c r="A3243" s="54" t="n">
        <v>20260712</v>
      </c>
      <c r="B3243" s="54" t="s">
        <v>688</v>
      </c>
      <c r="C3243" s="54" t="s">
        <v>290</v>
      </c>
      <c r="D3243" s="54" t="s">
        <v>1731</v>
      </c>
      <c r="E3243" s="54" t="s">
        <v>1732</v>
      </c>
      <c r="F3243" s="54" t="s">
        <v>6847</v>
      </c>
      <c r="G3243" s="54" t="s">
        <v>6848</v>
      </c>
      <c r="H3243" s="54" t="n">
        <v>116</v>
      </c>
      <c r="I3243" s="54" t="s">
        <v>295</v>
      </c>
      <c r="J3243" s="54" t="s">
        <v>997</v>
      </c>
    </row>
    <row r="3244" customFormat="false" ht="15" hidden="false" customHeight="true" outlineLevel="0" collapsed="false">
      <c r="A3244" s="54" t="n">
        <v>20260712</v>
      </c>
      <c r="B3244" s="54" t="s">
        <v>688</v>
      </c>
      <c r="C3244" s="54" t="s">
        <v>290</v>
      </c>
      <c r="D3244" s="54" t="s">
        <v>1731</v>
      </c>
      <c r="E3244" s="54" t="s">
        <v>1732</v>
      </c>
      <c r="F3244" s="54" t="s">
        <v>6849</v>
      </c>
      <c r="G3244" s="54" t="s">
        <v>6850</v>
      </c>
      <c r="H3244" s="54" t="n">
        <v>1544</v>
      </c>
      <c r="I3244" s="54" t="s">
        <v>295</v>
      </c>
      <c r="J3244" s="54" t="s">
        <v>997</v>
      </c>
    </row>
    <row r="3245" customFormat="false" ht="15" hidden="false" customHeight="true" outlineLevel="0" collapsed="false">
      <c r="A3245" s="54" t="n">
        <v>20260712</v>
      </c>
      <c r="B3245" s="54" t="s">
        <v>289</v>
      </c>
      <c r="C3245" s="54" t="s">
        <v>290</v>
      </c>
      <c r="D3245" s="54" t="s">
        <v>1767</v>
      </c>
      <c r="E3245" s="54" t="s">
        <v>1768</v>
      </c>
      <c r="F3245" s="54" t="s">
        <v>6851</v>
      </c>
      <c r="G3245" s="54" t="s">
        <v>6852</v>
      </c>
      <c r="H3245" s="54" t="n">
        <v>28800</v>
      </c>
      <c r="I3245" s="54" t="s">
        <v>360</v>
      </c>
      <c r="J3245" s="54" t="s">
        <v>459</v>
      </c>
    </row>
    <row r="3246" customFormat="false" ht="15" hidden="false" customHeight="true" outlineLevel="0" collapsed="false">
      <c r="A3246" s="54" t="n">
        <v>20260712</v>
      </c>
      <c r="B3246" s="54" t="s">
        <v>688</v>
      </c>
      <c r="C3246" s="54" t="s">
        <v>307</v>
      </c>
      <c r="D3246" s="54" t="s">
        <v>5623</v>
      </c>
      <c r="E3246" s="54" t="s">
        <v>223</v>
      </c>
      <c r="F3246" s="54" t="s">
        <v>6853</v>
      </c>
      <c r="G3246" s="54" t="s">
        <v>6854</v>
      </c>
      <c r="H3246" s="54" t="n">
        <v>18532</v>
      </c>
      <c r="I3246" s="54" t="s">
        <v>295</v>
      </c>
      <c r="J3246" s="54" t="s">
        <v>142</v>
      </c>
    </row>
    <row r="3247" customFormat="false" ht="15" hidden="false" customHeight="true" outlineLevel="0" collapsed="false">
      <c r="A3247" s="54" t="n">
        <v>20260712</v>
      </c>
      <c r="B3247" s="54" t="s">
        <v>688</v>
      </c>
      <c r="C3247" s="54" t="s">
        <v>307</v>
      </c>
      <c r="D3247" s="54" t="s">
        <v>5623</v>
      </c>
      <c r="E3247" s="54" t="s">
        <v>223</v>
      </c>
      <c r="F3247" s="54" t="s">
        <v>6855</v>
      </c>
      <c r="G3247" s="54" t="s">
        <v>6856</v>
      </c>
      <c r="H3247" s="54" t="n">
        <v>12919</v>
      </c>
      <c r="I3247" s="54" t="s">
        <v>295</v>
      </c>
      <c r="J3247" s="54" t="s">
        <v>142</v>
      </c>
    </row>
    <row r="3248" customFormat="false" ht="15" hidden="false" customHeight="true" outlineLevel="0" collapsed="false">
      <c r="A3248" s="54" t="n">
        <v>20260712</v>
      </c>
      <c r="B3248" s="54" t="s">
        <v>688</v>
      </c>
      <c r="C3248" s="54" t="s">
        <v>307</v>
      </c>
      <c r="D3248" s="54" t="s">
        <v>5623</v>
      </c>
      <c r="E3248" s="54" t="s">
        <v>223</v>
      </c>
      <c r="F3248" s="54" t="s">
        <v>6857</v>
      </c>
      <c r="G3248" s="54" t="s">
        <v>6858</v>
      </c>
      <c r="H3248" s="54" t="n">
        <v>1389</v>
      </c>
      <c r="I3248" s="54" t="s">
        <v>295</v>
      </c>
      <c r="J3248" s="54" t="s">
        <v>142</v>
      </c>
    </row>
    <row r="3249" customFormat="false" ht="15" hidden="false" customHeight="true" outlineLevel="0" collapsed="false">
      <c r="A3249" s="54" t="n">
        <v>20260712</v>
      </c>
      <c r="B3249" s="54" t="s">
        <v>688</v>
      </c>
      <c r="C3249" s="54" t="s">
        <v>307</v>
      </c>
      <c r="D3249" s="54" t="s">
        <v>5786</v>
      </c>
      <c r="E3249" s="54" t="s">
        <v>157</v>
      </c>
      <c r="F3249" s="54" t="s">
        <v>6859</v>
      </c>
      <c r="G3249" s="54" t="s">
        <v>6860</v>
      </c>
      <c r="H3249" s="54" t="n">
        <v>619</v>
      </c>
      <c r="I3249" s="54" t="s">
        <v>295</v>
      </c>
      <c r="J3249" s="54" t="s">
        <v>142</v>
      </c>
    </row>
    <row r="3250" customFormat="false" ht="15" hidden="false" customHeight="true" outlineLevel="0" collapsed="false">
      <c r="A3250" s="54" t="n">
        <v>20260712</v>
      </c>
      <c r="B3250" s="54" t="s">
        <v>688</v>
      </c>
      <c r="C3250" s="54" t="s">
        <v>307</v>
      </c>
      <c r="D3250" s="54" t="s">
        <v>5786</v>
      </c>
      <c r="E3250" s="54" t="s">
        <v>157</v>
      </c>
      <c r="F3250" s="54" t="s">
        <v>6861</v>
      </c>
      <c r="G3250" s="54" t="s">
        <v>6862</v>
      </c>
      <c r="H3250" s="54" t="n">
        <v>7009</v>
      </c>
      <c r="I3250" s="54" t="s">
        <v>295</v>
      </c>
      <c r="J3250" s="54" t="s">
        <v>142</v>
      </c>
    </row>
    <row r="3251" customFormat="false" ht="15" hidden="false" customHeight="true" outlineLevel="0" collapsed="false">
      <c r="A3251" s="54" t="n">
        <v>20260712</v>
      </c>
      <c r="B3251" s="54" t="s">
        <v>688</v>
      </c>
      <c r="C3251" s="54" t="s">
        <v>307</v>
      </c>
      <c r="D3251" s="54" t="s">
        <v>5786</v>
      </c>
      <c r="E3251" s="54" t="s">
        <v>157</v>
      </c>
      <c r="F3251" s="54" t="s">
        <v>6863</v>
      </c>
      <c r="G3251" s="54" t="s">
        <v>6864</v>
      </c>
      <c r="H3251" s="54" t="n">
        <v>6348</v>
      </c>
      <c r="I3251" s="54" t="s">
        <v>295</v>
      </c>
      <c r="J3251" s="54" t="s">
        <v>142</v>
      </c>
    </row>
    <row r="3252" customFormat="false" ht="15" hidden="false" customHeight="true" outlineLevel="0" collapsed="false">
      <c r="A3252" s="54" t="n">
        <v>20260712</v>
      </c>
      <c r="B3252" s="54" t="s">
        <v>688</v>
      </c>
      <c r="C3252" s="54" t="s">
        <v>307</v>
      </c>
      <c r="D3252" s="54" t="s">
        <v>5786</v>
      </c>
      <c r="E3252" s="54" t="s">
        <v>157</v>
      </c>
      <c r="F3252" s="54" t="s">
        <v>6865</v>
      </c>
      <c r="G3252" s="54" t="s">
        <v>6866</v>
      </c>
      <c r="H3252" s="54" t="n">
        <v>948</v>
      </c>
      <c r="I3252" s="54" t="s">
        <v>295</v>
      </c>
      <c r="J3252" s="54" t="s">
        <v>142</v>
      </c>
    </row>
    <row r="3253" customFormat="false" ht="15" hidden="false" customHeight="true" outlineLevel="0" collapsed="false">
      <c r="A3253" s="54" t="n">
        <v>20260712</v>
      </c>
      <c r="B3253" s="54" t="s">
        <v>688</v>
      </c>
      <c r="C3253" s="54" t="s">
        <v>307</v>
      </c>
      <c r="D3253" s="54" t="s">
        <v>5786</v>
      </c>
      <c r="E3253" s="54" t="s">
        <v>157</v>
      </c>
      <c r="F3253" s="54" t="s">
        <v>6867</v>
      </c>
      <c r="G3253" s="54" t="s">
        <v>6868</v>
      </c>
      <c r="H3253" s="54" t="n">
        <v>18024</v>
      </c>
      <c r="I3253" s="54" t="s">
        <v>295</v>
      </c>
      <c r="J3253" s="54" t="s">
        <v>142</v>
      </c>
    </row>
    <row r="3254" customFormat="false" ht="15" hidden="false" customHeight="true" outlineLevel="0" collapsed="false">
      <c r="A3254" s="54" t="n">
        <v>20260712</v>
      </c>
      <c r="B3254" s="54" t="s">
        <v>306</v>
      </c>
      <c r="C3254" s="54" t="s">
        <v>307</v>
      </c>
      <c r="D3254" s="54" t="s">
        <v>2412</v>
      </c>
      <c r="E3254" s="54" t="s">
        <v>2413</v>
      </c>
      <c r="F3254" s="54" t="s">
        <v>6869</v>
      </c>
      <c r="G3254" s="54" t="s">
        <v>6870</v>
      </c>
      <c r="H3254" s="54" t="n">
        <v>21634</v>
      </c>
      <c r="I3254" s="54" t="s">
        <v>295</v>
      </c>
      <c r="J3254" s="54" t="s">
        <v>312</v>
      </c>
    </row>
    <row r="3255" customFormat="false" ht="15" hidden="false" customHeight="true" outlineLevel="0" collapsed="false">
      <c r="A3255" s="54" t="n">
        <v>20260712</v>
      </c>
      <c r="B3255" s="54" t="s">
        <v>306</v>
      </c>
      <c r="C3255" s="54" t="s">
        <v>307</v>
      </c>
      <c r="D3255" s="54" t="s">
        <v>2412</v>
      </c>
      <c r="E3255" s="54" t="s">
        <v>2413</v>
      </c>
      <c r="F3255" s="54" t="s">
        <v>6871</v>
      </c>
      <c r="G3255" s="54" t="s">
        <v>6870</v>
      </c>
      <c r="H3255" s="54" t="n">
        <v>21633</v>
      </c>
      <c r="I3255" s="54" t="s">
        <v>315</v>
      </c>
      <c r="J3255" s="54" t="s">
        <v>312</v>
      </c>
    </row>
    <row r="3256" customFormat="false" ht="15" hidden="false" customHeight="true" outlineLevel="0" collapsed="false">
      <c r="A3256" s="54" t="n">
        <v>20260712</v>
      </c>
      <c r="B3256" s="54" t="s">
        <v>306</v>
      </c>
      <c r="C3256" s="54" t="s">
        <v>307</v>
      </c>
      <c r="D3256" s="54" t="s">
        <v>2412</v>
      </c>
      <c r="E3256" s="54" t="s">
        <v>2413</v>
      </c>
      <c r="F3256" s="54" t="s">
        <v>6872</v>
      </c>
      <c r="G3256" s="54" t="s">
        <v>6873</v>
      </c>
      <c r="H3256" s="54" t="n">
        <v>2537</v>
      </c>
      <c r="I3256" s="54" t="s">
        <v>295</v>
      </c>
      <c r="J3256" s="54" t="s">
        <v>312</v>
      </c>
    </row>
    <row r="3257" customFormat="false" ht="15" hidden="false" customHeight="true" outlineLevel="0" collapsed="false">
      <c r="A3257" s="54" t="n">
        <v>20260712</v>
      </c>
      <c r="B3257" s="54" t="s">
        <v>306</v>
      </c>
      <c r="C3257" s="54" t="s">
        <v>307</v>
      </c>
      <c r="D3257" s="54" t="s">
        <v>2412</v>
      </c>
      <c r="E3257" s="54" t="s">
        <v>2413</v>
      </c>
      <c r="F3257" s="54" t="s">
        <v>6874</v>
      </c>
      <c r="G3257" s="54" t="s">
        <v>6873</v>
      </c>
      <c r="H3257" s="54" t="n">
        <v>2536</v>
      </c>
      <c r="I3257" s="54" t="s">
        <v>315</v>
      </c>
      <c r="J3257" s="54" t="s">
        <v>312</v>
      </c>
    </row>
    <row r="3258" customFormat="false" ht="15" hidden="false" customHeight="true" outlineLevel="0" collapsed="false">
      <c r="A3258" s="54" t="n">
        <v>20260712</v>
      </c>
      <c r="B3258" s="54" t="s">
        <v>306</v>
      </c>
      <c r="C3258" s="54" t="s">
        <v>307</v>
      </c>
      <c r="D3258" s="54" t="s">
        <v>2412</v>
      </c>
      <c r="E3258" s="54" t="s">
        <v>2413</v>
      </c>
      <c r="F3258" s="54" t="s">
        <v>6875</v>
      </c>
      <c r="G3258" s="54" t="s">
        <v>6876</v>
      </c>
      <c r="H3258" s="54" t="n">
        <v>4376</v>
      </c>
      <c r="I3258" s="54" t="s">
        <v>315</v>
      </c>
      <c r="J3258" s="54" t="s">
        <v>312</v>
      </c>
    </row>
    <row r="3259" customFormat="false" ht="15" hidden="false" customHeight="true" outlineLevel="0" collapsed="false">
      <c r="A3259" s="54" t="n">
        <v>20260712</v>
      </c>
      <c r="B3259" s="54" t="s">
        <v>306</v>
      </c>
      <c r="C3259" s="54" t="s">
        <v>307</v>
      </c>
      <c r="D3259" s="54" t="s">
        <v>2412</v>
      </c>
      <c r="E3259" s="54" t="s">
        <v>2413</v>
      </c>
      <c r="F3259" s="54" t="s">
        <v>6875</v>
      </c>
      <c r="G3259" s="54" t="s">
        <v>6876</v>
      </c>
      <c r="H3259" s="54" t="n">
        <v>4376</v>
      </c>
      <c r="I3259" s="54" t="s">
        <v>295</v>
      </c>
      <c r="J3259" s="54" t="s">
        <v>312</v>
      </c>
    </row>
    <row r="3260" customFormat="false" ht="15" hidden="false" customHeight="true" outlineLevel="0" collapsed="false">
      <c r="A3260" s="54" t="n">
        <v>20260712</v>
      </c>
      <c r="B3260" s="54" t="s">
        <v>306</v>
      </c>
      <c r="C3260" s="54" t="s">
        <v>307</v>
      </c>
      <c r="D3260" s="54" t="s">
        <v>2412</v>
      </c>
      <c r="E3260" s="54" t="s">
        <v>2413</v>
      </c>
      <c r="F3260" s="54" t="s">
        <v>6877</v>
      </c>
      <c r="G3260" s="54" t="s">
        <v>6878</v>
      </c>
      <c r="H3260" s="54" t="n">
        <v>1110</v>
      </c>
      <c r="I3260" s="54" t="s">
        <v>295</v>
      </c>
      <c r="J3260" s="54" t="s">
        <v>312</v>
      </c>
    </row>
    <row r="3261" customFormat="false" ht="15" hidden="false" customHeight="true" outlineLevel="0" collapsed="false">
      <c r="A3261" s="54" t="n">
        <v>20260712</v>
      </c>
      <c r="B3261" s="54" t="s">
        <v>306</v>
      </c>
      <c r="C3261" s="54" t="s">
        <v>307</v>
      </c>
      <c r="D3261" s="54" t="s">
        <v>2412</v>
      </c>
      <c r="E3261" s="54" t="s">
        <v>2413</v>
      </c>
      <c r="F3261" s="54" t="s">
        <v>6879</v>
      </c>
      <c r="G3261" s="54" t="s">
        <v>6880</v>
      </c>
      <c r="H3261" s="54" t="n">
        <v>2967</v>
      </c>
      <c r="I3261" s="54" t="s">
        <v>315</v>
      </c>
      <c r="J3261" s="54" t="s">
        <v>312</v>
      </c>
    </row>
    <row r="3262" customFormat="false" ht="15" hidden="false" customHeight="true" outlineLevel="0" collapsed="false">
      <c r="A3262" s="54" t="n">
        <v>20260712</v>
      </c>
      <c r="B3262" s="54" t="s">
        <v>306</v>
      </c>
      <c r="C3262" s="54" t="s">
        <v>307</v>
      </c>
      <c r="D3262" s="54" t="s">
        <v>2412</v>
      </c>
      <c r="E3262" s="54" t="s">
        <v>2413</v>
      </c>
      <c r="F3262" s="54" t="s">
        <v>6879</v>
      </c>
      <c r="G3262" s="54" t="s">
        <v>6880</v>
      </c>
      <c r="H3262" s="54" t="n">
        <v>2967</v>
      </c>
      <c r="I3262" s="54" t="s">
        <v>295</v>
      </c>
      <c r="J3262" s="54" t="s">
        <v>312</v>
      </c>
    </row>
    <row r="3263" customFormat="false" ht="15" hidden="false" customHeight="true" outlineLevel="0" collapsed="false">
      <c r="A3263" s="54" t="n">
        <v>20260712</v>
      </c>
      <c r="B3263" s="54" t="s">
        <v>688</v>
      </c>
      <c r="C3263" s="54" t="s">
        <v>307</v>
      </c>
      <c r="D3263" s="54" t="s">
        <v>2544</v>
      </c>
      <c r="E3263" s="54" t="s">
        <v>2545</v>
      </c>
      <c r="F3263" s="54" t="s">
        <v>6881</v>
      </c>
      <c r="G3263" s="54" t="s">
        <v>6882</v>
      </c>
      <c r="H3263" s="54" t="n">
        <v>1507</v>
      </c>
      <c r="I3263" s="54" t="s">
        <v>295</v>
      </c>
      <c r="J3263" s="54" t="s">
        <v>142</v>
      </c>
    </row>
    <row r="3264" customFormat="false" ht="15" hidden="false" customHeight="true" outlineLevel="0" collapsed="false">
      <c r="A3264" s="54" t="n">
        <v>20260712</v>
      </c>
      <c r="B3264" s="54" t="s">
        <v>688</v>
      </c>
      <c r="C3264" s="54" t="s">
        <v>307</v>
      </c>
      <c r="D3264" s="54" t="s">
        <v>2544</v>
      </c>
      <c r="E3264" s="54" t="s">
        <v>2545</v>
      </c>
      <c r="F3264" s="54" t="s">
        <v>6883</v>
      </c>
      <c r="G3264" s="54" t="s">
        <v>6884</v>
      </c>
      <c r="H3264" s="54" t="n">
        <v>12902</v>
      </c>
      <c r="I3264" s="54" t="s">
        <v>295</v>
      </c>
      <c r="J3264" s="54" t="s">
        <v>142</v>
      </c>
    </row>
    <row r="3265" customFormat="false" ht="15" hidden="false" customHeight="true" outlineLevel="0" collapsed="false">
      <c r="A3265" s="54" t="n">
        <v>20260712</v>
      </c>
      <c r="B3265" s="54" t="s">
        <v>688</v>
      </c>
      <c r="C3265" s="54" t="s">
        <v>307</v>
      </c>
      <c r="D3265" s="54" t="s">
        <v>2544</v>
      </c>
      <c r="E3265" s="54" t="s">
        <v>2545</v>
      </c>
      <c r="F3265" s="54" t="s">
        <v>6885</v>
      </c>
      <c r="G3265" s="54" t="s">
        <v>6815</v>
      </c>
      <c r="H3265" s="54" t="n">
        <v>18060</v>
      </c>
      <c r="I3265" s="54" t="s">
        <v>295</v>
      </c>
      <c r="J3265" s="54" t="s">
        <v>142</v>
      </c>
    </row>
    <row r="3266" customFormat="false" ht="15" hidden="false" customHeight="true" outlineLevel="0" collapsed="false">
      <c r="A3266" s="54" t="n">
        <v>20260712</v>
      </c>
      <c r="B3266" s="54" t="s">
        <v>688</v>
      </c>
      <c r="C3266" s="54" t="s">
        <v>290</v>
      </c>
      <c r="D3266" s="54" t="s">
        <v>2987</v>
      </c>
      <c r="E3266" s="54" t="s">
        <v>2988</v>
      </c>
      <c r="F3266" s="54" t="s">
        <v>6886</v>
      </c>
      <c r="G3266" s="54" t="s">
        <v>6887</v>
      </c>
      <c r="H3266" s="54" t="n">
        <v>11193</v>
      </c>
      <c r="I3266" s="54" t="s">
        <v>295</v>
      </c>
      <c r="J3266" s="54" t="s">
        <v>997</v>
      </c>
    </row>
    <row r="3267" customFormat="false" ht="15" hidden="false" customHeight="true" outlineLevel="0" collapsed="false">
      <c r="A3267" s="54" t="n">
        <v>20260712</v>
      </c>
      <c r="B3267" s="54" t="s">
        <v>688</v>
      </c>
      <c r="C3267" s="54" t="s">
        <v>290</v>
      </c>
      <c r="D3267" s="54" t="s">
        <v>2987</v>
      </c>
      <c r="E3267" s="54" t="s">
        <v>2988</v>
      </c>
      <c r="F3267" s="54" t="s">
        <v>6888</v>
      </c>
      <c r="G3267" s="54" t="s">
        <v>6889</v>
      </c>
      <c r="H3267" s="54" t="n">
        <v>3179</v>
      </c>
      <c r="I3267" s="54" t="s">
        <v>295</v>
      </c>
      <c r="J3267" s="54" t="s">
        <v>997</v>
      </c>
    </row>
    <row r="3268" customFormat="false" ht="15" hidden="false" customHeight="true" outlineLevel="0" collapsed="false">
      <c r="A3268" s="54" t="n">
        <v>20260712</v>
      </c>
      <c r="B3268" s="54" t="s">
        <v>688</v>
      </c>
      <c r="C3268" s="54" t="s">
        <v>290</v>
      </c>
      <c r="D3268" s="54" t="s">
        <v>2987</v>
      </c>
      <c r="E3268" s="54" t="s">
        <v>2988</v>
      </c>
      <c r="F3268" s="54" t="s">
        <v>6890</v>
      </c>
      <c r="G3268" s="54" t="s">
        <v>6891</v>
      </c>
      <c r="H3268" s="54" t="n">
        <v>14441</v>
      </c>
      <c r="I3268" s="54" t="s">
        <v>295</v>
      </c>
      <c r="J3268" s="54" t="s">
        <v>997</v>
      </c>
    </row>
    <row r="3269" customFormat="false" ht="15" hidden="false" customHeight="true" outlineLevel="0" collapsed="false">
      <c r="A3269" s="54" t="n">
        <v>20260712</v>
      </c>
      <c r="B3269" s="54" t="s">
        <v>306</v>
      </c>
      <c r="C3269" s="54" t="s">
        <v>307</v>
      </c>
      <c r="D3269" s="54" t="s">
        <v>6007</v>
      </c>
      <c r="E3269" s="54" t="s">
        <v>6008</v>
      </c>
      <c r="F3269" s="54" t="s">
        <v>6892</v>
      </c>
      <c r="G3269" s="54" t="s">
        <v>6893</v>
      </c>
      <c r="H3269" s="54" t="n">
        <v>28800</v>
      </c>
      <c r="I3269" s="54" t="s">
        <v>315</v>
      </c>
      <c r="J3269" s="54" t="s">
        <v>2347</v>
      </c>
    </row>
    <row r="3270" customFormat="false" ht="15" hidden="false" customHeight="true" outlineLevel="0" collapsed="false">
      <c r="A3270" s="54" t="n">
        <v>20260712</v>
      </c>
      <c r="B3270" s="54" t="s">
        <v>688</v>
      </c>
      <c r="C3270" s="54" t="s">
        <v>307</v>
      </c>
      <c r="D3270" s="54" t="s">
        <v>6033</v>
      </c>
      <c r="E3270" s="54" t="s">
        <v>142</v>
      </c>
      <c r="F3270" s="54" t="s">
        <v>6894</v>
      </c>
      <c r="G3270" s="54" t="s">
        <v>6895</v>
      </c>
      <c r="H3270" s="54" t="n">
        <v>28800</v>
      </c>
      <c r="I3270" s="54" t="s">
        <v>295</v>
      </c>
      <c r="J3270" s="54" t="s">
        <v>693</v>
      </c>
    </row>
    <row r="3271" customFormat="false" ht="15" hidden="false" customHeight="true" outlineLevel="0" collapsed="false">
      <c r="A3271" s="54" t="n">
        <v>20260712</v>
      </c>
      <c r="B3271" s="54" t="s">
        <v>688</v>
      </c>
      <c r="C3271" s="54" t="s">
        <v>307</v>
      </c>
      <c r="D3271" s="54" t="s">
        <v>6033</v>
      </c>
      <c r="E3271" s="54" t="s">
        <v>142</v>
      </c>
      <c r="F3271" s="54" t="s">
        <v>6896</v>
      </c>
      <c r="G3271" s="54" t="s">
        <v>6897</v>
      </c>
      <c r="H3271" s="54" t="n">
        <v>619</v>
      </c>
      <c r="I3271" s="54" t="s">
        <v>295</v>
      </c>
      <c r="J3271" s="54" t="s">
        <v>693</v>
      </c>
    </row>
    <row r="3272" customFormat="false" ht="15" hidden="false" customHeight="true" outlineLevel="0" collapsed="false">
      <c r="A3272" s="54" t="n">
        <v>20260712</v>
      </c>
      <c r="B3272" s="54" t="s">
        <v>688</v>
      </c>
      <c r="C3272" s="54" t="s">
        <v>307</v>
      </c>
      <c r="D3272" s="54" t="s">
        <v>6033</v>
      </c>
      <c r="E3272" s="54" t="s">
        <v>142</v>
      </c>
      <c r="F3272" s="54" t="s">
        <v>6898</v>
      </c>
      <c r="G3272" s="54" t="s">
        <v>6899</v>
      </c>
      <c r="H3272" s="54" t="n">
        <v>619</v>
      </c>
      <c r="I3272" s="54" t="s">
        <v>295</v>
      </c>
      <c r="J3272" s="54" t="s">
        <v>693</v>
      </c>
    </row>
    <row r="3273" customFormat="false" ht="15" hidden="false" customHeight="true" outlineLevel="0" collapsed="false">
      <c r="A3273" s="54" t="n">
        <v>20260712</v>
      </c>
      <c r="B3273" s="54" t="s">
        <v>688</v>
      </c>
      <c r="C3273" s="54" t="s">
        <v>307</v>
      </c>
      <c r="D3273" s="54" t="s">
        <v>6033</v>
      </c>
      <c r="E3273" s="54" t="s">
        <v>142</v>
      </c>
      <c r="F3273" s="54" t="s">
        <v>6900</v>
      </c>
      <c r="G3273" s="54" t="s">
        <v>6901</v>
      </c>
      <c r="H3273" s="54" t="n">
        <v>10219</v>
      </c>
      <c r="I3273" s="54" t="s">
        <v>295</v>
      </c>
      <c r="J3273" s="54" t="s">
        <v>693</v>
      </c>
    </row>
    <row r="3274" customFormat="false" ht="15" hidden="false" customHeight="true" outlineLevel="0" collapsed="false">
      <c r="A3274" s="54" t="n">
        <v>20260712</v>
      </c>
      <c r="B3274" s="54" t="s">
        <v>306</v>
      </c>
      <c r="C3274" s="54" t="s">
        <v>290</v>
      </c>
      <c r="D3274" s="54" t="s">
        <v>379</v>
      </c>
      <c r="E3274" s="54" t="s">
        <v>380</v>
      </c>
      <c r="F3274" s="54" t="s">
        <v>6902</v>
      </c>
      <c r="G3274" s="54" t="s">
        <v>6903</v>
      </c>
      <c r="H3274" s="54" t="n">
        <v>15127</v>
      </c>
      <c r="I3274" s="54" t="s">
        <v>315</v>
      </c>
      <c r="J3274" s="54" t="s">
        <v>352</v>
      </c>
    </row>
    <row r="3275" customFormat="false" ht="15" hidden="false" customHeight="true" outlineLevel="0" collapsed="false">
      <c r="A3275" s="54" t="n">
        <v>20260712</v>
      </c>
      <c r="B3275" s="54" t="s">
        <v>306</v>
      </c>
      <c r="C3275" s="54" t="s">
        <v>290</v>
      </c>
      <c r="D3275" s="54" t="s">
        <v>379</v>
      </c>
      <c r="E3275" s="54" t="s">
        <v>380</v>
      </c>
      <c r="F3275" s="54" t="s">
        <v>6902</v>
      </c>
      <c r="G3275" s="54" t="s">
        <v>6903</v>
      </c>
      <c r="H3275" s="54" t="n">
        <v>15127</v>
      </c>
      <c r="I3275" s="54" t="s">
        <v>295</v>
      </c>
      <c r="J3275" s="54" t="s">
        <v>352</v>
      </c>
    </row>
    <row r="3276" customFormat="false" ht="15" hidden="false" customHeight="true" outlineLevel="0" collapsed="false">
      <c r="A3276" s="54" t="n">
        <v>20260712</v>
      </c>
      <c r="B3276" s="54" t="s">
        <v>688</v>
      </c>
      <c r="C3276" s="54" t="s">
        <v>290</v>
      </c>
      <c r="D3276" s="54" t="s">
        <v>3205</v>
      </c>
      <c r="E3276" s="54" t="s">
        <v>3206</v>
      </c>
      <c r="F3276" s="54" t="s">
        <v>6904</v>
      </c>
      <c r="G3276" s="54" t="s">
        <v>6905</v>
      </c>
      <c r="H3276" s="54" t="n">
        <v>18302</v>
      </c>
      <c r="I3276" s="54" t="s">
        <v>295</v>
      </c>
      <c r="J3276" s="54" t="s">
        <v>779</v>
      </c>
    </row>
    <row r="3277" customFormat="false" ht="15" hidden="false" customHeight="true" outlineLevel="0" collapsed="false">
      <c r="A3277" s="54" t="n">
        <v>20260712</v>
      </c>
      <c r="B3277" s="54" t="s">
        <v>688</v>
      </c>
      <c r="C3277" s="54" t="s">
        <v>290</v>
      </c>
      <c r="D3277" s="54" t="s">
        <v>3205</v>
      </c>
      <c r="E3277" s="54" t="s">
        <v>3206</v>
      </c>
      <c r="F3277" s="54" t="s">
        <v>6906</v>
      </c>
      <c r="G3277" s="54" t="s">
        <v>6907</v>
      </c>
      <c r="H3277" s="54" t="n">
        <v>1872</v>
      </c>
      <c r="I3277" s="54" t="s">
        <v>295</v>
      </c>
      <c r="J3277" s="54" t="s">
        <v>779</v>
      </c>
    </row>
    <row r="3278" customFormat="false" ht="15" hidden="false" customHeight="true" outlineLevel="0" collapsed="false">
      <c r="A3278" s="54" t="n">
        <v>20260712</v>
      </c>
      <c r="B3278" s="54" t="s">
        <v>688</v>
      </c>
      <c r="C3278" s="54" t="s">
        <v>290</v>
      </c>
      <c r="D3278" s="54" t="s">
        <v>3205</v>
      </c>
      <c r="E3278" s="54" t="s">
        <v>3206</v>
      </c>
      <c r="F3278" s="54" t="s">
        <v>6908</v>
      </c>
      <c r="G3278" s="54" t="s">
        <v>6909</v>
      </c>
      <c r="H3278" s="54" t="n">
        <v>8700</v>
      </c>
      <c r="I3278" s="54" t="s">
        <v>295</v>
      </c>
      <c r="J3278" s="54" t="s">
        <v>779</v>
      </c>
    </row>
    <row r="3279" customFormat="false" ht="15" hidden="false" customHeight="true" outlineLevel="0" collapsed="false">
      <c r="A3279" s="54" t="n">
        <v>20260712</v>
      </c>
      <c r="B3279" s="54" t="s">
        <v>688</v>
      </c>
      <c r="C3279" s="54" t="s">
        <v>290</v>
      </c>
      <c r="D3279" s="54" t="s">
        <v>3205</v>
      </c>
      <c r="E3279" s="54" t="s">
        <v>3206</v>
      </c>
      <c r="F3279" s="54" t="s">
        <v>6910</v>
      </c>
      <c r="G3279" s="54" t="s">
        <v>6911</v>
      </c>
      <c r="H3279" s="54" t="n">
        <v>20</v>
      </c>
      <c r="I3279" s="54" t="s">
        <v>295</v>
      </c>
      <c r="J3279" s="54" t="s">
        <v>779</v>
      </c>
    </row>
    <row r="3280" customFormat="false" ht="15" hidden="false" customHeight="true" outlineLevel="0" collapsed="false">
      <c r="A3280" s="54" t="n">
        <v>20260712</v>
      </c>
      <c r="B3280" s="54" t="s">
        <v>306</v>
      </c>
      <c r="C3280" s="54" t="s">
        <v>290</v>
      </c>
      <c r="D3280" s="54" t="s">
        <v>3410</v>
      </c>
      <c r="E3280" s="54" t="s">
        <v>3411</v>
      </c>
      <c r="F3280" s="54" t="s">
        <v>6912</v>
      </c>
      <c r="G3280" s="54" t="s">
        <v>6913</v>
      </c>
      <c r="H3280" s="54" t="n">
        <v>1276</v>
      </c>
      <c r="I3280" s="54" t="s">
        <v>315</v>
      </c>
      <c r="J3280" s="54" t="s">
        <v>473</v>
      </c>
    </row>
    <row r="3281" customFormat="false" ht="15" hidden="false" customHeight="true" outlineLevel="0" collapsed="false">
      <c r="A3281" s="54" t="n">
        <v>20260712</v>
      </c>
      <c r="B3281" s="54" t="s">
        <v>306</v>
      </c>
      <c r="C3281" s="54" t="s">
        <v>290</v>
      </c>
      <c r="D3281" s="54" t="s">
        <v>3410</v>
      </c>
      <c r="E3281" s="54" t="s">
        <v>3411</v>
      </c>
      <c r="F3281" s="54" t="s">
        <v>6912</v>
      </c>
      <c r="G3281" s="54" t="s">
        <v>6914</v>
      </c>
      <c r="H3281" s="54" t="n">
        <v>6613</v>
      </c>
      <c r="I3281" s="54" t="s">
        <v>295</v>
      </c>
      <c r="J3281" s="54" t="s">
        <v>473</v>
      </c>
    </row>
    <row r="3282" customFormat="false" ht="15" hidden="false" customHeight="true" outlineLevel="0" collapsed="false">
      <c r="A3282" s="54" t="n">
        <v>20260712</v>
      </c>
      <c r="B3282" s="54" t="s">
        <v>306</v>
      </c>
      <c r="C3282" s="54" t="s">
        <v>290</v>
      </c>
      <c r="D3282" s="54" t="s">
        <v>3410</v>
      </c>
      <c r="E3282" s="54" t="s">
        <v>3411</v>
      </c>
      <c r="F3282" s="54" t="s">
        <v>6915</v>
      </c>
      <c r="G3282" s="54" t="s">
        <v>6916</v>
      </c>
      <c r="H3282" s="54" t="n">
        <v>2786</v>
      </c>
      <c r="I3282" s="54" t="s">
        <v>315</v>
      </c>
      <c r="J3282" s="54" t="s">
        <v>473</v>
      </c>
    </row>
    <row r="3283" customFormat="false" ht="15" hidden="false" customHeight="true" outlineLevel="0" collapsed="false">
      <c r="A3283" s="54" t="n">
        <v>20260712</v>
      </c>
      <c r="B3283" s="54" t="s">
        <v>306</v>
      </c>
      <c r="C3283" s="54" t="s">
        <v>290</v>
      </c>
      <c r="D3283" s="54" t="s">
        <v>3410</v>
      </c>
      <c r="E3283" s="54" t="s">
        <v>3411</v>
      </c>
      <c r="F3283" s="54" t="s">
        <v>6917</v>
      </c>
      <c r="G3283" s="54" t="s">
        <v>6918</v>
      </c>
      <c r="H3283" s="54" t="n">
        <v>4604</v>
      </c>
      <c r="I3283" s="54" t="s">
        <v>295</v>
      </c>
      <c r="J3283" s="54" t="s">
        <v>473</v>
      </c>
    </row>
    <row r="3284" customFormat="false" ht="15" hidden="false" customHeight="true" outlineLevel="0" collapsed="false">
      <c r="A3284" s="54" t="n">
        <v>20260712</v>
      </c>
      <c r="B3284" s="54" t="s">
        <v>306</v>
      </c>
      <c r="C3284" s="54" t="s">
        <v>290</v>
      </c>
      <c r="D3284" s="54" t="s">
        <v>3410</v>
      </c>
      <c r="E3284" s="54" t="s">
        <v>3411</v>
      </c>
      <c r="F3284" s="54" t="s">
        <v>6919</v>
      </c>
      <c r="G3284" s="54" t="s">
        <v>6920</v>
      </c>
      <c r="H3284" s="54" t="n">
        <v>4605</v>
      </c>
      <c r="I3284" s="54" t="s">
        <v>315</v>
      </c>
      <c r="J3284" s="54" t="s">
        <v>473</v>
      </c>
    </row>
    <row r="3285" customFormat="false" ht="15" hidden="false" customHeight="true" outlineLevel="0" collapsed="false">
      <c r="A3285" s="54" t="n">
        <v>20260712</v>
      </c>
      <c r="B3285" s="54" t="s">
        <v>306</v>
      </c>
      <c r="C3285" s="54" t="s">
        <v>290</v>
      </c>
      <c r="D3285" s="54" t="s">
        <v>3410</v>
      </c>
      <c r="E3285" s="54" t="s">
        <v>3411</v>
      </c>
      <c r="F3285" s="54" t="s">
        <v>6921</v>
      </c>
      <c r="G3285" s="54" t="s">
        <v>6922</v>
      </c>
      <c r="H3285" s="54" t="n">
        <v>4818</v>
      </c>
      <c r="I3285" s="54" t="s">
        <v>315</v>
      </c>
      <c r="J3285" s="54" t="s">
        <v>473</v>
      </c>
    </row>
    <row r="3286" customFormat="false" ht="15" hidden="false" customHeight="true" outlineLevel="0" collapsed="false">
      <c r="A3286" s="54" t="n">
        <v>20260712</v>
      </c>
      <c r="B3286" s="54" t="s">
        <v>306</v>
      </c>
      <c r="C3286" s="54" t="s">
        <v>290</v>
      </c>
      <c r="D3286" s="54" t="s">
        <v>3410</v>
      </c>
      <c r="E3286" s="54" t="s">
        <v>3411</v>
      </c>
      <c r="F3286" s="54" t="s">
        <v>6921</v>
      </c>
      <c r="G3286" s="54" t="s">
        <v>6923</v>
      </c>
      <c r="H3286" s="54" t="n">
        <v>8179</v>
      </c>
      <c r="I3286" s="54" t="s">
        <v>295</v>
      </c>
      <c r="J3286" s="54" t="s">
        <v>473</v>
      </c>
    </row>
    <row r="3287" customFormat="false" ht="15" hidden="false" customHeight="true" outlineLevel="0" collapsed="false">
      <c r="A3287" s="54" t="n">
        <v>20260712</v>
      </c>
      <c r="B3287" s="54" t="s">
        <v>306</v>
      </c>
      <c r="C3287" s="54" t="s">
        <v>290</v>
      </c>
      <c r="D3287" s="54" t="s">
        <v>3410</v>
      </c>
      <c r="E3287" s="54" t="s">
        <v>3411</v>
      </c>
      <c r="F3287" s="54" t="s">
        <v>6924</v>
      </c>
      <c r="G3287" s="54" t="s">
        <v>6925</v>
      </c>
      <c r="H3287" s="54" t="n">
        <v>54</v>
      </c>
      <c r="I3287" s="54" t="s">
        <v>315</v>
      </c>
      <c r="J3287" s="54" t="s">
        <v>473</v>
      </c>
    </row>
    <row r="3288" customFormat="false" ht="15" hidden="false" customHeight="true" outlineLevel="0" collapsed="false">
      <c r="A3288" s="54" t="n">
        <v>20260712</v>
      </c>
      <c r="B3288" s="54" t="s">
        <v>306</v>
      </c>
      <c r="C3288" s="54" t="s">
        <v>290</v>
      </c>
      <c r="D3288" s="54" t="s">
        <v>3410</v>
      </c>
      <c r="E3288" s="54" t="s">
        <v>3411</v>
      </c>
      <c r="F3288" s="54" t="s">
        <v>6926</v>
      </c>
      <c r="G3288" s="54" t="s">
        <v>6927</v>
      </c>
      <c r="H3288" s="54" t="n">
        <v>2147</v>
      </c>
      <c r="I3288" s="54" t="s">
        <v>295</v>
      </c>
      <c r="J3288" s="54" t="s">
        <v>473</v>
      </c>
    </row>
    <row r="3289" customFormat="false" ht="15" hidden="false" customHeight="true" outlineLevel="0" collapsed="false">
      <c r="A3289" s="54" t="n">
        <v>20260712</v>
      </c>
      <c r="B3289" s="54" t="s">
        <v>306</v>
      </c>
      <c r="C3289" s="54" t="s">
        <v>290</v>
      </c>
      <c r="D3289" s="54" t="s">
        <v>3410</v>
      </c>
      <c r="E3289" s="54" t="s">
        <v>3411</v>
      </c>
      <c r="F3289" s="54" t="s">
        <v>6928</v>
      </c>
      <c r="G3289" s="54" t="s">
        <v>6929</v>
      </c>
      <c r="H3289" s="54" t="n">
        <v>2150</v>
      </c>
      <c r="I3289" s="54" t="s">
        <v>315</v>
      </c>
      <c r="J3289" s="54" t="s">
        <v>473</v>
      </c>
    </row>
    <row r="3290" customFormat="false" ht="15" hidden="false" customHeight="true" outlineLevel="0" collapsed="false">
      <c r="A3290" s="54" t="n">
        <v>20260712</v>
      </c>
      <c r="B3290" s="54" t="s">
        <v>306</v>
      </c>
      <c r="C3290" s="54" t="s">
        <v>290</v>
      </c>
      <c r="D3290" s="54" t="s">
        <v>3410</v>
      </c>
      <c r="E3290" s="54" t="s">
        <v>3411</v>
      </c>
      <c r="F3290" s="54" t="s">
        <v>6930</v>
      </c>
      <c r="G3290" s="54" t="s">
        <v>6931</v>
      </c>
      <c r="H3290" s="54" t="n">
        <v>7237</v>
      </c>
      <c r="I3290" s="54" t="s">
        <v>295</v>
      </c>
      <c r="J3290" s="54" t="s">
        <v>473</v>
      </c>
    </row>
    <row r="3291" customFormat="false" ht="15" hidden="false" customHeight="true" outlineLevel="0" collapsed="false">
      <c r="A3291" s="54" t="n">
        <v>20260712</v>
      </c>
      <c r="B3291" s="54" t="s">
        <v>306</v>
      </c>
      <c r="C3291" s="54" t="s">
        <v>290</v>
      </c>
      <c r="D3291" s="54" t="s">
        <v>3410</v>
      </c>
      <c r="E3291" s="54" t="s">
        <v>3411</v>
      </c>
      <c r="F3291" s="54" t="s">
        <v>6932</v>
      </c>
      <c r="G3291" s="54" t="s">
        <v>6933</v>
      </c>
      <c r="H3291" s="54" t="n">
        <v>7238</v>
      </c>
      <c r="I3291" s="54" t="s">
        <v>315</v>
      </c>
      <c r="J3291" s="54" t="s">
        <v>473</v>
      </c>
    </row>
    <row r="3292" customFormat="false" ht="15" hidden="false" customHeight="true" outlineLevel="0" collapsed="false">
      <c r="A3292" s="54" t="n">
        <v>20260712</v>
      </c>
      <c r="B3292" s="54" t="s">
        <v>688</v>
      </c>
      <c r="C3292" s="54" t="s">
        <v>307</v>
      </c>
      <c r="D3292" s="54" t="s">
        <v>3473</v>
      </c>
      <c r="E3292" s="54" t="s">
        <v>161</v>
      </c>
      <c r="F3292" s="54" t="s">
        <v>6934</v>
      </c>
      <c r="G3292" s="54" t="s">
        <v>6935</v>
      </c>
      <c r="H3292" s="54" t="n">
        <v>9887</v>
      </c>
      <c r="I3292" s="54" t="s">
        <v>315</v>
      </c>
      <c r="J3292" s="54" t="s">
        <v>142</v>
      </c>
    </row>
    <row r="3293" customFormat="false" ht="15" hidden="false" customHeight="true" outlineLevel="0" collapsed="false">
      <c r="A3293" s="54" t="n">
        <v>20260712</v>
      </c>
      <c r="B3293" s="54" t="s">
        <v>688</v>
      </c>
      <c r="C3293" s="54" t="s">
        <v>307</v>
      </c>
      <c r="D3293" s="54" t="s">
        <v>3473</v>
      </c>
      <c r="E3293" s="54" t="s">
        <v>161</v>
      </c>
      <c r="F3293" s="54" t="s">
        <v>6936</v>
      </c>
      <c r="G3293" s="54" t="s">
        <v>6935</v>
      </c>
      <c r="H3293" s="54" t="n">
        <v>7484</v>
      </c>
      <c r="I3293" s="54" t="s">
        <v>295</v>
      </c>
      <c r="J3293" s="54" t="s">
        <v>142</v>
      </c>
    </row>
    <row r="3294" customFormat="false" ht="15" hidden="false" customHeight="true" outlineLevel="0" collapsed="false">
      <c r="A3294" s="54" t="n">
        <v>20260712</v>
      </c>
      <c r="B3294" s="54" t="s">
        <v>688</v>
      </c>
      <c r="C3294" s="54" t="s">
        <v>307</v>
      </c>
      <c r="D3294" s="54" t="s">
        <v>3473</v>
      </c>
      <c r="E3294" s="54" t="s">
        <v>161</v>
      </c>
      <c r="F3294" s="54" t="s">
        <v>6937</v>
      </c>
      <c r="G3294" s="54" t="s">
        <v>6938</v>
      </c>
      <c r="H3294" s="54" t="n">
        <v>10752</v>
      </c>
      <c r="I3294" s="54" t="s">
        <v>295</v>
      </c>
      <c r="J3294" s="54" t="s">
        <v>142</v>
      </c>
    </row>
    <row r="3295" customFormat="false" ht="15" hidden="false" customHeight="true" outlineLevel="0" collapsed="false">
      <c r="A3295" s="54" t="n">
        <v>20260712</v>
      </c>
      <c r="B3295" s="54" t="s">
        <v>688</v>
      </c>
      <c r="C3295" s="54" t="s">
        <v>307</v>
      </c>
      <c r="D3295" s="54" t="s">
        <v>3473</v>
      </c>
      <c r="E3295" s="54" t="s">
        <v>161</v>
      </c>
      <c r="F3295" s="54" t="s">
        <v>6939</v>
      </c>
      <c r="G3295" s="54" t="s">
        <v>6940</v>
      </c>
      <c r="H3295" s="54" t="n">
        <v>15313</v>
      </c>
      <c r="I3295" s="54" t="s">
        <v>315</v>
      </c>
      <c r="J3295" s="54" t="s">
        <v>142</v>
      </c>
    </row>
    <row r="3296" customFormat="false" ht="15" hidden="false" customHeight="true" outlineLevel="0" collapsed="false">
      <c r="A3296" s="54" t="n">
        <v>20260712</v>
      </c>
      <c r="B3296" s="54" t="s">
        <v>688</v>
      </c>
      <c r="C3296" s="54" t="s">
        <v>307</v>
      </c>
      <c r="D3296" s="54" t="s">
        <v>3473</v>
      </c>
      <c r="E3296" s="54" t="s">
        <v>161</v>
      </c>
      <c r="F3296" s="54" t="s">
        <v>6941</v>
      </c>
      <c r="G3296" s="54" t="s">
        <v>6942</v>
      </c>
      <c r="H3296" s="54" t="n">
        <v>14730</v>
      </c>
      <c r="I3296" s="54" t="s">
        <v>295</v>
      </c>
      <c r="J3296" s="54" t="s">
        <v>142</v>
      </c>
    </row>
    <row r="3297" customFormat="false" ht="15" hidden="false" customHeight="true" outlineLevel="0" collapsed="false">
      <c r="A3297" s="54" t="n">
        <v>20260712</v>
      </c>
      <c r="B3297" s="54" t="s">
        <v>306</v>
      </c>
      <c r="C3297" s="54" t="s">
        <v>290</v>
      </c>
      <c r="D3297" s="54" t="s">
        <v>6149</v>
      </c>
      <c r="E3297" s="54" t="s">
        <v>6150</v>
      </c>
      <c r="F3297" s="54" t="s">
        <v>6943</v>
      </c>
      <c r="G3297" s="54" t="s">
        <v>6944</v>
      </c>
      <c r="H3297" s="54" t="n">
        <v>15106</v>
      </c>
      <c r="I3297" s="54" t="s">
        <v>295</v>
      </c>
      <c r="J3297" s="54" t="s">
        <v>352</v>
      </c>
    </row>
    <row r="3298" customFormat="false" ht="15" hidden="false" customHeight="true" outlineLevel="0" collapsed="false">
      <c r="A3298" s="54" t="n">
        <v>20260712</v>
      </c>
      <c r="B3298" s="54" t="s">
        <v>306</v>
      </c>
      <c r="C3298" s="54" t="s">
        <v>290</v>
      </c>
      <c r="D3298" s="54" t="s">
        <v>6149</v>
      </c>
      <c r="E3298" s="54" t="s">
        <v>6150</v>
      </c>
      <c r="F3298" s="54" t="s">
        <v>6945</v>
      </c>
      <c r="G3298" s="54" t="s">
        <v>6944</v>
      </c>
      <c r="H3298" s="54" t="n">
        <v>15105</v>
      </c>
      <c r="I3298" s="54" t="s">
        <v>315</v>
      </c>
      <c r="J3298" s="54" t="s">
        <v>352</v>
      </c>
    </row>
    <row r="3299" customFormat="false" ht="15" hidden="false" customHeight="true" outlineLevel="0" collapsed="false">
      <c r="A3299" s="54" t="n">
        <v>20260712</v>
      </c>
      <c r="B3299" s="54" t="s">
        <v>306</v>
      </c>
      <c r="C3299" s="54" t="s">
        <v>290</v>
      </c>
      <c r="D3299" s="54" t="s">
        <v>6149</v>
      </c>
      <c r="E3299" s="54" t="s">
        <v>6150</v>
      </c>
      <c r="F3299" s="54" t="s">
        <v>6946</v>
      </c>
      <c r="G3299" s="54" t="s">
        <v>6947</v>
      </c>
      <c r="H3299" s="54" t="n">
        <v>13733</v>
      </c>
      <c r="I3299" s="54" t="s">
        <v>315</v>
      </c>
      <c r="J3299" s="54" t="s">
        <v>352</v>
      </c>
    </row>
    <row r="3300" customFormat="false" ht="15" hidden="false" customHeight="true" outlineLevel="0" collapsed="false">
      <c r="A3300" s="54" t="n">
        <v>20260712</v>
      </c>
      <c r="B3300" s="54" t="s">
        <v>306</v>
      </c>
      <c r="C3300" s="54" t="s">
        <v>290</v>
      </c>
      <c r="D3300" s="54" t="s">
        <v>6149</v>
      </c>
      <c r="E3300" s="54" t="s">
        <v>6150</v>
      </c>
      <c r="F3300" s="54" t="s">
        <v>6946</v>
      </c>
      <c r="G3300" s="54" t="s">
        <v>6947</v>
      </c>
      <c r="H3300" s="54" t="n">
        <v>13733</v>
      </c>
      <c r="I3300" s="54" t="s">
        <v>295</v>
      </c>
      <c r="J3300" s="54" t="s">
        <v>352</v>
      </c>
    </row>
    <row r="3301" customFormat="false" ht="15" hidden="false" customHeight="true" outlineLevel="0" collapsed="false">
      <c r="A3301" s="54" t="n">
        <v>20260712</v>
      </c>
      <c r="B3301" s="54" t="s">
        <v>289</v>
      </c>
      <c r="C3301" s="54" t="s">
        <v>290</v>
      </c>
      <c r="D3301" s="54" t="s">
        <v>410</v>
      </c>
      <c r="E3301" s="54" t="s">
        <v>411</v>
      </c>
      <c r="F3301" s="54" t="s">
        <v>6948</v>
      </c>
      <c r="G3301" s="54" t="s">
        <v>6949</v>
      </c>
      <c r="H3301" s="54" t="n">
        <v>21894</v>
      </c>
      <c r="I3301" s="54" t="s">
        <v>295</v>
      </c>
      <c r="J3301" s="54" t="s">
        <v>414</v>
      </c>
    </row>
    <row r="3302" customFormat="false" ht="15" hidden="false" customHeight="true" outlineLevel="0" collapsed="false">
      <c r="A3302" s="54" t="n">
        <v>20260712</v>
      </c>
      <c r="B3302" s="54" t="s">
        <v>289</v>
      </c>
      <c r="C3302" s="54" t="s">
        <v>290</v>
      </c>
      <c r="D3302" s="54" t="s">
        <v>410</v>
      </c>
      <c r="E3302" s="54" t="s">
        <v>411</v>
      </c>
      <c r="F3302" s="54" t="s">
        <v>6950</v>
      </c>
      <c r="G3302" s="54" t="s">
        <v>6951</v>
      </c>
      <c r="H3302" s="54" t="n">
        <v>10945</v>
      </c>
      <c r="I3302" s="54" t="s">
        <v>295</v>
      </c>
      <c r="J3302" s="54" t="s">
        <v>414</v>
      </c>
    </row>
    <row r="3303" customFormat="false" ht="15" hidden="false" customHeight="true" outlineLevel="0" collapsed="false">
      <c r="A3303" s="54" t="n">
        <v>20260712</v>
      </c>
      <c r="B3303" s="54" t="s">
        <v>688</v>
      </c>
      <c r="C3303" s="54" t="s">
        <v>290</v>
      </c>
      <c r="D3303" s="54" t="s">
        <v>3570</v>
      </c>
      <c r="E3303" s="54" t="s">
        <v>3571</v>
      </c>
      <c r="F3303" s="54" t="s">
        <v>6952</v>
      </c>
      <c r="G3303" s="54" t="s">
        <v>6953</v>
      </c>
      <c r="H3303" s="54" t="n">
        <v>4267</v>
      </c>
      <c r="I3303" s="54" t="s">
        <v>295</v>
      </c>
      <c r="J3303" s="54" t="s">
        <v>997</v>
      </c>
    </row>
    <row r="3304" customFormat="false" ht="15" hidden="false" customHeight="true" outlineLevel="0" collapsed="false">
      <c r="A3304" s="54" t="n">
        <v>20260712</v>
      </c>
      <c r="B3304" s="54" t="s">
        <v>688</v>
      </c>
      <c r="C3304" s="54" t="s">
        <v>290</v>
      </c>
      <c r="D3304" s="54" t="s">
        <v>3570</v>
      </c>
      <c r="E3304" s="54" t="s">
        <v>3571</v>
      </c>
      <c r="F3304" s="54" t="s">
        <v>6954</v>
      </c>
      <c r="G3304" s="54" t="s">
        <v>6955</v>
      </c>
      <c r="H3304" s="54" t="n">
        <v>14525</v>
      </c>
      <c r="I3304" s="54" t="s">
        <v>295</v>
      </c>
      <c r="J3304" s="54" t="s">
        <v>997</v>
      </c>
    </row>
    <row r="3305" customFormat="false" ht="15" hidden="false" customHeight="true" outlineLevel="0" collapsed="false">
      <c r="A3305" s="54" t="n">
        <v>20260712</v>
      </c>
      <c r="B3305" s="54" t="s">
        <v>688</v>
      </c>
      <c r="C3305" s="54" t="s">
        <v>290</v>
      </c>
      <c r="D3305" s="54" t="s">
        <v>3570</v>
      </c>
      <c r="E3305" s="54" t="s">
        <v>3571</v>
      </c>
      <c r="F3305" s="54" t="s">
        <v>6956</v>
      </c>
      <c r="G3305" s="54" t="s">
        <v>6957</v>
      </c>
      <c r="H3305" s="54" t="n">
        <v>10363</v>
      </c>
      <c r="I3305" s="54" t="s">
        <v>295</v>
      </c>
      <c r="J3305" s="54" t="s">
        <v>997</v>
      </c>
    </row>
    <row r="3306" customFormat="false" ht="15" hidden="false" customHeight="true" outlineLevel="0" collapsed="false">
      <c r="A3306" s="54" t="n">
        <v>20260712</v>
      </c>
      <c r="B3306" s="54" t="s">
        <v>168</v>
      </c>
      <c r="C3306" s="54" t="s">
        <v>290</v>
      </c>
      <c r="D3306" s="54" t="s">
        <v>3599</v>
      </c>
      <c r="E3306" s="54" t="s">
        <v>3600</v>
      </c>
      <c r="F3306" s="54" t="s">
        <v>6958</v>
      </c>
      <c r="G3306" s="54" t="s">
        <v>6959</v>
      </c>
      <c r="H3306" s="54" t="n">
        <v>5</v>
      </c>
      <c r="I3306" s="54" t="s">
        <v>295</v>
      </c>
      <c r="J3306" s="54" t="s">
        <v>1709</v>
      </c>
    </row>
    <row r="3307" customFormat="false" ht="15" hidden="false" customHeight="true" outlineLevel="0" collapsed="false">
      <c r="A3307" s="54" t="n">
        <v>20260712</v>
      </c>
      <c r="B3307" s="54" t="s">
        <v>289</v>
      </c>
      <c r="C3307" s="54" t="s">
        <v>290</v>
      </c>
      <c r="D3307" s="54" t="s">
        <v>6185</v>
      </c>
      <c r="E3307" s="54" t="s">
        <v>6186</v>
      </c>
      <c r="F3307" s="54" t="s">
        <v>6960</v>
      </c>
      <c r="G3307" s="54" t="s">
        <v>6961</v>
      </c>
      <c r="H3307" s="54" t="n">
        <v>28800</v>
      </c>
      <c r="I3307" s="54" t="s">
        <v>360</v>
      </c>
      <c r="J3307" s="54" t="s">
        <v>631</v>
      </c>
    </row>
    <row r="3308" customFormat="false" ht="15" hidden="false" customHeight="true" outlineLevel="0" collapsed="false">
      <c r="A3308" s="54" t="n">
        <v>20260712</v>
      </c>
      <c r="B3308" s="54" t="s">
        <v>306</v>
      </c>
      <c r="C3308" s="54" t="s">
        <v>307</v>
      </c>
      <c r="D3308" s="54" t="s">
        <v>3623</v>
      </c>
      <c r="E3308" s="54" t="s">
        <v>3624</v>
      </c>
      <c r="F3308" s="54" t="s">
        <v>6962</v>
      </c>
      <c r="G3308" s="54" t="s">
        <v>6963</v>
      </c>
      <c r="H3308" s="54" t="n">
        <v>21815</v>
      </c>
      <c r="I3308" s="54" t="s">
        <v>315</v>
      </c>
      <c r="J3308" s="54" t="s">
        <v>392</v>
      </c>
    </row>
    <row r="3309" customFormat="false" ht="15" hidden="false" customHeight="true" outlineLevel="0" collapsed="false">
      <c r="A3309" s="54" t="n">
        <v>20260712</v>
      </c>
      <c r="B3309" s="54" t="s">
        <v>306</v>
      </c>
      <c r="C3309" s="54" t="s">
        <v>307</v>
      </c>
      <c r="D3309" s="54" t="s">
        <v>3623</v>
      </c>
      <c r="E3309" s="54" t="s">
        <v>3624</v>
      </c>
      <c r="F3309" s="54" t="s">
        <v>6962</v>
      </c>
      <c r="G3309" s="54" t="s">
        <v>6963</v>
      </c>
      <c r="H3309" s="54" t="n">
        <v>21815</v>
      </c>
      <c r="I3309" s="54" t="s">
        <v>295</v>
      </c>
      <c r="J3309" s="54" t="s">
        <v>392</v>
      </c>
    </row>
    <row r="3310" customFormat="false" ht="15" hidden="false" customHeight="true" outlineLevel="0" collapsed="false">
      <c r="A3310" s="54" t="n">
        <v>20260712</v>
      </c>
      <c r="B3310" s="54" t="s">
        <v>306</v>
      </c>
      <c r="C3310" s="54" t="s">
        <v>307</v>
      </c>
      <c r="D3310" s="54" t="s">
        <v>3623</v>
      </c>
      <c r="E3310" s="54" t="s">
        <v>3624</v>
      </c>
      <c r="F3310" s="54" t="s">
        <v>6964</v>
      </c>
      <c r="G3310" s="54" t="s">
        <v>6965</v>
      </c>
      <c r="H3310" s="54" t="n">
        <v>10234</v>
      </c>
      <c r="I3310" s="54" t="s">
        <v>315</v>
      </c>
      <c r="J3310" s="54" t="s">
        <v>392</v>
      </c>
    </row>
    <row r="3311" customFormat="false" ht="15" hidden="false" customHeight="true" outlineLevel="0" collapsed="false">
      <c r="A3311" s="54" t="n">
        <v>20260712</v>
      </c>
      <c r="B3311" s="54" t="s">
        <v>306</v>
      </c>
      <c r="C3311" s="54" t="s">
        <v>307</v>
      </c>
      <c r="D3311" s="54" t="s">
        <v>3623</v>
      </c>
      <c r="E3311" s="54" t="s">
        <v>3624</v>
      </c>
      <c r="F3311" s="54" t="s">
        <v>6964</v>
      </c>
      <c r="G3311" s="54" t="s">
        <v>6965</v>
      </c>
      <c r="H3311" s="54" t="n">
        <v>10234</v>
      </c>
      <c r="I3311" s="54" t="s">
        <v>295</v>
      </c>
      <c r="J3311" s="54" t="s">
        <v>392</v>
      </c>
    </row>
    <row r="3312" customFormat="false" ht="15" hidden="false" customHeight="true" outlineLevel="0" collapsed="false">
      <c r="A3312" s="54" t="n">
        <v>20260712</v>
      </c>
      <c r="B3312" s="54" t="s">
        <v>306</v>
      </c>
      <c r="C3312" s="54" t="s">
        <v>307</v>
      </c>
      <c r="D3312" s="54" t="s">
        <v>3623</v>
      </c>
      <c r="E3312" s="54" t="s">
        <v>3624</v>
      </c>
      <c r="F3312" s="54" t="s">
        <v>6966</v>
      </c>
      <c r="G3312" s="54" t="s">
        <v>6967</v>
      </c>
      <c r="H3312" s="54" t="n">
        <v>6</v>
      </c>
      <c r="I3312" s="54" t="s">
        <v>295</v>
      </c>
      <c r="J3312" s="54" t="s">
        <v>392</v>
      </c>
    </row>
    <row r="3313" customFormat="false" ht="15" hidden="false" customHeight="true" outlineLevel="0" collapsed="false">
      <c r="A3313" s="54" t="n">
        <v>20260712</v>
      </c>
      <c r="B3313" s="54" t="s">
        <v>306</v>
      </c>
      <c r="C3313" s="54" t="s">
        <v>307</v>
      </c>
      <c r="D3313" s="54" t="s">
        <v>3623</v>
      </c>
      <c r="E3313" s="54" t="s">
        <v>3624</v>
      </c>
      <c r="F3313" s="54" t="s">
        <v>6968</v>
      </c>
      <c r="G3313" s="54" t="s">
        <v>6969</v>
      </c>
      <c r="H3313" s="54" t="n">
        <v>960</v>
      </c>
      <c r="I3313" s="54" t="s">
        <v>315</v>
      </c>
      <c r="J3313" s="54" t="s">
        <v>392</v>
      </c>
    </row>
    <row r="3314" customFormat="false" ht="15" hidden="false" customHeight="true" outlineLevel="0" collapsed="false">
      <c r="A3314" s="54" t="n">
        <v>20260712</v>
      </c>
      <c r="B3314" s="54" t="s">
        <v>306</v>
      </c>
      <c r="C3314" s="54" t="s">
        <v>307</v>
      </c>
      <c r="D3314" s="54" t="s">
        <v>3623</v>
      </c>
      <c r="E3314" s="54" t="s">
        <v>3624</v>
      </c>
      <c r="F3314" s="54" t="s">
        <v>6968</v>
      </c>
      <c r="G3314" s="54" t="s">
        <v>6969</v>
      </c>
      <c r="H3314" s="54" t="n">
        <v>960</v>
      </c>
      <c r="I3314" s="54" t="s">
        <v>295</v>
      </c>
      <c r="J3314" s="54" t="s">
        <v>392</v>
      </c>
    </row>
    <row r="3315" customFormat="false" ht="15" hidden="false" customHeight="true" outlineLevel="0" collapsed="false">
      <c r="A3315" s="54" t="n">
        <v>20260712</v>
      </c>
      <c r="B3315" s="54" t="s">
        <v>306</v>
      </c>
      <c r="C3315" s="54" t="s">
        <v>307</v>
      </c>
      <c r="D3315" s="54" t="s">
        <v>3623</v>
      </c>
      <c r="E3315" s="54" t="s">
        <v>3624</v>
      </c>
      <c r="F3315" s="54" t="s">
        <v>6970</v>
      </c>
      <c r="G3315" s="54" t="s">
        <v>6971</v>
      </c>
      <c r="H3315" s="54" t="n">
        <v>49</v>
      </c>
      <c r="I3315" s="54" t="s">
        <v>315</v>
      </c>
      <c r="J3315" s="54" t="s">
        <v>392</v>
      </c>
    </row>
    <row r="3316" customFormat="false" ht="15" hidden="false" customHeight="true" outlineLevel="0" collapsed="false">
      <c r="A3316" s="54" t="n">
        <v>20260712</v>
      </c>
      <c r="B3316" s="54" t="s">
        <v>306</v>
      </c>
      <c r="C3316" s="54" t="s">
        <v>307</v>
      </c>
      <c r="D3316" s="54" t="s">
        <v>3623</v>
      </c>
      <c r="E3316" s="54" t="s">
        <v>3624</v>
      </c>
      <c r="F3316" s="54" t="s">
        <v>6970</v>
      </c>
      <c r="G3316" s="54" t="s">
        <v>6971</v>
      </c>
      <c r="H3316" s="54" t="n">
        <v>49</v>
      </c>
      <c r="I3316" s="54" t="s">
        <v>295</v>
      </c>
      <c r="J3316" s="54" t="s">
        <v>392</v>
      </c>
    </row>
    <row r="3317" customFormat="false" ht="15" hidden="false" customHeight="true" outlineLevel="0" collapsed="false">
      <c r="A3317" s="54" t="n">
        <v>20260712</v>
      </c>
      <c r="B3317" s="54" t="s">
        <v>289</v>
      </c>
      <c r="C3317" s="54" t="s">
        <v>290</v>
      </c>
      <c r="D3317" s="54" t="s">
        <v>6251</v>
      </c>
      <c r="E3317" s="54" t="s">
        <v>6252</v>
      </c>
      <c r="F3317" s="54" t="s">
        <v>6972</v>
      </c>
      <c r="G3317" s="54" t="s">
        <v>6973</v>
      </c>
      <c r="H3317" s="54" t="n">
        <v>16</v>
      </c>
      <c r="I3317" s="54" t="s">
        <v>295</v>
      </c>
      <c r="J3317" s="54" t="s">
        <v>303</v>
      </c>
    </row>
    <row r="3318" customFormat="false" ht="15" hidden="false" customHeight="true" outlineLevel="0" collapsed="false">
      <c r="A3318" s="54" t="n">
        <v>20260712</v>
      </c>
      <c r="B3318" s="54" t="s">
        <v>289</v>
      </c>
      <c r="C3318" s="54" t="s">
        <v>290</v>
      </c>
      <c r="D3318" s="54" t="s">
        <v>6251</v>
      </c>
      <c r="E3318" s="54" t="s">
        <v>6252</v>
      </c>
      <c r="F3318" s="54" t="s">
        <v>6974</v>
      </c>
      <c r="G3318" s="54" t="s">
        <v>6975</v>
      </c>
      <c r="H3318" s="54" t="n">
        <v>17486</v>
      </c>
      <c r="I3318" s="54" t="s">
        <v>295</v>
      </c>
      <c r="J3318" s="54" t="s">
        <v>303</v>
      </c>
    </row>
    <row r="3319" customFormat="false" ht="15" hidden="false" customHeight="true" outlineLevel="0" collapsed="false">
      <c r="A3319" s="54" t="n">
        <v>20260712</v>
      </c>
      <c r="B3319" s="54" t="s">
        <v>289</v>
      </c>
      <c r="C3319" s="54" t="s">
        <v>290</v>
      </c>
      <c r="D3319" s="54" t="s">
        <v>6251</v>
      </c>
      <c r="E3319" s="54" t="s">
        <v>6252</v>
      </c>
      <c r="F3319" s="54" t="s">
        <v>6976</v>
      </c>
      <c r="G3319" s="54" t="s">
        <v>6977</v>
      </c>
      <c r="H3319" s="54" t="n">
        <v>38</v>
      </c>
      <c r="I3319" s="54" t="s">
        <v>295</v>
      </c>
      <c r="J3319" s="54" t="s">
        <v>303</v>
      </c>
    </row>
    <row r="3320" customFormat="false" ht="15" hidden="false" customHeight="true" outlineLevel="0" collapsed="false">
      <c r="A3320" s="54" t="n">
        <v>20260712</v>
      </c>
      <c r="B3320" s="54" t="s">
        <v>289</v>
      </c>
      <c r="C3320" s="54" t="s">
        <v>290</v>
      </c>
      <c r="D3320" s="54" t="s">
        <v>6251</v>
      </c>
      <c r="E3320" s="54" t="s">
        <v>6252</v>
      </c>
      <c r="F3320" s="54" t="s">
        <v>6978</v>
      </c>
      <c r="G3320" s="54" t="s">
        <v>6979</v>
      </c>
      <c r="H3320" s="54" t="n">
        <v>928</v>
      </c>
      <c r="I3320" s="54" t="s">
        <v>295</v>
      </c>
      <c r="J3320" s="54" t="s">
        <v>303</v>
      </c>
    </row>
    <row r="3321" customFormat="false" ht="15" hidden="false" customHeight="true" outlineLevel="0" collapsed="false">
      <c r="A3321" s="54" t="n">
        <v>20260712</v>
      </c>
      <c r="B3321" s="54" t="s">
        <v>289</v>
      </c>
      <c r="C3321" s="54" t="s">
        <v>290</v>
      </c>
      <c r="D3321" s="54" t="s">
        <v>6251</v>
      </c>
      <c r="E3321" s="54" t="s">
        <v>6252</v>
      </c>
      <c r="F3321" s="54" t="s">
        <v>6980</v>
      </c>
      <c r="G3321" s="54" t="s">
        <v>6981</v>
      </c>
      <c r="H3321" s="54" t="n">
        <v>14920</v>
      </c>
      <c r="I3321" s="54" t="s">
        <v>295</v>
      </c>
      <c r="J3321" s="54" t="s">
        <v>303</v>
      </c>
    </row>
    <row r="3322" customFormat="false" ht="15" hidden="false" customHeight="true" outlineLevel="0" collapsed="false">
      <c r="A3322" s="54" t="n">
        <v>20260712</v>
      </c>
      <c r="B3322" s="54" t="s">
        <v>289</v>
      </c>
      <c r="C3322" s="54" t="s">
        <v>290</v>
      </c>
      <c r="D3322" s="54" t="s">
        <v>4170</v>
      </c>
      <c r="E3322" s="54" t="s">
        <v>4171</v>
      </c>
      <c r="F3322" s="54" t="s">
        <v>6982</v>
      </c>
      <c r="G3322" s="54" t="s">
        <v>6983</v>
      </c>
      <c r="H3322" s="54" t="n">
        <v>4</v>
      </c>
      <c r="I3322" s="54" t="s">
        <v>295</v>
      </c>
      <c r="J3322" s="54" t="s">
        <v>296</v>
      </c>
    </row>
    <row r="3323" customFormat="false" ht="15" hidden="false" customHeight="true" outlineLevel="0" collapsed="false">
      <c r="A3323" s="54" t="n">
        <v>20260712</v>
      </c>
      <c r="B3323" s="54" t="s">
        <v>289</v>
      </c>
      <c r="C3323" s="54" t="s">
        <v>290</v>
      </c>
      <c r="D3323" s="54" t="s">
        <v>4170</v>
      </c>
      <c r="E3323" s="54" t="s">
        <v>4171</v>
      </c>
      <c r="F3323" s="54" t="s">
        <v>6984</v>
      </c>
      <c r="G3323" s="54" t="s">
        <v>6985</v>
      </c>
      <c r="H3323" s="54" t="n">
        <v>21835</v>
      </c>
      <c r="I3323" s="54" t="s">
        <v>295</v>
      </c>
      <c r="J3323" s="54" t="s">
        <v>296</v>
      </c>
    </row>
    <row r="3324" customFormat="false" ht="15" hidden="false" customHeight="true" outlineLevel="0" collapsed="false">
      <c r="A3324" s="54" t="n">
        <v>20260712</v>
      </c>
      <c r="B3324" s="54" t="s">
        <v>289</v>
      </c>
      <c r="C3324" s="54" t="s">
        <v>290</v>
      </c>
      <c r="D3324" s="54" t="s">
        <v>4170</v>
      </c>
      <c r="E3324" s="54" t="s">
        <v>4171</v>
      </c>
      <c r="F3324" s="54" t="s">
        <v>6986</v>
      </c>
      <c r="G3324" s="54" t="s">
        <v>6987</v>
      </c>
      <c r="H3324" s="54" t="n">
        <v>10870</v>
      </c>
      <c r="I3324" s="54" t="s">
        <v>295</v>
      </c>
      <c r="J3324" s="54" t="s">
        <v>296</v>
      </c>
    </row>
    <row r="3325" customFormat="false" ht="15" hidden="false" customHeight="true" outlineLevel="0" collapsed="false">
      <c r="A3325" s="54" t="n">
        <v>20260712</v>
      </c>
      <c r="B3325" s="54" t="s">
        <v>306</v>
      </c>
      <c r="C3325" s="54" t="s">
        <v>307</v>
      </c>
      <c r="D3325" s="54" t="s">
        <v>442</v>
      </c>
      <c r="E3325" s="54" t="s">
        <v>443</v>
      </c>
      <c r="F3325" s="54" t="s">
        <v>6988</v>
      </c>
      <c r="G3325" s="54" t="s">
        <v>6989</v>
      </c>
      <c r="H3325" s="54" t="n">
        <v>11116</v>
      </c>
      <c r="I3325" s="54" t="s">
        <v>315</v>
      </c>
      <c r="J3325" s="54" t="s">
        <v>312</v>
      </c>
    </row>
    <row r="3326" customFormat="false" ht="15" hidden="false" customHeight="true" outlineLevel="0" collapsed="false">
      <c r="A3326" s="54" t="n">
        <v>20260712</v>
      </c>
      <c r="B3326" s="54" t="s">
        <v>306</v>
      </c>
      <c r="C3326" s="54" t="s">
        <v>307</v>
      </c>
      <c r="D3326" s="54" t="s">
        <v>442</v>
      </c>
      <c r="E3326" s="54" t="s">
        <v>443</v>
      </c>
      <c r="F3326" s="54" t="s">
        <v>6988</v>
      </c>
      <c r="G3326" s="54" t="s">
        <v>6989</v>
      </c>
      <c r="H3326" s="54" t="n">
        <v>11116</v>
      </c>
      <c r="I3326" s="54" t="s">
        <v>295</v>
      </c>
      <c r="J3326" s="54" t="s">
        <v>312</v>
      </c>
    </row>
    <row r="3327" customFormat="false" ht="15" hidden="false" customHeight="true" outlineLevel="0" collapsed="false">
      <c r="A3327" s="54" t="n">
        <v>20260712</v>
      </c>
      <c r="B3327" s="54" t="s">
        <v>306</v>
      </c>
      <c r="C3327" s="54" t="s">
        <v>307</v>
      </c>
      <c r="D3327" s="54" t="s">
        <v>442</v>
      </c>
      <c r="E3327" s="54" t="s">
        <v>443</v>
      </c>
      <c r="F3327" s="54" t="s">
        <v>6990</v>
      </c>
      <c r="G3327" s="54" t="s">
        <v>6991</v>
      </c>
      <c r="H3327" s="54" t="n">
        <v>21634</v>
      </c>
      <c r="I3327" s="54" t="s">
        <v>315</v>
      </c>
      <c r="J3327" s="54" t="s">
        <v>312</v>
      </c>
    </row>
    <row r="3328" customFormat="false" ht="15" hidden="false" customHeight="true" outlineLevel="0" collapsed="false">
      <c r="A3328" s="54" t="n">
        <v>20260712</v>
      </c>
      <c r="B3328" s="54" t="s">
        <v>306</v>
      </c>
      <c r="C3328" s="54" t="s">
        <v>307</v>
      </c>
      <c r="D3328" s="54" t="s">
        <v>442</v>
      </c>
      <c r="E3328" s="54" t="s">
        <v>443</v>
      </c>
      <c r="F3328" s="54" t="s">
        <v>6990</v>
      </c>
      <c r="G3328" s="54" t="s">
        <v>6991</v>
      </c>
      <c r="H3328" s="54" t="n">
        <v>21634</v>
      </c>
      <c r="I3328" s="54" t="s">
        <v>295</v>
      </c>
      <c r="J3328" s="54" t="s">
        <v>312</v>
      </c>
    </row>
    <row r="3329" customFormat="false" ht="15" hidden="false" customHeight="true" outlineLevel="0" collapsed="false">
      <c r="A3329" s="54" t="n">
        <v>20260712</v>
      </c>
      <c r="B3329" s="54" t="s">
        <v>688</v>
      </c>
      <c r="C3329" s="54" t="s">
        <v>307</v>
      </c>
      <c r="D3329" s="54" t="s">
        <v>6400</v>
      </c>
      <c r="E3329" s="54" t="s">
        <v>6401</v>
      </c>
      <c r="F3329" s="54" t="s">
        <v>6992</v>
      </c>
      <c r="G3329" s="54" t="s">
        <v>6993</v>
      </c>
      <c r="H3329" s="54" t="n">
        <v>18185</v>
      </c>
      <c r="I3329" s="54" t="s">
        <v>295</v>
      </c>
      <c r="J3329" s="54" t="s">
        <v>142</v>
      </c>
    </row>
    <row r="3330" customFormat="false" ht="15" hidden="false" customHeight="true" outlineLevel="0" collapsed="false">
      <c r="A3330" s="54" t="n">
        <v>20260712</v>
      </c>
      <c r="B3330" s="54" t="s">
        <v>688</v>
      </c>
      <c r="C3330" s="54" t="s">
        <v>307</v>
      </c>
      <c r="D3330" s="54" t="s">
        <v>6400</v>
      </c>
      <c r="E3330" s="54" t="s">
        <v>6401</v>
      </c>
      <c r="F3330" s="54" t="s">
        <v>6994</v>
      </c>
      <c r="G3330" s="54" t="s">
        <v>6995</v>
      </c>
      <c r="H3330" s="54" t="n">
        <v>10859</v>
      </c>
      <c r="I3330" s="54" t="s">
        <v>295</v>
      </c>
      <c r="J3330" s="54" t="s">
        <v>142</v>
      </c>
    </row>
    <row r="3331" customFormat="false" ht="15" hidden="false" customHeight="true" outlineLevel="0" collapsed="false">
      <c r="A3331" s="54" t="n">
        <v>20260712</v>
      </c>
      <c r="B3331" s="54" t="s">
        <v>688</v>
      </c>
      <c r="C3331" s="54" t="s">
        <v>307</v>
      </c>
      <c r="D3331" s="54" t="s">
        <v>4438</v>
      </c>
      <c r="E3331" s="54" t="s">
        <v>4439</v>
      </c>
      <c r="F3331" s="54" t="s">
        <v>6996</v>
      </c>
      <c r="G3331" s="54" t="s">
        <v>6997</v>
      </c>
      <c r="H3331" s="54" t="n">
        <v>14536</v>
      </c>
      <c r="I3331" s="54" t="s">
        <v>295</v>
      </c>
      <c r="J3331" s="54" t="s">
        <v>142</v>
      </c>
    </row>
    <row r="3332" customFormat="false" ht="15" hidden="false" customHeight="true" outlineLevel="0" collapsed="false">
      <c r="A3332" s="54" t="n">
        <v>20260712</v>
      </c>
      <c r="B3332" s="54" t="s">
        <v>688</v>
      </c>
      <c r="C3332" s="54" t="s">
        <v>307</v>
      </c>
      <c r="D3332" s="54" t="s">
        <v>4438</v>
      </c>
      <c r="E3332" s="54" t="s">
        <v>4439</v>
      </c>
      <c r="F3332" s="54" t="s">
        <v>6998</v>
      </c>
      <c r="G3332" s="54" t="s">
        <v>6999</v>
      </c>
      <c r="H3332" s="54" t="n">
        <v>13394</v>
      </c>
      <c r="I3332" s="54" t="s">
        <v>295</v>
      </c>
      <c r="J3332" s="54" t="s">
        <v>142</v>
      </c>
    </row>
    <row r="3333" customFormat="false" ht="15" hidden="false" customHeight="true" outlineLevel="0" collapsed="false">
      <c r="A3333" s="54" t="n">
        <v>20260712</v>
      </c>
      <c r="B3333" s="54" t="s">
        <v>688</v>
      </c>
      <c r="C3333" s="54" t="s">
        <v>307</v>
      </c>
      <c r="D3333" s="54" t="s">
        <v>4438</v>
      </c>
      <c r="E3333" s="54" t="s">
        <v>4439</v>
      </c>
      <c r="F3333" s="54" t="s">
        <v>7000</v>
      </c>
      <c r="G3333" s="54" t="s">
        <v>7001</v>
      </c>
      <c r="H3333" s="54" t="n">
        <v>5111</v>
      </c>
      <c r="I3333" s="54" t="s">
        <v>295</v>
      </c>
      <c r="J3333" s="54" t="s">
        <v>142</v>
      </c>
    </row>
    <row r="3334" customFormat="false" ht="15" hidden="false" customHeight="true" outlineLevel="0" collapsed="false">
      <c r="A3334" s="54" t="n">
        <v>20260712</v>
      </c>
      <c r="B3334" s="54" t="s">
        <v>688</v>
      </c>
      <c r="C3334" s="54" t="s">
        <v>307</v>
      </c>
      <c r="D3334" s="54" t="s">
        <v>4445</v>
      </c>
      <c r="E3334" s="54" t="s">
        <v>153</v>
      </c>
      <c r="F3334" s="54" t="s">
        <v>7002</v>
      </c>
      <c r="G3334" s="54" t="s">
        <v>7003</v>
      </c>
      <c r="H3334" s="54" t="n">
        <v>11204</v>
      </c>
      <c r="I3334" s="54" t="s">
        <v>295</v>
      </c>
      <c r="J3334" s="54" t="s">
        <v>142</v>
      </c>
    </row>
    <row r="3335" customFormat="false" ht="15" hidden="false" customHeight="true" outlineLevel="0" collapsed="false">
      <c r="A3335" s="54" t="n">
        <v>20260712</v>
      </c>
      <c r="B3335" s="54" t="s">
        <v>688</v>
      </c>
      <c r="C3335" s="54" t="s">
        <v>307</v>
      </c>
      <c r="D3335" s="54" t="s">
        <v>4445</v>
      </c>
      <c r="E3335" s="54" t="s">
        <v>153</v>
      </c>
      <c r="F3335" s="54" t="s">
        <v>7004</v>
      </c>
      <c r="G3335" s="54" t="s">
        <v>7005</v>
      </c>
      <c r="H3335" s="54" t="n">
        <v>7609</v>
      </c>
      <c r="I3335" s="54" t="s">
        <v>295</v>
      </c>
      <c r="J3335" s="54" t="s">
        <v>142</v>
      </c>
    </row>
    <row r="3336" customFormat="false" ht="15" hidden="false" customHeight="true" outlineLevel="0" collapsed="false">
      <c r="A3336" s="54" t="n">
        <v>20260712</v>
      </c>
      <c r="B3336" s="54" t="s">
        <v>688</v>
      </c>
      <c r="C3336" s="54" t="s">
        <v>307</v>
      </c>
      <c r="D3336" s="54" t="s">
        <v>4445</v>
      </c>
      <c r="E3336" s="54" t="s">
        <v>153</v>
      </c>
      <c r="F3336" s="54" t="s">
        <v>7006</v>
      </c>
      <c r="G3336" s="54" t="s">
        <v>7007</v>
      </c>
      <c r="H3336" s="54" t="n">
        <v>13945</v>
      </c>
      <c r="I3336" s="54" t="s">
        <v>295</v>
      </c>
      <c r="J3336" s="54" t="s">
        <v>142</v>
      </c>
    </row>
    <row r="3337" customFormat="false" ht="15" hidden="false" customHeight="true" outlineLevel="0" collapsed="false">
      <c r="A3337" s="54" t="n">
        <v>20260712</v>
      </c>
      <c r="B3337" s="54" t="s">
        <v>306</v>
      </c>
      <c r="C3337" s="54" t="s">
        <v>290</v>
      </c>
      <c r="D3337" s="54" t="s">
        <v>469</v>
      </c>
      <c r="E3337" s="54" t="s">
        <v>470</v>
      </c>
      <c r="F3337" s="54" t="s">
        <v>7008</v>
      </c>
      <c r="G3337" s="54" t="s">
        <v>7009</v>
      </c>
      <c r="H3337" s="54" t="n">
        <v>3635</v>
      </c>
      <c r="I3337" s="54" t="s">
        <v>295</v>
      </c>
      <c r="J3337" s="54" t="s">
        <v>473</v>
      </c>
    </row>
    <row r="3338" customFormat="false" ht="15" hidden="false" customHeight="true" outlineLevel="0" collapsed="false">
      <c r="A3338" s="54" t="n">
        <v>20260712</v>
      </c>
      <c r="B3338" s="54" t="s">
        <v>306</v>
      </c>
      <c r="C3338" s="54" t="s">
        <v>290</v>
      </c>
      <c r="D3338" s="54" t="s">
        <v>469</v>
      </c>
      <c r="E3338" s="54" t="s">
        <v>470</v>
      </c>
      <c r="F3338" s="54" t="s">
        <v>7008</v>
      </c>
      <c r="G3338" s="54" t="s">
        <v>7010</v>
      </c>
      <c r="H3338" s="54" t="n">
        <v>3657</v>
      </c>
      <c r="I3338" s="54" t="s">
        <v>315</v>
      </c>
      <c r="J3338" s="54" t="s">
        <v>473</v>
      </c>
    </row>
    <row r="3339" customFormat="false" ht="15" hidden="false" customHeight="true" outlineLevel="0" collapsed="false">
      <c r="A3339" s="54" t="n">
        <v>20260712</v>
      </c>
      <c r="B3339" s="54" t="s">
        <v>306</v>
      </c>
      <c r="C3339" s="54" t="s">
        <v>290</v>
      </c>
      <c r="D3339" s="54" t="s">
        <v>469</v>
      </c>
      <c r="E3339" s="54" t="s">
        <v>470</v>
      </c>
      <c r="F3339" s="54" t="s">
        <v>7011</v>
      </c>
      <c r="G3339" s="54" t="s">
        <v>7012</v>
      </c>
      <c r="H3339" s="54" t="n">
        <v>4777</v>
      </c>
      <c r="I3339" s="54" t="s">
        <v>295</v>
      </c>
      <c r="J3339" s="54" t="s">
        <v>473</v>
      </c>
    </row>
    <row r="3340" customFormat="false" ht="15" hidden="false" customHeight="true" outlineLevel="0" collapsed="false">
      <c r="A3340" s="54" t="n">
        <v>20260712</v>
      </c>
      <c r="B3340" s="54" t="s">
        <v>306</v>
      </c>
      <c r="C3340" s="54" t="s">
        <v>290</v>
      </c>
      <c r="D3340" s="54" t="s">
        <v>469</v>
      </c>
      <c r="E3340" s="54" t="s">
        <v>470</v>
      </c>
      <c r="F3340" s="54" t="s">
        <v>7013</v>
      </c>
      <c r="G3340" s="54" t="s">
        <v>7012</v>
      </c>
      <c r="H3340" s="54" t="n">
        <v>4776</v>
      </c>
      <c r="I3340" s="54" t="s">
        <v>315</v>
      </c>
      <c r="J3340" s="54" t="s">
        <v>473</v>
      </c>
    </row>
    <row r="3341" customFormat="false" ht="15" hidden="false" customHeight="true" outlineLevel="0" collapsed="false">
      <c r="A3341" s="54" t="n">
        <v>20260712</v>
      </c>
      <c r="B3341" s="54" t="s">
        <v>306</v>
      </c>
      <c r="C3341" s="54" t="s">
        <v>290</v>
      </c>
      <c r="D3341" s="54" t="s">
        <v>469</v>
      </c>
      <c r="E3341" s="54" t="s">
        <v>470</v>
      </c>
      <c r="F3341" s="54" t="s">
        <v>7014</v>
      </c>
      <c r="G3341" s="54" t="s">
        <v>7015</v>
      </c>
      <c r="H3341" s="54" t="n">
        <v>9955</v>
      </c>
      <c r="I3341" s="54" t="s">
        <v>315</v>
      </c>
      <c r="J3341" s="54" t="s">
        <v>473</v>
      </c>
    </row>
    <row r="3342" customFormat="false" ht="15" hidden="false" customHeight="true" outlineLevel="0" collapsed="false">
      <c r="A3342" s="54" t="n">
        <v>20260712</v>
      </c>
      <c r="B3342" s="54" t="s">
        <v>306</v>
      </c>
      <c r="C3342" s="54" t="s">
        <v>290</v>
      </c>
      <c r="D3342" s="54" t="s">
        <v>469</v>
      </c>
      <c r="E3342" s="54" t="s">
        <v>470</v>
      </c>
      <c r="F3342" s="54" t="s">
        <v>7014</v>
      </c>
      <c r="G3342" s="54" t="s">
        <v>7016</v>
      </c>
      <c r="H3342" s="54" t="n">
        <v>10040</v>
      </c>
      <c r="I3342" s="54" t="s">
        <v>295</v>
      </c>
      <c r="J3342" s="54" t="s">
        <v>473</v>
      </c>
    </row>
    <row r="3343" customFormat="false" ht="15" hidden="false" customHeight="true" outlineLevel="0" collapsed="false">
      <c r="A3343" s="54" t="n">
        <v>20260712</v>
      </c>
      <c r="B3343" s="54" t="s">
        <v>306</v>
      </c>
      <c r="C3343" s="54" t="s">
        <v>290</v>
      </c>
      <c r="D3343" s="54" t="s">
        <v>469</v>
      </c>
      <c r="E3343" s="54" t="s">
        <v>470</v>
      </c>
      <c r="F3343" s="54" t="s">
        <v>7017</v>
      </c>
      <c r="G3343" s="54" t="s">
        <v>7018</v>
      </c>
      <c r="H3343" s="54" t="n">
        <v>243</v>
      </c>
      <c r="I3343" s="54" t="s">
        <v>295</v>
      </c>
      <c r="J3343" s="54" t="s">
        <v>473</v>
      </c>
    </row>
    <row r="3344" customFormat="false" ht="15" hidden="false" customHeight="true" outlineLevel="0" collapsed="false">
      <c r="A3344" s="54" t="n">
        <v>20260712</v>
      </c>
      <c r="B3344" s="54" t="s">
        <v>306</v>
      </c>
      <c r="C3344" s="54" t="s">
        <v>290</v>
      </c>
      <c r="D3344" s="54" t="s">
        <v>469</v>
      </c>
      <c r="E3344" s="54" t="s">
        <v>470</v>
      </c>
      <c r="F3344" s="54" t="s">
        <v>7019</v>
      </c>
      <c r="G3344" s="54" t="s">
        <v>7020</v>
      </c>
      <c r="H3344" s="54" t="n">
        <v>5597</v>
      </c>
      <c r="I3344" s="54" t="s">
        <v>295</v>
      </c>
      <c r="J3344" s="54" t="s">
        <v>473</v>
      </c>
    </row>
    <row r="3345" customFormat="false" ht="15" hidden="false" customHeight="true" outlineLevel="0" collapsed="false">
      <c r="A3345" s="54" t="n">
        <v>20260712</v>
      </c>
      <c r="B3345" s="54" t="s">
        <v>306</v>
      </c>
      <c r="C3345" s="54" t="s">
        <v>290</v>
      </c>
      <c r="D3345" s="54" t="s">
        <v>469</v>
      </c>
      <c r="E3345" s="54" t="s">
        <v>470</v>
      </c>
      <c r="F3345" s="54" t="s">
        <v>7021</v>
      </c>
      <c r="G3345" s="54" t="s">
        <v>7020</v>
      </c>
      <c r="H3345" s="54" t="n">
        <v>5596</v>
      </c>
      <c r="I3345" s="54" t="s">
        <v>315</v>
      </c>
      <c r="J3345" s="54" t="s">
        <v>473</v>
      </c>
    </row>
    <row r="3346" customFormat="false" ht="15" hidden="false" customHeight="true" outlineLevel="0" collapsed="false">
      <c r="A3346" s="54" t="n">
        <v>20260712</v>
      </c>
      <c r="B3346" s="54" t="s">
        <v>306</v>
      </c>
      <c r="C3346" s="54" t="s">
        <v>290</v>
      </c>
      <c r="D3346" s="54" t="s">
        <v>469</v>
      </c>
      <c r="E3346" s="54" t="s">
        <v>470</v>
      </c>
      <c r="F3346" s="54" t="s">
        <v>7022</v>
      </c>
      <c r="G3346" s="54" t="s">
        <v>7023</v>
      </c>
      <c r="H3346" s="54" t="n">
        <v>663</v>
      </c>
      <c r="I3346" s="54" t="s">
        <v>295</v>
      </c>
      <c r="J3346" s="54" t="s">
        <v>473</v>
      </c>
    </row>
    <row r="3347" customFormat="false" ht="15" hidden="false" customHeight="true" outlineLevel="0" collapsed="false">
      <c r="A3347" s="54" t="n">
        <v>20260712</v>
      </c>
      <c r="B3347" s="54" t="s">
        <v>306</v>
      </c>
      <c r="C3347" s="54" t="s">
        <v>290</v>
      </c>
      <c r="D3347" s="54" t="s">
        <v>469</v>
      </c>
      <c r="E3347" s="54" t="s">
        <v>470</v>
      </c>
      <c r="F3347" s="54" t="s">
        <v>7024</v>
      </c>
      <c r="G3347" s="54" t="s">
        <v>7025</v>
      </c>
      <c r="H3347" s="54" t="n">
        <v>4166</v>
      </c>
      <c r="I3347" s="54" t="s">
        <v>315</v>
      </c>
      <c r="J3347" s="54" t="s">
        <v>473</v>
      </c>
    </row>
    <row r="3348" customFormat="false" ht="15" hidden="false" customHeight="true" outlineLevel="0" collapsed="false">
      <c r="A3348" s="54" t="n">
        <v>20260712</v>
      </c>
      <c r="B3348" s="54" t="s">
        <v>306</v>
      </c>
      <c r="C3348" s="54" t="s">
        <v>290</v>
      </c>
      <c r="D3348" s="54" t="s">
        <v>469</v>
      </c>
      <c r="E3348" s="54" t="s">
        <v>470</v>
      </c>
      <c r="F3348" s="54" t="s">
        <v>7024</v>
      </c>
      <c r="G3348" s="54" t="s">
        <v>7025</v>
      </c>
      <c r="H3348" s="54" t="n">
        <v>4166</v>
      </c>
      <c r="I3348" s="54" t="s">
        <v>295</v>
      </c>
      <c r="J3348" s="54" t="s">
        <v>473</v>
      </c>
    </row>
    <row r="3349" customFormat="false" ht="15" hidden="false" customHeight="true" outlineLevel="0" collapsed="false">
      <c r="A3349" s="54" t="n">
        <v>20260712</v>
      </c>
      <c r="B3349" s="54" t="s">
        <v>688</v>
      </c>
      <c r="C3349" s="54" t="s">
        <v>290</v>
      </c>
      <c r="D3349" s="54" t="s">
        <v>4897</v>
      </c>
      <c r="E3349" s="54" t="s">
        <v>4898</v>
      </c>
      <c r="F3349" s="54" t="s">
        <v>7026</v>
      </c>
      <c r="G3349" s="54" t="s">
        <v>7027</v>
      </c>
      <c r="H3349" s="54" t="n">
        <v>14571</v>
      </c>
      <c r="I3349" s="54" t="s">
        <v>295</v>
      </c>
      <c r="J3349" s="54" t="s">
        <v>779</v>
      </c>
    </row>
    <row r="3350" customFormat="false" ht="15" hidden="false" customHeight="true" outlineLevel="0" collapsed="false">
      <c r="A3350" s="54" t="n">
        <v>20260712</v>
      </c>
      <c r="B3350" s="54" t="s">
        <v>688</v>
      </c>
      <c r="C3350" s="54" t="s">
        <v>290</v>
      </c>
      <c r="D3350" s="54" t="s">
        <v>4897</v>
      </c>
      <c r="E3350" s="54" t="s">
        <v>4898</v>
      </c>
      <c r="F3350" s="54" t="s">
        <v>7028</v>
      </c>
      <c r="G3350" s="54" t="s">
        <v>7029</v>
      </c>
      <c r="H3350" s="54" t="n">
        <v>6</v>
      </c>
      <c r="I3350" s="54" t="s">
        <v>295</v>
      </c>
      <c r="J3350" s="54" t="s">
        <v>779</v>
      </c>
    </row>
    <row r="3351" customFormat="false" ht="15" hidden="false" customHeight="true" outlineLevel="0" collapsed="false">
      <c r="A3351" s="54" t="n">
        <v>20260712</v>
      </c>
      <c r="B3351" s="54" t="s">
        <v>688</v>
      </c>
      <c r="C3351" s="54" t="s">
        <v>290</v>
      </c>
      <c r="D3351" s="54" t="s">
        <v>4897</v>
      </c>
      <c r="E3351" s="54" t="s">
        <v>4898</v>
      </c>
      <c r="F3351" s="54" t="s">
        <v>7030</v>
      </c>
      <c r="G3351" s="54" t="s">
        <v>7031</v>
      </c>
      <c r="H3351" s="54" t="n">
        <v>14884</v>
      </c>
      <c r="I3351" s="54" t="s">
        <v>295</v>
      </c>
      <c r="J3351" s="54" t="s">
        <v>779</v>
      </c>
    </row>
    <row r="3352" customFormat="false" ht="15" hidden="false" customHeight="true" outlineLevel="0" collapsed="false">
      <c r="A3352" s="54" t="n">
        <v>20260712</v>
      </c>
      <c r="B3352" s="54" t="s">
        <v>289</v>
      </c>
      <c r="C3352" s="54" t="s">
        <v>290</v>
      </c>
      <c r="D3352" s="54" t="s">
        <v>4939</v>
      </c>
      <c r="E3352" s="54" t="s">
        <v>4940</v>
      </c>
      <c r="F3352" s="54" t="s">
        <v>6974</v>
      </c>
      <c r="G3352" s="54" t="s">
        <v>7032</v>
      </c>
      <c r="H3352" s="54" t="n">
        <v>11080</v>
      </c>
      <c r="I3352" s="54" t="s">
        <v>295</v>
      </c>
      <c r="J3352" s="54" t="s">
        <v>303</v>
      </c>
    </row>
    <row r="3353" customFormat="false" ht="15" hidden="false" customHeight="true" outlineLevel="0" collapsed="false">
      <c r="A3353" s="54" t="n">
        <v>20260712</v>
      </c>
      <c r="B3353" s="54" t="s">
        <v>289</v>
      </c>
      <c r="C3353" s="54" t="s">
        <v>290</v>
      </c>
      <c r="D3353" s="54" t="s">
        <v>4939</v>
      </c>
      <c r="E3353" s="54" t="s">
        <v>4940</v>
      </c>
      <c r="F3353" s="54" t="s">
        <v>7033</v>
      </c>
      <c r="G3353" s="54" t="s">
        <v>7034</v>
      </c>
      <c r="H3353" s="54" t="n">
        <v>22146</v>
      </c>
      <c r="I3353" s="54" t="s">
        <v>295</v>
      </c>
      <c r="J3353" s="54" t="s">
        <v>303</v>
      </c>
    </row>
    <row r="3354" customFormat="false" ht="15" hidden="false" customHeight="true" outlineLevel="0" collapsed="false">
      <c r="A3354" s="54" t="n">
        <v>20260712</v>
      </c>
      <c r="B3354" s="54" t="s">
        <v>306</v>
      </c>
      <c r="C3354" s="54" t="s">
        <v>290</v>
      </c>
      <c r="D3354" s="54" t="s">
        <v>5010</v>
      </c>
      <c r="E3354" s="54" t="s">
        <v>5011</v>
      </c>
      <c r="F3354" s="54" t="s">
        <v>7035</v>
      </c>
      <c r="G3354" s="54" t="s">
        <v>7036</v>
      </c>
      <c r="H3354" s="54" t="n">
        <v>19032</v>
      </c>
      <c r="I3354" s="54" t="s">
        <v>315</v>
      </c>
      <c r="J3354" s="54" t="s">
        <v>473</v>
      </c>
    </row>
    <row r="3355" customFormat="false" ht="15" hidden="false" customHeight="true" outlineLevel="0" collapsed="false">
      <c r="A3355" s="54" t="n">
        <v>20260712</v>
      </c>
      <c r="B3355" s="54" t="s">
        <v>306</v>
      </c>
      <c r="C3355" s="54" t="s">
        <v>290</v>
      </c>
      <c r="D3355" s="54" t="s">
        <v>5010</v>
      </c>
      <c r="E3355" s="54" t="s">
        <v>5011</v>
      </c>
      <c r="F3355" s="54" t="s">
        <v>7035</v>
      </c>
      <c r="G3355" s="54" t="s">
        <v>7036</v>
      </c>
      <c r="H3355" s="54" t="n">
        <v>19032</v>
      </c>
      <c r="I3355" s="54" t="s">
        <v>295</v>
      </c>
      <c r="J3355" s="54" t="s">
        <v>473</v>
      </c>
    </row>
    <row r="3356" customFormat="false" ht="15" hidden="false" customHeight="true" outlineLevel="0" collapsed="false">
      <c r="A3356" s="54" t="n">
        <v>20260712</v>
      </c>
      <c r="B3356" s="54" t="s">
        <v>306</v>
      </c>
      <c r="C3356" s="54" t="s">
        <v>290</v>
      </c>
      <c r="D3356" s="54" t="s">
        <v>5010</v>
      </c>
      <c r="E3356" s="54" t="s">
        <v>5011</v>
      </c>
      <c r="F3356" s="54" t="s">
        <v>7037</v>
      </c>
      <c r="G3356" s="54" t="s">
        <v>7038</v>
      </c>
      <c r="H3356" s="54" t="n">
        <v>2452</v>
      </c>
      <c r="I3356" s="54" t="s">
        <v>315</v>
      </c>
      <c r="J3356" s="54" t="s">
        <v>473</v>
      </c>
    </row>
    <row r="3357" customFormat="false" ht="15" hidden="false" customHeight="true" outlineLevel="0" collapsed="false">
      <c r="A3357" s="54" t="n">
        <v>20260712</v>
      </c>
      <c r="B3357" s="54" t="s">
        <v>306</v>
      </c>
      <c r="C3357" s="54" t="s">
        <v>290</v>
      </c>
      <c r="D3357" s="54" t="s">
        <v>5010</v>
      </c>
      <c r="E3357" s="54" t="s">
        <v>5011</v>
      </c>
      <c r="F3357" s="54" t="s">
        <v>7037</v>
      </c>
      <c r="G3357" s="54" t="s">
        <v>7039</v>
      </c>
      <c r="H3357" s="54" t="n">
        <v>2615</v>
      </c>
      <c r="I3357" s="54" t="s">
        <v>295</v>
      </c>
      <c r="J3357" s="54" t="s">
        <v>473</v>
      </c>
    </row>
    <row r="3358" customFormat="false" ht="15" hidden="false" customHeight="true" outlineLevel="0" collapsed="false">
      <c r="A3358" s="54" t="n">
        <v>20260712</v>
      </c>
      <c r="B3358" s="54" t="s">
        <v>306</v>
      </c>
      <c r="C3358" s="54" t="s">
        <v>290</v>
      </c>
      <c r="D3358" s="54" t="s">
        <v>5060</v>
      </c>
      <c r="E3358" s="54" t="s">
        <v>5061</v>
      </c>
      <c r="F3358" s="54" t="s">
        <v>7040</v>
      </c>
      <c r="G3358" s="54" t="s">
        <v>7041</v>
      </c>
      <c r="H3358" s="54" t="n">
        <v>29626</v>
      </c>
      <c r="I3358" s="54" t="s">
        <v>295</v>
      </c>
      <c r="J3358" s="54" t="s">
        <v>335</v>
      </c>
    </row>
    <row r="3359" customFormat="false" ht="15" hidden="false" customHeight="true" outlineLevel="0" collapsed="false">
      <c r="A3359" s="54" t="n">
        <v>20260712</v>
      </c>
      <c r="B3359" s="54" t="s">
        <v>306</v>
      </c>
      <c r="C3359" s="54" t="s">
        <v>290</v>
      </c>
      <c r="D3359" s="54" t="s">
        <v>5060</v>
      </c>
      <c r="E3359" s="54" t="s">
        <v>5061</v>
      </c>
      <c r="F3359" s="54" t="s">
        <v>7042</v>
      </c>
      <c r="G3359" s="54" t="s">
        <v>7043</v>
      </c>
      <c r="H3359" s="54" t="n">
        <v>1622</v>
      </c>
      <c r="I3359" s="54" t="s">
        <v>315</v>
      </c>
      <c r="J3359" s="54" t="s">
        <v>335</v>
      </c>
    </row>
    <row r="3360" customFormat="false" ht="15" hidden="false" customHeight="true" outlineLevel="0" collapsed="false">
      <c r="A3360" s="54" t="n">
        <v>20260712</v>
      </c>
      <c r="B3360" s="54" t="s">
        <v>306</v>
      </c>
      <c r="C3360" s="54" t="s">
        <v>290</v>
      </c>
      <c r="D3360" s="54" t="s">
        <v>5060</v>
      </c>
      <c r="E3360" s="54" t="s">
        <v>5061</v>
      </c>
      <c r="F3360" s="54" t="s">
        <v>7044</v>
      </c>
      <c r="G3360" s="54" t="s">
        <v>7045</v>
      </c>
      <c r="H3360" s="54" t="n">
        <v>572</v>
      </c>
      <c r="I3360" s="54" t="s">
        <v>315</v>
      </c>
      <c r="J3360" s="54" t="s">
        <v>335</v>
      </c>
    </row>
    <row r="3361" customFormat="false" ht="15" hidden="false" customHeight="true" outlineLevel="0" collapsed="false">
      <c r="A3361" s="54" t="n">
        <v>20260712</v>
      </c>
      <c r="B3361" s="54" t="s">
        <v>306</v>
      </c>
      <c r="C3361" s="54" t="s">
        <v>290</v>
      </c>
      <c r="D3361" s="54" t="s">
        <v>5060</v>
      </c>
      <c r="E3361" s="54" t="s">
        <v>5061</v>
      </c>
      <c r="F3361" s="54" t="s">
        <v>7046</v>
      </c>
      <c r="G3361" s="54" t="s">
        <v>7047</v>
      </c>
      <c r="H3361" s="54" t="n">
        <v>2685</v>
      </c>
      <c r="I3361" s="54" t="s">
        <v>315</v>
      </c>
      <c r="J3361" s="54" t="s">
        <v>335</v>
      </c>
    </row>
    <row r="3362" customFormat="false" ht="15" hidden="false" customHeight="true" outlineLevel="0" collapsed="false">
      <c r="A3362" s="54" t="n">
        <v>20260712</v>
      </c>
      <c r="B3362" s="54" t="s">
        <v>306</v>
      </c>
      <c r="C3362" s="54" t="s">
        <v>290</v>
      </c>
      <c r="D3362" s="54" t="s">
        <v>5060</v>
      </c>
      <c r="E3362" s="54" t="s">
        <v>5061</v>
      </c>
      <c r="F3362" s="54" t="s">
        <v>7048</v>
      </c>
      <c r="G3362" s="54" t="s">
        <v>7049</v>
      </c>
      <c r="H3362" s="54" t="n">
        <v>11138</v>
      </c>
      <c r="I3362" s="54" t="s">
        <v>315</v>
      </c>
      <c r="J3362" s="54" t="s">
        <v>335</v>
      </c>
    </row>
    <row r="3363" customFormat="false" ht="15" hidden="false" customHeight="true" outlineLevel="0" collapsed="false">
      <c r="A3363" s="54" t="n">
        <v>20260712</v>
      </c>
      <c r="B3363" s="54" t="s">
        <v>289</v>
      </c>
      <c r="C3363" s="54" t="s">
        <v>290</v>
      </c>
      <c r="D3363" s="54" t="s">
        <v>491</v>
      </c>
      <c r="E3363" s="54" t="s">
        <v>492</v>
      </c>
      <c r="F3363" s="54" t="s">
        <v>7050</v>
      </c>
      <c r="G3363" s="54" t="s">
        <v>7051</v>
      </c>
      <c r="H3363" s="54" t="n">
        <v>7843</v>
      </c>
      <c r="I3363" s="54" t="s">
        <v>295</v>
      </c>
      <c r="J3363" s="54" t="s">
        <v>414</v>
      </c>
    </row>
    <row r="3364" customFormat="false" ht="15" hidden="false" customHeight="true" outlineLevel="0" collapsed="false">
      <c r="A3364" s="54" t="n">
        <v>20260712</v>
      </c>
      <c r="B3364" s="54" t="s">
        <v>688</v>
      </c>
      <c r="C3364" s="54" t="s">
        <v>307</v>
      </c>
      <c r="D3364" s="54" t="s">
        <v>7052</v>
      </c>
      <c r="E3364" s="54" t="s">
        <v>145</v>
      </c>
      <c r="F3364" s="54" t="s">
        <v>7053</v>
      </c>
      <c r="G3364" s="54" t="s">
        <v>7054</v>
      </c>
      <c r="H3364" s="54" t="n">
        <v>13813</v>
      </c>
      <c r="I3364" s="54" t="s">
        <v>295</v>
      </c>
      <c r="J3364" s="54" t="s">
        <v>745</v>
      </c>
    </row>
    <row r="3365" customFormat="false" ht="15" hidden="false" customHeight="true" outlineLevel="0" collapsed="false">
      <c r="A3365" s="54" t="n">
        <v>20260712</v>
      </c>
      <c r="B3365" s="54" t="s">
        <v>688</v>
      </c>
      <c r="C3365" s="54" t="s">
        <v>307</v>
      </c>
      <c r="D3365" s="54" t="s">
        <v>7052</v>
      </c>
      <c r="E3365" s="54" t="s">
        <v>145</v>
      </c>
      <c r="F3365" s="54" t="s">
        <v>7055</v>
      </c>
      <c r="G3365" s="54" t="s">
        <v>7056</v>
      </c>
      <c r="H3365" s="54" t="n">
        <v>1576</v>
      </c>
      <c r="I3365" s="54" t="s">
        <v>295</v>
      </c>
      <c r="J3365" s="54" t="s">
        <v>745</v>
      </c>
    </row>
    <row r="3366" customFormat="false" ht="15" hidden="false" customHeight="true" outlineLevel="0" collapsed="false">
      <c r="A3366" s="54" t="n">
        <v>20260712</v>
      </c>
      <c r="B3366" s="54" t="s">
        <v>688</v>
      </c>
      <c r="C3366" s="54" t="s">
        <v>307</v>
      </c>
      <c r="D3366" s="54" t="s">
        <v>7052</v>
      </c>
      <c r="E3366" s="54" t="s">
        <v>145</v>
      </c>
      <c r="F3366" s="54" t="s">
        <v>7057</v>
      </c>
      <c r="G3366" s="54" t="s">
        <v>7058</v>
      </c>
      <c r="H3366" s="54" t="n">
        <v>1422</v>
      </c>
      <c r="I3366" s="54" t="s">
        <v>295</v>
      </c>
      <c r="J3366" s="54" t="s">
        <v>745</v>
      </c>
    </row>
    <row r="3367" customFormat="false" ht="15" hidden="false" customHeight="true" outlineLevel="0" collapsed="false">
      <c r="A3367" s="54" t="n">
        <v>20260712</v>
      </c>
      <c r="B3367" s="54" t="s">
        <v>688</v>
      </c>
      <c r="C3367" s="54" t="s">
        <v>307</v>
      </c>
      <c r="D3367" s="54" t="s">
        <v>7052</v>
      </c>
      <c r="E3367" s="54" t="s">
        <v>145</v>
      </c>
      <c r="F3367" s="54" t="s">
        <v>7059</v>
      </c>
      <c r="G3367" s="54" t="s">
        <v>7060</v>
      </c>
      <c r="H3367" s="54" t="n">
        <v>10812</v>
      </c>
      <c r="I3367" s="54" t="s">
        <v>295</v>
      </c>
      <c r="J3367" s="54" t="s">
        <v>745</v>
      </c>
    </row>
    <row r="3368" customFormat="false" ht="15" hidden="false" customHeight="true" outlineLevel="0" collapsed="false">
      <c r="A3368" s="54" t="n">
        <v>20260712</v>
      </c>
      <c r="B3368" s="54" t="s">
        <v>688</v>
      </c>
      <c r="C3368" s="54" t="s">
        <v>307</v>
      </c>
      <c r="D3368" s="54" t="s">
        <v>5090</v>
      </c>
      <c r="E3368" s="54" t="s">
        <v>139</v>
      </c>
      <c r="F3368" s="54" t="s">
        <v>7061</v>
      </c>
      <c r="G3368" s="54" t="s">
        <v>7062</v>
      </c>
      <c r="H3368" s="54" t="n">
        <v>14553</v>
      </c>
      <c r="I3368" s="54" t="s">
        <v>295</v>
      </c>
      <c r="J3368" s="54" t="s">
        <v>745</v>
      </c>
    </row>
    <row r="3369" customFormat="false" ht="15" hidden="false" customHeight="true" outlineLevel="0" collapsed="false">
      <c r="A3369" s="54" t="n">
        <v>20260712</v>
      </c>
      <c r="B3369" s="54" t="s">
        <v>688</v>
      </c>
      <c r="C3369" s="54" t="s">
        <v>307</v>
      </c>
      <c r="D3369" s="54" t="s">
        <v>5090</v>
      </c>
      <c r="E3369" s="54" t="s">
        <v>139</v>
      </c>
      <c r="F3369" s="54" t="s">
        <v>7063</v>
      </c>
      <c r="G3369" s="54" t="s">
        <v>7064</v>
      </c>
      <c r="H3369" s="54" t="n">
        <v>10021</v>
      </c>
      <c r="I3369" s="54" t="s">
        <v>295</v>
      </c>
      <c r="J3369" s="54" t="s">
        <v>745</v>
      </c>
    </row>
    <row r="3370" customFormat="false" ht="15" hidden="false" customHeight="true" outlineLevel="0" collapsed="false">
      <c r="A3370" s="54" t="n">
        <v>20260712</v>
      </c>
      <c r="B3370" s="54" t="s">
        <v>688</v>
      </c>
      <c r="C3370" s="54" t="s">
        <v>307</v>
      </c>
      <c r="D3370" s="54" t="s">
        <v>5090</v>
      </c>
      <c r="E3370" s="54" t="s">
        <v>139</v>
      </c>
      <c r="F3370" s="54" t="s">
        <v>7065</v>
      </c>
      <c r="G3370" s="54" t="s">
        <v>7066</v>
      </c>
      <c r="H3370" s="54" t="n">
        <v>7049</v>
      </c>
      <c r="I3370" s="54" t="s">
        <v>295</v>
      </c>
      <c r="J3370" s="54" t="s">
        <v>745</v>
      </c>
    </row>
    <row r="3371" customFormat="false" ht="15" hidden="false" customHeight="true" outlineLevel="0" collapsed="false">
      <c r="A3371" s="54" t="n">
        <v>20260712</v>
      </c>
      <c r="B3371" s="54" t="s">
        <v>306</v>
      </c>
      <c r="C3371" s="54" t="s">
        <v>290</v>
      </c>
      <c r="D3371" s="54" t="s">
        <v>5128</v>
      </c>
      <c r="E3371" s="54" t="s">
        <v>5129</v>
      </c>
      <c r="F3371" s="54" t="s">
        <v>7067</v>
      </c>
      <c r="G3371" s="54" t="s">
        <v>7068</v>
      </c>
      <c r="H3371" s="54" t="n">
        <v>14486</v>
      </c>
      <c r="I3371" s="54" t="s">
        <v>295</v>
      </c>
      <c r="J3371" s="54" t="s">
        <v>335</v>
      </c>
    </row>
    <row r="3372" customFormat="false" ht="15" hidden="false" customHeight="true" outlineLevel="0" collapsed="false">
      <c r="A3372" s="54" t="n">
        <v>20260712</v>
      </c>
      <c r="B3372" s="54" t="s">
        <v>306</v>
      </c>
      <c r="C3372" s="54" t="s">
        <v>290</v>
      </c>
      <c r="D3372" s="54" t="s">
        <v>5128</v>
      </c>
      <c r="E3372" s="54" t="s">
        <v>5129</v>
      </c>
      <c r="F3372" s="54" t="s">
        <v>7067</v>
      </c>
      <c r="G3372" s="54" t="s">
        <v>7069</v>
      </c>
      <c r="H3372" s="54" t="n">
        <v>14489</v>
      </c>
      <c r="I3372" s="54" t="s">
        <v>315</v>
      </c>
      <c r="J3372" s="54" t="s">
        <v>335</v>
      </c>
    </row>
    <row r="3373" customFormat="false" ht="15" hidden="false" customHeight="true" outlineLevel="0" collapsed="false">
      <c r="A3373" s="54" t="n">
        <v>20260712</v>
      </c>
      <c r="B3373" s="54" t="s">
        <v>306</v>
      </c>
      <c r="C3373" s="54" t="s">
        <v>290</v>
      </c>
      <c r="D3373" s="54" t="s">
        <v>5128</v>
      </c>
      <c r="E3373" s="54" t="s">
        <v>5129</v>
      </c>
      <c r="F3373" s="54" t="s">
        <v>7070</v>
      </c>
      <c r="G3373" s="54" t="s">
        <v>7071</v>
      </c>
      <c r="H3373" s="54" t="n">
        <v>13776</v>
      </c>
      <c r="I3373" s="54" t="s">
        <v>315</v>
      </c>
      <c r="J3373" s="54" t="s">
        <v>335</v>
      </c>
    </row>
    <row r="3374" customFormat="false" ht="15" hidden="false" customHeight="true" outlineLevel="0" collapsed="false">
      <c r="A3374" s="54" t="n">
        <v>20260712</v>
      </c>
      <c r="B3374" s="54" t="s">
        <v>306</v>
      </c>
      <c r="C3374" s="54" t="s">
        <v>290</v>
      </c>
      <c r="D3374" s="54" t="s">
        <v>5128</v>
      </c>
      <c r="E3374" s="54" t="s">
        <v>5129</v>
      </c>
      <c r="F3374" s="54" t="s">
        <v>7070</v>
      </c>
      <c r="G3374" s="54" t="s">
        <v>7071</v>
      </c>
      <c r="H3374" s="54" t="n">
        <v>13776</v>
      </c>
      <c r="I3374" s="54" t="s">
        <v>295</v>
      </c>
      <c r="J3374" s="54" t="s">
        <v>335</v>
      </c>
    </row>
    <row r="3375" customFormat="false" ht="15" hidden="false" customHeight="true" outlineLevel="0" collapsed="false">
      <c r="A3375" s="54" t="n">
        <v>20260712</v>
      </c>
      <c r="B3375" s="54" t="s">
        <v>306</v>
      </c>
      <c r="C3375" s="54" t="s">
        <v>290</v>
      </c>
      <c r="D3375" s="54" t="s">
        <v>5128</v>
      </c>
      <c r="E3375" s="54" t="s">
        <v>5129</v>
      </c>
      <c r="F3375" s="54" t="s">
        <v>7072</v>
      </c>
      <c r="G3375" s="54" t="s">
        <v>7073</v>
      </c>
      <c r="H3375" s="54" t="n">
        <v>852</v>
      </c>
      <c r="I3375" s="54" t="s">
        <v>295</v>
      </c>
      <c r="J3375" s="54" t="s">
        <v>335</v>
      </c>
    </row>
    <row r="3376" customFormat="false" ht="15" hidden="false" customHeight="true" outlineLevel="0" collapsed="false">
      <c r="A3376" s="54" t="n">
        <v>20260713</v>
      </c>
      <c r="B3376" s="54" t="s">
        <v>306</v>
      </c>
      <c r="C3376" s="54" t="s">
        <v>290</v>
      </c>
      <c r="D3376" s="54" t="s">
        <v>5010</v>
      </c>
      <c r="E3376" s="54" t="s">
        <v>5011</v>
      </c>
      <c r="F3376" s="54" t="s">
        <v>7039</v>
      </c>
      <c r="G3376" s="54" t="s">
        <v>7074</v>
      </c>
      <c r="H3376" s="54" t="n">
        <v>1</v>
      </c>
      <c r="I3376" s="54" t="s">
        <v>295</v>
      </c>
      <c r="J3376" s="54" t="s">
        <v>473</v>
      </c>
    </row>
    <row r="3377" customFormat="false" ht="15" hidden="false" customHeight="true" outlineLevel="0" collapsed="false">
      <c r="A3377" s="54" t="n">
        <v>20260713</v>
      </c>
      <c r="B3377" s="54" t="s">
        <v>306</v>
      </c>
      <c r="C3377" s="54" t="s">
        <v>290</v>
      </c>
      <c r="D3377" s="54" t="s">
        <v>5010</v>
      </c>
      <c r="E3377" s="54" t="s">
        <v>5011</v>
      </c>
      <c r="F3377" s="54" t="s">
        <v>7074</v>
      </c>
      <c r="G3377" s="54" t="s">
        <v>7075</v>
      </c>
      <c r="H3377" s="54" t="n">
        <v>40</v>
      </c>
      <c r="I3377" s="54" t="s">
        <v>315</v>
      </c>
      <c r="J3377" s="54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RICOUCH Zouhair (PRESTA EXT)</dc:creator>
  <dc:description/>
  <dc:language>en-US</dc:language>
  <cp:lastModifiedBy>ARBOUBBA Oumaima [EIDS]</cp:lastModifiedBy>
  <cp:lastPrinted>2025-06-06T08:29:46Z</cp:lastPrinted>
  <dcterms:modified xsi:type="dcterms:W3CDTF">2026-07-13T11:33:08Z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