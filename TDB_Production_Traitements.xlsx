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18d72dd21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d5d3d88007bc463b"/>
    <x:sheet xmlns:r="http://schemas.openxmlformats.org/officeDocument/2006/relationships" name="Configuration" sheetId="2" r:id="R9d2a62a8dc704aba"/>
    <x:sheet xmlns:r="http://schemas.openxmlformats.org/officeDocument/2006/relationships" name="Données" sheetId="3" r:id="Rb27423bda28b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17324F"/>
      <x:name val="Arial"/>
    </x:font>
    <x:font>
      <x:b/>
      <x:sz val="11"/>
      <x:color rgb="FF17324F"/>
      <x:name val="Arial"/>
    </x:font>
    <x:font>
      <x:sz val="11"/>
      <x:color rgb="FF17324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2"/>
      </x:patternFill>
    </x:fill>
    <x:fill>
      <x:patternFill patternType="solid">
        <x:fgColor rgb="FF17324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e23d7fb314c77" /><Relationship Type="http://schemas.openxmlformats.org/officeDocument/2006/relationships/theme" Target="/xl/theme/theme1.xml" Id="Ra7438f7511e54b18" /><Relationship Type="http://schemas.openxmlformats.org/officeDocument/2006/relationships/sharedStrings" Target="/xl/sharedStrings.xml" Id="R650a8f5b29384741" /><Relationship Type="http://schemas.openxmlformats.org/officeDocument/2006/relationships/worksheet" Target="/xl/worksheets/sheet1.xml" Id="Rd5d3d88007bc463b" /><Relationship Type="http://schemas.openxmlformats.org/officeDocument/2006/relationships/worksheet" Target="/xl/worksheets/sheet2.xml" Id="R9d2a62a8dc704aba" /><Relationship Type="http://schemas.openxmlformats.org/officeDocument/2006/relationships/worksheet" Target="/xl/worksheets/sheet3.xml" Id="Rb27423bda28b4ab1" /></Relationships>
</file>

<file path=xl/tables/table1.xml><?xml version="1.0" encoding="utf-8"?>
<x:table xmlns:x="http://schemas.openxmlformats.org/spreadsheetml/2006/main" id="1" name="ConfigDossier" displayName="ConfigDossier" ref="A5:A6" headerRowCount="1" totalsRowCount="0" totalsRowShown="0">
  <x:tableColumns count="1">
    <x:tableColumn id="1" name="Dossier 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64e101a8b4b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8" hidden="0" customWidth="1"/>
    <x:col min="4" max="4" width="18" hidden="0" customWidth="1"/>
    <x:col min="5" max="5" width="26" hidden="0" customWidth="1"/>
    <x:col min="6" max="6" width="29" hidden="0" customWidth="1"/>
    <x:col min="7" max="7" width="20" hidden="0" customWidth="1"/>
    <x:col min="8" max="8" width="20" hidden="0" customWidth="1"/>
  </x:cols>
  <x:sheetData>
    <x:row r="2">
      <x:c r="B2" s="1" t="str">
        <x:v>Production des traitements</x:v>
      </x:c>
    </x:row>
    <x:row r="3">
      <x:c r="B3" t="str">
        <x:v>Clôtures uniquement · actualiser les données après remplacement du CSV</x:v>
      </x:c>
    </x:row>
    <x:row r="5">
      <x:c r="B5" s="2" t="str">
        <x:v>Année</x:v>
      </x:c>
      <x:c r="C5" s="4" t="str">
        <x:v>Toutes</x:v>
      </x:c>
      <x:c r="E5" s="6" t="str">
        <x:v>Indicateur</x:v>
      </x:c>
      <x:c r="F5" s="6" t="str">
        <x:v>Valeur</x:v>
      </x:c>
    </x:row>
    <x:row r="6">
      <x:c r="B6" s="2" t="str">
        <x:v>Mois (1–12)</x:v>
      </x:c>
      <x:c r="C6" s="4" t="str">
        <x:v>Tous</x:v>
      </x:c>
      <x:c r="E6" t="str">
        <x:v>Traitements clôturés</x:v>
      </x:c>
      <x:c r="F6" t="n">
        <x:f>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)</x:f>
        <x:v>7</x:v>
      </x:c>
    </x:row>
    <x:row r="7">
      <x:c r="B7" s="2" t="str">
        <x:v>Semaine (AAAA-SNN)</x:v>
      </x:c>
      <x:c r="C7" s="4" t="str">
        <x:v>Toutes</x:v>
      </x:c>
      <x:c r="E7" t="str">
        <x:v>Temps total (h)</x:v>
      </x:c>
      <x:c r="F7" s="7" t="n">
        <x:f>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'Données'!$H$2:$H$5001)/3600</x:f>
        <x:v>0.01861111111111111</x:v>
      </x:c>
    </x:row>
    <x:row r="8">
      <x:c r="B8" s="2" t="str">
        <x:v>Jour (AAAA-MM-JJ)</x:v>
      </x:c>
      <x:c r="C8" s="4" t="str">
        <x:v>Tous</x:v>
      </x:c>
      <x:c r="E8" t="str">
        <x:v>DMT moyenne (min)</x:v>
      </x:c>
      <x:c r="F8" s="7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'Données'!$N$2:$N$5001)/60,0)</x:f>
        <x:v>0.3722222222222222</x:v>
      </x:c>
    </x:row>
    <x:row r="9">
      <x:c r="B9" s="2" t="str">
        <x:v>Collaborateur</x:v>
      </x:c>
      <x:c r="C9" s="4" t="str">
        <x:v>Tous</x:v>
      </x:c>
      <x:c r="E9" t="str">
        <x:v>DMT médiane (min)</x:v>
      </x:c>
      <x:c r="F9" t="n">
        <x:f>IFERROR((AGGREGATE(15,6,'Données'!$H$2:$H$5001/(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)*'Données'!$N$2:$N$5001),INT((SUMPRODUCT(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)*'Données'!$N$2:$N$5001)+1)/2))+AGGREGATE(15,6,'Données'!$H$2:$H$5001/(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)*'Données'!$N$2:$N$5001),INT((SUMPRODUCT(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)*'Données'!$N$2:$N$5001)+2)/2)))/120,0)</x:f>
        <x:v>0</x:v>
      </x:c>
    </x:row>
    <x:row r="10">
      <x:c r="B10" s="2" t="str">
        <x:v>Type de traitement</x:v>
      </x:c>
      <x:c r="C10" s="4" t="str">
        <x:v>Tous</x:v>
      </x:c>
    </x:row>
    <x:row r="13">
      <x:c r="B13" t="str">
        <x:v>Détail par collaborateur</x:v>
      </x:c>
      <x:c r="F13" t="str">
        <x:v>Détail par type</x:v>
      </x:c>
    </x:row>
    <x:row r="14">
      <x:c r="B14" s="6" t="str">
        <x:v>Collaborateur</x:v>
      </x:c>
      <x:c r="C14" s="6" t="str">
        <x:v>Clôtures</x:v>
      </x:c>
      <x:c r="D14" s="6" t="str">
        <x:v>DMT moyenne (min)</x:v>
      </x:c>
      <x:c r="F14" s="6" t="str">
        <x:v>Type</x:v>
      </x:c>
      <x:c r="G14" s="6" t="str">
        <x:v>Clôtures</x:v>
      </x:c>
      <x:c r="H14" s="6" t="str">
        <x:v>DMT moyenne (min)</x:v>
      </x:c>
    </x:row>
    <x:row r="15">
      <x:c r="B15" t="str">
        <x:v>OUBRAHMO</x:v>
      </x:c>
      <x:c r="C15" t="n">
        <x:f>IF(B15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15)))</x:f>
        <x:v>3</x:v>
      </x:c>
      <x:c r="D15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15)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15),'Données'!$N$2:$N$5001)/60,0)</x:f>
        <x:v>0.48333333333333334</x:v>
      </x:c>
      <x:c r="F15" t="str">
        <x:v>Avis de décès</x:v>
      </x:c>
      <x:c r="G15" t="n">
        <x:f>IF(F15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15)))</x:f>
        <x:v>1</x:v>
      </x:c>
      <x:c r="H15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15)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15),'Données'!$N$2:$N$5001)/60,0)</x:f>
        <x:v>0.05</x:v>
      </x:c>
    </x:row>
    <x:row r="16">
      <x:c r="B16" t="str">
        <x:v>HAMDANMO</x:v>
      </x:c>
      <x:c r="C16" t="n">
        <x:f>IF(B16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16)))</x:f>
        <x:v>2</x:v>
      </x:c>
      <x:c r="D16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16)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16),'Données'!$N$2:$N$5001)/60,0)</x:f>
        <x:v>0</x:v>
      </x:c>
      <x:c r="F16" t="str">
        <x:v>Hommage</x:v>
      </x:c>
      <x:c r="G16" t="n">
        <x:f>IF(F16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16)))</x:f>
        <x:v>2</x:v>
      </x:c>
      <x:c r="H16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16)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16),'Données'!$N$2:$N$5001)/60,0)</x:f>
        <x:v>0.5333333333333333</x:v>
      </x:c>
    </x:row>
    <x:row r="17">
      <x:c r="B17" t="str">
        <x:v>RMAIDIIM</x:v>
      </x:c>
      <x:c r="C17" t="n">
        <x:f>IF(B17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17)))</x:f>
        <x:v>2</x:v>
      </x:c>
      <x:c r="D17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17)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17),'Données'!$N$2:$N$5001)/60,0)</x:f>
        <x:v>0.15</x:v>
      </x:c>
      <x:c r="F17" t="str">
        <x:v>Avis de Messe</x:v>
      </x:c>
      <x:c r="G17" t="n">
        <x:f>IF(F17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17)))</x:f>
        <x:v>1</x:v>
      </x:c>
      <x:c r="H17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17)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17),'Données'!$N$2:$N$5001)/60,0)</x:f>
        <x:v>0</x:v>
      </x:c>
    </x:row>
    <x:row r="18">
      <x:c r="B18" t="str"/>
      <x:c r="C18" t="str">
        <x:f>IF(B18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18)))</x:f>
      </x:c>
      <x:c r="D18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18)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18),'Données'!$N$2:$N$5001)/60,0)</x:f>
        <x:v>0</x:v>
      </x:c>
      <x:c r="F18" t="str">
        <x:v>Remerciements</x:v>
      </x:c>
      <x:c r="G18" t="n">
        <x:f>IF(F18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18)))</x:f>
        <x:v>1</x:v>
      </x:c>
      <x:c r="H18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18)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18),'Données'!$N$2:$N$5001)/60,0)</x:f>
        <x:v>0</x:v>
      </x:c>
    </x:row>
    <x:row r="19">
      <x:c r="B19" t="str"/>
      <x:c r="C19" t="str">
        <x:f>IF(B19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19)))</x:f>
      </x:c>
      <x:c r="D19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19)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19),'Données'!$N$2:$N$5001)/60,0)</x:f>
        <x:v>0</x:v>
      </x:c>
      <x:c r="F19" t="str"/>
      <x:c r="G19" t="str">
        <x:f>IF(F19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19)))</x:f>
      </x:c>
      <x:c r="H19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19)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19),'Données'!$N$2:$N$5001)/60,0)</x:f>
        <x:v>0</x:v>
      </x:c>
    </x:row>
    <x:row r="20">
      <x:c r="B20" t="str"/>
      <x:c r="C20" t="str">
        <x:f>IF(B20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20)))</x:f>
      </x:c>
      <x:c r="D20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20)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20),'Données'!$N$2:$N$5001)/60,0)</x:f>
        <x:v>0</x:v>
      </x:c>
      <x:c r="F20" t="str"/>
      <x:c r="G20" t="str">
        <x:f>IF(F20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20)))</x:f>
      </x:c>
      <x:c r="H20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20)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20),'Données'!$N$2:$N$5001)/60,0)</x:f>
        <x:v>0</x:v>
      </x:c>
    </x:row>
    <x:row r="21">
      <x:c r="B21" t="str"/>
      <x:c r="C21" t="str">
        <x:f>IF(B21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21)))</x:f>
      </x:c>
      <x:c r="D21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21)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21),'Données'!$N$2:$N$5001)/60,0)</x:f>
        <x:v>0</x:v>
      </x:c>
      <x:c r="F21" t="str"/>
      <x:c r="G21" t="str">
        <x:f>IF(F21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21)))</x:f>
      </x:c>
      <x:c r="H21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21)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21),'Données'!$N$2:$N$5001)/60,0)</x:f>
        <x:v>0</x:v>
      </x:c>
    </x:row>
    <x:row r="22">
      <x:c r="B22" t="str"/>
      <x:c r="C22" t="str">
        <x:f>IF(B22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22)))</x:f>
      </x:c>
      <x:c r="D22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22)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22),'Données'!$N$2:$N$5001)/60,0)</x:f>
        <x:v>0</x:v>
      </x:c>
      <x:c r="F22" t="str"/>
      <x:c r="G22" t="str">
        <x:f>IF(F22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22)))</x:f>
      </x:c>
      <x:c r="H22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22)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22),'Données'!$N$2:$N$5001)/60,0)</x:f>
        <x:v>0</x:v>
      </x:c>
    </x:row>
    <x:row r="23">
      <x:c r="B23" t="str"/>
      <x:c r="C23" t="str">
        <x:f>IF(B23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23)))</x:f>
      </x:c>
      <x:c r="D23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23)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23),'Données'!$N$2:$N$5001)/60,0)</x:f>
        <x:v>0</x:v>
      </x:c>
      <x:c r="F23" t="str"/>
      <x:c r="G23" t="str">
        <x:f>IF(F23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23)))</x:f>
      </x:c>
      <x:c r="H23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23)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23),'Données'!$N$2:$N$5001)/60,0)</x:f>
        <x:v>0</x:v>
      </x:c>
    </x:row>
    <x:row r="24">
      <x:c r="B24" t="str"/>
      <x:c r="C24" t="str">
        <x:f>IF(B24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24)))</x:f>
      </x:c>
      <x:c r="D24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24)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24),'Données'!$N$2:$N$5001)/60,0)</x:f>
        <x:v>0</x:v>
      </x:c>
      <x:c r="F24" t="str"/>
      <x:c r="G24" t="str">
        <x:f>IF(F24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24)))</x:f>
      </x:c>
      <x:c r="H24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24)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24),'Données'!$N$2:$N$5001)/60,0)</x:f>
        <x:v>0</x:v>
      </x:c>
    </x:row>
    <x:row r="25">
      <x:c r="B25" t="str"/>
      <x:c r="C25" t="str">
        <x:f>IF(B25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25)))</x:f>
      </x:c>
      <x:c r="D25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25)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25),'Données'!$N$2:$N$5001)/60,0)</x:f>
        <x:v>0</x:v>
      </x:c>
      <x:c r="F25" t="str"/>
      <x:c r="G25" t="str">
        <x:f>IF(F25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25)))</x:f>
      </x:c>
      <x:c r="H25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25)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25),'Données'!$N$2:$N$5001)/60,0)</x:f>
        <x:v>0</x:v>
      </x:c>
    </x:row>
    <x:row r="26">
      <x:c r="B26" t="str"/>
      <x:c r="C26" t="str">
        <x:f>IF(B26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26)))</x:f>
      </x:c>
      <x:c r="D26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26)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26),'Données'!$N$2:$N$5001)/60,0)</x:f>
        <x:v>0</x:v>
      </x:c>
      <x:c r="F26" t="str"/>
      <x:c r="G26" t="str">
        <x:f>IF(F26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26)))</x:f>
      </x:c>
      <x:c r="H26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26)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26),'Données'!$N$2:$N$5001)/60,0)</x:f>
        <x:v>0</x:v>
      </x:c>
    </x:row>
    <x:row r="27">
      <x:c r="B27" t="str"/>
      <x:c r="C27" t="str">
        <x:f>IF(B27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27)))</x:f>
      </x:c>
      <x:c r="D27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27)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27),'Données'!$N$2:$N$5001)/60,0)</x:f>
        <x:v>0</x:v>
      </x:c>
      <x:c r="F27" t="str"/>
      <x:c r="G27" t="str">
        <x:f>IF(F27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27)))</x:f>
      </x:c>
      <x:c r="H27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27)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27),'Données'!$N$2:$N$5001)/60,0)</x:f>
        <x:v>0</x:v>
      </x:c>
    </x:row>
    <x:row r="28">
      <x:c r="B28" t="str"/>
      <x:c r="C28" t="str">
        <x:f>IF(B28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28)))</x:f>
      </x:c>
      <x:c r="D28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28)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28),'Données'!$N$2:$N$5001)/60,0)</x:f>
        <x:v>0</x:v>
      </x:c>
      <x:c r="F28" t="str"/>
      <x:c r="G28" t="str">
        <x:f>IF(F28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28)))</x:f>
      </x:c>
      <x:c r="H28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28)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28),'Données'!$N$2:$N$5001)/60,0)</x:f>
        <x:v>0</x:v>
      </x:c>
    </x:row>
    <x:row r="29">
      <x:c r="B29" t="str"/>
      <x:c r="C29" t="str">
        <x:f>IF(B29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29)))</x:f>
      </x:c>
      <x:c r="D29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29)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C$2:$C$5001=B29),'Données'!$N$2:$N$5001)/60,0)</x:f>
        <x:v>0</x:v>
      </x:c>
      <x:c r="F29" t="str"/>
      <x:c r="G29" t="str">
        <x:f>IF(F29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29)))</x:f>
      </x:c>
      <x:c r="H29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29)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29),'Données'!$N$2:$N$5001)/60,0)</x:f>
        <x:v>0</x:v>
      </x:c>
    </x:row>
    <x:row r="30">
      <x:c r="F30" t="str"/>
      <x:c r="G30" t="str">
        <x:f>IF(F30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30)))</x:f>
      </x:c>
      <x:c r="H30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30)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30),'Données'!$N$2:$N$5001)/60,0)</x:f>
        <x:v>0</x:v>
      </x:c>
    </x:row>
    <x:row r="31">
      <x:c r="F31" t="str"/>
      <x:c r="G31" t="str">
        <x:f>IF(F31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31)))</x:f>
      </x:c>
      <x:c r="H31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31)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31),'Données'!$N$2:$N$5001)/60,0)</x:f>
        <x:v>0</x:v>
      </x:c>
    </x:row>
    <x:row r="32">
      <x:c r="F32" t="str"/>
      <x:c r="G32" t="str">
        <x:f>IF(F32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32)))</x:f>
      </x:c>
      <x:c r="H32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32)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32),'Données'!$N$2:$N$5001)/60,0)</x:f>
        <x:v>0</x:v>
      </x:c>
    </x:row>
    <x:row r="33">
      <x:c r="F33" t="str"/>
      <x:c r="G33" t="str">
        <x:f>IF(F33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33)))</x:f>
      </x:c>
      <x:c r="H33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33)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33),'Données'!$N$2:$N$5001)/60,0)</x:f>
        <x:v>0</x:v>
      </x:c>
    </x:row>
    <x:row r="34">
      <x:c r="F34" t="str"/>
      <x:c r="G34" t="str">
        <x:f>IF(F34="","",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34)))</x:f>
      </x:c>
      <x:c r="H34" t="n">
        <x:f>IFERROR(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34),'Données'!$H$2:$H$5001)/SUMPRODUCT(('Données'!$A$2:$A$5001&lt;&gt;"")*('Données'!$I$2:$I$5001&lt;&gt;"")*IF($C$5="Toutes",1,--('Données'!$J$2:$J$5001=$C$5))*IF($C$6="Tous",1,--('Données'!$K$2:$K$5001=$C$6))*IF($C$7="Toutes",1,--('Données'!$L$2:$L$5001=$C$7))*IF($C$8="Tous",1,--('Données'!$M$2:$M$5001=$C$8))*IF($C$9="Tous",1,--('Données'!$C$2:$C$5001=$C$9))*IF($C$10="Tous",1,--('Données'!$D$2:$D$5001=$C$10)),--('Données'!$D$2:$D$5001=F34),'Données'!$N$2:$N$5001)/60,0)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  <x:col min="2" max="2" width="55" hidden="0" customWidth="1"/>
  </x:cols>
  <x:sheetData>
    <x:row r="2">
      <x:c r="A2" s="1" t="str">
        <x:v>Actualisation du CSV</x:v>
      </x:c>
    </x:row>
    <x:row r="5">
      <x:c r="A5" t="str">
        <x:v>Dossier CSV</x:v>
      </x:c>
    </x:row>
    <x:row r="6">
      <x:c r="A6" t="str">
        <x:v>C:\CHEMIN\VERS\DOSSIER</x:v>
      </x:c>
    </x:row>
    <x:row r="8">
      <x:c r="A8" t="str">
        <x:v>1. Saisir le chemin Windows complet du dossier dans A6.</x:v>
      </x:c>
    </x:row>
    <x:row r="9">
      <x:c r="A9" t="str">
        <x:v>2. Données &gt; Obtenir des données &gt; À partir d’autres sources &gt; Requête vide &gt; Éditeur avancé.</x:v>
      </x:c>
    </x:row>
    <x:row r="10">
      <x:c r="A10" t="str">
        <x:v>3. Effacer les exemples de la feuille Données, coller la requête, puis charger le résultat en Données!A1.</x:v>
      </x:c>
    </x:row>
    <x:row r="11">
      <x:c r="A11" t="str">
        <x:v>4. Après chaque remplacement du CSV : Données &gt; Actualiser tout.</x:v>
      </x:c>
    </x:row>
    <x:row r="12">
      <x:c r="A12" t="str">
        <x:v>5. Le CSV doit être celui des traitements ; le journal est ignoré.</x:v>
      </x:c>
    </x:row>
    <x:row r="15">
      <x:c r="A15" t="str">
        <x:v>REQUÊTE POWER QUERY À COLLER</x:v>
      </x:c>
    </x:row>
    <x:row r="16" ht="900" customHeight="1">
      <x:c r="A16" s="8" t="str">
        <x:v>let
  Dossier = Excel.CurrentWorkbook(){[Name="ConfigDossier"]}[Content]{0}[Dossier CSV],
  Fichiers = Folder.Files(Dossier),
  CSV = Table.SelectRows(Fichiers, each Text.EndsWith(Text.Lower([Name]), "_traitements.csv") and not Text.Contains(Text.Lower([Name]), "_journal")),
  Unique = if Table.RowCount(CSV) &lt;&gt; 1 then error "Un seul CSV de traitements doit être présent dans le dossier." else CSV{0}[Content],
  Brut = Csv.Document(Unique,[Delimiter=";",Encoding=65001,QuoteStyle=QuoteStyle.Csv]),
  Entetes = Table.PromoteHeaders(Brut,[PromoteAllScalars=true]),
  Champs = Table.SelectColumns(Entetes,{"id","datePriseEnCharge","collaborateur","type","origine","statut","dateFin","dmtSecondes"},MissingField.UseNull),
  Typage = Table.TransformColumns(Champs, {{"dmtSecondes", each try Number.FromText(_, "fr-FR") otherwise null, type nullable number}}),
  DateLocale = Table.AddColumn(Typage,"DateCloture",each try Date.From(DateTimeZone.FromText([dateFin])) otherwise null,type nullable date),
  Annee = Table.AddColumn(DateLocale,"Annee",each if [DateCloture]=null then null else Date.Year([DateCloture]),Int64.Type),
  Mois = Table.AddColumn(Annee,"Mois",each if [DateCloture]=null then null else Date.Month([DateCloture]),Int64.Type),
  DebutSemaine = Table.AddColumn(Mois,"DebutSemaine",each if [DateCloture]=null then null else Date.StartOfWeek(Date.AddDays([DateCloture],if Date.DayOfWeek([DateCloture],Day.Monday)=6 then 1 else 0),Day.Monday),type nullable date),
  Semaine = Table.AddColumn(DebutSemaine,"Semaine",each if [DebutSemaine]=null then null else Text.From(Date.Year(Date.AddDays([DebutSemaine],3))) &amp; "-S" &amp; Text.PadStart(Text.From(Date.WeekOfYear(Date.AddDays([DebutSemaine],3),Day.Monday)),2,"0"),type nullable text),
  Jour = Table.AddColumn(Semaine,"Jour",each if [DateCloture]=null then null else Date.ToText([DateCloture],"yyyy-MM-dd"),type nullable text),
  DMTValide = Table.AddColumn(Jour,"DMTValide",each if [dmtSecondes] = null then 0 else 1,Int64.Type),
  Sortie = Table.SelectColumns(DMTValide,{"id","datePriseEnCharge","collaborateur","type","origine","statut","dateFin","dmtSecondes","DateCloture","Annee","Mois","Semaine","Jour","DMTValide"})
in
  Sortie</x:v>
      </x:c>
    </x:row>
  </x:sheetData>
  <x:pageMargins left="0.7" right="0.7" top="0.75" bottom="0.75" header="0.3" footer="0.3"/>
  <x:tableParts count="1">
    <x:tablePart xmlns:r="http://schemas.openxmlformats.org/officeDocument/2006/relationships" r:id="Rd0964e101a8b4b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id</x:v>
      </x:c>
      <x:c r="B1" s="6" t="str">
        <x:v>datePriseEnCharge</x:v>
      </x:c>
      <x:c r="C1" s="6" t="str">
        <x:v>collaborateur</x:v>
      </x:c>
      <x:c r="D1" s="6" t="str">
        <x:v>type</x:v>
      </x:c>
      <x:c r="E1" s="6" t="str">
        <x:v>origine</x:v>
      </x:c>
      <x:c r="F1" s="6" t="str">
        <x:v>statut</x:v>
      </x:c>
      <x:c r="G1" s="6" t="str">
        <x:v>dateFin</x:v>
      </x:c>
      <x:c r="H1" s="6" t="str">
        <x:v>dmtSecondes</x:v>
      </x:c>
      <x:c r="I1" s="6" t="str">
        <x:v>DateCloture</x:v>
      </x:c>
      <x:c r="J1" s="6" t="str">
        <x:v>Annee</x:v>
      </x:c>
      <x:c r="K1" s="6" t="str">
        <x:v>Mois</x:v>
      </x:c>
      <x:c r="L1" s="6" t="str">
        <x:v>Semaine</x:v>
      </x:c>
      <x:c r="M1" s="6" t="str">
        <x:v>Jour</x:v>
      </x:c>
      <x:c r="N1" s="6" t="str">
        <x:v>DMTValide</x:v>
      </x:c>
    </x:row>
    <x:row r="2">
      <x:c r="A2" t="str">
        <x:v>deff7686-e597-4336-989c-05606b14f4ed</x:v>
      </x:c>
      <x:c r="B2" t="n">
        <x:v>46288.52390818287</x:v>
      </x:c>
      <x:c r="C2" t="str">
        <x:v>OUBRAHMO</x:v>
      </x:c>
      <x:c r="D2" t="str">
        <x:v>Avis de décès</x:v>
      </x:c>
      <x:c r="E2" t="str">
        <x:v>Front</x:v>
      </x:c>
      <x:c r="F2" t="str">
        <x:v>Termine</x:v>
      </x:c>
      <x:c r="G2" t="n">
        <x:v>46288.52394359954</x:v>
      </x:c>
      <x:c r="H2" t="n">
        <x:v>3</x:v>
      </x:c>
      <x:c r="I2" t="str">
        <x:v>2026-09-23</x:v>
      </x:c>
      <x:c r="J2" t="n">
        <x:v>2026</x:v>
      </x:c>
      <x:c r="K2" t="n">
        <x:v>9</x:v>
      </x:c>
      <x:c r="L2" t="str">
        <x:v>2026-S39</x:v>
      </x:c>
      <x:c r="M2" t="str">
        <x:v>2026-09-23</x:v>
      </x:c>
      <x:c r="N2" t="n">
        <x:v>1</x:v>
      </x:c>
    </x:row>
    <x:row r="3">
      <x:c r="A3" t="str">
        <x:v>2f0cdfbd-0daf-4eed-be8e-34dcbedf6fe1</x:v>
      </x:c>
      <x:c r="B3" t="n">
        <x:v>46288.5258968287</x:v>
      </x:c>
      <x:c r="C3" t="str">
        <x:v>OUBRAHMO</x:v>
      </x:c>
      <x:c r="D3" t="str"/>
      <x:c r="E3" t="str">
        <x:v>Back</x:v>
      </x:c>
      <x:c r="F3" t="str">
        <x:v>Libere</x:v>
      </x:c>
      <x:c r="G3" t="n">
        <x:v>46288.52638471065</x:v>
      </x:c>
      <x:c r="H3"/>
      <x:c r="I3" t="str">
        <x:v>2026-09-23</x:v>
      </x:c>
      <x:c r="J3" t="n">
        <x:v>2026</x:v>
      </x:c>
      <x:c r="K3" t="n">
        <x:v>9</x:v>
      </x:c>
      <x:c r="L3" t="str">
        <x:v>2026-S39</x:v>
      </x:c>
      <x:c r="M3" t="str">
        <x:v>2026-09-23</x:v>
      </x:c>
      <x:c r="N3" t="n">
        <x:v>0</x:v>
      </x:c>
    </x:row>
    <x:row r="4">
      <x:c r="A4" t="str">
        <x:v>abb0ff46-af9e-448e-9992-697831f86979</x:v>
      </x:c>
      <x:c r="B4" t="n">
        <x:v>46288.52663068287</x:v>
      </x:c>
      <x:c r="C4" t="str">
        <x:v>OUBRAHMO</x:v>
      </x:c>
      <x:c r="D4" t="str">
        <x:v>Hommage</x:v>
      </x:c>
      <x:c r="E4" t="str">
        <x:v>Back</x:v>
      </x:c>
      <x:c r="F4" t="str">
        <x:v>Termine</x:v>
      </x:c>
      <x:c r="G4" t="n">
        <x:v>46288.52727076389</x:v>
      </x:c>
      <x:c r="H4" t="n">
        <x:v>55</x:v>
      </x:c>
      <x:c r="I4" t="str">
        <x:v>2026-09-23</x:v>
      </x:c>
      <x:c r="J4" t="n">
        <x:v>2026</x:v>
      </x:c>
      <x:c r="K4" t="n">
        <x:v>9</x:v>
      </x:c>
      <x:c r="L4" t="str">
        <x:v>2026-S39</x:v>
      </x:c>
      <x:c r="M4" t="str">
        <x:v>2026-09-23</x:v>
      </x:c>
      <x:c r="N4" t="n">
        <x:v>1</x:v>
      </x:c>
    </x:row>
    <x:row r="5">
      <x:c r="A5" t="str">
        <x:v>d682e398-627c-4e62-8203-d861ca100551</x:v>
      </x:c>
      <x:c r="B5" t="n">
        <x:v>46288.62059452546</x:v>
      </x:c>
      <x:c r="C5" t="str">
        <x:v>HAMDANMO</x:v>
      </x:c>
      <x:c r="D5" t="str"/>
      <x:c r="E5" t="str">
        <x:v>Back</x:v>
      </x:c>
      <x:c r="F5" t="str">
        <x:v>Libere</x:v>
      </x:c>
      <x:c r="G5" t="n">
        <x:v>46288.62669464121</x:v>
      </x:c>
      <x:c r="H5"/>
      <x:c r="I5" t="str">
        <x:v>2026-09-23</x:v>
      </x:c>
      <x:c r="J5" t="n">
        <x:v>2026</x:v>
      </x:c>
      <x:c r="K5" t="n">
        <x:v>9</x:v>
      </x:c>
      <x:c r="L5" t="str">
        <x:v>2026-S39</x:v>
      </x:c>
      <x:c r="M5" t="str">
        <x:v>2026-09-23</x:v>
      </x:c>
      <x:c r="N5" t="n">
        <x:v>0</x:v>
      </x:c>
    </x:row>
    <x:row r="6">
      <x:c r="A6" t="str">
        <x:v>d5a3933a-5636-4229-8318-6a54f3870641</x:v>
      </x:c>
      <x:c r="B6" t="n">
        <x:v>46288.62787296296</x:v>
      </x:c>
      <x:c r="C6" t="str">
        <x:v>HAMDANMO</x:v>
      </x:c>
      <x:c r="D6" t="str">
        <x:v>Avis de Messe</x:v>
      </x:c>
      <x:c r="E6" t="str">
        <x:v>Back</x:v>
      </x:c>
      <x:c r="F6" t="str">
        <x:v>Libere</x:v>
      </x:c>
      <x:c r="G6" t="n">
        <x:v>46288.62878475695</x:v>
      </x:c>
      <x:c r="H6"/>
      <x:c r="I6" t="str">
        <x:v>2026-09-23</x:v>
      </x:c>
      <x:c r="J6" t="n">
        <x:v>2026</x:v>
      </x:c>
      <x:c r="K6" t="n">
        <x:v>9</x:v>
      </x:c>
      <x:c r="L6" t="str">
        <x:v>2026-S39</x:v>
      </x:c>
      <x:c r="M6" t="str">
        <x:v>2026-09-23</x:v>
      </x:c>
      <x:c r="N6" t="n">
        <x:v>0</x:v>
      </x:c>
    </x:row>
    <x:row r="7">
      <x:c r="A7" t="str">
        <x:v>a0bbddbd-e3a5-430b-acd9-c24f6739adc7</x:v>
      </x:c>
      <x:c r="B7" t="n">
        <x:v>46288.64193334491</x:v>
      </x:c>
      <x:c r="C7" t="str">
        <x:v>RMAIDIIM</x:v>
      </x:c>
      <x:c r="D7" t="str">
        <x:v>Remerciements</x:v>
      </x:c>
      <x:c r="E7" t="str">
        <x:v>Back</x:v>
      </x:c>
      <x:c r="F7" t="str">
        <x:v>Libere</x:v>
      </x:c>
      <x:c r="G7" t="n">
        <x:v>46288.64209274306</x:v>
      </x:c>
      <x:c r="H7"/>
      <x:c r="I7" t="str">
        <x:v>2026-09-23</x:v>
      </x:c>
      <x:c r="J7" t="n">
        <x:v>2026</x:v>
      </x:c>
      <x:c r="K7" t="n">
        <x:v>9</x:v>
      </x:c>
      <x:c r="L7" t="str">
        <x:v>2026-S39</x:v>
      </x:c>
      <x:c r="M7" t="str">
        <x:v>2026-09-23</x:v>
      </x:c>
      <x:c r="N7" t="n">
        <x:v>0</x:v>
      </x:c>
    </x:row>
    <x:row r="8">
      <x:c r="A8" t="str">
        <x:v>937981c6-8a5b-4bf7-8563-b2d41bf7d300</x:v>
      </x:c>
      <x:c r="B8" t="n">
        <x:v>46288.642588055554</x:v>
      </x:c>
      <x:c r="C8" t="str">
        <x:v>RMAIDIIM</x:v>
      </x:c>
      <x:c r="D8" t="str">
        <x:v>Hommage</x:v>
      </x:c>
      <x:c r="E8" t="str">
        <x:v>Front</x:v>
      </x:c>
      <x:c r="F8" t="str">
        <x:v>Termine</x:v>
      </x:c>
      <x:c r="G8" t="n">
        <x:v>46288.64270040509</x:v>
      </x:c>
      <x:c r="H8" t="n">
        <x:v>9</x:v>
      </x:c>
      <x:c r="I8" t="str">
        <x:v>2026-09-23</x:v>
      </x:c>
      <x:c r="J8" t="n">
        <x:v>2026</x:v>
      </x:c>
      <x:c r="K8" t="n">
        <x:v>9</x:v>
      </x:c>
      <x:c r="L8" t="str">
        <x:v>2026-S39</x:v>
      </x:c>
      <x:c r="M8" t="str">
        <x:v>2026-09-23</x:v>
      </x:c>
      <x:c r="N8" t="n">
        <x:v>1</x:v>
      </x:c>
    </x:row>
  </x:sheetData>
  <x:pageMargins left="0.7" right="0.7" top="0.75" bottom="0.75" header="0.3" footer="0.3"/>
</x:worksheet>
</file>