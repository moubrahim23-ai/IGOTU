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54f1df030844c2" /></Relationships>
</file>

<file path=xl/workbook.xml><?xml version="1.0" encoding="utf-8"?>
<x:workbook xmlns:x="http://schemas.openxmlformats.org/spreadsheetml/2006/main">
  <x:sheets>
    <x:sheet xmlns:r="http://schemas.openxmlformats.org/officeDocument/2006/relationships" name="Tableau de bord" sheetId="1" r:id="R223b4bcf2f9149f5"/>
    <x:sheet xmlns:r="http://schemas.openxmlformats.org/officeDocument/2006/relationships" name="Collaborateurs" sheetId="2" r:id="R319d1bf755f64f6b"/>
    <x:sheet xmlns:r="http://schemas.openxmlformats.org/officeDocument/2006/relationships" name="Suivi corrections" sheetId="3" r:id="R4ce03d78c23e44e6"/>
    <x:sheet xmlns:r="http://schemas.openxmlformats.org/officeDocument/2006/relationships" name="Donnees" sheetId="4" r:id="R8fcc73e49dd1437e"/>
    <x:sheet xmlns:r="http://schemas.openxmlformats.org/officeDocument/2006/relationships" name="Power Query" sheetId="5" r:id="R6f10fb4c483b49a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mm/yyyy"/>
    <x:numFmt numFmtId="201" formatCode="@"/>
    <x:numFmt numFmtId="202" formatCode="0"/>
    <x:numFmt numFmtId="203" formatCode="0.0%"/>
  </x:numFmts>
  <x:fonts count="8">
    <x:font>
      <x:sz val="11"/>
      <x:name val="Carlito"/>
    </x:font>
    <x:font>
      <x:sz val="10"/>
      <x:color rgb="FF243247"/>
      <x:name val="Arial"/>
    </x:font>
    <x:font>
      <x:b/>
      <x:sz val="10"/>
      <x:color rgb="FFFFFFFF"/>
      <x:name val="Arial"/>
    </x:font>
    <x:font>
      <x:b/>
      <x:sz val="16"/>
      <x:color rgb="FF233753"/>
      <x:name val="Arial"/>
    </x:font>
    <x:font>
      <x:sz val="10"/>
      <x:color rgb="FF637187"/>
      <x:name val="Arial"/>
    </x:font>
    <x:font>
      <x:b/>
      <x:sz val="16"/>
      <x:color rgb="FFB94742"/>
      <x:name val="Arial"/>
    </x:font>
    <x:font>
      <x:b/>
      <x:sz val="10"/>
      <x:color rgb="FF243247"/>
      <x:name val="Arial"/>
    </x:font>
    <x:font>
      <x:sz val="10"/>
      <x:color rgb="FF233753"/>
      <x:name val="Arial"/>
    </x:font>
  </x:fonts>
  <x:fills count="5">
    <x:fill>
      <x:patternFill patternType="none"/>
    </x:fill>
    <x:fill>
      <x:patternFill patternType="gray125"/>
    </x:fill>
    <x:fill>
      <x:patternFill patternType="solid">
        <x:fgColor rgb="FF233753"/>
      </x:patternFill>
    </x:fill>
    <x:fill>
      <x:patternFill patternType="solid">
        <x:fgColor rgb="FFFFF2CC"/>
      </x:patternFill>
    </x:fill>
    <x:fill>
      <x:patternFill patternType="solid">
        <x:fgColor rgb="FFEEF2F7"/>
      </x:patternFill>
    </x:fill>
  </x:fills>
  <x:borders count="1">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1" fillId="3" borderId="0" xfId="0" applyNumberFormat="1" applyFont="1" applyFill="1" applyBorder="1" applyAlignment="1">
      <x:alignment vertical="center"/>
    </x:xf>
    <x:xf numFmtId="202" fontId="1" fillId="0" borderId="0" xfId="0" applyNumberFormat="1" applyFont="1" applyFill="1" applyBorder="1" applyAlignment="1">
      <x:alignment vertical="center"/>
    </x:xf>
    <x:xf numFmtId="202" fontId="3" fillId="0" borderId="0" xfId="0" applyNumberFormat="1" applyFont="1" applyFill="1" applyBorder="1" applyAlignment="1">
      <x:alignment vertical="center"/>
    </x:xf>
    <x:xf numFmtId="202" fontId="5"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203" fontId="3"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7" fillId="4"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7" fillId="4" borderId="0" xfId="0" applyNumberFormat="1" applyFont="1" applyFill="1" applyBorder="1" applyAlignment="1">
      <x:alignment vertical="top" wrapText="1"/>
    </x:xf>
  </x:cellXfs>
  <x:cellStyles count="1">
    <x:cellStyle name="Normal" xfId="0"/>
  </x:cellStyles>
  <x:dxfs count="2">
    <x:dxf>
      <x:font>
        <x:b/>
        <x:color rgb="FF654788"/>
      </x:font>
      <x:fill>
        <x:patternFill patternType="solid">
          <x:bgColor rgb="FFEEE7F6"/>
        </x:patternFill>
      </x:fill>
    </x:dxf>
    <x:dxf>
      <x:font>
        <x:color rgb="FFB94742"/>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c2c540719b4657" /><Relationship Type="http://schemas.openxmlformats.org/officeDocument/2006/relationships/theme" Target="/xl/theme/theme1.xml" Id="R54afcf7aa4004385" /><Relationship Type="http://schemas.openxmlformats.org/officeDocument/2006/relationships/sharedStrings" Target="/xl/sharedStrings.xml" Id="R9cf1583cbc044b81" /><Relationship Type="http://schemas.openxmlformats.org/officeDocument/2006/relationships/worksheet" Target="/xl/worksheets/sheet1.xml" Id="R223b4bcf2f9149f5" /><Relationship Type="http://schemas.openxmlformats.org/officeDocument/2006/relationships/worksheet" Target="/xl/worksheets/sheet2.xml" Id="R319d1bf755f64f6b" /><Relationship Type="http://schemas.openxmlformats.org/officeDocument/2006/relationships/worksheet" Target="/xl/worksheets/sheet3.xml" Id="R4ce03d78c23e44e6" /><Relationship Type="http://schemas.openxmlformats.org/officeDocument/2006/relationships/worksheet" Target="/xl/worksheets/sheet4.xml" Id="R8fcc73e49dd1437e" /><Relationship Type="http://schemas.openxmlformats.org/officeDocument/2006/relationships/worksheet" Target="/xl/worksheets/sheet5.xml" Id="R6f10fb4c483b49a5"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210c2bf9154e2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Non-validations par quartile</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Non validés</c:v>
          </c:tx>
          <c:spPr>
            <a:solidFill xmlns:a="http://schemas.openxmlformats.org/drawingml/2006/main">
              <a:srgbClr val="8064A2"/>
            </a:solidFill>
          </c:spPr>
          <c:cat>
            <c:strRef>
              <c:f>'Tableau de bord'!$H$13:$H$16</c:f>
              <c:strCache>
                <c:ptCount val="0"/>
              </c:strCache>
            </c:strRef>
          </c:cat>
          <c:val>
            <c:numRef>
              <c:f>'Tableau de bord'!$I$13:$I$16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20</xdr:row>
      <xdr:rowOff>0</xdr:rowOff>
    </xdr:from>
    <xdr:to>
      <xdr:col>13</xdr:col>
      <xdr:colOff>0</xdr:colOff>
      <xdr:row>34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210c2bf9154e28"/>
        </a:graphicData>
      </a:graphic>
    </xdr:graphicFrame>
    <xdr:clientData/>
  </xdr:twoCellAnchor>
</xdr:wsDr>
</file>

<file path=xl/tables/table1.xml><?xml version="1.0" encoding="utf-8"?>
<x:table xmlns:x="http://schemas.openxmlformats.org/spreadsheetml/2006/main" id="2" name="tSuivi" displayName="tSuivi" ref="A5:M55" headerRowCount="1" totalsRowCount="0" totalsRowShown="0">
  <x:tableColumns count="13">
    <x:tableColumn id="1" name="Id War"/>
    <x:tableColumn id="2" name="Collaborateur"/>
    <x:tableColumn id="3" name="Nature"/>
    <x:tableColumn id="4" name="Décision initiale"/>
    <x:tableColumn id="5" name="Quartile"/>
    <x:tableColumn id="6" name="Commentaire initial"/>
    <x:tableColumn id="7" name="Motif retenu"/>
    <x:tableColumn id="8" name="Action corrective"/>
    <x:tableColumn id="9" name="Responsable"/>
    <x:tableColumn id="10" name="Date correction"/>
    <x:tableColumn id="11" name="Résultat recontrôle"/>
    <x:tableColumn id="12" name="Date recontrôle"/>
    <x:tableColumn id="13" name="État du suivi"/>
  </x:tableColumns>
  <x:tableStyleInfo name="TableStyleMedium2" showFirstColumn="0" showLastColumn="0" showRowStripes="1" showColumnStripes="0"/>
</x:table>
</file>

<file path=xl/tables/table2.xml><?xml version="1.0" encoding="utf-8"?>
<x:table xmlns:x="http://schemas.openxmlformats.org/spreadsheetml/2006/main" id="1" name="tControles" displayName="tControles" ref="A1:L172" headerRowCount="1" totalsRowCount="0" totalsRowShown="0">
  <x:tableColumns count="12">
    <x:tableColumn id="1" name="Id War"/>
    <x:tableColumn id="2" name="Date reception"/>
    <x:tableColumn id="3" name="Date affectation"/>
    <x:tableColumn id="4" name="Date traitement"/>
    <x:tableColumn id="5" name="Collaborateur"/>
    <x:tableColumn id="6" name="Nature"/>
    <x:tableColumn id="7" name="Statut manager"/>
    <x:tableColumn id="8" name="Quartile"/>
    <x:tableColumn id="9" name="Commentaire"/>
    <x:tableColumn id="10" name="Onglet source"/>
    <x:tableColumn id="11" name="Ligne source"/>
    <x:tableColumn id="12" name="Rang collaborateur"/>
  </x:tableColumns>
  <x:tableStyleInfo name="TableStyleMedium2" showFirstColumn="0" showLastColumn="0" showRowStripes="1" showColumnStripes="0"/>
</x:table>
</file>

<file path=xl/tables/table3.xml><?xml version="1.0" encoding="utf-8"?>
<x:table xmlns:x="http://schemas.openxmlformats.org/spreadsheetml/2006/main" id="3" name="tParametres" displayName="tParametres" ref="B5:B6" headerRowCount="1" totalsRowCount="0" totalsRowShown="0">
  <x:tableColumns count="1">
    <x:tableColumn id="1" name="Che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f35a48c323b4a81" /></Relationships>
</file>

<file path=xl/worksheets/_rels/sheet3.xml.rels>&#65279;<?xml version="1.0" encoding="utf-8"?><Relationships xmlns="http://schemas.openxmlformats.org/package/2006/relationships"><Relationship Type="http://schemas.openxmlformats.org/officeDocument/2006/relationships/table" Target="/xl/tables/table1.xml" Id="R581e942123a34119" /></Relationships>
</file>

<file path=xl/worksheets/_rels/sheet4.xml.rels>&#65279;<?xml version="1.0" encoding="utf-8"?><Relationships xmlns="http://schemas.openxmlformats.org/package/2006/relationships"><Relationship Type="http://schemas.openxmlformats.org/officeDocument/2006/relationships/table" Target="/xl/tables/table2.xml" Id="R56e71b7301e44428" /></Relationships>
</file>

<file path=xl/worksheets/_rels/sheet5.xml.rels>&#65279;<?xml version="1.0" encoding="utf-8"?><Relationships xmlns="http://schemas.openxmlformats.org/package/2006/relationships"><Relationship Type="http://schemas.openxmlformats.org/officeDocument/2006/relationships/table" Target="/xl/tables/table3.xml" Id="R1ae608ca127e4a3d" /></Relationships>
</file>

<file path=xl/worksheets/sheet1.xml><?xml version="1.0" encoding="utf-8"?>
<x:worksheet xmlns:x="http://schemas.openxmlformats.org/spreadsheetml/2006/main">
  <x:sheetPr>
    <x:tabColor rgb="FF233753"/>
  </x:sheetPr>
  <x:sheetViews>
    <x:sheetView showGridLines="0" workbookViewId="0"/>
  </x:sheetViews>
  <x:sheetFormatPr defaultRowHeight="15"/>
  <x:cols>
    <x:col min="1" max="1" width="3" hidden="0" customWidth="1"/>
    <x:col min="2" max="2" width="2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2" ht="23" customHeight="1">
      <x:c r="B2" s="9" t="str">
        <x:v>Contrôle ACT — septembre 2026</x:v>
      </x:c>
      <x:c r="C2" s="2"/>
      <x:c r="D2" s="2"/>
      <x:c r="E2" s="2"/>
      <x:c r="F2" s="2"/>
      <x:c r="G2" s="2"/>
      <x:c r="H2" s="2"/>
      <x:c r="I2" s="2"/>
      <x:c r="J2" s="2"/>
      <x:c r="K2" s="2"/>
      <x:c r="L2" s="2"/>
    </x:row>
    <x:row r="3" ht="23" customHeight="1">
      <x:c r="B3" s="10" t="str">
        <x:v>Période filtrée sur la date d’affectation. Décisions initiales, avant correction.</x:v>
      </x:c>
      <x:c r="C3" s="2"/>
      <x:c r="D3" s="2"/>
      <x:c r="E3" s="2"/>
      <x:c r="F3" s="2"/>
      <x:c r="G3" s="2"/>
      <x:c r="H3" s="2"/>
      <x:c r="I3" s="2"/>
      <x:c r="J3" s="2"/>
      <x:c r="K3" s="2"/>
      <x:c r="L3" s="2"/>
    </x:row>
    <x:row r="4" ht="23" customHeight="1">
      <x:c r="B4" s="2"/>
      <x:c r="C4" s="2"/>
      <x:c r="D4" s="2"/>
      <x:c r="E4" s="2"/>
      <x:c r="F4" s="2"/>
      <x:c r="G4" s="2"/>
      <x:c r="H4" s="2"/>
      <x:c r="I4" s="2"/>
      <x:c r="J4" s="2"/>
      <x:c r="K4" s="2"/>
      <x:c r="L4" s="2"/>
    </x:row>
    <x:row r="5" ht="23" customHeight="1">
      <x:c r="B5" s="2" t="str">
        <x:v>Du</x:v>
      </x:c>
      <x:c r="C5" s="11" t="n">
        <x:v>46266</x:v>
      </x:c>
      <x:c r="D5" s="2"/>
      <x:c r="E5" s="2" t="str">
        <x:v>Au</x:v>
      </x:c>
      <x:c r="F5" s="11" t="n">
        <x:v>46295</x:v>
      </x:c>
      <x:c r="G5" s="2"/>
      <x:c r="H5" s="2"/>
      <x:c r="I5" s="2" t="str">
        <x:v>Nature</x:v>
      </x:c>
      <x:c r="J5" s="12" t="str">
        <x:v>Toutes</x:v>
      </x:c>
      <x:c r="K5" s="2"/>
      <x:c r="L5" s="2"/>
    </x:row>
    <x:row r="6" ht="23" customHeight="1">
      <x:c r="B6" s="2"/>
      <x:c r="C6" s="2"/>
      <x:c r="D6" s="2"/>
      <x:c r="E6" s="2"/>
      <x:c r="F6" s="2"/>
      <x:c r="G6" s="2"/>
      <x:c r="H6" s="2"/>
      <x:c r="I6" s="2"/>
      <x:c r="J6" s="2"/>
      <x:c r="K6" s="2"/>
      <x:c r="L6" s="2"/>
    </x:row>
    <x:row r="7" ht="23" customHeight="1">
      <x:c r="B7" s="2" t="str">
        <x:v>Contrôlés</x:v>
      </x:c>
      <x:c r="C7" s="2"/>
      <x:c r="D7" s="2" t="str">
        <x:v>Validés</x:v>
      </x:c>
      <x:c r="E7" s="2"/>
      <x:c r="F7" s="2" t="str">
        <x:v>Non validés</x:v>
      </x:c>
      <x:c r="G7" s="2"/>
      <x:c r="H7" s="2" t="str">
        <x:v>À vérifier</x:v>
      </x:c>
      <x:c r="I7" s="2"/>
      <x:c r="J7" s="2" t="str">
        <x:v>Validation définitive</x:v>
      </x:c>
      <x:c r="K7" s="2"/>
      <x:c r="L7" s="2"/>
    </x:row>
    <x:row r="8" ht="23" customHeight="1">
      <x:c r="B8" s="14" t="n">
        <x:f>COUNTIFS('Donnees'!$A$2:$A$2001,"&lt;&gt;",'Donnees'!$C$2:$C$2001,"&gt;="&amp;'Tableau de bord'!$C$5,'Donnees'!$C$2:$C$2001,"&lt;="&amp;'Tableau de bord'!$F$5,'Donnees'!$F$2:$F$2001,IF('Tableau de bord'!$J$5="Toutes","*",'Tableau de bord'!$J$5))</x:f>
        <x:v>171</x:v>
      </x:c>
      <x:c r="C8" s="2"/>
      <x:c r="D8" s="14" t="n">
        <x:f>COUNTIFS('Donnees'!$A$2:$A$2001,"&lt;&gt;",'Donnees'!$C$2:$C$2001,"&gt;="&amp;'Tableau de bord'!$C$5,'Donnees'!$C$2:$C$2001,"&lt;="&amp;'Tableau de bord'!$F$5,'Donnees'!$F$2:$F$2001,IF('Tableau de bord'!$J$5="Toutes","*",'Tableau de bord'!$J$5),'Donnees'!$G$2:$G$2001,"mail validé")</x:f>
        <x:v>121</x:v>
      </x:c>
      <x:c r="E8" s="2"/>
      <x:c r="F8" s="15" t="n">
        <x:f>COUNTIFS('Donnees'!$A$2:$A$2001,"&lt;&gt;",'Donnees'!$C$2:$C$2001,"&gt;="&amp;'Tableau de bord'!$C$5,'Donnees'!$C$2:$C$2001,"&lt;="&amp;'Tableau de bord'!$F$5,'Donnees'!$F$2:$F$2001,IF('Tableau de bord'!$J$5="Toutes","*",'Tableau de bord'!$J$5),'Donnees'!$G$2:$G$2001,"mail non validé")</x:f>
        <x:v>47</x:v>
      </x:c>
      <x:c r="G8" s="2"/>
      <x:c r="H8" s="14" t="n">
        <x:f>COUNTIFS('Donnees'!$A$2:$A$2001,"&lt;&gt;",'Donnees'!$C$2:$C$2001,"&gt;="&amp;'Tableau de bord'!$C$5,'Donnees'!$C$2:$C$2001,"&lt;="&amp;'Tableau de bord'!$F$5,'Donnees'!$F$2:$F$2001,IF('Tableau de bord'!$J$5="Toutes","*",'Tableau de bord'!$J$5),'Donnees'!$G$2:$G$2001,"à vérifier")</x:f>
        <x:v>3</x:v>
      </x:c>
      <x:c r="I8" s="2"/>
      <x:c r="J8" s="17" t="n">
        <x:f>IF(D8+F8=0,"n.a.",D8/(D8+F8))</x:f>
        <x:v>0.7202380952380952</x:v>
      </x:c>
      <x:c r="K8" s="2"/>
      <x:c r="L8" s="2"/>
    </x:row>
    <x:row r="9" ht="23" customHeight="1">
      <x:c r="B9" s="2"/>
      <x:c r="C9" s="2"/>
      <x:c r="D9" s="2"/>
      <x:c r="E9" s="2"/>
      <x:c r="F9" s="2"/>
      <x:c r="G9" s="2"/>
      <x:c r="H9" s="2"/>
      <x:c r="I9" s="2"/>
      <x:c r="J9" s="2"/>
      <x:c r="K9" s="2"/>
      <x:c r="L9" s="2"/>
    </x:row>
    <x:row r="10" ht="23" customHeight="1">
      <x:c r="B10" s="10" t="str">
        <x:v>Validation définitive = validés / (validés + non validés). À vérifier exclus du dénominateur.</x:v>
      </x:c>
      <x:c r="C10" s="2"/>
      <x:c r="D10" s="2"/>
      <x:c r="E10" s="2"/>
      <x:c r="F10" s="2"/>
      <x:c r="G10" s="2"/>
      <x:c r="H10" s="2"/>
      <x:c r="I10" s="2"/>
      <x:c r="J10" s="2"/>
      <x:c r="K10" s="2"/>
      <x:c r="L10" s="2"/>
    </x:row>
    <x:row r="11" ht="23" customHeight="1">
      <x:c r="B11" s="2"/>
      <x:c r="C11" s="2"/>
      <x:c r="D11" s="2"/>
      <x:c r="E11" s="2"/>
      <x:c r="F11" s="2"/>
      <x:c r="G11" s="2"/>
      <x:c r="H11" s="2"/>
      <x:c r="I11" s="2"/>
      <x:c r="J11" s="2"/>
      <x:c r="K11" s="2"/>
      <x:c r="L11" s="2"/>
    </x:row>
    <x:row r="12" ht="34" customHeight="1">
      <x:c r="B12" s="6" t="str">
        <x:v>Nature</x:v>
      </x:c>
      <x:c r="C12" s="6" t="str">
        <x:v>Contrôlés</x:v>
      </x:c>
      <x:c r="D12" s="6" t="str">
        <x:v>Non validés</x:v>
      </x:c>
      <x:c r="E12" s="6" t="str">
        <x:v>À vérifier</x:v>
      </x:c>
      <x:c r="F12" s="6" t="str">
        <x:v>Taux non-valid.</x:v>
      </x:c>
      <x:c r="G12" s="2"/>
      <x:c r="H12" s="6" t="str">
        <x:v>Quartile</x:v>
      </x:c>
      <x:c r="I12" s="6" t="str">
        <x:v>Non validés</x:v>
      </x:c>
      <x:c r="J12" s="2"/>
      <x:c r="K12" s="2"/>
      <x:c r="L12" s="2"/>
    </x:row>
    <x:row r="13" ht="23" customHeight="1">
      <x:c r="B13" s="2" t="str">
        <x:v>DOM</x:v>
      </x:c>
      <x:c r="C13" s="2" t="n">
        <x:f>COUNTIFS('Donnees'!$A$2:$A$2001,"&lt;&gt;",'Donnees'!$C$2:$C$2001,"&gt;="&amp;'Tableau de bord'!$C$5,'Donnees'!$C$2:$C$2001,"&lt;="&amp;'Tableau de bord'!$F$5,'Donnees'!$F$2:$F$2001,IF('Tableau de bord'!$J$5="Toutes","*",'Tableau de bord'!$J$5),'Donnees'!$F$2:$F$2001,B13)</x:f>
        <x:v>82</x:v>
      </x:c>
      <x:c r="D13" s="2" t="n">
        <x:f>COUNTIFS('Donnees'!$A$2:$A$2001,"&lt;&gt;",'Donnees'!$C$2:$C$2001,"&gt;="&amp;'Tableau de bord'!$C$5,'Donnees'!$C$2:$C$2001,"&lt;="&amp;'Tableau de bord'!$F$5,'Donnees'!$F$2:$F$2001,IF('Tableau de bord'!$J$5="Toutes","*",'Tableau de bord'!$J$5),'Donnees'!$F$2:$F$2001,B13,'Donnees'!$G$2:$G$2001,"mail non validé")</x:f>
        <x:v>17</x:v>
      </x:c>
      <x:c r="E13" s="2" t="n">
        <x:f>COUNTIFS('Donnees'!$A$2:$A$2001,"&lt;&gt;",'Donnees'!$C$2:$C$2001,"&gt;="&amp;'Tableau de bord'!$C$5,'Donnees'!$C$2:$C$2001,"&lt;="&amp;'Tableau de bord'!$F$5,'Donnees'!$F$2:$F$2001,IF('Tableau de bord'!$J$5="Toutes","*",'Tableau de bord'!$J$5),'Donnees'!$F$2:$F$2001,B13,'Donnees'!$G$2:$G$2001,"à vérifier")</x:f>
        <x:v>0</x:v>
      </x:c>
      <x:c r="F13" s="16" t="n">
        <x:f>IF(C13=0,"n.a.",D13/C13)</x:f>
        <x:v>0.2073170731707317</x:v>
      </x:c>
      <x:c r="G13" s="2"/>
      <x:c r="H13" s="2" t="str">
        <x:v>Q1</x:v>
      </x:c>
      <x:c r="I13" s="2" t="n">
        <x:f>COUNTIFS('Donnees'!$A$2:$A$2001,"&lt;&gt;",'Donnees'!$C$2:$C$2001,"&gt;="&amp;'Tableau de bord'!$C$5,'Donnees'!$C$2:$C$2001,"&lt;="&amp;'Tableau de bord'!$F$5,'Donnees'!$F$2:$F$2001,IF('Tableau de bord'!$J$5="Toutes","*",'Tableau de bord'!$J$5),'Donnees'!$G$2:$G$2001,"mail non validé",'Donnees'!$H$2:$H$2001,H13)</x:f>
        <x:v>11</x:v>
      </x:c>
      <x:c r="J13" s="2"/>
      <x:c r="K13" s="2"/>
      <x:c r="L13" s="2"/>
    </x:row>
    <x:row r="14" ht="23" customHeight="1">
      <x:c r="B14" s="2" t="str">
        <x:v>RIB</x:v>
      </x:c>
      <x:c r="C14" s="2" t="n">
        <x:f>COUNTIFS('Donnees'!$A$2:$A$2001,"&lt;&gt;",'Donnees'!$C$2:$C$2001,"&gt;="&amp;'Tableau de bord'!$C$5,'Donnees'!$C$2:$C$2001,"&lt;="&amp;'Tableau de bord'!$F$5,'Donnees'!$F$2:$F$2001,IF('Tableau de bord'!$J$5="Toutes","*",'Tableau de bord'!$J$5),'Donnees'!$F$2:$F$2001,B14)</x:f>
        <x:v>60</x:v>
      </x:c>
      <x:c r="D14" s="2" t="n">
        <x:f>COUNTIFS('Donnees'!$A$2:$A$2001,"&lt;&gt;",'Donnees'!$C$2:$C$2001,"&gt;="&amp;'Tableau de bord'!$C$5,'Donnees'!$C$2:$C$2001,"&lt;="&amp;'Tableau de bord'!$F$5,'Donnees'!$F$2:$F$2001,IF('Tableau de bord'!$J$5="Toutes","*",'Tableau de bord'!$J$5),'Donnees'!$F$2:$F$2001,B14,'Donnees'!$G$2:$G$2001,"mail non validé")</x:f>
        <x:v>26</x:v>
      </x:c>
      <x:c r="E14" s="2" t="n">
        <x:f>COUNTIFS('Donnees'!$A$2:$A$2001,"&lt;&gt;",'Donnees'!$C$2:$C$2001,"&gt;="&amp;'Tableau de bord'!$C$5,'Donnees'!$C$2:$C$2001,"&lt;="&amp;'Tableau de bord'!$F$5,'Donnees'!$F$2:$F$2001,IF('Tableau de bord'!$J$5="Toutes","*",'Tableau de bord'!$J$5),'Donnees'!$F$2:$F$2001,B14,'Donnees'!$G$2:$G$2001,"à vérifier")</x:f>
        <x:v>0</x:v>
      </x:c>
      <x:c r="F14" s="16" t="n">
        <x:f>IF(C14=0,"n.a.",D14/C14)</x:f>
        <x:v>0.43333333333333335</x:v>
      </x:c>
      <x:c r="G14" s="2"/>
      <x:c r="H14" s="2" t="str">
        <x:v>Q2</x:v>
      </x:c>
      <x:c r="I14" s="2" t="n">
        <x:f>COUNTIFS('Donnees'!$A$2:$A$2001,"&lt;&gt;",'Donnees'!$C$2:$C$2001,"&gt;="&amp;'Tableau de bord'!$C$5,'Donnees'!$C$2:$C$2001,"&lt;="&amp;'Tableau de bord'!$F$5,'Donnees'!$F$2:$F$2001,IF('Tableau de bord'!$J$5="Toutes","*",'Tableau de bord'!$J$5),'Donnees'!$G$2:$G$2001,"mail non validé",'Donnees'!$H$2:$H$2001,H14)</x:f>
        <x:v>11</x:v>
      </x:c>
      <x:c r="J14" s="2"/>
      <x:c r="K14" s="2"/>
      <x:c r="L14" s="2"/>
    </x:row>
    <x:row r="15" ht="23" customHeight="1">
      <x:c r="B15" s="2" t="str">
        <x:v>NANT</x:v>
      </x:c>
      <x:c r="C15" s="2" t="n">
        <x:f>COUNTIFS('Donnees'!$A$2:$A$2001,"&lt;&gt;",'Donnees'!$C$2:$C$2001,"&gt;="&amp;'Tableau de bord'!$C$5,'Donnees'!$C$2:$C$2001,"&lt;="&amp;'Tableau de bord'!$F$5,'Donnees'!$F$2:$F$2001,IF('Tableau de bord'!$J$5="Toutes","*",'Tableau de bord'!$J$5),'Donnees'!$F$2:$F$2001,B15)</x:f>
        <x:v>14</x:v>
      </x:c>
      <x:c r="D15" s="2" t="n">
        <x:f>COUNTIFS('Donnees'!$A$2:$A$2001,"&lt;&gt;",'Donnees'!$C$2:$C$2001,"&gt;="&amp;'Tableau de bord'!$C$5,'Donnees'!$C$2:$C$2001,"&lt;="&amp;'Tableau de bord'!$F$5,'Donnees'!$F$2:$F$2001,IF('Tableau de bord'!$J$5="Toutes","*",'Tableau de bord'!$J$5),'Donnees'!$F$2:$F$2001,B15,'Donnees'!$G$2:$G$2001,"mail non validé")</x:f>
        <x:v>0</x:v>
      </x:c>
      <x:c r="E15" s="2" t="n">
        <x:f>COUNTIFS('Donnees'!$A$2:$A$2001,"&lt;&gt;",'Donnees'!$C$2:$C$2001,"&gt;="&amp;'Tableau de bord'!$C$5,'Donnees'!$C$2:$C$2001,"&lt;="&amp;'Tableau de bord'!$F$5,'Donnees'!$F$2:$F$2001,IF('Tableau de bord'!$J$5="Toutes","*",'Tableau de bord'!$J$5),'Donnees'!$F$2:$F$2001,B15,'Donnees'!$G$2:$G$2001,"à vérifier")</x:f>
        <x:v>0</x:v>
      </x:c>
      <x:c r="F15" s="16" t="n">
        <x:f>IF(C15=0,"n.a.",D15/C15)</x:f>
        <x:v>0</x:v>
      </x:c>
      <x:c r="G15" s="2"/>
      <x:c r="H15" s="2" t="str">
        <x:v>Q3</x:v>
      </x:c>
      <x:c r="I15" s="2" t="n">
        <x:f>COUNTIFS('Donnees'!$A$2:$A$2001,"&lt;&gt;",'Donnees'!$C$2:$C$2001,"&gt;="&amp;'Tableau de bord'!$C$5,'Donnees'!$C$2:$C$2001,"&lt;="&amp;'Tableau de bord'!$F$5,'Donnees'!$F$2:$F$2001,IF('Tableau de bord'!$J$5="Toutes","*",'Tableau de bord'!$J$5),'Donnees'!$G$2:$G$2001,"mail non validé",'Donnees'!$H$2:$H$2001,H15)</x:f>
        <x:v>25</x:v>
      </x:c>
      <x:c r="J15" s="2"/>
      <x:c r="K15" s="2"/>
      <x:c r="L15" s="2"/>
    </x:row>
    <x:row r="16" ht="23" customHeight="1">
      <x:c r="B16" s="2" t="str">
        <x:v>DOCS</x:v>
      </x:c>
      <x:c r="C16" s="2" t="n">
        <x:f>COUNTIFS('Donnees'!$A$2:$A$2001,"&lt;&gt;",'Donnees'!$C$2:$C$2001,"&gt;="&amp;'Tableau de bord'!$C$5,'Donnees'!$C$2:$C$2001,"&lt;="&amp;'Tableau de bord'!$F$5,'Donnees'!$F$2:$F$2001,IF('Tableau de bord'!$J$5="Toutes","*",'Tableau de bord'!$J$5),'Donnees'!$F$2:$F$2001,B16)</x:f>
        <x:v>7</x:v>
      </x:c>
      <x:c r="D16" s="2" t="n">
        <x:f>COUNTIFS('Donnees'!$A$2:$A$2001,"&lt;&gt;",'Donnees'!$C$2:$C$2001,"&gt;="&amp;'Tableau de bord'!$C$5,'Donnees'!$C$2:$C$2001,"&lt;="&amp;'Tableau de bord'!$F$5,'Donnees'!$F$2:$F$2001,IF('Tableau de bord'!$J$5="Toutes","*",'Tableau de bord'!$J$5),'Donnees'!$F$2:$F$2001,B16,'Donnees'!$G$2:$G$2001,"mail non validé")</x:f>
        <x:v>4</x:v>
      </x:c>
      <x:c r="E16" s="2" t="n">
        <x:f>COUNTIFS('Donnees'!$A$2:$A$2001,"&lt;&gt;",'Donnees'!$C$2:$C$2001,"&gt;="&amp;'Tableau de bord'!$C$5,'Donnees'!$C$2:$C$2001,"&lt;="&amp;'Tableau de bord'!$F$5,'Donnees'!$F$2:$F$2001,IF('Tableau de bord'!$J$5="Toutes","*",'Tableau de bord'!$J$5),'Donnees'!$F$2:$F$2001,B16,'Donnees'!$G$2:$G$2001,"à vérifier")</x:f>
        <x:v>1</x:v>
      </x:c>
      <x:c r="F16" s="16" t="n">
        <x:f>IF(C16=0,"n.a.",D16/C16)</x:f>
        <x:v>0.5714285714285714</x:v>
      </x:c>
      <x:c r="G16" s="2"/>
      <x:c r="H16" s="2" t="str">
        <x:v>Q4</x:v>
      </x:c>
      <x:c r="I16" s="2" t="n">
        <x:f>COUNTIFS('Donnees'!$A$2:$A$2001,"&lt;&gt;",'Donnees'!$C$2:$C$2001,"&gt;="&amp;'Tableau de bord'!$C$5,'Donnees'!$C$2:$C$2001,"&lt;="&amp;'Tableau de bord'!$F$5,'Donnees'!$F$2:$F$2001,IF('Tableau de bord'!$J$5="Toutes","*",'Tableau de bord'!$J$5),'Donnees'!$G$2:$G$2001,"mail non validé",'Donnees'!$H$2:$H$2001,H16)</x:f>
        <x:v>0</x:v>
      </x:c>
      <x:c r="J16" s="2"/>
      <x:c r="K16" s="2"/>
      <x:c r="L16" s="2"/>
    </x:row>
    <x:row r="17" ht="23" customHeight="1">
      <x:c r="B17" s="2" t="str">
        <x:v>FISCA</x:v>
      </x:c>
      <x:c r="C17" s="2" t="n">
        <x:f>COUNTIFS('Donnees'!$A$2:$A$2001,"&lt;&gt;",'Donnees'!$C$2:$C$2001,"&gt;="&amp;'Tableau de bord'!$C$5,'Donnees'!$C$2:$C$2001,"&lt;="&amp;'Tableau de bord'!$F$5,'Donnees'!$F$2:$F$2001,IF('Tableau de bord'!$J$5="Toutes","*",'Tableau de bord'!$J$5),'Donnees'!$F$2:$F$2001,B17)</x:f>
        <x:v>7</x:v>
      </x:c>
      <x:c r="D17" s="2" t="n">
        <x:f>COUNTIFS('Donnees'!$A$2:$A$2001,"&lt;&gt;",'Donnees'!$C$2:$C$2001,"&gt;="&amp;'Tableau de bord'!$C$5,'Donnees'!$C$2:$C$2001,"&lt;="&amp;'Tableau de bord'!$F$5,'Donnees'!$F$2:$F$2001,IF('Tableau de bord'!$J$5="Toutes","*",'Tableau de bord'!$J$5),'Donnees'!$F$2:$F$2001,B17,'Donnees'!$G$2:$G$2001,"mail non validé")</x:f>
        <x:v>0</x:v>
      </x:c>
      <x:c r="E17" s="2" t="n">
        <x:f>COUNTIFS('Donnees'!$A$2:$A$2001,"&lt;&gt;",'Donnees'!$C$2:$C$2001,"&gt;="&amp;'Tableau de bord'!$C$5,'Donnees'!$C$2:$C$2001,"&lt;="&amp;'Tableau de bord'!$F$5,'Donnees'!$F$2:$F$2001,IF('Tableau de bord'!$J$5="Toutes","*",'Tableau de bord'!$J$5),'Donnees'!$F$2:$F$2001,B17,'Donnees'!$G$2:$G$2001,"à vérifier")</x:f>
        <x:v>1</x:v>
      </x:c>
      <x:c r="F17" s="16" t="n">
        <x:f>IF(C17=0,"n.a.",D17/C17)</x:f>
        <x:v>0</x:v>
      </x:c>
      <x:c r="G17" s="2"/>
      <x:c r="H17" s="2" t="str">
        <x:v>Autre / vide</x:v>
      </x:c>
      <x:c r="I17" s="2" t="n">
        <x:f>F8-SUM(I13:I16)</x:f>
        <x:v>0</x:v>
      </x:c>
      <x:c r="J17" s="2"/>
      <x:c r="K17" s="2"/>
      <x:c r="L17" s="2"/>
    </x:row>
    <x:row r="18" ht="23" customHeight="1">
      <x:c r="B18" s="2" t="str">
        <x:v>OV</x:v>
      </x:c>
      <x:c r="C18" s="2" t="n">
        <x:f>COUNTIFS('Donnees'!$A$2:$A$2001,"&lt;&gt;",'Donnees'!$C$2:$C$2001,"&gt;="&amp;'Tableau de bord'!$C$5,'Donnees'!$C$2:$C$2001,"&lt;="&amp;'Tableau de bord'!$F$5,'Donnees'!$F$2:$F$2001,IF('Tableau de bord'!$J$5="Toutes","*",'Tableau de bord'!$J$5),'Donnees'!$F$2:$F$2001,B18)</x:f>
        <x:v>1</x:v>
      </x:c>
      <x:c r="D18" s="2" t="n">
        <x:f>COUNTIFS('Donnees'!$A$2:$A$2001,"&lt;&gt;",'Donnees'!$C$2:$C$2001,"&gt;="&amp;'Tableau de bord'!$C$5,'Donnees'!$C$2:$C$2001,"&lt;="&amp;'Tableau de bord'!$F$5,'Donnees'!$F$2:$F$2001,IF('Tableau de bord'!$J$5="Toutes","*",'Tableau de bord'!$J$5),'Donnees'!$F$2:$F$2001,B18,'Donnees'!$G$2:$G$2001,"mail non validé")</x:f>
        <x:v>0</x:v>
      </x:c>
      <x:c r="E18" s="2" t="n">
        <x:f>COUNTIFS('Donnees'!$A$2:$A$2001,"&lt;&gt;",'Donnees'!$C$2:$C$2001,"&gt;="&amp;'Tableau de bord'!$C$5,'Donnees'!$C$2:$C$2001,"&lt;="&amp;'Tableau de bord'!$F$5,'Donnees'!$F$2:$F$2001,IF('Tableau de bord'!$J$5="Toutes","*",'Tableau de bord'!$J$5),'Donnees'!$F$2:$F$2001,B18,'Donnees'!$G$2:$G$2001,"à vérifier")</x:f>
        <x:v>1</x:v>
      </x:c>
      <x:c r="F18" s="16" t="n">
        <x:f>IF(C18=0,"n.a.",D18/C18)</x:f>
        <x:v>0</x:v>
      </x:c>
      <x:c r="G18" s="2"/>
      <x:c r="H18" s="2"/>
      <x:c r="I18" s="2"/>
      <x:c r="J18" s="2"/>
      <x:c r="K18" s="2"/>
      <x:c r="L18" s="2"/>
    </x:row>
    <x:row r="19" ht="23" customHeight="1">
      <x:c r="B19" s="2"/>
      <x:c r="C19" s="2"/>
      <x:c r="D19" s="2"/>
      <x:c r="E19" s="2"/>
      <x:c r="F19" s="2"/>
      <x:c r="G19" s="2"/>
      <x:c r="H19" s="10" t="str">
        <x:v>Q4 prévu, absent de la source.</x:v>
      </x:c>
      <x:c r="I19" s="2"/>
      <x:c r="J19" s="2"/>
      <x:c r="K19" s="2"/>
      <x:c r="L19" s="2"/>
    </x:row>
    <x:row r="20" ht="23" customHeight="1">
      <x:c r="B20" s="2"/>
      <x:c r="C20" s="2"/>
      <x:c r="D20" s="2"/>
      <x:c r="E20" s="2"/>
      <x:c r="F20" s="2"/>
      <x:c r="G20" s="2"/>
      <x:c r="H20" s="2"/>
      <x:c r="I20" s="2"/>
      <x:c r="J20" s="2"/>
      <x:c r="K20" s="2"/>
      <x:c r="L20" s="2"/>
    </x:row>
    <x:row r="21" ht="34" customHeight="1">
      <x:c r="B21" s="6" t="str">
        <x:v>Jour affectation</x:v>
      </x:c>
      <x:c r="C21" s="6" t="str">
        <x:v>Contrôlés</x:v>
      </x:c>
      <x:c r="D21" s="6" t="str">
        <x:v>Validés</x:v>
      </x:c>
      <x:c r="E21" s="6" t="str">
        <x:v>Non validés</x:v>
      </x:c>
      <x:c r="F21" s="6" t="str">
        <x:v>À vérifier</x:v>
      </x:c>
      <x:c r="G21" s="2"/>
      <x:c r="H21" s="2"/>
      <x:c r="I21" s="2"/>
      <x:c r="J21" s="2"/>
      <x:c r="K21" s="2"/>
      <x:c r="L21" s="2"/>
    </x:row>
    <x:row r="22" ht="23" customHeight="1">
      <x:c r="B22" s="7" t="n">
        <x:f>$C$5</x:f>
        <x:v>46266</x:v>
      </x:c>
      <x:c r="C22" s="2" t="n">
        <x:f>IF(B22="","",COUNTIFS('Donnees'!$A$2:$A$2001,"&lt;&gt;",'Donnees'!$C$2:$C$2001,"&gt;="&amp;'Tableau de bord'!$C$5,'Donnees'!$C$2:$C$2001,"&lt;="&amp;'Tableau de bord'!$F$5,'Donnees'!$F$2:$F$2001,IF('Tableau de bord'!$J$5="Toutes","*",'Tableau de bord'!$J$5),'Donnees'!$C$2:$C$2001,B22))</x:f>
        <x:v>32</x:v>
      </x:c>
      <x:c r="D22" s="2" t="n">
        <x:f>IF(B22="","",COUNTIFS('Donnees'!$A$2:$A$2001,"&lt;&gt;",'Donnees'!$C$2:$C$2001,"&gt;="&amp;'Tableau de bord'!$C$5,'Donnees'!$C$2:$C$2001,"&lt;="&amp;'Tableau de bord'!$F$5,'Donnees'!$F$2:$F$2001,IF('Tableau de bord'!$J$5="Toutes","*",'Tableau de bord'!$J$5),'Donnees'!$C$2:$C$2001,B22,'Donnees'!$G$2:$G$2001,"mail validé"))</x:f>
        <x:v>24</x:v>
      </x:c>
      <x:c r="E22" s="2" t="n">
        <x:f>IF(B22="","",COUNTIFS('Donnees'!$A$2:$A$2001,"&lt;&gt;",'Donnees'!$C$2:$C$2001,"&gt;="&amp;'Tableau de bord'!$C$5,'Donnees'!$C$2:$C$2001,"&lt;="&amp;'Tableau de bord'!$F$5,'Donnees'!$F$2:$F$2001,IF('Tableau de bord'!$J$5="Toutes","*",'Tableau de bord'!$J$5),'Donnees'!$C$2:$C$2001,B22,'Donnees'!$G$2:$G$2001,"mail non validé"))</x:f>
        <x:v>8</x:v>
      </x:c>
      <x:c r="F22" s="2" t="n">
        <x:f>IF(B22="","",COUNTIFS('Donnees'!$A$2:$A$2001,"&lt;&gt;",'Donnees'!$C$2:$C$2001,"&gt;="&amp;'Tableau de bord'!$C$5,'Donnees'!$C$2:$C$2001,"&lt;="&amp;'Tableau de bord'!$F$5,'Donnees'!$F$2:$F$2001,IF('Tableau de bord'!$J$5="Toutes","*",'Tableau de bord'!$J$5),'Donnees'!$C$2:$C$2001,B22,'Donnees'!$G$2:$G$2001,"à vérifier"))</x:f>
        <x:v>0</x:v>
      </x:c>
      <x:c r="G22" s="2"/>
      <x:c r="H22" s="2"/>
      <x:c r="I22" s="2"/>
      <x:c r="J22" s="2"/>
      <x:c r="K22" s="2"/>
      <x:c r="L22" s="2"/>
    </x:row>
    <x:row r="23" ht="23" customHeight="1">
      <x:c r="B23" s="7" t="n">
        <x:f>IF(B22="","",IF(B22+1&lt;=$F$5,B22+1,""))</x:f>
        <x:v>46267</x:v>
      </x:c>
      <x:c r="C23" s="2" t="n">
        <x:f>IF(B23="","",COUNTIFS('Donnees'!$A$2:$A$2001,"&lt;&gt;",'Donnees'!$C$2:$C$2001,"&gt;="&amp;'Tableau de bord'!$C$5,'Donnees'!$C$2:$C$2001,"&lt;="&amp;'Tableau de bord'!$F$5,'Donnees'!$F$2:$F$2001,IF('Tableau de bord'!$J$5="Toutes","*",'Tableau de bord'!$J$5),'Donnees'!$C$2:$C$2001,B23))</x:f>
        <x:v>24</x:v>
      </x:c>
      <x:c r="D23" s="2" t="n">
        <x:f>IF(B23="","",COUNTIFS('Donnees'!$A$2:$A$2001,"&lt;&gt;",'Donnees'!$C$2:$C$2001,"&gt;="&amp;'Tableau de bord'!$C$5,'Donnees'!$C$2:$C$2001,"&lt;="&amp;'Tableau de bord'!$F$5,'Donnees'!$F$2:$F$2001,IF('Tableau de bord'!$J$5="Toutes","*",'Tableau de bord'!$J$5),'Donnees'!$C$2:$C$2001,B23,'Donnees'!$G$2:$G$2001,"mail validé"))</x:f>
        <x:v>20</x:v>
      </x:c>
      <x:c r="E23" s="2" t="n">
        <x:f>IF(B23="","",COUNTIFS('Donnees'!$A$2:$A$2001,"&lt;&gt;",'Donnees'!$C$2:$C$2001,"&gt;="&amp;'Tableau de bord'!$C$5,'Donnees'!$C$2:$C$2001,"&lt;="&amp;'Tableau de bord'!$F$5,'Donnees'!$F$2:$F$2001,IF('Tableau de bord'!$J$5="Toutes","*",'Tableau de bord'!$J$5),'Donnees'!$C$2:$C$2001,B23,'Donnees'!$G$2:$G$2001,"mail non validé"))</x:f>
        <x:v>4</x:v>
      </x:c>
      <x:c r="F23" s="2" t="n">
        <x:f>IF(B23="","",COUNTIFS('Donnees'!$A$2:$A$2001,"&lt;&gt;",'Donnees'!$C$2:$C$2001,"&gt;="&amp;'Tableau de bord'!$C$5,'Donnees'!$C$2:$C$2001,"&lt;="&amp;'Tableau de bord'!$F$5,'Donnees'!$F$2:$F$2001,IF('Tableau de bord'!$J$5="Toutes","*",'Tableau de bord'!$J$5),'Donnees'!$C$2:$C$2001,B23,'Donnees'!$G$2:$G$2001,"à vérifier"))</x:f>
        <x:v>0</x:v>
      </x:c>
      <x:c r="G23" s="2"/>
      <x:c r="H23" s="2"/>
      <x:c r="I23" s="2"/>
      <x:c r="J23" s="2"/>
      <x:c r="K23" s="2"/>
      <x:c r="L23" s="2"/>
    </x:row>
    <x:row r="24" ht="23" customHeight="1">
      <x:c r="B24" s="7" t="n">
        <x:f>IF(B23="","",IF(B23+1&lt;=$F$5,B23+1,""))</x:f>
        <x:v>46268</x:v>
      </x:c>
      <x:c r="C24" s="2" t="n">
        <x:f>IF(B24="","",COUNTIFS('Donnees'!$A$2:$A$2001,"&lt;&gt;",'Donnees'!$C$2:$C$2001,"&gt;="&amp;'Tableau de bord'!$C$5,'Donnees'!$C$2:$C$2001,"&lt;="&amp;'Tableau de bord'!$F$5,'Donnees'!$F$2:$F$2001,IF('Tableau de bord'!$J$5="Toutes","*",'Tableau de bord'!$J$5),'Donnees'!$C$2:$C$2001,B24))</x:f>
        <x:v>13</x:v>
      </x:c>
      <x:c r="D24" s="2" t="n">
        <x:f>IF(B24="","",COUNTIFS('Donnees'!$A$2:$A$2001,"&lt;&gt;",'Donnees'!$C$2:$C$2001,"&gt;="&amp;'Tableau de bord'!$C$5,'Donnees'!$C$2:$C$2001,"&lt;="&amp;'Tableau de bord'!$F$5,'Donnees'!$F$2:$F$2001,IF('Tableau de bord'!$J$5="Toutes","*",'Tableau de bord'!$J$5),'Donnees'!$C$2:$C$2001,B24,'Donnees'!$G$2:$G$2001,"mail validé"))</x:f>
        <x:v>8</x:v>
      </x:c>
      <x:c r="E24" s="2" t="n">
        <x:f>IF(B24="","",COUNTIFS('Donnees'!$A$2:$A$2001,"&lt;&gt;",'Donnees'!$C$2:$C$2001,"&gt;="&amp;'Tableau de bord'!$C$5,'Donnees'!$C$2:$C$2001,"&lt;="&amp;'Tableau de bord'!$F$5,'Donnees'!$F$2:$F$2001,IF('Tableau de bord'!$J$5="Toutes","*",'Tableau de bord'!$J$5),'Donnees'!$C$2:$C$2001,B24,'Donnees'!$G$2:$G$2001,"mail non validé"))</x:f>
        <x:v>5</x:v>
      </x:c>
      <x:c r="F24" s="2" t="n">
        <x:f>IF(B24="","",COUNTIFS('Donnees'!$A$2:$A$2001,"&lt;&gt;",'Donnees'!$C$2:$C$2001,"&gt;="&amp;'Tableau de bord'!$C$5,'Donnees'!$C$2:$C$2001,"&lt;="&amp;'Tableau de bord'!$F$5,'Donnees'!$F$2:$F$2001,IF('Tableau de bord'!$J$5="Toutes","*",'Tableau de bord'!$J$5),'Donnees'!$C$2:$C$2001,B24,'Donnees'!$G$2:$G$2001,"à vérifier"))</x:f>
        <x:v>0</x:v>
      </x:c>
      <x:c r="G24" s="2"/>
      <x:c r="H24" s="2"/>
      <x:c r="I24" s="2"/>
      <x:c r="J24" s="2"/>
      <x:c r="K24" s="2"/>
      <x:c r="L24" s="2"/>
    </x:row>
    <x:row r="25" ht="23" customHeight="1">
      <x:c r="B25" s="7" t="n">
        <x:f>IF(B24="","",IF(B24+1&lt;=$F$5,B24+1,""))</x:f>
        <x:v>46269</x:v>
      </x:c>
      <x:c r="C25" s="2" t="n">
        <x:f>IF(B25="","",COUNTIFS('Donnees'!$A$2:$A$2001,"&lt;&gt;",'Donnees'!$C$2:$C$2001,"&gt;="&amp;'Tableau de bord'!$C$5,'Donnees'!$C$2:$C$2001,"&lt;="&amp;'Tableau de bord'!$F$5,'Donnees'!$F$2:$F$2001,IF('Tableau de bord'!$J$5="Toutes","*",'Tableau de bord'!$J$5),'Donnees'!$C$2:$C$2001,B25))</x:f>
        <x:v>28</x:v>
      </x:c>
      <x:c r="D25" s="2" t="n">
        <x:f>IF(B25="","",COUNTIFS('Donnees'!$A$2:$A$2001,"&lt;&gt;",'Donnees'!$C$2:$C$2001,"&gt;="&amp;'Tableau de bord'!$C$5,'Donnees'!$C$2:$C$2001,"&lt;="&amp;'Tableau de bord'!$F$5,'Donnees'!$F$2:$F$2001,IF('Tableau de bord'!$J$5="Toutes","*",'Tableau de bord'!$J$5),'Donnees'!$C$2:$C$2001,B25,'Donnees'!$G$2:$G$2001,"mail validé"))</x:f>
        <x:v>19</x:v>
      </x:c>
      <x:c r="E25" s="2" t="n">
        <x:f>IF(B25="","",COUNTIFS('Donnees'!$A$2:$A$2001,"&lt;&gt;",'Donnees'!$C$2:$C$2001,"&gt;="&amp;'Tableau de bord'!$C$5,'Donnees'!$C$2:$C$2001,"&lt;="&amp;'Tableau de bord'!$F$5,'Donnees'!$F$2:$F$2001,IF('Tableau de bord'!$J$5="Toutes","*",'Tableau de bord'!$J$5),'Donnees'!$C$2:$C$2001,B25,'Donnees'!$G$2:$G$2001,"mail non validé"))</x:f>
        <x:v>9</x:v>
      </x:c>
      <x:c r="F25" s="2" t="n">
        <x:f>IF(B25="","",COUNTIFS('Donnees'!$A$2:$A$2001,"&lt;&gt;",'Donnees'!$C$2:$C$2001,"&gt;="&amp;'Tableau de bord'!$C$5,'Donnees'!$C$2:$C$2001,"&lt;="&amp;'Tableau de bord'!$F$5,'Donnees'!$F$2:$F$2001,IF('Tableau de bord'!$J$5="Toutes","*",'Tableau de bord'!$J$5),'Donnees'!$C$2:$C$2001,B25,'Donnees'!$G$2:$G$2001,"à vérifier"))</x:f>
        <x:v>0</x:v>
      </x:c>
      <x:c r="G25" s="2"/>
      <x:c r="H25" s="2"/>
      <x:c r="I25" s="2"/>
      <x:c r="J25" s="2"/>
      <x:c r="K25" s="2"/>
      <x:c r="L25" s="2"/>
    </x:row>
    <x:row r="26" ht="23" customHeight="1">
      <x:c r="B26" s="7" t="n">
        <x:f>IF(B25="","",IF(B25+1&lt;=$F$5,B25+1,""))</x:f>
        <x:v>46270</x:v>
      </x:c>
      <x:c r="C26" s="2" t="n">
        <x:f>IF(B26="","",COUNTIFS('Donnees'!$A$2:$A$2001,"&lt;&gt;",'Donnees'!$C$2:$C$2001,"&gt;="&amp;'Tableau de bord'!$C$5,'Donnees'!$C$2:$C$2001,"&lt;="&amp;'Tableau de bord'!$F$5,'Donnees'!$F$2:$F$2001,IF('Tableau de bord'!$J$5="Toutes","*",'Tableau de bord'!$J$5),'Donnees'!$C$2:$C$2001,B26))</x:f>
        <x:v>0</x:v>
      </x:c>
      <x:c r="D26" s="2" t="n">
        <x:f>IF(B26="","",COUNTIFS('Donnees'!$A$2:$A$2001,"&lt;&gt;",'Donnees'!$C$2:$C$2001,"&gt;="&amp;'Tableau de bord'!$C$5,'Donnees'!$C$2:$C$2001,"&lt;="&amp;'Tableau de bord'!$F$5,'Donnees'!$F$2:$F$2001,IF('Tableau de bord'!$J$5="Toutes","*",'Tableau de bord'!$J$5),'Donnees'!$C$2:$C$2001,B26,'Donnees'!$G$2:$G$2001,"mail validé"))</x:f>
        <x:v>0</x:v>
      </x:c>
      <x:c r="E26" s="2" t="n">
        <x:f>IF(B26="","",COUNTIFS('Donnees'!$A$2:$A$2001,"&lt;&gt;",'Donnees'!$C$2:$C$2001,"&gt;="&amp;'Tableau de bord'!$C$5,'Donnees'!$C$2:$C$2001,"&lt;="&amp;'Tableau de bord'!$F$5,'Donnees'!$F$2:$F$2001,IF('Tableau de bord'!$J$5="Toutes","*",'Tableau de bord'!$J$5),'Donnees'!$C$2:$C$2001,B26,'Donnees'!$G$2:$G$2001,"mail non validé"))</x:f>
        <x:v>0</x:v>
      </x:c>
      <x:c r="F26" s="2" t="n">
        <x:f>IF(B26="","",COUNTIFS('Donnees'!$A$2:$A$2001,"&lt;&gt;",'Donnees'!$C$2:$C$2001,"&gt;="&amp;'Tableau de bord'!$C$5,'Donnees'!$C$2:$C$2001,"&lt;="&amp;'Tableau de bord'!$F$5,'Donnees'!$F$2:$F$2001,IF('Tableau de bord'!$J$5="Toutes","*",'Tableau de bord'!$J$5),'Donnees'!$C$2:$C$2001,B26,'Donnees'!$G$2:$G$2001,"à vérifier"))</x:f>
        <x:v>0</x:v>
      </x:c>
      <x:c r="G26" s="2"/>
      <x:c r="H26" s="2"/>
      <x:c r="I26" s="2"/>
      <x:c r="J26" s="2"/>
      <x:c r="K26" s="2"/>
      <x:c r="L26" s="2"/>
    </x:row>
    <x:row r="27" ht="23" customHeight="1">
      <x:c r="B27" s="7" t="n">
        <x:f>IF(B26="","",IF(B26+1&lt;=$F$5,B26+1,""))</x:f>
        <x:v>46271</x:v>
      </x:c>
      <x:c r="C27" s="2" t="n">
        <x:f>IF(B27="","",COUNTIFS('Donnees'!$A$2:$A$2001,"&lt;&gt;",'Donnees'!$C$2:$C$2001,"&gt;="&amp;'Tableau de bord'!$C$5,'Donnees'!$C$2:$C$2001,"&lt;="&amp;'Tableau de bord'!$F$5,'Donnees'!$F$2:$F$2001,IF('Tableau de bord'!$J$5="Toutes","*",'Tableau de bord'!$J$5),'Donnees'!$C$2:$C$2001,B27))</x:f>
        <x:v>0</x:v>
      </x:c>
      <x:c r="D27" s="2" t="n">
        <x:f>IF(B27="","",COUNTIFS('Donnees'!$A$2:$A$2001,"&lt;&gt;",'Donnees'!$C$2:$C$2001,"&gt;="&amp;'Tableau de bord'!$C$5,'Donnees'!$C$2:$C$2001,"&lt;="&amp;'Tableau de bord'!$F$5,'Donnees'!$F$2:$F$2001,IF('Tableau de bord'!$J$5="Toutes","*",'Tableau de bord'!$J$5),'Donnees'!$C$2:$C$2001,B27,'Donnees'!$G$2:$G$2001,"mail validé"))</x:f>
        <x:v>0</x:v>
      </x:c>
      <x:c r="E27" s="2" t="n">
        <x:f>IF(B27="","",COUNTIFS('Donnees'!$A$2:$A$2001,"&lt;&gt;",'Donnees'!$C$2:$C$2001,"&gt;="&amp;'Tableau de bord'!$C$5,'Donnees'!$C$2:$C$2001,"&lt;="&amp;'Tableau de bord'!$F$5,'Donnees'!$F$2:$F$2001,IF('Tableau de bord'!$J$5="Toutes","*",'Tableau de bord'!$J$5),'Donnees'!$C$2:$C$2001,B27,'Donnees'!$G$2:$G$2001,"mail non validé"))</x:f>
        <x:v>0</x:v>
      </x:c>
      <x:c r="F27" s="2" t="n">
        <x:f>IF(B27="","",COUNTIFS('Donnees'!$A$2:$A$2001,"&lt;&gt;",'Donnees'!$C$2:$C$2001,"&gt;="&amp;'Tableau de bord'!$C$5,'Donnees'!$C$2:$C$2001,"&lt;="&amp;'Tableau de bord'!$F$5,'Donnees'!$F$2:$F$2001,IF('Tableau de bord'!$J$5="Toutes","*",'Tableau de bord'!$J$5),'Donnees'!$C$2:$C$2001,B27,'Donnees'!$G$2:$G$2001,"à vérifier"))</x:f>
        <x:v>0</x:v>
      </x:c>
      <x:c r="G27" s="2"/>
      <x:c r="H27" s="2"/>
      <x:c r="I27" s="2"/>
      <x:c r="J27" s="2"/>
      <x:c r="K27" s="2"/>
      <x:c r="L27" s="2"/>
    </x:row>
    <x:row r="28" ht="23" customHeight="1">
      <x:c r="B28" s="7" t="n">
        <x:f>IF(B27="","",IF(B27+1&lt;=$F$5,B27+1,""))</x:f>
        <x:v>46272</x:v>
      </x:c>
      <x:c r="C28" s="2" t="n">
        <x:f>IF(B28="","",COUNTIFS('Donnees'!$A$2:$A$2001,"&lt;&gt;",'Donnees'!$C$2:$C$2001,"&gt;="&amp;'Tableau de bord'!$C$5,'Donnees'!$C$2:$C$2001,"&lt;="&amp;'Tableau de bord'!$F$5,'Donnees'!$F$2:$F$2001,IF('Tableau de bord'!$J$5="Toutes","*",'Tableau de bord'!$J$5),'Donnees'!$C$2:$C$2001,B28))</x:f>
        <x:v>18</x:v>
      </x:c>
      <x:c r="D28" s="2" t="n">
        <x:f>IF(B28="","",COUNTIFS('Donnees'!$A$2:$A$2001,"&lt;&gt;",'Donnees'!$C$2:$C$2001,"&gt;="&amp;'Tableau de bord'!$C$5,'Donnees'!$C$2:$C$2001,"&lt;="&amp;'Tableau de bord'!$F$5,'Donnees'!$F$2:$F$2001,IF('Tableau de bord'!$J$5="Toutes","*",'Tableau de bord'!$J$5),'Donnees'!$C$2:$C$2001,B28,'Donnees'!$G$2:$G$2001,"mail validé"))</x:f>
        <x:v>12</x:v>
      </x:c>
      <x:c r="E28" s="2" t="n">
        <x:f>IF(B28="","",COUNTIFS('Donnees'!$A$2:$A$2001,"&lt;&gt;",'Donnees'!$C$2:$C$2001,"&gt;="&amp;'Tableau de bord'!$C$5,'Donnees'!$C$2:$C$2001,"&lt;="&amp;'Tableau de bord'!$F$5,'Donnees'!$F$2:$F$2001,IF('Tableau de bord'!$J$5="Toutes","*",'Tableau de bord'!$J$5),'Donnees'!$C$2:$C$2001,B28,'Donnees'!$G$2:$G$2001,"mail non validé"))</x:f>
        <x:v>5</x:v>
      </x:c>
      <x:c r="F28" s="2" t="n">
        <x:f>IF(B28="","",COUNTIFS('Donnees'!$A$2:$A$2001,"&lt;&gt;",'Donnees'!$C$2:$C$2001,"&gt;="&amp;'Tableau de bord'!$C$5,'Donnees'!$C$2:$C$2001,"&lt;="&amp;'Tableau de bord'!$F$5,'Donnees'!$F$2:$F$2001,IF('Tableau de bord'!$J$5="Toutes","*",'Tableau de bord'!$J$5),'Donnees'!$C$2:$C$2001,B28,'Donnees'!$G$2:$G$2001,"à vérifier"))</x:f>
        <x:v>1</x:v>
      </x:c>
      <x:c r="G28" s="2"/>
      <x:c r="H28" s="2"/>
      <x:c r="I28" s="2"/>
      <x:c r="J28" s="2"/>
      <x:c r="K28" s="2"/>
      <x:c r="L28" s="2"/>
    </x:row>
    <x:row r="29" ht="23" customHeight="1">
      <x:c r="B29" s="7" t="n">
        <x:f>IF(B28="","",IF(B28+1&lt;=$F$5,B28+1,""))</x:f>
        <x:v>46273</x:v>
      </x:c>
      <x:c r="C29" s="2" t="n">
        <x:f>IF(B29="","",COUNTIFS('Donnees'!$A$2:$A$2001,"&lt;&gt;",'Donnees'!$C$2:$C$2001,"&gt;="&amp;'Tableau de bord'!$C$5,'Donnees'!$C$2:$C$2001,"&lt;="&amp;'Tableau de bord'!$F$5,'Donnees'!$F$2:$F$2001,IF('Tableau de bord'!$J$5="Toutes","*",'Tableau de bord'!$J$5),'Donnees'!$C$2:$C$2001,B29))</x:f>
        <x:v>23</x:v>
      </x:c>
      <x:c r="D29" s="2" t="n">
        <x:f>IF(B29="","",COUNTIFS('Donnees'!$A$2:$A$2001,"&lt;&gt;",'Donnees'!$C$2:$C$2001,"&gt;="&amp;'Tableau de bord'!$C$5,'Donnees'!$C$2:$C$2001,"&lt;="&amp;'Tableau de bord'!$F$5,'Donnees'!$F$2:$F$2001,IF('Tableau de bord'!$J$5="Toutes","*",'Tableau de bord'!$J$5),'Donnees'!$C$2:$C$2001,B29,'Donnees'!$G$2:$G$2001,"mail validé"))</x:f>
        <x:v>13</x:v>
      </x:c>
      <x:c r="E29" s="2" t="n">
        <x:f>IF(B29="","",COUNTIFS('Donnees'!$A$2:$A$2001,"&lt;&gt;",'Donnees'!$C$2:$C$2001,"&gt;="&amp;'Tableau de bord'!$C$5,'Donnees'!$C$2:$C$2001,"&lt;="&amp;'Tableau de bord'!$F$5,'Donnees'!$F$2:$F$2001,IF('Tableau de bord'!$J$5="Toutes","*",'Tableau de bord'!$J$5),'Donnees'!$C$2:$C$2001,B29,'Donnees'!$G$2:$G$2001,"mail non validé"))</x:f>
        <x:v>8</x:v>
      </x:c>
      <x:c r="F29" s="2" t="n">
        <x:f>IF(B29="","",COUNTIFS('Donnees'!$A$2:$A$2001,"&lt;&gt;",'Donnees'!$C$2:$C$2001,"&gt;="&amp;'Tableau de bord'!$C$5,'Donnees'!$C$2:$C$2001,"&lt;="&amp;'Tableau de bord'!$F$5,'Donnees'!$F$2:$F$2001,IF('Tableau de bord'!$J$5="Toutes","*",'Tableau de bord'!$J$5),'Donnees'!$C$2:$C$2001,B29,'Donnees'!$G$2:$G$2001,"à vérifier"))</x:f>
        <x:v>2</x:v>
      </x:c>
      <x:c r="G29" s="2"/>
      <x:c r="H29" s="2"/>
      <x:c r="I29" s="2"/>
      <x:c r="J29" s="2"/>
      <x:c r="K29" s="2"/>
      <x:c r="L29" s="2"/>
    </x:row>
    <x:row r="30" ht="23" customHeight="1">
      <x:c r="B30" s="7" t="n">
        <x:f>IF(B29="","",IF(B29+1&lt;=$F$5,B29+1,""))</x:f>
        <x:v>46274</x:v>
      </x:c>
      <x:c r="C30" s="2" t="n">
        <x:f>IF(B30="","",COUNTIFS('Donnees'!$A$2:$A$2001,"&lt;&gt;",'Donnees'!$C$2:$C$2001,"&gt;="&amp;'Tableau de bord'!$C$5,'Donnees'!$C$2:$C$2001,"&lt;="&amp;'Tableau de bord'!$F$5,'Donnees'!$F$2:$F$2001,IF('Tableau de bord'!$J$5="Toutes","*",'Tableau de bord'!$J$5),'Donnees'!$C$2:$C$2001,B30))</x:f>
        <x:v>33</x:v>
      </x:c>
      <x:c r="D30" s="2" t="n">
        <x:f>IF(B30="","",COUNTIFS('Donnees'!$A$2:$A$2001,"&lt;&gt;",'Donnees'!$C$2:$C$2001,"&gt;="&amp;'Tableau de bord'!$C$5,'Donnees'!$C$2:$C$2001,"&lt;="&amp;'Tableau de bord'!$F$5,'Donnees'!$F$2:$F$2001,IF('Tableau de bord'!$J$5="Toutes","*",'Tableau de bord'!$J$5),'Donnees'!$C$2:$C$2001,B30,'Donnees'!$G$2:$G$2001,"mail validé"))</x:f>
        <x:v>25</x:v>
      </x:c>
      <x:c r="E30" s="2" t="n">
        <x:f>IF(B30="","",COUNTIFS('Donnees'!$A$2:$A$2001,"&lt;&gt;",'Donnees'!$C$2:$C$2001,"&gt;="&amp;'Tableau de bord'!$C$5,'Donnees'!$C$2:$C$2001,"&lt;="&amp;'Tableau de bord'!$F$5,'Donnees'!$F$2:$F$2001,IF('Tableau de bord'!$J$5="Toutes","*",'Tableau de bord'!$J$5),'Donnees'!$C$2:$C$2001,B30,'Donnees'!$G$2:$G$2001,"mail non validé"))</x:f>
        <x:v>8</x:v>
      </x:c>
      <x:c r="F30" s="2" t="n">
        <x:f>IF(B30="","",COUNTIFS('Donnees'!$A$2:$A$2001,"&lt;&gt;",'Donnees'!$C$2:$C$2001,"&gt;="&amp;'Tableau de bord'!$C$5,'Donnees'!$C$2:$C$2001,"&lt;="&amp;'Tableau de bord'!$F$5,'Donnees'!$F$2:$F$2001,IF('Tableau de bord'!$J$5="Toutes","*",'Tableau de bord'!$J$5),'Donnees'!$C$2:$C$2001,B30,'Donnees'!$G$2:$G$2001,"à vérifier"))</x:f>
        <x:v>0</x:v>
      </x:c>
      <x:c r="G30" s="2"/>
      <x:c r="H30" s="2"/>
      <x:c r="I30" s="2"/>
      <x:c r="J30" s="2"/>
      <x:c r="K30" s="2"/>
      <x:c r="L30" s="2"/>
    </x:row>
    <x:row r="31" ht="23" customHeight="1">
      <x:c r="B31" s="7" t="n">
        <x:f>IF(B30="","",IF(B30+1&lt;=$F$5,B30+1,""))</x:f>
        <x:v>46275</x:v>
      </x:c>
      <x:c r="C31" s="2" t="n">
        <x:f>IF(B31="","",COUNTIFS('Donnees'!$A$2:$A$2001,"&lt;&gt;",'Donnees'!$C$2:$C$2001,"&gt;="&amp;'Tableau de bord'!$C$5,'Donnees'!$C$2:$C$2001,"&lt;="&amp;'Tableau de bord'!$F$5,'Donnees'!$F$2:$F$2001,IF('Tableau de bord'!$J$5="Toutes","*",'Tableau de bord'!$J$5),'Donnees'!$C$2:$C$2001,B31))</x:f>
        <x:v>0</x:v>
      </x:c>
      <x:c r="D31" s="2" t="n">
        <x:f>IF(B31="","",COUNTIFS('Donnees'!$A$2:$A$2001,"&lt;&gt;",'Donnees'!$C$2:$C$2001,"&gt;="&amp;'Tableau de bord'!$C$5,'Donnees'!$C$2:$C$2001,"&lt;="&amp;'Tableau de bord'!$F$5,'Donnees'!$F$2:$F$2001,IF('Tableau de bord'!$J$5="Toutes","*",'Tableau de bord'!$J$5),'Donnees'!$C$2:$C$2001,B31,'Donnees'!$G$2:$G$2001,"mail validé"))</x:f>
        <x:v>0</x:v>
      </x:c>
      <x:c r="E31" s="2" t="n">
        <x:f>IF(B31="","",COUNTIFS('Donnees'!$A$2:$A$2001,"&lt;&gt;",'Donnees'!$C$2:$C$2001,"&gt;="&amp;'Tableau de bord'!$C$5,'Donnees'!$C$2:$C$2001,"&lt;="&amp;'Tableau de bord'!$F$5,'Donnees'!$F$2:$F$2001,IF('Tableau de bord'!$J$5="Toutes","*",'Tableau de bord'!$J$5),'Donnees'!$C$2:$C$2001,B31,'Donnees'!$G$2:$G$2001,"mail non validé"))</x:f>
        <x:v>0</x:v>
      </x:c>
      <x:c r="F31" s="2" t="n">
        <x:f>IF(B31="","",COUNTIFS('Donnees'!$A$2:$A$2001,"&lt;&gt;",'Donnees'!$C$2:$C$2001,"&gt;="&amp;'Tableau de bord'!$C$5,'Donnees'!$C$2:$C$2001,"&lt;="&amp;'Tableau de bord'!$F$5,'Donnees'!$F$2:$F$2001,IF('Tableau de bord'!$J$5="Toutes","*",'Tableau de bord'!$J$5),'Donnees'!$C$2:$C$2001,B31,'Donnees'!$G$2:$G$2001,"à vérifier"))</x:f>
        <x:v>0</x:v>
      </x:c>
      <x:c r="G31" s="2"/>
      <x:c r="H31" s="2"/>
      <x:c r="I31" s="2"/>
      <x:c r="J31" s="2"/>
      <x:c r="K31" s="2"/>
      <x:c r="L31" s="2"/>
    </x:row>
    <x:row r="32" ht="23" customHeight="1">
      <x:c r="B32" s="7" t="n">
        <x:f>IF(B31="","",IF(B31+1&lt;=$F$5,B31+1,""))</x:f>
        <x:v>46276</x:v>
      </x:c>
      <x:c r="C32" s="2" t="n">
        <x:f>IF(B32="","",COUNTIFS('Donnees'!$A$2:$A$2001,"&lt;&gt;",'Donnees'!$C$2:$C$2001,"&gt;="&amp;'Tableau de bord'!$C$5,'Donnees'!$C$2:$C$2001,"&lt;="&amp;'Tableau de bord'!$F$5,'Donnees'!$F$2:$F$2001,IF('Tableau de bord'!$J$5="Toutes","*",'Tableau de bord'!$J$5),'Donnees'!$C$2:$C$2001,B32))</x:f>
        <x:v>0</x:v>
      </x:c>
      <x:c r="D32" s="2" t="n">
        <x:f>IF(B32="","",COUNTIFS('Donnees'!$A$2:$A$2001,"&lt;&gt;",'Donnees'!$C$2:$C$2001,"&gt;="&amp;'Tableau de bord'!$C$5,'Donnees'!$C$2:$C$2001,"&lt;="&amp;'Tableau de bord'!$F$5,'Donnees'!$F$2:$F$2001,IF('Tableau de bord'!$J$5="Toutes","*",'Tableau de bord'!$J$5),'Donnees'!$C$2:$C$2001,B32,'Donnees'!$G$2:$G$2001,"mail validé"))</x:f>
        <x:v>0</x:v>
      </x:c>
      <x:c r="E32" s="2" t="n">
        <x:f>IF(B32="","",COUNTIFS('Donnees'!$A$2:$A$2001,"&lt;&gt;",'Donnees'!$C$2:$C$2001,"&gt;="&amp;'Tableau de bord'!$C$5,'Donnees'!$C$2:$C$2001,"&lt;="&amp;'Tableau de bord'!$F$5,'Donnees'!$F$2:$F$2001,IF('Tableau de bord'!$J$5="Toutes","*",'Tableau de bord'!$J$5),'Donnees'!$C$2:$C$2001,B32,'Donnees'!$G$2:$G$2001,"mail non validé"))</x:f>
        <x:v>0</x:v>
      </x:c>
      <x:c r="F32" s="2" t="n">
        <x:f>IF(B32="","",COUNTIFS('Donnees'!$A$2:$A$2001,"&lt;&gt;",'Donnees'!$C$2:$C$2001,"&gt;="&amp;'Tableau de bord'!$C$5,'Donnees'!$C$2:$C$2001,"&lt;="&amp;'Tableau de bord'!$F$5,'Donnees'!$F$2:$F$2001,IF('Tableau de bord'!$J$5="Toutes","*",'Tableau de bord'!$J$5),'Donnees'!$C$2:$C$2001,B32,'Donnees'!$G$2:$G$2001,"à vérifier"))</x:f>
        <x:v>0</x:v>
      </x:c>
      <x:c r="G32" s="2"/>
      <x:c r="H32" s="2"/>
      <x:c r="I32" s="2"/>
      <x:c r="J32" s="2"/>
      <x:c r="K32" s="2"/>
      <x:c r="L32" s="2"/>
    </x:row>
    <x:row r="33" ht="23" customHeight="1">
      <x:c r="B33" s="7" t="n">
        <x:f>IF(B32="","",IF(B32+1&lt;=$F$5,B32+1,""))</x:f>
        <x:v>46277</x:v>
      </x:c>
      <x:c r="C33" s="2" t="n">
        <x:f>IF(B33="","",COUNTIFS('Donnees'!$A$2:$A$2001,"&lt;&gt;",'Donnees'!$C$2:$C$2001,"&gt;="&amp;'Tableau de bord'!$C$5,'Donnees'!$C$2:$C$2001,"&lt;="&amp;'Tableau de bord'!$F$5,'Donnees'!$F$2:$F$2001,IF('Tableau de bord'!$J$5="Toutes","*",'Tableau de bord'!$J$5),'Donnees'!$C$2:$C$2001,B33))</x:f>
        <x:v>0</x:v>
      </x:c>
      <x:c r="D33" s="2" t="n">
        <x:f>IF(B33="","",COUNTIFS('Donnees'!$A$2:$A$2001,"&lt;&gt;",'Donnees'!$C$2:$C$2001,"&gt;="&amp;'Tableau de bord'!$C$5,'Donnees'!$C$2:$C$2001,"&lt;="&amp;'Tableau de bord'!$F$5,'Donnees'!$F$2:$F$2001,IF('Tableau de bord'!$J$5="Toutes","*",'Tableau de bord'!$J$5),'Donnees'!$C$2:$C$2001,B33,'Donnees'!$G$2:$G$2001,"mail validé"))</x:f>
        <x:v>0</x:v>
      </x:c>
      <x:c r="E33" s="2" t="n">
        <x:f>IF(B33="","",COUNTIFS('Donnees'!$A$2:$A$2001,"&lt;&gt;",'Donnees'!$C$2:$C$2001,"&gt;="&amp;'Tableau de bord'!$C$5,'Donnees'!$C$2:$C$2001,"&lt;="&amp;'Tableau de bord'!$F$5,'Donnees'!$F$2:$F$2001,IF('Tableau de bord'!$J$5="Toutes","*",'Tableau de bord'!$J$5),'Donnees'!$C$2:$C$2001,B33,'Donnees'!$G$2:$G$2001,"mail non validé"))</x:f>
        <x:v>0</x:v>
      </x:c>
      <x:c r="F33" s="2" t="n">
        <x:f>IF(B33="","",COUNTIFS('Donnees'!$A$2:$A$2001,"&lt;&gt;",'Donnees'!$C$2:$C$2001,"&gt;="&amp;'Tableau de bord'!$C$5,'Donnees'!$C$2:$C$2001,"&lt;="&amp;'Tableau de bord'!$F$5,'Donnees'!$F$2:$F$2001,IF('Tableau de bord'!$J$5="Toutes","*",'Tableau de bord'!$J$5),'Donnees'!$C$2:$C$2001,B33,'Donnees'!$G$2:$G$2001,"à vérifier"))</x:f>
        <x:v>0</x:v>
      </x:c>
      <x:c r="G33" s="2"/>
      <x:c r="H33" s="2"/>
      <x:c r="I33" s="2"/>
      <x:c r="J33" s="2"/>
      <x:c r="K33" s="2"/>
      <x:c r="L33" s="2"/>
    </x:row>
    <x:row r="34" ht="23" customHeight="1">
      <x:c r="B34" s="7" t="n">
        <x:f>IF(B33="","",IF(B33+1&lt;=$F$5,B33+1,""))</x:f>
        <x:v>46278</x:v>
      </x:c>
      <x:c r="C34" s="2" t="n">
        <x:f>IF(B34="","",COUNTIFS('Donnees'!$A$2:$A$2001,"&lt;&gt;",'Donnees'!$C$2:$C$2001,"&gt;="&amp;'Tableau de bord'!$C$5,'Donnees'!$C$2:$C$2001,"&lt;="&amp;'Tableau de bord'!$F$5,'Donnees'!$F$2:$F$2001,IF('Tableau de bord'!$J$5="Toutes","*",'Tableau de bord'!$J$5),'Donnees'!$C$2:$C$2001,B34))</x:f>
        <x:v>0</x:v>
      </x:c>
      <x:c r="D34" s="2" t="n">
        <x:f>IF(B34="","",COUNTIFS('Donnees'!$A$2:$A$2001,"&lt;&gt;",'Donnees'!$C$2:$C$2001,"&gt;="&amp;'Tableau de bord'!$C$5,'Donnees'!$C$2:$C$2001,"&lt;="&amp;'Tableau de bord'!$F$5,'Donnees'!$F$2:$F$2001,IF('Tableau de bord'!$J$5="Toutes","*",'Tableau de bord'!$J$5),'Donnees'!$C$2:$C$2001,B34,'Donnees'!$G$2:$G$2001,"mail validé"))</x:f>
        <x:v>0</x:v>
      </x:c>
      <x:c r="E34" s="2" t="n">
        <x:f>IF(B34="","",COUNTIFS('Donnees'!$A$2:$A$2001,"&lt;&gt;",'Donnees'!$C$2:$C$2001,"&gt;="&amp;'Tableau de bord'!$C$5,'Donnees'!$C$2:$C$2001,"&lt;="&amp;'Tableau de bord'!$F$5,'Donnees'!$F$2:$F$2001,IF('Tableau de bord'!$J$5="Toutes","*",'Tableau de bord'!$J$5),'Donnees'!$C$2:$C$2001,B34,'Donnees'!$G$2:$G$2001,"mail non validé"))</x:f>
        <x:v>0</x:v>
      </x:c>
      <x:c r="F34" s="2" t="n">
        <x:f>IF(B34="","",COUNTIFS('Donnees'!$A$2:$A$2001,"&lt;&gt;",'Donnees'!$C$2:$C$2001,"&gt;="&amp;'Tableau de bord'!$C$5,'Donnees'!$C$2:$C$2001,"&lt;="&amp;'Tableau de bord'!$F$5,'Donnees'!$F$2:$F$2001,IF('Tableau de bord'!$J$5="Toutes","*",'Tableau de bord'!$J$5),'Donnees'!$C$2:$C$2001,B34,'Donnees'!$G$2:$G$2001,"à vérifier"))</x:f>
        <x:v>0</x:v>
      </x:c>
      <x:c r="G34" s="2"/>
      <x:c r="H34" s="2"/>
      <x:c r="I34" s="2"/>
      <x:c r="J34" s="2"/>
      <x:c r="K34" s="2"/>
      <x:c r="L34" s="2"/>
    </x:row>
    <x:row r="35" ht="23" customHeight="1">
      <x:c r="B35" s="7" t="n">
        <x:f>IF(B34="","",IF(B34+1&lt;=$F$5,B34+1,""))</x:f>
        <x:v>46279</x:v>
      </x:c>
      <x:c r="C35" s="2" t="n">
        <x:f>IF(B35="","",COUNTIFS('Donnees'!$A$2:$A$2001,"&lt;&gt;",'Donnees'!$C$2:$C$2001,"&gt;="&amp;'Tableau de bord'!$C$5,'Donnees'!$C$2:$C$2001,"&lt;="&amp;'Tableau de bord'!$F$5,'Donnees'!$F$2:$F$2001,IF('Tableau de bord'!$J$5="Toutes","*",'Tableau de bord'!$J$5),'Donnees'!$C$2:$C$2001,B35))</x:f>
        <x:v>0</x:v>
      </x:c>
      <x:c r="D35" s="2" t="n">
        <x:f>IF(B35="","",COUNTIFS('Donnees'!$A$2:$A$2001,"&lt;&gt;",'Donnees'!$C$2:$C$2001,"&gt;="&amp;'Tableau de bord'!$C$5,'Donnees'!$C$2:$C$2001,"&lt;="&amp;'Tableau de bord'!$F$5,'Donnees'!$F$2:$F$2001,IF('Tableau de bord'!$J$5="Toutes","*",'Tableau de bord'!$J$5),'Donnees'!$C$2:$C$2001,B35,'Donnees'!$G$2:$G$2001,"mail validé"))</x:f>
        <x:v>0</x:v>
      </x:c>
      <x:c r="E35" s="2" t="n">
        <x:f>IF(B35="","",COUNTIFS('Donnees'!$A$2:$A$2001,"&lt;&gt;",'Donnees'!$C$2:$C$2001,"&gt;="&amp;'Tableau de bord'!$C$5,'Donnees'!$C$2:$C$2001,"&lt;="&amp;'Tableau de bord'!$F$5,'Donnees'!$F$2:$F$2001,IF('Tableau de bord'!$J$5="Toutes","*",'Tableau de bord'!$J$5),'Donnees'!$C$2:$C$2001,B35,'Donnees'!$G$2:$G$2001,"mail non validé"))</x:f>
        <x:v>0</x:v>
      </x:c>
      <x:c r="F35" s="2" t="n">
        <x:f>IF(B35="","",COUNTIFS('Donnees'!$A$2:$A$2001,"&lt;&gt;",'Donnees'!$C$2:$C$2001,"&gt;="&amp;'Tableau de bord'!$C$5,'Donnees'!$C$2:$C$2001,"&lt;="&amp;'Tableau de bord'!$F$5,'Donnees'!$F$2:$F$2001,IF('Tableau de bord'!$J$5="Toutes","*",'Tableau de bord'!$J$5),'Donnees'!$C$2:$C$2001,B35,'Donnees'!$G$2:$G$2001,"à vérifier"))</x:f>
        <x:v>0</x:v>
      </x:c>
      <x:c r="G35" s="2"/>
      <x:c r="H35" s="2"/>
      <x:c r="I35" s="2"/>
      <x:c r="J35" s="2"/>
      <x:c r="K35" s="2"/>
      <x:c r="L35" s="2"/>
    </x:row>
    <x:row r="36" ht="34" customHeight="1">
      <x:c r="B36" s="7" t="n">
        <x:f>IF(B35="","",IF(B35+1&lt;=$F$5,B35+1,""))</x:f>
        <x:v>46280</x:v>
      </x:c>
      <x:c r="C36" s="2" t="n">
        <x:f>IF(B36="","",COUNTIFS('Donnees'!$A$2:$A$2001,"&lt;&gt;",'Donnees'!$C$2:$C$2001,"&gt;="&amp;'Tableau de bord'!$C$5,'Donnees'!$C$2:$C$2001,"&lt;="&amp;'Tableau de bord'!$F$5,'Donnees'!$F$2:$F$2001,IF('Tableau de bord'!$J$5="Toutes","*",'Tableau de bord'!$J$5),'Donnees'!$C$2:$C$2001,B36))</x:f>
        <x:v>0</x:v>
      </x:c>
      <x:c r="D36" s="2" t="n">
        <x:f>IF(B36="","",COUNTIFS('Donnees'!$A$2:$A$2001,"&lt;&gt;",'Donnees'!$C$2:$C$2001,"&gt;="&amp;'Tableau de bord'!$C$5,'Donnees'!$C$2:$C$2001,"&lt;="&amp;'Tableau de bord'!$F$5,'Donnees'!$F$2:$F$2001,IF('Tableau de bord'!$J$5="Toutes","*",'Tableau de bord'!$J$5),'Donnees'!$C$2:$C$2001,B36,'Donnees'!$G$2:$G$2001,"mail validé"))</x:f>
        <x:v>0</x:v>
      </x:c>
      <x:c r="E36" s="2" t="n">
        <x:f>IF(B36="","",COUNTIFS('Donnees'!$A$2:$A$2001,"&lt;&gt;",'Donnees'!$C$2:$C$2001,"&gt;="&amp;'Tableau de bord'!$C$5,'Donnees'!$C$2:$C$2001,"&lt;="&amp;'Tableau de bord'!$F$5,'Donnees'!$F$2:$F$2001,IF('Tableau de bord'!$J$5="Toutes","*",'Tableau de bord'!$J$5),'Donnees'!$C$2:$C$2001,B36,'Donnees'!$G$2:$G$2001,"mail non validé"))</x:f>
        <x:v>0</x:v>
      </x:c>
      <x:c r="F36" s="2" t="n">
        <x:f>IF(B36="","",COUNTIFS('Donnees'!$A$2:$A$2001,"&lt;&gt;",'Donnees'!$C$2:$C$2001,"&gt;="&amp;'Tableau de bord'!$C$5,'Donnees'!$C$2:$C$2001,"&lt;="&amp;'Tableau de bord'!$F$5,'Donnees'!$F$2:$F$2001,IF('Tableau de bord'!$J$5="Toutes","*",'Tableau de bord'!$J$5),'Donnees'!$C$2:$C$2001,B36,'Donnees'!$G$2:$G$2001,"à vérifier"))</x:f>
        <x:v>0</x:v>
      </x:c>
      <x:c r="G36" s="2"/>
      <x:c r="H36" s="6" t="str">
        <x:v>Suivi des reprises</x:v>
      </x:c>
      <x:c r="I36" s="6" t="str"/>
      <x:c r="J36" s="6" t="str"/>
      <x:c r="K36" s="6" t="str"/>
      <x:c r="L36" s="6" t="str"/>
    </x:row>
    <x:row r="37" ht="23" customHeight="1">
      <x:c r="B37" s="7" t="n">
        <x:f>IF(B36="","",IF(B36+1&lt;=$F$5,B36+1,""))</x:f>
        <x:v>46281</x:v>
      </x:c>
      <x:c r="C37" s="2" t="n">
        <x:f>IF(B37="","",COUNTIFS('Donnees'!$A$2:$A$2001,"&lt;&gt;",'Donnees'!$C$2:$C$2001,"&gt;="&amp;'Tableau de bord'!$C$5,'Donnees'!$C$2:$C$2001,"&lt;="&amp;'Tableau de bord'!$F$5,'Donnees'!$F$2:$F$2001,IF('Tableau de bord'!$J$5="Toutes","*",'Tableau de bord'!$J$5),'Donnees'!$C$2:$C$2001,B37))</x:f>
        <x:v>0</x:v>
      </x:c>
      <x:c r="D37" s="2" t="n">
        <x:f>IF(B37="","",COUNTIFS('Donnees'!$A$2:$A$2001,"&lt;&gt;",'Donnees'!$C$2:$C$2001,"&gt;="&amp;'Tableau de bord'!$C$5,'Donnees'!$C$2:$C$2001,"&lt;="&amp;'Tableau de bord'!$F$5,'Donnees'!$F$2:$F$2001,IF('Tableau de bord'!$J$5="Toutes","*",'Tableau de bord'!$J$5),'Donnees'!$C$2:$C$2001,B37,'Donnees'!$G$2:$G$2001,"mail validé"))</x:f>
        <x:v>0</x:v>
      </x:c>
      <x:c r="E37" s="2" t="n">
        <x:f>IF(B37="","",COUNTIFS('Donnees'!$A$2:$A$2001,"&lt;&gt;",'Donnees'!$C$2:$C$2001,"&gt;="&amp;'Tableau de bord'!$C$5,'Donnees'!$C$2:$C$2001,"&lt;="&amp;'Tableau de bord'!$F$5,'Donnees'!$F$2:$F$2001,IF('Tableau de bord'!$J$5="Toutes","*",'Tableau de bord'!$J$5),'Donnees'!$C$2:$C$2001,B37,'Donnees'!$G$2:$G$2001,"mail non validé"))</x:f>
        <x:v>0</x:v>
      </x:c>
      <x:c r="F37" s="2" t="n">
        <x:f>IF(B37="","",COUNTIFS('Donnees'!$A$2:$A$2001,"&lt;&gt;",'Donnees'!$C$2:$C$2001,"&gt;="&amp;'Tableau de bord'!$C$5,'Donnees'!$C$2:$C$2001,"&lt;="&amp;'Tableau de bord'!$F$5,'Donnees'!$F$2:$F$2001,IF('Tableau de bord'!$J$5="Toutes","*",'Tableau de bord'!$J$5),'Donnees'!$C$2:$C$2001,B37,'Donnees'!$G$2:$G$2001,"à vérifier"))</x:f>
        <x:v>0</x:v>
      </x:c>
      <x:c r="G37" s="2"/>
      <x:c r="H37" s="2"/>
      <x:c r="I37" s="2"/>
      <x:c r="J37" s="2"/>
      <x:c r="K37" s="2"/>
      <x:c r="L37" s="2"/>
    </x:row>
    <x:row r="38" ht="23" customHeight="1">
      <x:c r="B38" s="7" t="n">
        <x:f>IF(B37="","",IF(B37+1&lt;=$F$5,B37+1,""))</x:f>
        <x:v>46282</x:v>
      </x:c>
      <x:c r="C38" s="2" t="n">
        <x:f>IF(B38="","",COUNTIFS('Donnees'!$A$2:$A$2001,"&lt;&gt;",'Donnees'!$C$2:$C$2001,"&gt;="&amp;'Tableau de bord'!$C$5,'Donnees'!$C$2:$C$2001,"&lt;="&amp;'Tableau de bord'!$F$5,'Donnees'!$F$2:$F$2001,IF('Tableau de bord'!$J$5="Toutes","*",'Tableau de bord'!$J$5),'Donnees'!$C$2:$C$2001,B38))</x:f>
        <x:v>0</x:v>
      </x:c>
      <x:c r="D38" s="2" t="n">
        <x:f>IF(B38="","",COUNTIFS('Donnees'!$A$2:$A$2001,"&lt;&gt;",'Donnees'!$C$2:$C$2001,"&gt;="&amp;'Tableau de bord'!$C$5,'Donnees'!$C$2:$C$2001,"&lt;="&amp;'Tableau de bord'!$F$5,'Donnees'!$F$2:$F$2001,IF('Tableau de bord'!$J$5="Toutes","*",'Tableau de bord'!$J$5),'Donnees'!$C$2:$C$2001,B38,'Donnees'!$G$2:$G$2001,"mail validé"))</x:f>
        <x:v>0</x:v>
      </x:c>
      <x:c r="E38" s="2" t="n">
        <x:f>IF(B38="","",COUNTIFS('Donnees'!$A$2:$A$2001,"&lt;&gt;",'Donnees'!$C$2:$C$2001,"&gt;="&amp;'Tableau de bord'!$C$5,'Donnees'!$C$2:$C$2001,"&lt;="&amp;'Tableau de bord'!$F$5,'Donnees'!$F$2:$F$2001,IF('Tableau de bord'!$J$5="Toutes","*",'Tableau de bord'!$J$5),'Donnees'!$C$2:$C$2001,B38,'Donnees'!$G$2:$G$2001,"mail non validé"))</x:f>
        <x:v>0</x:v>
      </x:c>
      <x:c r="F38" s="2" t="n">
        <x:f>IF(B38="","",COUNTIFS('Donnees'!$A$2:$A$2001,"&lt;&gt;",'Donnees'!$C$2:$C$2001,"&gt;="&amp;'Tableau de bord'!$C$5,'Donnees'!$C$2:$C$2001,"&lt;="&amp;'Tableau de bord'!$F$5,'Donnees'!$F$2:$F$2001,IF('Tableau de bord'!$J$5="Toutes","*",'Tableau de bord'!$J$5),'Donnees'!$C$2:$C$2001,B38,'Donnees'!$G$2:$G$2001,"à vérifier"))</x:f>
        <x:v>0</x:v>
      </x:c>
      <x:c r="G38" s="2"/>
      <x:c r="H38" s="2" t="str">
        <x:v>En cours</x:v>
      </x:c>
      <x:c r="I38" s="2"/>
      <x:c r="J38" s="2"/>
      <x:c r="K38" s="2" t="n">
        <x:f>COUNTIFS('Suivi corrections'!$M$6:$M$1005,"À corriger")+COUNTIFS('Suivi corrections'!$M$6:$M$1005,"À recontrôler")</x:f>
        <x:v>47</x:v>
      </x:c>
      <x:c r="L38" s="2"/>
    </x:row>
    <x:row r="39" ht="23" customHeight="1">
      <x:c r="B39" s="7" t="n">
        <x:f>IF(B38="","",IF(B38+1&lt;=$F$5,B38+1,""))</x:f>
        <x:v>46283</x:v>
      </x:c>
      <x:c r="C39" s="2" t="n">
        <x:f>IF(B39="","",COUNTIFS('Donnees'!$A$2:$A$2001,"&lt;&gt;",'Donnees'!$C$2:$C$2001,"&gt;="&amp;'Tableau de bord'!$C$5,'Donnees'!$C$2:$C$2001,"&lt;="&amp;'Tableau de bord'!$F$5,'Donnees'!$F$2:$F$2001,IF('Tableau de bord'!$J$5="Toutes","*",'Tableau de bord'!$J$5),'Donnees'!$C$2:$C$2001,B39))</x:f>
        <x:v>0</x:v>
      </x:c>
      <x:c r="D39" s="2" t="n">
        <x:f>IF(B39="","",COUNTIFS('Donnees'!$A$2:$A$2001,"&lt;&gt;",'Donnees'!$C$2:$C$2001,"&gt;="&amp;'Tableau de bord'!$C$5,'Donnees'!$C$2:$C$2001,"&lt;="&amp;'Tableau de bord'!$F$5,'Donnees'!$F$2:$F$2001,IF('Tableau de bord'!$J$5="Toutes","*",'Tableau de bord'!$J$5),'Donnees'!$C$2:$C$2001,B39,'Donnees'!$G$2:$G$2001,"mail validé"))</x:f>
        <x:v>0</x:v>
      </x:c>
      <x:c r="E39" s="2" t="n">
        <x:f>IF(B39="","",COUNTIFS('Donnees'!$A$2:$A$2001,"&lt;&gt;",'Donnees'!$C$2:$C$2001,"&gt;="&amp;'Tableau de bord'!$C$5,'Donnees'!$C$2:$C$2001,"&lt;="&amp;'Tableau de bord'!$F$5,'Donnees'!$F$2:$F$2001,IF('Tableau de bord'!$J$5="Toutes","*",'Tableau de bord'!$J$5),'Donnees'!$C$2:$C$2001,B39,'Donnees'!$G$2:$G$2001,"mail non validé"))</x:f>
        <x:v>0</x:v>
      </x:c>
      <x:c r="F39" s="2" t="n">
        <x:f>IF(B39="","",COUNTIFS('Donnees'!$A$2:$A$2001,"&lt;&gt;",'Donnees'!$C$2:$C$2001,"&gt;="&amp;'Tableau de bord'!$C$5,'Donnees'!$C$2:$C$2001,"&lt;="&amp;'Tableau de bord'!$F$5,'Donnees'!$F$2:$F$2001,IF('Tableau de bord'!$J$5="Toutes","*",'Tableau de bord'!$J$5),'Donnees'!$C$2:$C$2001,B39,'Donnees'!$G$2:$G$2001,"à vérifier"))</x:f>
        <x:v>0</x:v>
      </x:c>
      <x:c r="G39" s="2"/>
      <x:c r="H39" s="2" t="str">
        <x:v>À clarifier</x:v>
      </x:c>
      <x:c r="I39" s="2"/>
      <x:c r="J39" s="2"/>
      <x:c r="K39" s="2" t="n">
        <x:f>COUNTIFS('Suivi corrections'!$M$6:$M$1005,"À clarifier")</x:f>
        <x:v>3</x:v>
      </x:c>
      <x:c r="L39" s="2"/>
    </x:row>
    <x:row r="40" ht="23" customHeight="1">
      <x:c r="B40" s="7" t="n">
        <x:f>IF(B39="","",IF(B39+1&lt;=$F$5,B39+1,""))</x:f>
        <x:v>46284</x:v>
      </x:c>
      <x:c r="C40" s="2" t="n">
        <x:f>IF(B40="","",COUNTIFS('Donnees'!$A$2:$A$2001,"&lt;&gt;",'Donnees'!$C$2:$C$2001,"&gt;="&amp;'Tableau de bord'!$C$5,'Donnees'!$C$2:$C$2001,"&lt;="&amp;'Tableau de bord'!$F$5,'Donnees'!$F$2:$F$2001,IF('Tableau de bord'!$J$5="Toutes","*",'Tableau de bord'!$J$5),'Donnees'!$C$2:$C$2001,B40))</x:f>
        <x:v>0</x:v>
      </x:c>
      <x:c r="D40" s="2" t="n">
        <x:f>IF(B40="","",COUNTIFS('Donnees'!$A$2:$A$2001,"&lt;&gt;",'Donnees'!$C$2:$C$2001,"&gt;="&amp;'Tableau de bord'!$C$5,'Donnees'!$C$2:$C$2001,"&lt;="&amp;'Tableau de bord'!$F$5,'Donnees'!$F$2:$F$2001,IF('Tableau de bord'!$J$5="Toutes","*",'Tableau de bord'!$J$5),'Donnees'!$C$2:$C$2001,B40,'Donnees'!$G$2:$G$2001,"mail validé"))</x:f>
        <x:v>0</x:v>
      </x:c>
      <x:c r="E40" s="2" t="n">
        <x:f>IF(B40="","",COUNTIFS('Donnees'!$A$2:$A$2001,"&lt;&gt;",'Donnees'!$C$2:$C$2001,"&gt;="&amp;'Tableau de bord'!$C$5,'Donnees'!$C$2:$C$2001,"&lt;="&amp;'Tableau de bord'!$F$5,'Donnees'!$F$2:$F$2001,IF('Tableau de bord'!$J$5="Toutes","*",'Tableau de bord'!$J$5),'Donnees'!$C$2:$C$2001,B40,'Donnees'!$G$2:$G$2001,"mail non validé"))</x:f>
        <x:v>0</x:v>
      </x:c>
      <x:c r="F40" s="2" t="n">
        <x:f>IF(B40="","",COUNTIFS('Donnees'!$A$2:$A$2001,"&lt;&gt;",'Donnees'!$C$2:$C$2001,"&gt;="&amp;'Tableau de bord'!$C$5,'Donnees'!$C$2:$C$2001,"&lt;="&amp;'Tableau de bord'!$F$5,'Donnees'!$F$2:$F$2001,IF('Tableau de bord'!$J$5="Toutes","*",'Tableau de bord'!$J$5),'Donnees'!$C$2:$C$2001,B40,'Donnees'!$G$2:$G$2001,"à vérifier"))</x:f>
        <x:v>0</x:v>
      </x:c>
      <x:c r="G40" s="2"/>
      <x:c r="H40" s="2" t="str">
        <x:v>Clôturés</x:v>
      </x:c>
      <x:c r="I40" s="2"/>
      <x:c r="J40" s="2"/>
      <x:c r="K40" s="2" t="n">
        <x:f>COUNTIFS('Suivi corrections'!$M$6:$M$1005,"Clôturé")</x:f>
        <x:v>0</x:v>
      </x:c>
      <x:c r="L40" s="2"/>
    </x:row>
    <x:row r="41" ht="23" customHeight="1">
      <x:c r="B41" s="7" t="n">
        <x:f>IF(B40="","",IF(B40+1&lt;=$F$5,B40+1,""))</x:f>
        <x:v>46285</x:v>
      </x:c>
      <x:c r="C41" s="2" t="n">
        <x:f>IF(B41="","",COUNTIFS('Donnees'!$A$2:$A$2001,"&lt;&gt;",'Donnees'!$C$2:$C$2001,"&gt;="&amp;'Tableau de bord'!$C$5,'Donnees'!$C$2:$C$2001,"&lt;="&amp;'Tableau de bord'!$F$5,'Donnees'!$F$2:$F$2001,IF('Tableau de bord'!$J$5="Toutes","*",'Tableau de bord'!$J$5),'Donnees'!$C$2:$C$2001,B41))</x:f>
        <x:v>0</x:v>
      </x:c>
      <x:c r="D41" s="2" t="n">
        <x:f>IF(B41="","",COUNTIFS('Donnees'!$A$2:$A$2001,"&lt;&gt;",'Donnees'!$C$2:$C$2001,"&gt;="&amp;'Tableau de bord'!$C$5,'Donnees'!$C$2:$C$2001,"&lt;="&amp;'Tableau de bord'!$F$5,'Donnees'!$F$2:$F$2001,IF('Tableau de bord'!$J$5="Toutes","*",'Tableau de bord'!$J$5),'Donnees'!$C$2:$C$2001,B41,'Donnees'!$G$2:$G$2001,"mail validé"))</x:f>
        <x:v>0</x:v>
      </x:c>
      <x:c r="E41" s="2" t="n">
        <x:f>IF(B41="","",COUNTIFS('Donnees'!$A$2:$A$2001,"&lt;&gt;",'Donnees'!$C$2:$C$2001,"&gt;="&amp;'Tableau de bord'!$C$5,'Donnees'!$C$2:$C$2001,"&lt;="&amp;'Tableau de bord'!$F$5,'Donnees'!$F$2:$F$2001,IF('Tableau de bord'!$J$5="Toutes","*",'Tableau de bord'!$J$5),'Donnees'!$C$2:$C$2001,B41,'Donnees'!$G$2:$G$2001,"mail non validé"))</x:f>
        <x:v>0</x:v>
      </x:c>
      <x:c r="F41" s="2" t="n">
        <x:f>IF(B41="","",COUNTIFS('Donnees'!$A$2:$A$2001,"&lt;&gt;",'Donnees'!$C$2:$C$2001,"&gt;="&amp;'Tableau de bord'!$C$5,'Donnees'!$C$2:$C$2001,"&lt;="&amp;'Tableau de bord'!$F$5,'Donnees'!$F$2:$F$2001,IF('Tableau de bord'!$J$5="Toutes","*",'Tableau de bord'!$J$5),'Donnees'!$C$2:$C$2001,B41,'Donnees'!$G$2:$G$2001,"à vérifier"))</x:f>
        <x:v>0</x:v>
      </x:c>
      <x:c r="G41" s="2"/>
      <x:c r="H41" s="2" t="str">
        <x:v>Saisies incomplètes</x:v>
      </x:c>
      <x:c r="I41" s="2"/>
      <x:c r="J41" s="2"/>
      <x:c r="K41" s="2" t="n">
        <x:f>COUNTIFS('Suivi corrections'!$M$6:$M$1005,"À compléter")</x:f>
        <x:v>0</x:v>
      </x:c>
      <x:c r="L41" s="2"/>
    </x:row>
    <x:row r="42" ht="23" customHeight="1">
      <x:c r="B42" s="7" t="n">
        <x:f>IF(B41="","",IF(B41+1&lt;=$F$5,B41+1,""))</x:f>
        <x:v>46286</x:v>
      </x:c>
      <x:c r="C42" s="2" t="n">
        <x:f>IF(B42="","",COUNTIFS('Donnees'!$A$2:$A$2001,"&lt;&gt;",'Donnees'!$C$2:$C$2001,"&gt;="&amp;'Tableau de bord'!$C$5,'Donnees'!$C$2:$C$2001,"&lt;="&amp;'Tableau de bord'!$F$5,'Donnees'!$F$2:$F$2001,IF('Tableau de bord'!$J$5="Toutes","*",'Tableau de bord'!$J$5),'Donnees'!$C$2:$C$2001,B42))</x:f>
        <x:v>0</x:v>
      </x:c>
      <x:c r="D42" s="2" t="n">
        <x:f>IF(B42="","",COUNTIFS('Donnees'!$A$2:$A$2001,"&lt;&gt;",'Donnees'!$C$2:$C$2001,"&gt;="&amp;'Tableau de bord'!$C$5,'Donnees'!$C$2:$C$2001,"&lt;="&amp;'Tableau de bord'!$F$5,'Donnees'!$F$2:$F$2001,IF('Tableau de bord'!$J$5="Toutes","*",'Tableau de bord'!$J$5),'Donnees'!$C$2:$C$2001,B42,'Donnees'!$G$2:$G$2001,"mail validé"))</x:f>
        <x:v>0</x:v>
      </x:c>
      <x:c r="E42" s="2" t="n">
        <x:f>IF(B42="","",COUNTIFS('Donnees'!$A$2:$A$2001,"&lt;&gt;",'Donnees'!$C$2:$C$2001,"&gt;="&amp;'Tableau de bord'!$C$5,'Donnees'!$C$2:$C$2001,"&lt;="&amp;'Tableau de bord'!$F$5,'Donnees'!$F$2:$F$2001,IF('Tableau de bord'!$J$5="Toutes","*",'Tableau de bord'!$J$5),'Donnees'!$C$2:$C$2001,B42,'Donnees'!$G$2:$G$2001,"mail non validé"))</x:f>
        <x:v>0</x:v>
      </x:c>
      <x:c r="F42" s="2" t="n">
        <x:f>IF(B42="","",COUNTIFS('Donnees'!$A$2:$A$2001,"&lt;&gt;",'Donnees'!$C$2:$C$2001,"&gt;="&amp;'Tableau de bord'!$C$5,'Donnees'!$C$2:$C$2001,"&lt;="&amp;'Tableau de bord'!$F$5,'Donnees'!$F$2:$F$2001,IF('Tableau de bord'!$J$5="Toutes","*",'Tableau de bord'!$J$5),'Donnees'!$C$2:$C$2001,B42,'Donnees'!$G$2:$G$2001,"à vérifier"))</x:f>
        <x:v>0</x:v>
      </x:c>
      <x:c r="G42" s="2"/>
      <x:c r="H42" s="2"/>
      <x:c r="I42" s="2"/>
      <x:c r="J42" s="2"/>
      <x:c r="K42" s="2"/>
      <x:c r="L42" s="2"/>
    </x:row>
    <x:row r="43" ht="23" customHeight="1">
      <x:c r="B43" s="7" t="n">
        <x:f>IF(B42="","",IF(B42+1&lt;=$F$5,B42+1,""))</x:f>
        <x:v>46287</x:v>
      </x:c>
      <x:c r="C43" s="2" t="n">
        <x:f>IF(B43="","",COUNTIFS('Donnees'!$A$2:$A$2001,"&lt;&gt;",'Donnees'!$C$2:$C$2001,"&gt;="&amp;'Tableau de bord'!$C$5,'Donnees'!$C$2:$C$2001,"&lt;="&amp;'Tableau de bord'!$F$5,'Donnees'!$F$2:$F$2001,IF('Tableau de bord'!$J$5="Toutes","*",'Tableau de bord'!$J$5),'Donnees'!$C$2:$C$2001,B43))</x:f>
        <x:v>0</x:v>
      </x:c>
      <x:c r="D43" s="2" t="n">
        <x:f>IF(B43="","",COUNTIFS('Donnees'!$A$2:$A$2001,"&lt;&gt;",'Donnees'!$C$2:$C$2001,"&gt;="&amp;'Tableau de bord'!$C$5,'Donnees'!$C$2:$C$2001,"&lt;="&amp;'Tableau de bord'!$F$5,'Donnees'!$F$2:$F$2001,IF('Tableau de bord'!$J$5="Toutes","*",'Tableau de bord'!$J$5),'Donnees'!$C$2:$C$2001,B43,'Donnees'!$G$2:$G$2001,"mail validé"))</x:f>
        <x:v>0</x:v>
      </x:c>
      <x:c r="E43" s="2" t="n">
        <x:f>IF(B43="","",COUNTIFS('Donnees'!$A$2:$A$2001,"&lt;&gt;",'Donnees'!$C$2:$C$2001,"&gt;="&amp;'Tableau de bord'!$C$5,'Donnees'!$C$2:$C$2001,"&lt;="&amp;'Tableau de bord'!$F$5,'Donnees'!$F$2:$F$2001,IF('Tableau de bord'!$J$5="Toutes","*",'Tableau de bord'!$J$5),'Donnees'!$C$2:$C$2001,B43,'Donnees'!$G$2:$G$2001,"mail non validé"))</x:f>
        <x:v>0</x:v>
      </x:c>
      <x:c r="F43" s="2" t="n">
        <x:f>IF(B43="","",COUNTIFS('Donnees'!$A$2:$A$2001,"&lt;&gt;",'Donnees'!$C$2:$C$2001,"&gt;="&amp;'Tableau de bord'!$C$5,'Donnees'!$C$2:$C$2001,"&lt;="&amp;'Tableau de bord'!$F$5,'Donnees'!$F$2:$F$2001,IF('Tableau de bord'!$J$5="Toutes","*",'Tableau de bord'!$J$5),'Donnees'!$C$2:$C$2001,B43,'Donnees'!$G$2:$G$2001,"à vérifier"))</x:f>
        <x:v>0</x:v>
      </x:c>
      <x:c r="G43" s="2"/>
      <x:c r="H43" s="10" t="str">
        <x:v>Suivi global, hors filtres.</x:v>
      </x:c>
      <x:c r="I43" s="2"/>
      <x:c r="J43" s="2"/>
      <x:c r="K43" s="2"/>
      <x:c r="L43" s="2"/>
    </x:row>
    <x:row r="44" ht="23" customHeight="1">
      <x:c r="B44" s="7" t="n">
        <x:f>IF(B43="","",IF(B43+1&lt;=$F$5,B43+1,""))</x:f>
        <x:v>46288</x:v>
      </x:c>
      <x:c r="C44" s="2" t="n">
        <x:f>IF(B44="","",COUNTIFS('Donnees'!$A$2:$A$2001,"&lt;&gt;",'Donnees'!$C$2:$C$2001,"&gt;="&amp;'Tableau de bord'!$C$5,'Donnees'!$C$2:$C$2001,"&lt;="&amp;'Tableau de bord'!$F$5,'Donnees'!$F$2:$F$2001,IF('Tableau de bord'!$J$5="Toutes","*",'Tableau de bord'!$J$5),'Donnees'!$C$2:$C$2001,B44))</x:f>
        <x:v>0</x:v>
      </x:c>
      <x:c r="D44" s="2" t="n">
        <x:f>IF(B44="","",COUNTIFS('Donnees'!$A$2:$A$2001,"&lt;&gt;",'Donnees'!$C$2:$C$2001,"&gt;="&amp;'Tableau de bord'!$C$5,'Donnees'!$C$2:$C$2001,"&lt;="&amp;'Tableau de bord'!$F$5,'Donnees'!$F$2:$F$2001,IF('Tableau de bord'!$J$5="Toutes","*",'Tableau de bord'!$J$5),'Donnees'!$C$2:$C$2001,B44,'Donnees'!$G$2:$G$2001,"mail validé"))</x:f>
        <x:v>0</x:v>
      </x:c>
      <x:c r="E44" s="2" t="n">
        <x:f>IF(B44="","",COUNTIFS('Donnees'!$A$2:$A$2001,"&lt;&gt;",'Donnees'!$C$2:$C$2001,"&gt;="&amp;'Tableau de bord'!$C$5,'Donnees'!$C$2:$C$2001,"&lt;="&amp;'Tableau de bord'!$F$5,'Donnees'!$F$2:$F$2001,IF('Tableau de bord'!$J$5="Toutes","*",'Tableau de bord'!$J$5),'Donnees'!$C$2:$C$2001,B44,'Donnees'!$G$2:$G$2001,"mail non validé"))</x:f>
        <x:v>0</x:v>
      </x:c>
      <x:c r="F44" s="2" t="n">
        <x:f>IF(B44="","",COUNTIFS('Donnees'!$A$2:$A$2001,"&lt;&gt;",'Donnees'!$C$2:$C$2001,"&gt;="&amp;'Tableau de bord'!$C$5,'Donnees'!$C$2:$C$2001,"&lt;="&amp;'Tableau de bord'!$F$5,'Donnees'!$F$2:$F$2001,IF('Tableau de bord'!$J$5="Toutes","*",'Tableau de bord'!$J$5),'Donnees'!$C$2:$C$2001,B44,'Donnees'!$G$2:$G$2001,"à vérifier"))</x:f>
        <x:v>0</x:v>
      </x:c>
      <x:c r="G44" s="2"/>
      <x:c r="H44" s="2"/>
      <x:c r="I44" s="2"/>
      <x:c r="J44" s="2"/>
      <x:c r="K44" s="2"/>
      <x:c r="L44" s="2"/>
    </x:row>
    <x:row r="45" ht="23" customHeight="1">
      <x:c r="B45" s="7" t="n">
        <x:f>IF(B44="","",IF(B44+1&lt;=$F$5,B44+1,""))</x:f>
        <x:v>46289</x:v>
      </x:c>
      <x:c r="C45" s="2" t="n">
        <x:f>IF(B45="","",COUNTIFS('Donnees'!$A$2:$A$2001,"&lt;&gt;",'Donnees'!$C$2:$C$2001,"&gt;="&amp;'Tableau de bord'!$C$5,'Donnees'!$C$2:$C$2001,"&lt;="&amp;'Tableau de bord'!$F$5,'Donnees'!$F$2:$F$2001,IF('Tableau de bord'!$J$5="Toutes","*",'Tableau de bord'!$J$5),'Donnees'!$C$2:$C$2001,B45))</x:f>
        <x:v>0</x:v>
      </x:c>
      <x:c r="D45" s="2" t="n">
        <x:f>IF(B45="","",COUNTIFS('Donnees'!$A$2:$A$2001,"&lt;&gt;",'Donnees'!$C$2:$C$2001,"&gt;="&amp;'Tableau de bord'!$C$5,'Donnees'!$C$2:$C$2001,"&lt;="&amp;'Tableau de bord'!$F$5,'Donnees'!$F$2:$F$2001,IF('Tableau de bord'!$J$5="Toutes","*",'Tableau de bord'!$J$5),'Donnees'!$C$2:$C$2001,B45,'Donnees'!$G$2:$G$2001,"mail validé"))</x:f>
        <x:v>0</x:v>
      </x:c>
      <x:c r="E45" s="2" t="n">
        <x:f>IF(B45="","",COUNTIFS('Donnees'!$A$2:$A$2001,"&lt;&gt;",'Donnees'!$C$2:$C$2001,"&gt;="&amp;'Tableau de bord'!$C$5,'Donnees'!$C$2:$C$2001,"&lt;="&amp;'Tableau de bord'!$F$5,'Donnees'!$F$2:$F$2001,IF('Tableau de bord'!$J$5="Toutes","*",'Tableau de bord'!$J$5),'Donnees'!$C$2:$C$2001,B45,'Donnees'!$G$2:$G$2001,"mail non validé"))</x:f>
        <x:v>0</x:v>
      </x:c>
      <x:c r="F45" s="2" t="n">
        <x:f>IF(B45="","",COUNTIFS('Donnees'!$A$2:$A$2001,"&lt;&gt;",'Donnees'!$C$2:$C$2001,"&gt;="&amp;'Tableau de bord'!$C$5,'Donnees'!$C$2:$C$2001,"&lt;="&amp;'Tableau de bord'!$F$5,'Donnees'!$F$2:$F$2001,IF('Tableau de bord'!$J$5="Toutes","*",'Tableau de bord'!$J$5),'Donnees'!$C$2:$C$2001,B45,'Donnees'!$G$2:$G$2001,"à vérifier"))</x:f>
        <x:v>0</x:v>
      </x:c>
      <x:c r="G45" s="2"/>
      <x:c r="H45" s="2"/>
      <x:c r="I45" s="2"/>
      <x:c r="J45" s="2"/>
      <x:c r="K45" s="2"/>
      <x:c r="L45" s="2"/>
    </x:row>
    <x:row r="46" ht="23" customHeight="1">
      <x:c r="B46" s="7" t="n">
        <x:f>IF(B45="","",IF(B45+1&lt;=$F$5,B45+1,""))</x:f>
        <x:v>46290</x:v>
      </x:c>
      <x:c r="C46" s="2" t="n">
        <x:f>IF(B46="","",COUNTIFS('Donnees'!$A$2:$A$2001,"&lt;&gt;",'Donnees'!$C$2:$C$2001,"&gt;="&amp;'Tableau de bord'!$C$5,'Donnees'!$C$2:$C$2001,"&lt;="&amp;'Tableau de bord'!$F$5,'Donnees'!$F$2:$F$2001,IF('Tableau de bord'!$J$5="Toutes","*",'Tableau de bord'!$J$5),'Donnees'!$C$2:$C$2001,B46))</x:f>
        <x:v>0</x:v>
      </x:c>
      <x:c r="D46" s="2" t="n">
        <x:f>IF(B46="","",COUNTIFS('Donnees'!$A$2:$A$2001,"&lt;&gt;",'Donnees'!$C$2:$C$2001,"&gt;="&amp;'Tableau de bord'!$C$5,'Donnees'!$C$2:$C$2001,"&lt;="&amp;'Tableau de bord'!$F$5,'Donnees'!$F$2:$F$2001,IF('Tableau de bord'!$J$5="Toutes","*",'Tableau de bord'!$J$5),'Donnees'!$C$2:$C$2001,B46,'Donnees'!$G$2:$G$2001,"mail validé"))</x:f>
        <x:v>0</x:v>
      </x:c>
      <x:c r="E46" s="2" t="n">
        <x:f>IF(B46="","",COUNTIFS('Donnees'!$A$2:$A$2001,"&lt;&gt;",'Donnees'!$C$2:$C$2001,"&gt;="&amp;'Tableau de bord'!$C$5,'Donnees'!$C$2:$C$2001,"&lt;="&amp;'Tableau de bord'!$F$5,'Donnees'!$F$2:$F$2001,IF('Tableau de bord'!$J$5="Toutes","*",'Tableau de bord'!$J$5),'Donnees'!$C$2:$C$2001,B46,'Donnees'!$G$2:$G$2001,"mail non validé"))</x:f>
        <x:v>0</x:v>
      </x:c>
      <x:c r="F46" s="2" t="n">
        <x:f>IF(B46="","",COUNTIFS('Donnees'!$A$2:$A$2001,"&lt;&gt;",'Donnees'!$C$2:$C$2001,"&gt;="&amp;'Tableau de bord'!$C$5,'Donnees'!$C$2:$C$2001,"&lt;="&amp;'Tableau de bord'!$F$5,'Donnees'!$F$2:$F$2001,IF('Tableau de bord'!$J$5="Toutes","*",'Tableau de bord'!$J$5),'Donnees'!$C$2:$C$2001,B46,'Donnees'!$G$2:$G$2001,"à vérifier"))</x:f>
        <x:v>0</x:v>
      </x:c>
      <x:c r="G46" s="2"/>
      <x:c r="H46" s="2"/>
      <x:c r="I46" s="2"/>
      <x:c r="J46" s="2"/>
      <x:c r="K46" s="2"/>
      <x:c r="L46" s="2"/>
    </x:row>
    <x:row r="47" ht="23" customHeight="1">
      <x:c r="B47" s="7" t="n">
        <x:f>IF(B46="","",IF(B46+1&lt;=$F$5,B46+1,""))</x:f>
        <x:v>46291</x:v>
      </x:c>
      <x:c r="C47" s="2" t="n">
        <x:f>IF(B47="","",COUNTIFS('Donnees'!$A$2:$A$2001,"&lt;&gt;",'Donnees'!$C$2:$C$2001,"&gt;="&amp;'Tableau de bord'!$C$5,'Donnees'!$C$2:$C$2001,"&lt;="&amp;'Tableau de bord'!$F$5,'Donnees'!$F$2:$F$2001,IF('Tableau de bord'!$J$5="Toutes","*",'Tableau de bord'!$J$5),'Donnees'!$C$2:$C$2001,B47))</x:f>
        <x:v>0</x:v>
      </x:c>
      <x:c r="D47" s="2" t="n">
        <x:f>IF(B47="","",COUNTIFS('Donnees'!$A$2:$A$2001,"&lt;&gt;",'Donnees'!$C$2:$C$2001,"&gt;="&amp;'Tableau de bord'!$C$5,'Donnees'!$C$2:$C$2001,"&lt;="&amp;'Tableau de bord'!$F$5,'Donnees'!$F$2:$F$2001,IF('Tableau de bord'!$J$5="Toutes","*",'Tableau de bord'!$J$5),'Donnees'!$C$2:$C$2001,B47,'Donnees'!$G$2:$G$2001,"mail validé"))</x:f>
        <x:v>0</x:v>
      </x:c>
      <x:c r="E47" s="2" t="n">
        <x:f>IF(B47="","",COUNTIFS('Donnees'!$A$2:$A$2001,"&lt;&gt;",'Donnees'!$C$2:$C$2001,"&gt;="&amp;'Tableau de bord'!$C$5,'Donnees'!$C$2:$C$2001,"&lt;="&amp;'Tableau de bord'!$F$5,'Donnees'!$F$2:$F$2001,IF('Tableau de bord'!$J$5="Toutes","*",'Tableau de bord'!$J$5),'Donnees'!$C$2:$C$2001,B47,'Donnees'!$G$2:$G$2001,"mail non validé"))</x:f>
        <x:v>0</x:v>
      </x:c>
      <x:c r="F47" s="2" t="n">
        <x:f>IF(B47="","",COUNTIFS('Donnees'!$A$2:$A$2001,"&lt;&gt;",'Donnees'!$C$2:$C$2001,"&gt;="&amp;'Tableau de bord'!$C$5,'Donnees'!$C$2:$C$2001,"&lt;="&amp;'Tableau de bord'!$F$5,'Donnees'!$F$2:$F$2001,IF('Tableau de bord'!$J$5="Toutes","*",'Tableau de bord'!$J$5),'Donnees'!$C$2:$C$2001,B47,'Donnees'!$G$2:$G$2001,"à vérifier"))</x:f>
        <x:v>0</x:v>
      </x:c>
      <x:c r="G47" s="2"/>
      <x:c r="H47" s="2"/>
      <x:c r="I47" s="2"/>
      <x:c r="J47" s="2"/>
      <x:c r="K47" s="2"/>
      <x:c r="L47" s="2"/>
    </x:row>
    <x:row r="48" ht="23" customHeight="1">
      <x:c r="B48" s="7" t="n">
        <x:f>IF(B47="","",IF(B47+1&lt;=$F$5,B47+1,""))</x:f>
        <x:v>46292</x:v>
      </x:c>
      <x:c r="C48" s="2" t="n">
        <x:f>IF(B48="","",COUNTIFS('Donnees'!$A$2:$A$2001,"&lt;&gt;",'Donnees'!$C$2:$C$2001,"&gt;="&amp;'Tableau de bord'!$C$5,'Donnees'!$C$2:$C$2001,"&lt;="&amp;'Tableau de bord'!$F$5,'Donnees'!$F$2:$F$2001,IF('Tableau de bord'!$J$5="Toutes","*",'Tableau de bord'!$J$5),'Donnees'!$C$2:$C$2001,B48))</x:f>
        <x:v>0</x:v>
      </x:c>
      <x:c r="D48" s="2" t="n">
        <x:f>IF(B48="","",COUNTIFS('Donnees'!$A$2:$A$2001,"&lt;&gt;",'Donnees'!$C$2:$C$2001,"&gt;="&amp;'Tableau de bord'!$C$5,'Donnees'!$C$2:$C$2001,"&lt;="&amp;'Tableau de bord'!$F$5,'Donnees'!$F$2:$F$2001,IF('Tableau de bord'!$J$5="Toutes","*",'Tableau de bord'!$J$5),'Donnees'!$C$2:$C$2001,B48,'Donnees'!$G$2:$G$2001,"mail validé"))</x:f>
        <x:v>0</x:v>
      </x:c>
      <x:c r="E48" s="2" t="n">
        <x:f>IF(B48="","",COUNTIFS('Donnees'!$A$2:$A$2001,"&lt;&gt;",'Donnees'!$C$2:$C$2001,"&gt;="&amp;'Tableau de bord'!$C$5,'Donnees'!$C$2:$C$2001,"&lt;="&amp;'Tableau de bord'!$F$5,'Donnees'!$F$2:$F$2001,IF('Tableau de bord'!$J$5="Toutes","*",'Tableau de bord'!$J$5),'Donnees'!$C$2:$C$2001,B48,'Donnees'!$G$2:$G$2001,"mail non validé"))</x:f>
        <x:v>0</x:v>
      </x:c>
      <x:c r="F48" s="2" t="n">
        <x:f>IF(B48="","",COUNTIFS('Donnees'!$A$2:$A$2001,"&lt;&gt;",'Donnees'!$C$2:$C$2001,"&gt;="&amp;'Tableau de bord'!$C$5,'Donnees'!$C$2:$C$2001,"&lt;="&amp;'Tableau de bord'!$F$5,'Donnees'!$F$2:$F$2001,IF('Tableau de bord'!$J$5="Toutes","*",'Tableau de bord'!$J$5),'Donnees'!$C$2:$C$2001,B48,'Donnees'!$G$2:$G$2001,"à vérifier"))</x:f>
        <x:v>0</x:v>
      </x:c>
      <x:c r="G48" s="2"/>
      <x:c r="H48" s="2"/>
      <x:c r="I48" s="2"/>
      <x:c r="J48" s="2"/>
      <x:c r="K48" s="2"/>
      <x:c r="L48" s="2"/>
    </x:row>
    <x:row r="49" ht="23" customHeight="1">
      <x:c r="B49" s="7" t="n">
        <x:f>IF(B48="","",IF(B48+1&lt;=$F$5,B48+1,""))</x:f>
        <x:v>46293</x:v>
      </x:c>
      <x:c r="C49" s="2" t="n">
        <x:f>IF(B49="","",COUNTIFS('Donnees'!$A$2:$A$2001,"&lt;&gt;",'Donnees'!$C$2:$C$2001,"&gt;="&amp;'Tableau de bord'!$C$5,'Donnees'!$C$2:$C$2001,"&lt;="&amp;'Tableau de bord'!$F$5,'Donnees'!$F$2:$F$2001,IF('Tableau de bord'!$J$5="Toutes","*",'Tableau de bord'!$J$5),'Donnees'!$C$2:$C$2001,B49))</x:f>
        <x:v>0</x:v>
      </x:c>
      <x:c r="D49" s="2" t="n">
        <x:f>IF(B49="","",COUNTIFS('Donnees'!$A$2:$A$2001,"&lt;&gt;",'Donnees'!$C$2:$C$2001,"&gt;="&amp;'Tableau de bord'!$C$5,'Donnees'!$C$2:$C$2001,"&lt;="&amp;'Tableau de bord'!$F$5,'Donnees'!$F$2:$F$2001,IF('Tableau de bord'!$J$5="Toutes","*",'Tableau de bord'!$J$5),'Donnees'!$C$2:$C$2001,B49,'Donnees'!$G$2:$G$2001,"mail validé"))</x:f>
        <x:v>0</x:v>
      </x:c>
      <x:c r="E49" s="2" t="n">
        <x:f>IF(B49="","",COUNTIFS('Donnees'!$A$2:$A$2001,"&lt;&gt;",'Donnees'!$C$2:$C$2001,"&gt;="&amp;'Tableau de bord'!$C$5,'Donnees'!$C$2:$C$2001,"&lt;="&amp;'Tableau de bord'!$F$5,'Donnees'!$F$2:$F$2001,IF('Tableau de bord'!$J$5="Toutes","*",'Tableau de bord'!$J$5),'Donnees'!$C$2:$C$2001,B49,'Donnees'!$G$2:$G$2001,"mail non validé"))</x:f>
        <x:v>0</x:v>
      </x:c>
      <x:c r="F49" s="2" t="n">
        <x:f>IF(B49="","",COUNTIFS('Donnees'!$A$2:$A$2001,"&lt;&gt;",'Donnees'!$C$2:$C$2001,"&gt;="&amp;'Tableau de bord'!$C$5,'Donnees'!$C$2:$C$2001,"&lt;="&amp;'Tableau de bord'!$F$5,'Donnees'!$F$2:$F$2001,IF('Tableau de bord'!$J$5="Toutes","*",'Tableau de bord'!$J$5),'Donnees'!$C$2:$C$2001,B49,'Donnees'!$G$2:$G$2001,"à vérifier"))</x:f>
        <x:v>0</x:v>
      </x:c>
      <x:c r="G49" s="2"/>
      <x:c r="H49" s="2"/>
      <x:c r="I49" s="2"/>
      <x:c r="J49" s="2"/>
      <x:c r="K49" s="2"/>
      <x:c r="L49" s="2"/>
    </x:row>
    <x:row r="50" ht="23" customHeight="1">
      <x:c r="B50" s="7" t="n">
        <x:f>IF(B49="","",IF(B49+1&lt;=$F$5,B49+1,""))</x:f>
        <x:v>46294</x:v>
      </x:c>
      <x:c r="C50" s="2" t="n">
        <x:f>IF(B50="","",COUNTIFS('Donnees'!$A$2:$A$2001,"&lt;&gt;",'Donnees'!$C$2:$C$2001,"&gt;="&amp;'Tableau de bord'!$C$5,'Donnees'!$C$2:$C$2001,"&lt;="&amp;'Tableau de bord'!$F$5,'Donnees'!$F$2:$F$2001,IF('Tableau de bord'!$J$5="Toutes","*",'Tableau de bord'!$J$5),'Donnees'!$C$2:$C$2001,B50))</x:f>
        <x:v>0</x:v>
      </x:c>
      <x:c r="D50" s="2" t="n">
        <x:f>IF(B50="","",COUNTIFS('Donnees'!$A$2:$A$2001,"&lt;&gt;",'Donnees'!$C$2:$C$2001,"&gt;="&amp;'Tableau de bord'!$C$5,'Donnees'!$C$2:$C$2001,"&lt;="&amp;'Tableau de bord'!$F$5,'Donnees'!$F$2:$F$2001,IF('Tableau de bord'!$J$5="Toutes","*",'Tableau de bord'!$J$5),'Donnees'!$C$2:$C$2001,B50,'Donnees'!$G$2:$G$2001,"mail validé"))</x:f>
        <x:v>0</x:v>
      </x:c>
      <x:c r="E50" s="2" t="n">
        <x:f>IF(B50="","",COUNTIFS('Donnees'!$A$2:$A$2001,"&lt;&gt;",'Donnees'!$C$2:$C$2001,"&gt;="&amp;'Tableau de bord'!$C$5,'Donnees'!$C$2:$C$2001,"&lt;="&amp;'Tableau de bord'!$F$5,'Donnees'!$F$2:$F$2001,IF('Tableau de bord'!$J$5="Toutes","*",'Tableau de bord'!$J$5),'Donnees'!$C$2:$C$2001,B50,'Donnees'!$G$2:$G$2001,"mail non validé"))</x:f>
        <x:v>0</x:v>
      </x:c>
      <x:c r="F50" s="2" t="n">
        <x:f>IF(B50="","",COUNTIFS('Donnees'!$A$2:$A$2001,"&lt;&gt;",'Donnees'!$C$2:$C$2001,"&gt;="&amp;'Tableau de bord'!$C$5,'Donnees'!$C$2:$C$2001,"&lt;="&amp;'Tableau de bord'!$F$5,'Donnees'!$F$2:$F$2001,IF('Tableau de bord'!$J$5="Toutes","*",'Tableau de bord'!$J$5),'Donnees'!$C$2:$C$2001,B50,'Donnees'!$G$2:$G$2001,"à vérifier"))</x:f>
        <x:v>0</x:v>
      </x:c>
      <x:c r="G50" s="2"/>
      <x:c r="H50" s="2"/>
      <x:c r="I50" s="2"/>
      <x:c r="J50" s="2"/>
      <x:c r="K50" s="2"/>
      <x:c r="L50" s="2"/>
    </x:row>
    <x:row r="51" ht="23" customHeight="1">
      <x:c r="B51" s="7" t="n">
        <x:f>IF(B50="","",IF(B50+1&lt;=$F$5,B50+1,""))</x:f>
        <x:v>46295</x:v>
      </x:c>
      <x:c r="C51" s="2" t="n">
        <x:f>IF(B51="","",COUNTIFS('Donnees'!$A$2:$A$2001,"&lt;&gt;",'Donnees'!$C$2:$C$2001,"&gt;="&amp;'Tableau de bord'!$C$5,'Donnees'!$C$2:$C$2001,"&lt;="&amp;'Tableau de bord'!$F$5,'Donnees'!$F$2:$F$2001,IF('Tableau de bord'!$J$5="Toutes","*",'Tableau de bord'!$J$5),'Donnees'!$C$2:$C$2001,B51))</x:f>
        <x:v>0</x:v>
      </x:c>
      <x:c r="D51" s="2" t="n">
        <x:f>IF(B51="","",COUNTIFS('Donnees'!$A$2:$A$2001,"&lt;&gt;",'Donnees'!$C$2:$C$2001,"&gt;="&amp;'Tableau de bord'!$C$5,'Donnees'!$C$2:$C$2001,"&lt;="&amp;'Tableau de bord'!$F$5,'Donnees'!$F$2:$F$2001,IF('Tableau de bord'!$J$5="Toutes","*",'Tableau de bord'!$J$5),'Donnees'!$C$2:$C$2001,B51,'Donnees'!$G$2:$G$2001,"mail validé"))</x:f>
        <x:v>0</x:v>
      </x:c>
      <x:c r="E51" s="2" t="n">
        <x:f>IF(B51="","",COUNTIFS('Donnees'!$A$2:$A$2001,"&lt;&gt;",'Donnees'!$C$2:$C$2001,"&gt;="&amp;'Tableau de bord'!$C$5,'Donnees'!$C$2:$C$2001,"&lt;="&amp;'Tableau de bord'!$F$5,'Donnees'!$F$2:$F$2001,IF('Tableau de bord'!$J$5="Toutes","*",'Tableau de bord'!$J$5),'Donnees'!$C$2:$C$2001,B51,'Donnees'!$G$2:$G$2001,"mail non validé"))</x:f>
        <x:v>0</x:v>
      </x:c>
      <x:c r="F51" s="2" t="n">
        <x:f>IF(B51="","",COUNTIFS('Donnees'!$A$2:$A$2001,"&lt;&gt;",'Donnees'!$C$2:$C$2001,"&gt;="&amp;'Tableau de bord'!$C$5,'Donnees'!$C$2:$C$2001,"&lt;="&amp;'Tableau de bord'!$F$5,'Donnees'!$F$2:$F$2001,IF('Tableau de bord'!$J$5="Toutes","*",'Tableau de bord'!$J$5),'Donnees'!$C$2:$C$2001,B51,'Donnees'!$G$2:$G$2001,"à vérifier"))</x:f>
        <x:v>0</x:v>
      </x:c>
      <x:c r="G51" s="2"/>
      <x:c r="H51" s="2"/>
      <x:c r="I51" s="2"/>
      <x:c r="J51" s="2"/>
      <x:c r="K51" s="2"/>
      <x:c r="L51" s="2"/>
    </x:row>
    <x:row r="52" ht="23" customHeight="1">
      <x:c r="B52" s="7" t="str">
        <x:f>IF(B51="","",IF(B51+1&lt;=$F$5,B51+1,""))</x:f>
      </x:c>
      <x:c r="C52" s="2" t="str">
        <x:f>IF(B52="","",COUNTIFS('Donnees'!$A$2:$A$2001,"&lt;&gt;",'Donnees'!$C$2:$C$2001,"&gt;="&amp;'Tableau de bord'!$C$5,'Donnees'!$C$2:$C$2001,"&lt;="&amp;'Tableau de bord'!$F$5,'Donnees'!$F$2:$F$2001,IF('Tableau de bord'!$J$5="Toutes","*",'Tableau de bord'!$J$5),'Donnees'!$C$2:$C$2001,B52))</x:f>
      </x:c>
      <x:c r="D52" s="2" t="str">
        <x:f>IF(B52="","",COUNTIFS('Donnees'!$A$2:$A$2001,"&lt;&gt;",'Donnees'!$C$2:$C$2001,"&gt;="&amp;'Tableau de bord'!$C$5,'Donnees'!$C$2:$C$2001,"&lt;="&amp;'Tableau de bord'!$F$5,'Donnees'!$F$2:$F$2001,IF('Tableau de bord'!$J$5="Toutes","*",'Tableau de bord'!$J$5),'Donnees'!$C$2:$C$2001,B52,'Donnees'!$G$2:$G$2001,"mail validé"))</x:f>
      </x:c>
      <x:c r="E52" s="2" t="str">
        <x:f>IF(B52="","",COUNTIFS('Donnees'!$A$2:$A$2001,"&lt;&gt;",'Donnees'!$C$2:$C$2001,"&gt;="&amp;'Tableau de bord'!$C$5,'Donnees'!$C$2:$C$2001,"&lt;="&amp;'Tableau de bord'!$F$5,'Donnees'!$F$2:$F$2001,IF('Tableau de bord'!$J$5="Toutes","*",'Tableau de bord'!$J$5),'Donnees'!$C$2:$C$2001,B52,'Donnees'!$G$2:$G$2001,"mail non validé"))</x:f>
      </x:c>
      <x:c r="F52" s="2" t="str">
        <x:f>IF(B52="","",COUNTIFS('Donnees'!$A$2:$A$2001,"&lt;&gt;",'Donnees'!$C$2:$C$2001,"&gt;="&amp;'Tableau de bord'!$C$5,'Donnees'!$C$2:$C$2001,"&lt;="&amp;'Tableau de bord'!$F$5,'Donnees'!$F$2:$F$2001,IF('Tableau de bord'!$J$5="Toutes","*",'Tableau de bord'!$J$5),'Donnees'!$C$2:$C$2001,B52,'Donnees'!$G$2:$G$2001,"à vérifier"))</x:f>
      </x:c>
      <x:c r="G52" s="2"/>
      <x:c r="H52" s="2"/>
      <x:c r="I52" s="2"/>
      <x:c r="J52" s="2"/>
      <x:c r="K52" s="2"/>
      <x:c r="L52" s="2"/>
    </x:row>
    <x:row r="53" ht="23" customHeight="1">
      <x:c r="B53" s="2"/>
      <x:c r="C53" s="2"/>
      <x:c r="D53" s="2"/>
      <x:c r="E53" s="2"/>
      <x:c r="F53" s="2"/>
      <x:c r="G53" s="2"/>
      <x:c r="H53" s="2"/>
      <x:c r="I53" s="2"/>
      <x:c r="J53" s="2"/>
      <x:c r="K53" s="2"/>
      <x:c r="L53" s="2"/>
    </x:row>
    <x:row r="54" ht="23" customHeight="1">
      <x:c r="B54" s="2"/>
      <x:c r="C54" s="2"/>
      <x:c r="D54" s="2"/>
      <x:c r="E54" s="2"/>
      <x:c r="F54" s="2"/>
      <x:c r="G54" s="2"/>
      <x:c r="H54" s="2"/>
      <x:c r="I54" s="2"/>
      <x:c r="J54" s="2"/>
      <x:c r="K54" s="2"/>
      <x:c r="L54" s="2"/>
    </x:row>
    <x:row r="55" ht="23" customHeight="1">
      <x:c r="B55" s="10" t="str">
        <x:v>Source : Classeur septembre 2026 ACT.xlsx, onglets Sep1 à Sep9 présents dans le fichier.</x:v>
      </x:c>
      <x:c r="C55" s="2"/>
      <x:c r="D55" s="2"/>
      <x:c r="E55" s="2"/>
      <x:c r="F55" s="2"/>
      <x:c r="G55" s="2"/>
      <x:c r="H55" s="2"/>
      <x:c r="I55" s="2"/>
      <x:c r="J55" s="2"/>
      <x:c r="K55" s="2"/>
      <x:c r="L55" s="2"/>
    </x:row>
    <x:row r="56" ht="23" customHeight="1">
      <x:c r="B56" s="10" t="str">
        <x:v>Les taux portent sur l’échantillon contrôlé. La gravité de Q1/Q2/Q3 reste à définir.</x:v>
      </x:c>
      <x:c r="C56" s="2"/>
      <x:c r="D56" s="2"/>
      <x:c r="E56" s="2"/>
      <x:c r="F56" s="2"/>
      <x:c r="G56" s="2"/>
      <x:c r="H56" s="2"/>
      <x:c r="I56" s="2"/>
      <x:c r="J56" s="2"/>
      <x:c r="K56" s="2"/>
      <x:c r="L56" s="2"/>
    </x:row>
    <x:row r="57" ht="23" customHeight="1">
      <x:c r="B57" s="2"/>
      <x:c r="C57" s="2"/>
      <x:c r="D57" s="2"/>
      <x:c r="E57" s="2"/>
      <x:c r="F57" s="2"/>
      <x:c r="G57" s="2"/>
      <x:c r="H57" s="2"/>
      <x:c r="I57" s="2"/>
      <x:c r="J57" s="2"/>
      <x:c r="K57" s="2"/>
      <x:c r="L57" s="2"/>
    </x:row>
    <x:row r="58" ht="23" customHeight="1">
      <x:c r="B58" s="2" t="str">
        <x:f>IF(COUNTA('Donnees'!A:A)&gt;2001,"ALERTE : capacité de 2 000 lignes dépassée","Capacité : 2 000 lignes de contrôle")</x:f>
        <x:v>Capacité : 2 000 lignes de contrôle</x:v>
      </x:c>
      <x:c r="C58" s="2"/>
      <x:c r="D58" s="2"/>
      <x:c r="E58" s="2"/>
      <x:c r="F58" s="2"/>
      <x:c r="G58" s="2"/>
      <x:c r="H58" s="2"/>
      <x:c r="I58" s="2"/>
      <x:c r="J58" s="2"/>
      <x:c r="K58" s="2"/>
      <x:c r="L58" s="2"/>
    </x:row>
    <x:row r="59" ht="23" customHeight="1">
      <x:c r="B59" s="2" t="str">
        <x:f>IF($F$5&lt;$C$5,"ALERTE : dates inversées",IF($F$5-$C$5&gt;30,"Le détail journalier affiche les 31 premiers jours ; les totaux couvrent toute la période.",""))</x:f>
      </x:c>
      <x:c r="C59" s="2"/>
      <x:c r="D59" s="2"/>
      <x:c r="E59" s="2"/>
      <x:c r="F59" s="2"/>
      <x:c r="G59" s="2"/>
      <x:c r="H59" s="2"/>
      <x:c r="I59" s="2"/>
      <x:c r="J59" s="2"/>
      <x:c r="K59" s="2"/>
      <x:c r="L59" s="2"/>
    </x:row>
    <x:row r="60" ht="23" customHeight="1">
      <x:c r="B60" s="2" t="str">
        <x:f>IF(B8-SUM(C13:C18)&lt;&gt;0,"ALERTE : nouvelle nature à ajouter au tableau","")</x:f>
      </x:c>
      <x:c r="C60" s="2"/>
      <x:c r="D60" s="2"/>
      <x:c r="E60" s="2"/>
      <x:c r="F60" s="2"/>
      <x:c r="G60" s="2"/>
      <x:c r="H60" s="2"/>
      <x:c r="I60" s="2"/>
      <x:c r="J60" s="2"/>
      <x:c r="K60" s="2"/>
      <x:c r="L60" s="2"/>
    </x:row>
    <x:row r="61" ht="23" customHeight="1">
      <x:c r="B61" s="2"/>
      <x:c r="C61" s="2"/>
      <x:c r="D61" s="2"/>
      <x:c r="E61" s="2"/>
      <x:c r="F61" s="2"/>
      <x:c r="G61" s="2"/>
      <x:c r="H61" s="2"/>
      <x:c r="I61" s="2"/>
      <x:c r="J61" s="2"/>
      <x:c r="K61" s="2"/>
      <x:c r="L61" s="2"/>
    </x:row>
    <x:row r="62" ht="23" customHeight="1">
      <x:c r="B62" s="10" t="str">
        <x:v>Power Query : connexion à activer une seule fois dans l’onglet Power Query.</x:v>
      </x:c>
      <x:c r="C62" s="2"/>
      <x:c r="D62" s="2"/>
      <x:c r="E62" s="2"/>
      <x:c r="F62" s="2"/>
      <x:c r="G62" s="2"/>
      <x:c r="H62" s="2"/>
      <x:c r="I62" s="2"/>
      <x:c r="J62" s="2"/>
      <x:c r="K62" s="2"/>
      <x:c r="L62" s="2"/>
    </x:row>
    <x:row r="63" ht="23" customHeight="1">
      <x:c r="B63" s="2"/>
      <x:c r="C63" s="2"/>
      <x:c r="D63" s="2"/>
      <x:c r="E63" s="2"/>
      <x:c r="F63" s="2"/>
      <x:c r="G63" s="2"/>
      <x:c r="H63" s="2"/>
      <x:c r="I63" s="2"/>
      <x:c r="J63" s="2"/>
      <x:c r="K63" s="2"/>
      <x:c r="L63" s="2"/>
    </x:row>
    <x:row r="64" ht="23" customHeight="1">
      <x:c r="B64" s="2"/>
      <x:c r="C64" s="2"/>
      <x:c r="D64" s="2"/>
      <x:c r="E64" s="2"/>
      <x:c r="F64" s="2"/>
      <x:c r="G64" s="2"/>
      <x:c r="H64" s="2"/>
      <x:c r="I64" s="2"/>
      <x:c r="J64" s="2"/>
      <x:c r="K64" s="2"/>
      <x:c r="L64" s="2"/>
    </x:row>
    <x:row r="65" ht="23" customHeight="1">
      <x:c r="B65" s="2"/>
      <x:c r="C65" s="2"/>
      <x:c r="D65" s="2"/>
      <x:c r="E65" s="2"/>
      <x:c r="F65" s="2"/>
      <x:c r="G65" s="2"/>
      <x:c r="H65" s="2"/>
      <x:c r="I65" s="2"/>
      <x:c r="J65" s="2"/>
      <x:c r="K65" s="2"/>
      <x:c r="L65" s="2"/>
    </x:row>
  </x:sheetData>
  <x:dataValidations count="1">
    <x:dataValidation type="list" sqref="J5">
      <x:formula1>"Toutes,RIB,NANT,DOM,FISCA,DOCS,OV"</x:formula1>
    </x:dataValidation>
  </x:dataValidations>
  <x:pageMargins left="0.7" right="0.7" top="0.75" bottom="0.75" header="0.3" footer="0.3"/>
  <x:drawing xmlns:r="http://schemas.openxmlformats.org/officeDocument/2006/relationships" r:id="R5f35a48c323b4a81"/>
</x:worksheet>
</file>

<file path=xl/worksheets/sheet2.xml><?xml version="1.0" encoding="utf-8"?>
<x:worksheet xmlns:x="http://schemas.openxmlformats.org/spreadsheetml/2006/main">
  <x:sheetPr>
    <x:tabColor rgb="FF3367A8"/>
  </x:sheetPr>
  <x:sheetViews>
    <x:sheetView showGridLines="0" workbookViewId="0">
      <x:pane ySplit="7" topLeftCell="A8" activePane="bottomLeft" state="frozen"/>
    </x:sheetView>
  </x:sheetViews>
  <x:sheetFormatPr defaultRowHeight="15"/>
  <x:cols>
    <x:col min="1" max="1" width="3" hidden="0" customWidth="1"/>
    <x:col min="2" max="2" width="34"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s>
  <x:sheetData>
    <x:row r="2" ht="23" customHeight="1">
      <x:c r="B2" s="9" t="str">
        <x:v>Contrôles et quartiles par collaborateur</x:v>
      </x:c>
      <x:c r="C2" s="2"/>
      <x:c r="D2" s="2"/>
      <x:c r="E2" s="2"/>
      <x:c r="F2" s="2"/>
      <x:c r="G2" s="2"/>
      <x:c r="H2" s="2"/>
      <x:c r="I2" s="2"/>
      <x:c r="J2" s="2"/>
      <x:c r="K2" s="2"/>
    </x:row>
    <x:row r="3" ht="23" customHeight="1">
      <x:c r="B3" s="10" t="str">
        <x:v>Les filtres de date et de nature du tableau de bord s’appliquent à cette vue.</x:v>
      </x:c>
      <x:c r="C3" s="2"/>
      <x:c r="D3" s="2"/>
      <x:c r="E3" s="2"/>
      <x:c r="F3" s="2"/>
      <x:c r="G3" s="2"/>
      <x:c r="H3" s="2"/>
      <x:c r="I3" s="2"/>
      <x:c r="J3" s="2"/>
      <x:c r="K3" s="2"/>
    </x:row>
    <x:row r="4" ht="23" customHeight="1">
      <x:c r="B4" s="10" t="str">
        <x:v>Q1 à Q4 : nombre de mails non validés. Une absence de contrôle ne vaut pas 0 % d’erreur.</x:v>
      </x:c>
      <x:c r="C4" s="2"/>
      <x:c r="D4" s="2"/>
      <x:c r="E4" s="2"/>
      <x:c r="F4" s="2"/>
      <x:c r="G4" s="2"/>
      <x:c r="H4" s="2"/>
      <x:c r="I4" s="2"/>
      <x:c r="J4" s="2"/>
      <x:c r="K4" s="2"/>
    </x:row>
    <x:row r="5" ht="23" customHeight="1">
      <x:c r="B5" s="2"/>
      <x:c r="C5" s="2"/>
      <x:c r="D5" s="2"/>
      <x:c r="E5" s="2"/>
      <x:c r="F5" s="2"/>
      <x:c r="G5" s="2"/>
      <x:c r="H5" s="2"/>
      <x:c r="I5" s="2"/>
      <x:c r="J5" s="2"/>
      <x:c r="K5" s="2"/>
    </x:row>
    <x:row r="6" ht="23" customHeight="1">
      <x:c r="B6" s="2"/>
      <x:c r="C6" s="2"/>
      <x:c r="D6" s="2"/>
      <x:c r="E6" s="2"/>
      <x:c r="F6" s="2"/>
      <x:c r="G6" s="2"/>
      <x:c r="H6" s="2"/>
      <x:c r="I6" s="2"/>
      <x:c r="J6" s="2"/>
      <x:c r="K6" s="2"/>
    </x:row>
    <x:row r="7" ht="34" customHeight="1">
      <x:c r="B7" s="6" t="str">
        <x:v>Collaborateur</x:v>
      </x:c>
      <x:c r="C7" s="6" t="str">
        <x:v>Contrôlés</x:v>
      </x:c>
      <x:c r="D7" s="6" t="str">
        <x:v>Validés</x:v>
      </x:c>
      <x:c r="E7" s="6" t="str">
        <x:v>Non validés</x:v>
      </x:c>
      <x:c r="F7" s="6" t="str">
        <x:v>À vérifier</x:v>
      </x:c>
      <x:c r="G7" s="6" t="str">
        <x:v>Q1</x:v>
      </x:c>
      <x:c r="H7" s="6" t="str">
        <x:v>Q2</x:v>
      </x:c>
      <x:c r="I7" s="6" t="str">
        <x:v>Q3</x:v>
      </x:c>
      <x:c r="J7" s="6" t="str">
        <x:v>Q4</x:v>
      </x:c>
      <x:c r="K7" s="6" t="str">
        <x:v>Taux non-valid.</x:v>
      </x:c>
    </x:row>
    <x:row r="8" ht="23" customHeight="1">
      <x:c r="B8" s="2" t="str">
        <x:f>IF(COUNTIFS('Donnees'!$L$2:$L$2001,1)=0,"",INDEX('Donnees'!$E$2:$E$2001,MATCH(1,'Donnees'!$L$2:$L$2001,0)))</x:f>
        <x:v>EL AMRANI Abdelmoughit</x:v>
      </x:c>
      <x:c r="C8" s="2" t="n">
        <x:f>IF(B8="","",COUNTIFS('Donnees'!$A$2:$A$2001,"&lt;&gt;",'Donnees'!$C$2:$C$2001,"&gt;="&amp;'Tableau de bord'!$C$5,'Donnees'!$C$2:$C$2001,"&lt;="&amp;'Tableau de bord'!$F$5,'Donnees'!$F$2:$F$2001,IF('Tableau de bord'!$J$5="Toutes","*",'Tableau de bord'!$J$5),'Donnees'!$E$2:$E$2001,B8))</x:f>
        <x:v>2</x:v>
      </x:c>
      <x:c r="D8" s="2" t="n">
        <x:f>IF(B8="","",COUNTIFS('Donnees'!$A$2:$A$2001,"&lt;&gt;",'Donnees'!$C$2:$C$2001,"&gt;="&amp;'Tableau de bord'!$C$5,'Donnees'!$C$2:$C$2001,"&lt;="&amp;'Tableau de bord'!$F$5,'Donnees'!$F$2:$F$2001,IF('Tableau de bord'!$J$5="Toutes","*",'Tableau de bord'!$J$5),'Donnees'!$E$2:$E$2001,B8,'Donnees'!$G$2:$G$2001,"mail validé"))</x:f>
        <x:v>1</x:v>
      </x:c>
      <x:c r="E8" s="2" t="n">
        <x:f>IF(B8="","",COUNTIFS('Donnees'!$A$2:$A$2001,"&lt;&gt;",'Donnees'!$C$2:$C$2001,"&gt;="&amp;'Tableau de bord'!$C$5,'Donnees'!$C$2:$C$2001,"&lt;="&amp;'Tableau de bord'!$F$5,'Donnees'!$F$2:$F$2001,IF('Tableau de bord'!$J$5="Toutes","*",'Tableau de bord'!$J$5),'Donnees'!$E$2:$E$2001,B8,'Donnees'!$G$2:$G$2001,"mail non validé"))</x:f>
        <x:v>1</x:v>
      </x:c>
      <x:c r="F8" s="2" t="n">
        <x:f>IF(B8="","",COUNTIFS('Donnees'!$A$2:$A$2001,"&lt;&gt;",'Donnees'!$C$2:$C$2001,"&gt;="&amp;'Tableau de bord'!$C$5,'Donnees'!$C$2:$C$2001,"&lt;="&amp;'Tableau de bord'!$F$5,'Donnees'!$F$2:$F$2001,IF('Tableau de bord'!$J$5="Toutes","*",'Tableau de bord'!$J$5),'Donnees'!$E$2:$E$2001,B8,'Donnees'!$G$2:$G$2001,"à vérifier"))</x:f>
        <x:v>0</x:v>
      </x:c>
      <x:c r="G8" s="2" t="n">
        <x:f>IF(B8="","",COUNTIFS('Donnees'!$A$2:$A$2001,"&lt;&gt;",'Donnees'!$C$2:$C$2001,"&gt;="&amp;'Tableau de bord'!$C$5,'Donnees'!$C$2:$C$2001,"&lt;="&amp;'Tableau de bord'!$F$5,'Donnees'!$F$2:$F$2001,IF('Tableau de bord'!$J$5="Toutes","*",'Tableau de bord'!$J$5),'Donnees'!$E$2:$E$2001,B8,'Donnees'!$G$2:$G$2001,"mail non validé",'Donnees'!$H$2:$H$2001,"Q1"))</x:f>
        <x:v>0</x:v>
      </x:c>
      <x:c r="H8" s="2" t="n">
        <x:f>IF(B8="","",COUNTIFS('Donnees'!$A$2:$A$2001,"&lt;&gt;",'Donnees'!$C$2:$C$2001,"&gt;="&amp;'Tableau de bord'!$C$5,'Donnees'!$C$2:$C$2001,"&lt;="&amp;'Tableau de bord'!$F$5,'Donnees'!$F$2:$F$2001,IF('Tableau de bord'!$J$5="Toutes","*",'Tableau de bord'!$J$5),'Donnees'!$E$2:$E$2001,B8,'Donnees'!$G$2:$G$2001,"mail non validé",'Donnees'!$H$2:$H$2001,"Q2"))</x:f>
        <x:v>0</x:v>
      </x:c>
      <x:c r="I8" s="2" t="n">
        <x:f>IF(B8="","",COUNTIFS('Donnees'!$A$2:$A$2001,"&lt;&gt;",'Donnees'!$C$2:$C$2001,"&gt;="&amp;'Tableau de bord'!$C$5,'Donnees'!$C$2:$C$2001,"&lt;="&amp;'Tableau de bord'!$F$5,'Donnees'!$F$2:$F$2001,IF('Tableau de bord'!$J$5="Toutes","*",'Tableau de bord'!$J$5),'Donnees'!$E$2:$E$2001,B8,'Donnees'!$G$2:$G$2001,"mail non validé",'Donnees'!$H$2:$H$2001,"Q3"))</x:f>
        <x:v>1</x:v>
      </x:c>
      <x:c r="J8" s="2" t="n">
        <x:f>IF(B8="","",COUNTIFS('Donnees'!$A$2:$A$2001,"&lt;&gt;",'Donnees'!$C$2:$C$2001,"&gt;="&amp;'Tableau de bord'!$C$5,'Donnees'!$C$2:$C$2001,"&lt;="&amp;'Tableau de bord'!$F$5,'Donnees'!$F$2:$F$2001,IF('Tableau de bord'!$J$5="Toutes","*",'Tableau de bord'!$J$5),'Donnees'!$E$2:$E$2001,B8,'Donnees'!$G$2:$G$2001,"mail non validé",'Donnees'!$H$2:$H$2001,"Q4"))</x:f>
        <x:v>0</x:v>
      </x:c>
      <x:c r="K8" s="16" t="n">
        <x:f>IF(B8="","",IF(C8=0,"n.a.",E8/C8))</x:f>
        <x:v>0.5</x:v>
      </x:c>
    </x:row>
    <x:row r="9" ht="23" customHeight="1">
      <x:c r="B9" s="2" t="str">
        <x:f>IF(COUNTIFS('Donnees'!$L$2:$L$2001,2)=0,"",INDEX('Donnees'!$E$2:$E$2001,MATCH(2,'Donnees'!$L$2:$L$2001,0)))</x:f>
        <x:v>EL HASROUF Youssef</x:v>
      </x:c>
      <x:c r="C9" s="2" t="n">
        <x:f>IF(B9="","",COUNTIFS('Donnees'!$A$2:$A$2001,"&lt;&gt;",'Donnees'!$C$2:$C$2001,"&gt;="&amp;'Tableau de bord'!$C$5,'Donnees'!$C$2:$C$2001,"&lt;="&amp;'Tableau de bord'!$F$5,'Donnees'!$F$2:$F$2001,IF('Tableau de bord'!$J$5="Toutes","*",'Tableau de bord'!$J$5),'Donnees'!$E$2:$E$2001,B9))</x:f>
        <x:v>14</x:v>
      </x:c>
      <x:c r="D9" s="2" t="n">
        <x:f>IF(B9="","",COUNTIFS('Donnees'!$A$2:$A$2001,"&lt;&gt;",'Donnees'!$C$2:$C$2001,"&gt;="&amp;'Tableau de bord'!$C$5,'Donnees'!$C$2:$C$2001,"&lt;="&amp;'Tableau de bord'!$F$5,'Donnees'!$F$2:$F$2001,IF('Tableau de bord'!$J$5="Toutes","*",'Tableau de bord'!$J$5),'Donnees'!$E$2:$E$2001,B9,'Donnees'!$G$2:$G$2001,"mail validé"))</x:f>
        <x:v>12</x:v>
      </x:c>
      <x:c r="E9" s="2" t="n">
        <x:f>IF(B9="","",COUNTIFS('Donnees'!$A$2:$A$2001,"&lt;&gt;",'Donnees'!$C$2:$C$2001,"&gt;="&amp;'Tableau de bord'!$C$5,'Donnees'!$C$2:$C$2001,"&lt;="&amp;'Tableau de bord'!$F$5,'Donnees'!$F$2:$F$2001,IF('Tableau de bord'!$J$5="Toutes","*",'Tableau de bord'!$J$5),'Donnees'!$E$2:$E$2001,B9,'Donnees'!$G$2:$G$2001,"mail non validé"))</x:f>
        <x:v>2</x:v>
      </x:c>
      <x:c r="F9" s="2" t="n">
        <x:f>IF(B9="","",COUNTIFS('Donnees'!$A$2:$A$2001,"&lt;&gt;",'Donnees'!$C$2:$C$2001,"&gt;="&amp;'Tableau de bord'!$C$5,'Donnees'!$C$2:$C$2001,"&lt;="&amp;'Tableau de bord'!$F$5,'Donnees'!$F$2:$F$2001,IF('Tableau de bord'!$J$5="Toutes","*",'Tableau de bord'!$J$5),'Donnees'!$E$2:$E$2001,B9,'Donnees'!$G$2:$G$2001,"à vérifier"))</x:f>
        <x:v>0</x:v>
      </x:c>
      <x:c r="G9" s="2" t="n">
        <x:f>IF(B9="","",COUNTIFS('Donnees'!$A$2:$A$2001,"&lt;&gt;",'Donnees'!$C$2:$C$2001,"&gt;="&amp;'Tableau de bord'!$C$5,'Donnees'!$C$2:$C$2001,"&lt;="&amp;'Tableau de bord'!$F$5,'Donnees'!$F$2:$F$2001,IF('Tableau de bord'!$J$5="Toutes","*",'Tableau de bord'!$J$5),'Donnees'!$E$2:$E$2001,B9,'Donnees'!$G$2:$G$2001,"mail non validé",'Donnees'!$H$2:$H$2001,"Q1"))</x:f>
        <x:v>0</x:v>
      </x:c>
      <x:c r="H9" s="2" t="n">
        <x:f>IF(B9="","",COUNTIFS('Donnees'!$A$2:$A$2001,"&lt;&gt;",'Donnees'!$C$2:$C$2001,"&gt;="&amp;'Tableau de bord'!$C$5,'Donnees'!$C$2:$C$2001,"&lt;="&amp;'Tableau de bord'!$F$5,'Donnees'!$F$2:$F$2001,IF('Tableau de bord'!$J$5="Toutes","*",'Tableau de bord'!$J$5),'Donnees'!$E$2:$E$2001,B9,'Donnees'!$G$2:$G$2001,"mail non validé",'Donnees'!$H$2:$H$2001,"Q2"))</x:f>
        <x:v>2</x:v>
      </x:c>
      <x:c r="I9" s="2" t="n">
        <x:f>IF(B9="","",COUNTIFS('Donnees'!$A$2:$A$2001,"&lt;&gt;",'Donnees'!$C$2:$C$2001,"&gt;="&amp;'Tableau de bord'!$C$5,'Donnees'!$C$2:$C$2001,"&lt;="&amp;'Tableau de bord'!$F$5,'Donnees'!$F$2:$F$2001,IF('Tableau de bord'!$J$5="Toutes","*",'Tableau de bord'!$J$5),'Donnees'!$E$2:$E$2001,B9,'Donnees'!$G$2:$G$2001,"mail non validé",'Donnees'!$H$2:$H$2001,"Q3"))</x:f>
        <x:v>0</x:v>
      </x:c>
      <x:c r="J9" s="2" t="n">
        <x:f>IF(B9="","",COUNTIFS('Donnees'!$A$2:$A$2001,"&lt;&gt;",'Donnees'!$C$2:$C$2001,"&gt;="&amp;'Tableau de bord'!$C$5,'Donnees'!$C$2:$C$2001,"&lt;="&amp;'Tableau de bord'!$F$5,'Donnees'!$F$2:$F$2001,IF('Tableau de bord'!$J$5="Toutes","*",'Tableau de bord'!$J$5),'Donnees'!$E$2:$E$2001,B9,'Donnees'!$G$2:$G$2001,"mail non validé",'Donnees'!$H$2:$H$2001,"Q4"))</x:f>
        <x:v>0</x:v>
      </x:c>
      <x:c r="K9" s="16" t="n">
        <x:f>IF(B9="","",IF(C9=0,"n.a.",E9/C9))</x:f>
        <x:v>0.14285714285714285</x:v>
      </x:c>
    </x:row>
    <x:row r="10" ht="23" customHeight="1">
      <x:c r="B10" s="2" t="str">
        <x:f>IF(COUNTIFS('Donnees'!$L$2:$L$2001,3)=0,"",INDEX('Donnees'!$E$2:$E$2001,MATCH(3,'Donnees'!$L$2:$L$2001,0)))</x:f>
        <x:v>GUESSAR Zahra</x:v>
      </x:c>
      <x:c r="C10" s="2" t="n">
        <x:f>IF(B10="","",COUNTIFS('Donnees'!$A$2:$A$2001,"&lt;&gt;",'Donnees'!$C$2:$C$2001,"&gt;="&amp;'Tableau de bord'!$C$5,'Donnees'!$C$2:$C$2001,"&lt;="&amp;'Tableau de bord'!$F$5,'Donnees'!$F$2:$F$2001,IF('Tableau de bord'!$J$5="Toutes","*",'Tableau de bord'!$J$5),'Donnees'!$E$2:$E$2001,B10))</x:f>
        <x:v>16</x:v>
      </x:c>
      <x:c r="D10" s="2" t="n">
        <x:f>IF(B10="","",COUNTIFS('Donnees'!$A$2:$A$2001,"&lt;&gt;",'Donnees'!$C$2:$C$2001,"&gt;="&amp;'Tableau de bord'!$C$5,'Donnees'!$C$2:$C$2001,"&lt;="&amp;'Tableau de bord'!$F$5,'Donnees'!$F$2:$F$2001,IF('Tableau de bord'!$J$5="Toutes","*",'Tableau de bord'!$J$5),'Donnees'!$E$2:$E$2001,B10,'Donnees'!$G$2:$G$2001,"mail validé"))</x:f>
        <x:v>11</x:v>
      </x:c>
      <x:c r="E10" s="2" t="n">
        <x:f>IF(B10="","",COUNTIFS('Donnees'!$A$2:$A$2001,"&lt;&gt;",'Donnees'!$C$2:$C$2001,"&gt;="&amp;'Tableau de bord'!$C$5,'Donnees'!$C$2:$C$2001,"&lt;="&amp;'Tableau de bord'!$F$5,'Donnees'!$F$2:$F$2001,IF('Tableau de bord'!$J$5="Toutes","*",'Tableau de bord'!$J$5),'Donnees'!$E$2:$E$2001,B10,'Donnees'!$G$2:$G$2001,"mail non validé"))</x:f>
        <x:v>5</x:v>
      </x:c>
      <x:c r="F10" s="2" t="n">
        <x:f>IF(B10="","",COUNTIFS('Donnees'!$A$2:$A$2001,"&lt;&gt;",'Donnees'!$C$2:$C$2001,"&gt;="&amp;'Tableau de bord'!$C$5,'Donnees'!$C$2:$C$2001,"&lt;="&amp;'Tableau de bord'!$F$5,'Donnees'!$F$2:$F$2001,IF('Tableau de bord'!$J$5="Toutes","*",'Tableau de bord'!$J$5),'Donnees'!$E$2:$E$2001,B10,'Donnees'!$G$2:$G$2001,"à vérifier"))</x:f>
        <x:v>0</x:v>
      </x:c>
      <x:c r="G10" s="2" t="n">
        <x:f>IF(B10="","",COUNTIFS('Donnees'!$A$2:$A$2001,"&lt;&gt;",'Donnees'!$C$2:$C$2001,"&gt;="&amp;'Tableau de bord'!$C$5,'Donnees'!$C$2:$C$2001,"&lt;="&amp;'Tableau de bord'!$F$5,'Donnees'!$F$2:$F$2001,IF('Tableau de bord'!$J$5="Toutes","*",'Tableau de bord'!$J$5),'Donnees'!$E$2:$E$2001,B10,'Donnees'!$G$2:$G$2001,"mail non validé",'Donnees'!$H$2:$H$2001,"Q1"))</x:f>
        <x:v>2</x:v>
      </x:c>
      <x:c r="H10" s="2" t="n">
        <x:f>IF(B10="","",COUNTIFS('Donnees'!$A$2:$A$2001,"&lt;&gt;",'Donnees'!$C$2:$C$2001,"&gt;="&amp;'Tableau de bord'!$C$5,'Donnees'!$C$2:$C$2001,"&lt;="&amp;'Tableau de bord'!$F$5,'Donnees'!$F$2:$F$2001,IF('Tableau de bord'!$J$5="Toutes","*",'Tableau de bord'!$J$5),'Donnees'!$E$2:$E$2001,B10,'Donnees'!$G$2:$G$2001,"mail non validé",'Donnees'!$H$2:$H$2001,"Q2"))</x:f>
        <x:v>1</x:v>
      </x:c>
      <x:c r="I10" s="2" t="n">
        <x:f>IF(B10="","",COUNTIFS('Donnees'!$A$2:$A$2001,"&lt;&gt;",'Donnees'!$C$2:$C$2001,"&gt;="&amp;'Tableau de bord'!$C$5,'Donnees'!$C$2:$C$2001,"&lt;="&amp;'Tableau de bord'!$F$5,'Donnees'!$F$2:$F$2001,IF('Tableau de bord'!$J$5="Toutes","*",'Tableau de bord'!$J$5),'Donnees'!$E$2:$E$2001,B10,'Donnees'!$G$2:$G$2001,"mail non validé",'Donnees'!$H$2:$H$2001,"Q3"))</x:f>
        <x:v>2</x:v>
      </x:c>
      <x:c r="J10" s="2" t="n">
        <x:f>IF(B10="","",COUNTIFS('Donnees'!$A$2:$A$2001,"&lt;&gt;",'Donnees'!$C$2:$C$2001,"&gt;="&amp;'Tableau de bord'!$C$5,'Donnees'!$C$2:$C$2001,"&lt;="&amp;'Tableau de bord'!$F$5,'Donnees'!$F$2:$F$2001,IF('Tableau de bord'!$J$5="Toutes","*",'Tableau de bord'!$J$5),'Donnees'!$E$2:$E$2001,B10,'Donnees'!$G$2:$G$2001,"mail non validé",'Donnees'!$H$2:$H$2001,"Q4"))</x:f>
        <x:v>0</x:v>
      </x:c>
      <x:c r="K10" s="16" t="n">
        <x:f>IF(B10="","",IF(C10=0,"n.a.",E10/C10))</x:f>
        <x:v>0.3125</x:v>
      </x:c>
    </x:row>
    <x:row r="11" ht="23" customHeight="1">
      <x:c r="B11" s="2" t="str">
        <x:f>IF(COUNTIFS('Donnees'!$L$2:$L$2001,4)=0,"",INDEX('Donnees'!$E$2:$E$2001,MATCH(4,'Donnees'!$L$2:$L$2001,0)))</x:f>
        <x:v>HABBOUB Karim</x:v>
      </x:c>
      <x:c r="C11" s="2" t="n">
        <x:f>IF(B11="","",COUNTIFS('Donnees'!$A$2:$A$2001,"&lt;&gt;",'Donnees'!$C$2:$C$2001,"&gt;="&amp;'Tableau de bord'!$C$5,'Donnees'!$C$2:$C$2001,"&lt;="&amp;'Tableau de bord'!$F$5,'Donnees'!$F$2:$F$2001,IF('Tableau de bord'!$J$5="Toutes","*",'Tableau de bord'!$J$5),'Donnees'!$E$2:$E$2001,B11))</x:f>
        <x:v>15</x:v>
      </x:c>
      <x:c r="D11" s="2" t="n">
        <x:f>IF(B11="","",COUNTIFS('Donnees'!$A$2:$A$2001,"&lt;&gt;",'Donnees'!$C$2:$C$2001,"&gt;="&amp;'Tableau de bord'!$C$5,'Donnees'!$C$2:$C$2001,"&lt;="&amp;'Tableau de bord'!$F$5,'Donnees'!$F$2:$F$2001,IF('Tableau de bord'!$J$5="Toutes","*",'Tableau de bord'!$J$5),'Donnees'!$E$2:$E$2001,B11,'Donnees'!$G$2:$G$2001,"mail validé"))</x:f>
        <x:v>8</x:v>
      </x:c>
      <x:c r="E11" s="2" t="n">
        <x:f>IF(B11="","",COUNTIFS('Donnees'!$A$2:$A$2001,"&lt;&gt;",'Donnees'!$C$2:$C$2001,"&gt;="&amp;'Tableau de bord'!$C$5,'Donnees'!$C$2:$C$2001,"&lt;="&amp;'Tableau de bord'!$F$5,'Donnees'!$F$2:$F$2001,IF('Tableau de bord'!$J$5="Toutes","*",'Tableau de bord'!$J$5),'Donnees'!$E$2:$E$2001,B11,'Donnees'!$G$2:$G$2001,"mail non validé"))</x:f>
        <x:v>7</x:v>
      </x:c>
      <x:c r="F11" s="2" t="n">
        <x:f>IF(B11="","",COUNTIFS('Donnees'!$A$2:$A$2001,"&lt;&gt;",'Donnees'!$C$2:$C$2001,"&gt;="&amp;'Tableau de bord'!$C$5,'Donnees'!$C$2:$C$2001,"&lt;="&amp;'Tableau de bord'!$F$5,'Donnees'!$F$2:$F$2001,IF('Tableau de bord'!$J$5="Toutes","*",'Tableau de bord'!$J$5),'Donnees'!$E$2:$E$2001,B11,'Donnees'!$G$2:$G$2001,"à vérifier"))</x:f>
        <x:v>0</x:v>
      </x:c>
      <x:c r="G11" s="2" t="n">
        <x:f>IF(B11="","",COUNTIFS('Donnees'!$A$2:$A$2001,"&lt;&gt;",'Donnees'!$C$2:$C$2001,"&gt;="&amp;'Tableau de bord'!$C$5,'Donnees'!$C$2:$C$2001,"&lt;="&amp;'Tableau de bord'!$F$5,'Donnees'!$F$2:$F$2001,IF('Tableau de bord'!$J$5="Toutes","*",'Tableau de bord'!$J$5),'Donnees'!$E$2:$E$2001,B11,'Donnees'!$G$2:$G$2001,"mail non validé",'Donnees'!$H$2:$H$2001,"Q1"))</x:f>
        <x:v>3</x:v>
      </x:c>
      <x:c r="H11" s="2" t="n">
        <x:f>IF(B11="","",COUNTIFS('Donnees'!$A$2:$A$2001,"&lt;&gt;",'Donnees'!$C$2:$C$2001,"&gt;="&amp;'Tableau de bord'!$C$5,'Donnees'!$C$2:$C$2001,"&lt;="&amp;'Tableau de bord'!$F$5,'Donnees'!$F$2:$F$2001,IF('Tableau de bord'!$J$5="Toutes","*",'Tableau de bord'!$J$5),'Donnees'!$E$2:$E$2001,B11,'Donnees'!$G$2:$G$2001,"mail non validé",'Donnees'!$H$2:$H$2001,"Q2"))</x:f>
        <x:v>1</x:v>
      </x:c>
      <x:c r="I11" s="2" t="n">
        <x:f>IF(B11="","",COUNTIFS('Donnees'!$A$2:$A$2001,"&lt;&gt;",'Donnees'!$C$2:$C$2001,"&gt;="&amp;'Tableau de bord'!$C$5,'Donnees'!$C$2:$C$2001,"&lt;="&amp;'Tableau de bord'!$F$5,'Donnees'!$F$2:$F$2001,IF('Tableau de bord'!$J$5="Toutes","*",'Tableau de bord'!$J$5),'Donnees'!$E$2:$E$2001,B11,'Donnees'!$G$2:$G$2001,"mail non validé",'Donnees'!$H$2:$H$2001,"Q3"))</x:f>
        <x:v>3</x:v>
      </x:c>
      <x:c r="J11" s="2" t="n">
        <x:f>IF(B11="","",COUNTIFS('Donnees'!$A$2:$A$2001,"&lt;&gt;",'Donnees'!$C$2:$C$2001,"&gt;="&amp;'Tableau de bord'!$C$5,'Donnees'!$C$2:$C$2001,"&lt;="&amp;'Tableau de bord'!$F$5,'Donnees'!$F$2:$F$2001,IF('Tableau de bord'!$J$5="Toutes","*",'Tableau de bord'!$J$5),'Donnees'!$E$2:$E$2001,B11,'Donnees'!$G$2:$G$2001,"mail non validé",'Donnees'!$H$2:$H$2001,"Q4"))</x:f>
        <x:v>0</x:v>
      </x:c>
      <x:c r="K11" s="16" t="n">
        <x:f>IF(B11="","",IF(C11=0,"n.a.",E11/C11))</x:f>
        <x:v>0.4666666666666667</x:v>
      </x:c>
    </x:row>
    <x:row r="12" ht="23" customHeight="1">
      <x:c r="B12" s="2" t="str">
        <x:f>IF(COUNTIFS('Donnees'!$L$2:$L$2001,5)=0,"",INDEX('Donnees'!$E$2:$E$2001,MATCH(5,'Donnees'!$L$2:$L$2001,0)))</x:f>
        <x:v>HAMMADI Aya</x:v>
      </x:c>
      <x:c r="C12" s="2" t="n">
        <x:f>IF(B12="","",COUNTIFS('Donnees'!$A$2:$A$2001,"&lt;&gt;",'Donnees'!$C$2:$C$2001,"&gt;="&amp;'Tableau de bord'!$C$5,'Donnees'!$C$2:$C$2001,"&lt;="&amp;'Tableau de bord'!$F$5,'Donnees'!$F$2:$F$2001,IF('Tableau de bord'!$J$5="Toutes","*",'Tableau de bord'!$J$5),'Donnees'!$E$2:$E$2001,B12))</x:f>
        <x:v>7</x:v>
      </x:c>
      <x:c r="D12" s="2" t="n">
        <x:f>IF(B12="","",COUNTIFS('Donnees'!$A$2:$A$2001,"&lt;&gt;",'Donnees'!$C$2:$C$2001,"&gt;="&amp;'Tableau de bord'!$C$5,'Donnees'!$C$2:$C$2001,"&lt;="&amp;'Tableau de bord'!$F$5,'Donnees'!$F$2:$F$2001,IF('Tableau de bord'!$J$5="Toutes","*",'Tableau de bord'!$J$5),'Donnees'!$E$2:$E$2001,B12,'Donnees'!$G$2:$G$2001,"mail validé"))</x:f>
        <x:v>7</x:v>
      </x:c>
      <x:c r="E12" s="2" t="n">
        <x:f>IF(B12="","",COUNTIFS('Donnees'!$A$2:$A$2001,"&lt;&gt;",'Donnees'!$C$2:$C$2001,"&gt;="&amp;'Tableau de bord'!$C$5,'Donnees'!$C$2:$C$2001,"&lt;="&amp;'Tableau de bord'!$F$5,'Donnees'!$F$2:$F$2001,IF('Tableau de bord'!$J$5="Toutes","*",'Tableau de bord'!$J$5),'Donnees'!$E$2:$E$2001,B12,'Donnees'!$G$2:$G$2001,"mail non validé"))</x:f>
        <x:v>0</x:v>
      </x:c>
      <x:c r="F12" s="2" t="n">
        <x:f>IF(B12="","",COUNTIFS('Donnees'!$A$2:$A$2001,"&lt;&gt;",'Donnees'!$C$2:$C$2001,"&gt;="&amp;'Tableau de bord'!$C$5,'Donnees'!$C$2:$C$2001,"&lt;="&amp;'Tableau de bord'!$F$5,'Donnees'!$F$2:$F$2001,IF('Tableau de bord'!$J$5="Toutes","*",'Tableau de bord'!$J$5),'Donnees'!$E$2:$E$2001,B12,'Donnees'!$G$2:$G$2001,"à vérifier"))</x:f>
        <x:v>0</x:v>
      </x:c>
      <x:c r="G12" s="2" t="n">
        <x:f>IF(B12="","",COUNTIFS('Donnees'!$A$2:$A$2001,"&lt;&gt;",'Donnees'!$C$2:$C$2001,"&gt;="&amp;'Tableau de bord'!$C$5,'Donnees'!$C$2:$C$2001,"&lt;="&amp;'Tableau de bord'!$F$5,'Donnees'!$F$2:$F$2001,IF('Tableau de bord'!$J$5="Toutes","*",'Tableau de bord'!$J$5),'Donnees'!$E$2:$E$2001,B12,'Donnees'!$G$2:$G$2001,"mail non validé",'Donnees'!$H$2:$H$2001,"Q1"))</x:f>
        <x:v>0</x:v>
      </x:c>
      <x:c r="H12" s="2" t="n">
        <x:f>IF(B12="","",COUNTIFS('Donnees'!$A$2:$A$2001,"&lt;&gt;",'Donnees'!$C$2:$C$2001,"&gt;="&amp;'Tableau de bord'!$C$5,'Donnees'!$C$2:$C$2001,"&lt;="&amp;'Tableau de bord'!$F$5,'Donnees'!$F$2:$F$2001,IF('Tableau de bord'!$J$5="Toutes","*",'Tableau de bord'!$J$5),'Donnees'!$E$2:$E$2001,B12,'Donnees'!$G$2:$G$2001,"mail non validé",'Donnees'!$H$2:$H$2001,"Q2"))</x:f>
        <x:v>0</x:v>
      </x:c>
      <x:c r="I12" s="2" t="n">
        <x:f>IF(B12="","",COUNTIFS('Donnees'!$A$2:$A$2001,"&lt;&gt;",'Donnees'!$C$2:$C$2001,"&gt;="&amp;'Tableau de bord'!$C$5,'Donnees'!$C$2:$C$2001,"&lt;="&amp;'Tableau de bord'!$F$5,'Donnees'!$F$2:$F$2001,IF('Tableau de bord'!$J$5="Toutes","*",'Tableau de bord'!$J$5),'Donnees'!$E$2:$E$2001,B12,'Donnees'!$G$2:$G$2001,"mail non validé",'Donnees'!$H$2:$H$2001,"Q3"))</x:f>
        <x:v>0</x:v>
      </x:c>
      <x:c r="J12" s="2" t="n">
        <x:f>IF(B12="","",COUNTIFS('Donnees'!$A$2:$A$2001,"&lt;&gt;",'Donnees'!$C$2:$C$2001,"&gt;="&amp;'Tableau de bord'!$C$5,'Donnees'!$C$2:$C$2001,"&lt;="&amp;'Tableau de bord'!$F$5,'Donnees'!$F$2:$F$2001,IF('Tableau de bord'!$J$5="Toutes","*",'Tableau de bord'!$J$5),'Donnees'!$E$2:$E$2001,B12,'Donnees'!$G$2:$G$2001,"mail non validé",'Donnees'!$H$2:$H$2001,"Q4"))</x:f>
        <x:v>0</x:v>
      </x:c>
      <x:c r="K12" s="16" t="n">
        <x:f>IF(B12="","",IF(C12=0,"n.a.",E12/C12))</x:f>
        <x:v>0</x:v>
      </x:c>
    </x:row>
    <x:row r="13" ht="23" customHeight="1">
      <x:c r="B13" s="2" t="str">
        <x:f>IF(COUNTIFS('Donnees'!$L$2:$L$2001,6)=0,"",INDEX('Donnees'!$E$2:$E$2001,MATCH(6,'Donnees'!$L$2:$L$2001,0)))</x:f>
        <x:v>KANDI Fatima zohra</x:v>
      </x:c>
      <x:c r="C13" s="2" t="n">
        <x:f>IF(B13="","",COUNTIFS('Donnees'!$A$2:$A$2001,"&lt;&gt;",'Donnees'!$C$2:$C$2001,"&gt;="&amp;'Tableau de bord'!$C$5,'Donnees'!$C$2:$C$2001,"&lt;="&amp;'Tableau de bord'!$F$5,'Donnees'!$F$2:$F$2001,IF('Tableau de bord'!$J$5="Toutes","*",'Tableau de bord'!$J$5),'Donnees'!$E$2:$E$2001,B13))</x:f>
        <x:v>1</x:v>
      </x:c>
      <x:c r="D13" s="2" t="n">
        <x:f>IF(B13="","",COUNTIFS('Donnees'!$A$2:$A$2001,"&lt;&gt;",'Donnees'!$C$2:$C$2001,"&gt;="&amp;'Tableau de bord'!$C$5,'Donnees'!$C$2:$C$2001,"&lt;="&amp;'Tableau de bord'!$F$5,'Donnees'!$F$2:$F$2001,IF('Tableau de bord'!$J$5="Toutes","*",'Tableau de bord'!$J$5),'Donnees'!$E$2:$E$2001,B13,'Donnees'!$G$2:$G$2001,"mail validé"))</x:f>
        <x:v>1</x:v>
      </x:c>
      <x:c r="E13" s="2" t="n">
        <x:f>IF(B13="","",COUNTIFS('Donnees'!$A$2:$A$2001,"&lt;&gt;",'Donnees'!$C$2:$C$2001,"&gt;="&amp;'Tableau de bord'!$C$5,'Donnees'!$C$2:$C$2001,"&lt;="&amp;'Tableau de bord'!$F$5,'Donnees'!$F$2:$F$2001,IF('Tableau de bord'!$J$5="Toutes","*",'Tableau de bord'!$J$5),'Donnees'!$E$2:$E$2001,B13,'Donnees'!$G$2:$G$2001,"mail non validé"))</x:f>
        <x:v>0</x:v>
      </x:c>
      <x:c r="F13" s="2" t="n">
        <x:f>IF(B13="","",COUNTIFS('Donnees'!$A$2:$A$2001,"&lt;&gt;",'Donnees'!$C$2:$C$2001,"&gt;="&amp;'Tableau de bord'!$C$5,'Donnees'!$C$2:$C$2001,"&lt;="&amp;'Tableau de bord'!$F$5,'Donnees'!$F$2:$F$2001,IF('Tableau de bord'!$J$5="Toutes","*",'Tableau de bord'!$J$5),'Donnees'!$E$2:$E$2001,B13,'Donnees'!$G$2:$G$2001,"à vérifier"))</x:f>
        <x:v>0</x:v>
      </x:c>
      <x:c r="G13" s="2" t="n">
        <x:f>IF(B13="","",COUNTIFS('Donnees'!$A$2:$A$2001,"&lt;&gt;",'Donnees'!$C$2:$C$2001,"&gt;="&amp;'Tableau de bord'!$C$5,'Donnees'!$C$2:$C$2001,"&lt;="&amp;'Tableau de bord'!$F$5,'Donnees'!$F$2:$F$2001,IF('Tableau de bord'!$J$5="Toutes","*",'Tableau de bord'!$J$5),'Donnees'!$E$2:$E$2001,B13,'Donnees'!$G$2:$G$2001,"mail non validé",'Donnees'!$H$2:$H$2001,"Q1"))</x:f>
        <x:v>0</x:v>
      </x:c>
      <x:c r="H13" s="2" t="n">
        <x:f>IF(B13="","",COUNTIFS('Donnees'!$A$2:$A$2001,"&lt;&gt;",'Donnees'!$C$2:$C$2001,"&gt;="&amp;'Tableau de bord'!$C$5,'Donnees'!$C$2:$C$2001,"&lt;="&amp;'Tableau de bord'!$F$5,'Donnees'!$F$2:$F$2001,IF('Tableau de bord'!$J$5="Toutes","*",'Tableau de bord'!$J$5),'Donnees'!$E$2:$E$2001,B13,'Donnees'!$G$2:$G$2001,"mail non validé",'Donnees'!$H$2:$H$2001,"Q2"))</x:f>
        <x:v>0</x:v>
      </x:c>
      <x:c r="I13" s="2" t="n">
        <x:f>IF(B13="","",COUNTIFS('Donnees'!$A$2:$A$2001,"&lt;&gt;",'Donnees'!$C$2:$C$2001,"&gt;="&amp;'Tableau de bord'!$C$5,'Donnees'!$C$2:$C$2001,"&lt;="&amp;'Tableau de bord'!$F$5,'Donnees'!$F$2:$F$2001,IF('Tableau de bord'!$J$5="Toutes","*",'Tableau de bord'!$J$5),'Donnees'!$E$2:$E$2001,B13,'Donnees'!$G$2:$G$2001,"mail non validé",'Donnees'!$H$2:$H$2001,"Q3"))</x:f>
        <x:v>0</x:v>
      </x:c>
      <x:c r="J13" s="2" t="n">
        <x:f>IF(B13="","",COUNTIFS('Donnees'!$A$2:$A$2001,"&lt;&gt;",'Donnees'!$C$2:$C$2001,"&gt;="&amp;'Tableau de bord'!$C$5,'Donnees'!$C$2:$C$2001,"&lt;="&amp;'Tableau de bord'!$F$5,'Donnees'!$F$2:$F$2001,IF('Tableau de bord'!$J$5="Toutes","*",'Tableau de bord'!$J$5),'Donnees'!$E$2:$E$2001,B13,'Donnees'!$G$2:$G$2001,"mail non validé",'Donnees'!$H$2:$H$2001,"Q4"))</x:f>
        <x:v>0</x:v>
      </x:c>
      <x:c r="K13" s="16" t="n">
        <x:f>IF(B13="","",IF(C13=0,"n.a.",E13/C13))</x:f>
        <x:v>0</x:v>
      </x:c>
    </x:row>
    <x:row r="14" ht="23" customHeight="1">
      <x:c r="B14" s="2" t="str">
        <x:f>IF(COUNTIFS('Donnees'!$L$2:$L$2001,7)=0,"",INDEX('Donnees'!$E$2:$E$2001,MATCH(7,'Donnees'!$L$2:$L$2001,0)))</x:f>
        <x:v>MBARKI Imane</x:v>
      </x:c>
      <x:c r="C14" s="2" t="n">
        <x:f>IF(B14="","",COUNTIFS('Donnees'!$A$2:$A$2001,"&lt;&gt;",'Donnees'!$C$2:$C$2001,"&gt;="&amp;'Tableau de bord'!$C$5,'Donnees'!$C$2:$C$2001,"&lt;="&amp;'Tableau de bord'!$F$5,'Donnees'!$F$2:$F$2001,IF('Tableau de bord'!$J$5="Toutes","*",'Tableau de bord'!$J$5),'Donnees'!$E$2:$E$2001,B14))</x:f>
        <x:v>15</x:v>
      </x:c>
      <x:c r="D14" s="2" t="n">
        <x:f>IF(B14="","",COUNTIFS('Donnees'!$A$2:$A$2001,"&lt;&gt;",'Donnees'!$C$2:$C$2001,"&gt;="&amp;'Tableau de bord'!$C$5,'Donnees'!$C$2:$C$2001,"&lt;="&amp;'Tableau de bord'!$F$5,'Donnees'!$F$2:$F$2001,IF('Tableau de bord'!$J$5="Toutes","*",'Tableau de bord'!$J$5),'Donnees'!$E$2:$E$2001,B14,'Donnees'!$G$2:$G$2001,"mail validé"))</x:f>
        <x:v>12</x:v>
      </x:c>
      <x:c r="E14" s="2" t="n">
        <x:f>IF(B14="","",COUNTIFS('Donnees'!$A$2:$A$2001,"&lt;&gt;",'Donnees'!$C$2:$C$2001,"&gt;="&amp;'Tableau de bord'!$C$5,'Donnees'!$C$2:$C$2001,"&lt;="&amp;'Tableau de bord'!$F$5,'Donnees'!$F$2:$F$2001,IF('Tableau de bord'!$J$5="Toutes","*",'Tableau de bord'!$J$5),'Donnees'!$E$2:$E$2001,B14,'Donnees'!$G$2:$G$2001,"mail non validé"))</x:f>
        <x:v>2</x:v>
      </x:c>
      <x:c r="F14" s="2" t="n">
        <x:f>IF(B14="","",COUNTIFS('Donnees'!$A$2:$A$2001,"&lt;&gt;",'Donnees'!$C$2:$C$2001,"&gt;="&amp;'Tableau de bord'!$C$5,'Donnees'!$C$2:$C$2001,"&lt;="&amp;'Tableau de bord'!$F$5,'Donnees'!$F$2:$F$2001,IF('Tableau de bord'!$J$5="Toutes","*",'Tableau de bord'!$J$5),'Donnees'!$E$2:$E$2001,B14,'Donnees'!$G$2:$G$2001,"à vérifier"))</x:f>
        <x:v>1</x:v>
      </x:c>
      <x:c r="G14" s="2" t="n">
        <x:f>IF(B14="","",COUNTIFS('Donnees'!$A$2:$A$2001,"&lt;&gt;",'Donnees'!$C$2:$C$2001,"&gt;="&amp;'Tableau de bord'!$C$5,'Donnees'!$C$2:$C$2001,"&lt;="&amp;'Tableau de bord'!$F$5,'Donnees'!$F$2:$F$2001,IF('Tableau de bord'!$J$5="Toutes","*",'Tableau de bord'!$J$5),'Donnees'!$E$2:$E$2001,B14,'Donnees'!$G$2:$G$2001,"mail non validé",'Donnees'!$H$2:$H$2001,"Q1"))</x:f>
        <x:v>1</x:v>
      </x:c>
      <x:c r="H14" s="2" t="n">
        <x:f>IF(B14="","",COUNTIFS('Donnees'!$A$2:$A$2001,"&lt;&gt;",'Donnees'!$C$2:$C$2001,"&gt;="&amp;'Tableau de bord'!$C$5,'Donnees'!$C$2:$C$2001,"&lt;="&amp;'Tableau de bord'!$F$5,'Donnees'!$F$2:$F$2001,IF('Tableau de bord'!$J$5="Toutes","*",'Tableau de bord'!$J$5),'Donnees'!$E$2:$E$2001,B14,'Donnees'!$G$2:$G$2001,"mail non validé",'Donnees'!$H$2:$H$2001,"Q2"))</x:f>
        <x:v>1</x:v>
      </x:c>
      <x:c r="I14" s="2" t="n">
        <x:f>IF(B14="","",COUNTIFS('Donnees'!$A$2:$A$2001,"&lt;&gt;",'Donnees'!$C$2:$C$2001,"&gt;="&amp;'Tableau de bord'!$C$5,'Donnees'!$C$2:$C$2001,"&lt;="&amp;'Tableau de bord'!$F$5,'Donnees'!$F$2:$F$2001,IF('Tableau de bord'!$J$5="Toutes","*",'Tableau de bord'!$J$5),'Donnees'!$E$2:$E$2001,B14,'Donnees'!$G$2:$G$2001,"mail non validé",'Donnees'!$H$2:$H$2001,"Q3"))</x:f>
        <x:v>0</x:v>
      </x:c>
      <x:c r="J14" s="2" t="n">
        <x:f>IF(B14="","",COUNTIFS('Donnees'!$A$2:$A$2001,"&lt;&gt;",'Donnees'!$C$2:$C$2001,"&gt;="&amp;'Tableau de bord'!$C$5,'Donnees'!$C$2:$C$2001,"&lt;="&amp;'Tableau de bord'!$F$5,'Donnees'!$F$2:$F$2001,IF('Tableau de bord'!$J$5="Toutes","*",'Tableau de bord'!$J$5),'Donnees'!$E$2:$E$2001,B14,'Donnees'!$G$2:$G$2001,"mail non validé",'Donnees'!$H$2:$H$2001,"Q4"))</x:f>
        <x:v>0</x:v>
      </x:c>
      <x:c r="K14" s="16" t="n">
        <x:f>IF(B14="","",IF(C14=0,"n.a.",E14/C14))</x:f>
        <x:v>0.13333333333333333</x:v>
      </x:c>
    </x:row>
    <x:row r="15" ht="23" customHeight="1">
      <x:c r="B15" s="2" t="str">
        <x:f>IF(COUNTIFS('Donnees'!$L$2:$L$2001,8)=0,"",INDEX('Donnees'!$E$2:$E$2001,MATCH(8,'Donnees'!$L$2:$L$2001,0)))</x:f>
        <x:v>MBOUP El hadji cheikh</x:v>
      </x:c>
      <x:c r="C15" s="2" t="n">
        <x:f>IF(B15="","",COUNTIFS('Donnees'!$A$2:$A$2001,"&lt;&gt;",'Donnees'!$C$2:$C$2001,"&gt;="&amp;'Tableau de bord'!$C$5,'Donnees'!$C$2:$C$2001,"&lt;="&amp;'Tableau de bord'!$F$5,'Donnees'!$F$2:$F$2001,IF('Tableau de bord'!$J$5="Toutes","*",'Tableau de bord'!$J$5),'Donnees'!$E$2:$E$2001,B15))</x:f>
        <x:v>8</x:v>
      </x:c>
      <x:c r="D15" s="2" t="n">
        <x:f>IF(B15="","",COUNTIFS('Donnees'!$A$2:$A$2001,"&lt;&gt;",'Donnees'!$C$2:$C$2001,"&gt;="&amp;'Tableau de bord'!$C$5,'Donnees'!$C$2:$C$2001,"&lt;="&amp;'Tableau de bord'!$F$5,'Donnees'!$F$2:$F$2001,IF('Tableau de bord'!$J$5="Toutes","*",'Tableau de bord'!$J$5),'Donnees'!$E$2:$E$2001,B15,'Donnees'!$G$2:$G$2001,"mail validé"))</x:f>
        <x:v>4</x:v>
      </x:c>
      <x:c r="E15" s="2" t="n">
        <x:f>IF(B15="","",COUNTIFS('Donnees'!$A$2:$A$2001,"&lt;&gt;",'Donnees'!$C$2:$C$2001,"&gt;="&amp;'Tableau de bord'!$C$5,'Donnees'!$C$2:$C$2001,"&lt;="&amp;'Tableau de bord'!$F$5,'Donnees'!$F$2:$F$2001,IF('Tableau de bord'!$J$5="Toutes","*",'Tableau de bord'!$J$5),'Donnees'!$E$2:$E$2001,B15,'Donnees'!$G$2:$G$2001,"mail non validé"))</x:f>
        <x:v>4</x:v>
      </x:c>
      <x:c r="F15" s="2" t="n">
        <x:f>IF(B15="","",COUNTIFS('Donnees'!$A$2:$A$2001,"&lt;&gt;",'Donnees'!$C$2:$C$2001,"&gt;="&amp;'Tableau de bord'!$C$5,'Donnees'!$C$2:$C$2001,"&lt;="&amp;'Tableau de bord'!$F$5,'Donnees'!$F$2:$F$2001,IF('Tableau de bord'!$J$5="Toutes","*",'Tableau de bord'!$J$5),'Donnees'!$E$2:$E$2001,B15,'Donnees'!$G$2:$G$2001,"à vérifier"))</x:f>
        <x:v>0</x:v>
      </x:c>
      <x:c r="G15" s="2" t="n">
        <x:f>IF(B15="","",COUNTIFS('Donnees'!$A$2:$A$2001,"&lt;&gt;",'Donnees'!$C$2:$C$2001,"&gt;="&amp;'Tableau de bord'!$C$5,'Donnees'!$C$2:$C$2001,"&lt;="&amp;'Tableau de bord'!$F$5,'Donnees'!$F$2:$F$2001,IF('Tableau de bord'!$J$5="Toutes","*",'Tableau de bord'!$J$5),'Donnees'!$E$2:$E$2001,B15,'Donnees'!$G$2:$G$2001,"mail non validé",'Donnees'!$H$2:$H$2001,"Q1"))</x:f>
        <x:v>1</x:v>
      </x:c>
      <x:c r="H15" s="2" t="n">
        <x:f>IF(B15="","",COUNTIFS('Donnees'!$A$2:$A$2001,"&lt;&gt;",'Donnees'!$C$2:$C$2001,"&gt;="&amp;'Tableau de bord'!$C$5,'Donnees'!$C$2:$C$2001,"&lt;="&amp;'Tableau de bord'!$F$5,'Donnees'!$F$2:$F$2001,IF('Tableau de bord'!$J$5="Toutes","*",'Tableau de bord'!$J$5),'Donnees'!$E$2:$E$2001,B15,'Donnees'!$G$2:$G$2001,"mail non validé",'Donnees'!$H$2:$H$2001,"Q2"))</x:f>
        <x:v>2</x:v>
      </x:c>
      <x:c r="I15" s="2" t="n">
        <x:f>IF(B15="","",COUNTIFS('Donnees'!$A$2:$A$2001,"&lt;&gt;",'Donnees'!$C$2:$C$2001,"&gt;="&amp;'Tableau de bord'!$C$5,'Donnees'!$C$2:$C$2001,"&lt;="&amp;'Tableau de bord'!$F$5,'Donnees'!$F$2:$F$2001,IF('Tableau de bord'!$J$5="Toutes","*",'Tableau de bord'!$J$5),'Donnees'!$E$2:$E$2001,B15,'Donnees'!$G$2:$G$2001,"mail non validé",'Donnees'!$H$2:$H$2001,"Q3"))</x:f>
        <x:v>1</x:v>
      </x:c>
      <x:c r="J15" s="2" t="n">
        <x:f>IF(B15="","",COUNTIFS('Donnees'!$A$2:$A$2001,"&lt;&gt;",'Donnees'!$C$2:$C$2001,"&gt;="&amp;'Tableau de bord'!$C$5,'Donnees'!$C$2:$C$2001,"&lt;="&amp;'Tableau de bord'!$F$5,'Donnees'!$F$2:$F$2001,IF('Tableau de bord'!$J$5="Toutes","*",'Tableau de bord'!$J$5),'Donnees'!$E$2:$E$2001,B15,'Donnees'!$G$2:$G$2001,"mail non validé",'Donnees'!$H$2:$H$2001,"Q4"))</x:f>
        <x:v>0</x:v>
      </x:c>
      <x:c r="K15" s="16" t="n">
        <x:f>IF(B15="","",IF(C15=0,"n.a.",E15/C15))</x:f>
        <x:v>0.5</x:v>
      </x:c>
    </x:row>
    <x:row r="16" ht="23" customHeight="1">
      <x:c r="B16" s="2" t="str">
        <x:f>IF(COUNTIFS('Donnees'!$L$2:$L$2001,9)=0,"",INDEX('Donnees'!$E$2:$E$2001,MATCH(9,'Donnees'!$L$2:$L$2001,0)))</x:f>
        <x:v>NDIAYE Seynabou</x:v>
      </x:c>
      <x:c r="C16" s="2" t="n">
        <x:f>IF(B16="","",COUNTIFS('Donnees'!$A$2:$A$2001,"&lt;&gt;",'Donnees'!$C$2:$C$2001,"&gt;="&amp;'Tableau de bord'!$C$5,'Donnees'!$C$2:$C$2001,"&lt;="&amp;'Tableau de bord'!$F$5,'Donnees'!$F$2:$F$2001,IF('Tableau de bord'!$J$5="Toutes","*",'Tableau de bord'!$J$5),'Donnees'!$E$2:$E$2001,B16))</x:f>
        <x:v>20</x:v>
      </x:c>
      <x:c r="D16" s="2" t="n">
        <x:f>IF(B16="","",COUNTIFS('Donnees'!$A$2:$A$2001,"&lt;&gt;",'Donnees'!$C$2:$C$2001,"&gt;="&amp;'Tableau de bord'!$C$5,'Donnees'!$C$2:$C$2001,"&lt;="&amp;'Tableau de bord'!$F$5,'Donnees'!$F$2:$F$2001,IF('Tableau de bord'!$J$5="Toutes","*",'Tableau de bord'!$J$5),'Donnees'!$E$2:$E$2001,B16,'Donnees'!$G$2:$G$2001,"mail validé"))</x:f>
        <x:v>16</x:v>
      </x:c>
      <x:c r="E16" s="2" t="n">
        <x:f>IF(B16="","",COUNTIFS('Donnees'!$A$2:$A$2001,"&lt;&gt;",'Donnees'!$C$2:$C$2001,"&gt;="&amp;'Tableau de bord'!$C$5,'Donnees'!$C$2:$C$2001,"&lt;="&amp;'Tableau de bord'!$F$5,'Donnees'!$F$2:$F$2001,IF('Tableau de bord'!$J$5="Toutes","*",'Tableau de bord'!$J$5),'Donnees'!$E$2:$E$2001,B16,'Donnees'!$G$2:$G$2001,"mail non validé"))</x:f>
        <x:v>3</x:v>
      </x:c>
      <x:c r="F16" s="2" t="n">
        <x:f>IF(B16="","",COUNTIFS('Donnees'!$A$2:$A$2001,"&lt;&gt;",'Donnees'!$C$2:$C$2001,"&gt;="&amp;'Tableau de bord'!$C$5,'Donnees'!$C$2:$C$2001,"&lt;="&amp;'Tableau de bord'!$F$5,'Donnees'!$F$2:$F$2001,IF('Tableau de bord'!$J$5="Toutes","*",'Tableau de bord'!$J$5),'Donnees'!$E$2:$E$2001,B16,'Donnees'!$G$2:$G$2001,"à vérifier"))</x:f>
        <x:v>1</x:v>
      </x:c>
      <x:c r="G16" s="2" t="n">
        <x:f>IF(B16="","",COUNTIFS('Donnees'!$A$2:$A$2001,"&lt;&gt;",'Donnees'!$C$2:$C$2001,"&gt;="&amp;'Tableau de bord'!$C$5,'Donnees'!$C$2:$C$2001,"&lt;="&amp;'Tableau de bord'!$F$5,'Donnees'!$F$2:$F$2001,IF('Tableau de bord'!$J$5="Toutes","*",'Tableau de bord'!$J$5),'Donnees'!$E$2:$E$2001,B16,'Donnees'!$G$2:$G$2001,"mail non validé",'Donnees'!$H$2:$H$2001,"Q1"))</x:f>
        <x:v>0</x:v>
      </x:c>
      <x:c r="H16" s="2" t="n">
        <x:f>IF(B16="","",COUNTIFS('Donnees'!$A$2:$A$2001,"&lt;&gt;",'Donnees'!$C$2:$C$2001,"&gt;="&amp;'Tableau de bord'!$C$5,'Donnees'!$C$2:$C$2001,"&lt;="&amp;'Tableau de bord'!$F$5,'Donnees'!$F$2:$F$2001,IF('Tableau de bord'!$J$5="Toutes","*",'Tableau de bord'!$J$5),'Donnees'!$E$2:$E$2001,B16,'Donnees'!$G$2:$G$2001,"mail non validé",'Donnees'!$H$2:$H$2001,"Q2"))</x:f>
        <x:v>0</x:v>
      </x:c>
      <x:c r="I16" s="2" t="n">
        <x:f>IF(B16="","",COUNTIFS('Donnees'!$A$2:$A$2001,"&lt;&gt;",'Donnees'!$C$2:$C$2001,"&gt;="&amp;'Tableau de bord'!$C$5,'Donnees'!$C$2:$C$2001,"&lt;="&amp;'Tableau de bord'!$F$5,'Donnees'!$F$2:$F$2001,IF('Tableau de bord'!$J$5="Toutes","*",'Tableau de bord'!$J$5),'Donnees'!$E$2:$E$2001,B16,'Donnees'!$G$2:$G$2001,"mail non validé",'Donnees'!$H$2:$H$2001,"Q3"))</x:f>
        <x:v>3</x:v>
      </x:c>
      <x:c r="J16" s="2" t="n">
        <x:f>IF(B16="","",COUNTIFS('Donnees'!$A$2:$A$2001,"&lt;&gt;",'Donnees'!$C$2:$C$2001,"&gt;="&amp;'Tableau de bord'!$C$5,'Donnees'!$C$2:$C$2001,"&lt;="&amp;'Tableau de bord'!$F$5,'Donnees'!$F$2:$F$2001,IF('Tableau de bord'!$J$5="Toutes","*",'Tableau de bord'!$J$5),'Donnees'!$E$2:$E$2001,B16,'Donnees'!$G$2:$G$2001,"mail non validé",'Donnees'!$H$2:$H$2001,"Q4"))</x:f>
        <x:v>0</x:v>
      </x:c>
      <x:c r="K16" s="16" t="n">
        <x:f>IF(B16="","",IF(C16=0,"n.a.",E16/C16))</x:f>
        <x:v>0.15</x:v>
      </x:c>
    </x:row>
    <x:row r="17" ht="23" customHeight="1">
      <x:c r="B17" s="2" t="str">
        <x:f>IF(COUNTIFS('Donnees'!$L$2:$L$2001,10)=0,"",INDEX('Donnees'!$E$2:$E$2001,MATCH(10,'Donnees'!$L$2:$L$2001,0)))</x:f>
        <x:v>NGOM Saliou</x:v>
      </x:c>
      <x:c r="C17" s="2" t="n">
        <x:f>IF(B17="","",COUNTIFS('Donnees'!$A$2:$A$2001,"&lt;&gt;",'Donnees'!$C$2:$C$2001,"&gt;="&amp;'Tableau de bord'!$C$5,'Donnees'!$C$2:$C$2001,"&lt;="&amp;'Tableau de bord'!$F$5,'Donnees'!$F$2:$F$2001,IF('Tableau de bord'!$J$5="Toutes","*",'Tableau de bord'!$J$5),'Donnees'!$E$2:$E$2001,B17))</x:f>
        <x:v>23</x:v>
      </x:c>
      <x:c r="D17" s="2" t="n">
        <x:f>IF(B17="","",COUNTIFS('Donnees'!$A$2:$A$2001,"&lt;&gt;",'Donnees'!$C$2:$C$2001,"&gt;="&amp;'Tableau de bord'!$C$5,'Donnees'!$C$2:$C$2001,"&lt;="&amp;'Tableau de bord'!$F$5,'Donnees'!$F$2:$F$2001,IF('Tableau de bord'!$J$5="Toutes","*",'Tableau de bord'!$J$5),'Donnees'!$E$2:$E$2001,B17,'Donnees'!$G$2:$G$2001,"mail validé"))</x:f>
        <x:v>18</x:v>
      </x:c>
      <x:c r="E17" s="2" t="n">
        <x:f>IF(B17="","",COUNTIFS('Donnees'!$A$2:$A$2001,"&lt;&gt;",'Donnees'!$C$2:$C$2001,"&gt;="&amp;'Tableau de bord'!$C$5,'Donnees'!$C$2:$C$2001,"&lt;="&amp;'Tableau de bord'!$F$5,'Donnees'!$F$2:$F$2001,IF('Tableau de bord'!$J$5="Toutes","*",'Tableau de bord'!$J$5),'Donnees'!$E$2:$E$2001,B17,'Donnees'!$G$2:$G$2001,"mail non validé"))</x:f>
        <x:v>5</x:v>
      </x:c>
      <x:c r="F17" s="2" t="n">
        <x:f>IF(B17="","",COUNTIFS('Donnees'!$A$2:$A$2001,"&lt;&gt;",'Donnees'!$C$2:$C$2001,"&gt;="&amp;'Tableau de bord'!$C$5,'Donnees'!$C$2:$C$2001,"&lt;="&amp;'Tableau de bord'!$F$5,'Donnees'!$F$2:$F$2001,IF('Tableau de bord'!$J$5="Toutes","*",'Tableau de bord'!$J$5),'Donnees'!$E$2:$E$2001,B17,'Donnees'!$G$2:$G$2001,"à vérifier"))</x:f>
        <x:v>0</x:v>
      </x:c>
      <x:c r="G17" s="2" t="n">
        <x:f>IF(B17="","",COUNTIFS('Donnees'!$A$2:$A$2001,"&lt;&gt;",'Donnees'!$C$2:$C$2001,"&gt;="&amp;'Tableau de bord'!$C$5,'Donnees'!$C$2:$C$2001,"&lt;="&amp;'Tableau de bord'!$F$5,'Donnees'!$F$2:$F$2001,IF('Tableau de bord'!$J$5="Toutes","*",'Tableau de bord'!$J$5),'Donnees'!$E$2:$E$2001,B17,'Donnees'!$G$2:$G$2001,"mail non validé",'Donnees'!$H$2:$H$2001,"Q1"))</x:f>
        <x:v>1</x:v>
      </x:c>
      <x:c r="H17" s="2" t="n">
        <x:f>IF(B17="","",COUNTIFS('Donnees'!$A$2:$A$2001,"&lt;&gt;",'Donnees'!$C$2:$C$2001,"&gt;="&amp;'Tableau de bord'!$C$5,'Donnees'!$C$2:$C$2001,"&lt;="&amp;'Tableau de bord'!$F$5,'Donnees'!$F$2:$F$2001,IF('Tableau de bord'!$J$5="Toutes","*",'Tableau de bord'!$J$5),'Donnees'!$E$2:$E$2001,B17,'Donnees'!$G$2:$G$2001,"mail non validé",'Donnees'!$H$2:$H$2001,"Q2"))</x:f>
        <x:v>1</x:v>
      </x:c>
      <x:c r="I17" s="2" t="n">
        <x:f>IF(B17="","",COUNTIFS('Donnees'!$A$2:$A$2001,"&lt;&gt;",'Donnees'!$C$2:$C$2001,"&gt;="&amp;'Tableau de bord'!$C$5,'Donnees'!$C$2:$C$2001,"&lt;="&amp;'Tableau de bord'!$F$5,'Donnees'!$F$2:$F$2001,IF('Tableau de bord'!$J$5="Toutes","*",'Tableau de bord'!$J$5),'Donnees'!$E$2:$E$2001,B17,'Donnees'!$G$2:$G$2001,"mail non validé",'Donnees'!$H$2:$H$2001,"Q3"))</x:f>
        <x:v>3</x:v>
      </x:c>
      <x:c r="J17" s="2" t="n">
        <x:f>IF(B17="","",COUNTIFS('Donnees'!$A$2:$A$2001,"&lt;&gt;",'Donnees'!$C$2:$C$2001,"&gt;="&amp;'Tableau de bord'!$C$5,'Donnees'!$C$2:$C$2001,"&lt;="&amp;'Tableau de bord'!$F$5,'Donnees'!$F$2:$F$2001,IF('Tableau de bord'!$J$5="Toutes","*",'Tableau de bord'!$J$5),'Donnees'!$E$2:$E$2001,B17,'Donnees'!$G$2:$G$2001,"mail non validé",'Donnees'!$H$2:$H$2001,"Q4"))</x:f>
        <x:v>0</x:v>
      </x:c>
      <x:c r="K17" s="16" t="n">
        <x:f>IF(B17="","",IF(C17=0,"n.a.",E17/C17))</x:f>
        <x:v>0.21739130434782608</x:v>
      </x:c>
    </x:row>
    <x:row r="18" ht="23" customHeight="1">
      <x:c r="B18" s="2" t="str">
        <x:f>IF(COUNTIFS('Donnees'!$L$2:$L$2001,11)=0,"",INDEX('Donnees'!$E$2:$E$2001,MATCH(11,'Donnees'!$L$2:$L$2001,0)))</x:f>
        <x:v>OUCHENE Zakaria</x:v>
      </x:c>
      <x:c r="C18" s="2" t="n">
        <x:f>IF(B18="","",COUNTIFS('Donnees'!$A$2:$A$2001,"&lt;&gt;",'Donnees'!$C$2:$C$2001,"&gt;="&amp;'Tableau de bord'!$C$5,'Donnees'!$C$2:$C$2001,"&lt;="&amp;'Tableau de bord'!$F$5,'Donnees'!$F$2:$F$2001,IF('Tableau de bord'!$J$5="Toutes","*",'Tableau de bord'!$J$5),'Donnees'!$E$2:$E$2001,B18))</x:f>
        <x:v>6</x:v>
      </x:c>
      <x:c r="D18" s="2" t="n">
        <x:f>IF(B18="","",COUNTIFS('Donnees'!$A$2:$A$2001,"&lt;&gt;",'Donnees'!$C$2:$C$2001,"&gt;="&amp;'Tableau de bord'!$C$5,'Donnees'!$C$2:$C$2001,"&lt;="&amp;'Tableau de bord'!$F$5,'Donnees'!$F$2:$F$2001,IF('Tableau de bord'!$J$5="Toutes","*",'Tableau de bord'!$J$5),'Donnees'!$E$2:$E$2001,B18,'Donnees'!$G$2:$G$2001,"mail validé"))</x:f>
        <x:v>5</x:v>
      </x:c>
      <x:c r="E18" s="2" t="n">
        <x:f>IF(B18="","",COUNTIFS('Donnees'!$A$2:$A$2001,"&lt;&gt;",'Donnees'!$C$2:$C$2001,"&gt;="&amp;'Tableau de bord'!$C$5,'Donnees'!$C$2:$C$2001,"&lt;="&amp;'Tableau de bord'!$F$5,'Donnees'!$F$2:$F$2001,IF('Tableau de bord'!$J$5="Toutes","*",'Tableau de bord'!$J$5),'Donnees'!$E$2:$E$2001,B18,'Donnees'!$G$2:$G$2001,"mail non validé"))</x:f>
        <x:v>1</x:v>
      </x:c>
      <x:c r="F18" s="2" t="n">
        <x:f>IF(B18="","",COUNTIFS('Donnees'!$A$2:$A$2001,"&lt;&gt;",'Donnees'!$C$2:$C$2001,"&gt;="&amp;'Tableau de bord'!$C$5,'Donnees'!$C$2:$C$2001,"&lt;="&amp;'Tableau de bord'!$F$5,'Donnees'!$F$2:$F$2001,IF('Tableau de bord'!$J$5="Toutes","*",'Tableau de bord'!$J$5),'Donnees'!$E$2:$E$2001,B18,'Donnees'!$G$2:$G$2001,"à vérifier"))</x:f>
        <x:v>0</x:v>
      </x:c>
      <x:c r="G18" s="2" t="n">
        <x:f>IF(B18="","",COUNTIFS('Donnees'!$A$2:$A$2001,"&lt;&gt;",'Donnees'!$C$2:$C$2001,"&gt;="&amp;'Tableau de bord'!$C$5,'Donnees'!$C$2:$C$2001,"&lt;="&amp;'Tableau de bord'!$F$5,'Donnees'!$F$2:$F$2001,IF('Tableau de bord'!$J$5="Toutes","*",'Tableau de bord'!$J$5),'Donnees'!$E$2:$E$2001,B18,'Donnees'!$G$2:$G$2001,"mail non validé",'Donnees'!$H$2:$H$2001,"Q1"))</x:f>
        <x:v>0</x:v>
      </x:c>
      <x:c r="H18" s="2" t="n">
        <x:f>IF(B18="","",COUNTIFS('Donnees'!$A$2:$A$2001,"&lt;&gt;",'Donnees'!$C$2:$C$2001,"&gt;="&amp;'Tableau de bord'!$C$5,'Donnees'!$C$2:$C$2001,"&lt;="&amp;'Tableau de bord'!$F$5,'Donnees'!$F$2:$F$2001,IF('Tableau de bord'!$J$5="Toutes","*",'Tableau de bord'!$J$5),'Donnees'!$E$2:$E$2001,B18,'Donnees'!$G$2:$G$2001,"mail non validé",'Donnees'!$H$2:$H$2001,"Q2"))</x:f>
        <x:v>0</x:v>
      </x:c>
      <x:c r="I18" s="2" t="n">
        <x:f>IF(B18="","",COUNTIFS('Donnees'!$A$2:$A$2001,"&lt;&gt;",'Donnees'!$C$2:$C$2001,"&gt;="&amp;'Tableau de bord'!$C$5,'Donnees'!$C$2:$C$2001,"&lt;="&amp;'Tableau de bord'!$F$5,'Donnees'!$F$2:$F$2001,IF('Tableau de bord'!$J$5="Toutes","*",'Tableau de bord'!$J$5),'Donnees'!$E$2:$E$2001,B18,'Donnees'!$G$2:$G$2001,"mail non validé",'Donnees'!$H$2:$H$2001,"Q3"))</x:f>
        <x:v>1</x:v>
      </x:c>
      <x:c r="J18" s="2" t="n">
        <x:f>IF(B18="","",COUNTIFS('Donnees'!$A$2:$A$2001,"&lt;&gt;",'Donnees'!$C$2:$C$2001,"&gt;="&amp;'Tableau de bord'!$C$5,'Donnees'!$C$2:$C$2001,"&lt;="&amp;'Tableau de bord'!$F$5,'Donnees'!$F$2:$F$2001,IF('Tableau de bord'!$J$5="Toutes","*",'Tableau de bord'!$J$5),'Donnees'!$E$2:$E$2001,B18,'Donnees'!$G$2:$G$2001,"mail non validé",'Donnees'!$H$2:$H$2001,"Q4"))</x:f>
        <x:v>0</x:v>
      </x:c>
      <x:c r="K18" s="16" t="n">
        <x:f>IF(B18="","",IF(C18=0,"n.a.",E18/C18))</x:f>
        <x:v>0.16666666666666666</x:v>
      </x:c>
    </x:row>
    <x:row r="19" ht="23" customHeight="1">
      <x:c r="B19" s="2" t="str">
        <x:f>IF(COUNTIFS('Donnees'!$L$2:$L$2001,12)=0,"",INDEX('Donnees'!$E$2:$E$2001,MATCH(12,'Donnees'!$L$2:$L$2001,0)))</x:f>
        <x:v>SANE Mohamed lamine</x:v>
      </x:c>
      <x:c r="C19" s="2" t="n">
        <x:f>IF(B19="","",COUNTIFS('Donnees'!$A$2:$A$2001,"&lt;&gt;",'Donnees'!$C$2:$C$2001,"&gt;="&amp;'Tableau de bord'!$C$5,'Donnees'!$C$2:$C$2001,"&lt;="&amp;'Tableau de bord'!$F$5,'Donnees'!$F$2:$F$2001,IF('Tableau de bord'!$J$5="Toutes","*",'Tableau de bord'!$J$5),'Donnees'!$E$2:$E$2001,B19))</x:f>
        <x:v>14</x:v>
      </x:c>
      <x:c r="D19" s="2" t="n">
        <x:f>IF(B19="","",COUNTIFS('Donnees'!$A$2:$A$2001,"&lt;&gt;",'Donnees'!$C$2:$C$2001,"&gt;="&amp;'Tableau de bord'!$C$5,'Donnees'!$C$2:$C$2001,"&lt;="&amp;'Tableau de bord'!$F$5,'Donnees'!$F$2:$F$2001,IF('Tableau de bord'!$J$5="Toutes","*",'Tableau de bord'!$J$5),'Donnees'!$E$2:$E$2001,B19,'Donnees'!$G$2:$G$2001,"mail validé"))</x:f>
        <x:v>6</x:v>
      </x:c>
      <x:c r="E19" s="2" t="n">
        <x:f>IF(B19="","",COUNTIFS('Donnees'!$A$2:$A$2001,"&lt;&gt;",'Donnees'!$C$2:$C$2001,"&gt;="&amp;'Tableau de bord'!$C$5,'Donnees'!$C$2:$C$2001,"&lt;="&amp;'Tableau de bord'!$F$5,'Donnees'!$F$2:$F$2001,IF('Tableau de bord'!$J$5="Toutes","*",'Tableau de bord'!$J$5),'Donnees'!$E$2:$E$2001,B19,'Donnees'!$G$2:$G$2001,"mail non validé"))</x:f>
        <x:v>8</x:v>
      </x:c>
      <x:c r="F19" s="2" t="n">
        <x:f>IF(B19="","",COUNTIFS('Donnees'!$A$2:$A$2001,"&lt;&gt;",'Donnees'!$C$2:$C$2001,"&gt;="&amp;'Tableau de bord'!$C$5,'Donnees'!$C$2:$C$2001,"&lt;="&amp;'Tableau de bord'!$F$5,'Donnees'!$F$2:$F$2001,IF('Tableau de bord'!$J$5="Toutes","*",'Tableau de bord'!$J$5),'Donnees'!$E$2:$E$2001,B19,'Donnees'!$G$2:$G$2001,"à vérifier"))</x:f>
        <x:v>0</x:v>
      </x:c>
      <x:c r="G19" s="2" t="n">
        <x:f>IF(B19="","",COUNTIFS('Donnees'!$A$2:$A$2001,"&lt;&gt;",'Donnees'!$C$2:$C$2001,"&gt;="&amp;'Tableau de bord'!$C$5,'Donnees'!$C$2:$C$2001,"&lt;="&amp;'Tableau de bord'!$F$5,'Donnees'!$F$2:$F$2001,IF('Tableau de bord'!$J$5="Toutes","*",'Tableau de bord'!$J$5),'Donnees'!$E$2:$E$2001,B19,'Donnees'!$G$2:$G$2001,"mail non validé",'Donnees'!$H$2:$H$2001,"Q1"))</x:f>
        <x:v>1</x:v>
      </x:c>
      <x:c r="H19" s="2" t="n">
        <x:f>IF(B19="","",COUNTIFS('Donnees'!$A$2:$A$2001,"&lt;&gt;",'Donnees'!$C$2:$C$2001,"&gt;="&amp;'Tableau de bord'!$C$5,'Donnees'!$C$2:$C$2001,"&lt;="&amp;'Tableau de bord'!$F$5,'Donnees'!$F$2:$F$2001,IF('Tableau de bord'!$J$5="Toutes","*",'Tableau de bord'!$J$5),'Donnees'!$E$2:$E$2001,B19,'Donnees'!$G$2:$G$2001,"mail non validé",'Donnees'!$H$2:$H$2001,"Q2"))</x:f>
        <x:v>3</x:v>
      </x:c>
      <x:c r="I19" s="2" t="n">
        <x:f>IF(B19="","",COUNTIFS('Donnees'!$A$2:$A$2001,"&lt;&gt;",'Donnees'!$C$2:$C$2001,"&gt;="&amp;'Tableau de bord'!$C$5,'Donnees'!$C$2:$C$2001,"&lt;="&amp;'Tableau de bord'!$F$5,'Donnees'!$F$2:$F$2001,IF('Tableau de bord'!$J$5="Toutes","*",'Tableau de bord'!$J$5),'Donnees'!$E$2:$E$2001,B19,'Donnees'!$G$2:$G$2001,"mail non validé",'Donnees'!$H$2:$H$2001,"Q3"))</x:f>
        <x:v>4</x:v>
      </x:c>
      <x:c r="J19" s="2" t="n">
        <x:f>IF(B19="","",COUNTIFS('Donnees'!$A$2:$A$2001,"&lt;&gt;",'Donnees'!$C$2:$C$2001,"&gt;="&amp;'Tableau de bord'!$C$5,'Donnees'!$C$2:$C$2001,"&lt;="&amp;'Tableau de bord'!$F$5,'Donnees'!$F$2:$F$2001,IF('Tableau de bord'!$J$5="Toutes","*",'Tableau de bord'!$J$5),'Donnees'!$E$2:$E$2001,B19,'Donnees'!$G$2:$G$2001,"mail non validé",'Donnees'!$H$2:$H$2001,"Q4"))</x:f>
        <x:v>0</x:v>
      </x:c>
      <x:c r="K19" s="16" t="n">
        <x:f>IF(B19="","",IF(C19=0,"n.a.",E19/C19))</x:f>
        <x:v>0.5714285714285714</x:v>
      </x:c>
    </x:row>
    <x:row r="20" ht="23" customHeight="1">
      <x:c r="B20" s="2" t="str">
        <x:f>IF(COUNTIFS('Donnees'!$L$2:$L$2001,13)=0,"",INDEX('Donnees'!$E$2:$E$2001,MATCH(13,'Donnees'!$L$2:$L$2001,0)))</x:f>
        <x:v>SEMBENE Papalaty</x:v>
      </x:c>
      <x:c r="C20" s="2" t="n">
        <x:f>IF(B20="","",COUNTIFS('Donnees'!$A$2:$A$2001,"&lt;&gt;",'Donnees'!$C$2:$C$2001,"&gt;="&amp;'Tableau de bord'!$C$5,'Donnees'!$C$2:$C$2001,"&lt;="&amp;'Tableau de bord'!$F$5,'Donnees'!$F$2:$F$2001,IF('Tableau de bord'!$J$5="Toutes","*",'Tableau de bord'!$J$5),'Donnees'!$E$2:$E$2001,B20))</x:f>
        <x:v>13</x:v>
      </x:c>
      <x:c r="D20" s="2" t="n">
        <x:f>IF(B20="","",COUNTIFS('Donnees'!$A$2:$A$2001,"&lt;&gt;",'Donnees'!$C$2:$C$2001,"&gt;="&amp;'Tableau de bord'!$C$5,'Donnees'!$C$2:$C$2001,"&lt;="&amp;'Tableau de bord'!$F$5,'Donnees'!$F$2:$F$2001,IF('Tableau de bord'!$J$5="Toutes","*",'Tableau de bord'!$J$5),'Donnees'!$E$2:$E$2001,B20,'Donnees'!$G$2:$G$2001,"mail validé"))</x:f>
        <x:v>10</x:v>
      </x:c>
      <x:c r="E20" s="2" t="n">
        <x:f>IF(B20="","",COUNTIFS('Donnees'!$A$2:$A$2001,"&lt;&gt;",'Donnees'!$C$2:$C$2001,"&gt;="&amp;'Tableau de bord'!$C$5,'Donnees'!$C$2:$C$2001,"&lt;="&amp;'Tableau de bord'!$F$5,'Donnees'!$F$2:$F$2001,IF('Tableau de bord'!$J$5="Toutes","*",'Tableau de bord'!$J$5),'Donnees'!$E$2:$E$2001,B20,'Donnees'!$G$2:$G$2001,"mail non validé"))</x:f>
        <x:v>3</x:v>
      </x:c>
      <x:c r="F20" s="2" t="n">
        <x:f>IF(B20="","",COUNTIFS('Donnees'!$A$2:$A$2001,"&lt;&gt;",'Donnees'!$C$2:$C$2001,"&gt;="&amp;'Tableau de bord'!$C$5,'Donnees'!$C$2:$C$2001,"&lt;="&amp;'Tableau de bord'!$F$5,'Donnees'!$F$2:$F$2001,IF('Tableau de bord'!$J$5="Toutes","*",'Tableau de bord'!$J$5),'Donnees'!$E$2:$E$2001,B20,'Donnees'!$G$2:$G$2001,"à vérifier"))</x:f>
        <x:v>0</x:v>
      </x:c>
      <x:c r="G20" s="2" t="n">
        <x:f>IF(B20="","",COUNTIFS('Donnees'!$A$2:$A$2001,"&lt;&gt;",'Donnees'!$C$2:$C$2001,"&gt;="&amp;'Tableau de bord'!$C$5,'Donnees'!$C$2:$C$2001,"&lt;="&amp;'Tableau de bord'!$F$5,'Donnees'!$F$2:$F$2001,IF('Tableau de bord'!$J$5="Toutes","*",'Tableau de bord'!$J$5),'Donnees'!$E$2:$E$2001,B20,'Donnees'!$G$2:$G$2001,"mail non validé",'Donnees'!$H$2:$H$2001,"Q1"))</x:f>
        <x:v>1</x:v>
      </x:c>
      <x:c r="H20" s="2" t="n">
        <x:f>IF(B20="","",COUNTIFS('Donnees'!$A$2:$A$2001,"&lt;&gt;",'Donnees'!$C$2:$C$2001,"&gt;="&amp;'Tableau de bord'!$C$5,'Donnees'!$C$2:$C$2001,"&lt;="&amp;'Tableau de bord'!$F$5,'Donnees'!$F$2:$F$2001,IF('Tableau de bord'!$J$5="Toutes","*",'Tableau de bord'!$J$5),'Donnees'!$E$2:$E$2001,B20,'Donnees'!$G$2:$G$2001,"mail non validé",'Donnees'!$H$2:$H$2001,"Q2"))</x:f>
        <x:v>0</x:v>
      </x:c>
      <x:c r="I20" s="2" t="n">
        <x:f>IF(B20="","",COUNTIFS('Donnees'!$A$2:$A$2001,"&lt;&gt;",'Donnees'!$C$2:$C$2001,"&gt;="&amp;'Tableau de bord'!$C$5,'Donnees'!$C$2:$C$2001,"&lt;="&amp;'Tableau de bord'!$F$5,'Donnees'!$F$2:$F$2001,IF('Tableau de bord'!$J$5="Toutes","*",'Tableau de bord'!$J$5),'Donnees'!$E$2:$E$2001,B20,'Donnees'!$G$2:$G$2001,"mail non validé",'Donnees'!$H$2:$H$2001,"Q3"))</x:f>
        <x:v>2</x:v>
      </x:c>
      <x:c r="J20" s="2" t="n">
        <x:f>IF(B20="","",COUNTIFS('Donnees'!$A$2:$A$2001,"&lt;&gt;",'Donnees'!$C$2:$C$2001,"&gt;="&amp;'Tableau de bord'!$C$5,'Donnees'!$C$2:$C$2001,"&lt;="&amp;'Tableau de bord'!$F$5,'Donnees'!$F$2:$F$2001,IF('Tableau de bord'!$J$5="Toutes","*",'Tableau de bord'!$J$5),'Donnees'!$E$2:$E$2001,B20,'Donnees'!$G$2:$G$2001,"mail non validé",'Donnees'!$H$2:$H$2001,"Q4"))</x:f>
        <x:v>0</x:v>
      </x:c>
      <x:c r="K20" s="16" t="n">
        <x:f>IF(B20="","",IF(C20=0,"n.a.",E20/C20))</x:f>
        <x:v>0.23076923076923078</x:v>
      </x:c>
    </x:row>
    <x:row r="21" ht="23" customHeight="1">
      <x:c r="B21" s="2" t="str">
        <x:f>IF(COUNTIFS('Donnees'!$L$2:$L$2001,14)=0,"",INDEX('Donnees'!$E$2:$E$2001,MATCH(14,'Donnees'!$L$2:$L$2001,0)))</x:f>
        <x:v>ZIRARI Chaimaa</x:v>
      </x:c>
      <x:c r="C21" s="2" t="n">
        <x:f>IF(B21="","",COUNTIFS('Donnees'!$A$2:$A$2001,"&lt;&gt;",'Donnees'!$C$2:$C$2001,"&gt;="&amp;'Tableau de bord'!$C$5,'Donnees'!$C$2:$C$2001,"&lt;="&amp;'Tableau de bord'!$F$5,'Donnees'!$F$2:$F$2001,IF('Tableau de bord'!$J$5="Toutes","*",'Tableau de bord'!$J$5),'Donnees'!$E$2:$E$2001,B21))</x:f>
        <x:v>17</x:v>
      </x:c>
      <x:c r="D21" s="2" t="n">
        <x:f>IF(B21="","",COUNTIFS('Donnees'!$A$2:$A$2001,"&lt;&gt;",'Donnees'!$C$2:$C$2001,"&gt;="&amp;'Tableau de bord'!$C$5,'Donnees'!$C$2:$C$2001,"&lt;="&amp;'Tableau de bord'!$F$5,'Donnees'!$F$2:$F$2001,IF('Tableau de bord'!$J$5="Toutes","*",'Tableau de bord'!$J$5),'Donnees'!$E$2:$E$2001,B21,'Donnees'!$G$2:$G$2001,"mail validé"))</x:f>
        <x:v>10</x:v>
      </x:c>
      <x:c r="E21" s="2" t="n">
        <x:f>IF(B21="","",COUNTIFS('Donnees'!$A$2:$A$2001,"&lt;&gt;",'Donnees'!$C$2:$C$2001,"&gt;="&amp;'Tableau de bord'!$C$5,'Donnees'!$C$2:$C$2001,"&lt;="&amp;'Tableau de bord'!$F$5,'Donnees'!$F$2:$F$2001,IF('Tableau de bord'!$J$5="Toutes","*",'Tableau de bord'!$J$5),'Donnees'!$E$2:$E$2001,B21,'Donnees'!$G$2:$G$2001,"mail non validé"))</x:f>
        <x:v>6</x:v>
      </x:c>
      <x:c r="F21" s="2" t="n">
        <x:f>IF(B21="","",COUNTIFS('Donnees'!$A$2:$A$2001,"&lt;&gt;",'Donnees'!$C$2:$C$2001,"&gt;="&amp;'Tableau de bord'!$C$5,'Donnees'!$C$2:$C$2001,"&lt;="&amp;'Tableau de bord'!$F$5,'Donnees'!$F$2:$F$2001,IF('Tableau de bord'!$J$5="Toutes","*",'Tableau de bord'!$J$5),'Donnees'!$E$2:$E$2001,B21,'Donnees'!$G$2:$G$2001,"à vérifier"))</x:f>
        <x:v>1</x:v>
      </x:c>
      <x:c r="G21" s="2" t="n">
        <x:f>IF(B21="","",COUNTIFS('Donnees'!$A$2:$A$2001,"&lt;&gt;",'Donnees'!$C$2:$C$2001,"&gt;="&amp;'Tableau de bord'!$C$5,'Donnees'!$C$2:$C$2001,"&lt;="&amp;'Tableau de bord'!$F$5,'Donnees'!$F$2:$F$2001,IF('Tableau de bord'!$J$5="Toutes","*",'Tableau de bord'!$J$5),'Donnees'!$E$2:$E$2001,B21,'Donnees'!$G$2:$G$2001,"mail non validé",'Donnees'!$H$2:$H$2001,"Q1"))</x:f>
        <x:v>1</x:v>
      </x:c>
      <x:c r="H21" s="2" t="n">
        <x:f>IF(B21="","",COUNTIFS('Donnees'!$A$2:$A$2001,"&lt;&gt;",'Donnees'!$C$2:$C$2001,"&gt;="&amp;'Tableau de bord'!$C$5,'Donnees'!$C$2:$C$2001,"&lt;="&amp;'Tableau de bord'!$F$5,'Donnees'!$F$2:$F$2001,IF('Tableau de bord'!$J$5="Toutes","*",'Tableau de bord'!$J$5),'Donnees'!$E$2:$E$2001,B21,'Donnees'!$G$2:$G$2001,"mail non validé",'Donnees'!$H$2:$H$2001,"Q2"))</x:f>
        <x:v>0</x:v>
      </x:c>
      <x:c r="I21" s="2" t="n">
        <x:f>IF(B21="","",COUNTIFS('Donnees'!$A$2:$A$2001,"&lt;&gt;",'Donnees'!$C$2:$C$2001,"&gt;="&amp;'Tableau de bord'!$C$5,'Donnees'!$C$2:$C$2001,"&lt;="&amp;'Tableau de bord'!$F$5,'Donnees'!$F$2:$F$2001,IF('Tableau de bord'!$J$5="Toutes","*",'Tableau de bord'!$J$5),'Donnees'!$E$2:$E$2001,B21,'Donnees'!$G$2:$G$2001,"mail non validé",'Donnees'!$H$2:$H$2001,"Q3"))</x:f>
        <x:v>5</x:v>
      </x:c>
      <x:c r="J21" s="2" t="n">
        <x:f>IF(B21="","",COUNTIFS('Donnees'!$A$2:$A$2001,"&lt;&gt;",'Donnees'!$C$2:$C$2001,"&gt;="&amp;'Tableau de bord'!$C$5,'Donnees'!$C$2:$C$2001,"&lt;="&amp;'Tableau de bord'!$F$5,'Donnees'!$F$2:$F$2001,IF('Tableau de bord'!$J$5="Toutes","*",'Tableau de bord'!$J$5),'Donnees'!$E$2:$E$2001,B21,'Donnees'!$G$2:$G$2001,"mail non validé",'Donnees'!$H$2:$H$2001,"Q4"))</x:f>
        <x:v>0</x:v>
      </x:c>
      <x:c r="K21" s="16" t="n">
        <x:f>IF(B21="","",IF(C21=0,"n.a.",E21/C21))</x:f>
        <x:v>0.35294117647058826</x:v>
      </x:c>
    </x:row>
    <x:row r="22" ht="23" customHeight="1">
      <x:c r="B22" s="2" t="str">
        <x:f>IF(COUNTIFS('Donnees'!$L$2:$L$2001,15)=0,"",INDEX('Donnees'!$E$2:$E$2001,MATCH(15,'Donnees'!$L$2:$L$2001,0)))</x:f>
      </x:c>
      <x:c r="C22" s="2" t="str">
        <x:f>IF(B22="","",COUNTIFS('Donnees'!$A$2:$A$2001,"&lt;&gt;",'Donnees'!$C$2:$C$2001,"&gt;="&amp;'Tableau de bord'!$C$5,'Donnees'!$C$2:$C$2001,"&lt;="&amp;'Tableau de bord'!$F$5,'Donnees'!$F$2:$F$2001,IF('Tableau de bord'!$J$5="Toutes","*",'Tableau de bord'!$J$5),'Donnees'!$E$2:$E$2001,B22))</x:f>
      </x:c>
      <x:c r="D22" s="2" t="str">
        <x:f>IF(B22="","",COUNTIFS('Donnees'!$A$2:$A$2001,"&lt;&gt;",'Donnees'!$C$2:$C$2001,"&gt;="&amp;'Tableau de bord'!$C$5,'Donnees'!$C$2:$C$2001,"&lt;="&amp;'Tableau de bord'!$F$5,'Donnees'!$F$2:$F$2001,IF('Tableau de bord'!$J$5="Toutes","*",'Tableau de bord'!$J$5),'Donnees'!$E$2:$E$2001,B22,'Donnees'!$G$2:$G$2001,"mail validé"))</x:f>
      </x:c>
      <x:c r="E22" s="2" t="str">
        <x:f>IF(B22="","",COUNTIFS('Donnees'!$A$2:$A$2001,"&lt;&gt;",'Donnees'!$C$2:$C$2001,"&gt;="&amp;'Tableau de bord'!$C$5,'Donnees'!$C$2:$C$2001,"&lt;="&amp;'Tableau de bord'!$F$5,'Donnees'!$F$2:$F$2001,IF('Tableau de bord'!$J$5="Toutes","*",'Tableau de bord'!$J$5),'Donnees'!$E$2:$E$2001,B22,'Donnees'!$G$2:$G$2001,"mail non validé"))</x:f>
      </x:c>
      <x:c r="F22" s="2" t="str">
        <x:f>IF(B22="","",COUNTIFS('Donnees'!$A$2:$A$2001,"&lt;&gt;",'Donnees'!$C$2:$C$2001,"&gt;="&amp;'Tableau de bord'!$C$5,'Donnees'!$C$2:$C$2001,"&lt;="&amp;'Tableau de bord'!$F$5,'Donnees'!$F$2:$F$2001,IF('Tableau de bord'!$J$5="Toutes","*",'Tableau de bord'!$J$5),'Donnees'!$E$2:$E$2001,B22,'Donnees'!$G$2:$G$2001,"à vérifier"))</x:f>
      </x:c>
      <x:c r="G22" s="2" t="str">
        <x:f>IF(B22="","",COUNTIFS('Donnees'!$A$2:$A$2001,"&lt;&gt;",'Donnees'!$C$2:$C$2001,"&gt;="&amp;'Tableau de bord'!$C$5,'Donnees'!$C$2:$C$2001,"&lt;="&amp;'Tableau de bord'!$F$5,'Donnees'!$F$2:$F$2001,IF('Tableau de bord'!$J$5="Toutes","*",'Tableau de bord'!$J$5),'Donnees'!$E$2:$E$2001,B22,'Donnees'!$G$2:$G$2001,"mail non validé",'Donnees'!$H$2:$H$2001,"Q1"))</x:f>
      </x:c>
      <x:c r="H22" s="2" t="str">
        <x:f>IF(B22="","",COUNTIFS('Donnees'!$A$2:$A$2001,"&lt;&gt;",'Donnees'!$C$2:$C$2001,"&gt;="&amp;'Tableau de bord'!$C$5,'Donnees'!$C$2:$C$2001,"&lt;="&amp;'Tableau de bord'!$F$5,'Donnees'!$F$2:$F$2001,IF('Tableau de bord'!$J$5="Toutes","*",'Tableau de bord'!$J$5),'Donnees'!$E$2:$E$2001,B22,'Donnees'!$G$2:$G$2001,"mail non validé",'Donnees'!$H$2:$H$2001,"Q2"))</x:f>
      </x:c>
      <x:c r="I22" s="2" t="str">
        <x:f>IF(B22="","",COUNTIFS('Donnees'!$A$2:$A$2001,"&lt;&gt;",'Donnees'!$C$2:$C$2001,"&gt;="&amp;'Tableau de bord'!$C$5,'Donnees'!$C$2:$C$2001,"&lt;="&amp;'Tableau de bord'!$F$5,'Donnees'!$F$2:$F$2001,IF('Tableau de bord'!$J$5="Toutes","*",'Tableau de bord'!$J$5),'Donnees'!$E$2:$E$2001,B22,'Donnees'!$G$2:$G$2001,"mail non validé",'Donnees'!$H$2:$H$2001,"Q3"))</x:f>
      </x:c>
      <x:c r="J22" s="2" t="str">
        <x:f>IF(B22="","",COUNTIFS('Donnees'!$A$2:$A$2001,"&lt;&gt;",'Donnees'!$C$2:$C$2001,"&gt;="&amp;'Tableau de bord'!$C$5,'Donnees'!$C$2:$C$2001,"&lt;="&amp;'Tableau de bord'!$F$5,'Donnees'!$F$2:$F$2001,IF('Tableau de bord'!$J$5="Toutes","*",'Tableau de bord'!$J$5),'Donnees'!$E$2:$E$2001,B22,'Donnees'!$G$2:$G$2001,"mail non validé",'Donnees'!$H$2:$H$2001,"Q4"))</x:f>
      </x:c>
      <x:c r="K22" s="16" t="str">
        <x:f>IF(B22="","",IF(C22=0,"n.a.",E22/C22))</x:f>
      </x:c>
    </x:row>
    <x:row r="23" ht="23" customHeight="1">
      <x:c r="B23" s="2" t="str">
        <x:f>IF(COUNTIFS('Donnees'!$L$2:$L$2001,16)=0,"",INDEX('Donnees'!$E$2:$E$2001,MATCH(16,'Donnees'!$L$2:$L$2001,0)))</x:f>
      </x:c>
      <x:c r="C23" s="2" t="str">
        <x:f>IF(B23="","",COUNTIFS('Donnees'!$A$2:$A$2001,"&lt;&gt;",'Donnees'!$C$2:$C$2001,"&gt;="&amp;'Tableau de bord'!$C$5,'Donnees'!$C$2:$C$2001,"&lt;="&amp;'Tableau de bord'!$F$5,'Donnees'!$F$2:$F$2001,IF('Tableau de bord'!$J$5="Toutes","*",'Tableau de bord'!$J$5),'Donnees'!$E$2:$E$2001,B23))</x:f>
      </x:c>
      <x:c r="D23" s="2" t="str">
        <x:f>IF(B23="","",COUNTIFS('Donnees'!$A$2:$A$2001,"&lt;&gt;",'Donnees'!$C$2:$C$2001,"&gt;="&amp;'Tableau de bord'!$C$5,'Donnees'!$C$2:$C$2001,"&lt;="&amp;'Tableau de bord'!$F$5,'Donnees'!$F$2:$F$2001,IF('Tableau de bord'!$J$5="Toutes","*",'Tableau de bord'!$J$5),'Donnees'!$E$2:$E$2001,B23,'Donnees'!$G$2:$G$2001,"mail validé"))</x:f>
      </x:c>
      <x:c r="E23" s="2" t="str">
        <x:f>IF(B23="","",COUNTIFS('Donnees'!$A$2:$A$2001,"&lt;&gt;",'Donnees'!$C$2:$C$2001,"&gt;="&amp;'Tableau de bord'!$C$5,'Donnees'!$C$2:$C$2001,"&lt;="&amp;'Tableau de bord'!$F$5,'Donnees'!$F$2:$F$2001,IF('Tableau de bord'!$J$5="Toutes","*",'Tableau de bord'!$J$5),'Donnees'!$E$2:$E$2001,B23,'Donnees'!$G$2:$G$2001,"mail non validé"))</x:f>
      </x:c>
      <x:c r="F23" s="2" t="str">
        <x:f>IF(B23="","",COUNTIFS('Donnees'!$A$2:$A$2001,"&lt;&gt;",'Donnees'!$C$2:$C$2001,"&gt;="&amp;'Tableau de bord'!$C$5,'Donnees'!$C$2:$C$2001,"&lt;="&amp;'Tableau de bord'!$F$5,'Donnees'!$F$2:$F$2001,IF('Tableau de bord'!$J$5="Toutes","*",'Tableau de bord'!$J$5),'Donnees'!$E$2:$E$2001,B23,'Donnees'!$G$2:$G$2001,"à vérifier"))</x:f>
      </x:c>
      <x:c r="G23" s="2" t="str">
        <x:f>IF(B23="","",COUNTIFS('Donnees'!$A$2:$A$2001,"&lt;&gt;",'Donnees'!$C$2:$C$2001,"&gt;="&amp;'Tableau de bord'!$C$5,'Donnees'!$C$2:$C$2001,"&lt;="&amp;'Tableau de bord'!$F$5,'Donnees'!$F$2:$F$2001,IF('Tableau de bord'!$J$5="Toutes","*",'Tableau de bord'!$J$5),'Donnees'!$E$2:$E$2001,B23,'Donnees'!$G$2:$G$2001,"mail non validé",'Donnees'!$H$2:$H$2001,"Q1"))</x:f>
      </x:c>
      <x:c r="H23" s="2" t="str">
        <x:f>IF(B23="","",COUNTIFS('Donnees'!$A$2:$A$2001,"&lt;&gt;",'Donnees'!$C$2:$C$2001,"&gt;="&amp;'Tableau de bord'!$C$5,'Donnees'!$C$2:$C$2001,"&lt;="&amp;'Tableau de bord'!$F$5,'Donnees'!$F$2:$F$2001,IF('Tableau de bord'!$J$5="Toutes","*",'Tableau de bord'!$J$5),'Donnees'!$E$2:$E$2001,B23,'Donnees'!$G$2:$G$2001,"mail non validé",'Donnees'!$H$2:$H$2001,"Q2"))</x:f>
      </x:c>
      <x:c r="I23" s="2" t="str">
        <x:f>IF(B23="","",COUNTIFS('Donnees'!$A$2:$A$2001,"&lt;&gt;",'Donnees'!$C$2:$C$2001,"&gt;="&amp;'Tableau de bord'!$C$5,'Donnees'!$C$2:$C$2001,"&lt;="&amp;'Tableau de bord'!$F$5,'Donnees'!$F$2:$F$2001,IF('Tableau de bord'!$J$5="Toutes","*",'Tableau de bord'!$J$5),'Donnees'!$E$2:$E$2001,B23,'Donnees'!$G$2:$G$2001,"mail non validé",'Donnees'!$H$2:$H$2001,"Q3"))</x:f>
      </x:c>
      <x:c r="J23" s="2" t="str">
        <x:f>IF(B23="","",COUNTIFS('Donnees'!$A$2:$A$2001,"&lt;&gt;",'Donnees'!$C$2:$C$2001,"&gt;="&amp;'Tableau de bord'!$C$5,'Donnees'!$C$2:$C$2001,"&lt;="&amp;'Tableau de bord'!$F$5,'Donnees'!$F$2:$F$2001,IF('Tableau de bord'!$J$5="Toutes","*",'Tableau de bord'!$J$5),'Donnees'!$E$2:$E$2001,B23,'Donnees'!$G$2:$G$2001,"mail non validé",'Donnees'!$H$2:$H$2001,"Q4"))</x:f>
      </x:c>
      <x:c r="K23" s="16" t="str">
        <x:f>IF(B23="","",IF(C23=0,"n.a.",E23/C23))</x:f>
      </x:c>
    </x:row>
    <x:row r="24" ht="23" customHeight="1">
      <x:c r="B24" s="2" t="str">
        <x:f>IF(COUNTIFS('Donnees'!$L$2:$L$2001,17)=0,"",INDEX('Donnees'!$E$2:$E$2001,MATCH(17,'Donnees'!$L$2:$L$2001,0)))</x:f>
      </x:c>
      <x:c r="C24" s="2" t="str">
        <x:f>IF(B24="","",COUNTIFS('Donnees'!$A$2:$A$2001,"&lt;&gt;",'Donnees'!$C$2:$C$2001,"&gt;="&amp;'Tableau de bord'!$C$5,'Donnees'!$C$2:$C$2001,"&lt;="&amp;'Tableau de bord'!$F$5,'Donnees'!$F$2:$F$2001,IF('Tableau de bord'!$J$5="Toutes","*",'Tableau de bord'!$J$5),'Donnees'!$E$2:$E$2001,B24))</x:f>
      </x:c>
      <x:c r="D24" s="2" t="str">
        <x:f>IF(B24="","",COUNTIFS('Donnees'!$A$2:$A$2001,"&lt;&gt;",'Donnees'!$C$2:$C$2001,"&gt;="&amp;'Tableau de bord'!$C$5,'Donnees'!$C$2:$C$2001,"&lt;="&amp;'Tableau de bord'!$F$5,'Donnees'!$F$2:$F$2001,IF('Tableau de bord'!$J$5="Toutes","*",'Tableau de bord'!$J$5),'Donnees'!$E$2:$E$2001,B24,'Donnees'!$G$2:$G$2001,"mail validé"))</x:f>
      </x:c>
      <x:c r="E24" s="2" t="str">
        <x:f>IF(B24="","",COUNTIFS('Donnees'!$A$2:$A$2001,"&lt;&gt;",'Donnees'!$C$2:$C$2001,"&gt;="&amp;'Tableau de bord'!$C$5,'Donnees'!$C$2:$C$2001,"&lt;="&amp;'Tableau de bord'!$F$5,'Donnees'!$F$2:$F$2001,IF('Tableau de bord'!$J$5="Toutes","*",'Tableau de bord'!$J$5),'Donnees'!$E$2:$E$2001,B24,'Donnees'!$G$2:$G$2001,"mail non validé"))</x:f>
      </x:c>
      <x:c r="F24" s="2" t="str">
        <x:f>IF(B24="","",COUNTIFS('Donnees'!$A$2:$A$2001,"&lt;&gt;",'Donnees'!$C$2:$C$2001,"&gt;="&amp;'Tableau de bord'!$C$5,'Donnees'!$C$2:$C$2001,"&lt;="&amp;'Tableau de bord'!$F$5,'Donnees'!$F$2:$F$2001,IF('Tableau de bord'!$J$5="Toutes","*",'Tableau de bord'!$J$5),'Donnees'!$E$2:$E$2001,B24,'Donnees'!$G$2:$G$2001,"à vérifier"))</x:f>
      </x:c>
      <x:c r="G24" s="2" t="str">
        <x:f>IF(B24="","",COUNTIFS('Donnees'!$A$2:$A$2001,"&lt;&gt;",'Donnees'!$C$2:$C$2001,"&gt;="&amp;'Tableau de bord'!$C$5,'Donnees'!$C$2:$C$2001,"&lt;="&amp;'Tableau de bord'!$F$5,'Donnees'!$F$2:$F$2001,IF('Tableau de bord'!$J$5="Toutes","*",'Tableau de bord'!$J$5),'Donnees'!$E$2:$E$2001,B24,'Donnees'!$G$2:$G$2001,"mail non validé",'Donnees'!$H$2:$H$2001,"Q1"))</x:f>
      </x:c>
      <x:c r="H24" s="2" t="str">
        <x:f>IF(B24="","",COUNTIFS('Donnees'!$A$2:$A$2001,"&lt;&gt;",'Donnees'!$C$2:$C$2001,"&gt;="&amp;'Tableau de bord'!$C$5,'Donnees'!$C$2:$C$2001,"&lt;="&amp;'Tableau de bord'!$F$5,'Donnees'!$F$2:$F$2001,IF('Tableau de bord'!$J$5="Toutes","*",'Tableau de bord'!$J$5),'Donnees'!$E$2:$E$2001,B24,'Donnees'!$G$2:$G$2001,"mail non validé",'Donnees'!$H$2:$H$2001,"Q2"))</x:f>
      </x:c>
      <x:c r="I24" s="2" t="str">
        <x:f>IF(B24="","",COUNTIFS('Donnees'!$A$2:$A$2001,"&lt;&gt;",'Donnees'!$C$2:$C$2001,"&gt;="&amp;'Tableau de bord'!$C$5,'Donnees'!$C$2:$C$2001,"&lt;="&amp;'Tableau de bord'!$F$5,'Donnees'!$F$2:$F$2001,IF('Tableau de bord'!$J$5="Toutes","*",'Tableau de bord'!$J$5),'Donnees'!$E$2:$E$2001,B24,'Donnees'!$G$2:$G$2001,"mail non validé",'Donnees'!$H$2:$H$2001,"Q3"))</x:f>
      </x:c>
      <x:c r="J24" s="2" t="str">
        <x:f>IF(B24="","",COUNTIFS('Donnees'!$A$2:$A$2001,"&lt;&gt;",'Donnees'!$C$2:$C$2001,"&gt;="&amp;'Tableau de bord'!$C$5,'Donnees'!$C$2:$C$2001,"&lt;="&amp;'Tableau de bord'!$F$5,'Donnees'!$F$2:$F$2001,IF('Tableau de bord'!$J$5="Toutes","*",'Tableau de bord'!$J$5),'Donnees'!$E$2:$E$2001,B24,'Donnees'!$G$2:$G$2001,"mail non validé",'Donnees'!$H$2:$H$2001,"Q4"))</x:f>
      </x:c>
      <x:c r="K24" s="16" t="str">
        <x:f>IF(B24="","",IF(C24=0,"n.a.",E24/C24))</x:f>
      </x:c>
    </x:row>
    <x:row r="25" ht="23" customHeight="1">
      <x:c r="B25" s="2" t="str">
        <x:f>IF(COUNTIFS('Donnees'!$L$2:$L$2001,18)=0,"",INDEX('Donnees'!$E$2:$E$2001,MATCH(18,'Donnees'!$L$2:$L$2001,0)))</x:f>
      </x:c>
      <x:c r="C25" s="2" t="str">
        <x:f>IF(B25="","",COUNTIFS('Donnees'!$A$2:$A$2001,"&lt;&gt;",'Donnees'!$C$2:$C$2001,"&gt;="&amp;'Tableau de bord'!$C$5,'Donnees'!$C$2:$C$2001,"&lt;="&amp;'Tableau de bord'!$F$5,'Donnees'!$F$2:$F$2001,IF('Tableau de bord'!$J$5="Toutes","*",'Tableau de bord'!$J$5),'Donnees'!$E$2:$E$2001,B25))</x:f>
      </x:c>
      <x:c r="D25" s="2" t="str">
        <x:f>IF(B25="","",COUNTIFS('Donnees'!$A$2:$A$2001,"&lt;&gt;",'Donnees'!$C$2:$C$2001,"&gt;="&amp;'Tableau de bord'!$C$5,'Donnees'!$C$2:$C$2001,"&lt;="&amp;'Tableau de bord'!$F$5,'Donnees'!$F$2:$F$2001,IF('Tableau de bord'!$J$5="Toutes","*",'Tableau de bord'!$J$5),'Donnees'!$E$2:$E$2001,B25,'Donnees'!$G$2:$G$2001,"mail validé"))</x:f>
      </x:c>
      <x:c r="E25" s="2" t="str">
        <x:f>IF(B25="","",COUNTIFS('Donnees'!$A$2:$A$2001,"&lt;&gt;",'Donnees'!$C$2:$C$2001,"&gt;="&amp;'Tableau de bord'!$C$5,'Donnees'!$C$2:$C$2001,"&lt;="&amp;'Tableau de bord'!$F$5,'Donnees'!$F$2:$F$2001,IF('Tableau de bord'!$J$5="Toutes","*",'Tableau de bord'!$J$5),'Donnees'!$E$2:$E$2001,B25,'Donnees'!$G$2:$G$2001,"mail non validé"))</x:f>
      </x:c>
      <x:c r="F25" s="2" t="str">
        <x:f>IF(B25="","",COUNTIFS('Donnees'!$A$2:$A$2001,"&lt;&gt;",'Donnees'!$C$2:$C$2001,"&gt;="&amp;'Tableau de bord'!$C$5,'Donnees'!$C$2:$C$2001,"&lt;="&amp;'Tableau de bord'!$F$5,'Donnees'!$F$2:$F$2001,IF('Tableau de bord'!$J$5="Toutes","*",'Tableau de bord'!$J$5),'Donnees'!$E$2:$E$2001,B25,'Donnees'!$G$2:$G$2001,"à vérifier"))</x:f>
      </x:c>
      <x:c r="G25" s="2" t="str">
        <x:f>IF(B25="","",COUNTIFS('Donnees'!$A$2:$A$2001,"&lt;&gt;",'Donnees'!$C$2:$C$2001,"&gt;="&amp;'Tableau de bord'!$C$5,'Donnees'!$C$2:$C$2001,"&lt;="&amp;'Tableau de bord'!$F$5,'Donnees'!$F$2:$F$2001,IF('Tableau de bord'!$J$5="Toutes","*",'Tableau de bord'!$J$5),'Donnees'!$E$2:$E$2001,B25,'Donnees'!$G$2:$G$2001,"mail non validé",'Donnees'!$H$2:$H$2001,"Q1"))</x:f>
      </x:c>
      <x:c r="H25" s="2" t="str">
        <x:f>IF(B25="","",COUNTIFS('Donnees'!$A$2:$A$2001,"&lt;&gt;",'Donnees'!$C$2:$C$2001,"&gt;="&amp;'Tableau de bord'!$C$5,'Donnees'!$C$2:$C$2001,"&lt;="&amp;'Tableau de bord'!$F$5,'Donnees'!$F$2:$F$2001,IF('Tableau de bord'!$J$5="Toutes","*",'Tableau de bord'!$J$5),'Donnees'!$E$2:$E$2001,B25,'Donnees'!$G$2:$G$2001,"mail non validé",'Donnees'!$H$2:$H$2001,"Q2"))</x:f>
      </x:c>
      <x:c r="I25" s="2" t="str">
        <x:f>IF(B25="","",COUNTIFS('Donnees'!$A$2:$A$2001,"&lt;&gt;",'Donnees'!$C$2:$C$2001,"&gt;="&amp;'Tableau de bord'!$C$5,'Donnees'!$C$2:$C$2001,"&lt;="&amp;'Tableau de bord'!$F$5,'Donnees'!$F$2:$F$2001,IF('Tableau de bord'!$J$5="Toutes","*",'Tableau de bord'!$J$5),'Donnees'!$E$2:$E$2001,B25,'Donnees'!$G$2:$G$2001,"mail non validé",'Donnees'!$H$2:$H$2001,"Q3"))</x:f>
      </x:c>
      <x:c r="J25" s="2" t="str">
        <x:f>IF(B25="","",COUNTIFS('Donnees'!$A$2:$A$2001,"&lt;&gt;",'Donnees'!$C$2:$C$2001,"&gt;="&amp;'Tableau de bord'!$C$5,'Donnees'!$C$2:$C$2001,"&lt;="&amp;'Tableau de bord'!$F$5,'Donnees'!$F$2:$F$2001,IF('Tableau de bord'!$J$5="Toutes","*",'Tableau de bord'!$J$5),'Donnees'!$E$2:$E$2001,B25,'Donnees'!$G$2:$G$2001,"mail non validé",'Donnees'!$H$2:$H$2001,"Q4"))</x:f>
      </x:c>
      <x:c r="K25" s="16" t="str">
        <x:f>IF(B25="","",IF(C25=0,"n.a.",E25/C25))</x:f>
      </x:c>
    </x:row>
    <x:row r="26" ht="23" customHeight="1">
      <x:c r="B26" s="2" t="str">
        <x:f>IF(COUNTIFS('Donnees'!$L$2:$L$2001,19)=0,"",INDEX('Donnees'!$E$2:$E$2001,MATCH(19,'Donnees'!$L$2:$L$2001,0)))</x:f>
      </x:c>
      <x:c r="C26" s="2" t="str">
        <x:f>IF(B26="","",COUNTIFS('Donnees'!$A$2:$A$2001,"&lt;&gt;",'Donnees'!$C$2:$C$2001,"&gt;="&amp;'Tableau de bord'!$C$5,'Donnees'!$C$2:$C$2001,"&lt;="&amp;'Tableau de bord'!$F$5,'Donnees'!$F$2:$F$2001,IF('Tableau de bord'!$J$5="Toutes","*",'Tableau de bord'!$J$5),'Donnees'!$E$2:$E$2001,B26))</x:f>
      </x:c>
      <x:c r="D26" s="2" t="str">
        <x:f>IF(B26="","",COUNTIFS('Donnees'!$A$2:$A$2001,"&lt;&gt;",'Donnees'!$C$2:$C$2001,"&gt;="&amp;'Tableau de bord'!$C$5,'Donnees'!$C$2:$C$2001,"&lt;="&amp;'Tableau de bord'!$F$5,'Donnees'!$F$2:$F$2001,IF('Tableau de bord'!$J$5="Toutes","*",'Tableau de bord'!$J$5),'Donnees'!$E$2:$E$2001,B26,'Donnees'!$G$2:$G$2001,"mail validé"))</x:f>
      </x:c>
      <x:c r="E26" s="2" t="str">
        <x:f>IF(B26="","",COUNTIFS('Donnees'!$A$2:$A$2001,"&lt;&gt;",'Donnees'!$C$2:$C$2001,"&gt;="&amp;'Tableau de bord'!$C$5,'Donnees'!$C$2:$C$2001,"&lt;="&amp;'Tableau de bord'!$F$5,'Donnees'!$F$2:$F$2001,IF('Tableau de bord'!$J$5="Toutes","*",'Tableau de bord'!$J$5),'Donnees'!$E$2:$E$2001,B26,'Donnees'!$G$2:$G$2001,"mail non validé"))</x:f>
      </x:c>
      <x:c r="F26" s="2" t="str">
        <x:f>IF(B26="","",COUNTIFS('Donnees'!$A$2:$A$2001,"&lt;&gt;",'Donnees'!$C$2:$C$2001,"&gt;="&amp;'Tableau de bord'!$C$5,'Donnees'!$C$2:$C$2001,"&lt;="&amp;'Tableau de bord'!$F$5,'Donnees'!$F$2:$F$2001,IF('Tableau de bord'!$J$5="Toutes","*",'Tableau de bord'!$J$5),'Donnees'!$E$2:$E$2001,B26,'Donnees'!$G$2:$G$2001,"à vérifier"))</x:f>
      </x:c>
      <x:c r="G26" s="2" t="str">
        <x:f>IF(B26="","",COUNTIFS('Donnees'!$A$2:$A$2001,"&lt;&gt;",'Donnees'!$C$2:$C$2001,"&gt;="&amp;'Tableau de bord'!$C$5,'Donnees'!$C$2:$C$2001,"&lt;="&amp;'Tableau de bord'!$F$5,'Donnees'!$F$2:$F$2001,IF('Tableau de bord'!$J$5="Toutes","*",'Tableau de bord'!$J$5),'Donnees'!$E$2:$E$2001,B26,'Donnees'!$G$2:$G$2001,"mail non validé",'Donnees'!$H$2:$H$2001,"Q1"))</x:f>
      </x:c>
      <x:c r="H26" s="2" t="str">
        <x:f>IF(B26="","",COUNTIFS('Donnees'!$A$2:$A$2001,"&lt;&gt;",'Donnees'!$C$2:$C$2001,"&gt;="&amp;'Tableau de bord'!$C$5,'Donnees'!$C$2:$C$2001,"&lt;="&amp;'Tableau de bord'!$F$5,'Donnees'!$F$2:$F$2001,IF('Tableau de bord'!$J$5="Toutes","*",'Tableau de bord'!$J$5),'Donnees'!$E$2:$E$2001,B26,'Donnees'!$G$2:$G$2001,"mail non validé",'Donnees'!$H$2:$H$2001,"Q2"))</x:f>
      </x:c>
      <x:c r="I26" s="2" t="str">
        <x:f>IF(B26="","",COUNTIFS('Donnees'!$A$2:$A$2001,"&lt;&gt;",'Donnees'!$C$2:$C$2001,"&gt;="&amp;'Tableau de bord'!$C$5,'Donnees'!$C$2:$C$2001,"&lt;="&amp;'Tableau de bord'!$F$5,'Donnees'!$F$2:$F$2001,IF('Tableau de bord'!$J$5="Toutes","*",'Tableau de bord'!$J$5),'Donnees'!$E$2:$E$2001,B26,'Donnees'!$G$2:$G$2001,"mail non validé",'Donnees'!$H$2:$H$2001,"Q3"))</x:f>
      </x:c>
      <x:c r="J26" s="2" t="str">
        <x:f>IF(B26="","",COUNTIFS('Donnees'!$A$2:$A$2001,"&lt;&gt;",'Donnees'!$C$2:$C$2001,"&gt;="&amp;'Tableau de bord'!$C$5,'Donnees'!$C$2:$C$2001,"&lt;="&amp;'Tableau de bord'!$F$5,'Donnees'!$F$2:$F$2001,IF('Tableau de bord'!$J$5="Toutes","*",'Tableau de bord'!$J$5),'Donnees'!$E$2:$E$2001,B26,'Donnees'!$G$2:$G$2001,"mail non validé",'Donnees'!$H$2:$H$2001,"Q4"))</x:f>
      </x:c>
      <x:c r="K26" s="16" t="str">
        <x:f>IF(B26="","",IF(C26=0,"n.a.",E26/C26))</x:f>
      </x:c>
    </x:row>
    <x:row r="27" ht="23" customHeight="1">
      <x:c r="B27" s="2" t="str">
        <x:f>IF(COUNTIFS('Donnees'!$L$2:$L$2001,20)=0,"",INDEX('Donnees'!$E$2:$E$2001,MATCH(20,'Donnees'!$L$2:$L$2001,0)))</x:f>
      </x:c>
      <x:c r="C27" s="2" t="str">
        <x:f>IF(B27="","",COUNTIFS('Donnees'!$A$2:$A$2001,"&lt;&gt;",'Donnees'!$C$2:$C$2001,"&gt;="&amp;'Tableau de bord'!$C$5,'Donnees'!$C$2:$C$2001,"&lt;="&amp;'Tableau de bord'!$F$5,'Donnees'!$F$2:$F$2001,IF('Tableau de bord'!$J$5="Toutes","*",'Tableau de bord'!$J$5),'Donnees'!$E$2:$E$2001,B27))</x:f>
      </x:c>
      <x:c r="D27" s="2" t="str">
        <x:f>IF(B27="","",COUNTIFS('Donnees'!$A$2:$A$2001,"&lt;&gt;",'Donnees'!$C$2:$C$2001,"&gt;="&amp;'Tableau de bord'!$C$5,'Donnees'!$C$2:$C$2001,"&lt;="&amp;'Tableau de bord'!$F$5,'Donnees'!$F$2:$F$2001,IF('Tableau de bord'!$J$5="Toutes","*",'Tableau de bord'!$J$5),'Donnees'!$E$2:$E$2001,B27,'Donnees'!$G$2:$G$2001,"mail validé"))</x:f>
      </x:c>
      <x:c r="E27" s="2" t="str">
        <x:f>IF(B27="","",COUNTIFS('Donnees'!$A$2:$A$2001,"&lt;&gt;",'Donnees'!$C$2:$C$2001,"&gt;="&amp;'Tableau de bord'!$C$5,'Donnees'!$C$2:$C$2001,"&lt;="&amp;'Tableau de bord'!$F$5,'Donnees'!$F$2:$F$2001,IF('Tableau de bord'!$J$5="Toutes","*",'Tableau de bord'!$J$5),'Donnees'!$E$2:$E$2001,B27,'Donnees'!$G$2:$G$2001,"mail non validé"))</x:f>
      </x:c>
      <x:c r="F27" s="2" t="str">
        <x:f>IF(B27="","",COUNTIFS('Donnees'!$A$2:$A$2001,"&lt;&gt;",'Donnees'!$C$2:$C$2001,"&gt;="&amp;'Tableau de bord'!$C$5,'Donnees'!$C$2:$C$2001,"&lt;="&amp;'Tableau de bord'!$F$5,'Donnees'!$F$2:$F$2001,IF('Tableau de bord'!$J$5="Toutes","*",'Tableau de bord'!$J$5),'Donnees'!$E$2:$E$2001,B27,'Donnees'!$G$2:$G$2001,"à vérifier"))</x:f>
      </x:c>
      <x:c r="G27" s="2" t="str">
        <x:f>IF(B27="","",COUNTIFS('Donnees'!$A$2:$A$2001,"&lt;&gt;",'Donnees'!$C$2:$C$2001,"&gt;="&amp;'Tableau de bord'!$C$5,'Donnees'!$C$2:$C$2001,"&lt;="&amp;'Tableau de bord'!$F$5,'Donnees'!$F$2:$F$2001,IF('Tableau de bord'!$J$5="Toutes","*",'Tableau de bord'!$J$5),'Donnees'!$E$2:$E$2001,B27,'Donnees'!$G$2:$G$2001,"mail non validé",'Donnees'!$H$2:$H$2001,"Q1"))</x:f>
      </x:c>
      <x:c r="H27" s="2" t="str">
        <x:f>IF(B27="","",COUNTIFS('Donnees'!$A$2:$A$2001,"&lt;&gt;",'Donnees'!$C$2:$C$2001,"&gt;="&amp;'Tableau de bord'!$C$5,'Donnees'!$C$2:$C$2001,"&lt;="&amp;'Tableau de bord'!$F$5,'Donnees'!$F$2:$F$2001,IF('Tableau de bord'!$J$5="Toutes","*",'Tableau de bord'!$J$5),'Donnees'!$E$2:$E$2001,B27,'Donnees'!$G$2:$G$2001,"mail non validé",'Donnees'!$H$2:$H$2001,"Q2"))</x:f>
      </x:c>
      <x:c r="I27" s="2" t="str">
        <x:f>IF(B27="","",COUNTIFS('Donnees'!$A$2:$A$2001,"&lt;&gt;",'Donnees'!$C$2:$C$2001,"&gt;="&amp;'Tableau de bord'!$C$5,'Donnees'!$C$2:$C$2001,"&lt;="&amp;'Tableau de bord'!$F$5,'Donnees'!$F$2:$F$2001,IF('Tableau de bord'!$J$5="Toutes","*",'Tableau de bord'!$J$5),'Donnees'!$E$2:$E$2001,B27,'Donnees'!$G$2:$G$2001,"mail non validé",'Donnees'!$H$2:$H$2001,"Q3"))</x:f>
      </x:c>
      <x:c r="J27" s="2" t="str">
        <x:f>IF(B27="","",COUNTIFS('Donnees'!$A$2:$A$2001,"&lt;&gt;",'Donnees'!$C$2:$C$2001,"&gt;="&amp;'Tableau de bord'!$C$5,'Donnees'!$C$2:$C$2001,"&lt;="&amp;'Tableau de bord'!$F$5,'Donnees'!$F$2:$F$2001,IF('Tableau de bord'!$J$5="Toutes","*",'Tableau de bord'!$J$5),'Donnees'!$E$2:$E$2001,B27,'Donnees'!$G$2:$G$2001,"mail non validé",'Donnees'!$H$2:$H$2001,"Q4"))</x:f>
      </x:c>
      <x:c r="K27" s="16" t="str">
        <x:f>IF(B27="","",IF(C27=0,"n.a.",E27/C27))</x:f>
      </x:c>
    </x:row>
    <x:row r="28" ht="23" customHeight="1">
      <x:c r="B28" s="2" t="str">
        <x:f>IF(COUNTIFS('Donnees'!$L$2:$L$2001,21)=0,"",INDEX('Donnees'!$E$2:$E$2001,MATCH(21,'Donnees'!$L$2:$L$2001,0)))</x:f>
      </x:c>
      <x:c r="C28" s="2" t="str">
        <x:f>IF(B28="","",COUNTIFS('Donnees'!$A$2:$A$2001,"&lt;&gt;",'Donnees'!$C$2:$C$2001,"&gt;="&amp;'Tableau de bord'!$C$5,'Donnees'!$C$2:$C$2001,"&lt;="&amp;'Tableau de bord'!$F$5,'Donnees'!$F$2:$F$2001,IF('Tableau de bord'!$J$5="Toutes","*",'Tableau de bord'!$J$5),'Donnees'!$E$2:$E$2001,B28))</x:f>
      </x:c>
      <x:c r="D28" s="2" t="str">
        <x:f>IF(B28="","",COUNTIFS('Donnees'!$A$2:$A$2001,"&lt;&gt;",'Donnees'!$C$2:$C$2001,"&gt;="&amp;'Tableau de bord'!$C$5,'Donnees'!$C$2:$C$2001,"&lt;="&amp;'Tableau de bord'!$F$5,'Donnees'!$F$2:$F$2001,IF('Tableau de bord'!$J$5="Toutes","*",'Tableau de bord'!$J$5),'Donnees'!$E$2:$E$2001,B28,'Donnees'!$G$2:$G$2001,"mail validé"))</x:f>
      </x:c>
      <x:c r="E28" s="2" t="str">
        <x:f>IF(B28="","",COUNTIFS('Donnees'!$A$2:$A$2001,"&lt;&gt;",'Donnees'!$C$2:$C$2001,"&gt;="&amp;'Tableau de bord'!$C$5,'Donnees'!$C$2:$C$2001,"&lt;="&amp;'Tableau de bord'!$F$5,'Donnees'!$F$2:$F$2001,IF('Tableau de bord'!$J$5="Toutes","*",'Tableau de bord'!$J$5),'Donnees'!$E$2:$E$2001,B28,'Donnees'!$G$2:$G$2001,"mail non validé"))</x:f>
      </x:c>
      <x:c r="F28" s="2" t="str">
        <x:f>IF(B28="","",COUNTIFS('Donnees'!$A$2:$A$2001,"&lt;&gt;",'Donnees'!$C$2:$C$2001,"&gt;="&amp;'Tableau de bord'!$C$5,'Donnees'!$C$2:$C$2001,"&lt;="&amp;'Tableau de bord'!$F$5,'Donnees'!$F$2:$F$2001,IF('Tableau de bord'!$J$5="Toutes","*",'Tableau de bord'!$J$5),'Donnees'!$E$2:$E$2001,B28,'Donnees'!$G$2:$G$2001,"à vérifier"))</x:f>
      </x:c>
      <x:c r="G28" s="2" t="str">
        <x:f>IF(B28="","",COUNTIFS('Donnees'!$A$2:$A$2001,"&lt;&gt;",'Donnees'!$C$2:$C$2001,"&gt;="&amp;'Tableau de bord'!$C$5,'Donnees'!$C$2:$C$2001,"&lt;="&amp;'Tableau de bord'!$F$5,'Donnees'!$F$2:$F$2001,IF('Tableau de bord'!$J$5="Toutes","*",'Tableau de bord'!$J$5),'Donnees'!$E$2:$E$2001,B28,'Donnees'!$G$2:$G$2001,"mail non validé",'Donnees'!$H$2:$H$2001,"Q1"))</x:f>
      </x:c>
      <x:c r="H28" s="2" t="str">
        <x:f>IF(B28="","",COUNTIFS('Donnees'!$A$2:$A$2001,"&lt;&gt;",'Donnees'!$C$2:$C$2001,"&gt;="&amp;'Tableau de bord'!$C$5,'Donnees'!$C$2:$C$2001,"&lt;="&amp;'Tableau de bord'!$F$5,'Donnees'!$F$2:$F$2001,IF('Tableau de bord'!$J$5="Toutes","*",'Tableau de bord'!$J$5),'Donnees'!$E$2:$E$2001,B28,'Donnees'!$G$2:$G$2001,"mail non validé",'Donnees'!$H$2:$H$2001,"Q2"))</x:f>
      </x:c>
      <x:c r="I28" s="2" t="str">
        <x:f>IF(B28="","",COUNTIFS('Donnees'!$A$2:$A$2001,"&lt;&gt;",'Donnees'!$C$2:$C$2001,"&gt;="&amp;'Tableau de bord'!$C$5,'Donnees'!$C$2:$C$2001,"&lt;="&amp;'Tableau de bord'!$F$5,'Donnees'!$F$2:$F$2001,IF('Tableau de bord'!$J$5="Toutes","*",'Tableau de bord'!$J$5),'Donnees'!$E$2:$E$2001,B28,'Donnees'!$G$2:$G$2001,"mail non validé",'Donnees'!$H$2:$H$2001,"Q3"))</x:f>
      </x:c>
      <x:c r="J28" s="2" t="str">
        <x:f>IF(B28="","",COUNTIFS('Donnees'!$A$2:$A$2001,"&lt;&gt;",'Donnees'!$C$2:$C$2001,"&gt;="&amp;'Tableau de bord'!$C$5,'Donnees'!$C$2:$C$2001,"&lt;="&amp;'Tableau de bord'!$F$5,'Donnees'!$F$2:$F$2001,IF('Tableau de bord'!$J$5="Toutes","*",'Tableau de bord'!$J$5),'Donnees'!$E$2:$E$2001,B28,'Donnees'!$G$2:$G$2001,"mail non validé",'Donnees'!$H$2:$H$2001,"Q4"))</x:f>
      </x:c>
      <x:c r="K28" s="16" t="str">
        <x:f>IF(B28="","",IF(C28=0,"n.a.",E28/C28))</x:f>
      </x:c>
    </x:row>
    <x:row r="29" ht="23" customHeight="1">
      <x:c r="B29" s="2" t="str">
        <x:f>IF(COUNTIFS('Donnees'!$L$2:$L$2001,22)=0,"",INDEX('Donnees'!$E$2:$E$2001,MATCH(22,'Donnees'!$L$2:$L$2001,0)))</x:f>
      </x:c>
      <x:c r="C29" s="2" t="str">
        <x:f>IF(B29="","",COUNTIFS('Donnees'!$A$2:$A$2001,"&lt;&gt;",'Donnees'!$C$2:$C$2001,"&gt;="&amp;'Tableau de bord'!$C$5,'Donnees'!$C$2:$C$2001,"&lt;="&amp;'Tableau de bord'!$F$5,'Donnees'!$F$2:$F$2001,IF('Tableau de bord'!$J$5="Toutes","*",'Tableau de bord'!$J$5),'Donnees'!$E$2:$E$2001,B29))</x:f>
      </x:c>
      <x:c r="D29" s="2" t="str">
        <x:f>IF(B29="","",COUNTIFS('Donnees'!$A$2:$A$2001,"&lt;&gt;",'Donnees'!$C$2:$C$2001,"&gt;="&amp;'Tableau de bord'!$C$5,'Donnees'!$C$2:$C$2001,"&lt;="&amp;'Tableau de bord'!$F$5,'Donnees'!$F$2:$F$2001,IF('Tableau de bord'!$J$5="Toutes","*",'Tableau de bord'!$J$5),'Donnees'!$E$2:$E$2001,B29,'Donnees'!$G$2:$G$2001,"mail validé"))</x:f>
      </x:c>
      <x:c r="E29" s="2" t="str">
        <x:f>IF(B29="","",COUNTIFS('Donnees'!$A$2:$A$2001,"&lt;&gt;",'Donnees'!$C$2:$C$2001,"&gt;="&amp;'Tableau de bord'!$C$5,'Donnees'!$C$2:$C$2001,"&lt;="&amp;'Tableau de bord'!$F$5,'Donnees'!$F$2:$F$2001,IF('Tableau de bord'!$J$5="Toutes","*",'Tableau de bord'!$J$5),'Donnees'!$E$2:$E$2001,B29,'Donnees'!$G$2:$G$2001,"mail non validé"))</x:f>
      </x:c>
      <x:c r="F29" s="2" t="str">
        <x:f>IF(B29="","",COUNTIFS('Donnees'!$A$2:$A$2001,"&lt;&gt;",'Donnees'!$C$2:$C$2001,"&gt;="&amp;'Tableau de bord'!$C$5,'Donnees'!$C$2:$C$2001,"&lt;="&amp;'Tableau de bord'!$F$5,'Donnees'!$F$2:$F$2001,IF('Tableau de bord'!$J$5="Toutes","*",'Tableau de bord'!$J$5),'Donnees'!$E$2:$E$2001,B29,'Donnees'!$G$2:$G$2001,"à vérifier"))</x:f>
      </x:c>
      <x:c r="G29" s="2" t="str">
        <x:f>IF(B29="","",COUNTIFS('Donnees'!$A$2:$A$2001,"&lt;&gt;",'Donnees'!$C$2:$C$2001,"&gt;="&amp;'Tableau de bord'!$C$5,'Donnees'!$C$2:$C$2001,"&lt;="&amp;'Tableau de bord'!$F$5,'Donnees'!$F$2:$F$2001,IF('Tableau de bord'!$J$5="Toutes","*",'Tableau de bord'!$J$5),'Donnees'!$E$2:$E$2001,B29,'Donnees'!$G$2:$G$2001,"mail non validé",'Donnees'!$H$2:$H$2001,"Q1"))</x:f>
      </x:c>
      <x:c r="H29" s="2" t="str">
        <x:f>IF(B29="","",COUNTIFS('Donnees'!$A$2:$A$2001,"&lt;&gt;",'Donnees'!$C$2:$C$2001,"&gt;="&amp;'Tableau de bord'!$C$5,'Donnees'!$C$2:$C$2001,"&lt;="&amp;'Tableau de bord'!$F$5,'Donnees'!$F$2:$F$2001,IF('Tableau de bord'!$J$5="Toutes","*",'Tableau de bord'!$J$5),'Donnees'!$E$2:$E$2001,B29,'Donnees'!$G$2:$G$2001,"mail non validé",'Donnees'!$H$2:$H$2001,"Q2"))</x:f>
      </x:c>
      <x:c r="I29" s="2" t="str">
        <x:f>IF(B29="","",COUNTIFS('Donnees'!$A$2:$A$2001,"&lt;&gt;",'Donnees'!$C$2:$C$2001,"&gt;="&amp;'Tableau de bord'!$C$5,'Donnees'!$C$2:$C$2001,"&lt;="&amp;'Tableau de bord'!$F$5,'Donnees'!$F$2:$F$2001,IF('Tableau de bord'!$J$5="Toutes","*",'Tableau de bord'!$J$5),'Donnees'!$E$2:$E$2001,B29,'Donnees'!$G$2:$G$2001,"mail non validé",'Donnees'!$H$2:$H$2001,"Q3"))</x:f>
      </x:c>
      <x:c r="J29" s="2" t="str">
        <x:f>IF(B29="","",COUNTIFS('Donnees'!$A$2:$A$2001,"&lt;&gt;",'Donnees'!$C$2:$C$2001,"&gt;="&amp;'Tableau de bord'!$C$5,'Donnees'!$C$2:$C$2001,"&lt;="&amp;'Tableau de bord'!$F$5,'Donnees'!$F$2:$F$2001,IF('Tableau de bord'!$J$5="Toutes","*",'Tableau de bord'!$J$5),'Donnees'!$E$2:$E$2001,B29,'Donnees'!$G$2:$G$2001,"mail non validé",'Donnees'!$H$2:$H$2001,"Q4"))</x:f>
      </x:c>
      <x:c r="K29" s="16" t="str">
        <x:f>IF(B29="","",IF(C29=0,"n.a.",E29/C29))</x:f>
      </x:c>
    </x:row>
    <x:row r="30" ht="23" customHeight="1">
      <x:c r="B30" s="2" t="str">
        <x:f>IF(COUNTIFS('Donnees'!$L$2:$L$2001,23)=0,"",INDEX('Donnees'!$E$2:$E$2001,MATCH(23,'Donnees'!$L$2:$L$2001,0)))</x:f>
      </x:c>
      <x:c r="C30" s="2" t="str">
        <x:f>IF(B30="","",COUNTIFS('Donnees'!$A$2:$A$2001,"&lt;&gt;",'Donnees'!$C$2:$C$2001,"&gt;="&amp;'Tableau de bord'!$C$5,'Donnees'!$C$2:$C$2001,"&lt;="&amp;'Tableau de bord'!$F$5,'Donnees'!$F$2:$F$2001,IF('Tableau de bord'!$J$5="Toutes","*",'Tableau de bord'!$J$5),'Donnees'!$E$2:$E$2001,B30))</x:f>
      </x:c>
      <x:c r="D30" s="2" t="str">
        <x:f>IF(B30="","",COUNTIFS('Donnees'!$A$2:$A$2001,"&lt;&gt;",'Donnees'!$C$2:$C$2001,"&gt;="&amp;'Tableau de bord'!$C$5,'Donnees'!$C$2:$C$2001,"&lt;="&amp;'Tableau de bord'!$F$5,'Donnees'!$F$2:$F$2001,IF('Tableau de bord'!$J$5="Toutes","*",'Tableau de bord'!$J$5),'Donnees'!$E$2:$E$2001,B30,'Donnees'!$G$2:$G$2001,"mail validé"))</x:f>
      </x:c>
      <x:c r="E30" s="2" t="str">
        <x:f>IF(B30="","",COUNTIFS('Donnees'!$A$2:$A$2001,"&lt;&gt;",'Donnees'!$C$2:$C$2001,"&gt;="&amp;'Tableau de bord'!$C$5,'Donnees'!$C$2:$C$2001,"&lt;="&amp;'Tableau de bord'!$F$5,'Donnees'!$F$2:$F$2001,IF('Tableau de bord'!$J$5="Toutes","*",'Tableau de bord'!$J$5),'Donnees'!$E$2:$E$2001,B30,'Donnees'!$G$2:$G$2001,"mail non validé"))</x:f>
      </x:c>
      <x:c r="F30" s="2" t="str">
        <x:f>IF(B30="","",COUNTIFS('Donnees'!$A$2:$A$2001,"&lt;&gt;",'Donnees'!$C$2:$C$2001,"&gt;="&amp;'Tableau de bord'!$C$5,'Donnees'!$C$2:$C$2001,"&lt;="&amp;'Tableau de bord'!$F$5,'Donnees'!$F$2:$F$2001,IF('Tableau de bord'!$J$5="Toutes","*",'Tableau de bord'!$J$5),'Donnees'!$E$2:$E$2001,B30,'Donnees'!$G$2:$G$2001,"à vérifier"))</x:f>
      </x:c>
      <x:c r="G30" s="2" t="str">
        <x:f>IF(B30="","",COUNTIFS('Donnees'!$A$2:$A$2001,"&lt;&gt;",'Donnees'!$C$2:$C$2001,"&gt;="&amp;'Tableau de bord'!$C$5,'Donnees'!$C$2:$C$2001,"&lt;="&amp;'Tableau de bord'!$F$5,'Donnees'!$F$2:$F$2001,IF('Tableau de bord'!$J$5="Toutes","*",'Tableau de bord'!$J$5),'Donnees'!$E$2:$E$2001,B30,'Donnees'!$G$2:$G$2001,"mail non validé",'Donnees'!$H$2:$H$2001,"Q1"))</x:f>
      </x:c>
      <x:c r="H30" s="2" t="str">
        <x:f>IF(B30="","",COUNTIFS('Donnees'!$A$2:$A$2001,"&lt;&gt;",'Donnees'!$C$2:$C$2001,"&gt;="&amp;'Tableau de bord'!$C$5,'Donnees'!$C$2:$C$2001,"&lt;="&amp;'Tableau de bord'!$F$5,'Donnees'!$F$2:$F$2001,IF('Tableau de bord'!$J$5="Toutes","*",'Tableau de bord'!$J$5),'Donnees'!$E$2:$E$2001,B30,'Donnees'!$G$2:$G$2001,"mail non validé",'Donnees'!$H$2:$H$2001,"Q2"))</x:f>
      </x:c>
      <x:c r="I30" s="2" t="str">
        <x:f>IF(B30="","",COUNTIFS('Donnees'!$A$2:$A$2001,"&lt;&gt;",'Donnees'!$C$2:$C$2001,"&gt;="&amp;'Tableau de bord'!$C$5,'Donnees'!$C$2:$C$2001,"&lt;="&amp;'Tableau de bord'!$F$5,'Donnees'!$F$2:$F$2001,IF('Tableau de bord'!$J$5="Toutes","*",'Tableau de bord'!$J$5),'Donnees'!$E$2:$E$2001,B30,'Donnees'!$G$2:$G$2001,"mail non validé",'Donnees'!$H$2:$H$2001,"Q3"))</x:f>
      </x:c>
      <x:c r="J30" s="2" t="str">
        <x:f>IF(B30="","",COUNTIFS('Donnees'!$A$2:$A$2001,"&lt;&gt;",'Donnees'!$C$2:$C$2001,"&gt;="&amp;'Tableau de bord'!$C$5,'Donnees'!$C$2:$C$2001,"&lt;="&amp;'Tableau de bord'!$F$5,'Donnees'!$F$2:$F$2001,IF('Tableau de bord'!$J$5="Toutes","*",'Tableau de bord'!$J$5),'Donnees'!$E$2:$E$2001,B30,'Donnees'!$G$2:$G$2001,"mail non validé",'Donnees'!$H$2:$H$2001,"Q4"))</x:f>
      </x:c>
      <x:c r="K30" s="16" t="str">
        <x:f>IF(B30="","",IF(C30=0,"n.a.",E30/C30))</x:f>
      </x:c>
    </x:row>
    <x:row r="31" ht="23" customHeight="1">
      <x:c r="B31" s="2" t="str">
        <x:f>IF(COUNTIFS('Donnees'!$L$2:$L$2001,24)=0,"",INDEX('Donnees'!$E$2:$E$2001,MATCH(24,'Donnees'!$L$2:$L$2001,0)))</x:f>
      </x:c>
      <x:c r="C31" s="2" t="str">
        <x:f>IF(B31="","",COUNTIFS('Donnees'!$A$2:$A$2001,"&lt;&gt;",'Donnees'!$C$2:$C$2001,"&gt;="&amp;'Tableau de bord'!$C$5,'Donnees'!$C$2:$C$2001,"&lt;="&amp;'Tableau de bord'!$F$5,'Donnees'!$F$2:$F$2001,IF('Tableau de bord'!$J$5="Toutes","*",'Tableau de bord'!$J$5),'Donnees'!$E$2:$E$2001,B31))</x:f>
      </x:c>
      <x:c r="D31" s="2" t="str">
        <x:f>IF(B31="","",COUNTIFS('Donnees'!$A$2:$A$2001,"&lt;&gt;",'Donnees'!$C$2:$C$2001,"&gt;="&amp;'Tableau de bord'!$C$5,'Donnees'!$C$2:$C$2001,"&lt;="&amp;'Tableau de bord'!$F$5,'Donnees'!$F$2:$F$2001,IF('Tableau de bord'!$J$5="Toutes","*",'Tableau de bord'!$J$5),'Donnees'!$E$2:$E$2001,B31,'Donnees'!$G$2:$G$2001,"mail validé"))</x:f>
      </x:c>
      <x:c r="E31" s="2" t="str">
        <x:f>IF(B31="","",COUNTIFS('Donnees'!$A$2:$A$2001,"&lt;&gt;",'Donnees'!$C$2:$C$2001,"&gt;="&amp;'Tableau de bord'!$C$5,'Donnees'!$C$2:$C$2001,"&lt;="&amp;'Tableau de bord'!$F$5,'Donnees'!$F$2:$F$2001,IF('Tableau de bord'!$J$5="Toutes","*",'Tableau de bord'!$J$5),'Donnees'!$E$2:$E$2001,B31,'Donnees'!$G$2:$G$2001,"mail non validé"))</x:f>
      </x:c>
      <x:c r="F31" s="2" t="str">
        <x:f>IF(B31="","",COUNTIFS('Donnees'!$A$2:$A$2001,"&lt;&gt;",'Donnees'!$C$2:$C$2001,"&gt;="&amp;'Tableau de bord'!$C$5,'Donnees'!$C$2:$C$2001,"&lt;="&amp;'Tableau de bord'!$F$5,'Donnees'!$F$2:$F$2001,IF('Tableau de bord'!$J$5="Toutes","*",'Tableau de bord'!$J$5),'Donnees'!$E$2:$E$2001,B31,'Donnees'!$G$2:$G$2001,"à vérifier"))</x:f>
      </x:c>
      <x:c r="G31" s="2" t="str">
        <x:f>IF(B31="","",COUNTIFS('Donnees'!$A$2:$A$2001,"&lt;&gt;",'Donnees'!$C$2:$C$2001,"&gt;="&amp;'Tableau de bord'!$C$5,'Donnees'!$C$2:$C$2001,"&lt;="&amp;'Tableau de bord'!$F$5,'Donnees'!$F$2:$F$2001,IF('Tableau de bord'!$J$5="Toutes","*",'Tableau de bord'!$J$5),'Donnees'!$E$2:$E$2001,B31,'Donnees'!$G$2:$G$2001,"mail non validé",'Donnees'!$H$2:$H$2001,"Q1"))</x:f>
      </x:c>
      <x:c r="H31" s="2" t="str">
        <x:f>IF(B31="","",COUNTIFS('Donnees'!$A$2:$A$2001,"&lt;&gt;",'Donnees'!$C$2:$C$2001,"&gt;="&amp;'Tableau de bord'!$C$5,'Donnees'!$C$2:$C$2001,"&lt;="&amp;'Tableau de bord'!$F$5,'Donnees'!$F$2:$F$2001,IF('Tableau de bord'!$J$5="Toutes","*",'Tableau de bord'!$J$5),'Donnees'!$E$2:$E$2001,B31,'Donnees'!$G$2:$G$2001,"mail non validé",'Donnees'!$H$2:$H$2001,"Q2"))</x:f>
      </x:c>
      <x:c r="I31" s="2" t="str">
        <x:f>IF(B31="","",COUNTIFS('Donnees'!$A$2:$A$2001,"&lt;&gt;",'Donnees'!$C$2:$C$2001,"&gt;="&amp;'Tableau de bord'!$C$5,'Donnees'!$C$2:$C$2001,"&lt;="&amp;'Tableau de bord'!$F$5,'Donnees'!$F$2:$F$2001,IF('Tableau de bord'!$J$5="Toutes","*",'Tableau de bord'!$J$5),'Donnees'!$E$2:$E$2001,B31,'Donnees'!$G$2:$G$2001,"mail non validé",'Donnees'!$H$2:$H$2001,"Q3"))</x:f>
      </x:c>
      <x:c r="J31" s="2" t="str">
        <x:f>IF(B31="","",COUNTIFS('Donnees'!$A$2:$A$2001,"&lt;&gt;",'Donnees'!$C$2:$C$2001,"&gt;="&amp;'Tableau de bord'!$C$5,'Donnees'!$C$2:$C$2001,"&lt;="&amp;'Tableau de bord'!$F$5,'Donnees'!$F$2:$F$2001,IF('Tableau de bord'!$J$5="Toutes","*",'Tableau de bord'!$J$5),'Donnees'!$E$2:$E$2001,B31,'Donnees'!$G$2:$G$2001,"mail non validé",'Donnees'!$H$2:$H$2001,"Q4"))</x:f>
      </x:c>
      <x:c r="K31" s="16" t="str">
        <x:f>IF(B31="","",IF(C31=0,"n.a.",E31/C31))</x:f>
      </x:c>
    </x:row>
    <x:row r="32" ht="23" customHeight="1">
      <x:c r="B32" s="2" t="str">
        <x:f>IF(COUNTIFS('Donnees'!$L$2:$L$2001,25)=0,"",INDEX('Donnees'!$E$2:$E$2001,MATCH(25,'Donnees'!$L$2:$L$2001,0)))</x:f>
      </x:c>
      <x:c r="C32" s="2" t="str">
        <x:f>IF(B32="","",COUNTIFS('Donnees'!$A$2:$A$2001,"&lt;&gt;",'Donnees'!$C$2:$C$2001,"&gt;="&amp;'Tableau de bord'!$C$5,'Donnees'!$C$2:$C$2001,"&lt;="&amp;'Tableau de bord'!$F$5,'Donnees'!$F$2:$F$2001,IF('Tableau de bord'!$J$5="Toutes","*",'Tableau de bord'!$J$5),'Donnees'!$E$2:$E$2001,B32))</x:f>
      </x:c>
      <x:c r="D32" s="2" t="str">
        <x:f>IF(B32="","",COUNTIFS('Donnees'!$A$2:$A$2001,"&lt;&gt;",'Donnees'!$C$2:$C$2001,"&gt;="&amp;'Tableau de bord'!$C$5,'Donnees'!$C$2:$C$2001,"&lt;="&amp;'Tableau de bord'!$F$5,'Donnees'!$F$2:$F$2001,IF('Tableau de bord'!$J$5="Toutes","*",'Tableau de bord'!$J$5),'Donnees'!$E$2:$E$2001,B32,'Donnees'!$G$2:$G$2001,"mail validé"))</x:f>
      </x:c>
      <x:c r="E32" s="2" t="str">
        <x:f>IF(B32="","",COUNTIFS('Donnees'!$A$2:$A$2001,"&lt;&gt;",'Donnees'!$C$2:$C$2001,"&gt;="&amp;'Tableau de bord'!$C$5,'Donnees'!$C$2:$C$2001,"&lt;="&amp;'Tableau de bord'!$F$5,'Donnees'!$F$2:$F$2001,IF('Tableau de bord'!$J$5="Toutes","*",'Tableau de bord'!$J$5),'Donnees'!$E$2:$E$2001,B32,'Donnees'!$G$2:$G$2001,"mail non validé"))</x:f>
      </x:c>
      <x:c r="F32" s="2" t="str">
        <x:f>IF(B32="","",COUNTIFS('Donnees'!$A$2:$A$2001,"&lt;&gt;",'Donnees'!$C$2:$C$2001,"&gt;="&amp;'Tableau de bord'!$C$5,'Donnees'!$C$2:$C$2001,"&lt;="&amp;'Tableau de bord'!$F$5,'Donnees'!$F$2:$F$2001,IF('Tableau de bord'!$J$5="Toutes","*",'Tableau de bord'!$J$5),'Donnees'!$E$2:$E$2001,B32,'Donnees'!$G$2:$G$2001,"à vérifier"))</x:f>
      </x:c>
      <x:c r="G32" s="2" t="str">
        <x:f>IF(B32="","",COUNTIFS('Donnees'!$A$2:$A$2001,"&lt;&gt;",'Donnees'!$C$2:$C$2001,"&gt;="&amp;'Tableau de bord'!$C$5,'Donnees'!$C$2:$C$2001,"&lt;="&amp;'Tableau de bord'!$F$5,'Donnees'!$F$2:$F$2001,IF('Tableau de bord'!$J$5="Toutes","*",'Tableau de bord'!$J$5),'Donnees'!$E$2:$E$2001,B32,'Donnees'!$G$2:$G$2001,"mail non validé",'Donnees'!$H$2:$H$2001,"Q1"))</x:f>
      </x:c>
      <x:c r="H32" s="2" t="str">
        <x:f>IF(B32="","",COUNTIFS('Donnees'!$A$2:$A$2001,"&lt;&gt;",'Donnees'!$C$2:$C$2001,"&gt;="&amp;'Tableau de bord'!$C$5,'Donnees'!$C$2:$C$2001,"&lt;="&amp;'Tableau de bord'!$F$5,'Donnees'!$F$2:$F$2001,IF('Tableau de bord'!$J$5="Toutes","*",'Tableau de bord'!$J$5),'Donnees'!$E$2:$E$2001,B32,'Donnees'!$G$2:$G$2001,"mail non validé",'Donnees'!$H$2:$H$2001,"Q2"))</x:f>
      </x:c>
      <x:c r="I32" s="2" t="str">
        <x:f>IF(B32="","",COUNTIFS('Donnees'!$A$2:$A$2001,"&lt;&gt;",'Donnees'!$C$2:$C$2001,"&gt;="&amp;'Tableau de bord'!$C$5,'Donnees'!$C$2:$C$2001,"&lt;="&amp;'Tableau de bord'!$F$5,'Donnees'!$F$2:$F$2001,IF('Tableau de bord'!$J$5="Toutes","*",'Tableau de bord'!$J$5),'Donnees'!$E$2:$E$2001,B32,'Donnees'!$G$2:$G$2001,"mail non validé",'Donnees'!$H$2:$H$2001,"Q3"))</x:f>
      </x:c>
      <x:c r="J32" s="2" t="str">
        <x:f>IF(B32="","",COUNTIFS('Donnees'!$A$2:$A$2001,"&lt;&gt;",'Donnees'!$C$2:$C$2001,"&gt;="&amp;'Tableau de bord'!$C$5,'Donnees'!$C$2:$C$2001,"&lt;="&amp;'Tableau de bord'!$F$5,'Donnees'!$F$2:$F$2001,IF('Tableau de bord'!$J$5="Toutes","*",'Tableau de bord'!$J$5),'Donnees'!$E$2:$E$2001,B32,'Donnees'!$G$2:$G$2001,"mail non validé",'Donnees'!$H$2:$H$2001,"Q4"))</x:f>
      </x:c>
      <x:c r="K32" s="16" t="str">
        <x:f>IF(B32="","",IF(C32=0,"n.a.",E32/C32))</x:f>
      </x:c>
    </x:row>
    <x:row r="33" ht="23" customHeight="1">
      <x:c r="B33" s="2" t="str">
        <x:f>IF(COUNTIFS('Donnees'!$L$2:$L$2001,26)=0,"",INDEX('Donnees'!$E$2:$E$2001,MATCH(26,'Donnees'!$L$2:$L$2001,0)))</x:f>
      </x:c>
      <x:c r="C33" s="2" t="str">
        <x:f>IF(B33="","",COUNTIFS('Donnees'!$A$2:$A$2001,"&lt;&gt;",'Donnees'!$C$2:$C$2001,"&gt;="&amp;'Tableau de bord'!$C$5,'Donnees'!$C$2:$C$2001,"&lt;="&amp;'Tableau de bord'!$F$5,'Donnees'!$F$2:$F$2001,IF('Tableau de bord'!$J$5="Toutes","*",'Tableau de bord'!$J$5),'Donnees'!$E$2:$E$2001,B33))</x:f>
      </x:c>
      <x:c r="D33" s="2" t="str">
        <x:f>IF(B33="","",COUNTIFS('Donnees'!$A$2:$A$2001,"&lt;&gt;",'Donnees'!$C$2:$C$2001,"&gt;="&amp;'Tableau de bord'!$C$5,'Donnees'!$C$2:$C$2001,"&lt;="&amp;'Tableau de bord'!$F$5,'Donnees'!$F$2:$F$2001,IF('Tableau de bord'!$J$5="Toutes","*",'Tableau de bord'!$J$5),'Donnees'!$E$2:$E$2001,B33,'Donnees'!$G$2:$G$2001,"mail validé"))</x:f>
      </x:c>
      <x:c r="E33" s="2" t="str">
        <x:f>IF(B33="","",COUNTIFS('Donnees'!$A$2:$A$2001,"&lt;&gt;",'Donnees'!$C$2:$C$2001,"&gt;="&amp;'Tableau de bord'!$C$5,'Donnees'!$C$2:$C$2001,"&lt;="&amp;'Tableau de bord'!$F$5,'Donnees'!$F$2:$F$2001,IF('Tableau de bord'!$J$5="Toutes","*",'Tableau de bord'!$J$5),'Donnees'!$E$2:$E$2001,B33,'Donnees'!$G$2:$G$2001,"mail non validé"))</x:f>
      </x:c>
      <x:c r="F33" s="2" t="str">
        <x:f>IF(B33="","",COUNTIFS('Donnees'!$A$2:$A$2001,"&lt;&gt;",'Donnees'!$C$2:$C$2001,"&gt;="&amp;'Tableau de bord'!$C$5,'Donnees'!$C$2:$C$2001,"&lt;="&amp;'Tableau de bord'!$F$5,'Donnees'!$F$2:$F$2001,IF('Tableau de bord'!$J$5="Toutes","*",'Tableau de bord'!$J$5),'Donnees'!$E$2:$E$2001,B33,'Donnees'!$G$2:$G$2001,"à vérifier"))</x:f>
      </x:c>
      <x:c r="G33" s="2" t="str">
        <x:f>IF(B33="","",COUNTIFS('Donnees'!$A$2:$A$2001,"&lt;&gt;",'Donnees'!$C$2:$C$2001,"&gt;="&amp;'Tableau de bord'!$C$5,'Donnees'!$C$2:$C$2001,"&lt;="&amp;'Tableau de bord'!$F$5,'Donnees'!$F$2:$F$2001,IF('Tableau de bord'!$J$5="Toutes","*",'Tableau de bord'!$J$5),'Donnees'!$E$2:$E$2001,B33,'Donnees'!$G$2:$G$2001,"mail non validé",'Donnees'!$H$2:$H$2001,"Q1"))</x:f>
      </x:c>
      <x:c r="H33" s="2" t="str">
        <x:f>IF(B33="","",COUNTIFS('Donnees'!$A$2:$A$2001,"&lt;&gt;",'Donnees'!$C$2:$C$2001,"&gt;="&amp;'Tableau de bord'!$C$5,'Donnees'!$C$2:$C$2001,"&lt;="&amp;'Tableau de bord'!$F$5,'Donnees'!$F$2:$F$2001,IF('Tableau de bord'!$J$5="Toutes","*",'Tableau de bord'!$J$5),'Donnees'!$E$2:$E$2001,B33,'Donnees'!$G$2:$G$2001,"mail non validé",'Donnees'!$H$2:$H$2001,"Q2"))</x:f>
      </x:c>
      <x:c r="I33" s="2" t="str">
        <x:f>IF(B33="","",COUNTIFS('Donnees'!$A$2:$A$2001,"&lt;&gt;",'Donnees'!$C$2:$C$2001,"&gt;="&amp;'Tableau de bord'!$C$5,'Donnees'!$C$2:$C$2001,"&lt;="&amp;'Tableau de bord'!$F$5,'Donnees'!$F$2:$F$2001,IF('Tableau de bord'!$J$5="Toutes","*",'Tableau de bord'!$J$5),'Donnees'!$E$2:$E$2001,B33,'Donnees'!$G$2:$G$2001,"mail non validé",'Donnees'!$H$2:$H$2001,"Q3"))</x:f>
      </x:c>
      <x:c r="J33" s="2" t="str">
        <x:f>IF(B33="","",COUNTIFS('Donnees'!$A$2:$A$2001,"&lt;&gt;",'Donnees'!$C$2:$C$2001,"&gt;="&amp;'Tableau de bord'!$C$5,'Donnees'!$C$2:$C$2001,"&lt;="&amp;'Tableau de bord'!$F$5,'Donnees'!$F$2:$F$2001,IF('Tableau de bord'!$J$5="Toutes","*",'Tableau de bord'!$J$5),'Donnees'!$E$2:$E$2001,B33,'Donnees'!$G$2:$G$2001,"mail non validé",'Donnees'!$H$2:$H$2001,"Q4"))</x:f>
      </x:c>
      <x:c r="K33" s="16" t="str">
        <x:f>IF(B33="","",IF(C33=0,"n.a.",E33/C33))</x:f>
      </x:c>
    </x:row>
    <x:row r="34" ht="23" customHeight="1">
      <x:c r="B34" s="2" t="str">
        <x:f>IF(COUNTIFS('Donnees'!$L$2:$L$2001,27)=0,"",INDEX('Donnees'!$E$2:$E$2001,MATCH(27,'Donnees'!$L$2:$L$2001,0)))</x:f>
      </x:c>
      <x:c r="C34" s="2" t="str">
        <x:f>IF(B34="","",COUNTIFS('Donnees'!$A$2:$A$2001,"&lt;&gt;",'Donnees'!$C$2:$C$2001,"&gt;="&amp;'Tableau de bord'!$C$5,'Donnees'!$C$2:$C$2001,"&lt;="&amp;'Tableau de bord'!$F$5,'Donnees'!$F$2:$F$2001,IF('Tableau de bord'!$J$5="Toutes","*",'Tableau de bord'!$J$5),'Donnees'!$E$2:$E$2001,B34))</x:f>
      </x:c>
      <x:c r="D34" s="2" t="str">
        <x:f>IF(B34="","",COUNTIFS('Donnees'!$A$2:$A$2001,"&lt;&gt;",'Donnees'!$C$2:$C$2001,"&gt;="&amp;'Tableau de bord'!$C$5,'Donnees'!$C$2:$C$2001,"&lt;="&amp;'Tableau de bord'!$F$5,'Donnees'!$F$2:$F$2001,IF('Tableau de bord'!$J$5="Toutes","*",'Tableau de bord'!$J$5),'Donnees'!$E$2:$E$2001,B34,'Donnees'!$G$2:$G$2001,"mail validé"))</x:f>
      </x:c>
      <x:c r="E34" s="2" t="str">
        <x:f>IF(B34="","",COUNTIFS('Donnees'!$A$2:$A$2001,"&lt;&gt;",'Donnees'!$C$2:$C$2001,"&gt;="&amp;'Tableau de bord'!$C$5,'Donnees'!$C$2:$C$2001,"&lt;="&amp;'Tableau de bord'!$F$5,'Donnees'!$F$2:$F$2001,IF('Tableau de bord'!$J$5="Toutes","*",'Tableau de bord'!$J$5),'Donnees'!$E$2:$E$2001,B34,'Donnees'!$G$2:$G$2001,"mail non validé"))</x:f>
      </x:c>
      <x:c r="F34" s="2" t="str">
        <x:f>IF(B34="","",COUNTIFS('Donnees'!$A$2:$A$2001,"&lt;&gt;",'Donnees'!$C$2:$C$2001,"&gt;="&amp;'Tableau de bord'!$C$5,'Donnees'!$C$2:$C$2001,"&lt;="&amp;'Tableau de bord'!$F$5,'Donnees'!$F$2:$F$2001,IF('Tableau de bord'!$J$5="Toutes","*",'Tableau de bord'!$J$5),'Donnees'!$E$2:$E$2001,B34,'Donnees'!$G$2:$G$2001,"à vérifier"))</x:f>
      </x:c>
      <x:c r="G34" s="2" t="str">
        <x:f>IF(B34="","",COUNTIFS('Donnees'!$A$2:$A$2001,"&lt;&gt;",'Donnees'!$C$2:$C$2001,"&gt;="&amp;'Tableau de bord'!$C$5,'Donnees'!$C$2:$C$2001,"&lt;="&amp;'Tableau de bord'!$F$5,'Donnees'!$F$2:$F$2001,IF('Tableau de bord'!$J$5="Toutes","*",'Tableau de bord'!$J$5),'Donnees'!$E$2:$E$2001,B34,'Donnees'!$G$2:$G$2001,"mail non validé",'Donnees'!$H$2:$H$2001,"Q1"))</x:f>
      </x:c>
      <x:c r="H34" s="2" t="str">
        <x:f>IF(B34="","",COUNTIFS('Donnees'!$A$2:$A$2001,"&lt;&gt;",'Donnees'!$C$2:$C$2001,"&gt;="&amp;'Tableau de bord'!$C$5,'Donnees'!$C$2:$C$2001,"&lt;="&amp;'Tableau de bord'!$F$5,'Donnees'!$F$2:$F$2001,IF('Tableau de bord'!$J$5="Toutes","*",'Tableau de bord'!$J$5),'Donnees'!$E$2:$E$2001,B34,'Donnees'!$G$2:$G$2001,"mail non validé",'Donnees'!$H$2:$H$2001,"Q2"))</x:f>
      </x:c>
      <x:c r="I34" s="2" t="str">
        <x:f>IF(B34="","",COUNTIFS('Donnees'!$A$2:$A$2001,"&lt;&gt;",'Donnees'!$C$2:$C$2001,"&gt;="&amp;'Tableau de bord'!$C$5,'Donnees'!$C$2:$C$2001,"&lt;="&amp;'Tableau de bord'!$F$5,'Donnees'!$F$2:$F$2001,IF('Tableau de bord'!$J$5="Toutes","*",'Tableau de bord'!$J$5),'Donnees'!$E$2:$E$2001,B34,'Donnees'!$G$2:$G$2001,"mail non validé",'Donnees'!$H$2:$H$2001,"Q3"))</x:f>
      </x:c>
      <x:c r="J34" s="2" t="str">
        <x:f>IF(B34="","",COUNTIFS('Donnees'!$A$2:$A$2001,"&lt;&gt;",'Donnees'!$C$2:$C$2001,"&gt;="&amp;'Tableau de bord'!$C$5,'Donnees'!$C$2:$C$2001,"&lt;="&amp;'Tableau de bord'!$F$5,'Donnees'!$F$2:$F$2001,IF('Tableau de bord'!$J$5="Toutes","*",'Tableau de bord'!$J$5),'Donnees'!$E$2:$E$2001,B34,'Donnees'!$G$2:$G$2001,"mail non validé",'Donnees'!$H$2:$H$2001,"Q4"))</x:f>
      </x:c>
      <x:c r="K34" s="16" t="str">
        <x:f>IF(B34="","",IF(C34=0,"n.a.",E34/C34))</x:f>
      </x:c>
    </x:row>
    <x:row r="35" ht="23" customHeight="1">
      <x:c r="B35" s="2" t="str">
        <x:f>IF(COUNTIFS('Donnees'!$L$2:$L$2001,28)=0,"",INDEX('Donnees'!$E$2:$E$2001,MATCH(28,'Donnees'!$L$2:$L$2001,0)))</x:f>
      </x:c>
      <x:c r="C35" s="2" t="str">
        <x:f>IF(B35="","",COUNTIFS('Donnees'!$A$2:$A$2001,"&lt;&gt;",'Donnees'!$C$2:$C$2001,"&gt;="&amp;'Tableau de bord'!$C$5,'Donnees'!$C$2:$C$2001,"&lt;="&amp;'Tableau de bord'!$F$5,'Donnees'!$F$2:$F$2001,IF('Tableau de bord'!$J$5="Toutes","*",'Tableau de bord'!$J$5),'Donnees'!$E$2:$E$2001,B35))</x:f>
      </x:c>
      <x:c r="D35" s="2" t="str">
        <x:f>IF(B35="","",COUNTIFS('Donnees'!$A$2:$A$2001,"&lt;&gt;",'Donnees'!$C$2:$C$2001,"&gt;="&amp;'Tableau de bord'!$C$5,'Donnees'!$C$2:$C$2001,"&lt;="&amp;'Tableau de bord'!$F$5,'Donnees'!$F$2:$F$2001,IF('Tableau de bord'!$J$5="Toutes","*",'Tableau de bord'!$J$5),'Donnees'!$E$2:$E$2001,B35,'Donnees'!$G$2:$G$2001,"mail validé"))</x:f>
      </x:c>
      <x:c r="E35" s="2" t="str">
        <x:f>IF(B35="","",COUNTIFS('Donnees'!$A$2:$A$2001,"&lt;&gt;",'Donnees'!$C$2:$C$2001,"&gt;="&amp;'Tableau de bord'!$C$5,'Donnees'!$C$2:$C$2001,"&lt;="&amp;'Tableau de bord'!$F$5,'Donnees'!$F$2:$F$2001,IF('Tableau de bord'!$J$5="Toutes","*",'Tableau de bord'!$J$5),'Donnees'!$E$2:$E$2001,B35,'Donnees'!$G$2:$G$2001,"mail non validé"))</x:f>
      </x:c>
      <x:c r="F35" s="2" t="str">
        <x:f>IF(B35="","",COUNTIFS('Donnees'!$A$2:$A$2001,"&lt;&gt;",'Donnees'!$C$2:$C$2001,"&gt;="&amp;'Tableau de bord'!$C$5,'Donnees'!$C$2:$C$2001,"&lt;="&amp;'Tableau de bord'!$F$5,'Donnees'!$F$2:$F$2001,IF('Tableau de bord'!$J$5="Toutes","*",'Tableau de bord'!$J$5),'Donnees'!$E$2:$E$2001,B35,'Donnees'!$G$2:$G$2001,"à vérifier"))</x:f>
      </x:c>
      <x:c r="G35" s="2" t="str">
        <x:f>IF(B35="","",COUNTIFS('Donnees'!$A$2:$A$2001,"&lt;&gt;",'Donnees'!$C$2:$C$2001,"&gt;="&amp;'Tableau de bord'!$C$5,'Donnees'!$C$2:$C$2001,"&lt;="&amp;'Tableau de bord'!$F$5,'Donnees'!$F$2:$F$2001,IF('Tableau de bord'!$J$5="Toutes","*",'Tableau de bord'!$J$5),'Donnees'!$E$2:$E$2001,B35,'Donnees'!$G$2:$G$2001,"mail non validé",'Donnees'!$H$2:$H$2001,"Q1"))</x:f>
      </x:c>
      <x:c r="H35" s="2" t="str">
        <x:f>IF(B35="","",COUNTIFS('Donnees'!$A$2:$A$2001,"&lt;&gt;",'Donnees'!$C$2:$C$2001,"&gt;="&amp;'Tableau de bord'!$C$5,'Donnees'!$C$2:$C$2001,"&lt;="&amp;'Tableau de bord'!$F$5,'Donnees'!$F$2:$F$2001,IF('Tableau de bord'!$J$5="Toutes","*",'Tableau de bord'!$J$5),'Donnees'!$E$2:$E$2001,B35,'Donnees'!$G$2:$G$2001,"mail non validé",'Donnees'!$H$2:$H$2001,"Q2"))</x:f>
      </x:c>
      <x:c r="I35" s="2" t="str">
        <x:f>IF(B35="","",COUNTIFS('Donnees'!$A$2:$A$2001,"&lt;&gt;",'Donnees'!$C$2:$C$2001,"&gt;="&amp;'Tableau de bord'!$C$5,'Donnees'!$C$2:$C$2001,"&lt;="&amp;'Tableau de bord'!$F$5,'Donnees'!$F$2:$F$2001,IF('Tableau de bord'!$J$5="Toutes","*",'Tableau de bord'!$J$5),'Donnees'!$E$2:$E$2001,B35,'Donnees'!$G$2:$G$2001,"mail non validé",'Donnees'!$H$2:$H$2001,"Q3"))</x:f>
      </x:c>
      <x:c r="J35" s="2" t="str">
        <x:f>IF(B35="","",COUNTIFS('Donnees'!$A$2:$A$2001,"&lt;&gt;",'Donnees'!$C$2:$C$2001,"&gt;="&amp;'Tableau de bord'!$C$5,'Donnees'!$C$2:$C$2001,"&lt;="&amp;'Tableau de bord'!$F$5,'Donnees'!$F$2:$F$2001,IF('Tableau de bord'!$J$5="Toutes","*",'Tableau de bord'!$J$5),'Donnees'!$E$2:$E$2001,B35,'Donnees'!$G$2:$G$2001,"mail non validé",'Donnees'!$H$2:$H$2001,"Q4"))</x:f>
      </x:c>
      <x:c r="K35" s="16" t="str">
        <x:f>IF(B35="","",IF(C35=0,"n.a.",E35/C35))</x:f>
      </x:c>
    </x:row>
    <x:row r="36" ht="23" customHeight="1">
      <x:c r="B36" s="2" t="str">
        <x:f>IF(COUNTIFS('Donnees'!$L$2:$L$2001,29)=0,"",INDEX('Donnees'!$E$2:$E$2001,MATCH(29,'Donnees'!$L$2:$L$2001,0)))</x:f>
      </x:c>
      <x:c r="C36" s="2" t="str">
        <x:f>IF(B36="","",COUNTIFS('Donnees'!$A$2:$A$2001,"&lt;&gt;",'Donnees'!$C$2:$C$2001,"&gt;="&amp;'Tableau de bord'!$C$5,'Donnees'!$C$2:$C$2001,"&lt;="&amp;'Tableau de bord'!$F$5,'Donnees'!$F$2:$F$2001,IF('Tableau de bord'!$J$5="Toutes","*",'Tableau de bord'!$J$5),'Donnees'!$E$2:$E$2001,B36))</x:f>
      </x:c>
      <x:c r="D36" s="2" t="str">
        <x:f>IF(B36="","",COUNTIFS('Donnees'!$A$2:$A$2001,"&lt;&gt;",'Donnees'!$C$2:$C$2001,"&gt;="&amp;'Tableau de bord'!$C$5,'Donnees'!$C$2:$C$2001,"&lt;="&amp;'Tableau de bord'!$F$5,'Donnees'!$F$2:$F$2001,IF('Tableau de bord'!$J$5="Toutes","*",'Tableau de bord'!$J$5),'Donnees'!$E$2:$E$2001,B36,'Donnees'!$G$2:$G$2001,"mail validé"))</x:f>
      </x:c>
      <x:c r="E36" s="2" t="str">
        <x:f>IF(B36="","",COUNTIFS('Donnees'!$A$2:$A$2001,"&lt;&gt;",'Donnees'!$C$2:$C$2001,"&gt;="&amp;'Tableau de bord'!$C$5,'Donnees'!$C$2:$C$2001,"&lt;="&amp;'Tableau de bord'!$F$5,'Donnees'!$F$2:$F$2001,IF('Tableau de bord'!$J$5="Toutes","*",'Tableau de bord'!$J$5),'Donnees'!$E$2:$E$2001,B36,'Donnees'!$G$2:$G$2001,"mail non validé"))</x:f>
      </x:c>
      <x:c r="F36" s="2" t="str">
        <x:f>IF(B36="","",COUNTIFS('Donnees'!$A$2:$A$2001,"&lt;&gt;",'Donnees'!$C$2:$C$2001,"&gt;="&amp;'Tableau de bord'!$C$5,'Donnees'!$C$2:$C$2001,"&lt;="&amp;'Tableau de bord'!$F$5,'Donnees'!$F$2:$F$2001,IF('Tableau de bord'!$J$5="Toutes","*",'Tableau de bord'!$J$5),'Donnees'!$E$2:$E$2001,B36,'Donnees'!$G$2:$G$2001,"à vérifier"))</x:f>
      </x:c>
      <x:c r="G36" s="2" t="str">
        <x:f>IF(B36="","",COUNTIFS('Donnees'!$A$2:$A$2001,"&lt;&gt;",'Donnees'!$C$2:$C$2001,"&gt;="&amp;'Tableau de bord'!$C$5,'Donnees'!$C$2:$C$2001,"&lt;="&amp;'Tableau de bord'!$F$5,'Donnees'!$F$2:$F$2001,IF('Tableau de bord'!$J$5="Toutes","*",'Tableau de bord'!$J$5),'Donnees'!$E$2:$E$2001,B36,'Donnees'!$G$2:$G$2001,"mail non validé",'Donnees'!$H$2:$H$2001,"Q1"))</x:f>
      </x:c>
      <x:c r="H36" s="2" t="str">
        <x:f>IF(B36="","",COUNTIFS('Donnees'!$A$2:$A$2001,"&lt;&gt;",'Donnees'!$C$2:$C$2001,"&gt;="&amp;'Tableau de bord'!$C$5,'Donnees'!$C$2:$C$2001,"&lt;="&amp;'Tableau de bord'!$F$5,'Donnees'!$F$2:$F$2001,IF('Tableau de bord'!$J$5="Toutes","*",'Tableau de bord'!$J$5),'Donnees'!$E$2:$E$2001,B36,'Donnees'!$G$2:$G$2001,"mail non validé",'Donnees'!$H$2:$H$2001,"Q2"))</x:f>
      </x:c>
      <x:c r="I36" s="2" t="str">
        <x:f>IF(B36="","",COUNTIFS('Donnees'!$A$2:$A$2001,"&lt;&gt;",'Donnees'!$C$2:$C$2001,"&gt;="&amp;'Tableau de bord'!$C$5,'Donnees'!$C$2:$C$2001,"&lt;="&amp;'Tableau de bord'!$F$5,'Donnees'!$F$2:$F$2001,IF('Tableau de bord'!$J$5="Toutes","*",'Tableau de bord'!$J$5),'Donnees'!$E$2:$E$2001,B36,'Donnees'!$G$2:$G$2001,"mail non validé",'Donnees'!$H$2:$H$2001,"Q3"))</x:f>
      </x:c>
      <x:c r="J36" s="2" t="str">
        <x:f>IF(B36="","",COUNTIFS('Donnees'!$A$2:$A$2001,"&lt;&gt;",'Donnees'!$C$2:$C$2001,"&gt;="&amp;'Tableau de bord'!$C$5,'Donnees'!$C$2:$C$2001,"&lt;="&amp;'Tableau de bord'!$F$5,'Donnees'!$F$2:$F$2001,IF('Tableau de bord'!$J$5="Toutes","*",'Tableau de bord'!$J$5),'Donnees'!$E$2:$E$2001,B36,'Donnees'!$G$2:$G$2001,"mail non validé",'Donnees'!$H$2:$H$2001,"Q4"))</x:f>
      </x:c>
      <x:c r="K36" s="16" t="str">
        <x:f>IF(B36="","",IF(C36=0,"n.a.",E36/C36))</x:f>
      </x:c>
    </x:row>
    <x:row r="37" ht="23" customHeight="1">
      <x:c r="B37" s="2" t="str">
        <x:f>IF(COUNTIFS('Donnees'!$L$2:$L$2001,30)=0,"",INDEX('Donnees'!$E$2:$E$2001,MATCH(30,'Donnees'!$L$2:$L$2001,0)))</x:f>
      </x:c>
      <x:c r="C37" s="2" t="str">
        <x:f>IF(B37="","",COUNTIFS('Donnees'!$A$2:$A$2001,"&lt;&gt;",'Donnees'!$C$2:$C$2001,"&gt;="&amp;'Tableau de bord'!$C$5,'Donnees'!$C$2:$C$2001,"&lt;="&amp;'Tableau de bord'!$F$5,'Donnees'!$F$2:$F$2001,IF('Tableau de bord'!$J$5="Toutes","*",'Tableau de bord'!$J$5),'Donnees'!$E$2:$E$2001,B37))</x:f>
      </x:c>
      <x:c r="D37" s="2" t="str">
        <x:f>IF(B37="","",COUNTIFS('Donnees'!$A$2:$A$2001,"&lt;&gt;",'Donnees'!$C$2:$C$2001,"&gt;="&amp;'Tableau de bord'!$C$5,'Donnees'!$C$2:$C$2001,"&lt;="&amp;'Tableau de bord'!$F$5,'Donnees'!$F$2:$F$2001,IF('Tableau de bord'!$J$5="Toutes","*",'Tableau de bord'!$J$5),'Donnees'!$E$2:$E$2001,B37,'Donnees'!$G$2:$G$2001,"mail validé"))</x:f>
      </x:c>
      <x:c r="E37" s="2" t="str">
        <x:f>IF(B37="","",COUNTIFS('Donnees'!$A$2:$A$2001,"&lt;&gt;",'Donnees'!$C$2:$C$2001,"&gt;="&amp;'Tableau de bord'!$C$5,'Donnees'!$C$2:$C$2001,"&lt;="&amp;'Tableau de bord'!$F$5,'Donnees'!$F$2:$F$2001,IF('Tableau de bord'!$J$5="Toutes","*",'Tableau de bord'!$J$5),'Donnees'!$E$2:$E$2001,B37,'Donnees'!$G$2:$G$2001,"mail non validé"))</x:f>
      </x:c>
      <x:c r="F37" s="2" t="str">
        <x:f>IF(B37="","",COUNTIFS('Donnees'!$A$2:$A$2001,"&lt;&gt;",'Donnees'!$C$2:$C$2001,"&gt;="&amp;'Tableau de bord'!$C$5,'Donnees'!$C$2:$C$2001,"&lt;="&amp;'Tableau de bord'!$F$5,'Donnees'!$F$2:$F$2001,IF('Tableau de bord'!$J$5="Toutes","*",'Tableau de bord'!$J$5),'Donnees'!$E$2:$E$2001,B37,'Donnees'!$G$2:$G$2001,"à vérifier"))</x:f>
      </x:c>
      <x:c r="G37" s="2" t="str">
        <x:f>IF(B37="","",COUNTIFS('Donnees'!$A$2:$A$2001,"&lt;&gt;",'Donnees'!$C$2:$C$2001,"&gt;="&amp;'Tableau de bord'!$C$5,'Donnees'!$C$2:$C$2001,"&lt;="&amp;'Tableau de bord'!$F$5,'Donnees'!$F$2:$F$2001,IF('Tableau de bord'!$J$5="Toutes","*",'Tableau de bord'!$J$5),'Donnees'!$E$2:$E$2001,B37,'Donnees'!$G$2:$G$2001,"mail non validé",'Donnees'!$H$2:$H$2001,"Q1"))</x:f>
      </x:c>
      <x:c r="H37" s="2" t="str">
        <x:f>IF(B37="","",COUNTIFS('Donnees'!$A$2:$A$2001,"&lt;&gt;",'Donnees'!$C$2:$C$2001,"&gt;="&amp;'Tableau de bord'!$C$5,'Donnees'!$C$2:$C$2001,"&lt;="&amp;'Tableau de bord'!$F$5,'Donnees'!$F$2:$F$2001,IF('Tableau de bord'!$J$5="Toutes","*",'Tableau de bord'!$J$5),'Donnees'!$E$2:$E$2001,B37,'Donnees'!$G$2:$G$2001,"mail non validé",'Donnees'!$H$2:$H$2001,"Q2"))</x:f>
      </x:c>
      <x:c r="I37" s="2" t="str">
        <x:f>IF(B37="","",COUNTIFS('Donnees'!$A$2:$A$2001,"&lt;&gt;",'Donnees'!$C$2:$C$2001,"&gt;="&amp;'Tableau de bord'!$C$5,'Donnees'!$C$2:$C$2001,"&lt;="&amp;'Tableau de bord'!$F$5,'Donnees'!$F$2:$F$2001,IF('Tableau de bord'!$J$5="Toutes","*",'Tableau de bord'!$J$5),'Donnees'!$E$2:$E$2001,B37,'Donnees'!$G$2:$G$2001,"mail non validé",'Donnees'!$H$2:$H$2001,"Q3"))</x:f>
      </x:c>
      <x:c r="J37" s="2" t="str">
        <x:f>IF(B37="","",COUNTIFS('Donnees'!$A$2:$A$2001,"&lt;&gt;",'Donnees'!$C$2:$C$2001,"&gt;="&amp;'Tableau de bord'!$C$5,'Donnees'!$C$2:$C$2001,"&lt;="&amp;'Tableau de bord'!$F$5,'Donnees'!$F$2:$F$2001,IF('Tableau de bord'!$J$5="Toutes","*",'Tableau de bord'!$J$5),'Donnees'!$E$2:$E$2001,B37,'Donnees'!$G$2:$G$2001,"mail non validé",'Donnees'!$H$2:$H$2001,"Q4"))</x:f>
      </x:c>
      <x:c r="K37" s="16" t="str">
        <x:f>IF(B37="","",IF(C37=0,"n.a.",E37/C37))</x:f>
      </x:c>
    </x:row>
    <x:row r="38" ht="23" customHeight="1">
      <x:c r="B38" s="2" t="str">
        <x:f>IF(COUNTIFS('Donnees'!$L$2:$L$2001,31)=0,"",INDEX('Donnees'!$E$2:$E$2001,MATCH(31,'Donnees'!$L$2:$L$2001,0)))</x:f>
      </x:c>
      <x:c r="C38" s="2" t="str">
        <x:f>IF(B38="","",COUNTIFS('Donnees'!$A$2:$A$2001,"&lt;&gt;",'Donnees'!$C$2:$C$2001,"&gt;="&amp;'Tableau de bord'!$C$5,'Donnees'!$C$2:$C$2001,"&lt;="&amp;'Tableau de bord'!$F$5,'Donnees'!$F$2:$F$2001,IF('Tableau de bord'!$J$5="Toutes","*",'Tableau de bord'!$J$5),'Donnees'!$E$2:$E$2001,B38))</x:f>
      </x:c>
      <x:c r="D38" s="2" t="str">
        <x:f>IF(B38="","",COUNTIFS('Donnees'!$A$2:$A$2001,"&lt;&gt;",'Donnees'!$C$2:$C$2001,"&gt;="&amp;'Tableau de bord'!$C$5,'Donnees'!$C$2:$C$2001,"&lt;="&amp;'Tableau de bord'!$F$5,'Donnees'!$F$2:$F$2001,IF('Tableau de bord'!$J$5="Toutes","*",'Tableau de bord'!$J$5),'Donnees'!$E$2:$E$2001,B38,'Donnees'!$G$2:$G$2001,"mail validé"))</x:f>
      </x:c>
      <x:c r="E38" s="2" t="str">
        <x:f>IF(B38="","",COUNTIFS('Donnees'!$A$2:$A$2001,"&lt;&gt;",'Donnees'!$C$2:$C$2001,"&gt;="&amp;'Tableau de bord'!$C$5,'Donnees'!$C$2:$C$2001,"&lt;="&amp;'Tableau de bord'!$F$5,'Donnees'!$F$2:$F$2001,IF('Tableau de bord'!$J$5="Toutes","*",'Tableau de bord'!$J$5),'Donnees'!$E$2:$E$2001,B38,'Donnees'!$G$2:$G$2001,"mail non validé"))</x:f>
      </x:c>
      <x:c r="F38" s="2" t="str">
        <x:f>IF(B38="","",COUNTIFS('Donnees'!$A$2:$A$2001,"&lt;&gt;",'Donnees'!$C$2:$C$2001,"&gt;="&amp;'Tableau de bord'!$C$5,'Donnees'!$C$2:$C$2001,"&lt;="&amp;'Tableau de bord'!$F$5,'Donnees'!$F$2:$F$2001,IF('Tableau de bord'!$J$5="Toutes","*",'Tableau de bord'!$J$5),'Donnees'!$E$2:$E$2001,B38,'Donnees'!$G$2:$G$2001,"à vérifier"))</x:f>
      </x:c>
      <x:c r="G38" s="2" t="str">
        <x:f>IF(B38="","",COUNTIFS('Donnees'!$A$2:$A$2001,"&lt;&gt;",'Donnees'!$C$2:$C$2001,"&gt;="&amp;'Tableau de bord'!$C$5,'Donnees'!$C$2:$C$2001,"&lt;="&amp;'Tableau de bord'!$F$5,'Donnees'!$F$2:$F$2001,IF('Tableau de bord'!$J$5="Toutes","*",'Tableau de bord'!$J$5),'Donnees'!$E$2:$E$2001,B38,'Donnees'!$G$2:$G$2001,"mail non validé",'Donnees'!$H$2:$H$2001,"Q1"))</x:f>
      </x:c>
      <x:c r="H38" s="2" t="str">
        <x:f>IF(B38="","",COUNTIFS('Donnees'!$A$2:$A$2001,"&lt;&gt;",'Donnees'!$C$2:$C$2001,"&gt;="&amp;'Tableau de bord'!$C$5,'Donnees'!$C$2:$C$2001,"&lt;="&amp;'Tableau de bord'!$F$5,'Donnees'!$F$2:$F$2001,IF('Tableau de bord'!$J$5="Toutes","*",'Tableau de bord'!$J$5),'Donnees'!$E$2:$E$2001,B38,'Donnees'!$G$2:$G$2001,"mail non validé",'Donnees'!$H$2:$H$2001,"Q2"))</x:f>
      </x:c>
      <x:c r="I38" s="2" t="str">
        <x:f>IF(B38="","",COUNTIFS('Donnees'!$A$2:$A$2001,"&lt;&gt;",'Donnees'!$C$2:$C$2001,"&gt;="&amp;'Tableau de bord'!$C$5,'Donnees'!$C$2:$C$2001,"&lt;="&amp;'Tableau de bord'!$F$5,'Donnees'!$F$2:$F$2001,IF('Tableau de bord'!$J$5="Toutes","*",'Tableau de bord'!$J$5),'Donnees'!$E$2:$E$2001,B38,'Donnees'!$G$2:$G$2001,"mail non validé",'Donnees'!$H$2:$H$2001,"Q3"))</x:f>
      </x:c>
      <x:c r="J38" s="2" t="str">
        <x:f>IF(B38="","",COUNTIFS('Donnees'!$A$2:$A$2001,"&lt;&gt;",'Donnees'!$C$2:$C$2001,"&gt;="&amp;'Tableau de bord'!$C$5,'Donnees'!$C$2:$C$2001,"&lt;="&amp;'Tableau de bord'!$F$5,'Donnees'!$F$2:$F$2001,IF('Tableau de bord'!$J$5="Toutes","*",'Tableau de bord'!$J$5),'Donnees'!$E$2:$E$2001,B38,'Donnees'!$G$2:$G$2001,"mail non validé",'Donnees'!$H$2:$H$2001,"Q4"))</x:f>
      </x:c>
      <x:c r="K38" s="16" t="str">
        <x:f>IF(B38="","",IF(C38=0,"n.a.",E38/C38))</x:f>
      </x:c>
    </x:row>
    <x:row r="39" ht="23" customHeight="1">
      <x:c r="B39" s="2" t="str">
        <x:f>IF(COUNTIFS('Donnees'!$L$2:$L$2001,32)=0,"",INDEX('Donnees'!$E$2:$E$2001,MATCH(32,'Donnees'!$L$2:$L$2001,0)))</x:f>
      </x:c>
      <x:c r="C39" s="2" t="str">
        <x:f>IF(B39="","",COUNTIFS('Donnees'!$A$2:$A$2001,"&lt;&gt;",'Donnees'!$C$2:$C$2001,"&gt;="&amp;'Tableau de bord'!$C$5,'Donnees'!$C$2:$C$2001,"&lt;="&amp;'Tableau de bord'!$F$5,'Donnees'!$F$2:$F$2001,IF('Tableau de bord'!$J$5="Toutes","*",'Tableau de bord'!$J$5),'Donnees'!$E$2:$E$2001,B39))</x:f>
      </x:c>
      <x:c r="D39" s="2" t="str">
        <x:f>IF(B39="","",COUNTIFS('Donnees'!$A$2:$A$2001,"&lt;&gt;",'Donnees'!$C$2:$C$2001,"&gt;="&amp;'Tableau de bord'!$C$5,'Donnees'!$C$2:$C$2001,"&lt;="&amp;'Tableau de bord'!$F$5,'Donnees'!$F$2:$F$2001,IF('Tableau de bord'!$J$5="Toutes","*",'Tableau de bord'!$J$5),'Donnees'!$E$2:$E$2001,B39,'Donnees'!$G$2:$G$2001,"mail validé"))</x:f>
      </x:c>
      <x:c r="E39" s="2" t="str">
        <x:f>IF(B39="","",COUNTIFS('Donnees'!$A$2:$A$2001,"&lt;&gt;",'Donnees'!$C$2:$C$2001,"&gt;="&amp;'Tableau de bord'!$C$5,'Donnees'!$C$2:$C$2001,"&lt;="&amp;'Tableau de bord'!$F$5,'Donnees'!$F$2:$F$2001,IF('Tableau de bord'!$J$5="Toutes","*",'Tableau de bord'!$J$5),'Donnees'!$E$2:$E$2001,B39,'Donnees'!$G$2:$G$2001,"mail non validé"))</x:f>
      </x:c>
      <x:c r="F39" s="2" t="str">
        <x:f>IF(B39="","",COUNTIFS('Donnees'!$A$2:$A$2001,"&lt;&gt;",'Donnees'!$C$2:$C$2001,"&gt;="&amp;'Tableau de bord'!$C$5,'Donnees'!$C$2:$C$2001,"&lt;="&amp;'Tableau de bord'!$F$5,'Donnees'!$F$2:$F$2001,IF('Tableau de bord'!$J$5="Toutes","*",'Tableau de bord'!$J$5),'Donnees'!$E$2:$E$2001,B39,'Donnees'!$G$2:$G$2001,"à vérifier"))</x:f>
      </x:c>
      <x:c r="G39" s="2" t="str">
        <x:f>IF(B39="","",COUNTIFS('Donnees'!$A$2:$A$2001,"&lt;&gt;",'Donnees'!$C$2:$C$2001,"&gt;="&amp;'Tableau de bord'!$C$5,'Donnees'!$C$2:$C$2001,"&lt;="&amp;'Tableau de bord'!$F$5,'Donnees'!$F$2:$F$2001,IF('Tableau de bord'!$J$5="Toutes","*",'Tableau de bord'!$J$5),'Donnees'!$E$2:$E$2001,B39,'Donnees'!$G$2:$G$2001,"mail non validé",'Donnees'!$H$2:$H$2001,"Q1"))</x:f>
      </x:c>
      <x:c r="H39" s="2" t="str">
        <x:f>IF(B39="","",COUNTIFS('Donnees'!$A$2:$A$2001,"&lt;&gt;",'Donnees'!$C$2:$C$2001,"&gt;="&amp;'Tableau de bord'!$C$5,'Donnees'!$C$2:$C$2001,"&lt;="&amp;'Tableau de bord'!$F$5,'Donnees'!$F$2:$F$2001,IF('Tableau de bord'!$J$5="Toutes","*",'Tableau de bord'!$J$5),'Donnees'!$E$2:$E$2001,B39,'Donnees'!$G$2:$G$2001,"mail non validé",'Donnees'!$H$2:$H$2001,"Q2"))</x:f>
      </x:c>
      <x:c r="I39" s="2" t="str">
        <x:f>IF(B39="","",COUNTIFS('Donnees'!$A$2:$A$2001,"&lt;&gt;",'Donnees'!$C$2:$C$2001,"&gt;="&amp;'Tableau de bord'!$C$5,'Donnees'!$C$2:$C$2001,"&lt;="&amp;'Tableau de bord'!$F$5,'Donnees'!$F$2:$F$2001,IF('Tableau de bord'!$J$5="Toutes","*",'Tableau de bord'!$J$5),'Donnees'!$E$2:$E$2001,B39,'Donnees'!$G$2:$G$2001,"mail non validé",'Donnees'!$H$2:$H$2001,"Q3"))</x:f>
      </x:c>
      <x:c r="J39" s="2" t="str">
        <x:f>IF(B39="","",COUNTIFS('Donnees'!$A$2:$A$2001,"&lt;&gt;",'Donnees'!$C$2:$C$2001,"&gt;="&amp;'Tableau de bord'!$C$5,'Donnees'!$C$2:$C$2001,"&lt;="&amp;'Tableau de bord'!$F$5,'Donnees'!$F$2:$F$2001,IF('Tableau de bord'!$J$5="Toutes","*",'Tableau de bord'!$J$5),'Donnees'!$E$2:$E$2001,B39,'Donnees'!$G$2:$G$2001,"mail non validé",'Donnees'!$H$2:$H$2001,"Q4"))</x:f>
      </x:c>
      <x:c r="K39" s="16" t="str">
        <x:f>IF(B39="","",IF(C39=0,"n.a.",E39/C39))</x:f>
      </x:c>
    </x:row>
    <x:row r="40" ht="23" customHeight="1">
      <x:c r="B40" s="2" t="str">
        <x:f>IF(COUNTIFS('Donnees'!$L$2:$L$2001,33)=0,"",INDEX('Donnees'!$E$2:$E$2001,MATCH(33,'Donnees'!$L$2:$L$2001,0)))</x:f>
      </x:c>
      <x:c r="C40" s="2" t="str">
        <x:f>IF(B40="","",COUNTIFS('Donnees'!$A$2:$A$2001,"&lt;&gt;",'Donnees'!$C$2:$C$2001,"&gt;="&amp;'Tableau de bord'!$C$5,'Donnees'!$C$2:$C$2001,"&lt;="&amp;'Tableau de bord'!$F$5,'Donnees'!$F$2:$F$2001,IF('Tableau de bord'!$J$5="Toutes","*",'Tableau de bord'!$J$5),'Donnees'!$E$2:$E$2001,B40))</x:f>
      </x:c>
      <x:c r="D40" s="2" t="str">
        <x:f>IF(B40="","",COUNTIFS('Donnees'!$A$2:$A$2001,"&lt;&gt;",'Donnees'!$C$2:$C$2001,"&gt;="&amp;'Tableau de bord'!$C$5,'Donnees'!$C$2:$C$2001,"&lt;="&amp;'Tableau de bord'!$F$5,'Donnees'!$F$2:$F$2001,IF('Tableau de bord'!$J$5="Toutes","*",'Tableau de bord'!$J$5),'Donnees'!$E$2:$E$2001,B40,'Donnees'!$G$2:$G$2001,"mail validé"))</x:f>
      </x:c>
      <x:c r="E40" s="2" t="str">
        <x:f>IF(B40="","",COUNTIFS('Donnees'!$A$2:$A$2001,"&lt;&gt;",'Donnees'!$C$2:$C$2001,"&gt;="&amp;'Tableau de bord'!$C$5,'Donnees'!$C$2:$C$2001,"&lt;="&amp;'Tableau de bord'!$F$5,'Donnees'!$F$2:$F$2001,IF('Tableau de bord'!$J$5="Toutes","*",'Tableau de bord'!$J$5),'Donnees'!$E$2:$E$2001,B40,'Donnees'!$G$2:$G$2001,"mail non validé"))</x:f>
      </x:c>
      <x:c r="F40" s="2" t="str">
        <x:f>IF(B40="","",COUNTIFS('Donnees'!$A$2:$A$2001,"&lt;&gt;",'Donnees'!$C$2:$C$2001,"&gt;="&amp;'Tableau de bord'!$C$5,'Donnees'!$C$2:$C$2001,"&lt;="&amp;'Tableau de bord'!$F$5,'Donnees'!$F$2:$F$2001,IF('Tableau de bord'!$J$5="Toutes","*",'Tableau de bord'!$J$5),'Donnees'!$E$2:$E$2001,B40,'Donnees'!$G$2:$G$2001,"à vérifier"))</x:f>
      </x:c>
      <x:c r="G40" s="2" t="str">
        <x:f>IF(B40="","",COUNTIFS('Donnees'!$A$2:$A$2001,"&lt;&gt;",'Donnees'!$C$2:$C$2001,"&gt;="&amp;'Tableau de bord'!$C$5,'Donnees'!$C$2:$C$2001,"&lt;="&amp;'Tableau de bord'!$F$5,'Donnees'!$F$2:$F$2001,IF('Tableau de bord'!$J$5="Toutes","*",'Tableau de bord'!$J$5),'Donnees'!$E$2:$E$2001,B40,'Donnees'!$G$2:$G$2001,"mail non validé",'Donnees'!$H$2:$H$2001,"Q1"))</x:f>
      </x:c>
      <x:c r="H40" s="2" t="str">
        <x:f>IF(B40="","",COUNTIFS('Donnees'!$A$2:$A$2001,"&lt;&gt;",'Donnees'!$C$2:$C$2001,"&gt;="&amp;'Tableau de bord'!$C$5,'Donnees'!$C$2:$C$2001,"&lt;="&amp;'Tableau de bord'!$F$5,'Donnees'!$F$2:$F$2001,IF('Tableau de bord'!$J$5="Toutes","*",'Tableau de bord'!$J$5),'Donnees'!$E$2:$E$2001,B40,'Donnees'!$G$2:$G$2001,"mail non validé",'Donnees'!$H$2:$H$2001,"Q2"))</x:f>
      </x:c>
      <x:c r="I40" s="2" t="str">
        <x:f>IF(B40="","",COUNTIFS('Donnees'!$A$2:$A$2001,"&lt;&gt;",'Donnees'!$C$2:$C$2001,"&gt;="&amp;'Tableau de bord'!$C$5,'Donnees'!$C$2:$C$2001,"&lt;="&amp;'Tableau de bord'!$F$5,'Donnees'!$F$2:$F$2001,IF('Tableau de bord'!$J$5="Toutes","*",'Tableau de bord'!$J$5),'Donnees'!$E$2:$E$2001,B40,'Donnees'!$G$2:$G$2001,"mail non validé",'Donnees'!$H$2:$H$2001,"Q3"))</x:f>
      </x:c>
      <x:c r="J40" s="2" t="str">
        <x:f>IF(B40="","",COUNTIFS('Donnees'!$A$2:$A$2001,"&lt;&gt;",'Donnees'!$C$2:$C$2001,"&gt;="&amp;'Tableau de bord'!$C$5,'Donnees'!$C$2:$C$2001,"&lt;="&amp;'Tableau de bord'!$F$5,'Donnees'!$F$2:$F$2001,IF('Tableau de bord'!$J$5="Toutes","*",'Tableau de bord'!$J$5),'Donnees'!$E$2:$E$2001,B40,'Donnees'!$G$2:$G$2001,"mail non validé",'Donnees'!$H$2:$H$2001,"Q4"))</x:f>
      </x:c>
      <x:c r="K40" s="16" t="str">
        <x:f>IF(B40="","",IF(C40=0,"n.a.",E40/C40))</x:f>
      </x:c>
    </x:row>
    <x:row r="41" ht="23" customHeight="1">
      <x:c r="B41" s="2" t="str">
        <x:f>IF(COUNTIFS('Donnees'!$L$2:$L$2001,34)=0,"",INDEX('Donnees'!$E$2:$E$2001,MATCH(34,'Donnees'!$L$2:$L$2001,0)))</x:f>
      </x:c>
      <x:c r="C41" s="2" t="str">
        <x:f>IF(B41="","",COUNTIFS('Donnees'!$A$2:$A$2001,"&lt;&gt;",'Donnees'!$C$2:$C$2001,"&gt;="&amp;'Tableau de bord'!$C$5,'Donnees'!$C$2:$C$2001,"&lt;="&amp;'Tableau de bord'!$F$5,'Donnees'!$F$2:$F$2001,IF('Tableau de bord'!$J$5="Toutes","*",'Tableau de bord'!$J$5),'Donnees'!$E$2:$E$2001,B41))</x:f>
      </x:c>
      <x:c r="D41" s="2" t="str">
        <x:f>IF(B41="","",COUNTIFS('Donnees'!$A$2:$A$2001,"&lt;&gt;",'Donnees'!$C$2:$C$2001,"&gt;="&amp;'Tableau de bord'!$C$5,'Donnees'!$C$2:$C$2001,"&lt;="&amp;'Tableau de bord'!$F$5,'Donnees'!$F$2:$F$2001,IF('Tableau de bord'!$J$5="Toutes","*",'Tableau de bord'!$J$5),'Donnees'!$E$2:$E$2001,B41,'Donnees'!$G$2:$G$2001,"mail validé"))</x:f>
      </x:c>
      <x:c r="E41" s="2" t="str">
        <x:f>IF(B41="","",COUNTIFS('Donnees'!$A$2:$A$2001,"&lt;&gt;",'Donnees'!$C$2:$C$2001,"&gt;="&amp;'Tableau de bord'!$C$5,'Donnees'!$C$2:$C$2001,"&lt;="&amp;'Tableau de bord'!$F$5,'Donnees'!$F$2:$F$2001,IF('Tableau de bord'!$J$5="Toutes","*",'Tableau de bord'!$J$5),'Donnees'!$E$2:$E$2001,B41,'Donnees'!$G$2:$G$2001,"mail non validé"))</x:f>
      </x:c>
      <x:c r="F41" s="2" t="str">
        <x:f>IF(B41="","",COUNTIFS('Donnees'!$A$2:$A$2001,"&lt;&gt;",'Donnees'!$C$2:$C$2001,"&gt;="&amp;'Tableau de bord'!$C$5,'Donnees'!$C$2:$C$2001,"&lt;="&amp;'Tableau de bord'!$F$5,'Donnees'!$F$2:$F$2001,IF('Tableau de bord'!$J$5="Toutes","*",'Tableau de bord'!$J$5),'Donnees'!$E$2:$E$2001,B41,'Donnees'!$G$2:$G$2001,"à vérifier"))</x:f>
      </x:c>
      <x:c r="G41" s="2" t="str">
        <x:f>IF(B41="","",COUNTIFS('Donnees'!$A$2:$A$2001,"&lt;&gt;",'Donnees'!$C$2:$C$2001,"&gt;="&amp;'Tableau de bord'!$C$5,'Donnees'!$C$2:$C$2001,"&lt;="&amp;'Tableau de bord'!$F$5,'Donnees'!$F$2:$F$2001,IF('Tableau de bord'!$J$5="Toutes","*",'Tableau de bord'!$J$5),'Donnees'!$E$2:$E$2001,B41,'Donnees'!$G$2:$G$2001,"mail non validé",'Donnees'!$H$2:$H$2001,"Q1"))</x:f>
      </x:c>
      <x:c r="H41" s="2" t="str">
        <x:f>IF(B41="","",COUNTIFS('Donnees'!$A$2:$A$2001,"&lt;&gt;",'Donnees'!$C$2:$C$2001,"&gt;="&amp;'Tableau de bord'!$C$5,'Donnees'!$C$2:$C$2001,"&lt;="&amp;'Tableau de bord'!$F$5,'Donnees'!$F$2:$F$2001,IF('Tableau de bord'!$J$5="Toutes","*",'Tableau de bord'!$J$5),'Donnees'!$E$2:$E$2001,B41,'Donnees'!$G$2:$G$2001,"mail non validé",'Donnees'!$H$2:$H$2001,"Q2"))</x:f>
      </x:c>
      <x:c r="I41" s="2" t="str">
        <x:f>IF(B41="","",COUNTIFS('Donnees'!$A$2:$A$2001,"&lt;&gt;",'Donnees'!$C$2:$C$2001,"&gt;="&amp;'Tableau de bord'!$C$5,'Donnees'!$C$2:$C$2001,"&lt;="&amp;'Tableau de bord'!$F$5,'Donnees'!$F$2:$F$2001,IF('Tableau de bord'!$J$5="Toutes","*",'Tableau de bord'!$J$5),'Donnees'!$E$2:$E$2001,B41,'Donnees'!$G$2:$G$2001,"mail non validé",'Donnees'!$H$2:$H$2001,"Q3"))</x:f>
      </x:c>
      <x:c r="J41" s="2" t="str">
        <x:f>IF(B41="","",COUNTIFS('Donnees'!$A$2:$A$2001,"&lt;&gt;",'Donnees'!$C$2:$C$2001,"&gt;="&amp;'Tableau de bord'!$C$5,'Donnees'!$C$2:$C$2001,"&lt;="&amp;'Tableau de bord'!$F$5,'Donnees'!$F$2:$F$2001,IF('Tableau de bord'!$J$5="Toutes","*",'Tableau de bord'!$J$5),'Donnees'!$E$2:$E$2001,B41,'Donnees'!$G$2:$G$2001,"mail non validé",'Donnees'!$H$2:$H$2001,"Q4"))</x:f>
      </x:c>
      <x:c r="K41" s="16" t="str">
        <x:f>IF(B41="","",IF(C41=0,"n.a.",E41/C41))</x:f>
      </x:c>
    </x:row>
    <x:row r="42" ht="23" customHeight="1">
      <x:c r="B42" s="2" t="str">
        <x:f>IF(COUNTIFS('Donnees'!$L$2:$L$2001,35)=0,"",INDEX('Donnees'!$E$2:$E$2001,MATCH(35,'Donnees'!$L$2:$L$2001,0)))</x:f>
      </x:c>
      <x:c r="C42" s="2" t="str">
        <x:f>IF(B42="","",COUNTIFS('Donnees'!$A$2:$A$2001,"&lt;&gt;",'Donnees'!$C$2:$C$2001,"&gt;="&amp;'Tableau de bord'!$C$5,'Donnees'!$C$2:$C$2001,"&lt;="&amp;'Tableau de bord'!$F$5,'Donnees'!$F$2:$F$2001,IF('Tableau de bord'!$J$5="Toutes","*",'Tableau de bord'!$J$5),'Donnees'!$E$2:$E$2001,B42))</x:f>
      </x:c>
      <x:c r="D42" s="2" t="str">
        <x:f>IF(B42="","",COUNTIFS('Donnees'!$A$2:$A$2001,"&lt;&gt;",'Donnees'!$C$2:$C$2001,"&gt;="&amp;'Tableau de bord'!$C$5,'Donnees'!$C$2:$C$2001,"&lt;="&amp;'Tableau de bord'!$F$5,'Donnees'!$F$2:$F$2001,IF('Tableau de bord'!$J$5="Toutes","*",'Tableau de bord'!$J$5),'Donnees'!$E$2:$E$2001,B42,'Donnees'!$G$2:$G$2001,"mail validé"))</x:f>
      </x:c>
      <x:c r="E42" s="2" t="str">
        <x:f>IF(B42="","",COUNTIFS('Donnees'!$A$2:$A$2001,"&lt;&gt;",'Donnees'!$C$2:$C$2001,"&gt;="&amp;'Tableau de bord'!$C$5,'Donnees'!$C$2:$C$2001,"&lt;="&amp;'Tableau de bord'!$F$5,'Donnees'!$F$2:$F$2001,IF('Tableau de bord'!$J$5="Toutes","*",'Tableau de bord'!$J$5),'Donnees'!$E$2:$E$2001,B42,'Donnees'!$G$2:$G$2001,"mail non validé"))</x:f>
      </x:c>
      <x:c r="F42" s="2" t="str">
        <x:f>IF(B42="","",COUNTIFS('Donnees'!$A$2:$A$2001,"&lt;&gt;",'Donnees'!$C$2:$C$2001,"&gt;="&amp;'Tableau de bord'!$C$5,'Donnees'!$C$2:$C$2001,"&lt;="&amp;'Tableau de bord'!$F$5,'Donnees'!$F$2:$F$2001,IF('Tableau de bord'!$J$5="Toutes","*",'Tableau de bord'!$J$5),'Donnees'!$E$2:$E$2001,B42,'Donnees'!$G$2:$G$2001,"à vérifier"))</x:f>
      </x:c>
      <x:c r="G42" s="2" t="str">
        <x:f>IF(B42="","",COUNTIFS('Donnees'!$A$2:$A$2001,"&lt;&gt;",'Donnees'!$C$2:$C$2001,"&gt;="&amp;'Tableau de bord'!$C$5,'Donnees'!$C$2:$C$2001,"&lt;="&amp;'Tableau de bord'!$F$5,'Donnees'!$F$2:$F$2001,IF('Tableau de bord'!$J$5="Toutes","*",'Tableau de bord'!$J$5),'Donnees'!$E$2:$E$2001,B42,'Donnees'!$G$2:$G$2001,"mail non validé",'Donnees'!$H$2:$H$2001,"Q1"))</x:f>
      </x:c>
      <x:c r="H42" s="2" t="str">
        <x:f>IF(B42="","",COUNTIFS('Donnees'!$A$2:$A$2001,"&lt;&gt;",'Donnees'!$C$2:$C$2001,"&gt;="&amp;'Tableau de bord'!$C$5,'Donnees'!$C$2:$C$2001,"&lt;="&amp;'Tableau de bord'!$F$5,'Donnees'!$F$2:$F$2001,IF('Tableau de bord'!$J$5="Toutes","*",'Tableau de bord'!$J$5),'Donnees'!$E$2:$E$2001,B42,'Donnees'!$G$2:$G$2001,"mail non validé",'Donnees'!$H$2:$H$2001,"Q2"))</x:f>
      </x:c>
      <x:c r="I42" s="2" t="str">
        <x:f>IF(B42="","",COUNTIFS('Donnees'!$A$2:$A$2001,"&lt;&gt;",'Donnees'!$C$2:$C$2001,"&gt;="&amp;'Tableau de bord'!$C$5,'Donnees'!$C$2:$C$2001,"&lt;="&amp;'Tableau de bord'!$F$5,'Donnees'!$F$2:$F$2001,IF('Tableau de bord'!$J$5="Toutes","*",'Tableau de bord'!$J$5),'Donnees'!$E$2:$E$2001,B42,'Donnees'!$G$2:$G$2001,"mail non validé",'Donnees'!$H$2:$H$2001,"Q3"))</x:f>
      </x:c>
      <x:c r="J42" s="2" t="str">
        <x:f>IF(B42="","",COUNTIFS('Donnees'!$A$2:$A$2001,"&lt;&gt;",'Donnees'!$C$2:$C$2001,"&gt;="&amp;'Tableau de bord'!$C$5,'Donnees'!$C$2:$C$2001,"&lt;="&amp;'Tableau de bord'!$F$5,'Donnees'!$F$2:$F$2001,IF('Tableau de bord'!$J$5="Toutes","*",'Tableau de bord'!$J$5),'Donnees'!$E$2:$E$2001,B42,'Donnees'!$G$2:$G$2001,"mail non validé",'Donnees'!$H$2:$H$2001,"Q4"))</x:f>
      </x:c>
      <x:c r="K42" s="16" t="str">
        <x:f>IF(B42="","",IF(C42=0,"n.a.",E42/C42))</x:f>
      </x:c>
    </x:row>
    <x:row r="43" ht="23" customHeight="1">
      <x:c r="B43" s="2" t="str">
        <x:f>IF(COUNTIFS('Donnees'!$L$2:$L$2001,36)=0,"",INDEX('Donnees'!$E$2:$E$2001,MATCH(36,'Donnees'!$L$2:$L$2001,0)))</x:f>
      </x:c>
      <x:c r="C43" s="2" t="str">
        <x:f>IF(B43="","",COUNTIFS('Donnees'!$A$2:$A$2001,"&lt;&gt;",'Donnees'!$C$2:$C$2001,"&gt;="&amp;'Tableau de bord'!$C$5,'Donnees'!$C$2:$C$2001,"&lt;="&amp;'Tableau de bord'!$F$5,'Donnees'!$F$2:$F$2001,IF('Tableau de bord'!$J$5="Toutes","*",'Tableau de bord'!$J$5),'Donnees'!$E$2:$E$2001,B43))</x:f>
      </x:c>
      <x:c r="D43" s="2" t="str">
        <x:f>IF(B43="","",COUNTIFS('Donnees'!$A$2:$A$2001,"&lt;&gt;",'Donnees'!$C$2:$C$2001,"&gt;="&amp;'Tableau de bord'!$C$5,'Donnees'!$C$2:$C$2001,"&lt;="&amp;'Tableau de bord'!$F$5,'Donnees'!$F$2:$F$2001,IF('Tableau de bord'!$J$5="Toutes","*",'Tableau de bord'!$J$5),'Donnees'!$E$2:$E$2001,B43,'Donnees'!$G$2:$G$2001,"mail validé"))</x:f>
      </x:c>
      <x:c r="E43" s="2" t="str">
        <x:f>IF(B43="","",COUNTIFS('Donnees'!$A$2:$A$2001,"&lt;&gt;",'Donnees'!$C$2:$C$2001,"&gt;="&amp;'Tableau de bord'!$C$5,'Donnees'!$C$2:$C$2001,"&lt;="&amp;'Tableau de bord'!$F$5,'Donnees'!$F$2:$F$2001,IF('Tableau de bord'!$J$5="Toutes","*",'Tableau de bord'!$J$5),'Donnees'!$E$2:$E$2001,B43,'Donnees'!$G$2:$G$2001,"mail non validé"))</x:f>
      </x:c>
      <x:c r="F43" s="2" t="str">
        <x:f>IF(B43="","",COUNTIFS('Donnees'!$A$2:$A$2001,"&lt;&gt;",'Donnees'!$C$2:$C$2001,"&gt;="&amp;'Tableau de bord'!$C$5,'Donnees'!$C$2:$C$2001,"&lt;="&amp;'Tableau de bord'!$F$5,'Donnees'!$F$2:$F$2001,IF('Tableau de bord'!$J$5="Toutes","*",'Tableau de bord'!$J$5),'Donnees'!$E$2:$E$2001,B43,'Donnees'!$G$2:$G$2001,"à vérifier"))</x:f>
      </x:c>
      <x:c r="G43" s="2" t="str">
        <x:f>IF(B43="","",COUNTIFS('Donnees'!$A$2:$A$2001,"&lt;&gt;",'Donnees'!$C$2:$C$2001,"&gt;="&amp;'Tableau de bord'!$C$5,'Donnees'!$C$2:$C$2001,"&lt;="&amp;'Tableau de bord'!$F$5,'Donnees'!$F$2:$F$2001,IF('Tableau de bord'!$J$5="Toutes","*",'Tableau de bord'!$J$5),'Donnees'!$E$2:$E$2001,B43,'Donnees'!$G$2:$G$2001,"mail non validé",'Donnees'!$H$2:$H$2001,"Q1"))</x:f>
      </x:c>
      <x:c r="H43" s="2" t="str">
        <x:f>IF(B43="","",COUNTIFS('Donnees'!$A$2:$A$2001,"&lt;&gt;",'Donnees'!$C$2:$C$2001,"&gt;="&amp;'Tableau de bord'!$C$5,'Donnees'!$C$2:$C$2001,"&lt;="&amp;'Tableau de bord'!$F$5,'Donnees'!$F$2:$F$2001,IF('Tableau de bord'!$J$5="Toutes","*",'Tableau de bord'!$J$5),'Donnees'!$E$2:$E$2001,B43,'Donnees'!$G$2:$G$2001,"mail non validé",'Donnees'!$H$2:$H$2001,"Q2"))</x:f>
      </x:c>
      <x:c r="I43" s="2" t="str">
        <x:f>IF(B43="","",COUNTIFS('Donnees'!$A$2:$A$2001,"&lt;&gt;",'Donnees'!$C$2:$C$2001,"&gt;="&amp;'Tableau de bord'!$C$5,'Donnees'!$C$2:$C$2001,"&lt;="&amp;'Tableau de bord'!$F$5,'Donnees'!$F$2:$F$2001,IF('Tableau de bord'!$J$5="Toutes","*",'Tableau de bord'!$J$5),'Donnees'!$E$2:$E$2001,B43,'Donnees'!$G$2:$G$2001,"mail non validé",'Donnees'!$H$2:$H$2001,"Q3"))</x:f>
      </x:c>
      <x:c r="J43" s="2" t="str">
        <x:f>IF(B43="","",COUNTIFS('Donnees'!$A$2:$A$2001,"&lt;&gt;",'Donnees'!$C$2:$C$2001,"&gt;="&amp;'Tableau de bord'!$C$5,'Donnees'!$C$2:$C$2001,"&lt;="&amp;'Tableau de bord'!$F$5,'Donnees'!$F$2:$F$2001,IF('Tableau de bord'!$J$5="Toutes","*",'Tableau de bord'!$J$5),'Donnees'!$E$2:$E$2001,B43,'Donnees'!$G$2:$G$2001,"mail non validé",'Donnees'!$H$2:$H$2001,"Q4"))</x:f>
      </x:c>
      <x:c r="K43" s="16" t="str">
        <x:f>IF(B43="","",IF(C43=0,"n.a.",E43/C43))</x:f>
      </x:c>
    </x:row>
    <x:row r="44" ht="23" customHeight="1">
      <x:c r="B44" s="2" t="str">
        <x:f>IF(COUNTIFS('Donnees'!$L$2:$L$2001,37)=0,"",INDEX('Donnees'!$E$2:$E$2001,MATCH(37,'Donnees'!$L$2:$L$2001,0)))</x:f>
      </x:c>
      <x:c r="C44" s="2" t="str">
        <x:f>IF(B44="","",COUNTIFS('Donnees'!$A$2:$A$2001,"&lt;&gt;",'Donnees'!$C$2:$C$2001,"&gt;="&amp;'Tableau de bord'!$C$5,'Donnees'!$C$2:$C$2001,"&lt;="&amp;'Tableau de bord'!$F$5,'Donnees'!$F$2:$F$2001,IF('Tableau de bord'!$J$5="Toutes","*",'Tableau de bord'!$J$5),'Donnees'!$E$2:$E$2001,B44))</x:f>
      </x:c>
      <x:c r="D44" s="2" t="str">
        <x:f>IF(B44="","",COUNTIFS('Donnees'!$A$2:$A$2001,"&lt;&gt;",'Donnees'!$C$2:$C$2001,"&gt;="&amp;'Tableau de bord'!$C$5,'Donnees'!$C$2:$C$2001,"&lt;="&amp;'Tableau de bord'!$F$5,'Donnees'!$F$2:$F$2001,IF('Tableau de bord'!$J$5="Toutes","*",'Tableau de bord'!$J$5),'Donnees'!$E$2:$E$2001,B44,'Donnees'!$G$2:$G$2001,"mail validé"))</x:f>
      </x:c>
      <x:c r="E44" s="2" t="str">
        <x:f>IF(B44="","",COUNTIFS('Donnees'!$A$2:$A$2001,"&lt;&gt;",'Donnees'!$C$2:$C$2001,"&gt;="&amp;'Tableau de bord'!$C$5,'Donnees'!$C$2:$C$2001,"&lt;="&amp;'Tableau de bord'!$F$5,'Donnees'!$F$2:$F$2001,IF('Tableau de bord'!$J$5="Toutes","*",'Tableau de bord'!$J$5),'Donnees'!$E$2:$E$2001,B44,'Donnees'!$G$2:$G$2001,"mail non validé"))</x:f>
      </x:c>
      <x:c r="F44" s="2" t="str">
        <x:f>IF(B44="","",COUNTIFS('Donnees'!$A$2:$A$2001,"&lt;&gt;",'Donnees'!$C$2:$C$2001,"&gt;="&amp;'Tableau de bord'!$C$5,'Donnees'!$C$2:$C$2001,"&lt;="&amp;'Tableau de bord'!$F$5,'Donnees'!$F$2:$F$2001,IF('Tableau de bord'!$J$5="Toutes","*",'Tableau de bord'!$J$5),'Donnees'!$E$2:$E$2001,B44,'Donnees'!$G$2:$G$2001,"à vérifier"))</x:f>
      </x:c>
      <x:c r="G44" s="2" t="str">
        <x:f>IF(B44="","",COUNTIFS('Donnees'!$A$2:$A$2001,"&lt;&gt;",'Donnees'!$C$2:$C$2001,"&gt;="&amp;'Tableau de bord'!$C$5,'Donnees'!$C$2:$C$2001,"&lt;="&amp;'Tableau de bord'!$F$5,'Donnees'!$F$2:$F$2001,IF('Tableau de bord'!$J$5="Toutes","*",'Tableau de bord'!$J$5),'Donnees'!$E$2:$E$2001,B44,'Donnees'!$G$2:$G$2001,"mail non validé",'Donnees'!$H$2:$H$2001,"Q1"))</x:f>
      </x:c>
      <x:c r="H44" s="2" t="str">
        <x:f>IF(B44="","",COUNTIFS('Donnees'!$A$2:$A$2001,"&lt;&gt;",'Donnees'!$C$2:$C$2001,"&gt;="&amp;'Tableau de bord'!$C$5,'Donnees'!$C$2:$C$2001,"&lt;="&amp;'Tableau de bord'!$F$5,'Donnees'!$F$2:$F$2001,IF('Tableau de bord'!$J$5="Toutes","*",'Tableau de bord'!$J$5),'Donnees'!$E$2:$E$2001,B44,'Donnees'!$G$2:$G$2001,"mail non validé",'Donnees'!$H$2:$H$2001,"Q2"))</x:f>
      </x:c>
      <x:c r="I44" s="2" t="str">
        <x:f>IF(B44="","",COUNTIFS('Donnees'!$A$2:$A$2001,"&lt;&gt;",'Donnees'!$C$2:$C$2001,"&gt;="&amp;'Tableau de bord'!$C$5,'Donnees'!$C$2:$C$2001,"&lt;="&amp;'Tableau de bord'!$F$5,'Donnees'!$F$2:$F$2001,IF('Tableau de bord'!$J$5="Toutes","*",'Tableau de bord'!$J$5),'Donnees'!$E$2:$E$2001,B44,'Donnees'!$G$2:$G$2001,"mail non validé",'Donnees'!$H$2:$H$2001,"Q3"))</x:f>
      </x:c>
      <x:c r="J44" s="2" t="str">
        <x:f>IF(B44="","",COUNTIFS('Donnees'!$A$2:$A$2001,"&lt;&gt;",'Donnees'!$C$2:$C$2001,"&gt;="&amp;'Tableau de bord'!$C$5,'Donnees'!$C$2:$C$2001,"&lt;="&amp;'Tableau de bord'!$F$5,'Donnees'!$F$2:$F$2001,IF('Tableau de bord'!$J$5="Toutes","*",'Tableau de bord'!$J$5),'Donnees'!$E$2:$E$2001,B44,'Donnees'!$G$2:$G$2001,"mail non validé",'Donnees'!$H$2:$H$2001,"Q4"))</x:f>
      </x:c>
      <x:c r="K44" s="16" t="str">
        <x:f>IF(B44="","",IF(C44=0,"n.a.",E44/C44))</x:f>
      </x:c>
    </x:row>
    <x:row r="45" ht="23" customHeight="1">
      <x:c r="B45" s="2" t="str">
        <x:f>IF(COUNTIFS('Donnees'!$L$2:$L$2001,38)=0,"",INDEX('Donnees'!$E$2:$E$2001,MATCH(38,'Donnees'!$L$2:$L$2001,0)))</x:f>
      </x:c>
      <x:c r="C45" s="2" t="str">
        <x:f>IF(B45="","",COUNTIFS('Donnees'!$A$2:$A$2001,"&lt;&gt;",'Donnees'!$C$2:$C$2001,"&gt;="&amp;'Tableau de bord'!$C$5,'Donnees'!$C$2:$C$2001,"&lt;="&amp;'Tableau de bord'!$F$5,'Donnees'!$F$2:$F$2001,IF('Tableau de bord'!$J$5="Toutes","*",'Tableau de bord'!$J$5),'Donnees'!$E$2:$E$2001,B45))</x:f>
      </x:c>
      <x:c r="D45" s="2" t="str">
        <x:f>IF(B45="","",COUNTIFS('Donnees'!$A$2:$A$2001,"&lt;&gt;",'Donnees'!$C$2:$C$2001,"&gt;="&amp;'Tableau de bord'!$C$5,'Donnees'!$C$2:$C$2001,"&lt;="&amp;'Tableau de bord'!$F$5,'Donnees'!$F$2:$F$2001,IF('Tableau de bord'!$J$5="Toutes","*",'Tableau de bord'!$J$5),'Donnees'!$E$2:$E$2001,B45,'Donnees'!$G$2:$G$2001,"mail validé"))</x:f>
      </x:c>
      <x:c r="E45" s="2" t="str">
        <x:f>IF(B45="","",COUNTIFS('Donnees'!$A$2:$A$2001,"&lt;&gt;",'Donnees'!$C$2:$C$2001,"&gt;="&amp;'Tableau de bord'!$C$5,'Donnees'!$C$2:$C$2001,"&lt;="&amp;'Tableau de bord'!$F$5,'Donnees'!$F$2:$F$2001,IF('Tableau de bord'!$J$5="Toutes","*",'Tableau de bord'!$J$5),'Donnees'!$E$2:$E$2001,B45,'Donnees'!$G$2:$G$2001,"mail non validé"))</x:f>
      </x:c>
      <x:c r="F45" s="2" t="str">
        <x:f>IF(B45="","",COUNTIFS('Donnees'!$A$2:$A$2001,"&lt;&gt;",'Donnees'!$C$2:$C$2001,"&gt;="&amp;'Tableau de bord'!$C$5,'Donnees'!$C$2:$C$2001,"&lt;="&amp;'Tableau de bord'!$F$5,'Donnees'!$F$2:$F$2001,IF('Tableau de bord'!$J$5="Toutes","*",'Tableau de bord'!$J$5),'Donnees'!$E$2:$E$2001,B45,'Donnees'!$G$2:$G$2001,"à vérifier"))</x:f>
      </x:c>
      <x:c r="G45" s="2" t="str">
        <x:f>IF(B45="","",COUNTIFS('Donnees'!$A$2:$A$2001,"&lt;&gt;",'Donnees'!$C$2:$C$2001,"&gt;="&amp;'Tableau de bord'!$C$5,'Donnees'!$C$2:$C$2001,"&lt;="&amp;'Tableau de bord'!$F$5,'Donnees'!$F$2:$F$2001,IF('Tableau de bord'!$J$5="Toutes","*",'Tableau de bord'!$J$5),'Donnees'!$E$2:$E$2001,B45,'Donnees'!$G$2:$G$2001,"mail non validé",'Donnees'!$H$2:$H$2001,"Q1"))</x:f>
      </x:c>
      <x:c r="H45" s="2" t="str">
        <x:f>IF(B45="","",COUNTIFS('Donnees'!$A$2:$A$2001,"&lt;&gt;",'Donnees'!$C$2:$C$2001,"&gt;="&amp;'Tableau de bord'!$C$5,'Donnees'!$C$2:$C$2001,"&lt;="&amp;'Tableau de bord'!$F$5,'Donnees'!$F$2:$F$2001,IF('Tableau de bord'!$J$5="Toutes","*",'Tableau de bord'!$J$5),'Donnees'!$E$2:$E$2001,B45,'Donnees'!$G$2:$G$2001,"mail non validé",'Donnees'!$H$2:$H$2001,"Q2"))</x:f>
      </x:c>
      <x:c r="I45" s="2" t="str">
        <x:f>IF(B45="","",COUNTIFS('Donnees'!$A$2:$A$2001,"&lt;&gt;",'Donnees'!$C$2:$C$2001,"&gt;="&amp;'Tableau de bord'!$C$5,'Donnees'!$C$2:$C$2001,"&lt;="&amp;'Tableau de bord'!$F$5,'Donnees'!$F$2:$F$2001,IF('Tableau de bord'!$J$5="Toutes","*",'Tableau de bord'!$J$5),'Donnees'!$E$2:$E$2001,B45,'Donnees'!$G$2:$G$2001,"mail non validé",'Donnees'!$H$2:$H$2001,"Q3"))</x:f>
      </x:c>
      <x:c r="J45" s="2" t="str">
        <x:f>IF(B45="","",COUNTIFS('Donnees'!$A$2:$A$2001,"&lt;&gt;",'Donnees'!$C$2:$C$2001,"&gt;="&amp;'Tableau de bord'!$C$5,'Donnees'!$C$2:$C$2001,"&lt;="&amp;'Tableau de bord'!$F$5,'Donnees'!$F$2:$F$2001,IF('Tableau de bord'!$J$5="Toutes","*",'Tableau de bord'!$J$5),'Donnees'!$E$2:$E$2001,B45,'Donnees'!$G$2:$G$2001,"mail non validé",'Donnees'!$H$2:$H$2001,"Q4"))</x:f>
      </x:c>
      <x:c r="K45" s="16" t="str">
        <x:f>IF(B45="","",IF(C45=0,"n.a.",E45/C45))</x:f>
      </x:c>
    </x:row>
    <x:row r="46" ht="23" customHeight="1">
      <x:c r="B46" s="2" t="str">
        <x:f>IF(COUNTIFS('Donnees'!$L$2:$L$2001,39)=0,"",INDEX('Donnees'!$E$2:$E$2001,MATCH(39,'Donnees'!$L$2:$L$2001,0)))</x:f>
      </x:c>
      <x:c r="C46" s="2" t="str">
        <x:f>IF(B46="","",COUNTIFS('Donnees'!$A$2:$A$2001,"&lt;&gt;",'Donnees'!$C$2:$C$2001,"&gt;="&amp;'Tableau de bord'!$C$5,'Donnees'!$C$2:$C$2001,"&lt;="&amp;'Tableau de bord'!$F$5,'Donnees'!$F$2:$F$2001,IF('Tableau de bord'!$J$5="Toutes","*",'Tableau de bord'!$J$5),'Donnees'!$E$2:$E$2001,B46))</x:f>
      </x:c>
      <x:c r="D46" s="2" t="str">
        <x:f>IF(B46="","",COUNTIFS('Donnees'!$A$2:$A$2001,"&lt;&gt;",'Donnees'!$C$2:$C$2001,"&gt;="&amp;'Tableau de bord'!$C$5,'Donnees'!$C$2:$C$2001,"&lt;="&amp;'Tableau de bord'!$F$5,'Donnees'!$F$2:$F$2001,IF('Tableau de bord'!$J$5="Toutes","*",'Tableau de bord'!$J$5),'Donnees'!$E$2:$E$2001,B46,'Donnees'!$G$2:$G$2001,"mail validé"))</x:f>
      </x:c>
      <x:c r="E46" s="2" t="str">
        <x:f>IF(B46="","",COUNTIFS('Donnees'!$A$2:$A$2001,"&lt;&gt;",'Donnees'!$C$2:$C$2001,"&gt;="&amp;'Tableau de bord'!$C$5,'Donnees'!$C$2:$C$2001,"&lt;="&amp;'Tableau de bord'!$F$5,'Donnees'!$F$2:$F$2001,IF('Tableau de bord'!$J$5="Toutes","*",'Tableau de bord'!$J$5),'Donnees'!$E$2:$E$2001,B46,'Donnees'!$G$2:$G$2001,"mail non validé"))</x:f>
      </x:c>
      <x:c r="F46" s="2" t="str">
        <x:f>IF(B46="","",COUNTIFS('Donnees'!$A$2:$A$2001,"&lt;&gt;",'Donnees'!$C$2:$C$2001,"&gt;="&amp;'Tableau de bord'!$C$5,'Donnees'!$C$2:$C$2001,"&lt;="&amp;'Tableau de bord'!$F$5,'Donnees'!$F$2:$F$2001,IF('Tableau de bord'!$J$5="Toutes","*",'Tableau de bord'!$J$5),'Donnees'!$E$2:$E$2001,B46,'Donnees'!$G$2:$G$2001,"à vérifier"))</x:f>
      </x:c>
      <x:c r="G46" s="2" t="str">
        <x:f>IF(B46="","",COUNTIFS('Donnees'!$A$2:$A$2001,"&lt;&gt;",'Donnees'!$C$2:$C$2001,"&gt;="&amp;'Tableau de bord'!$C$5,'Donnees'!$C$2:$C$2001,"&lt;="&amp;'Tableau de bord'!$F$5,'Donnees'!$F$2:$F$2001,IF('Tableau de bord'!$J$5="Toutes","*",'Tableau de bord'!$J$5),'Donnees'!$E$2:$E$2001,B46,'Donnees'!$G$2:$G$2001,"mail non validé",'Donnees'!$H$2:$H$2001,"Q1"))</x:f>
      </x:c>
      <x:c r="H46" s="2" t="str">
        <x:f>IF(B46="","",COUNTIFS('Donnees'!$A$2:$A$2001,"&lt;&gt;",'Donnees'!$C$2:$C$2001,"&gt;="&amp;'Tableau de bord'!$C$5,'Donnees'!$C$2:$C$2001,"&lt;="&amp;'Tableau de bord'!$F$5,'Donnees'!$F$2:$F$2001,IF('Tableau de bord'!$J$5="Toutes","*",'Tableau de bord'!$J$5),'Donnees'!$E$2:$E$2001,B46,'Donnees'!$G$2:$G$2001,"mail non validé",'Donnees'!$H$2:$H$2001,"Q2"))</x:f>
      </x:c>
      <x:c r="I46" s="2" t="str">
        <x:f>IF(B46="","",COUNTIFS('Donnees'!$A$2:$A$2001,"&lt;&gt;",'Donnees'!$C$2:$C$2001,"&gt;="&amp;'Tableau de bord'!$C$5,'Donnees'!$C$2:$C$2001,"&lt;="&amp;'Tableau de bord'!$F$5,'Donnees'!$F$2:$F$2001,IF('Tableau de bord'!$J$5="Toutes","*",'Tableau de bord'!$J$5),'Donnees'!$E$2:$E$2001,B46,'Donnees'!$G$2:$G$2001,"mail non validé",'Donnees'!$H$2:$H$2001,"Q3"))</x:f>
      </x:c>
      <x:c r="J46" s="2" t="str">
        <x:f>IF(B46="","",COUNTIFS('Donnees'!$A$2:$A$2001,"&lt;&gt;",'Donnees'!$C$2:$C$2001,"&gt;="&amp;'Tableau de bord'!$C$5,'Donnees'!$C$2:$C$2001,"&lt;="&amp;'Tableau de bord'!$F$5,'Donnees'!$F$2:$F$2001,IF('Tableau de bord'!$J$5="Toutes","*",'Tableau de bord'!$J$5),'Donnees'!$E$2:$E$2001,B46,'Donnees'!$G$2:$G$2001,"mail non validé",'Donnees'!$H$2:$H$2001,"Q4"))</x:f>
      </x:c>
      <x:c r="K46" s="16" t="str">
        <x:f>IF(B46="","",IF(C46=0,"n.a.",E46/C46))</x:f>
      </x:c>
    </x:row>
    <x:row r="47" ht="23" customHeight="1">
      <x:c r="B47" s="2" t="str">
        <x:f>IF(COUNTIFS('Donnees'!$L$2:$L$2001,40)=0,"",INDEX('Donnees'!$E$2:$E$2001,MATCH(40,'Donnees'!$L$2:$L$2001,0)))</x:f>
      </x:c>
      <x:c r="C47" s="2" t="str">
        <x:f>IF(B47="","",COUNTIFS('Donnees'!$A$2:$A$2001,"&lt;&gt;",'Donnees'!$C$2:$C$2001,"&gt;="&amp;'Tableau de bord'!$C$5,'Donnees'!$C$2:$C$2001,"&lt;="&amp;'Tableau de bord'!$F$5,'Donnees'!$F$2:$F$2001,IF('Tableau de bord'!$J$5="Toutes","*",'Tableau de bord'!$J$5),'Donnees'!$E$2:$E$2001,B47))</x:f>
      </x:c>
      <x:c r="D47" s="2" t="str">
        <x:f>IF(B47="","",COUNTIFS('Donnees'!$A$2:$A$2001,"&lt;&gt;",'Donnees'!$C$2:$C$2001,"&gt;="&amp;'Tableau de bord'!$C$5,'Donnees'!$C$2:$C$2001,"&lt;="&amp;'Tableau de bord'!$F$5,'Donnees'!$F$2:$F$2001,IF('Tableau de bord'!$J$5="Toutes","*",'Tableau de bord'!$J$5),'Donnees'!$E$2:$E$2001,B47,'Donnees'!$G$2:$G$2001,"mail validé"))</x:f>
      </x:c>
      <x:c r="E47" s="2" t="str">
        <x:f>IF(B47="","",COUNTIFS('Donnees'!$A$2:$A$2001,"&lt;&gt;",'Donnees'!$C$2:$C$2001,"&gt;="&amp;'Tableau de bord'!$C$5,'Donnees'!$C$2:$C$2001,"&lt;="&amp;'Tableau de bord'!$F$5,'Donnees'!$F$2:$F$2001,IF('Tableau de bord'!$J$5="Toutes","*",'Tableau de bord'!$J$5),'Donnees'!$E$2:$E$2001,B47,'Donnees'!$G$2:$G$2001,"mail non validé"))</x:f>
      </x:c>
      <x:c r="F47" s="2" t="str">
        <x:f>IF(B47="","",COUNTIFS('Donnees'!$A$2:$A$2001,"&lt;&gt;",'Donnees'!$C$2:$C$2001,"&gt;="&amp;'Tableau de bord'!$C$5,'Donnees'!$C$2:$C$2001,"&lt;="&amp;'Tableau de bord'!$F$5,'Donnees'!$F$2:$F$2001,IF('Tableau de bord'!$J$5="Toutes","*",'Tableau de bord'!$J$5),'Donnees'!$E$2:$E$2001,B47,'Donnees'!$G$2:$G$2001,"à vérifier"))</x:f>
      </x:c>
      <x:c r="G47" s="2" t="str">
        <x:f>IF(B47="","",COUNTIFS('Donnees'!$A$2:$A$2001,"&lt;&gt;",'Donnees'!$C$2:$C$2001,"&gt;="&amp;'Tableau de bord'!$C$5,'Donnees'!$C$2:$C$2001,"&lt;="&amp;'Tableau de bord'!$F$5,'Donnees'!$F$2:$F$2001,IF('Tableau de bord'!$J$5="Toutes","*",'Tableau de bord'!$J$5),'Donnees'!$E$2:$E$2001,B47,'Donnees'!$G$2:$G$2001,"mail non validé",'Donnees'!$H$2:$H$2001,"Q1"))</x:f>
      </x:c>
      <x:c r="H47" s="2" t="str">
        <x:f>IF(B47="","",COUNTIFS('Donnees'!$A$2:$A$2001,"&lt;&gt;",'Donnees'!$C$2:$C$2001,"&gt;="&amp;'Tableau de bord'!$C$5,'Donnees'!$C$2:$C$2001,"&lt;="&amp;'Tableau de bord'!$F$5,'Donnees'!$F$2:$F$2001,IF('Tableau de bord'!$J$5="Toutes","*",'Tableau de bord'!$J$5),'Donnees'!$E$2:$E$2001,B47,'Donnees'!$G$2:$G$2001,"mail non validé",'Donnees'!$H$2:$H$2001,"Q2"))</x:f>
      </x:c>
      <x:c r="I47" s="2" t="str">
        <x:f>IF(B47="","",COUNTIFS('Donnees'!$A$2:$A$2001,"&lt;&gt;",'Donnees'!$C$2:$C$2001,"&gt;="&amp;'Tableau de bord'!$C$5,'Donnees'!$C$2:$C$2001,"&lt;="&amp;'Tableau de bord'!$F$5,'Donnees'!$F$2:$F$2001,IF('Tableau de bord'!$J$5="Toutes","*",'Tableau de bord'!$J$5),'Donnees'!$E$2:$E$2001,B47,'Donnees'!$G$2:$G$2001,"mail non validé",'Donnees'!$H$2:$H$2001,"Q3"))</x:f>
      </x:c>
      <x:c r="J47" s="2" t="str">
        <x:f>IF(B47="","",COUNTIFS('Donnees'!$A$2:$A$2001,"&lt;&gt;",'Donnees'!$C$2:$C$2001,"&gt;="&amp;'Tableau de bord'!$C$5,'Donnees'!$C$2:$C$2001,"&lt;="&amp;'Tableau de bord'!$F$5,'Donnees'!$F$2:$F$2001,IF('Tableau de bord'!$J$5="Toutes","*",'Tableau de bord'!$J$5),'Donnees'!$E$2:$E$2001,B47,'Donnees'!$G$2:$G$2001,"mail non validé",'Donnees'!$H$2:$H$2001,"Q4"))</x:f>
      </x:c>
      <x:c r="K47" s="16" t="str">
        <x:f>IF(B47="","",IF(C47=0,"n.a.",E47/C47))</x:f>
      </x:c>
    </x:row>
    <x:row r="48" ht="23" customHeight="1">
      <x:c r="B48" s="2" t="str">
        <x:f>IF(COUNTIFS('Donnees'!$L$2:$L$2001,41)=0,"",INDEX('Donnees'!$E$2:$E$2001,MATCH(41,'Donnees'!$L$2:$L$2001,0)))</x:f>
      </x:c>
      <x:c r="C48" s="2" t="str">
        <x:f>IF(B48="","",COUNTIFS('Donnees'!$A$2:$A$2001,"&lt;&gt;",'Donnees'!$C$2:$C$2001,"&gt;="&amp;'Tableau de bord'!$C$5,'Donnees'!$C$2:$C$2001,"&lt;="&amp;'Tableau de bord'!$F$5,'Donnees'!$F$2:$F$2001,IF('Tableau de bord'!$J$5="Toutes","*",'Tableau de bord'!$J$5),'Donnees'!$E$2:$E$2001,B48))</x:f>
      </x:c>
      <x:c r="D48" s="2" t="str">
        <x:f>IF(B48="","",COUNTIFS('Donnees'!$A$2:$A$2001,"&lt;&gt;",'Donnees'!$C$2:$C$2001,"&gt;="&amp;'Tableau de bord'!$C$5,'Donnees'!$C$2:$C$2001,"&lt;="&amp;'Tableau de bord'!$F$5,'Donnees'!$F$2:$F$2001,IF('Tableau de bord'!$J$5="Toutes","*",'Tableau de bord'!$J$5),'Donnees'!$E$2:$E$2001,B48,'Donnees'!$G$2:$G$2001,"mail validé"))</x:f>
      </x:c>
      <x:c r="E48" s="2" t="str">
        <x:f>IF(B48="","",COUNTIFS('Donnees'!$A$2:$A$2001,"&lt;&gt;",'Donnees'!$C$2:$C$2001,"&gt;="&amp;'Tableau de bord'!$C$5,'Donnees'!$C$2:$C$2001,"&lt;="&amp;'Tableau de bord'!$F$5,'Donnees'!$F$2:$F$2001,IF('Tableau de bord'!$J$5="Toutes","*",'Tableau de bord'!$J$5),'Donnees'!$E$2:$E$2001,B48,'Donnees'!$G$2:$G$2001,"mail non validé"))</x:f>
      </x:c>
      <x:c r="F48" s="2" t="str">
        <x:f>IF(B48="","",COUNTIFS('Donnees'!$A$2:$A$2001,"&lt;&gt;",'Donnees'!$C$2:$C$2001,"&gt;="&amp;'Tableau de bord'!$C$5,'Donnees'!$C$2:$C$2001,"&lt;="&amp;'Tableau de bord'!$F$5,'Donnees'!$F$2:$F$2001,IF('Tableau de bord'!$J$5="Toutes","*",'Tableau de bord'!$J$5),'Donnees'!$E$2:$E$2001,B48,'Donnees'!$G$2:$G$2001,"à vérifier"))</x:f>
      </x:c>
      <x:c r="G48" s="2" t="str">
        <x:f>IF(B48="","",COUNTIFS('Donnees'!$A$2:$A$2001,"&lt;&gt;",'Donnees'!$C$2:$C$2001,"&gt;="&amp;'Tableau de bord'!$C$5,'Donnees'!$C$2:$C$2001,"&lt;="&amp;'Tableau de bord'!$F$5,'Donnees'!$F$2:$F$2001,IF('Tableau de bord'!$J$5="Toutes","*",'Tableau de bord'!$J$5),'Donnees'!$E$2:$E$2001,B48,'Donnees'!$G$2:$G$2001,"mail non validé",'Donnees'!$H$2:$H$2001,"Q1"))</x:f>
      </x:c>
      <x:c r="H48" s="2" t="str">
        <x:f>IF(B48="","",COUNTIFS('Donnees'!$A$2:$A$2001,"&lt;&gt;",'Donnees'!$C$2:$C$2001,"&gt;="&amp;'Tableau de bord'!$C$5,'Donnees'!$C$2:$C$2001,"&lt;="&amp;'Tableau de bord'!$F$5,'Donnees'!$F$2:$F$2001,IF('Tableau de bord'!$J$5="Toutes","*",'Tableau de bord'!$J$5),'Donnees'!$E$2:$E$2001,B48,'Donnees'!$G$2:$G$2001,"mail non validé",'Donnees'!$H$2:$H$2001,"Q2"))</x:f>
      </x:c>
      <x:c r="I48" s="2" t="str">
        <x:f>IF(B48="","",COUNTIFS('Donnees'!$A$2:$A$2001,"&lt;&gt;",'Donnees'!$C$2:$C$2001,"&gt;="&amp;'Tableau de bord'!$C$5,'Donnees'!$C$2:$C$2001,"&lt;="&amp;'Tableau de bord'!$F$5,'Donnees'!$F$2:$F$2001,IF('Tableau de bord'!$J$5="Toutes","*",'Tableau de bord'!$J$5),'Donnees'!$E$2:$E$2001,B48,'Donnees'!$G$2:$G$2001,"mail non validé",'Donnees'!$H$2:$H$2001,"Q3"))</x:f>
      </x:c>
      <x:c r="J48" s="2" t="str">
        <x:f>IF(B48="","",COUNTIFS('Donnees'!$A$2:$A$2001,"&lt;&gt;",'Donnees'!$C$2:$C$2001,"&gt;="&amp;'Tableau de bord'!$C$5,'Donnees'!$C$2:$C$2001,"&lt;="&amp;'Tableau de bord'!$F$5,'Donnees'!$F$2:$F$2001,IF('Tableau de bord'!$J$5="Toutes","*",'Tableau de bord'!$J$5),'Donnees'!$E$2:$E$2001,B48,'Donnees'!$G$2:$G$2001,"mail non validé",'Donnees'!$H$2:$H$2001,"Q4"))</x:f>
      </x:c>
      <x:c r="K48" s="16" t="str">
        <x:f>IF(B48="","",IF(C48=0,"n.a.",E48/C48))</x:f>
      </x:c>
    </x:row>
    <x:row r="49" ht="23" customHeight="1">
      <x:c r="B49" s="2" t="str">
        <x:f>IF(COUNTIFS('Donnees'!$L$2:$L$2001,42)=0,"",INDEX('Donnees'!$E$2:$E$2001,MATCH(42,'Donnees'!$L$2:$L$2001,0)))</x:f>
      </x:c>
      <x:c r="C49" s="2" t="str">
        <x:f>IF(B49="","",COUNTIFS('Donnees'!$A$2:$A$2001,"&lt;&gt;",'Donnees'!$C$2:$C$2001,"&gt;="&amp;'Tableau de bord'!$C$5,'Donnees'!$C$2:$C$2001,"&lt;="&amp;'Tableau de bord'!$F$5,'Donnees'!$F$2:$F$2001,IF('Tableau de bord'!$J$5="Toutes","*",'Tableau de bord'!$J$5),'Donnees'!$E$2:$E$2001,B49))</x:f>
      </x:c>
      <x:c r="D49" s="2" t="str">
        <x:f>IF(B49="","",COUNTIFS('Donnees'!$A$2:$A$2001,"&lt;&gt;",'Donnees'!$C$2:$C$2001,"&gt;="&amp;'Tableau de bord'!$C$5,'Donnees'!$C$2:$C$2001,"&lt;="&amp;'Tableau de bord'!$F$5,'Donnees'!$F$2:$F$2001,IF('Tableau de bord'!$J$5="Toutes","*",'Tableau de bord'!$J$5),'Donnees'!$E$2:$E$2001,B49,'Donnees'!$G$2:$G$2001,"mail validé"))</x:f>
      </x:c>
      <x:c r="E49" s="2" t="str">
        <x:f>IF(B49="","",COUNTIFS('Donnees'!$A$2:$A$2001,"&lt;&gt;",'Donnees'!$C$2:$C$2001,"&gt;="&amp;'Tableau de bord'!$C$5,'Donnees'!$C$2:$C$2001,"&lt;="&amp;'Tableau de bord'!$F$5,'Donnees'!$F$2:$F$2001,IF('Tableau de bord'!$J$5="Toutes","*",'Tableau de bord'!$J$5),'Donnees'!$E$2:$E$2001,B49,'Donnees'!$G$2:$G$2001,"mail non validé"))</x:f>
      </x:c>
      <x:c r="F49" s="2" t="str">
        <x:f>IF(B49="","",COUNTIFS('Donnees'!$A$2:$A$2001,"&lt;&gt;",'Donnees'!$C$2:$C$2001,"&gt;="&amp;'Tableau de bord'!$C$5,'Donnees'!$C$2:$C$2001,"&lt;="&amp;'Tableau de bord'!$F$5,'Donnees'!$F$2:$F$2001,IF('Tableau de bord'!$J$5="Toutes","*",'Tableau de bord'!$J$5),'Donnees'!$E$2:$E$2001,B49,'Donnees'!$G$2:$G$2001,"à vérifier"))</x:f>
      </x:c>
      <x:c r="G49" s="2" t="str">
        <x:f>IF(B49="","",COUNTIFS('Donnees'!$A$2:$A$2001,"&lt;&gt;",'Donnees'!$C$2:$C$2001,"&gt;="&amp;'Tableau de bord'!$C$5,'Donnees'!$C$2:$C$2001,"&lt;="&amp;'Tableau de bord'!$F$5,'Donnees'!$F$2:$F$2001,IF('Tableau de bord'!$J$5="Toutes","*",'Tableau de bord'!$J$5),'Donnees'!$E$2:$E$2001,B49,'Donnees'!$G$2:$G$2001,"mail non validé",'Donnees'!$H$2:$H$2001,"Q1"))</x:f>
      </x:c>
      <x:c r="H49" s="2" t="str">
        <x:f>IF(B49="","",COUNTIFS('Donnees'!$A$2:$A$2001,"&lt;&gt;",'Donnees'!$C$2:$C$2001,"&gt;="&amp;'Tableau de bord'!$C$5,'Donnees'!$C$2:$C$2001,"&lt;="&amp;'Tableau de bord'!$F$5,'Donnees'!$F$2:$F$2001,IF('Tableau de bord'!$J$5="Toutes","*",'Tableau de bord'!$J$5),'Donnees'!$E$2:$E$2001,B49,'Donnees'!$G$2:$G$2001,"mail non validé",'Donnees'!$H$2:$H$2001,"Q2"))</x:f>
      </x:c>
      <x:c r="I49" s="2" t="str">
        <x:f>IF(B49="","",COUNTIFS('Donnees'!$A$2:$A$2001,"&lt;&gt;",'Donnees'!$C$2:$C$2001,"&gt;="&amp;'Tableau de bord'!$C$5,'Donnees'!$C$2:$C$2001,"&lt;="&amp;'Tableau de bord'!$F$5,'Donnees'!$F$2:$F$2001,IF('Tableau de bord'!$J$5="Toutes","*",'Tableau de bord'!$J$5),'Donnees'!$E$2:$E$2001,B49,'Donnees'!$G$2:$G$2001,"mail non validé",'Donnees'!$H$2:$H$2001,"Q3"))</x:f>
      </x:c>
      <x:c r="J49" s="2" t="str">
        <x:f>IF(B49="","",COUNTIFS('Donnees'!$A$2:$A$2001,"&lt;&gt;",'Donnees'!$C$2:$C$2001,"&gt;="&amp;'Tableau de bord'!$C$5,'Donnees'!$C$2:$C$2001,"&lt;="&amp;'Tableau de bord'!$F$5,'Donnees'!$F$2:$F$2001,IF('Tableau de bord'!$J$5="Toutes","*",'Tableau de bord'!$J$5),'Donnees'!$E$2:$E$2001,B49,'Donnees'!$G$2:$G$2001,"mail non validé",'Donnees'!$H$2:$H$2001,"Q4"))</x:f>
      </x:c>
      <x:c r="K49" s="16" t="str">
        <x:f>IF(B49="","",IF(C49=0,"n.a.",E49/C49))</x:f>
      </x:c>
    </x:row>
    <x:row r="50" ht="23" customHeight="1">
      <x:c r="B50" s="2" t="str">
        <x:f>IF(COUNTIFS('Donnees'!$L$2:$L$2001,43)=0,"",INDEX('Donnees'!$E$2:$E$2001,MATCH(43,'Donnees'!$L$2:$L$2001,0)))</x:f>
      </x:c>
      <x:c r="C50" s="2" t="str">
        <x:f>IF(B50="","",COUNTIFS('Donnees'!$A$2:$A$2001,"&lt;&gt;",'Donnees'!$C$2:$C$2001,"&gt;="&amp;'Tableau de bord'!$C$5,'Donnees'!$C$2:$C$2001,"&lt;="&amp;'Tableau de bord'!$F$5,'Donnees'!$F$2:$F$2001,IF('Tableau de bord'!$J$5="Toutes","*",'Tableau de bord'!$J$5),'Donnees'!$E$2:$E$2001,B50))</x:f>
      </x:c>
      <x:c r="D50" s="2" t="str">
        <x:f>IF(B50="","",COUNTIFS('Donnees'!$A$2:$A$2001,"&lt;&gt;",'Donnees'!$C$2:$C$2001,"&gt;="&amp;'Tableau de bord'!$C$5,'Donnees'!$C$2:$C$2001,"&lt;="&amp;'Tableau de bord'!$F$5,'Donnees'!$F$2:$F$2001,IF('Tableau de bord'!$J$5="Toutes","*",'Tableau de bord'!$J$5),'Donnees'!$E$2:$E$2001,B50,'Donnees'!$G$2:$G$2001,"mail validé"))</x:f>
      </x:c>
      <x:c r="E50" s="2" t="str">
        <x:f>IF(B50="","",COUNTIFS('Donnees'!$A$2:$A$2001,"&lt;&gt;",'Donnees'!$C$2:$C$2001,"&gt;="&amp;'Tableau de bord'!$C$5,'Donnees'!$C$2:$C$2001,"&lt;="&amp;'Tableau de bord'!$F$5,'Donnees'!$F$2:$F$2001,IF('Tableau de bord'!$J$5="Toutes","*",'Tableau de bord'!$J$5),'Donnees'!$E$2:$E$2001,B50,'Donnees'!$G$2:$G$2001,"mail non validé"))</x:f>
      </x:c>
      <x:c r="F50" s="2" t="str">
        <x:f>IF(B50="","",COUNTIFS('Donnees'!$A$2:$A$2001,"&lt;&gt;",'Donnees'!$C$2:$C$2001,"&gt;="&amp;'Tableau de bord'!$C$5,'Donnees'!$C$2:$C$2001,"&lt;="&amp;'Tableau de bord'!$F$5,'Donnees'!$F$2:$F$2001,IF('Tableau de bord'!$J$5="Toutes","*",'Tableau de bord'!$J$5),'Donnees'!$E$2:$E$2001,B50,'Donnees'!$G$2:$G$2001,"à vérifier"))</x:f>
      </x:c>
      <x:c r="G50" s="2" t="str">
        <x:f>IF(B50="","",COUNTIFS('Donnees'!$A$2:$A$2001,"&lt;&gt;",'Donnees'!$C$2:$C$2001,"&gt;="&amp;'Tableau de bord'!$C$5,'Donnees'!$C$2:$C$2001,"&lt;="&amp;'Tableau de bord'!$F$5,'Donnees'!$F$2:$F$2001,IF('Tableau de bord'!$J$5="Toutes","*",'Tableau de bord'!$J$5),'Donnees'!$E$2:$E$2001,B50,'Donnees'!$G$2:$G$2001,"mail non validé",'Donnees'!$H$2:$H$2001,"Q1"))</x:f>
      </x:c>
      <x:c r="H50" s="2" t="str">
        <x:f>IF(B50="","",COUNTIFS('Donnees'!$A$2:$A$2001,"&lt;&gt;",'Donnees'!$C$2:$C$2001,"&gt;="&amp;'Tableau de bord'!$C$5,'Donnees'!$C$2:$C$2001,"&lt;="&amp;'Tableau de bord'!$F$5,'Donnees'!$F$2:$F$2001,IF('Tableau de bord'!$J$5="Toutes","*",'Tableau de bord'!$J$5),'Donnees'!$E$2:$E$2001,B50,'Donnees'!$G$2:$G$2001,"mail non validé",'Donnees'!$H$2:$H$2001,"Q2"))</x:f>
      </x:c>
      <x:c r="I50" s="2" t="str">
        <x:f>IF(B50="","",COUNTIFS('Donnees'!$A$2:$A$2001,"&lt;&gt;",'Donnees'!$C$2:$C$2001,"&gt;="&amp;'Tableau de bord'!$C$5,'Donnees'!$C$2:$C$2001,"&lt;="&amp;'Tableau de bord'!$F$5,'Donnees'!$F$2:$F$2001,IF('Tableau de bord'!$J$5="Toutes","*",'Tableau de bord'!$J$5),'Donnees'!$E$2:$E$2001,B50,'Donnees'!$G$2:$G$2001,"mail non validé",'Donnees'!$H$2:$H$2001,"Q3"))</x:f>
      </x:c>
      <x:c r="J50" s="2" t="str">
        <x:f>IF(B50="","",COUNTIFS('Donnees'!$A$2:$A$2001,"&lt;&gt;",'Donnees'!$C$2:$C$2001,"&gt;="&amp;'Tableau de bord'!$C$5,'Donnees'!$C$2:$C$2001,"&lt;="&amp;'Tableau de bord'!$F$5,'Donnees'!$F$2:$F$2001,IF('Tableau de bord'!$J$5="Toutes","*",'Tableau de bord'!$J$5),'Donnees'!$E$2:$E$2001,B50,'Donnees'!$G$2:$G$2001,"mail non validé",'Donnees'!$H$2:$H$2001,"Q4"))</x:f>
      </x:c>
      <x:c r="K50" s="16" t="str">
        <x:f>IF(B50="","",IF(C50=0,"n.a.",E50/C50))</x:f>
      </x:c>
    </x:row>
    <x:row r="51" ht="23" customHeight="1">
      <x:c r="B51" s="2" t="str">
        <x:f>IF(COUNTIFS('Donnees'!$L$2:$L$2001,44)=0,"",INDEX('Donnees'!$E$2:$E$2001,MATCH(44,'Donnees'!$L$2:$L$2001,0)))</x:f>
      </x:c>
      <x:c r="C51" s="2" t="str">
        <x:f>IF(B51="","",COUNTIFS('Donnees'!$A$2:$A$2001,"&lt;&gt;",'Donnees'!$C$2:$C$2001,"&gt;="&amp;'Tableau de bord'!$C$5,'Donnees'!$C$2:$C$2001,"&lt;="&amp;'Tableau de bord'!$F$5,'Donnees'!$F$2:$F$2001,IF('Tableau de bord'!$J$5="Toutes","*",'Tableau de bord'!$J$5),'Donnees'!$E$2:$E$2001,B51))</x:f>
      </x:c>
      <x:c r="D51" s="2" t="str">
        <x:f>IF(B51="","",COUNTIFS('Donnees'!$A$2:$A$2001,"&lt;&gt;",'Donnees'!$C$2:$C$2001,"&gt;="&amp;'Tableau de bord'!$C$5,'Donnees'!$C$2:$C$2001,"&lt;="&amp;'Tableau de bord'!$F$5,'Donnees'!$F$2:$F$2001,IF('Tableau de bord'!$J$5="Toutes","*",'Tableau de bord'!$J$5),'Donnees'!$E$2:$E$2001,B51,'Donnees'!$G$2:$G$2001,"mail validé"))</x:f>
      </x:c>
      <x:c r="E51" s="2" t="str">
        <x:f>IF(B51="","",COUNTIFS('Donnees'!$A$2:$A$2001,"&lt;&gt;",'Donnees'!$C$2:$C$2001,"&gt;="&amp;'Tableau de bord'!$C$5,'Donnees'!$C$2:$C$2001,"&lt;="&amp;'Tableau de bord'!$F$5,'Donnees'!$F$2:$F$2001,IF('Tableau de bord'!$J$5="Toutes","*",'Tableau de bord'!$J$5),'Donnees'!$E$2:$E$2001,B51,'Donnees'!$G$2:$G$2001,"mail non validé"))</x:f>
      </x:c>
      <x:c r="F51" s="2" t="str">
        <x:f>IF(B51="","",COUNTIFS('Donnees'!$A$2:$A$2001,"&lt;&gt;",'Donnees'!$C$2:$C$2001,"&gt;="&amp;'Tableau de bord'!$C$5,'Donnees'!$C$2:$C$2001,"&lt;="&amp;'Tableau de bord'!$F$5,'Donnees'!$F$2:$F$2001,IF('Tableau de bord'!$J$5="Toutes","*",'Tableau de bord'!$J$5),'Donnees'!$E$2:$E$2001,B51,'Donnees'!$G$2:$G$2001,"à vérifier"))</x:f>
      </x:c>
      <x:c r="G51" s="2" t="str">
        <x:f>IF(B51="","",COUNTIFS('Donnees'!$A$2:$A$2001,"&lt;&gt;",'Donnees'!$C$2:$C$2001,"&gt;="&amp;'Tableau de bord'!$C$5,'Donnees'!$C$2:$C$2001,"&lt;="&amp;'Tableau de bord'!$F$5,'Donnees'!$F$2:$F$2001,IF('Tableau de bord'!$J$5="Toutes","*",'Tableau de bord'!$J$5),'Donnees'!$E$2:$E$2001,B51,'Donnees'!$G$2:$G$2001,"mail non validé",'Donnees'!$H$2:$H$2001,"Q1"))</x:f>
      </x:c>
      <x:c r="H51" s="2" t="str">
        <x:f>IF(B51="","",COUNTIFS('Donnees'!$A$2:$A$2001,"&lt;&gt;",'Donnees'!$C$2:$C$2001,"&gt;="&amp;'Tableau de bord'!$C$5,'Donnees'!$C$2:$C$2001,"&lt;="&amp;'Tableau de bord'!$F$5,'Donnees'!$F$2:$F$2001,IF('Tableau de bord'!$J$5="Toutes","*",'Tableau de bord'!$J$5),'Donnees'!$E$2:$E$2001,B51,'Donnees'!$G$2:$G$2001,"mail non validé",'Donnees'!$H$2:$H$2001,"Q2"))</x:f>
      </x:c>
      <x:c r="I51" s="2" t="str">
        <x:f>IF(B51="","",COUNTIFS('Donnees'!$A$2:$A$2001,"&lt;&gt;",'Donnees'!$C$2:$C$2001,"&gt;="&amp;'Tableau de bord'!$C$5,'Donnees'!$C$2:$C$2001,"&lt;="&amp;'Tableau de bord'!$F$5,'Donnees'!$F$2:$F$2001,IF('Tableau de bord'!$J$5="Toutes","*",'Tableau de bord'!$J$5),'Donnees'!$E$2:$E$2001,B51,'Donnees'!$G$2:$G$2001,"mail non validé",'Donnees'!$H$2:$H$2001,"Q3"))</x:f>
      </x:c>
      <x:c r="J51" s="2" t="str">
        <x:f>IF(B51="","",COUNTIFS('Donnees'!$A$2:$A$2001,"&lt;&gt;",'Donnees'!$C$2:$C$2001,"&gt;="&amp;'Tableau de bord'!$C$5,'Donnees'!$C$2:$C$2001,"&lt;="&amp;'Tableau de bord'!$F$5,'Donnees'!$F$2:$F$2001,IF('Tableau de bord'!$J$5="Toutes","*",'Tableau de bord'!$J$5),'Donnees'!$E$2:$E$2001,B51,'Donnees'!$G$2:$G$2001,"mail non validé",'Donnees'!$H$2:$H$2001,"Q4"))</x:f>
      </x:c>
      <x:c r="K51" s="16" t="str">
        <x:f>IF(B51="","",IF(C51=0,"n.a.",E51/C51))</x:f>
      </x:c>
    </x:row>
    <x:row r="52" ht="23" customHeight="1">
      <x:c r="B52" s="2" t="str">
        <x:f>IF(COUNTIFS('Donnees'!$L$2:$L$2001,45)=0,"",INDEX('Donnees'!$E$2:$E$2001,MATCH(45,'Donnees'!$L$2:$L$2001,0)))</x:f>
      </x:c>
      <x:c r="C52" s="2" t="str">
        <x:f>IF(B52="","",COUNTIFS('Donnees'!$A$2:$A$2001,"&lt;&gt;",'Donnees'!$C$2:$C$2001,"&gt;="&amp;'Tableau de bord'!$C$5,'Donnees'!$C$2:$C$2001,"&lt;="&amp;'Tableau de bord'!$F$5,'Donnees'!$F$2:$F$2001,IF('Tableau de bord'!$J$5="Toutes","*",'Tableau de bord'!$J$5),'Donnees'!$E$2:$E$2001,B52))</x:f>
      </x:c>
      <x:c r="D52" s="2" t="str">
        <x:f>IF(B52="","",COUNTIFS('Donnees'!$A$2:$A$2001,"&lt;&gt;",'Donnees'!$C$2:$C$2001,"&gt;="&amp;'Tableau de bord'!$C$5,'Donnees'!$C$2:$C$2001,"&lt;="&amp;'Tableau de bord'!$F$5,'Donnees'!$F$2:$F$2001,IF('Tableau de bord'!$J$5="Toutes","*",'Tableau de bord'!$J$5),'Donnees'!$E$2:$E$2001,B52,'Donnees'!$G$2:$G$2001,"mail validé"))</x:f>
      </x:c>
      <x:c r="E52" s="2" t="str">
        <x:f>IF(B52="","",COUNTIFS('Donnees'!$A$2:$A$2001,"&lt;&gt;",'Donnees'!$C$2:$C$2001,"&gt;="&amp;'Tableau de bord'!$C$5,'Donnees'!$C$2:$C$2001,"&lt;="&amp;'Tableau de bord'!$F$5,'Donnees'!$F$2:$F$2001,IF('Tableau de bord'!$J$5="Toutes","*",'Tableau de bord'!$J$5),'Donnees'!$E$2:$E$2001,B52,'Donnees'!$G$2:$G$2001,"mail non validé"))</x:f>
      </x:c>
      <x:c r="F52" s="2" t="str">
        <x:f>IF(B52="","",COUNTIFS('Donnees'!$A$2:$A$2001,"&lt;&gt;",'Donnees'!$C$2:$C$2001,"&gt;="&amp;'Tableau de bord'!$C$5,'Donnees'!$C$2:$C$2001,"&lt;="&amp;'Tableau de bord'!$F$5,'Donnees'!$F$2:$F$2001,IF('Tableau de bord'!$J$5="Toutes","*",'Tableau de bord'!$J$5),'Donnees'!$E$2:$E$2001,B52,'Donnees'!$G$2:$G$2001,"à vérifier"))</x:f>
      </x:c>
      <x:c r="G52" s="2" t="str">
        <x:f>IF(B52="","",COUNTIFS('Donnees'!$A$2:$A$2001,"&lt;&gt;",'Donnees'!$C$2:$C$2001,"&gt;="&amp;'Tableau de bord'!$C$5,'Donnees'!$C$2:$C$2001,"&lt;="&amp;'Tableau de bord'!$F$5,'Donnees'!$F$2:$F$2001,IF('Tableau de bord'!$J$5="Toutes","*",'Tableau de bord'!$J$5),'Donnees'!$E$2:$E$2001,B52,'Donnees'!$G$2:$G$2001,"mail non validé",'Donnees'!$H$2:$H$2001,"Q1"))</x:f>
      </x:c>
      <x:c r="H52" s="2" t="str">
        <x:f>IF(B52="","",COUNTIFS('Donnees'!$A$2:$A$2001,"&lt;&gt;",'Donnees'!$C$2:$C$2001,"&gt;="&amp;'Tableau de bord'!$C$5,'Donnees'!$C$2:$C$2001,"&lt;="&amp;'Tableau de bord'!$F$5,'Donnees'!$F$2:$F$2001,IF('Tableau de bord'!$J$5="Toutes","*",'Tableau de bord'!$J$5),'Donnees'!$E$2:$E$2001,B52,'Donnees'!$G$2:$G$2001,"mail non validé",'Donnees'!$H$2:$H$2001,"Q2"))</x:f>
      </x:c>
      <x:c r="I52" s="2" t="str">
        <x:f>IF(B52="","",COUNTIFS('Donnees'!$A$2:$A$2001,"&lt;&gt;",'Donnees'!$C$2:$C$2001,"&gt;="&amp;'Tableau de bord'!$C$5,'Donnees'!$C$2:$C$2001,"&lt;="&amp;'Tableau de bord'!$F$5,'Donnees'!$F$2:$F$2001,IF('Tableau de bord'!$J$5="Toutes","*",'Tableau de bord'!$J$5),'Donnees'!$E$2:$E$2001,B52,'Donnees'!$G$2:$G$2001,"mail non validé",'Donnees'!$H$2:$H$2001,"Q3"))</x:f>
      </x:c>
      <x:c r="J52" s="2" t="str">
        <x:f>IF(B52="","",COUNTIFS('Donnees'!$A$2:$A$2001,"&lt;&gt;",'Donnees'!$C$2:$C$2001,"&gt;="&amp;'Tableau de bord'!$C$5,'Donnees'!$C$2:$C$2001,"&lt;="&amp;'Tableau de bord'!$F$5,'Donnees'!$F$2:$F$2001,IF('Tableau de bord'!$J$5="Toutes","*",'Tableau de bord'!$J$5),'Donnees'!$E$2:$E$2001,B52,'Donnees'!$G$2:$G$2001,"mail non validé",'Donnees'!$H$2:$H$2001,"Q4"))</x:f>
      </x:c>
      <x:c r="K52" s="16" t="str">
        <x:f>IF(B52="","",IF(C52=0,"n.a.",E52/C52))</x:f>
      </x:c>
    </x:row>
    <x:row r="53" ht="23" customHeight="1">
      <x:c r="B53" s="2" t="str">
        <x:f>IF(COUNTIFS('Donnees'!$L$2:$L$2001,46)=0,"",INDEX('Donnees'!$E$2:$E$2001,MATCH(46,'Donnees'!$L$2:$L$2001,0)))</x:f>
      </x:c>
      <x:c r="C53" s="2" t="str">
        <x:f>IF(B53="","",COUNTIFS('Donnees'!$A$2:$A$2001,"&lt;&gt;",'Donnees'!$C$2:$C$2001,"&gt;="&amp;'Tableau de bord'!$C$5,'Donnees'!$C$2:$C$2001,"&lt;="&amp;'Tableau de bord'!$F$5,'Donnees'!$F$2:$F$2001,IF('Tableau de bord'!$J$5="Toutes","*",'Tableau de bord'!$J$5),'Donnees'!$E$2:$E$2001,B53))</x:f>
      </x:c>
      <x:c r="D53" s="2" t="str">
        <x:f>IF(B53="","",COUNTIFS('Donnees'!$A$2:$A$2001,"&lt;&gt;",'Donnees'!$C$2:$C$2001,"&gt;="&amp;'Tableau de bord'!$C$5,'Donnees'!$C$2:$C$2001,"&lt;="&amp;'Tableau de bord'!$F$5,'Donnees'!$F$2:$F$2001,IF('Tableau de bord'!$J$5="Toutes","*",'Tableau de bord'!$J$5),'Donnees'!$E$2:$E$2001,B53,'Donnees'!$G$2:$G$2001,"mail validé"))</x:f>
      </x:c>
      <x:c r="E53" s="2" t="str">
        <x:f>IF(B53="","",COUNTIFS('Donnees'!$A$2:$A$2001,"&lt;&gt;",'Donnees'!$C$2:$C$2001,"&gt;="&amp;'Tableau de bord'!$C$5,'Donnees'!$C$2:$C$2001,"&lt;="&amp;'Tableau de bord'!$F$5,'Donnees'!$F$2:$F$2001,IF('Tableau de bord'!$J$5="Toutes","*",'Tableau de bord'!$J$5),'Donnees'!$E$2:$E$2001,B53,'Donnees'!$G$2:$G$2001,"mail non validé"))</x:f>
      </x:c>
      <x:c r="F53" s="2" t="str">
        <x:f>IF(B53="","",COUNTIFS('Donnees'!$A$2:$A$2001,"&lt;&gt;",'Donnees'!$C$2:$C$2001,"&gt;="&amp;'Tableau de bord'!$C$5,'Donnees'!$C$2:$C$2001,"&lt;="&amp;'Tableau de bord'!$F$5,'Donnees'!$F$2:$F$2001,IF('Tableau de bord'!$J$5="Toutes","*",'Tableau de bord'!$J$5),'Donnees'!$E$2:$E$2001,B53,'Donnees'!$G$2:$G$2001,"à vérifier"))</x:f>
      </x:c>
      <x:c r="G53" s="2" t="str">
        <x:f>IF(B53="","",COUNTIFS('Donnees'!$A$2:$A$2001,"&lt;&gt;",'Donnees'!$C$2:$C$2001,"&gt;="&amp;'Tableau de bord'!$C$5,'Donnees'!$C$2:$C$2001,"&lt;="&amp;'Tableau de bord'!$F$5,'Donnees'!$F$2:$F$2001,IF('Tableau de bord'!$J$5="Toutes","*",'Tableau de bord'!$J$5),'Donnees'!$E$2:$E$2001,B53,'Donnees'!$G$2:$G$2001,"mail non validé",'Donnees'!$H$2:$H$2001,"Q1"))</x:f>
      </x:c>
      <x:c r="H53" s="2" t="str">
        <x:f>IF(B53="","",COUNTIFS('Donnees'!$A$2:$A$2001,"&lt;&gt;",'Donnees'!$C$2:$C$2001,"&gt;="&amp;'Tableau de bord'!$C$5,'Donnees'!$C$2:$C$2001,"&lt;="&amp;'Tableau de bord'!$F$5,'Donnees'!$F$2:$F$2001,IF('Tableau de bord'!$J$5="Toutes","*",'Tableau de bord'!$J$5),'Donnees'!$E$2:$E$2001,B53,'Donnees'!$G$2:$G$2001,"mail non validé",'Donnees'!$H$2:$H$2001,"Q2"))</x:f>
      </x:c>
      <x:c r="I53" s="2" t="str">
        <x:f>IF(B53="","",COUNTIFS('Donnees'!$A$2:$A$2001,"&lt;&gt;",'Donnees'!$C$2:$C$2001,"&gt;="&amp;'Tableau de bord'!$C$5,'Donnees'!$C$2:$C$2001,"&lt;="&amp;'Tableau de bord'!$F$5,'Donnees'!$F$2:$F$2001,IF('Tableau de bord'!$J$5="Toutes","*",'Tableau de bord'!$J$5),'Donnees'!$E$2:$E$2001,B53,'Donnees'!$G$2:$G$2001,"mail non validé",'Donnees'!$H$2:$H$2001,"Q3"))</x:f>
      </x:c>
      <x:c r="J53" s="2" t="str">
        <x:f>IF(B53="","",COUNTIFS('Donnees'!$A$2:$A$2001,"&lt;&gt;",'Donnees'!$C$2:$C$2001,"&gt;="&amp;'Tableau de bord'!$C$5,'Donnees'!$C$2:$C$2001,"&lt;="&amp;'Tableau de bord'!$F$5,'Donnees'!$F$2:$F$2001,IF('Tableau de bord'!$J$5="Toutes","*",'Tableau de bord'!$J$5),'Donnees'!$E$2:$E$2001,B53,'Donnees'!$G$2:$G$2001,"mail non validé",'Donnees'!$H$2:$H$2001,"Q4"))</x:f>
      </x:c>
      <x:c r="K53" s="16" t="str">
        <x:f>IF(B53="","",IF(C53=0,"n.a.",E53/C53))</x:f>
      </x:c>
    </x:row>
    <x:row r="54" ht="23" customHeight="1">
      <x:c r="B54" s="2" t="str">
        <x:f>IF(COUNTIFS('Donnees'!$L$2:$L$2001,47)=0,"",INDEX('Donnees'!$E$2:$E$2001,MATCH(47,'Donnees'!$L$2:$L$2001,0)))</x:f>
      </x:c>
      <x:c r="C54" s="2" t="str">
        <x:f>IF(B54="","",COUNTIFS('Donnees'!$A$2:$A$2001,"&lt;&gt;",'Donnees'!$C$2:$C$2001,"&gt;="&amp;'Tableau de bord'!$C$5,'Donnees'!$C$2:$C$2001,"&lt;="&amp;'Tableau de bord'!$F$5,'Donnees'!$F$2:$F$2001,IF('Tableau de bord'!$J$5="Toutes","*",'Tableau de bord'!$J$5),'Donnees'!$E$2:$E$2001,B54))</x:f>
      </x:c>
      <x:c r="D54" s="2" t="str">
        <x:f>IF(B54="","",COUNTIFS('Donnees'!$A$2:$A$2001,"&lt;&gt;",'Donnees'!$C$2:$C$2001,"&gt;="&amp;'Tableau de bord'!$C$5,'Donnees'!$C$2:$C$2001,"&lt;="&amp;'Tableau de bord'!$F$5,'Donnees'!$F$2:$F$2001,IF('Tableau de bord'!$J$5="Toutes","*",'Tableau de bord'!$J$5),'Donnees'!$E$2:$E$2001,B54,'Donnees'!$G$2:$G$2001,"mail validé"))</x:f>
      </x:c>
      <x:c r="E54" s="2" t="str">
        <x:f>IF(B54="","",COUNTIFS('Donnees'!$A$2:$A$2001,"&lt;&gt;",'Donnees'!$C$2:$C$2001,"&gt;="&amp;'Tableau de bord'!$C$5,'Donnees'!$C$2:$C$2001,"&lt;="&amp;'Tableau de bord'!$F$5,'Donnees'!$F$2:$F$2001,IF('Tableau de bord'!$J$5="Toutes","*",'Tableau de bord'!$J$5),'Donnees'!$E$2:$E$2001,B54,'Donnees'!$G$2:$G$2001,"mail non validé"))</x:f>
      </x:c>
      <x:c r="F54" s="2" t="str">
        <x:f>IF(B54="","",COUNTIFS('Donnees'!$A$2:$A$2001,"&lt;&gt;",'Donnees'!$C$2:$C$2001,"&gt;="&amp;'Tableau de bord'!$C$5,'Donnees'!$C$2:$C$2001,"&lt;="&amp;'Tableau de bord'!$F$5,'Donnees'!$F$2:$F$2001,IF('Tableau de bord'!$J$5="Toutes","*",'Tableau de bord'!$J$5),'Donnees'!$E$2:$E$2001,B54,'Donnees'!$G$2:$G$2001,"à vérifier"))</x:f>
      </x:c>
      <x:c r="G54" s="2" t="str">
        <x:f>IF(B54="","",COUNTIFS('Donnees'!$A$2:$A$2001,"&lt;&gt;",'Donnees'!$C$2:$C$2001,"&gt;="&amp;'Tableau de bord'!$C$5,'Donnees'!$C$2:$C$2001,"&lt;="&amp;'Tableau de bord'!$F$5,'Donnees'!$F$2:$F$2001,IF('Tableau de bord'!$J$5="Toutes","*",'Tableau de bord'!$J$5),'Donnees'!$E$2:$E$2001,B54,'Donnees'!$G$2:$G$2001,"mail non validé",'Donnees'!$H$2:$H$2001,"Q1"))</x:f>
      </x:c>
      <x:c r="H54" s="2" t="str">
        <x:f>IF(B54="","",COUNTIFS('Donnees'!$A$2:$A$2001,"&lt;&gt;",'Donnees'!$C$2:$C$2001,"&gt;="&amp;'Tableau de bord'!$C$5,'Donnees'!$C$2:$C$2001,"&lt;="&amp;'Tableau de bord'!$F$5,'Donnees'!$F$2:$F$2001,IF('Tableau de bord'!$J$5="Toutes","*",'Tableau de bord'!$J$5),'Donnees'!$E$2:$E$2001,B54,'Donnees'!$G$2:$G$2001,"mail non validé",'Donnees'!$H$2:$H$2001,"Q2"))</x:f>
      </x:c>
      <x:c r="I54" s="2" t="str">
        <x:f>IF(B54="","",COUNTIFS('Donnees'!$A$2:$A$2001,"&lt;&gt;",'Donnees'!$C$2:$C$2001,"&gt;="&amp;'Tableau de bord'!$C$5,'Donnees'!$C$2:$C$2001,"&lt;="&amp;'Tableau de bord'!$F$5,'Donnees'!$F$2:$F$2001,IF('Tableau de bord'!$J$5="Toutes","*",'Tableau de bord'!$J$5),'Donnees'!$E$2:$E$2001,B54,'Donnees'!$G$2:$G$2001,"mail non validé",'Donnees'!$H$2:$H$2001,"Q3"))</x:f>
      </x:c>
      <x:c r="J54" s="2" t="str">
        <x:f>IF(B54="","",COUNTIFS('Donnees'!$A$2:$A$2001,"&lt;&gt;",'Donnees'!$C$2:$C$2001,"&gt;="&amp;'Tableau de bord'!$C$5,'Donnees'!$C$2:$C$2001,"&lt;="&amp;'Tableau de bord'!$F$5,'Donnees'!$F$2:$F$2001,IF('Tableau de bord'!$J$5="Toutes","*",'Tableau de bord'!$J$5),'Donnees'!$E$2:$E$2001,B54,'Donnees'!$G$2:$G$2001,"mail non validé",'Donnees'!$H$2:$H$2001,"Q4"))</x:f>
      </x:c>
      <x:c r="K54" s="16" t="str">
        <x:f>IF(B54="","",IF(C54=0,"n.a.",E54/C54))</x:f>
      </x:c>
    </x:row>
    <x:row r="55" ht="23" customHeight="1">
      <x:c r="B55" s="2" t="str">
        <x:f>IF(COUNTIFS('Donnees'!$L$2:$L$2001,48)=0,"",INDEX('Donnees'!$E$2:$E$2001,MATCH(48,'Donnees'!$L$2:$L$2001,0)))</x:f>
      </x:c>
      <x:c r="C55" s="2" t="str">
        <x:f>IF(B55="","",COUNTIFS('Donnees'!$A$2:$A$2001,"&lt;&gt;",'Donnees'!$C$2:$C$2001,"&gt;="&amp;'Tableau de bord'!$C$5,'Donnees'!$C$2:$C$2001,"&lt;="&amp;'Tableau de bord'!$F$5,'Donnees'!$F$2:$F$2001,IF('Tableau de bord'!$J$5="Toutes","*",'Tableau de bord'!$J$5),'Donnees'!$E$2:$E$2001,B55))</x:f>
      </x:c>
      <x:c r="D55" s="2" t="str">
        <x:f>IF(B55="","",COUNTIFS('Donnees'!$A$2:$A$2001,"&lt;&gt;",'Donnees'!$C$2:$C$2001,"&gt;="&amp;'Tableau de bord'!$C$5,'Donnees'!$C$2:$C$2001,"&lt;="&amp;'Tableau de bord'!$F$5,'Donnees'!$F$2:$F$2001,IF('Tableau de bord'!$J$5="Toutes","*",'Tableau de bord'!$J$5),'Donnees'!$E$2:$E$2001,B55,'Donnees'!$G$2:$G$2001,"mail validé"))</x:f>
      </x:c>
      <x:c r="E55" s="2" t="str">
        <x:f>IF(B55="","",COUNTIFS('Donnees'!$A$2:$A$2001,"&lt;&gt;",'Donnees'!$C$2:$C$2001,"&gt;="&amp;'Tableau de bord'!$C$5,'Donnees'!$C$2:$C$2001,"&lt;="&amp;'Tableau de bord'!$F$5,'Donnees'!$F$2:$F$2001,IF('Tableau de bord'!$J$5="Toutes","*",'Tableau de bord'!$J$5),'Donnees'!$E$2:$E$2001,B55,'Donnees'!$G$2:$G$2001,"mail non validé"))</x:f>
      </x:c>
      <x:c r="F55" s="2" t="str">
        <x:f>IF(B55="","",COUNTIFS('Donnees'!$A$2:$A$2001,"&lt;&gt;",'Donnees'!$C$2:$C$2001,"&gt;="&amp;'Tableau de bord'!$C$5,'Donnees'!$C$2:$C$2001,"&lt;="&amp;'Tableau de bord'!$F$5,'Donnees'!$F$2:$F$2001,IF('Tableau de bord'!$J$5="Toutes","*",'Tableau de bord'!$J$5),'Donnees'!$E$2:$E$2001,B55,'Donnees'!$G$2:$G$2001,"à vérifier"))</x:f>
      </x:c>
      <x:c r="G55" s="2" t="str">
        <x:f>IF(B55="","",COUNTIFS('Donnees'!$A$2:$A$2001,"&lt;&gt;",'Donnees'!$C$2:$C$2001,"&gt;="&amp;'Tableau de bord'!$C$5,'Donnees'!$C$2:$C$2001,"&lt;="&amp;'Tableau de bord'!$F$5,'Donnees'!$F$2:$F$2001,IF('Tableau de bord'!$J$5="Toutes","*",'Tableau de bord'!$J$5),'Donnees'!$E$2:$E$2001,B55,'Donnees'!$G$2:$G$2001,"mail non validé",'Donnees'!$H$2:$H$2001,"Q1"))</x:f>
      </x:c>
      <x:c r="H55" s="2" t="str">
        <x:f>IF(B55="","",COUNTIFS('Donnees'!$A$2:$A$2001,"&lt;&gt;",'Donnees'!$C$2:$C$2001,"&gt;="&amp;'Tableau de bord'!$C$5,'Donnees'!$C$2:$C$2001,"&lt;="&amp;'Tableau de bord'!$F$5,'Donnees'!$F$2:$F$2001,IF('Tableau de bord'!$J$5="Toutes","*",'Tableau de bord'!$J$5),'Donnees'!$E$2:$E$2001,B55,'Donnees'!$G$2:$G$2001,"mail non validé",'Donnees'!$H$2:$H$2001,"Q2"))</x:f>
      </x:c>
      <x:c r="I55" s="2" t="str">
        <x:f>IF(B55="","",COUNTIFS('Donnees'!$A$2:$A$2001,"&lt;&gt;",'Donnees'!$C$2:$C$2001,"&gt;="&amp;'Tableau de bord'!$C$5,'Donnees'!$C$2:$C$2001,"&lt;="&amp;'Tableau de bord'!$F$5,'Donnees'!$F$2:$F$2001,IF('Tableau de bord'!$J$5="Toutes","*",'Tableau de bord'!$J$5),'Donnees'!$E$2:$E$2001,B55,'Donnees'!$G$2:$G$2001,"mail non validé",'Donnees'!$H$2:$H$2001,"Q3"))</x:f>
      </x:c>
      <x:c r="J55" s="2" t="str">
        <x:f>IF(B55="","",COUNTIFS('Donnees'!$A$2:$A$2001,"&lt;&gt;",'Donnees'!$C$2:$C$2001,"&gt;="&amp;'Tableau de bord'!$C$5,'Donnees'!$C$2:$C$2001,"&lt;="&amp;'Tableau de bord'!$F$5,'Donnees'!$F$2:$F$2001,IF('Tableau de bord'!$J$5="Toutes","*",'Tableau de bord'!$J$5),'Donnees'!$E$2:$E$2001,B55,'Donnees'!$G$2:$G$2001,"mail non validé",'Donnees'!$H$2:$H$2001,"Q4"))</x:f>
      </x:c>
      <x:c r="K55" s="16" t="str">
        <x:f>IF(B55="","",IF(C55=0,"n.a.",E55/C55))</x:f>
      </x:c>
    </x:row>
    <x:row r="56" ht="23" customHeight="1">
      <x:c r="B56" s="2" t="str">
        <x:f>IF(COUNTIFS('Donnees'!$L$2:$L$2001,49)=0,"",INDEX('Donnees'!$E$2:$E$2001,MATCH(49,'Donnees'!$L$2:$L$2001,0)))</x:f>
      </x:c>
      <x:c r="C56" s="2" t="str">
        <x:f>IF(B56="","",COUNTIFS('Donnees'!$A$2:$A$2001,"&lt;&gt;",'Donnees'!$C$2:$C$2001,"&gt;="&amp;'Tableau de bord'!$C$5,'Donnees'!$C$2:$C$2001,"&lt;="&amp;'Tableau de bord'!$F$5,'Donnees'!$F$2:$F$2001,IF('Tableau de bord'!$J$5="Toutes","*",'Tableau de bord'!$J$5),'Donnees'!$E$2:$E$2001,B56))</x:f>
      </x:c>
      <x:c r="D56" s="2" t="str">
        <x:f>IF(B56="","",COUNTIFS('Donnees'!$A$2:$A$2001,"&lt;&gt;",'Donnees'!$C$2:$C$2001,"&gt;="&amp;'Tableau de bord'!$C$5,'Donnees'!$C$2:$C$2001,"&lt;="&amp;'Tableau de bord'!$F$5,'Donnees'!$F$2:$F$2001,IF('Tableau de bord'!$J$5="Toutes","*",'Tableau de bord'!$J$5),'Donnees'!$E$2:$E$2001,B56,'Donnees'!$G$2:$G$2001,"mail validé"))</x:f>
      </x:c>
      <x:c r="E56" s="2" t="str">
        <x:f>IF(B56="","",COUNTIFS('Donnees'!$A$2:$A$2001,"&lt;&gt;",'Donnees'!$C$2:$C$2001,"&gt;="&amp;'Tableau de bord'!$C$5,'Donnees'!$C$2:$C$2001,"&lt;="&amp;'Tableau de bord'!$F$5,'Donnees'!$F$2:$F$2001,IF('Tableau de bord'!$J$5="Toutes","*",'Tableau de bord'!$J$5),'Donnees'!$E$2:$E$2001,B56,'Donnees'!$G$2:$G$2001,"mail non validé"))</x:f>
      </x:c>
      <x:c r="F56" s="2" t="str">
        <x:f>IF(B56="","",COUNTIFS('Donnees'!$A$2:$A$2001,"&lt;&gt;",'Donnees'!$C$2:$C$2001,"&gt;="&amp;'Tableau de bord'!$C$5,'Donnees'!$C$2:$C$2001,"&lt;="&amp;'Tableau de bord'!$F$5,'Donnees'!$F$2:$F$2001,IF('Tableau de bord'!$J$5="Toutes","*",'Tableau de bord'!$J$5),'Donnees'!$E$2:$E$2001,B56,'Donnees'!$G$2:$G$2001,"à vérifier"))</x:f>
      </x:c>
      <x:c r="G56" s="2" t="str">
        <x:f>IF(B56="","",COUNTIFS('Donnees'!$A$2:$A$2001,"&lt;&gt;",'Donnees'!$C$2:$C$2001,"&gt;="&amp;'Tableau de bord'!$C$5,'Donnees'!$C$2:$C$2001,"&lt;="&amp;'Tableau de bord'!$F$5,'Donnees'!$F$2:$F$2001,IF('Tableau de bord'!$J$5="Toutes","*",'Tableau de bord'!$J$5),'Donnees'!$E$2:$E$2001,B56,'Donnees'!$G$2:$G$2001,"mail non validé",'Donnees'!$H$2:$H$2001,"Q1"))</x:f>
      </x:c>
      <x:c r="H56" s="2" t="str">
        <x:f>IF(B56="","",COUNTIFS('Donnees'!$A$2:$A$2001,"&lt;&gt;",'Donnees'!$C$2:$C$2001,"&gt;="&amp;'Tableau de bord'!$C$5,'Donnees'!$C$2:$C$2001,"&lt;="&amp;'Tableau de bord'!$F$5,'Donnees'!$F$2:$F$2001,IF('Tableau de bord'!$J$5="Toutes","*",'Tableau de bord'!$J$5),'Donnees'!$E$2:$E$2001,B56,'Donnees'!$G$2:$G$2001,"mail non validé",'Donnees'!$H$2:$H$2001,"Q2"))</x:f>
      </x:c>
      <x:c r="I56" s="2" t="str">
        <x:f>IF(B56="","",COUNTIFS('Donnees'!$A$2:$A$2001,"&lt;&gt;",'Donnees'!$C$2:$C$2001,"&gt;="&amp;'Tableau de bord'!$C$5,'Donnees'!$C$2:$C$2001,"&lt;="&amp;'Tableau de bord'!$F$5,'Donnees'!$F$2:$F$2001,IF('Tableau de bord'!$J$5="Toutes","*",'Tableau de bord'!$J$5),'Donnees'!$E$2:$E$2001,B56,'Donnees'!$G$2:$G$2001,"mail non validé",'Donnees'!$H$2:$H$2001,"Q3"))</x:f>
      </x:c>
      <x:c r="J56" s="2" t="str">
        <x:f>IF(B56="","",COUNTIFS('Donnees'!$A$2:$A$2001,"&lt;&gt;",'Donnees'!$C$2:$C$2001,"&gt;="&amp;'Tableau de bord'!$C$5,'Donnees'!$C$2:$C$2001,"&lt;="&amp;'Tableau de bord'!$F$5,'Donnees'!$F$2:$F$2001,IF('Tableau de bord'!$J$5="Toutes","*",'Tableau de bord'!$J$5),'Donnees'!$E$2:$E$2001,B56,'Donnees'!$G$2:$G$2001,"mail non validé",'Donnees'!$H$2:$H$2001,"Q4"))</x:f>
      </x:c>
      <x:c r="K56" s="16" t="str">
        <x:f>IF(B56="","",IF(C56=0,"n.a.",E56/C56))</x:f>
      </x:c>
    </x:row>
    <x:row r="57" ht="23" customHeight="1">
      <x:c r="B57" s="2" t="str">
        <x:f>IF(COUNTIFS('Donnees'!$L$2:$L$2001,50)=0,"",INDEX('Donnees'!$E$2:$E$2001,MATCH(50,'Donnees'!$L$2:$L$2001,0)))</x:f>
      </x:c>
      <x:c r="C57" s="2" t="str">
        <x:f>IF(B57="","",COUNTIFS('Donnees'!$A$2:$A$2001,"&lt;&gt;",'Donnees'!$C$2:$C$2001,"&gt;="&amp;'Tableau de bord'!$C$5,'Donnees'!$C$2:$C$2001,"&lt;="&amp;'Tableau de bord'!$F$5,'Donnees'!$F$2:$F$2001,IF('Tableau de bord'!$J$5="Toutes","*",'Tableau de bord'!$J$5),'Donnees'!$E$2:$E$2001,B57))</x:f>
      </x:c>
      <x:c r="D57" s="2" t="str">
        <x:f>IF(B57="","",COUNTIFS('Donnees'!$A$2:$A$2001,"&lt;&gt;",'Donnees'!$C$2:$C$2001,"&gt;="&amp;'Tableau de bord'!$C$5,'Donnees'!$C$2:$C$2001,"&lt;="&amp;'Tableau de bord'!$F$5,'Donnees'!$F$2:$F$2001,IF('Tableau de bord'!$J$5="Toutes","*",'Tableau de bord'!$J$5),'Donnees'!$E$2:$E$2001,B57,'Donnees'!$G$2:$G$2001,"mail validé"))</x:f>
      </x:c>
      <x:c r="E57" s="2" t="str">
        <x:f>IF(B57="","",COUNTIFS('Donnees'!$A$2:$A$2001,"&lt;&gt;",'Donnees'!$C$2:$C$2001,"&gt;="&amp;'Tableau de bord'!$C$5,'Donnees'!$C$2:$C$2001,"&lt;="&amp;'Tableau de bord'!$F$5,'Donnees'!$F$2:$F$2001,IF('Tableau de bord'!$J$5="Toutes","*",'Tableau de bord'!$J$5),'Donnees'!$E$2:$E$2001,B57,'Donnees'!$G$2:$G$2001,"mail non validé"))</x:f>
      </x:c>
      <x:c r="F57" s="2" t="str">
        <x:f>IF(B57="","",COUNTIFS('Donnees'!$A$2:$A$2001,"&lt;&gt;",'Donnees'!$C$2:$C$2001,"&gt;="&amp;'Tableau de bord'!$C$5,'Donnees'!$C$2:$C$2001,"&lt;="&amp;'Tableau de bord'!$F$5,'Donnees'!$F$2:$F$2001,IF('Tableau de bord'!$J$5="Toutes","*",'Tableau de bord'!$J$5),'Donnees'!$E$2:$E$2001,B57,'Donnees'!$G$2:$G$2001,"à vérifier"))</x:f>
      </x:c>
      <x:c r="G57" s="2" t="str">
        <x:f>IF(B57="","",COUNTIFS('Donnees'!$A$2:$A$2001,"&lt;&gt;",'Donnees'!$C$2:$C$2001,"&gt;="&amp;'Tableau de bord'!$C$5,'Donnees'!$C$2:$C$2001,"&lt;="&amp;'Tableau de bord'!$F$5,'Donnees'!$F$2:$F$2001,IF('Tableau de bord'!$J$5="Toutes","*",'Tableau de bord'!$J$5),'Donnees'!$E$2:$E$2001,B57,'Donnees'!$G$2:$G$2001,"mail non validé",'Donnees'!$H$2:$H$2001,"Q1"))</x:f>
      </x:c>
      <x:c r="H57" s="2" t="str">
        <x:f>IF(B57="","",COUNTIFS('Donnees'!$A$2:$A$2001,"&lt;&gt;",'Donnees'!$C$2:$C$2001,"&gt;="&amp;'Tableau de bord'!$C$5,'Donnees'!$C$2:$C$2001,"&lt;="&amp;'Tableau de bord'!$F$5,'Donnees'!$F$2:$F$2001,IF('Tableau de bord'!$J$5="Toutes","*",'Tableau de bord'!$J$5),'Donnees'!$E$2:$E$2001,B57,'Donnees'!$G$2:$G$2001,"mail non validé",'Donnees'!$H$2:$H$2001,"Q2"))</x:f>
      </x:c>
      <x:c r="I57" s="2" t="str">
        <x:f>IF(B57="","",COUNTIFS('Donnees'!$A$2:$A$2001,"&lt;&gt;",'Donnees'!$C$2:$C$2001,"&gt;="&amp;'Tableau de bord'!$C$5,'Donnees'!$C$2:$C$2001,"&lt;="&amp;'Tableau de bord'!$F$5,'Donnees'!$F$2:$F$2001,IF('Tableau de bord'!$J$5="Toutes","*",'Tableau de bord'!$J$5),'Donnees'!$E$2:$E$2001,B57,'Donnees'!$G$2:$G$2001,"mail non validé",'Donnees'!$H$2:$H$2001,"Q3"))</x:f>
      </x:c>
      <x:c r="J57" s="2" t="str">
        <x:f>IF(B57="","",COUNTIFS('Donnees'!$A$2:$A$2001,"&lt;&gt;",'Donnees'!$C$2:$C$2001,"&gt;="&amp;'Tableau de bord'!$C$5,'Donnees'!$C$2:$C$2001,"&lt;="&amp;'Tableau de bord'!$F$5,'Donnees'!$F$2:$F$2001,IF('Tableau de bord'!$J$5="Toutes","*",'Tableau de bord'!$J$5),'Donnees'!$E$2:$E$2001,B57,'Donnees'!$G$2:$G$2001,"mail non validé",'Donnees'!$H$2:$H$2001,"Q4"))</x:f>
      </x:c>
      <x:c r="K57" s="16" t="str">
        <x:f>IF(B57="","",IF(C57=0,"n.a.",E57/C57))</x:f>
      </x:c>
    </x:row>
    <x:row r="58" ht="23" customHeight="1">
      <x:c r="B58" s="2"/>
      <x:c r="C58" s="2"/>
      <x:c r="D58" s="2"/>
      <x:c r="E58" s="2"/>
      <x:c r="F58" s="2"/>
      <x:c r="G58" s="2"/>
      <x:c r="H58" s="2"/>
      <x:c r="I58" s="2"/>
      <x:c r="J58" s="2"/>
      <x:c r="K58" s="2"/>
    </x:row>
    <x:row r="59" ht="23" customHeight="1">
      <x:c r="B59" s="18" t="str">
        <x:v>TOTAL</x:v>
      </x:c>
      <x:c r="C59" s="18" t="n">
        <x:f>SUM(C8:C57)</x:f>
        <x:v>171</x:v>
      </x:c>
      <x:c r="D59" s="18" t="n">
        <x:f>SUM(D8:D57)</x:f>
        <x:v>121</x:v>
      </x:c>
      <x:c r="E59" s="18" t="n">
        <x:f>SUM(E8:E57)</x:f>
        <x:v>47</x:v>
      </x:c>
      <x:c r="F59" s="18" t="n">
        <x:f>SUM(F8:F57)</x:f>
        <x:v>3</x:v>
      </x:c>
      <x:c r="G59" s="18" t="n">
        <x:f>SUM(G8:G57)</x:f>
        <x:v>11</x:v>
      </x:c>
      <x:c r="H59" s="18" t="n">
        <x:f>SUM(H8:H57)</x:f>
        <x:v>11</x:v>
      </x:c>
      <x:c r="I59" s="18" t="n">
        <x:f>SUM(I8:I57)</x:f>
        <x:v>25</x:v>
      </x:c>
      <x:c r="J59" s="18" t="n">
        <x:f>SUM(J8:J57)</x:f>
        <x:v>0</x:v>
      </x:c>
      <x:c r="K59" s="19" t="n">
        <x:f>IF(C59=0,"n.a.",E59/C59)</x:f>
        <x:v>0.27485380116959063</x:v>
      </x:c>
    </x:row>
    <x:row r="60" ht="23" customHeight="1">
      <x:c r="B60" s="2"/>
      <x:c r="C60" s="2"/>
      <x:c r="D60" s="2"/>
      <x:c r="E60" s="2"/>
      <x:c r="F60" s="2"/>
      <x:c r="G60" s="2"/>
      <x:c r="H60" s="2"/>
      <x:c r="I60" s="2"/>
      <x:c r="J60" s="2"/>
      <x:c r="K60" s="2"/>
    </x:row>
    <x:row r="61" ht="23" customHeight="1">
      <x:c r="B61" s="2" t="str">
        <x:f>IF(MAX('Donnees'!$L$2:$L$2001)&gt;50,"ALERTE : plus de 50 collaborateurs ; étendre les formules","")</x:f>
      </x:c>
      <x:c r="C61" s="2"/>
      <x:c r="D61" s="2"/>
      <x:c r="E61" s="2"/>
      <x:c r="F61" s="2"/>
      <x:c r="G61" s="2"/>
      <x:c r="H61" s="2"/>
      <x:c r="I61" s="2"/>
      <x:c r="J61" s="2"/>
      <x:c r="K61" s="2"/>
    </x:row>
    <x:row r="62" ht="23" customHeight="1">
      <x:c r="B62" s="10" t="str">
        <x:v>Les lignes réservées se remplissent automatiquement après actualisation de la source.</x:v>
      </x:c>
      <x:c r="C62" s="2"/>
      <x:c r="D62" s="2"/>
      <x:c r="E62" s="2"/>
      <x:c r="F62" s="2"/>
      <x:c r="G62" s="2"/>
      <x:c r="H62" s="2"/>
      <x:c r="I62" s="2"/>
      <x:c r="J62" s="2"/>
      <x:c r="K62" s="2"/>
    </x:row>
  </x:sheetData>
  <x:conditionalFormatting sqref="G8:J57">
    <x:cfRule type="cellIs" dxfId="0" priority="1" operator="greaterThan">
      <x:formula>0</x:formula>
    </x:cfRule>
  </x:conditionalFormatting>
  <x:pageMargins left="0.7" right="0.7" top="0.75" bottom="0.75" header="0.3" footer="0.3"/>
</x:worksheet>
</file>

<file path=xl/worksheets/sheet3.xml><?xml version="1.0" encoding="utf-8"?>
<x:worksheet xmlns:x="http://schemas.openxmlformats.org/spreadsheetml/2006/main">
  <x:sheetPr>
    <x:tabColor rgb="FFB77C18"/>
  </x:sheetPr>
  <x:sheetViews>
    <x:sheetView showGridLines="0" workbookViewId="0">
      <x:pane ySplit="5" topLeftCell="A6" activePane="bottomLeft" state="frozen"/>
    </x:sheetView>
  </x:sheetViews>
  <x:sheetFormatPr defaultRowHeight="15"/>
  <x:cols>
    <x:col min="1" max="1" width="20" hidden="0" customWidth="1"/>
    <x:col min="2" max="2" width="32" hidden="0" customWidth="1"/>
    <x:col min="3" max="3" width="20" hidden="0" customWidth="1"/>
    <x:col min="4" max="4" width="20" hidden="0" customWidth="1"/>
    <x:col min="5" max="5" width="20" hidden="0" customWidth="1"/>
    <x:col min="6" max="6" width="90" hidden="0" customWidth="1"/>
    <x:col min="7" max="7" width="35" hidden="0" customWidth="1"/>
    <x:col min="8" max="8" width="35" hidden="0" customWidth="1"/>
    <x:col min="9" max="9" width="20" hidden="0" customWidth="1"/>
    <x:col min="10" max="10" width="20" hidden="0" customWidth="1"/>
    <x:col min="11" max="11" width="20" hidden="0" customWidth="1"/>
    <x:col min="12" max="12" width="20" hidden="0" customWidth="1"/>
    <x:col min="13" max="13" width="20" hidden="0" customWidth="1"/>
  </x:cols>
  <x:sheetData>
    <x:row r="1" ht="23" customHeight="1">
      <x:c r="A1" s="2"/>
      <x:c r="B1" s="2"/>
      <x:c r="C1" s="2"/>
      <x:c r="D1" s="2"/>
      <x:c r="E1" s="2"/>
      <x:c r="F1" s="2"/>
      <x:c r="G1" s="2"/>
      <x:c r="H1" s="2"/>
      <x:c r="I1" s="2"/>
      <x:c r="J1" s="2"/>
      <x:c r="K1" s="2"/>
      <x:c r="L1" s="2"/>
      <x:c r="M1" s="2"/>
    </x:row>
    <x:row r="2" ht="23" customHeight="1">
      <x:c r="A2" s="9" t="str">
        <x:v>Corrections et recontrôles</x:v>
      </x:c>
      <x:c r="B2" s="2"/>
      <x:c r="C2" s="2"/>
      <x:c r="D2" s="2"/>
      <x:c r="E2" s="2"/>
      <x:c r="F2" s="2"/>
      <x:c r="G2" s="2"/>
      <x:c r="H2" s="2"/>
      <x:c r="I2" s="2"/>
      <x:c r="J2" s="2"/>
      <x:c r="K2" s="2"/>
      <x:c r="L2" s="2"/>
      <x:c r="M2" s="2"/>
    </x:row>
    <x:row r="3" ht="23" customHeight="1">
      <x:c r="A3" s="10" t="str">
        <x:v>Saisir dans les colonnes ambrées. L’Id War rattache la correction au dossier, même après un tri.</x:v>
      </x:c>
      <x:c r="B3" s="2"/>
      <x:c r="C3" s="2"/>
      <x:c r="D3" s="2"/>
      <x:c r="E3" s="2"/>
      <x:c r="F3" s="2"/>
      <x:c r="G3" s="2"/>
      <x:c r="H3" s="2"/>
      <x:c r="I3" s="2"/>
      <x:c r="J3" s="2"/>
      <x:c r="K3" s="2"/>
      <x:c r="L3" s="2"/>
      <x:c r="M3" s="2"/>
    </x:row>
    <x:row r="4" ht="23" customHeight="1">
      <x:c r="A4" s="10" t="str">
        <x:v>Ajouter les nouveaux Id War à suivre en fin de tableau et recopier les formules B:F et M. Limite : 1 000 suivis.</x:v>
      </x:c>
      <x:c r="B4" s="2"/>
      <x:c r="C4" s="2"/>
      <x:c r="D4" s="2"/>
      <x:c r="E4" s="2"/>
      <x:c r="F4" s="2"/>
      <x:c r="G4" s="2"/>
      <x:c r="H4" s="2"/>
      <x:c r="I4" s="2"/>
      <x:c r="J4" s="2"/>
      <x:c r="K4" s="2"/>
      <x:c r="L4" s="2"/>
      <x:c r="M4" s="2"/>
    </x:row>
    <x:row r="5" ht="34" customHeight="1">
      <x:c r="A5" s="6" t="str">
        <x:v>Id War</x:v>
      </x:c>
      <x:c r="B5" s="6" t="str">
        <x:v>Collaborateur</x:v>
      </x:c>
      <x:c r="C5" s="6" t="str">
        <x:v>Nature</x:v>
      </x:c>
      <x:c r="D5" s="6" t="str">
        <x:v>Décision initiale</x:v>
      </x:c>
      <x:c r="E5" s="6" t="str">
        <x:v>Quartile</x:v>
      </x:c>
      <x:c r="F5" s="6" t="str">
        <x:v>Commentaire initial</x:v>
      </x:c>
      <x:c r="G5" s="6" t="str">
        <x:v>Motif retenu</x:v>
      </x:c>
      <x:c r="H5" s="6" t="str">
        <x:v>Action corrective</x:v>
      </x:c>
      <x:c r="I5" s="6" t="str">
        <x:v>Responsable</x:v>
      </x:c>
      <x:c r="J5" s="6" t="str">
        <x:v>Date correction</x:v>
      </x:c>
      <x:c r="K5" s="6" t="str">
        <x:v>Résultat recontrôle</x:v>
      </x:c>
      <x:c r="L5" s="6" t="str">
        <x:v>Date recontrôle</x:v>
      </x:c>
      <x:c r="M5" s="6" t="str">
        <x:v>État du suivi</x:v>
      </x:c>
    </x:row>
    <x:row r="6" ht="64" customHeight="1">
      <x:c r="A6" s="20" t="str">
        <x:v>1333101</x:v>
      </x:c>
      <x:c r="B6" s="2" t="str">
        <x:f>IF(A6="","",IF(COUNTIFS('Donnees'!$A$2:$A$2001,A6)&lt;&gt;1,"ID absent ou doublon",IF(INDEX('Donnees'!$A$2:$L$2001,MATCH(A6,'Donnees'!$A$2:$A$2001,0),5)="","",INDEX('Donnees'!$A$2:$L$2001,MATCH(A6,'Donnees'!$A$2:$A$2001,0),5))))</x:f>
        <x:v>SANE Mohamed lamine</x:v>
      </x:c>
      <x:c r="C6" s="2" t="str">
        <x:f>IF(A6="","",IF(COUNTIFS('Donnees'!$A$2:$A$2001,A6)&lt;&gt;1,"ID absent ou doublon",IF(INDEX('Donnees'!$A$2:$L$2001,MATCH(A6,'Donnees'!$A$2:$A$2001,0),6)="","",INDEX('Donnees'!$A$2:$L$2001,MATCH(A6,'Donnees'!$A$2:$A$2001,0),6))))</x:f>
        <x:v>RIB</x:v>
      </x:c>
      <x:c r="D6" s="2" t="str">
        <x:f>IF(A6="","",IF(COUNTIFS('Donnees'!$A$2:$A$2001,A6)&lt;&gt;1,"ID absent ou doublon",IF(INDEX('Donnees'!$A$2:$L$2001,MATCH(A6,'Donnees'!$A$2:$A$2001,0),7)="","",INDEX('Donnees'!$A$2:$L$2001,MATCH(A6,'Donnees'!$A$2:$A$2001,0),7))))</x:f>
        <x:v>mail non validé</x:v>
      </x:c>
      <x:c r="E6" s="2" t="str">
        <x:f>IF(A6="","",IF(COUNTIFS('Donnees'!$A$2:$A$2001,A6)&lt;&gt;1,"ID absent ou doublon",IF(INDEX('Donnees'!$A$2:$L$2001,MATCH(A6,'Donnees'!$A$2:$A$2001,0),8)="","",INDEX('Donnees'!$A$2:$L$2001,MATCH(A6,'Donnees'!$A$2:$A$2001,0),8))))</x:f>
        <x:v>Q1</x:v>
      </x:c>
      <x:c r="F6" s="24" t="str">
        <x:f>IF(A6="","",IF(COUNTIFS('Donnees'!$A$2:$A$2001,A6)&lt;&gt;1,"ID absent ou doublon",IF(INDEX('Donnees'!$A$2:$L$2001,MATCH(A6,'Donnees'!$A$2:$A$2001,0),9)="","",INDEX('Donnees'!$A$2:$L$2001,MATCH(A6,'Donnees'!$A$2:$A$2001,0),9))))</x:f>
        <x:v>AH-l'adresse qui figure sur le RIB n'est pas la même sur SIP donc il faut informer le client + proposition via Ec ko car déjà la demande est via EC// Création WEB changement RIB//MODIF RIB OK </x:v>
      </x:c>
      <x:c r="G6" s="25"/>
      <x:c r="H6" s="25"/>
      <x:c r="I6" s="12"/>
      <x:c r="J6" s="11"/>
      <x:c r="K6" s="12"/>
      <x:c r="L6" s="11"/>
      <x:c r="M6" s="2" t="str">
        <x:f>IF(A6="","",IF(OR(COUNTIFS($A$6:$A$1005,A6)&lt;&gt;1,COUNTIFS('Donnees'!$A$2:$A$2001,A6)&lt;&gt;1),"À clarifier",IF(AND(K6="Conforme",L6&lt;&gt;"",I6&lt;&gt;"",OR(D6="mail validé",AND(D6="à vérifier",H6&lt;&gt;""),AND(D6="mail non validé",G6&lt;&gt;"",H6&lt;&gt;"",J6&lt;&gt;""))),"Clôturé",IF(K6="Conforme","À compléter",IF(D6="à vérifier","À clarifier",IF(K6="Non conforme","À corriger",IF(J6&lt;&gt;"","À recontrôler","À corriger")))))))</x:f>
        <x:v>À corriger</x:v>
      </x:c>
    </x:row>
    <x:row r="7" ht="64" customHeight="1">
      <x:c r="A7" s="20" t="str">
        <x:v>1333228</x:v>
      </x:c>
      <x:c r="B7" s="2" t="str">
        <x:f>IF(A7="","",IF(COUNTIFS('Donnees'!$A$2:$A$2001,A7)&lt;&gt;1,"ID absent ou doublon",IF(INDEX('Donnees'!$A$2:$L$2001,MATCH(A7,'Donnees'!$A$2:$A$2001,0),5)="","",INDEX('Donnees'!$A$2:$L$2001,MATCH(A7,'Donnees'!$A$2:$A$2001,0),5))))</x:f>
        <x:v>SEMBENE Papalaty</x:v>
      </x:c>
      <x:c r="C7" s="2" t="str">
        <x:f>IF(A7="","",IF(COUNTIFS('Donnees'!$A$2:$A$2001,A7)&lt;&gt;1,"ID absent ou doublon",IF(INDEX('Donnees'!$A$2:$L$2001,MATCH(A7,'Donnees'!$A$2:$A$2001,0),6)="","",INDEX('Donnees'!$A$2:$L$2001,MATCH(A7,'Donnees'!$A$2:$A$2001,0),6))))</x:f>
        <x:v>RIB</x:v>
      </x:c>
      <x:c r="D7" s="2" t="str">
        <x:f>IF(A7="","",IF(COUNTIFS('Donnees'!$A$2:$A$2001,A7)&lt;&gt;1,"ID absent ou doublon",IF(INDEX('Donnees'!$A$2:$L$2001,MATCH(A7,'Donnees'!$A$2:$A$2001,0),7)="","",INDEX('Donnees'!$A$2:$L$2001,MATCH(A7,'Donnees'!$A$2:$A$2001,0),7))))</x:f>
        <x:v>mail non validé</x:v>
      </x:c>
      <x:c r="E7" s="2" t="str">
        <x:f>IF(A7="","",IF(COUNTIFS('Donnees'!$A$2:$A$2001,A7)&lt;&gt;1,"ID absent ou doublon",IF(INDEX('Donnees'!$A$2:$L$2001,MATCH(A7,'Donnees'!$A$2:$A$2001,0),8)="","",INDEX('Donnees'!$A$2:$L$2001,MATCH(A7,'Donnees'!$A$2:$A$2001,0),8))))</x:f>
        <x:v>Q1</x:v>
      </x:c>
      <x:c r="F7" s="24" t="str">
        <x:f>IF(A7="","",IF(COUNTIFS('Donnees'!$A$2:$A$2001,A7)&lt;&gt;1,"ID absent ou doublon",IF(INDEX('Donnees'!$A$2:$L$2001,MATCH(A7,'Donnees'!$A$2:$A$2001,0),9)="","",INDEX('Donnees'!$A$2:$L$2001,MATCH(A7,'Donnees'!$A$2:$A$2001,0),9))))</x:f>
        <x:v>AH-proposition EC ko +l'adresse mail n'est pas enregistrer sur sip// Fin de démembrement, RIB enregistré.</x:v>
      </x:c>
      <x:c r="G7" s="25"/>
      <x:c r="H7" s="25"/>
      <x:c r="I7" s="12"/>
      <x:c r="J7" s="11"/>
      <x:c r="K7" s="12"/>
      <x:c r="L7" s="11"/>
      <x:c r="M7" s="2" t="str">
        <x:f>IF(A7="","",IF(OR(COUNTIFS($A$6:$A$1005,A7)&lt;&gt;1,COUNTIFS('Donnees'!$A$2:$A$2001,A7)&lt;&gt;1),"À clarifier",IF(AND(K7="Conforme",L7&lt;&gt;"",I7&lt;&gt;"",OR(D7="mail validé",AND(D7="à vérifier",H7&lt;&gt;""),AND(D7="mail non validé",G7&lt;&gt;"",H7&lt;&gt;"",J7&lt;&gt;""))),"Clôturé",IF(K7="Conforme","À compléter",IF(D7="à vérifier","À clarifier",IF(K7="Non conforme","À corriger",IF(J7&lt;&gt;"","À recontrôler","À corriger")))))))</x:f>
        <x:v>À corriger</x:v>
      </x:c>
    </x:row>
    <x:row r="8" ht="64" customHeight="1">
      <x:c r="A8" s="20" t="str">
        <x:v>1333363</x:v>
      </x:c>
      <x:c r="B8" s="2" t="str">
        <x:f>IF(A8="","",IF(COUNTIFS('Donnees'!$A$2:$A$2001,A8)&lt;&gt;1,"ID absent ou doublon",IF(INDEX('Donnees'!$A$2:$L$2001,MATCH(A8,'Donnees'!$A$2:$A$2001,0),5)="","",INDEX('Donnees'!$A$2:$L$2001,MATCH(A8,'Donnees'!$A$2:$A$2001,0),5))))</x:f>
        <x:v>HABBOUB Karim</x:v>
      </x:c>
      <x:c r="C8" s="2" t="str">
        <x:f>IF(A8="","",IF(COUNTIFS('Donnees'!$A$2:$A$2001,A8)&lt;&gt;1,"ID absent ou doublon",IF(INDEX('Donnees'!$A$2:$L$2001,MATCH(A8,'Donnees'!$A$2:$A$2001,0),6)="","",INDEX('Donnees'!$A$2:$L$2001,MATCH(A8,'Donnees'!$A$2:$A$2001,0),6))))</x:f>
        <x:v>RIB</x:v>
      </x:c>
      <x:c r="D8" s="2" t="str">
        <x:f>IF(A8="","",IF(COUNTIFS('Donnees'!$A$2:$A$2001,A8)&lt;&gt;1,"ID absent ou doublon",IF(INDEX('Donnees'!$A$2:$L$2001,MATCH(A8,'Donnees'!$A$2:$A$2001,0),7)="","",INDEX('Donnees'!$A$2:$L$2001,MATCH(A8,'Donnees'!$A$2:$A$2001,0),7))))</x:f>
        <x:v>mail non validé</x:v>
      </x:c>
      <x:c r="E8" s="2" t="str">
        <x:f>IF(A8="","",IF(COUNTIFS('Donnees'!$A$2:$A$2001,A8)&lt;&gt;1,"ID absent ou doublon",IF(INDEX('Donnees'!$A$2:$L$2001,MATCH(A8,'Donnees'!$A$2:$A$2001,0),8)="","",INDEX('Donnees'!$A$2:$L$2001,MATCH(A8,'Donnees'!$A$2:$A$2001,0),8))))</x:f>
        <x:v>Q1</x:v>
      </x:c>
      <x:c r="F8" s="24" t="str">
        <x:f>IF(A8="","",IF(COUNTIFS('Donnees'!$A$2:$A$2001,A8)&lt;&gt;1,"ID absent ou doublon",IF(INDEX('Donnees'!$A$2:$L$2001,MATCH(A8,'Donnees'!$A$2:$A$2001,0),9)="","",INDEX('Donnees'!$A$2:$L$2001,MATCH(A8,'Donnees'!$A$2:$A$2001,0),9))))</x:f>
        <x:v>AH-il faut demander un rib au nom des deux // modif rib ok</x:v>
      </x:c>
      <x:c r="G8" s="25"/>
      <x:c r="H8" s="25"/>
      <x:c r="I8" s="12"/>
      <x:c r="J8" s="11"/>
      <x:c r="K8" s="12"/>
      <x:c r="L8" s="11"/>
      <x:c r="M8" s="2" t="str">
        <x:f>IF(A8="","",IF(OR(COUNTIFS($A$6:$A$1005,A8)&lt;&gt;1,COUNTIFS('Donnees'!$A$2:$A$2001,A8)&lt;&gt;1),"À clarifier",IF(AND(K8="Conforme",L8&lt;&gt;"",I8&lt;&gt;"",OR(D8="mail validé",AND(D8="à vérifier",H8&lt;&gt;""),AND(D8="mail non validé",G8&lt;&gt;"",H8&lt;&gt;"",J8&lt;&gt;""))),"Clôturé",IF(K8="Conforme","À compléter",IF(D8="à vérifier","À clarifier",IF(K8="Non conforme","À corriger",IF(J8&lt;&gt;"","À recontrôler","À corriger")))))))</x:f>
        <x:v>À corriger</x:v>
      </x:c>
    </x:row>
    <x:row r="9" ht="64" customHeight="1">
      <x:c r="A9" s="20" t="str">
        <x:v>1333410</x:v>
      </x:c>
      <x:c r="B9" s="2" t="str">
        <x:f>IF(A9="","",IF(COUNTIFS('Donnees'!$A$2:$A$2001,A9)&lt;&gt;1,"ID absent ou doublon",IF(INDEX('Donnees'!$A$2:$L$2001,MATCH(A9,'Donnees'!$A$2:$A$2001,0),5)="","",INDEX('Donnees'!$A$2:$L$2001,MATCH(A9,'Donnees'!$A$2:$A$2001,0),5))))</x:f>
        <x:v>EL HASROUF Youssef</x:v>
      </x:c>
      <x:c r="C9" s="2" t="str">
        <x:f>IF(A9="","",IF(COUNTIFS('Donnees'!$A$2:$A$2001,A9)&lt;&gt;1,"ID absent ou doublon",IF(INDEX('Donnees'!$A$2:$L$2001,MATCH(A9,'Donnees'!$A$2:$A$2001,0),6)="","",INDEX('Donnees'!$A$2:$L$2001,MATCH(A9,'Donnees'!$A$2:$A$2001,0),6))))</x:f>
        <x:v>RIB</x:v>
      </x:c>
      <x:c r="D9" s="2" t="str">
        <x:f>IF(A9="","",IF(COUNTIFS('Donnees'!$A$2:$A$2001,A9)&lt;&gt;1,"ID absent ou doublon",IF(INDEX('Donnees'!$A$2:$L$2001,MATCH(A9,'Donnees'!$A$2:$A$2001,0),7)="","",INDEX('Donnees'!$A$2:$L$2001,MATCH(A9,'Donnees'!$A$2:$A$2001,0),7))))</x:f>
        <x:v>mail non validé</x:v>
      </x:c>
      <x:c r="E9" s="2" t="str">
        <x:f>IF(A9="","",IF(COUNTIFS('Donnees'!$A$2:$A$2001,A9)&lt;&gt;1,"ID absent ou doublon",IF(INDEX('Donnees'!$A$2:$L$2001,MATCH(A9,'Donnees'!$A$2:$A$2001,0),8)="","",INDEX('Donnees'!$A$2:$L$2001,MATCH(A9,'Donnees'!$A$2:$A$2001,0),8))))</x:f>
        <x:v>Q2</x:v>
      </x:c>
      <x:c r="F9" s="24" t="str">
        <x:f>IF(A9="","",IF(COUNTIFS('Donnees'!$A$2:$A$2001,A9)&lt;&gt;1,"ID absent ou doublon",IF(INDEX('Donnees'!$A$2:$L$2001,MATCH(A9,'Donnees'!$A$2:$A$2001,0),9)="","",INDEX('Donnees'!$A$2:$L$2001,MATCH(A9,'Donnees'!$A$2:$A$2001,0),9))))</x:f>
        <x:v>AH-l'adresse qui figure sur le RIB n'est pas la même sur SIP donc il faut informer la cliente // modif rib ok , solde bloqué 158,53 €</x:v>
      </x:c>
      <x:c r="G9" s="25"/>
      <x:c r="H9" s="25"/>
      <x:c r="I9" s="12"/>
      <x:c r="J9" s="11"/>
      <x:c r="K9" s="12"/>
      <x:c r="L9" s="11"/>
      <x:c r="M9" s="2" t="str">
        <x:f>IF(A9="","",IF(OR(COUNTIFS($A$6:$A$1005,A9)&lt;&gt;1,COUNTIFS('Donnees'!$A$2:$A$2001,A9)&lt;&gt;1),"À clarifier",IF(AND(K9="Conforme",L9&lt;&gt;"",I9&lt;&gt;"",OR(D9="mail validé",AND(D9="à vérifier",H9&lt;&gt;""),AND(D9="mail non validé",G9&lt;&gt;"",H9&lt;&gt;"",J9&lt;&gt;""))),"Clôturé",IF(K9="Conforme","À compléter",IF(D9="à vérifier","À clarifier",IF(K9="Non conforme","À corriger",IF(J9&lt;&gt;"","À recontrôler","À corriger")))))))</x:f>
        <x:v>À corriger</x:v>
      </x:c>
    </x:row>
    <x:row r="10" ht="64" customHeight="1">
      <x:c r="A10" s="20" t="str">
        <x:v>1333177</x:v>
      </x:c>
      <x:c r="B10" s="2" t="str">
        <x:f>IF(A10="","",IF(COUNTIFS('Donnees'!$A$2:$A$2001,A10)&lt;&gt;1,"ID absent ou doublon",IF(INDEX('Donnees'!$A$2:$L$2001,MATCH(A10,'Donnees'!$A$2:$A$2001,0),5)="","",INDEX('Donnees'!$A$2:$L$2001,MATCH(A10,'Donnees'!$A$2:$A$2001,0),5))))</x:f>
        <x:v>ZIRARI Chaimaa</x:v>
      </x:c>
      <x:c r="C10" s="2" t="str">
        <x:f>IF(A10="","",IF(COUNTIFS('Donnees'!$A$2:$A$2001,A10)&lt;&gt;1,"ID absent ou doublon",IF(INDEX('Donnees'!$A$2:$L$2001,MATCH(A10,'Donnees'!$A$2:$A$2001,0),6)="","",INDEX('Donnees'!$A$2:$L$2001,MATCH(A10,'Donnees'!$A$2:$A$2001,0),6))))</x:f>
        <x:v>DOM</x:v>
      </x:c>
      <x:c r="D10" s="2" t="str">
        <x:f>IF(A10="","",IF(COUNTIFS('Donnees'!$A$2:$A$2001,A10)&lt;&gt;1,"ID absent ou doublon",IF(INDEX('Donnees'!$A$2:$L$2001,MATCH(A10,'Donnees'!$A$2:$A$2001,0),7)="","",INDEX('Donnees'!$A$2:$L$2001,MATCH(A10,'Donnees'!$A$2:$A$2001,0),7))))</x:f>
        <x:v>mail non validé</x:v>
      </x:c>
      <x:c r="E10" s="2" t="str">
        <x:f>IF(A10="","",IF(COUNTIFS('Donnees'!$A$2:$A$2001,A10)&lt;&gt;1,"ID absent ou doublon",IF(INDEX('Donnees'!$A$2:$L$2001,MATCH(A10,'Donnees'!$A$2:$A$2001,0),8)="","",INDEX('Donnees'!$A$2:$L$2001,MATCH(A10,'Donnees'!$A$2:$A$2001,0),8))))</x:f>
        <x:v>Q3</x:v>
      </x:c>
      <x:c r="F10" s="24" t="str">
        <x:f>IF(A10="","",IF(COUNTIFS('Donnees'!$A$2:$A$2001,A10)&lt;&gt;1,"ID absent ou doublon",IF(INDEX('Donnees'!$A$2:$L$2001,MATCH(A10,'Donnees'!$A$2:$A$2001,0),9)="","",INDEX('Donnees'!$A$2:$L$2001,MATCH(A10,'Donnees'!$A$2:$A$2001,0),9))))</x:f>
        <x:v>AH-probléme de rédaction// Changement d'adresse postale demande de doc/Création WEB Changement d'adresse</x:v>
      </x:c>
      <x:c r="G10" s="25"/>
      <x:c r="H10" s="25"/>
      <x:c r="I10" s="12"/>
      <x:c r="J10" s="11"/>
      <x:c r="K10" s="12"/>
      <x:c r="L10" s="11"/>
      <x:c r="M10" s="2" t="str">
        <x:f>IF(A10="","",IF(OR(COUNTIFS($A$6:$A$1005,A10)&lt;&gt;1,COUNTIFS('Donnees'!$A$2:$A$2001,A10)&lt;&gt;1),"À clarifier",IF(AND(K10="Conforme",L10&lt;&gt;"",I10&lt;&gt;"",OR(D10="mail validé",AND(D10="à vérifier",H10&lt;&gt;""),AND(D10="mail non validé",G10&lt;&gt;"",H10&lt;&gt;"",J10&lt;&gt;""))),"Clôturé",IF(K10="Conforme","À compléter",IF(D10="à vérifier","À clarifier",IF(K10="Non conforme","À corriger",IF(J10&lt;&gt;"","À recontrôler","À corriger")))))))</x:f>
        <x:v>À corriger</x:v>
      </x:c>
    </x:row>
    <x:row r="11" ht="64" customHeight="1">
      <x:c r="A11" s="20" t="str">
        <x:v>1333310</x:v>
      </x:c>
      <x:c r="B11" s="2" t="str">
        <x:f>IF(A11="","",IF(COUNTIFS('Donnees'!$A$2:$A$2001,A11)&lt;&gt;1,"ID absent ou doublon",IF(INDEX('Donnees'!$A$2:$L$2001,MATCH(A11,'Donnees'!$A$2:$A$2001,0),5)="","",INDEX('Donnees'!$A$2:$L$2001,MATCH(A11,'Donnees'!$A$2:$A$2001,0),5))))</x:f>
        <x:v>MBOUP El hadji cheikh</x:v>
      </x:c>
      <x:c r="C11" s="2" t="str">
        <x:f>IF(A11="","",IF(COUNTIFS('Donnees'!$A$2:$A$2001,A11)&lt;&gt;1,"ID absent ou doublon",IF(INDEX('Donnees'!$A$2:$L$2001,MATCH(A11,'Donnees'!$A$2:$A$2001,0),6)="","",INDEX('Donnees'!$A$2:$L$2001,MATCH(A11,'Donnees'!$A$2:$A$2001,0),6))))</x:f>
        <x:v>DOM</x:v>
      </x:c>
      <x:c r="D11" s="2" t="str">
        <x:f>IF(A11="","",IF(COUNTIFS('Donnees'!$A$2:$A$2001,A11)&lt;&gt;1,"ID absent ou doublon",IF(INDEX('Donnees'!$A$2:$L$2001,MATCH(A11,'Donnees'!$A$2:$A$2001,0),7)="","",INDEX('Donnees'!$A$2:$L$2001,MATCH(A11,'Donnees'!$A$2:$A$2001,0),7))))</x:f>
        <x:v>mail non validé</x:v>
      </x:c>
      <x:c r="E11" s="2" t="str">
        <x:f>IF(A11="","",IF(COUNTIFS('Donnees'!$A$2:$A$2001,A11)&lt;&gt;1,"ID absent ou doublon",IF(INDEX('Donnees'!$A$2:$L$2001,MATCH(A11,'Donnees'!$A$2:$A$2001,0),8)="","",INDEX('Donnees'!$A$2:$L$2001,MATCH(A11,'Donnees'!$A$2:$A$2001,0),8))))</x:f>
        <x:v>Q2</x:v>
      </x:c>
      <x:c r="F11" s="24" t="str">
        <x:f>IF(A11="","",IF(COUNTIFS('Donnees'!$A$2:$A$2001,A11)&lt;&gt;1,"ID absent ou doublon",IF(INDEX('Donnees'!$A$2:$L$2001,MATCH(A11,'Donnees'!$A$2:$A$2001,0),9)="","",INDEX('Donnees'!$A$2:$L$2001,MATCH(A11,'Donnees'!$A$2:$A$2001,0),9))))</x:f>
        <x:v>AH-il faut ajouter le nom de son époux  SAINT- ART // MOD D'ADRESSE POSTALE OK</x:v>
      </x:c>
      <x:c r="G11" s="25"/>
      <x:c r="H11" s="25"/>
      <x:c r="I11" s="12"/>
      <x:c r="J11" s="11"/>
      <x:c r="K11" s="12"/>
      <x:c r="L11" s="11"/>
      <x:c r="M11" s="2" t="str">
        <x:f>IF(A11="","",IF(OR(COUNTIFS($A$6:$A$1005,A11)&lt;&gt;1,COUNTIFS('Donnees'!$A$2:$A$2001,A11)&lt;&gt;1),"À clarifier",IF(AND(K11="Conforme",L11&lt;&gt;"",I11&lt;&gt;"",OR(D11="mail validé",AND(D11="à vérifier",H11&lt;&gt;""),AND(D11="mail non validé",G11&lt;&gt;"",H11&lt;&gt;"",J11&lt;&gt;""))),"Clôturé",IF(K11="Conforme","À compléter",IF(D11="à vérifier","À clarifier",IF(K11="Non conforme","À corriger",IF(J11&lt;&gt;"","À recontrôler","À corriger")))))))</x:f>
        <x:v>À corriger</x:v>
      </x:c>
    </x:row>
    <x:row r="12" ht="64" customHeight="1">
      <x:c r="A12" s="20" t="str">
        <x:v>1333365</x:v>
      </x:c>
      <x:c r="B12" s="2" t="str">
        <x:f>IF(A12="","",IF(COUNTIFS('Donnees'!$A$2:$A$2001,A12)&lt;&gt;1,"ID absent ou doublon",IF(INDEX('Donnees'!$A$2:$L$2001,MATCH(A12,'Donnees'!$A$2:$A$2001,0),5)="","",INDEX('Donnees'!$A$2:$L$2001,MATCH(A12,'Donnees'!$A$2:$A$2001,0),5))))</x:f>
        <x:v>HABBOUB Karim</x:v>
      </x:c>
      <x:c r="C12" s="2" t="str">
        <x:f>IF(A12="","",IF(COUNTIFS('Donnees'!$A$2:$A$2001,A12)&lt;&gt;1,"ID absent ou doublon",IF(INDEX('Donnees'!$A$2:$L$2001,MATCH(A12,'Donnees'!$A$2:$A$2001,0),6)="","",INDEX('Donnees'!$A$2:$L$2001,MATCH(A12,'Donnees'!$A$2:$A$2001,0),6))))</x:f>
        <x:v>DOM</x:v>
      </x:c>
      <x:c r="D12" s="2" t="str">
        <x:f>IF(A12="","",IF(COUNTIFS('Donnees'!$A$2:$A$2001,A12)&lt;&gt;1,"ID absent ou doublon",IF(INDEX('Donnees'!$A$2:$L$2001,MATCH(A12,'Donnees'!$A$2:$A$2001,0),7)="","",INDEX('Donnees'!$A$2:$L$2001,MATCH(A12,'Donnees'!$A$2:$A$2001,0),7))))</x:f>
        <x:v>mail non validé</x:v>
      </x:c>
      <x:c r="E12" s="2" t="str">
        <x:f>IF(A12="","",IF(COUNTIFS('Donnees'!$A$2:$A$2001,A12)&lt;&gt;1,"ID absent ou doublon",IF(INDEX('Donnees'!$A$2:$L$2001,MATCH(A12,'Donnees'!$A$2:$A$2001,0),8)="","",INDEX('Donnees'!$A$2:$L$2001,MATCH(A12,'Donnees'!$A$2:$A$2001,0),8))))</x:f>
        <x:v>Q1</x:v>
      </x:c>
      <x:c r="F12" s="24" t="str">
        <x:f>IF(A12="","",IF(COUNTIFS('Donnees'!$A$2:$A$2001,A12)&lt;&gt;1,"ID absent ou doublon",IF(INDEX('Donnees'!$A$2:$L$2001,MATCH(A12,'Donnees'!$A$2:$A$2001,0),9)="","",INDEX('Donnees'!$A$2:$L$2001,MATCH(A12,'Donnees'!$A$2:$A$2001,0),9))))</x:f>
        <x:v>AH-il faut maitre le Lieu de consommation(3EDTEBTBBATB,117BRUEPAULVAILLANT,COUTURIER,92240MALAKOFF)//MODIFICATION ADRESSE OK/CréationWEB Changement d'adresse</x:v>
      </x:c>
      <x:c r="G12" s="25"/>
      <x:c r="H12" s="25"/>
      <x:c r="I12" s="12"/>
      <x:c r="J12" s="11"/>
      <x:c r="K12" s="12"/>
      <x:c r="L12" s="11"/>
      <x:c r="M12" s="2" t="str">
        <x:f>IF(A12="","",IF(OR(COUNTIFS($A$6:$A$1005,A12)&lt;&gt;1,COUNTIFS('Donnees'!$A$2:$A$2001,A12)&lt;&gt;1),"À clarifier",IF(AND(K12="Conforme",L12&lt;&gt;"",I12&lt;&gt;"",OR(D12="mail validé",AND(D12="à vérifier",H12&lt;&gt;""),AND(D12="mail non validé",G12&lt;&gt;"",H12&lt;&gt;"",J12&lt;&gt;""))),"Clôturé",IF(K12="Conforme","À compléter",IF(D12="à vérifier","À clarifier",IF(K12="Non conforme","À corriger",IF(J12&lt;&gt;"","À recontrôler","À corriger")))))))</x:f>
        <x:v>À corriger</x:v>
      </x:c>
    </x:row>
    <x:row r="13" ht="64" customHeight="1">
      <x:c r="A13" s="20" t="str">
        <x:v>1333377</x:v>
      </x:c>
      <x:c r="B13" s="2" t="str">
        <x:f>IF(A13="","",IF(COUNTIFS('Donnees'!$A$2:$A$2001,A13)&lt;&gt;1,"ID absent ou doublon",IF(INDEX('Donnees'!$A$2:$L$2001,MATCH(A13,'Donnees'!$A$2:$A$2001,0),5)="","",INDEX('Donnees'!$A$2:$L$2001,MATCH(A13,'Donnees'!$A$2:$A$2001,0),5))))</x:f>
        <x:v>GUESSAR Zahra</x:v>
      </x:c>
      <x:c r="C13" s="2" t="str">
        <x:f>IF(A13="","",IF(COUNTIFS('Donnees'!$A$2:$A$2001,A13)&lt;&gt;1,"ID absent ou doublon",IF(INDEX('Donnees'!$A$2:$L$2001,MATCH(A13,'Donnees'!$A$2:$A$2001,0),6)="","",INDEX('Donnees'!$A$2:$L$2001,MATCH(A13,'Donnees'!$A$2:$A$2001,0),6))))</x:f>
        <x:v>DOM</x:v>
      </x:c>
      <x:c r="D13" s="2" t="str">
        <x:f>IF(A13="","",IF(COUNTIFS('Donnees'!$A$2:$A$2001,A13)&lt;&gt;1,"ID absent ou doublon",IF(INDEX('Donnees'!$A$2:$L$2001,MATCH(A13,'Donnees'!$A$2:$A$2001,0),7)="","",INDEX('Donnees'!$A$2:$L$2001,MATCH(A13,'Donnees'!$A$2:$A$2001,0),7))))</x:f>
        <x:v>mail non validé</x:v>
      </x:c>
      <x:c r="E13" s="2" t="str">
        <x:f>IF(A13="","",IF(COUNTIFS('Donnees'!$A$2:$A$2001,A13)&lt;&gt;1,"ID absent ou doublon",IF(INDEX('Donnees'!$A$2:$L$2001,MATCH(A13,'Donnees'!$A$2:$A$2001,0),8)="","",INDEX('Donnees'!$A$2:$L$2001,MATCH(A13,'Donnees'!$A$2:$A$2001,0),8))))</x:f>
        <x:v>Q1</x:v>
      </x:c>
      <x:c r="F13" s="24" t="str">
        <x:f>IF(A13="","",IF(COUNTIFS('Donnees'!$A$2:$A$2001,A13)&lt;&gt;1,"ID absent ou doublon",IF(INDEX('Donnees'!$A$2:$L$2001,MATCH(A13,'Donnees'!$A$2:$A$2001,0),9)="","",INDEX('Donnees'!$A$2:$L$2001,MATCH(A13,'Donnees'!$A$2:$A$2001,0),9))))</x:f>
        <x:v>AH-il fallait demander le verso de la PI //Modif adresse Ok // Création WEB Changement d'adresse</x:v>
      </x:c>
      <x:c r="G13" s="25"/>
      <x:c r="H13" s="25"/>
      <x:c r="I13" s="12"/>
      <x:c r="J13" s="11"/>
      <x:c r="K13" s="12"/>
      <x:c r="L13" s="11"/>
      <x:c r="M13" s="2" t="str">
        <x:f>IF(A13="","",IF(OR(COUNTIFS($A$6:$A$1005,A13)&lt;&gt;1,COUNTIFS('Donnees'!$A$2:$A$2001,A13)&lt;&gt;1),"À clarifier",IF(AND(K13="Conforme",L13&lt;&gt;"",I13&lt;&gt;"",OR(D13="mail validé",AND(D13="à vérifier",H13&lt;&gt;""),AND(D13="mail non validé",G13&lt;&gt;"",H13&lt;&gt;"",J13&lt;&gt;""))),"Clôturé",IF(K13="Conforme","À compléter",IF(D13="à vérifier","À clarifier",IF(K13="Non conforme","À corriger",IF(J13&lt;&gt;"","À recontrôler","À corriger")))))))</x:f>
        <x:v>À corriger</x:v>
      </x:c>
    </x:row>
    <x:row r="14" ht="64" customHeight="1">
      <x:c r="A14" s="20" t="str">
        <x:v>1333508</x:v>
      </x:c>
      <x:c r="B14" s="2" t="str">
        <x:f>IF(A14="","",IF(COUNTIFS('Donnees'!$A$2:$A$2001,A14)&lt;&gt;1,"ID absent ou doublon",IF(INDEX('Donnees'!$A$2:$L$2001,MATCH(A14,'Donnees'!$A$2:$A$2001,0),5)="","",INDEX('Donnees'!$A$2:$L$2001,MATCH(A14,'Donnees'!$A$2:$A$2001,0),5))))</x:f>
        <x:v>NGOM Saliou</x:v>
      </x:c>
      <x:c r="C14" s="2" t="str">
        <x:f>IF(A14="","",IF(COUNTIFS('Donnees'!$A$2:$A$2001,A14)&lt;&gt;1,"ID absent ou doublon",IF(INDEX('Donnees'!$A$2:$L$2001,MATCH(A14,'Donnees'!$A$2:$A$2001,0),6)="","",INDEX('Donnees'!$A$2:$L$2001,MATCH(A14,'Donnees'!$A$2:$A$2001,0),6))))</x:f>
        <x:v>DOM</x:v>
      </x:c>
      <x:c r="D14" s="2" t="str">
        <x:f>IF(A14="","",IF(COUNTIFS('Donnees'!$A$2:$A$2001,A14)&lt;&gt;1,"ID absent ou doublon",IF(INDEX('Donnees'!$A$2:$L$2001,MATCH(A14,'Donnees'!$A$2:$A$2001,0),7)="","",INDEX('Donnees'!$A$2:$L$2001,MATCH(A14,'Donnees'!$A$2:$A$2001,0),7))))</x:f>
        <x:v>mail non validé</x:v>
      </x:c>
      <x:c r="E14" s="2" t="str">
        <x:f>IF(A14="","",IF(COUNTIFS('Donnees'!$A$2:$A$2001,A14)&lt;&gt;1,"ID absent ou doublon",IF(INDEX('Donnees'!$A$2:$L$2001,MATCH(A14,'Donnees'!$A$2:$A$2001,0),8)="","",INDEX('Donnees'!$A$2:$L$2001,MATCH(A14,'Donnees'!$A$2:$A$2001,0),8))))</x:f>
        <x:v>Q1</x:v>
      </x:c>
      <x:c r="F14" s="24" t="str">
        <x:f>IF(A14="","",IF(COUNTIFS('Donnees'!$A$2:$A$2001,A14)&lt;&gt;1,"ID absent ou doublon",IF(INDEX('Donnees'!$A$2:$L$2001,MATCH(A14,'Donnees'!$A$2:$A$2001,0),9)="","",INDEX('Donnees'!$A$2:$L$2001,MATCH(A14,'Donnees'!$A$2:$A$2001,0),9))))</x:f>
        <x:v>AH-il faut ajouter les informations du client ou bien envoyer le mail de pierval directement à la cliente pour qu'elle puisse envoyer la demande elle-même // Création WEB Changement d'adresse // Modif adress, Transfert a PIERVAL SANTE</x:v>
      </x:c>
      <x:c r="G14" s="25"/>
      <x:c r="H14" s="25"/>
      <x:c r="I14" s="12"/>
      <x:c r="J14" s="11"/>
      <x:c r="K14" s="12"/>
      <x:c r="L14" s="11"/>
      <x:c r="M14" s="2" t="str">
        <x:f>IF(A14="","",IF(OR(COUNTIFS($A$6:$A$1005,A14)&lt;&gt;1,COUNTIFS('Donnees'!$A$2:$A$2001,A14)&lt;&gt;1),"À clarifier",IF(AND(K14="Conforme",L14&lt;&gt;"",I14&lt;&gt;"",OR(D14="mail validé",AND(D14="à vérifier",H14&lt;&gt;""),AND(D14="mail non validé",G14&lt;&gt;"",H14&lt;&gt;"",J14&lt;&gt;""))),"Clôturé",IF(K14="Conforme","À compléter",IF(D14="à vérifier","À clarifier",IF(K14="Non conforme","À corriger",IF(J14&lt;&gt;"","À recontrôler","À corriger")))))))</x:f>
        <x:v>À corriger</x:v>
      </x:c>
    </x:row>
    <x:row r="15" ht="64" customHeight="1">
      <x:c r="A15" s="20" t="str">
        <x:v>1333588</x:v>
      </x:c>
      <x:c r="B15" s="2" t="str">
        <x:f>IF(A15="","",IF(COUNTIFS('Donnees'!$A$2:$A$2001,A15)&lt;&gt;1,"ID absent ou doublon",IF(INDEX('Donnees'!$A$2:$L$2001,MATCH(A15,'Donnees'!$A$2:$A$2001,0),5)="","",INDEX('Donnees'!$A$2:$L$2001,MATCH(A15,'Donnees'!$A$2:$A$2001,0),5))))</x:f>
        <x:v>MBOUP El hadji cheikh</x:v>
      </x:c>
      <x:c r="C15" s="2" t="str">
        <x:f>IF(A15="","",IF(COUNTIFS('Donnees'!$A$2:$A$2001,A15)&lt;&gt;1,"ID absent ou doublon",IF(INDEX('Donnees'!$A$2:$L$2001,MATCH(A15,'Donnees'!$A$2:$A$2001,0),6)="","",INDEX('Donnees'!$A$2:$L$2001,MATCH(A15,'Donnees'!$A$2:$A$2001,0),6))))</x:f>
        <x:v>RIB</x:v>
      </x:c>
      <x:c r="D15" s="2" t="str">
        <x:f>IF(A15="","",IF(COUNTIFS('Donnees'!$A$2:$A$2001,A15)&lt;&gt;1,"ID absent ou doublon",IF(INDEX('Donnees'!$A$2:$L$2001,MATCH(A15,'Donnees'!$A$2:$A$2001,0),7)="","",INDEX('Donnees'!$A$2:$L$2001,MATCH(A15,'Donnees'!$A$2:$A$2001,0),7))))</x:f>
        <x:v>mail non validé</x:v>
      </x:c>
      <x:c r="E15" s="2" t="str">
        <x:f>IF(A15="","",IF(COUNTIFS('Donnees'!$A$2:$A$2001,A15)&lt;&gt;1,"ID absent ou doublon",IF(INDEX('Donnees'!$A$2:$L$2001,MATCH(A15,'Donnees'!$A$2:$A$2001,0),8)="","",INDEX('Donnees'!$A$2:$L$2001,MATCH(A15,'Donnees'!$A$2:$A$2001,0),8))))</x:f>
        <x:v>Q1</x:v>
      </x:c>
      <x:c r="F15" s="24" t="str">
        <x:f>IF(A15="","",IF(COUNTIFS('Donnees'!$A$2:$A$2001,A15)&lt;&gt;1,"ID absent ou doublon",IF(INDEX('Donnees'!$A$2:$L$2001,MATCH(A15,'Donnees'!$A$2:$A$2001,0),9)="","",INDEX('Donnees'!$A$2:$L$2001,MATCH(A15,'Donnees'!$A$2:$A$2001,0),9))))</x:f>
        <x:v>AH-adresse present sur le kbis n'est pas la meme sur sip il faut envoyer une confirmation d'adresse // MOD RIB OK</x:v>
      </x:c>
      <x:c r="G15" s="25"/>
      <x:c r="H15" s="25"/>
      <x:c r="I15" s="12"/>
      <x:c r="J15" s="11"/>
      <x:c r="K15" s="12"/>
      <x:c r="L15" s="11"/>
      <x:c r="M15" s="2" t="str">
        <x:f>IF(A15="","",IF(OR(COUNTIFS($A$6:$A$1005,A15)&lt;&gt;1,COUNTIFS('Donnees'!$A$2:$A$2001,A15)&lt;&gt;1),"À clarifier",IF(AND(K15="Conforme",L15&lt;&gt;"",I15&lt;&gt;"",OR(D15="mail validé",AND(D15="à vérifier",H15&lt;&gt;""),AND(D15="mail non validé",G15&lt;&gt;"",H15&lt;&gt;"",J15&lt;&gt;""))),"Clôturé",IF(K15="Conforme","À compléter",IF(D15="à vérifier","À clarifier",IF(K15="Non conforme","À corriger",IF(J15&lt;&gt;"","À recontrôler","À corriger")))))))</x:f>
        <x:v>À corriger</x:v>
      </x:c>
    </x:row>
    <x:row r="16" ht="64" customHeight="1">
      <x:c r="A16" s="20" t="str">
        <x:v>1333586</x:v>
      </x:c>
      <x:c r="B16" s="2" t="str">
        <x:f>IF(A16="","",IF(COUNTIFS('Donnees'!$A$2:$A$2001,A16)&lt;&gt;1,"ID absent ou doublon",IF(INDEX('Donnees'!$A$2:$L$2001,MATCH(A16,'Donnees'!$A$2:$A$2001,0),5)="","",INDEX('Donnees'!$A$2:$L$2001,MATCH(A16,'Donnees'!$A$2:$A$2001,0),5))))</x:f>
        <x:v>MBOUP El hadji cheikh</x:v>
      </x:c>
      <x:c r="C16" s="2" t="str">
        <x:f>IF(A16="","",IF(COUNTIFS('Donnees'!$A$2:$A$2001,A16)&lt;&gt;1,"ID absent ou doublon",IF(INDEX('Donnees'!$A$2:$L$2001,MATCH(A16,'Donnees'!$A$2:$A$2001,0),6)="","",INDEX('Donnees'!$A$2:$L$2001,MATCH(A16,'Donnees'!$A$2:$A$2001,0),6))))</x:f>
        <x:v>RIB</x:v>
      </x:c>
      <x:c r="D16" s="2" t="str">
        <x:f>IF(A16="","",IF(COUNTIFS('Donnees'!$A$2:$A$2001,A16)&lt;&gt;1,"ID absent ou doublon",IF(INDEX('Donnees'!$A$2:$L$2001,MATCH(A16,'Donnees'!$A$2:$A$2001,0),7)="","",INDEX('Donnees'!$A$2:$L$2001,MATCH(A16,'Donnees'!$A$2:$A$2001,0),7))))</x:f>
        <x:v>mail non validé</x:v>
      </x:c>
      <x:c r="E16" s="2" t="str">
        <x:f>IF(A16="","",IF(COUNTIFS('Donnees'!$A$2:$A$2001,A16)&lt;&gt;1,"ID absent ou doublon",IF(INDEX('Donnees'!$A$2:$L$2001,MATCH(A16,'Donnees'!$A$2:$A$2001,0),8)="","",INDEX('Donnees'!$A$2:$L$2001,MATCH(A16,'Donnees'!$A$2:$A$2001,0),8))))</x:f>
        <x:v>Q2</x:v>
      </x:c>
      <x:c r="F16" s="24" t="str">
        <x:f>IF(A16="","",IF(COUNTIFS('Donnees'!$A$2:$A$2001,A16)&lt;&gt;1,"ID absent ou doublon",IF(INDEX('Donnees'!$A$2:$L$2001,MATCH(A16,'Donnees'!$A$2:$A$2001,0),9)="","",INDEX('Donnees'!$A$2:$L$2001,MATCH(A16,'Donnees'!$A$2:$A$2001,0),9))))</x:f>
        <x:v>AH-proposition EC ko + l'adresse qui figure sur le RIB n'est la meme que celle sur SIP // MOD RIB OK</x:v>
      </x:c>
      <x:c r="G16" s="25"/>
      <x:c r="H16" s="25"/>
      <x:c r="I16" s="12"/>
      <x:c r="J16" s="11"/>
      <x:c r="K16" s="12"/>
      <x:c r="L16" s="11"/>
      <x:c r="M16" s="2" t="str">
        <x:f>IF(A16="","",IF(OR(COUNTIFS($A$6:$A$1005,A16)&lt;&gt;1,COUNTIFS('Donnees'!$A$2:$A$2001,A16)&lt;&gt;1),"À clarifier",IF(AND(K16="Conforme",L16&lt;&gt;"",I16&lt;&gt;"",OR(D16="mail validé",AND(D16="à vérifier",H16&lt;&gt;""),AND(D16="mail non validé",G16&lt;&gt;"",H16&lt;&gt;"",J16&lt;&gt;""))),"Clôturé",IF(K16="Conforme","À compléter",IF(D16="à vérifier","À clarifier",IF(K16="Non conforme","À corriger",IF(J16&lt;&gt;"","À recontrôler","À corriger")))))))</x:f>
        <x:v>À corriger</x:v>
      </x:c>
    </x:row>
    <x:row r="17" ht="64" customHeight="1">
      <x:c r="A17" s="20" t="str">
        <x:v>1333450</x:v>
      </x:c>
      <x:c r="B17" s="2" t="str">
        <x:f>IF(A17="","",IF(COUNTIFS('Donnees'!$A$2:$A$2001,A17)&lt;&gt;1,"ID absent ou doublon",IF(INDEX('Donnees'!$A$2:$L$2001,MATCH(A17,'Donnees'!$A$2:$A$2001,0),5)="","",INDEX('Donnees'!$A$2:$L$2001,MATCH(A17,'Donnees'!$A$2:$A$2001,0),5))))</x:f>
        <x:v>SEMBENE Papalaty</x:v>
      </x:c>
      <x:c r="C17" s="2" t="str">
        <x:f>IF(A17="","",IF(COUNTIFS('Donnees'!$A$2:$A$2001,A17)&lt;&gt;1,"ID absent ou doublon",IF(INDEX('Donnees'!$A$2:$L$2001,MATCH(A17,'Donnees'!$A$2:$A$2001,0),6)="","",INDEX('Donnees'!$A$2:$L$2001,MATCH(A17,'Donnees'!$A$2:$A$2001,0),6))))</x:f>
        <x:v>RIB</x:v>
      </x:c>
      <x:c r="D17" s="2" t="str">
        <x:f>IF(A17="","",IF(COUNTIFS('Donnees'!$A$2:$A$2001,A17)&lt;&gt;1,"ID absent ou doublon",IF(INDEX('Donnees'!$A$2:$L$2001,MATCH(A17,'Donnees'!$A$2:$A$2001,0),7)="","",INDEX('Donnees'!$A$2:$L$2001,MATCH(A17,'Donnees'!$A$2:$A$2001,0),7))))</x:f>
        <x:v>mail non validé</x:v>
      </x:c>
      <x:c r="E17" s="2" t="str">
        <x:f>IF(A17="","",IF(COUNTIFS('Donnees'!$A$2:$A$2001,A17)&lt;&gt;1,"ID absent ou doublon",IF(INDEX('Donnees'!$A$2:$L$2001,MATCH(A17,'Donnees'!$A$2:$A$2001,0),8)="","",INDEX('Donnees'!$A$2:$L$2001,MATCH(A17,'Donnees'!$A$2:$A$2001,0),8))))</x:f>
        <x:v>Q3</x:v>
      </x:c>
      <x:c r="F17" s="24" t="str">
        <x:f>IF(A17="","",IF(COUNTIFS('Donnees'!$A$2:$A$2001,A17)&lt;&gt;1,"ID absent ou doublon",IF(INDEX('Donnees'!$A$2:$L$2001,MATCH(A17,'Donnees'!$A$2:$A$2001,0),9)="","",INDEX('Donnees'!$A$2:$L$2001,MATCH(A17,'Donnees'!$A$2:$A$2001,0),9))))</x:f>
        <x:v>AH-proposition EC ko // Demande de modif rib ok</x:v>
      </x:c>
      <x:c r="G17" s="25"/>
      <x:c r="H17" s="25"/>
      <x:c r="I17" s="12"/>
      <x:c r="J17" s="11"/>
      <x:c r="K17" s="12"/>
      <x:c r="L17" s="11"/>
      <x:c r="M17" s="2" t="str">
        <x:f>IF(A17="","",IF(OR(COUNTIFS($A$6:$A$1005,A17)&lt;&gt;1,COUNTIFS('Donnees'!$A$2:$A$2001,A17)&lt;&gt;1),"À clarifier",IF(AND(K17="Conforme",L17&lt;&gt;"",I17&lt;&gt;"",OR(D17="mail validé",AND(D17="à vérifier",H17&lt;&gt;""),AND(D17="mail non validé",G17&lt;&gt;"",H17&lt;&gt;"",J17&lt;&gt;""))),"Clôturé",IF(K17="Conforme","À compléter",IF(D17="à vérifier","À clarifier",IF(K17="Non conforme","À corriger",IF(J17&lt;&gt;"","À recontrôler","À corriger")))))))</x:f>
        <x:v>À corriger</x:v>
      </x:c>
    </x:row>
    <x:row r="18" ht="64" customHeight="1">
      <x:c r="A18" s="20" t="str">
        <x:v>1333884</x:v>
      </x:c>
      <x:c r="B18" s="2" t="str">
        <x:f>IF(A18="","",IF(COUNTIFS('Donnees'!$A$2:$A$2001,A18)&lt;&gt;1,"ID absent ou doublon",IF(INDEX('Donnees'!$A$2:$L$2001,MATCH(A18,'Donnees'!$A$2:$A$2001,0),5)="","",INDEX('Donnees'!$A$2:$L$2001,MATCH(A18,'Donnees'!$A$2:$A$2001,0),5))))</x:f>
        <x:v>HABBOUB Karim</x:v>
      </x:c>
      <x:c r="C18" s="2" t="str">
        <x:f>IF(A18="","",IF(COUNTIFS('Donnees'!$A$2:$A$2001,A18)&lt;&gt;1,"ID absent ou doublon",IF(INDEX('Donnees'!$A$2:$L$2001,MATCH(A18,'Donnees'!$A$2:$A$2001,0),6)="","",INDEX('Donnees'!$A$2:$L$2001,MATCH(A18,'Donnees'!$A$2:$A$2001,0),6))))</x:f>
        <x:v>RIB</x:v>
      </x:c>
      <x:c r="D18" s="2" t="str">
        <x:f>IF(A18="","",IF(COUNTIFS('Donnees'!$A$2:$A$2001,A18)&lt;&gt;1,"ID absent ou doublon",IF(INDEX('Donnees'!$A$2:$L$2001,MATCH(A18,'Donnees'!$A$2:$A$2001,0),7)="","",INDEX('Donnees'!$A$2:$L$2001,MATCH(A18,'Donnees'!$A$2:$A$2001,0),7))))</x:f>
        <x:v>mail non validé</x:v>
      </x:c>
      <x:c r="E18" s="2" t="str">
        <x:f>IF(A18="","",IF(COUNTIFS('Donnees'!$A$2:$A$2001,A18)&lt;&gt;1,"ID absent ou doublon",IF(INDEX('Donnees'!$A$2:$L$2001,MATCH(A18,'Donnees'!$A$2:$A$2001,0),8)="","",INDEX('Donnees'!$A$2:$L$2001,MATCH(A18,'Donnees'!$A$2:$A$2001,0),8))))</x:f>
        <x:v>Q3</x:v>
      </x:c>
      <x:c r="F18" s="24" t="str">
        <x:f>IF(A18="","",IF(COUNTIFS('Donnees'!$A$2:$A$2001,A18)&lt;&gt;1,"ID absent ou doublon",IF(INDEX('Donnees'!$A$2:$L$2001,MATCH(A18,'Donnees'!$A$2:$A$2001,0),9)="","",INDEX('Donnees'!$A$2:$L$2001,MATCH(A18,'Donnees'!$A$2:$A$2001,0),9))))</x:f>
        <x:v>AH-proposition EC ko // modif rib ok</x:v>
      </x:c>
      <x:c r="G18" s="25"/>
      <x:c r="H18" s="25"/>
      <x:c r="I18" s="12"/>
      <x:c r="J18" s="11"/>
      <x:c r="K18" s="12"/>
      <x:c r="L18" s="11"/>
      <x:c r="M18" s="2" t="str">
        <x:f>IF(A18="","",IF(OR(COUNTIFS($A$6:$A$1005,A18)&lt;&gt;1,COUNTIFS('Donnees'!$A$2:$A$2001,A18)&lt;&gt;1),"À clarifier",IF(AND(K18="Conforme",L18&lt;&gt;"",I18&lt;&gt;"",OR(D18="mail validé",AND(D18="à vérifier",H18&lt;&gt;""),AND(D18="mail non validé",G18&lt;&gt;"",H18&lt;&gt;"",J18&lt;&gt;""))),"Clôturé",IF(K18="Conforme","À compléter",IF(D18="à vérifier","À clarifier",IF(K18="Non conforme","À corriger",IF(J18&lt;&gt;"","À recontrôler","À corriger")))))))</x:f>
        <x:v>À corriger</x:v>
      </x:c>
    </x:row>
    <x:row r="19" ht="64" customHeight="1">
      <x:c r="A19" s="20" t="str">
        <x:v>1333878</x:v>
      </x:c>
      <x:c r="B19" s="2" t="str">
        <x:f>IF(A19="","",IF(COUNTIFS('Donnees'!$A$2:$A$2001,A19)&lt;&gt;1,"ID absent ou doublon",IF(INDEX('Donnees'!$A$2:$L$2001,MATCH(A19,'Donnees'!$A$2:$A$2001,0),5)="","",INDEX('Donnees'!$A$2:$L$2001,MATCH(A19,'Donnees'!$A$2:$A$2001,0),5))))</x:f>
        <x:v>HABBOUB Karim</x:v>
      </x:c>
      <x:c r="C19" s="2" t="str">
        <x:f>IF(A19="","",IF(COUNTIFS('Donnees'!$A$2:$A$2001,A19)&lt;&gt;1,"ID absent ou doublon",IF(INDEX('Donnees'!$A$2:$L$2001,MATCH(A19,'Donnees'!$A$2:$A$2001,0),6)="","",INDEX('Donnees'!$A$2:$L$2001,MATCH(A19,'Donnees'!$A$2:$A$2001,0),6))))</x:f>
        <x:v>RIB</x:v>
      </x:c>
      <x:c r="D19" s="2" t="str">
        <x:f>IF(A19="","",IF(COUNTIFS('Donnees'!$A$2:$A$2001,A19)&lt;&gt;1,"ID absent ou doublon",IF(INDEX('Donnees'!$A$2:$L$2001,MATCH(A19,'Donnees'!$A$2:$A$2001,0),7)="","",INDEX('Donnees'!$A$2:$L$2001,MATCH(A19,'Donnees'!$A$2:$A$2001,0),7))))</x:f>
        <x:v>mail non validé</x:v>
      </x:c>
      <x:c r="E19" s="2" t="str">
        <x:f>IF(A19="","",IF(COUNTIFS('Donnees'!$A$2:$A$2001,A19)&lt;&gt;1,"ID absent ou doublon",IF(INDEX('Donnees'!$A$2:$L$2001,MATCH(A19,'Donnees'!$A$2:$A$2001,0),8)="","",INDEX('Donnees'!$A$2:$L$2001,MATCH(A19,'Donnees'!$A$2:$A$2001,0),8))))</x:f>
        <x:v>Q2</x:v>
      </x:c>
      <x:c r="F19" s="24" t="str">
        <x:f>IF(A19="","",IF(COUNTIFS('Donnees'!$A$2:$A$2001,A19)&lt;&gt;1,"ID absent ou doublon",IF(INDEX('Donnees'!$A$2:$L$2001,MATCH(A19,'Donnees'!$A$2:$A$2001,0),9)="","",INDEX('Donnees'!$A$2:$L$2001,MATCH(A19,'Donnees'!$A$2:$A$2001,0),9))))</x:f>
        <x:v>AH-client moniwan pas de proposition EC !!//modif rib</x:v>
      </x:c>
      <x:c r="G19" s="25"/>
      <x:c r="H19" s="25"/>
      <x:c r="I19" s="12"/>
      <x:c r="J19" s="11"/>
      <x:c r="K19" s="12"/>
      <x:c r="L19" s="11"/>
      <x:c r="M19" s="2" t="str">
        <x:f>IF(A19="","",IF(OR(COUNTIFS($A$6:$A$1005,A19)&lt;&gt;1,COUNTIFS('Donnees'!$A$2:$A$2001,A19)&lt;&gt;1),"À clarifier",IF(AND(K19="Conforme",L19&lt;&gt;"",I19&lt;&gt;"",OR(D19="mail validé",AND(D19="à vérifier",H19&lt;&gt;""),AND(D19="mail non validé",G19&lt;&gt;"",H19&lt;&gt;"",J19&lt;&gt;""))),"Clôturé",IF(K19="Conforme","À compléter",IF(D19="à vérifier","À clarifier",IF(K19="Non conforme","À corriger",IF(J19&lt;&gt;"","À recontrôler","À corriger")))))))</x:f>
        <x:v>À corriger</x:v>
      </x:c>
    </x:row>
    <x:row r="20" ht="64" customHeight="1">
      <x:c r="A20" s="20" t="str">
        <x:v>1333798</x:v>
      </x:c>
      <x:c r="B20" s="2" t="str">
        <x:f>IF(A20="","",IF(COUNTIFS('Donnees'!$A$2:$A$2001,A20)&lt;&gt;1,"ID absent ou doublon",IF(INDEX('Donnees'!$A$2:$L$2001,MATCH(A20,'Donnees'!$A$2:$A$2001,0),5)="","",INDEX('Donnees'!$A$2:$L$2001,MATCH(A20,'Donnees'!$A$2:$A$2001,0),5))))</x:f>
        <x:v>ZIRARI Chaimaa</x:v>
      </x:c>
      <x:c r="C20" s="2" t="str">
        <x:f>IF(A20="","",IF(COUNTIFS('Donnees'!$A$2:$A$2001,A20)&lt;&gt;1,"ID absent ou doublon",IF(INDEX('Donnees'!$A$2:$L$2001,MATCH(A20,'Donnees'!$A$2:$A$2001,0),6)="","",INDEX('Donnees'!$A$2:$L$2001,MATCH(A20,'Donnees'!$A$2:$A$2001,0),6))))</x:f>
        <x:v>RIB</x:v>
      </x:c>
      <x:c r="D20" s="2" t="str">
        <x:f>IF(A20="","",IF(COUNTIFS('Donnees'!$A$2:$A$2001,A20)&lt;&gt;1,"ID absent ou doublon",IF(INDEX('Donnees'!$A$2:$L$2001,MATCH(A20,'Donnees'!$A$2:$A$2001,0),7)="","",INDEX('Donnees'!$A$2:$L$2001,MATCH(A20,'Donnees'!$A$2:$A$2001,0),7))))</x:f>
        <x:v>mail non validé</x:v>
      </x:c>
      <x:c r="E20" s="2" t="str">
        <x:f>IF(A20="","",IF(COUNTIFS('Donnees'!$A$2:$A$2001,A20)&lt;&gt;1,"ID absent ou doublon",IF(INDEX('Donnees'!$A$2:$L$2001,MATCH(A20,'Donnees'!$A$2:$A$2001,0),8)="","",INDEX('Donnees'!$A$2:$L$2001,MATCH(A20,'Donnees'!$A$2:$A$2001,0),8))))</x:f>
        <x:v>Q3</x:v>
      </x:c>
      <x:c r="F20" s="24" t="str">
        <x:f>IF(A20="","",IF(COUNTIFS('Donnees'!$A$2:$A$2001,A20)&lt;&gt;1,"ID absent ou doublon",IF(INDEX('Donnees'!$A$2:$L$2001,MATCH(A20,'Donnees'!$A$2:$A$2001,0),9)="","",INDEX('Donnees'!$A$2:$L$2001,MATCH(A20,'Donnees'!$A$2:$A$2001,0),9))))</x:f>
        <x:v>AH-adresse present sur le RIB n'est pas la meme sur sip il faut envoyer une confirmation d'adresse//Modification des coordonner bancaires</x:v>
      </x:c>
      <x:c r="G20" s="25"/>
      <x:c r="H20" s="25"/>
      <x:c r="I20" s="12"/>
      <x:c r="J20" s="11"/>
      <x:c r="K20" s="12"/>
      <x:c r="L20" s="11"/>
      <x:c r="M20" s="2" t="str">
        <x:f>IF(A20="","",IF(OR(COUNTIFS($A$6:$A$1005,A20)&lt;&gt;1,COUNTIFS('Donnees'!$A$2:$A$2001,A20)&lt;&gt;1),"À clarifier",IF(AND(K20="Conforme",L20&lt;&gt;"",I20&lt;&gt;"",OR(D20="mail validé",AND(D20="à vérifier",H20&lt;&gt;""),AND(D20="mail non validé",G20&lt;&gt;"",H20&lt;&gt;"",J20&lt;&gt;""))),"Clôturé",IF(K20="Conforme","À compléter",IF(D20="à vérifier","À clarifier",IF(K20="Non conforme","À corriger",IF(J20&lt;&gt;"","À recontrôler","À corriger")))))))</x:f>
        <x:v>À corriger</x:v>
      </x:c>
    </x:row>
    <x:row r="21" ht="64" customHeight="1">
      <x:c r="A21" s="20" t="str">
        <x:v>1333785</x:v>
      </x:c>
      <x:c r="B21" s="2" t="str">
        <x:f>IF(A21="","",IF(COUNTIFS('Donnees'!$A$2:$A$2001,A21)&lt;&gt;1,"ID absent ou doublon",IF(INDEX('Donnees'!$A$2:$L$2001,MATCH(A21,'Donnees'!$A$2:$A$2001,0),5)="","",INDEX('Donnees'!$A$2:$L$2001,MATCH(A21,'Donnees'!$A$2:$A$2001,0),5))))</x:f>
        <x:v>MBARKI Imane</x:v>
      </x:c>
      <x:c r="C21" s="2" t="str">
        <x:f>IF(A21="","",IF(COUNTIFS('Donnees'!$A$2:$A$2001,A21)&lt;&gt;1,"ID absent ou doublon",IF(INDEX('Donnees'!$A$2:$L$2001,MATCH(A21,'Donnees'!$A$2:$A$2001,0),6)="","",INDEX('Donnees'!$A$2:$L$2001,MATCH(A21,'Donnees'!$A$2:$A$2001,0),6))))</x:f>
        <x:v>RIB</x:v>
      </x:c>
      <x:c r="D21" s="2" t="str">
        <x:f>IF(A21="","",IF(COUNTIFS('Donnees'!$A$2:$A$2001,A21)&lt;&gt;1,"ID absent ou doublon",IF(INDEX('Donnees'!$A$2:$L$2001,MATCH(A21,'Donnees'!$A$2:$A$2001,0),7)="","",INDEX('Donnees'!$A$2:$L$2001,MATCH(A21,'Donnees'!$A$2:$A$2001,0),7))))</x:f>
        <x:v>mail non validé</x:v>
      </x:c>
      <x:c r="E21" s="2" t="str">
        <x:f>IF(A21="","",IF(COUNTIFS('Donnees'!$A$2:$A$2001,A21)&lt;&gt;1,"ID absent ou doublon",IF(INDEX('Donnees'!$A$2:$L$2001,MATCH(A21,'Donnees'!$A$2:$A$2001,0),8)="","",INDEX('Donnees'!$A$2:$L$2001,MATCH(A21,'Donnees'!$A$2:$A$2001,0),8))))</x:f>
        <x:v>Q1</x:v>
      </x:c>
      <x:c r="F21" s="24" t="str">
        <x:f>IF(A21="","",IF(COUNTIFS('Donnees'!$A$2:$A$2001,A21)&lt;&gt;1,"ID absent ou doublon",IF(INDEX('Donnees'!$A$2:$L$2001,MATCH(A21,'Donnees'!$A$2:$A$2001,0),9)="","",INDEX('Donnees'!$A$2:$L$2001,MATCH(A21,'Donnees'!$A$2:$A$2001,0),9))))</x:f>
        <x:v>AH-il faut s'adresser à madame et non monsieur // Création WEB changement RIB==&gt; rib saisie , envoie mail confirmation origine de la demande web pas de proposition pour ec a mettre en place</x:v>
      </x:c>
      <x:c r="G21" s="25"/>
      <x:c r="H21" s="25"/>
      <x:c r="I21" s="12"/>
      <x:c r="J21" s="11"/>
      <x:c r="K21" s="12"/>
      <x:c r="L21" s="11"/>
      <x:c r="M21" s="2" t="str">
        <x:f>IF(A21="","",IF(OR(COUNTIFS($A$6:$A$1005,A21)&lt;&gt;1,COUNTIFS('Donnees'!$A$2:$A$2001,A21)&lt;&gt;1),"À clarifier",IF(AND(K21="Conforme",L21&lt;&gt;"",I21&lt;&gt;"",OR(D21="mail validé",AND(D21="à vérifier",H21&lt;&gt;""),AND(D21="mail non validé",G21&lt;&gt;"",H21&lt;&gt;"",J21&lt;&gt;""))),"Clôturé",IF(K21="Conforme","À compléter",IF(D21="à vérifier","À clarifier",IF(K21="Non conforme","À corriger",IF(J21&lt;&gt;"","À recontrôler","À corriger")))))))</x:f>
        <x:v>À corriger</x:v>
      </x:c>
    </x:row>
    <x:row r="22" ht="64" customHeight="1">
      <x:c r="A22" s="20" t="str">
        <x:v>1333745</x:v>
      </x:c>
      <x:c r="B22" s="2" t="str">
        <x:f>IF(A22="","",IF(COUNTIFS('Donnees'!$A$2:$A$2001,A22)&lt;&gt;1,"ID absent ou doublon",IF(INDEX('Donnees'!$A$2:$L$2001,MATCH(A22,'Donnees'!$A$2:$A$2001,0),5)="","",INDEX('Donnees'!$A$2:$L$2001,MATCH(A22,'Donnees'!$A$2:$A$2001,0),5))))</x:f>
        <x:v>MBARKI Imane</x:v>
      </x:c>
      <x:c r="C22" s="2" t="str">
        <x:f>IF(A22="","",IF(COUNTIFS('Donnees'!$A$2:$A$2001,A22)&lt;&gt;1,"ID absent ou doublon",IF(INDEX('Donnees'!$A$2:$L$2001,MATCH(A22,'Donnees'!$A$2:$A$2001,0),6)="","",INDEX('Donnees'!$A$2:$L$2001,MATCH(A22,'Donnees'!$A$2:$A$2001,0),6))))</x:f>
        <x:v>RIB</x:v>
      </x:c>
      <x:c r="D22" s="2" t="str">
        <x:f>IF(A22="","",IF(COUNTIFS('Donnees'!$A$2:$A$2001,A22)&lt;&gt;1,"ID absent ou doublon",IF(INDEX('Donnees'!$A$2:$L$2001,MATCH(A22,'Donnees'!$A$2:$A$2001,0),7)="","",INDEX('Donnees'!$A$2:$L$2001,MATCH(A22,'Donnees'!$A$2:$A$2001,0),7))))</x:f>
        <x:v>mail non validé</x:v>
      </x:c>
      <x:c r="E22" s="2" t="str">
        <x:f>IF(A22="","",IF(COUNTIFS('Donnees'!$A$2:$A$2001,A22)&lt;&gt;1,"ID absent ou doublon",IF(INDEX('Donnees'!$A$2:$L$2001,MATCH(A22,'Donnees'!$A$2:$A$2001,0),8)="","",INDEX('Donnees'!$A$2:$L$2001,MATCH(A22,'Donnees'!$A$2:$A$2001,0),8))))</x:f>
        <x:v>Q2</x:v>
      </x:c>
      <x:c r="F22" s="24" t="str">
        <x:f>IF(A22="","",IF(COUNTIFS('Donnees'!$A$2:$A$2001,A22)&lt;&gt;1,"ID absent ou doublon",IF(INDEX('Donnees'!$A$2:$L$2001,MATCH(A22,'Donnees'!$A$2:$A$2001,0),9)="","",INDEX('Donnees'!$A$2:$L$2001,MATCH(A22,'Donnees'!$A$2:$A$2001,0),9))))</x:f>
        <x:v>AH-pas de montant à débloquer meme sur la synthese de distribution //modification rib ok+rajout adresse @ transfert demande ec vers moniwan id war 1334244</x:v>
      </x:c>
      <x:c r="G22" s="25"/>
      <x:c r="H22" s="25"/>
      <x:c r="I22" s="12"/>
      <x:c r="J22" s="11"/>
      <x:c r="K22" s="12"/>
      <x:c r="L22" s="11"/>
      <x:c r="M22" s="2" t="str">
        <x:f>IF(A22="","",IF(OR(COUNTIFS($A$6:$A$1005,A22)&lt;&gt;1,COUNTIFS('Donnees'!$A$2:$A$2001,A22)&lt;&gt;1),"À clarifier",IF(AND(K22="Conforme",L22&lt;&gt;"",I22&lt;&gt;"",OR(D22="mail validé",AND(D22="à vérifier",H22&lt;&gt;""),AND(D22="mail non validé",G22&lt;&gt;"",H22&lt;&gt;"",J22&lt;&gt;""))),"Clôturé",IF(K22="Conforme","À compléter",IF(D22="à vérifier","À clarifier",IF(K22="Non conforme","À corriger",IF(J22&lt;&gt;"","À recontrôler","À corriger")))))))</x:f>
        <x:v>À corriger</x:v>
      </x:c>
    </x:row>
    <x:row r="23" ht="64" customHeight="1">
      <x:c r="A23" s="20" t="str">
        <x:v>1334107</x:v>
      </x:c>
      <x:c r="B23" s="2" t="str">
        <x:f>IF(A23="","",IF(COUNTIFS('Donnees'!$A$2:$A$2001,A23)&lt;&gt;1,"ID absent ou doublon",IF(INDEX('Donnees'!$A$2:$L$2001,MATCH(A23,'Donnees'!$A$2:$A$2001,0),5)="","",INDEX('Donnees'!$A$2:$L$2001,MATCH(A23,'Donnees'!$A$2:$A$2001,0),5))))</x:f>
        <x:v>GUESSAR Zahra</x:v>
      </x:c>
      <x:c r="C23" s="2" t="str">
        <x:f>IF(A23="","",IF(COUNTIFS('Donnees'!$A$2:$A$2001,A23)&lt;&gt;1,"ID absent ou doublon",IF(INDEX('Donnees'!$A$2:$L$2001,MATCH(A23,'Donnees'!$A$2:$A$2001,0),6)="","",INDEX('Donnees'!$A$2:$L$2001,MATCH(A23,'Donnees'!$A$2:$A$2001,0),6))))</x:f>
        <x:v>DOM</x:v>
      </x:c>
      <x:c r="D23" s="2" t="str">
        <x:f>IF(A23="","",IF(COUNTIFS('Donnees'!$A$2:$A$2001,A23)&lt;&gt;1,"ID absent ou doublon",IF(INDEX('Donnees'!$A$2:$L$2001,MATCH(A23,'Donnees'!$A$2:$A$2001,0),7)="","",INDEX('Donnees'!$A$2:$L$2001,MATCH(A23,'Donnees'!$A$2:$A$2001,0),7))))</x:f>
        <x:v>mail non validé</x:v>
      </x:c>
      <x:c r="E23" s="2" t="str">
        <x:f>IF(A23="","",IF(COUNTIFS('Donnees'!$A$2:$A$2001,A23)&lt;&gt;1,"ID absent ou doublon",IF(INDEX('Donnees'!$A$2:$L$2001,MATCH(A23,'Donnees'!$A$2:$A$2001,0),8)="","",INDEX('Donnees'!$A$2:$L$2001,MATCH(A23,'Donnees'!$A$2:$A$2001,0),8))))</x:f>
        <x:v>Q1</x:v>
      </x:c>
      <x:c r="F23" s="24" t="str">
        <x:f>IF(A23="","",IF(COUNTIFS('Donnees'!$A$2:$A$2001,A23)&lt;&gt;1,"ID absent ou doublon",IF(INDEX('Donnees'!$A$2:$L$2001,MATCH(A23,'Donnees'!$A$2:$A$2001,0),9)="","",INDEX('Donnees'!$A$2:$L$2001,MATCH(A23,'Donnees'!$A$2:$A$2001,0),9))))</x:f>
        <x:v>AH-il faut s'adresser au partenaire / Je sollicite l'ajout du code R32YH97 en Irlande ; ai-je la possibilité de procéder à cet ajout ?</x:v>
      </x:c>
      <x:c r="G23" s="25"/>
      <x:c r="H23" s="25"/>
      <x:c r="I23" s="12"/>
      <x:c r="J23" s="11"/>
      <x:c r="K23" s="12"/>
      <x:c r="L23" s="11"/>
      <x:c r="M23" s="2" t="str">
        <x:f>IF(A23="","",IF(OR(COUNTIFS($A$6:$A$1005,A23)&lt;&gt;1,COUNTIFS('Donnees'!$A$2:$A$2001,A23)&lt;&gt;1),"À clarifier",IF(AND(K23="Conforme",L23&lt;&gt;"",I23&lt;&gt;"",OR(D23="mail validé",AND(D23="à vérifier",H23&lt;&gt;""),AND(D23="mail non validé",G23&lt;&gt;"",H23&lt;&gt;"",J23&lt;&gt;""))),"Clôturé",IF(K23="Conforme","À compléter",IF(D23="à vérifier","À clarifier",IF(K23="Non conforme","À corriger",IF(J23&lt;&gt;"","À recontrôler","À corriger")))))))</x:f>
        <x:v>À corriger</x:v>
      </x:c>
    </x:row>
    <x:row r="24" ht="64" customHeight="1">
      <x:c r="A24" s="20" t="str">
        <x:v>1334102</x:v>
      </x:c>
      <x:c r="B24" s="2" t="str">
        <x:f>IF(A24="","",IF(COUNTIFS('Donnees'!$A$2:$A$2001,A24)&lt;&gt;1,"ID absent ou doublon",IF(INDEX('Donnees'!$A$2:$L$2001,MATCH(A24,'Donnees'!$A$2:$A$2001,0),5)="","",INDEX('Donnees'!$A$2:$L$2001,MATCH(A24,'Donnees'!$A$2:$A$2001,0),5))))</x:f>
        <x:v>GUESSAR Zahra</x:v>
      </x:c>
      <x:c r="C24" s="2" t="str">
        <x:f>IF(A24="","",IF(COUNTIFS('Donnees'!$A$2:$A$2001,A24)&lt;&gt;1,"ID absent ou doublon",IF(INDEX('Donnees'!$A$2:$L$2001,MATCH(A24,'Donnees'!$A$2:$A$2001,0),6)="","",INDEX('Donnees'!$A$2:$L$2001,MATCH(A24,'Donnees'!$A$2:$A$2001,0),6))))</x:f>
        <x:v>DOM</x:v>
      </x:c>
      <x:c r="D24" s="2" t="str">
        <x:f>IF(A24="","",IF(COUNTIFS('Donnees'!$A$2:$A$2001,A24)&lt;&gt;1,"ID absent ou doublon",IF(INDEX('Donnees'!$A$2:$L$2001,MATCH(A24,'Donnees'!$A$2:$A$2001,0),7)="","",INDEX('Donnees'!$A$2:$L$2001,MATCH(A24,'Donnees'!$A$2:$A$2001,0),7))))</x:f>
        <x:v>mail non validé</x:v>
      </x:c>
      <x:c r="E24" s="2" t="str">
        <x:f>IF(A24="","",IF(COUNTIFS('Donnees'!$A$2:$A$2001,A24)&lt;&gt;1,"ID absent ou doublon",IF(INDEX('Donnees'!$A$2:$L$2001,MATCH(A24,'Donnees'!$A$2:$A$2001,0),8)="","",INDEX('Donnees'!$A$2:$L$2001,MATCH(A24,'Donnees'!$A$2:$A$2001,0),8))))</x:f>
        <x:v>Q3</x:v>
      </x:c>
      <x:c r="F24" s="24" t="str">
        <x:f>IF(A24="","",IF(COUNTIFS('Donnees'!$A$2:$A$2001,A24)&lt;&gt;1,"ID absent ou doublon",IF(INDEX('Donnees'!$A$2:$L$2001,MATCH(A24,'Donnees'!$A$2:$A$2001,0),9)="","",INDEX('Donnees'!$A$2:$L$2001,MATCH(A24,'Donnees'!$A$2:$A$2001,0),9))))</x:f>
        <x:v>AH-proposition EC ko // Modif adresse OK </x:v>
      </x:c>
      <x:c r="G24" s="25"/>
      <x:c r="H24" s="25"/>
      <x:c r="I24" s="12"/>
      <x:c r="J24" s="11"/>
      <x:c r="K24" s="12"/>
      <x:c r="L24" s="11"/>
      <x:c r="M24" s="2" t="str">
        <x:f>IF(A24="","",IF(OR(COUNTIFS($A$6:$A$1005,A24)&lt;&gt;1,COUNTIFS('Donnees'!$A$2:$A$2001,A24)&lt;&gt;1),"À clarifier",IF(AND(K24="Conforme",L24&lt;&gt;"",I24&lt;&gt;"",OR(D24="mail validé",AND(D24="à vérifier",H24&lt;&gt;""),AND(D24="mail non validé",G24&lt;&gt;"",H24&lt;&gt;"",J24&lt;&gt;""))),"Clôturé",IF(K24="Conforme","À compléter",IF(D24="à vérifier","À clarifier",IF(K24="Non conforme","À corriger",IF(J24&lt;&gt;"","À recontrôler","À corriger")))))))</x:f>
        <x:v>À corriger</x:v>
      </x:c>
    </x:row>
    <x:row r="25" ht="64" customHeight="1">
      <x:c r="A25" s="20" t="str">
        <x:v>1334088</x:v>
      </x:c>
      <x:c r="B25" s="2" t="str">
        <x:f>IF(A25="","",IF(COUNTIFS('Donnees'!$A$2:$A$2001,A25)&lt;&gt;1,"ID absent ou doublon",IF(INDEX('Donnees'!$A$2:$L$2001,MATCH(A25,'Donnees'!$A$2:$A$2001,0),5)="","",INDEX('Donnees'!$A$2:$L$2001,MATCH(A25,'Donnees'!$A$2:$A$2001,0),5))))</x:f>
        <x:v>HABBOUB Karim</x:v>
      </x:c>
      <x:c r="C25" s="2" t="str">
        <x:f>IF(A25="","",IF(COUNTIFS('Donnees'!$A$2:$A$2001,A25)&lt;&gt;1,"ID absent ou doublon",IF(INDEX('Donnees'!$A$2:$L$2001,MATCH(A25,'Donnees'!$A$2:$A$2001,0),6)="","",INDEX('Donnees'!$A$2:$L$2001,MATCH(A25,'Donnees'!$A$2:$A$2001,0),6))))</x:f>
        <x:v>DOM</x:v>
      </x:c>
      <x:c r="D25" s="2" t="str">
        <x:f>IF(A25="","",IF(COUNTIFS('Donnees'!$A$2:$A$2001,A25)&lt;&gt;1,"ID absent ou doublon",IF(INDEX('Donnees'!$A$2:$L$2001,MATCH(A25,'Donnees'!$A$2:$A$2001,0),7)="","",INDEX('Donnees'!$A$2:$L$2001,MATCH(A25,'Donnees'!$A$2:$A$2001,0),7))))</x:f>
        <x:v>mail non validé</x:v>
      </x:c>
      <x:c r="E25" s="2" t="str">
        <x:f>IF(A25="","",IF(COUNTIFS('Donnees'!$A$2:$A$2001,A25)&lt;&gt;1,"ID absent ou doublon",IF(INDEX('Donnees'!$A$2:$L$2001,MATCH(A25,'Donnees'!$A$2:$A$2001,0),8)="","",INDEX('Donnees'!$A$2:$L$2001,MATCH(A25,'Donnees'!$A$2:$A$2001,0),8))))</x:f>
        <x:v>Q3</x:v>
      </x:c>
      <x:c r="F25" s="24" t="str">
        <x:f>IF(A25="","",IF(COUNTIFS('Donnees'!$A$2:$A$2001,A25)&lt;&gt;1,"ID absent ou doublon",IF(INDEX('Donnees'!$A$2:$L$2001,MATCH(A25,'Donnees'!$A$2:$A$2001,0),9)="","",INDEX('Donnees'!$A$2:$L$2001,MATCH(A25,'Donnees'!$A$2:$A$2001,0),9))))</x:f>
        <x:v>AH-proposition EC komodif adresse ok</x:v>
      </x:c>
      <x:c r="G25" s="25"/>
      <x:c r="H25" s="25"/>
      <x:c r="I25" s="12"/>
      <x:c r="J25" s="11"/>
      <x:c r="K25" s="12"/>
      <x:c r="L25" s="11"/>
      <x:c r="M25" s="2" t="str">
        <x:f>IF(A25="","",IF(OR(COUNTIFS($A$6:$A$1005,A25)&lt;&gt;1,COUNTIFS('Donnees'!$A$2:$A$2001,A25)&lt;&gt;1),"À clarifier",IF(AND(K25="Conforme",L25&lt;&gt;"",I25&lt;&gt;"",OR(D25="mail validé",AND(D25="à vérifier",H25&lt;&gt;""),AND(D25="mail non validé",G25&lt;&gt;"",H25&lt;&gt;"",J25&lt;&gt;""))),"Clôturé",IF(K25="Conforme","À compléter",IF(D25="à vérifier","À clarifier",IF(K25="Non conforme","À corriger",IF(J25&lt;&gt;"","À recontrôler","À corriger")))))))</x:f>
        <x:v>À corriger</x:v>
      </x:c>
    </x:row>
    <x:row r="26" ht="64" customHeight="1">
      <x:c r="A26" s="20" t="str">
        <x:v>1334069</x:v>
      </x:c>
      <x:c r="B26" s="2" t="str">
        <x:f>IF(A26="","",IF(COUNTIFS('Donnees'!$A$2:$A$2001,A26)&lt;&gt;1,"ID absent ou doublon",IF(INDEX('Donnees'!$A$2:$L$2001,MATCH(A26,'Donnees'!$A$2:$A$2001,0),5)="","",INDEX('Donnees'!$A$2:$L$2001,MATCH(A26,'Donnees'!$A$2:$A$2001,0),5))))</x:f>
        <x:v>NDIAYE Seynabou</x:v>
      </x:c>
      <x:c r="C26" s="2" t="str">
        <x:f>IF(A26="","",IF(COUNTIFS('Donnees'!$A$2:$A$2001,A26)&lt;&gt;1,"ID absent ou doublon",IF(INDEX('Donnees'!$A$2:$L$2001,MATCH(A26,'Donnees'!$A$2:$A$2001,0),6)="","",INDEX('Donnees'!$A$2:$L$2001,MATCH(A26,'Donnees'!$A$2:$A$2001,0),6))))</x:f>
        <x:v>DOM</x:v>
      </x:c>
      <x:c r="D26" s="2" t="str">
        <x:f>IF(A26="","",IF(COUNTIFS('Donnees'!$A$2:$A$2001,A26)&lt;&gt;1,"ID absent ou doublon",IF(INDEX('Donnees'!$A$2:$L$2001,MATCH(A26,'Donnees'!$A$2:$A$2001,0),7)="","",INDEX('Donnees'!$A$2:$L$2001,MATCH(A26,'Donnees'!$A$2:$A$2001,0),7))))</x:f>
        <x:v>mail non validé</x:v>
      </x:c>
      <x:c r="E26" s="2" t="str">
        <x:f>IF(A26="","",IF(COUNTIFS('Donnees'!$A$2:$A$2001,A26)&lt;&gt;1,"ID absent ou doublon",IF(INDEX('Donnees'!$A$2:$L$2001,MATCH(A26,'Donnees'!$A$2:$A$2001,0),8)="","",INDEX('Donnees'!$A$2:$L$2001,MATCH(A26,'Donnees'!$A$2:$A$2001,0),8))))</x:f>
        <x:v>Q3</x:v>
      </x:c>
      <x:c r="F26" s="24" t="str">
        <x:f>IF(A26="","",IF(COUNTIFS('Donnees'!$A$2:$A$2001,A26)&lt;&gt;1,"ID absent ou doublon",IF(INDEX('Donnees'!$A$2:$L$2001,MATCH(A26,'Donnees'!$A$2:$A$2001,0),9)="","",INDEX('Donnees'!$A$2:$L$2001,MATCH(A26,'Donnees'!$A$2:$A$2001,0),9))))</x:f>
        <x:v>AH-proposition EC KO // Modif adresse ok+attestation pp</x:v>
      </x:c>
      <x:c r="G26" s="25"/>
      <x:c r="H26" s="25"/>
      <x:c r="I26" s="12"/>
      <x:c r="J26" s="11"/>
      <x:c r="K26" s="12"/>
      <x:c r="L26" s="11"/>
      <x:c r="M26" s="2" t="str">
        <x:f>IF(A26="","",IF(OR(COUNTIFS($A$6:$A$1005,A26)&lt;&gt;1,COUNTIFS('Donnees'!$A$2:$A$2001,A26)&lt;&gt;1),"À clarifier",IF(AND(K26="Conforme",L26&lt;&gt;"",I26&lt;&gt;"",OR(D26="mail validé",AND(D26="à vérifier",H26&lt;&gt;""),AND(D26="mail non validé",G26&lt;&gt;"",H26&lt;&gt;"",J26&lt;&gt;""))),"Clôturé",IF(K26="Conforme","À compléter",IF(D26="à vérifier","À clarifier",IF(K26="Non conforme","À corriger",IF(J26&lt;&gt;"","À recontrôler","À corriger")))))))</x:f>
        <x:v>À corriger</x:v>
      </x:c>
    </x:row>
    <x:row r="27" ht="64" customHeight="1">
      <x:c r="A27" s="20" t="str">
        <x:v>1334003</x:v>
      </x:c>
      <x:c r="B27" s="2" t="str">
        <x:f>IF(A27="","",IF(COUNTIFS('Donnees'!$A$2:$A$2001,A27)&lt;&gt;1,"ID absent ou doublon",IF(INDEX('Donnees'!$A$2:$L$2001,MATCH(A27,'Donnees'!$A$2:$A$2001,0),5)="","",INDEX('Donnees'!$A$2:$L$2001,MATCH(A27,'Donnees'!$A$2:$A$2001,0),5))))</x:f>
        <x:v>SEMBENE Papalaty</x:v>
      </x:c>
      <x:c r="C27" s="2" t="str">
        <x:f>IF(A27="","",IF(COUNTIFS('Donnees'!$A$2:$A$2001,A27)&lt;&gt;1,"ID absent ou doublon",IF(INDEX('Donnees'!$A$2:$L$2001,MATCH(A27,'Donnees'!$A$2:$A$2001,0),6)="","",INDEX('Donnees'!$A$2:$L$2001,MATCH(A27,'Donnees'!$A$2:$A$2001,0),6))))</x:f>
        <x:v>DOM</x:v>
      </x:c>
      <x:c r="D27" s="2" t="str">
        <x:f>IF(A27="","",IF(COUNTIFS('Donnees'!$A$2:$A$2001,A27)&lt;&gt;1,"ID absent ou doublon",IF(INDEX('Donnees'!$A$2:$L$2001,MATCH(A27,'Donnees'!$A$2:$A$2001,0),7)="","",INDEX('Donnees'!$A$2:$L$2001,MATCH(A27,'Donnees'!$A$2:$A$2001,0),7))))</x:f>
        <x:v>mail non validé</x:v>
      </x:c>
      <x:c r="E27" s="2" t="str">
        <x:f>IF(A27="","",IF(COUNTIFS('Donnees'!$A$2:$A$2001,A27)&lt;&gt;1,"ID absent ou doublon",IF(INDEX('Donnees'!$A$2:$L$2001,MATCH(A27,'Donnees'!$A$2:$A$2001,0),8)="","",INDEX('Donnees'!$A$2:$L$2001,MATCH(A27,'Donnees'!$A$2:$A$2001,0),8))))</x:f>
        <x:v>Q3</x:v>
      </x:c>
      <x:c r="F27" s="24" t="str">
        <x:f>IF(A27="","",IF(COUNTIFS('Donnees'!$A$2:$A$2001,A27)&lt;&gt;1,"ID absent ou doublon",IF(INDEX('Donnees'!$A$2:$L$2001,MATCH(A27,'Donnees'!$A$2:$A$2001,0),9)="","",INDEX('Donnees'!$A$2:$L$2001,MATCH(A27,'Donnees'!$A$2:$A$2001,0),9))))</x:f>
        <x:v>AH-proposition EC ko //Ajout par batch pour Docupost//Demande modif adresse ok </x:v>
      </x:c>
      <x:c r="G27" s="25"/>
      <x:c r="H27" s="25"/>
      <x:c r="I27" s="12"/>
      <x:c r="J27" s="11"/>
      <x:c r="K27" s="12"/>
      <x:c r="L27" s="11"/>
      <x:c r="M27" s="2" t="str">
        <x:f>IF(A27="","",IF(OR(COUNTIFS($A$6:$A$1005,A27)&lt;&gt;1,COUNTIFS('Donnees'!$A$2:$A$2001,A27)&lt;&gt;1),"À clarifier",IF(AND(K27="Conforme",L27&lt;&gt;"",I27&lt;&gt;"",OR(D27="mail validé",AND(D27="à vérifier",H27&lt;&gt;""),AND(D27="mail non validé",G27&lt;&gt;"",H27&lt;&gt;"",J27&lt;&gt;""))),"Clôturé",IF(K27="Conforme","À compléter",IF(D27="à vérifier","À clarifier",IF(K27="Non conforme","À corriger",IF(J27&lt;&gt;"","À recontrôler","À corriger")))))))</x:f>
        <x:v>À corriger</x:v>
      </x:c>
    </x:row>
    <x:row r="28" ht="64" customHeight="1">
      <x:c r="A28" s="20" t="str">
        <x:v>1334085</x:v>
      </x:c>
      <x:c r="B28" s="2" t="str">
        <x:f>IF(A28="","",IF(COUNTIFS('Donnees'!$A$2:$A$2001,A28)&lt;&gt;1,"ID absent ou doublon",IF(INDEX('Donnees'!$A$2:$L$2001,MATCH(A28,'Donnees'!$A$2:$A$2001,0),5)="","",INDEX('Donnees'!$A$2:$L$2001,MATCH(A28,'Donnees'!$A$2:$A$2001,0),5))))</x:f>
        <x:v>HABBOUB Karim</x:v>
      </x:c>
      <x:c r="C28" s="2" t="str">
        <x:f>IF(A28="","",IF(COUNTIFS('Donnees'!$A$2:$A$2001,A28)&lt;&gt;1,"ID absent ou doublon",IF(INDEX('Donnees'!$A$2:$L$2001,MATCH(A28,'Donnees'!$A$2:$A$2001,0),6)="","",INDEX('Donnees'!$A$2:$L$2001,MATCH(A28,'Donnees'!$A$2:$A$2001,0),6))))</x:f>
        <x:v>RIB</x:v>
      </x:c>
      <x:c r="D28" s="2" t="str">
        <x:f>IF(A28="","",IF(COUNTIFS('Donnees'!$A$2:$A$2001,A28)&lt;&gt;1,"ID absent ou doublon",IF(INDEX('Donnees'!$A$2:$L$2001,MATCH(A28,'Donnees'!$A$2:$A$2001,0),7)="","",INDEX('Donnees'!$A$2:$L$2001,MATCH(A28,'Donnees'!$A$2:$A$2001,0),7))))</x:f>
        <x:v>mail non validé</x:v>
      </x:c>
      <x:c r="E28" s="2" t="str">
        <x:f>IF(A28="","",IF(COUNTIFS('Donnees'!$A$2:$A$2001,A28)&lt;&gt;1,"ID absent ou doublon",IF(INDEX('Donnees'!$A$2:$L$2001,MATCH(A28,'Donnees'!$A$2:$A$2001,0),8)="","",INDEX('Donnees'!$A$2:$L$2001,MATCH(A28,'Donnees'!$A$2:$A$2001,0),8))))</x:f>
        <x:v>Q1</x:v>
      </x:c>
      <x:c r="F28" s="24" t="str">
        <x:f>IF(A28="","",IF(COUNTIFS('Donnees'!$A$2:$A$2001,A28)&lt;&gt;1,"ID absent ou doublon",IF(INDEX('Donnees'!$A$2:$L$2001,MATCH(A28,'Donnees'!$A$2:$A$2001,0),9)="","",INDEX('Donnees'!$A$2:$L$2001,MATCH(A28,'Donnees'!$A$2:$A$2001,0),9))))</x:f>
        <x:v>AH-il faut envoyer la rep à cette adresse dom.mathiou@gmail.com //modif rib ok + deblocage 217,92 € et 30.78 € </x:v>
      </x:c>
      <x:c r="G28" s="25"/>
      <x:c r="H28" s="25"/>
      <x:c r="I28" s="12"/>
      <x:c r="J28" s="11"/>
      <x:c r="K28" s="12"/>
      <x:c r="L28" s="11"/>
      <x:c r="M28" s="2" t="str">
        <x:f>IF(A28="","",IF(OR(COUNTIFS($A$6:$A$1005,A28)&lt;&gt;1,COUNTIFS('Donnees'!$A$2:$A$2001,A28)&lt;&gt;1),"À clarifier",IF(AND(K28="Conforme",L28&lt;&gt;"",I28&lt;&gt;"",OR(D28="mail validé",AND(D28="à vérifier",H28&lt;&gt;""),AND(D28="mail non validé",G28&lt;&gt;"",H28&lt;&gt;"",J28&lt;&gt;""))),"Clôturé",IF(K28="Conforme","À compléter",IF(D28="à vérifier","À clarifier",IF(K28="Non conforme","À corriger",IF(J28&lt;&gt;"","À recontrôler","À corriger")))))))</x:f>
        <x:v>À corriger</x:v>
      </x:c>
    </x:row>
    <x:row r="29" ht="64" customHeight="1">
      <x:c r="A29" s="20" t="str">
        <x:v>1334068</x:v>
      </x:c>
      <x:c r="B29" s="2" t="str">
        <x:f>IF(A29="","",IF(COUNTIFS('Donnees'!$A$2:$A$2001,A29)&lt;&gt;1,"ID absent ou doublon",IF(INDEX('Donnees'!$A$2:$L$2001,MATCH(A29,'Donnees'!$A$2:$A$2001,0),5)="","",INDEX('Donnees'!$A$2:$L$2001,MATCH(A29,'Donnees'!$A$2:$A$2001,0),5))))</x:f>
        <x:v>NDIAYE Seynabou</x:v>
      </x:c>
      <x:c r="C29" s="2" t="str">
        <x:f>IF(A29="","",IF(COUNTIFS('Donnees'!$A$2:$A$2001,A29)&lt;&gt;1,"ID absent ou doublon",IF(INDEX('Donnees'!$A$2:$L$2001,MATCH(A29,'Donnees'!$A$2:$A$2001,0),6)="","",INDEX('Donnees'!$A$2:$L$2001,MATCH(A29,'Donnees'!$A$2:$A$2001,0),6))))</x:f>
        <x:v>RIB</x:v>
      </x:c>
      <x:c r="D29" s="2" t="str">
        <x:f>IF(A29="","",IF(COUNTIFS('Donnees'!$A$2:$A$2001,A29)&lt;&gt;1,"ID absent ou doublon",IF(INDEX('Donnees'!$A$2:$L$2001,MATCH(A29,'Donnees'!$A$2:$A$2001,0),7)="","",INDEX('Donnees'!$A$2:$L$2001,MATCH(A29,'Donnees'!$A$2:$A$2001,0),7))))</x:f>
        <x:v>mail non validé</x:v>
      </x:c>
      <x:c r="E29" s="2" t="str">
        <x:f>IF(A29="","",IF(COUNTIFS('Donnees'!$A$2:$A$2001,A29)&lt;&gt;1,"ID absent ou doublon",IF(INDEX('Donnees'!$A$2:$L$2001,MATCH(A29,'Donnees'!$A$2:$A$2001,0),8)="","",INDEX('Donnees'!$A$2:$L$2001,MATCH(A29,'Donnees'!$A$2:$A$2001,0),8))))</x:f>
        <x:v>Q3</x:v>
      </x:c>
      <x:c r="F29" s="24" t="str">
        <x:f>IF(A29="","",IF(COUNTIFS('Donnees'!$A$2:$A$2001,A29)&lt;&gt;1,"ID absent ou doublon",IF(INDEX('Donnees'!$A$2:$L$2001,MATCH(A29,'Donnees'!$A$2:$A$2001,0),9)="","",INDEX('Donnees'!$A$2:$L$2001,MATCH(A29,'Donnees'!$A$2:$A$2001,0),9))))</x:f>
        <x:v>AH-proposition EC ko // Rib deja enregistré /mail confirmation</x:v>
      </x:c>
      <x:c r="G29" s="25"/>
      <x:c r="H29" s="25"/>
      <x:c r="I29" s="12"/>
      <x:c r="J29" s="11"/>
      <x:c r="K29" s="12"/>
      <x:c r="L29" s="11"/>
      <x:c r="M29" s="2" t="str">
        <x:f>IF(A29="","",IF(OR(COUNTIFS($A$6:$A$1005,A29)&lt;&gt;1,COUNTIFS('Donnees'!$A$2:$A$2001,A29)&lt;&gt;1),"À clarifier",IF(AND(K29="Conforme",L29&lt;&gt;"",I29&lt;&gt;"",OR(D29="mail validé",AND(D29="à vérifier",H29&lt;&gt;""),AND(D29="mail non validé",G29&lt;&gt;"",H29&lt;&gt;"",J29&lt;&gt;""))),"Clôturé",IF(K29="Conforme","À compléter",IF(D29="à vérifier","À clarifier",IF(K29="Non conforme","À corriger",IF(J29&lt;&gt;"","À recontrôler","À corriger")))))))</x:f>
        <x:v>À corriger</x:v>
      </x:c>
    </x:row>
    <x:row r="30" ht="64" customHeight="1">
      <x:c r="A30" s="20" t="str">
        <x:v>1334067</x:v>
      </x:c>
      <x:c r="B30" s="2" t="str">
        <x:f>IF(A30="","",IF(COUNTIFS('Donnees'!$A$2:$A$2001,A30)&lt;&gt;1,"ID absent ou doublon",IF(INDEX('Donnees'!$A$2:$L$2001,MATCH(A30,'Donnees'!$A$2:$A$2001,0),5)="","",INDEX('Donnees'!$A$2:$L$2001,MATCH(A30,'Donnees'!$A$2:$A$2001,0),5))))</x:f>
        <x:v>NGOM Saliou</x:v>
      </x:c>
      <x:c r="C30" s="2" t="str">
        <x:f>IF(A30="","",IF(COUNTIFS('Donnees'!$A$2:$A$2001,A30)&lt;&gt;1,"ID absent ou doublon",IF(INDEX('Donnees'!$A$2:$L$2001,MATCH(A30,'Donnees'!$A$2:$A$2001,0),6)="","",INDEX('Donnees'!$A$2:$L$2001,MATCH(A30,'Donnees'!$A$2:$A$2001,0),6))))</x:f>
        <x:v>RIB</x:v>
      </x:c>
      <x:c r="D30" s="2" t="str">
        <x:f>IF(A30="","",IF(COUNTIFS('Donnees'!$A$2:$A$2001,A30)&lt;&gt;1,"ID absent ou doublon",IF(INDEX('Donnees'!$A$2:$L$2001,MATCH(A30,'Donnees'!$A$2:$A$2001,0),7)="","",INDEX('Donnees'!$A$2:$L$2001,MATCH(A30,'Donnees'!$A$2:$A$2001,0),7))))</x:f>
        <x:v>mail non validé</x:v>
      </x:c>
      <x:c r="E30" s="2" t="str">
        <x:f>IF(A30="","",IF(COUNTIFS('Donnees'!$A$2:$A$2001,A30)&lt;&gt;1,"ID absent ou doublon",IF(INDEX('Donnees'!$A$2:$L$2001,MATCH(A30,'Donnees'!$A$2:$A$2001,0),8)="","",INDEX('Donnees'!$A$2:$L$2001,MATCH(A30,'Donnees'!$A$2:$A$2001,0),8))))</x:f>
        <x:v>Q3</x:v>
      </x:c>
      <x:c r="F30" s="24" t="str">
        <x:f>IF(A30="","",IF(COUNTIFS('Donnees'!$A$2:$A$2001,A30)&lt;&gt;1,"ID absent ou doublon",IF(INDEX('Donnees'!$A$2:$L$2001,MATCH(A30,'Donnees'!$A$2:$A$2001,0),9)="","",INDEX('Donnees'!$A$2:$L$2001,MATCH(A30,'Donnees'!$A$2:$A$2001,0),9))))</x:f>
        <x:v>AH-proposition EC ko//Confirmation du RIB </x:v>
      </x:c>
      <x:c r="G30" s="25"/>
      <x:c r="H30" s="25"/>
      <x:c r="I30" s="12"/>
      <x:c r="J30" s="11"/>
      <x:c r="K30" s="12"/>
      <x:c r="L30" s="11"/>
      <x:c r="M30" s="2" t="str">
        <x:f>IF(A30="","",IF(OR(COUNTIFS($A$6:$A$1005,A30)&lt;&gt;1,COUNTIFS('Donnees'!$A$2:$A$2001,A30)&lt;&gt;1),"À clarifier",IF(AND(K30="Conforme",L30&lt;&gt;"",I30&lt;&gt;"",OR(D30="mail validé",AND(D30="à vérifier",H30&lt;&gt;""),AND(D30="mail non validé",G30&lt;&gt;"",H30&lt;&gt;"",J30&lt;&gt;""))),"Clôturé",IF(K30="Conforme","À compléter",IF(D30="à vérifier","À clarifier",IF(K30="Non conforme","À corriger",IF(J30&lt;&gt;"","À recontrôler","À corriger")))))))</x:f>
        <x:v>À corriger</x:v>
      </x:c>
    </x:row>
    <x:row r="31" ht="64" customHeight="1">
      <x:c r="A31" s="20" t="str">
        <x:v>1334030</x:v>
      </x:c>
      <x:c r="B31" s="2" t="str">
        <x:f>IF(A31="","",IF(COUNTIFS('Donnees'!$A$2:$A$2001,A31)&lt;&gt;1,"ID absent ou doublon",IF(INDEX('Donnees'!$A$2:$L$2001,MATCH(A31,'Donnees'!$A$2:$A$2001,0),5)="","",INDEX('Donnees'!$A$2:$L$2001,MATCH(A31,'Donnees'!$A$2:$A$2001,0),5))))</x:f>
        <x:v>NGOM Saliou</x:v>
      </x:c>
      <x:c r="C31" s="2" t="str">
        <x:f>IF(A31="","",IF(COUNTIFS('Donnees'!$A$2:$A$2001,A31)&lt;&gt;1,"ID absent ou doublon",IF(INDEX('Donnees'!$A$2:$L$2001,MATCH(A31,'Donnees'!$A$2:$A$2001,0),6)="","",INDEX('Donnees'!$A$2:$L$2001,MATCH(A31,'Donnees'!$A$2:$A$2001,0),6))))</x:f>
        <x:v>RIB</x:v>
      </x:c>
      <x:c r="D31" s="2" t="str">
        <x:f>IF(A31="","",IF(COUNTIFS('Donnees'!$A$2:$A$2001,A31)&lt;&gt;1,"ID absent ou doublon",IF(INDEX('Donnees'!$A$2:$L$2001,MATCH(A31,'Donnees'!$A$2:$A$2001,0),7)="","",INDEX('Donnees'!$A$2:$L$2001,MATCH(A31,'Donnees'!$A$2:$A$2001,0),7))))</x:f>
        <x:v>mail non validé</x:v>
      </x:c>
      <x:c r="E31" s="2" t="str">
        <x:f>IF(A31="","",IF(COUNTIFS('Donnees'!$A$2:$A$2001,A31)&lt;&gt;1,"ID absent ou doublon",IF(INDEX('Donnees'!$A$2:$L$2001,MATCH(A31,'Donnees'!$A$2:$A$2001,0),8)="","",INDEX('Donnees'!$A$2:$L$2001,MATCH(A31,'Donnees'!$A$2:$A$2001,0),8))))</x:f>
        <x:v>Q2</x:v>
      </x:c>
      <x:c r="F31" s="24" t="str">
        <x:f>IF(A31="","",IF(COUNTIFS('Donnees'!$A$2:$A$2001,A31)&lt;&gt;1,"ID absent ou doublon",IF(INDEX('Donnees'!$A$2:$L$2001,MATCH(A31,'Donnees'!$A$2:$A$2001,0),9)="","",INDEX('Donnees'!$A$2:$L$2001,MATCH(A31,'Donnees'!$A$2:$A$2001,0),9))))</x:f>
        <x:v>AH-adresse present sur le RIB n'est pas la meme sur sip il faut envoyer une confirmation d'adresse // Modif RIB ok</x:v>
      </x:c>
      <x:c r="G31" s="25"/>
      <x:c r="H31" s="25"/>
      <x:c r="I31" s="12"/>
      <x:c r="J31" s="11"/>
      <x:c r="K31" s="12"/>
      <x:c r="L31" s="11"/>
      <x:c r="M31" s="2" t="str">
        <x:f>IF(A31="","",IF(OR(COUNTIFS($A$6:$A$1005,A31)&lt;&gt;1,COUNTIFS('Donnees'!$A$2:$A$2001,A31)&lt;&gt;1),"À clarifier",IF(AND(K31="Conforme",L31&lt;&gt;"",I31&lt;&gt;"",OR(D31="mail validé",AND(D31="à vérifier",H31&lt;&gt;""),AND(D31="mail non validé",G31&lt;&gt;"",H31&lt;&gt;"",J31&lt;&gt;""))),"Clôturé",IF(K31="Conforme","À compléter",IF(D31="à vérifier","À clarifier",IF(K31="Non conforme","À corriger",IF(J31&lt;&gt;"","À recontrôler","À corriger")))))))</x:f>
        <x:v>À corriger</x:v>
      </x:c>
    </x:row>
    <x:row r="32" ht="64" customHeight="1">
      <x:c r="A32" s="20" t="str">
        <x:v>1334344</x:v>
      </x:c>
      <x:c r="B32" s="2" t="str">
        <x:f>IF(A32="","",IF(COUNTIFS('Donnees'!$A$2:$A$2001,A32)&lt;&gt;1,"ID absent ou doublon",IF(INDEX('Donnees'!$A$2:$L$2001,MATCH(A32,'Donnees'!$A$2:$A$2001,0),5)="","",INDEX('Donnees'!$A$2:$L$2001,MATCH(A32,'Donnees'!$A$2:$A$2001,0),5))))</x:f>
        <x:v>NGOM Saliou</x:v>
      </x:c>
      <x:c r="C32" s="2" t="str">
        <x:f>IF(A32="","",IF(COUNTIFS('Donnees'!$A$2:$A$2001,A32)&lt;&gt;1,"ID absent ou doublon",IF(INDEX('Donnees'!$A$2:$L$2001,MATCH(A32,'Donnees'!$A$2:$A$2001,0),6)="","",INDEX('Donnees'!$A$2:$L$2001,MATCH(A32,'Donnees'!$A$2:$A$2001,0),6))))</x:f>
        <x:v>RIB</x:v>
      </x:c>
      <x:c r="D32" s="2" t="str">
        <x:f>IF(A32="","",IF(COUNTIFS('Donnees'!$A$2:$A$2001,A32)&lt;&gt;1,"ID absent ou doublon",IF(INDEX('Donnees'!$A$2:$L$2001,MATCH(A32,'Donnees'!$A$2:$A$2001,0),7)="","",INDEX('Donnees'!$A$2:$L$2001,MATCH(A32,'Donnees'!$A$2:$A$2001,0),7))))</x:f>
        <x:v>mail non validé</x:v>
      </x:c>
      <x:c r="E32" s="2" t="str">
        <x:f>IF(A32="","",IF(COUNTIFS('Donnees'!$A$2:$A$2001,A32)&lt;&gt;1,"ID absent ou doublon",IF(INDEX('Donnees'!$A$2:$L$2001,MATCH(A32,'Donnees'!$A$2:$A$2001,0),8)="","",INDEX('Donnees'!$A$2:$L$2001,MATCH(A32,'Donnees'!$A$2:$A$2001,0),8))))</x:f>
        <x:v>Q3</x:v>
      </x:c>
      <x:c r="F32" s="24" t="str">
        <x:f>IF(A32="","",IF(COUNTIFS('Donnees'!$A$2:$A$2001,A32)&lt;&gt;1,"ID absent ou doublon",IF(INDEX('Donnees'!$A$2:$L$2001,MATCH(A32,'Donnees'!$A$2:$A$2001,0),9)="","",INDEX('Donnees'!$A$2:$L$2001,MATCH(A32,'Donnees'!$A$2:$A$2001,0),9))))</x:f>
        <x:v>AH-probléme de redaction (espace client de l'insee??) //Modif RIB ok</x:v>
      </x:c>
      <x:c r="G32" s="25"/>
      <x:c r="H32" s="25"/>
      <x:c r="I32" s="12"/>
      <x:c r="J32" s="11"/>
      <x:c r="K32" s="12"/>
      <x:c r="L32" s="11"/>
      <x:c r="M32" s="2" t="str">
        <x:f>IF(A32="","",IF(OR(COUNTIFS($A$6:$A$1005,A32)&lt;&gt;1,COUNTIFS('Donnees'!$A$2:$A$2001,A32)&lt;&gt;1),"À clarifier",IF(AND(K32="Conforme",L32&lt;&gt;"",I32&lt;&gt;"",OR(D32="mail validé",AND(D32="à vérifier",H32&lt;&gt;""),AND(D32="mail non validé",G32&lt;&gt;"",H32&lt;&gt;"",J32&lt;&gt;""))),"Clôturé",IF(K32="Conforme","À compléter",IF(D32="à vérifier","À clarifier",IF(K32="Non conforme","À corriger",IF(J32&lt;&gt;"","À recontrôler","À corriger")))))))</x:f>
        <x:v>À corriger</x:v>
      </x:c>
    </x:row>
    <x:row r="33" ht="64" customHeight="1">
      <x:c r="A33" s="20" t="str">
        <x:v>1334455</x:v>
      </x:c>
      <x:c r="B33" s="2" t="str">
        <x:f>IF(A33="","",IF(COUNTIFS('Donnees'!$A$2:$A$2001,A33)&lt;&gt;1,"ID absent ou doublon",IF(INDEX('Donnees'!$A$2:$L$2001,MATCH(A33,'Donnees'!$A$2:$A$2001,0),5)="","",INDEX('Donnees'!$A$2:$L$2001,MATCH(A33,'Donnees'!$A$2:$A$2001,0),5))))</x:f>
        <x:v>HABBOUB Karim</x:v>
      </x:c>
      <x:c r="C33" s="2" t="str">
        <x:f>IF(A33="","",IF(COUNTIFS('Donnees'!$A$2:$A$2001,A33)&lt;&gt;1,"ID absent ou doublon",IF(INDEX('Donnees'!$A$2:$L$2001,MATCH(A33,'Donnees'!$A$2:$A$2001,0),6)="","",INDEX('Donnees'!$A$2:$L$2001,MATCH(A33,'Donnees'!$A$2:$A$2001,0),6))))</x:f>
        <x:v>RIB</x:v>
      </x:c>
      <x:c r="D33" s="2" t="str">
        <x:f>IF(A33="","",IF(COUNTIFS('Donnees'!$A$2:$A$2001,A33)&lt;&gt;1,"ID absent ou doublon",IF(INDEX('Donnees'!$A$2:$L$2001,MATCH(A33,'Donnees'!$A$2:$A$2001,0),7)="","",INDEX('Donnees'!$A$2:$L$2001,MATCH(A33,'Donnees'!$A$2:$A$2001,0),7))))</x:f>
        <x:v>mail non validé</x:v>
      </x:c>
      <x:c r="E33" s="2" t="str">
        <x:f>IF(A33="","",IF(COUNTIFS('Donnees'!$A$2:$A$2001,A33)&lt;&gt;1,"ID absent ou doublon",IF(INDEX('Donnees'!$A$2:$L$2001,MATCH(A33,'Donnees'!$A$2:$A$2001,0),8)="","",INDEX('Donnees'!$A$2:$L$2001,MATCH(A33,'Donnees'!$A$2:$A$2001,0),8))))</x:f>
        <x:v>Q3</x:v>
      </x:c>
      <x:c r="F33" s="24" t="str">
        <x:f>IF(A33="","",IF(COUNTIFS('Donnees'!$A$2:$A$2001,A33)&lt;&gt;1,"ID absent ou doublon",IF(INDEX('Donnees'!$A$2:$L$2001,MATCH(A33,'Donnees'!$A$2:$A$2001,0),9)="","",INDEX('Donnees'!$A$2:$L$2001,MATCH(A33,'Donnees'!$A$2:$A$2001,0),9))))</x:f>
        <x:v>AH-suppression de propo EC puisque pas de part // confirmation rib et adresse + reception choix partenaire ok</x:v>
      </x:c>
      <x:c r="G33" s="25"/>
      <x:c r="H33" s="25"/>
      <x:c r="I33" s="12"/>
      <x:c r="J33" s="11"/>
      <x:c r="K33" s="12"/>
      <x:c r="L33" s="11"/>
      <x:c r="M33" s="2" t="str">
        <x:f>IF(A33="","",IF(OR(COUNTIFS($A$6:$A$1005,A33)&lt;&gt;1,COUNTIFS('Donnees'!$A$2:$A$2001,A33)&lt;&gt;1),"À clarifier",IF(AND(K33="Conforme",L33&lt;&gt;"",I33&lt;&gt;"",OR(D33="mail validé",AND(D33="à vérifier",H33&lt;&gt;""),AND(D33="mail non validé",G33&lt;&gt;"",H33&lt;&gt;"",J33&lt;&gt;""))),"Clôturé",IF(K33="Conforme","À compléter",IF(D33="à vérifier","À clarifier",IF(K33="Non conforme","À corriger",IF(J33&lt;&gt;"","À recontrôler","À corriger")))))))</x:f>
        <x:v>À corriger</x:v>
      </x:c>
    </x:row>
    <x:row r="34" ht="64" customHeight="1">
      <x:c r="A34" s="20" t="str">
        <x:v>1334392</x:v>
      </x:c>
      <x:c r="B34" s="2" t="str">
        <x:f>IF(A34="","",IF(COUNTIFS('Donnees'!$A$2:$A$2001,A34)&lt;&gt;1,"ID absent ou doublon",IF(INDEX('Donnees'!$A$2:$L$2001,MATCH(A34,'Donnees'!$A$2:$A$2001,0),5)="","",INDEX('Donnees'!$A$2:$L$2001,MATCH(A34,'Donnees'!$A$2:$A$2001,0),5))))</x:f>
        <x:v>NDIAYE Seynabou</x:v>
      </x:c>
      <x:c r="C34" s="2" t="str">
        <x:f>IF(A34="","",IF(COUNTIFS('Donnees'!$A$2:$A$2001,A34)&lt;&gt;1,"ID absent ou doublon",IF(INDEX('Donnees'!$A$2:$L$2001,MATCH(A34,'Donnees'!$A$2:$A$2001,0),6)="","",INDEX('Donnees'!$A$2:$L$2001,MATCH(A34,'Donnees'!$A$2:$A$2001,0),6))))</x:f>
        <x:v>FISCA</x:v>
      </x:c>
      <x:c r="D34" s="2" t="str">
        <x:f>IF(A34="","",IF(COUNTIFS('Donnees'!$A$2:$A$2001,A34)&lt;&gt;1,"ID absent ou doublon",IF(INDEX('Donnees'!$A$2:$L$2001,MATCH(A34,'Donnees'!$A$2:$A$2001,0),7)="","",INDEX('Donnees'!$A$2:$L$2001,MATCH(A34,'Donnees'!$A$2:$A$2001,0),7))))</x:f>
        <x:v>à vérifier</x:v>
      </x:c>
      <x:c r="E34" s="2" t="str">
        <x:f>IF(A34="","",IF(COUNTIFS('Donnees'!$A$2:$A$2001,A34)&lt;&gt;1,"ID absent ou doublon",IF(INDEX('Donnees'!$A$2:$L$2001,MATCH(A34,'Donnees'!$A$2:$A$2001,0),8)="","",INDEX('Donnees'!$A$2:$L$2001,MATCH(A34,'Donnees'!$A$2:$A$2001,0),8))))</x:f>
      </x:c>
      <x:c r="F34" s="24" t="str">
        <x:f>IF(A34="","",IF(COUNTIFS('Donnees'!$A$2:$A$2001,A34)&lt;&gt;1,"ID absent ou doublon",IF(INDEX('Donnees'!$A$2:$L$2001,MATCH(A34,'Donnees'!$A$2:$A$2001,0),9)="","",INDEX('Donnees'!$A$2:$L$2001,MATCH(A34,'Donnees'!$A$2:$A$2001,0),9))))</x:f>
        <x:v>reponse sur reclamation fiscalité</x:v>
      </x:c>
      <x:c r="G34" s="25"/>
      <x:c r="H34" s="25"/>
      <x:c r="I34" s="12"/>
      <x:c r="J34" s="11"/>
      <x:c r="K34" s="12"/>
      <x:c r="L34" s="11"/>
      <x:c r="M34" s="2" t="str">
        <x:f>IF(A34="","",IF(OR(COUNTIFS($A$6:$A$1005,A34)&lt;&gt;1,COUNTIFS('Donnees'!$A$2:$A$2001,A34)&lt;&gt;1),"À clarifier",IF(AND(K34="Conforme",L34&lt;&gt;"",I34&lt;&gt;"",OR(D34="mail validé",AND(D34="à vérifier",H34&lt;&gt;""),AND(D34="mail non validé",G34&lt;&gt;"",H34&lt;&gt;"",J34&lt;&gt;""))),"Clôturé",IF(K34="Conforme","À compléter",IF(D34="à vérifier","À clarifier",IF(K34="Non conforme","À corriger",IF(J34&lt;&gt;"","À recontrôler","À corriger")))))))</x:f>
        <x:v>À clarifier</x:v>
      </x:c>
    </x:row>
    <x:row r="35" ht="64" customHeight="1">
      <x:c r="A35" s="20" t="str">
        <x:v>1334228</x:v>
      </x:c>
      <x:c r="B35" s="2" t="str">
        <x:f>IF(A35="","",IF(COUNTIFS('Donnees'!$A$2:$A$2001,A35)&lt;&gt;1,"ID absent ou doublon",IF(INDEX('Donnees'!$A$2:$L$2001,MATCH(A35,'Donnees'!$A$2:$A$2001,0),5)="","",INDEX('Donnees'!$A$2:$L$2001,MATCH(A35,'Donnees'!$A$2:$A$2001,0),5))))</x:f>
        <x:v>SANE Mohamed lamine</x:v>
      </x:c>
      <x:c r="C35" s="2" t="str">
        <x:f>IF(A35="","",IF(COUNTIFS('Donnees'!$A$2:$A$2001,A35)&lt;&gt;1,"ID absent ou doublon",IF(INDEX('Donnees'!$A$2:$L$2001,MATCH(A35,'Donnees'!$A$2:$A$2001,0),6)="","",INDEX('Donnees'!$A$2:$L$2001,MATCH(A35,'Donnees'!$A$2:$A$2001,0),6))))</x:f>
        <x:v>DOM</x:v>
      </x:c>
      <x:c r="D35" s="2" t="str">
        <x:f>IF(A35="","",IF(COUNTIFS('Donnees'!$A$2:$A$2001,A35)&lt;&gt;1,"ID absent ou doublon",IF(INDEX('Donnees'!$A$2:$L$2001,MATCH(A35,'Donnees'!$A$2:$A$2001,0),7)="","",INDEX('Donnees'!$A$2:$L$2001,MATCH(A35,'Donnees'!$A$2:$A$2001,0),7))))</x:f>
        <x:v>mail non validé</x:v>
      </x:c>
      <x:c r="E35" s="2" t="str">
        <x:f>IF(A35="","",IF(COUNTIFS('Donnees'!$A$2:$A$2001,A35)&lt;&gt;1,"ID absent ou doublon",IF(INDEX('Donnees'!$A$2:$L$2001,MATCH(A35,'Donnees'!$A$2:$A$2001,0),8)="","",INDEX('Donnees'!$A$2:$L$2001,MATCH(A35,'Donnees'!$A$2:$A$2001,0),8))))</x:f>
        <x:v>Q3</x:v>
      </x:c>
      <x:c r="F35" s="24" t="str">
        <x:f>IF(A35="","",IF(COUNTIFS('Donnees'!$A$2:$A$2001,A35)&lt;&gt;1,"ID absent ou doublon",IF(INDEX('Donnees'!$A$2:$L$2001,MATCH(A35,'Donnees'!$A$2:$A$2001,0),9)="","",INDEX('Donnees'!$A$2:$L$2001,MATCH(A35,'Donnees'!$A$2:$A$2001,0),9))))</x:f>
        <x:v>AH-proposition EC KO // MODIF DOM OK//ATTESTATION PPA OK //CERTIF DHEBERB OK </x:v>
      </x:c>
      <x:c r="G35" s="25"/>
      <x:c r="H35" s="25"/>
      <x:c r="I35" s="12"/>
      <x:c r="J35" s="11"/>
      <x:c r="K35" s="12"/>
      <x:c r="L35" s="11"/>
      <x:c r="M35" s="2" t="str">
        <x:f>IF(A35="","",IF(OR(COUNTIFS($A$6:$A$1005,A35)&lt;&gt;1,COUNTIFS('Donnees'!$A$2:$A$2001,A35)&lt;&gt;1),"À clarifier",IF(AND(K35="Conforme",L35&lt;&gt;"",I35&lt;&gt;"",OR(D35="mail validé",AND(D35="à vérifier",H35&lt;&gt;""),AND(D35="mail non validé",G35&lt;&gt;"",H35&lt;&gt;"",J35&lt;&gt;""))),"Clôturé",IF(K35="Conforme","À compléter",IF(D35="à vérifier","À clarifier",IF(K35="Non conforme","À corriger",IF(J35&lt;&gt;"","À recontrôler","À corriger")))))))</x:f>
        <x:v>À corriger</x:v>
      </x:c>
    </x:row>
    <x:row r="36" ht="64" customHeight="1">
      <x:c r="A36" s="20" t="str">
        <x:v>1334294</x:v>
      </x:c>
      <x:c r="B36" s="2" t="str">
        <x:f>IF(A36="","",IF(COUNTIFS('Donnees'!$A$2:$A$2001,A36)&lt;&gt;1,"ID absent ou doublon",IF(INDEX('Donnees'!$A$2:$L$2001,MATCH(A36,'Donnees'!$A$2:$A$2001,0),5)="","",INDEX('Donnees'!$A$2:$L$2001,MATCH(A36,'Donnees'!$A$2:$A$2001,0),5))))</x:f>
        <x:v>SANE Mohamed lamine</x:v>
      </x:c>
      <x:c r="C36" s="2" t="str">
        <x:f>IF(A36="","",IF(COUNTIFS('Donnees'!$A$2:$A$2001,A36)&lt;&gt;1,"ID absent ou doublon",IF(INDEX('Donnees'!$A$2:$L$2001,MATCH(A36,'Donnees'!$A$2:$A$2001,0),6)="","",INDEX('Donnees'!$A$2:$L$2001,MATCH(A36,'Donnees'!$A$2:$A$2001,0),6))))</x:f>
        <x:v>DOM</x:v>
      </x:c>
      <x:c r="D36" s="2" t="str">
        <x:f>IF(A36="","",IF(COUNTIFS('Donnees'!$A$2:$A$2001,A36)&lt;&gt;1,"ID absent ou doublon",IF(INDEX('Donnees'!$A$2:$L$2001,MATCH(A36,'Donnees'!$A$2:$A$2001,0),7)="","",INDEX('Donnees'!$A$2:$L$2001,MATCH(A36,'Donnees'!$A$2:$A$2001,0),7))))</x:f>
        <x:v>mail non validé</x:v>
      </x:c>
      <x:c r="E36" s="2" t="str">
        <x:f>IF(A36="","",IF(COUNTIFS('Donnees'!$A$2:$A$2001,A36)&lt;&gt;1,"ID absent ou doublon",IF(INDEX('Donnees'!$A$2:$L$2001,MATCH(A36,'Donnees'!$A$2:$A$2001,0),8)="","",INDEX('Donnees'!$A$2:$L$2001,MATCH(A36,'Donnees'!$A$2:$A$2001,0),8))))</x:f>
        <x:v>Q2</x:v>
      </x:c>
      <x:c r="F36" s="24" t="str">
        <x:f>IF(A36="","",IF(COUNTIFS('Donnees'!$A$2:$A$2001,A36)&lt;&gt;1,"ID absent ou doublon",IF(INDEX('Donnees'!$A$2:$L$2001,MATCH(A36,'Donnees'!$A$2:$A$2001,0),9)="","",INDEX('Donnees'!$A$2:$L$2001,MATCH(A36,'Donnees'!$A$2:$A$2001,0),9))))</x:f>
        <x:v>AH-template ko // MODIF DOM OK //COUPON CHOIX PART </x:v>
      </x:c>
      <x:c r="G36" s="25"/>
      <x:c r="H36" s="25"/>
      <x:c r="I36" s="12"/>
      <x:c r="J36" s="11"/>
      <x:c r="K36" s="12"/>
      <x:c r="L36" s="11"/>
      <x:c r="M36" s="2" t="str">
        <x:f>IF(A36="","",IF(OR(COUNTIFS($A$6:$A$1005,A36)&lt;&gt;1,COUNTIFS('Donnees'!$A$2:$A$2001,A36)&lt;&gt;1),"À clarifier",IF(AND(K36="Conforme",L36&lt;&gt;"",I36&lt;&gt;"",OR(D36="mail validé",AND(D36="à vérifier",H36&lt;&gt;""),AND(D36="mail non validé",G36&lt;&gt;"",H36&lt;&gt;"",J36&lt;&gt;""))),"Clôturé",IF(K36="Conforme","À compléter",IF(D36="à vérifier","À clarifier",IF(K36="Non conforme","À corriger",IF(J36&lt;&gt;"","À recontrôler","À corriger")))))))</x:f>
        <x:v>À corriger</x:v>
      </x:c>
    </x:row>
    <x:row r="37" ht="64" customHeight="1">
      <x:c r="A37" s="20" t="str">
        <x:v>1334456</x:v>
      </x:c>
      <x:c r="B37" s="2" t="str">
        <x:f>IF(A37="","",IF(COUNTIFS('Donnees'!$A$2:$A$2001,A37)&lt;&gt;1,"ID absent ou doublon",IF(INDEX('Donnees'!$A$2:$L$2001,MATCH(A37,'Donnees'!$A$2:$A$2001,0),5)="","",INDEX('Donnees'!$A$2:$L$2001,MATCH(A37,'Donnees'!$A$2:$A$2001,0),5))))</x:f>
        <x:v>EL HASROUF Youssef</x:v>
      </x:c>
      <x:c r="C37" s="2" t="str">
        <x:f>IF(A37="","",IF(COUNTIFS('Donnees'!$A$2:$A$2001,A37)&lt;&gt;1,"ID absent ou doublon",IF(INDEX('Donnees'!$A$2:$L$2001,MATCH(A37,'Donnees'!$A$2:$A$2001,0),6)="","",INDEX('Donnees'!$A$2:$L$2001,MATCH(A37,'Donnees'!$A$2:$A$2001,0),6))))</x:f>
        <x:v>DOM</x:v>
      </x:c>
      <x:c r="D37" s="2" t="str">
        <x:f>IF(A37="","",IF(COUNTIFS('Donnees'!$A$2:$A$2001,A37)&lt;&gt;1,"ID absent ou doublon",IF(INDEX('Donnees'!$A$2:$L$2001,MATCH(A37,'Donnees'!$A$2:$A$2001,0),7)="","",INDEX('Donnees'!$A$2:$L$2001,MATCH(A37,'Donnees'!$A$2:$A$2001,0),7))))</x:f>
        <x:v>mail non validé</x:v>
      </x:c>
      <x:c r="E37" s="2" t="str">
        <x:f>IF(A37="","",IF(COUNTIFS('Donnees'!$A$2:$A$2001,A37)&lt;&gt;1,"ID absent ou doublon",IF(INDEX('Donnees'!$A$2:$L$2001,MATCH(A37,'Donnees'!$A$2:$A$2001,0),8)="","",INDEX('Donnees'!$A$2:$L$2001,MATCH(A37,'Donnees'!$A$2:$A$2001,0),8))))</x:f>
        <x:v>Q2</x:v>
      </x:c>
      <x:c r="F37" s="24" t="str">
        <x:f>IF(A37="","",IF(COUNTIFS('Donnees'!$A$2:$A$2001,A37)&lt;&gt;1,"ID absent ou doublon",IF(INDEX('Donnees'!$A$2:$L$2001,MATCH(A37,'Donnees'!$A$2:$A$2001,0),9)="","",INDEX('Donnees'!$A$2:$L$2001,MATCH(A37,'Donnees'!$A$2:$A$2001,0),9))))</x:f>
        <x:v>AH-proposition EC KO + pas d'envoi de coupon //Modif adresse postale ok </x:v>
      </x:c>
      <x:c r="G37" s="25"/>
      <x:c r="H37" s="25"/>
      <x:c r="I37" s="12"/>
      <x:c r="J37" s="11"/>
      <x:c r="K37" s="12"/>
      <x:c r="L37" s="11"/>
      <x:c r="M37" s="2" t="str">
        <x:f>IF(A37="","",IF(OR(COUNTIFS($A$6:$A$1005,A37)&lt;&gt;1,COUNTIFS('Donnees'!$A$2:$A$2001,A37)&lt;&gt;1),"À clarifier",IF(AND(K37="Conforme",L37&lt;&gt;"",I37&lt;&gt;"",OR(D37="mail validé",AND(D37="à vérifier",H37&lt;&gt;""),AND(D37="mail non validé",G37&lt;&gt;"",H37&lt;&gt;"",J37&lt;&gt;""))),"Clôturé",IF(K37="Conforme","À compléter",IF(D37="à vérifier","À clarifier",IF(K37="Non conforme","À corriger",IF(J37&lt;&gt;"","À recontrôler","À corriger")))))))</x:f>
        <x:v>À corriger</x:v>
      </x:c>
    </x:row>
    <x:row r="38" ht="64" customHeight="1">
      <x:c r="A38" s="20" t="str">
        <x:v>1334609</x:v>
      </x:c>
      <x:c r="B38" s="2" t="str">
        <x:f>IF(A38="","",IF(COUNTIFS('Donnees'!$A$2:$A$2001,A38)&lt;&gt;1,"ID absent ou doublon",IF(INDEX('Donnees'!$A$2:$L$2001,MATCH(A38,'Donnees'!$A$2:$A$2001,0),5)="","",INDEX('Donnees'!$A$2:$L$2001,MATCH(A38,'Donnees'!$A$2:$A$2001,0),5))))</x:f>
        <x:v>OUCHENE Zakaria</x:v>
      </x:c>
      <x:c r="C38" s="2" t="str">
        <x:f>IF(A38="","",IF(COUNTIFS('Donnees'!$A$2:$A$2001,A38)&lt;&gt;1,"ID absent ou doublon",IF(INDEX('Donnees'!$A$2:$L$2001,MATCH(A38,'Donnees'!$A$2:$A$2001,0),6)="","",INDEX('Donnees'!$A$2:$L$2001,MATCH(A38,'Donnees'!$A$2:$A$2001,0),6))))</x:f>
        <x:v>DOCS</x:v>
      </x:c>
      <x:c r="D38" s="2" t="str">
        <x:f>IF(A38="","",IF(COUNTIFS('Donnees'!$A$2:$A$2001,A38)&lt;&gt;1,"ID absent ou doublon",IF(INDEX('Donnees'!$A$2:$L$2001,MATCH(A38,'Donnees'!$A$2:$A$2001,0),7)="","",INDEX('Donnees'!$A$2:$L$2001,MATCH(A38,'Donnees'!$A$2:$A$2001,0),7))))</x:f>
        <x:v>mail non validé</x:v>
      </x:c>
      <x:c r="E38" s="2" t="str">
        <x:f>IF(A38="","",IF(COUNTIFS('Donnees'!$A$2:$A$2001,A38)&lt;&gt;1,"ID absent ou doublon",IF(INDEX('Donnees'!$A$2:$L$2001,MATCH(A38,'Donnees'!$A$2:$A$2001,0),8)="","",INDEX('Donnees'!$A$2:$L$2001,MATCH(A38,'Donnees'!$A$2:$A$2001,0),8))))</x:f>
        <x:v>Q3</x:v>
      </x:c>
      <x:c r="F38" s="24" t="str">
        <x:f>IF(A38="","",IF(COUNTIFS('Donnees'!$A$2:$A$2001,A38)&lt;&gt;1,"ID absent ou doublon",IF(INDEX('Donnees'!$A$2:$L$2001,MATCH(A38,'Donnees'!$A$2:$A$2001,0),9)="","",INDEX('Donnees'!$A$2:$L$2001,MATCH(A38,'Donnees'!$A$2:$A$2001,0),9))))</x:f>
        <x:v>AH-proposition ec ko // Envoi rlv prtf ok</x:v>
      </x:c>
      <x:c r="G38" s="25"/>
      <x:c r="H38" s="25"/>
      <x:c r="I38" s="12"/>
      <x:c r="J38" s="11"/>
      <x:c r="K38" s="12"/>
      <x:c r="L38" s="11"/>
      <x:c r="M38" s="2" t="str">
        <x:f>IF(A38="","",IF(OR(COUNTIFS($A$6:$A$1005,A38)&lt;&gt;1,COUNTIFS('Donnees'!$A$2:$A$2001,A38)&lt;&gt;1),"À clarifier",IF(AND(K38="Conforme",L38&lt;&gt;"",I38&lt;&gt;"",OR(D38="mail validé",AND(D38="à vérifier",H38&lt;&gt;""),AND(D38="mail non validé",G38&lt;&gt;"",H38&lt;&gt;"",J38&lt;&gt;""))),"Clôturé",IF(K38="Conforme","À compléter",IF(D38="à vérifier","À clarifier",IF(K38="Non conforme","À corriger",IF(J38&lt;&gt;"","À recontrôler","À corriger")))))))</x:f>
        <x:v>À corriger</x:v>
      </x:c>
    </x:row>
    <x:row r="39" ht="64" customHeight="1">
      <x:c r="A39" s="20" t="str">
        <x:v>1334607</x:v>
      </x:c>
      <x:c r="B39" s="2" t="str">
        <x:f>IF(A39="","",IF(COUNTIFS('Donnees'!$A$2:$A$2001,A39)&lt;&gt;1,"ID absent ou doublon",IF(INDEX('Donnees'!$A$2:$L$2001,MATCH(A39,'Donnees'!$A$2:$A$2001,0),5)="","",INDEX('Donnees'!$A$2:$L$2001,MATCH(A39,'Donnees'!$A$2:$A$2001,0),5))))</x:f>
        <x:v>SANE Mohamed lamine</x:v>
      </x:c>
      <x:c r="C39" s="2" t="str">
        <x:f>IF(A39="","",IF(COUNTIFS('Donnees'!$A$2:$A$2001,A39)&lt;&gt;1,"ID absent ou doublon",IF(INDEX('Donnees'!$A$2:$L$2001,MATCH(A39,'Donnees'!$A$2:$A$2001,0),6)="","",INDEX('Donnees'!$A$2:$L$2001,MATCH(A39,'Donnees'!$A$2:$A$2001,0),6))))</x:f>
        <x:v>DOCS</x:v>
      </x:c>
      <x:c r="D39" s="2" t="str">
        <x:f>IF(A39="","",IF(COUNTIFS('Donnees'!$A$2:$A$2001,A39)&lt;&gt;1,"ID absent ou doublon",IF(INDEX('Donnees'!$A$2:$L$2001,MATCH(A39,'Donnees'!$A$2:$A$2001,0),7)="","",INDEX('Donnees'!$A$2:$L$2001,MATCH(A39,'Donnees'!$A$2:$A$2001,0),7))))</x:f>
        <x:v>mail non validé</x:v>
      </x:c>
      <x:c r="E39" s="2" t="str">
        <x:f>IF(A39="","",IF(COUNTIFS('Donnees'!$A$2:$A$2001,A39)&lt;&gt;1,"ID absent ou doublon",IF(INDEX('Donnees'!$A$2:$L$2001,MATCH(A39,'Donnees'!$A$2:$A$2001,0),8)="","",INDEX('Donnees'!$A$2:$L$2001,MATCH(A39,'Donnees'!$A$2:$A$2001,0),8))))</x:f>
        <x:v>Q3</x:v>
      </x:c>
      <x:c r="F39" s="24" t="str">
        <x:f>IF(A39="","",IF(COUNTIFS('Donnees'!$A$2:$A$2001,A39)&lt;&gt;1,"ID absent ou doublon",IF(INDEX('Donnees'!$A$2:$L$2001,MATCH(A39,'Donnees'!$A$2:$A$2001,0),9)="","",INDEX('Donnees'!$A$2:$L$2001,MATCH(A39,'Donnees'!$A$2:$A$2001,0),9))))</x:f>
        <x:v>AH-proposition ec ko//ATTESTATION PPA OK </x:v>
      </x:c>
      <x:c r="G39" s="25"/>
      <x:c r="H39" s="25"/>
      <x:c r="I39" s="12"/>
      <x:c r="J39" s="11"/>
      <x:c r="K39" s="12"/>
      <x:c r="L39" s="11"/>
      <x:c r="M39" s="2" t="str">
        <x:f>IF(A39="","",IF(OR(COUNTIFS($A$6:$A$1005,A39)&lt;&gt;1,COUNTIFS('Donnees'!$A$2:$A$2001,A39)&lt;&gt;1),"À clarifier",IF(AND(K39="Conforme",L39&lt;&gt;"",I39&lt;&gt;"",OR(D39="mail validé",AND(D39="à vérifier",H39&lt;&gt;""),AND(D39="mail non validé",G39&lt;&gt;"",H39&lt;&gt;"",J39&lt;&gt;""))),"Clôturé",IF(K39="Conforme","À compléter",IF(D39="à vérifier","À clarifier",IF(K39="Non conforme","À corriger",IF(J39&lt;&gt;"","À recontrôler","À corriger")))))))</x:f>
        <x:v>À corriger</x:v>
      </x:c>
    </x:row>
    <x:row r="40" ht="64" customHeight="1">
      <x:c r="A40" s="20" t="str">
        <x:v>1334550</x:v>
      </x:c>
      <x:c r="B40" s="2" t="str">
        <x:f>IF(A40="","",IF(COUNTIFS('Donnees'!$A$2:$A$2001,A40)&lt;&gt;1,"ID absent ou doublon",IF(INDEX('Donnees'!$A$2:$L$2001,MATCH(A40,'Donnees'!$A$2:$A$2001,0),5)="","",INDEX('Donnees'!$A$2:$L$2001,MATCH(A40,'Donnees'!$A$2:$A$2001,0),5))))</x:f>
        <x:v>ZIRARI Chaimaa</x:v>
      </x:c>
      <x:c r="C40" s="2" t="str">
        <x:f>IF(A40="","",IF(COUNTIFS('Donnees'!$A$2:$A$2001,A40)&lt;&gt;1,"ID absent ou doublon",IF(INDEX('Donnees'!$A$2:$L$2001,MATCH(A40,'Donnees'!$A$2:$A$2001,0),6)="","",INDEX('Donnees'!$A$2:$L$2001,MATCH(A40,'Donnees'!$A$2:$A$2001,0),6))))</x:f>
        <x:v>DOCS</x:v>
      </x:c>
      <x:c r="D40" s="2" t="str">
        <x:f>IF(A40="","",IF(COUNTIFS('Donnees'!$A$2:$A$2001,A40)&lt;&gt;1,"ID absent ou doublon",IF(INDEX('Donnees'!$A$2:$L$2001,MATCH(A40,'Donnees'!$A$2:$A$2001,0),7)="","",INDEX('Donnees'!$A$2:$L$2001,MATCH(A40,'Donnees'!$A$2:$A$2001,0),7))))</x:f>
        <x:v>mail non validé</x:v>
      </x:c>
      <x:c r="E40" s="2" t="str">
        <x:f>IF(A40="","",IF(COUNTIFS('Donnees'!$A$2:$A$2001,A40)&lt;&gt;1,"ID absent ou doublon",IF(INDEX('Donnees'!$A$2:$L$2001,MATCH(A40,'Donnees'!$A$2:$A$2001,0),8)="","",INDEX('Donnees'!$A$2:$L$2001,MATCH(A40,'Donnees'!$A$2:$A$2001,0),8))))</x:f>
        <x:v>Q1</x:v>
      </x:c>
      <x:c r="F40" s="24" t="str">
        <x:f>IF(A40="","",IF(COUNTIFS('Donnees'!$A$2:$A$2001,A40)&lt;&gt;1,"ID absent ou doublon",IF(INDEX('Donnees'!$A$2:$L$2001,MATCH(A40,'Donnees'!$A$2:$A$2001,0),9)="","",INDEX('Donnees'!$A$2:$L$2001,MATCH(A40,'Donnees'!$A$2:$A$2001,0),9))))</x:f>
        <x:v>AH-tuteur demande rlv de prtf du 31/07 et 31/08 //relevé de prtefeuille</x:v>
      </x:c>
      <x:c r="G40" s="25"/>
      <x:c r="H40" s="25"/>
      <x:c r="I40" s="12"/>
      <x:c r="J40" s="11"/>
      <x:c r="K40" s="12"/>
      <x:c r="L40" s="11"/>
      <x:c r="M40" s="2" t="str">
        <x:f>IF(A40="","",IF(OR(COUNTIFS($A$6:$A$1005,A40)&lt;&gt;1,COUNTIFS('Donnees'!$A$2:$A$2001,A40)&lt;&gt;1),"À clarifier",IF(AND(K40="Conforme",L40&lt;&gt;"",I40&lt;&gt;"",OR(D40="mail validé",AND(D40="à vérifier",H40&lt;&gt;""),AND(D40="mail non validé",G40&lt;&gt;"",H40&lt;&gt;"",J40&lt;&gt;""))),"Clôturé",IF(K40="Conforme","À compléter",IF(D40="à vérifier","À clarifier",IF(K40="Non conforme","À corriger",IF(J40&lt;&gt;"","À recontrôler","À corriger")))))))</x:f>
        <x:v>À corriger</x:v>
      </x:c>
    </x:row>
    <x:row r="41" ht="64" customHeight="1">
      <x:c r="A41" s="20" t="str">
        <x:v>1334546</x:v>
      </x:c>
      <x:c r="B41" s="2" t="str">
        <x:f>IF(A41="","",IF(COUNTIFS('Donnees'!$A$2:$A$2001,A41)&lt;&gt;1,"ID absent ou doublon",IF(INDEX('Donnees'!$A$2:$L$2001,MATCH(A41,'Donnees'!$A$2:$A$2001,0),5)="","",INDEX('Donnees'!$A$2:$L$2001,MATCH(A41,'Donnees'!$A$2:$A$2001,0),5))))</x:f>
        <x:v>ZIRARI Chaimaa</x:v>
      </x:c>
      <x:c r="C41" s="2" t="str">
        <x:f>IF(A41="","",IF(COUNTIFS('Donnees'!$A$2:$A$2001,A41)&lt;&gt;1,"ID absent ou doublon",IF(INDEX('Donnees'!$A$2:$L$2001,MATCH(A41,'Donnees'!$A$2:$A$2001,0),6)="","",INDEX('Donnees'!$A$2:$L$2001,MATCH(A41,'Donnees'!$A$2:$A$2001,0),6))))</x:f>
        <x:v>DOCS</x:v>
      </x:c>
      <x:c r="D41" s="2" t="str">
        <x:f>IF(A41="","",IF(COUNTIFS('Donnees'!$A$2:$A$2001,A41)&lt;&gt;1,"ID absent ou doublon",IF(INDEX('Donnees'!$A$2:$L$2001,MATCH(A41,'Donnees'!$A$2:$A$2001,0),7)="","",INDEX('Donnees'!$A$2:$L$2001,MATCH(A41,'Donnees'!$A$2:$A$2001,0),7))))</x:f>
        <x:v>à vérifier</x:v>
      </x:c>
      <x:c r="E41" s="2" t="str">
        <x:f>IF(A41="","",IF(COUNTIFS('Donnees'!$A$2:$A$2001,A41)&lt;&gt;1,"ID absent ou doublon",IF(INDEX('Donnees'!$A$2:$L$2001,MATCH(A41,'Donnees'!$A$2:$A$2001,0),8)="","",INDEX('Donnees'!$A$2:$L$2001,MATCH(A41,'Donnees'!$A$2:$A$2001,0),8))))</x:f>
      </x:c>
      <x:c r="F41" s="24" t="str">
        <x:f>IF(A41="","",IF(COUNTIFS('Donnees'!$A$2:$A$2001,A41)&lt;&gt;1,"ID absent ou doublon",IF(INDEX('Donnees'!$A$2:$L$2001,MATCH(A41,'Donnees'!$A$2:$A$2001,0),9)="","",INDEX('Donnees'!$A$2:$L$2001,MATCH(A41,'Donnees'!$A$2:$A$2001,0),9))))</x:f>
        <x:v>AH-jps qu'il fallait ajouter le bulltin d'achat // Attestation de propriete de parts</x:v>
      </x:c>
      <x:c r="G41" s="25"/>
      <x:c r="H41" s="25"/>
      <x:c r="I41" s="12"/>
      <x:c r="J41" s="11"/>
      <x:c r="K41" s="12"/>
      <x:c r="L41" s="11"/>
      <x:c r="M41" s="2" t="str">
        <x:f>IF(A41="","",IF(OR(COUNTIFS($A$6:$A$1005,A41)&lt;&gt;1,COUNTIFS('Donnees'!$A$2:$A$2001,A41)&lt;&gt;1),"À clarifier",IF(AND(K41="Conforme",L41&lt;&gt;"",I41&lt;&gt;"",OR(D41="mail validé",AND(D41="à vérifier",H41&lt;&gt;""),AND(D41="mail non validé",G41&lt;&gt;"",H41&lt;&gt;"",J41&lt;&gt;""))),"Clôturé",IF(K41="Conforme","À compléter",IF(D41="à vérifier","À clarifier",IF(K41="Non conforme","À corriger",IF(J41&lt;&gt;"","À recontrôler","À corriger")))))))</x:f>
        <x:v>À clarifier</x:v>
      </x:c>
    </x:row>
    <x:row r="42" ht="64" customHeight="1">
      <x:c r="A42" s="20" t="str">
        <x:v>1334539</x:v>
      </x:c>
      <x:c r="B42" s="2" t="str">
        <x:f>IF(A42="","",IF(COUNTIFS('Donnees'!$A$2:$A$2001,A42)&lt;&gt;1,"ID absent ou doublon",IF(INDEX('Donnees'!$A$2:$L$2001,MATCH(A42,'Donnees'!$A$2:$A$2001,0),5)="","",INDEX('Donnees'!$A$2:$L$2001,MATCH(A42,'Donnees'!$A$2:$A$2001,0),5))))</x:f>
        <x:v>ZIRARI Chaimaa</x:v>
      </x:c>
      <x:c r="C42" s="2" t="str">
        <x:f>IF(A42="","",IF(COUNTIFS('Donnees'!$A$2:$A$2001,A42)&lt;&gt;1,"ID absent ou doublon",IF(INDEX('Donnees'!$A$2:$L$2001,MATCH(A42,'Donnees'!$A$2:$A$2001,0),6)="","",INDEX('Donnees'!$A$2:$L$2001,MATCH(A42,'Donnees'!$A$2:$A$2001,0),6))))</x:f>
        <x:v>DOCS</x:v>
      </x:c>
      <x:c r="D42" s="2" t="str">
        <x:f>IF(A42="","",IF(COUNTIFS('Donnees'!$A$2:$A$2001,A42)&lt;&gt;1,"ID absent ou doublon",IF(INDEX('Donnees'!$A$2:$L$2001,MATCH(A42,'Donnees'!$A$2:$A$2001,0),7)="","",INDEX('Donnees'!$A$2:$L$2001,MATCH(A42,'Donnees'!$A$2:$A$2001,0),7))))</x:f>
        <x:v>mail non validé</x:v>
      </x:c>
      <x:c r="E42" s="2" t="str">
        <x:f>IF(A42="","",IF(COUNTIFS('Donnees'!$A$2:$A$2001,A42)&lt;&gt;1,"ID absent ou doublon",IF(INDEX('Donnees'!$A$2:$L$2001,MATCH(A42,'Donnees'!$A$2:$A$2001,0),8)="","",INDEX('Donnees'!$A$2:$L$2001,MATCH(A42,'Donnees'!$A$2:$A$2001,0),8))))</x:f>
        <x:v>Q3</x:v>
      </x:c>
      <x:c r="F42" s="24" t="str">
        <x:f>IF(A42="","",IF(COUNTIFS('Donnees'!$A$2:$A$2001,A42)&lt;&gt;1,"ID absent ou doublon",IF(INDEX('Donnees'!$A$2:$L$2001,MATCH(A42,'Donnees'!$A$2:$A$2001,0),9)="","",INDEX('Donnees'!$A$2:$L$2001,MATCH(A42,'Donnees'!$A$2:$A$2001,0),9))))</x:f>
        <x:v>AH-proposition EC KO // le relevé de portefeuille</x:v>
      </x:c>
      <x:c r="G42" s="25"/>
      <x:c r="H42" s="25"/>
      <x:c r="I42" s="12"/>
      <x:c r="J42" s="11"/>
      <x:c r="K42" s="12"/>
      <x:c r="L42" s="11"/>
      <x:c r="M42" s="2" t="str">
        <x:f>IF(A42="","",IF(OR(COUNTIFS($A$6:$A$1005,A42)&lt;&gt;1,COUNTIFS('Donnees'!$A$2:$A$2001,A42)&lt;&gt;1),"À clarifier",IF(AND(K42="Conforme",L42&lt;&gt;"",I42&lt;&gt;"",OR(D42="mail validé",AND(D42="à vérifier",H42&lt;&gt;""),AND(D42="mail non validé",G42&lt;&gt;"",H42&lt;&gt;"",J42&lt;&gt;""))),"Clôturé",IF(K42="Conforme","À compléter",IF(D42="à vérifier","À clarifier",IF(K42="Non conforme","À corriger",IF(J42&lt;&gt;"","À recontrôler","À corriger")))))))</x:f>
        <x:v>À corriger</x:v>
      </x:c>
    </x:row>
    <x:row r="43" ht="64" customHeight="1">
      <x:c r="A43" s="20" t="str">
        <x:v>1334729</x:v>
      </x:c>
      <x:c r="B43" s="2" t="str">
        <x:f>IF(A43="","",IF(COUNTIFS('Donnees'!$A$2:$A$2001,A43)&lt;&gt;1,"ID absent ou doublon",IF(INDEX('Donnees'!$A$2:$L$2001,MATCH(A43,'Donnees'!$A$2:$A$2001,0),5)="","",INDEX('Donnees'!$A$2:$L$2001,MATCH(A43,'Donnees'!$A$2:$A$2001,0),5))))</x:f>
        <x:v>MBOUP El hadji cheikh</x:v>
      </x:c>
      <x:c r="C43" s="2" t="str">
        <x:f>IF(A43="","",IF(COUNTIFS('Donnees'!$A$2:$A$2001,A43)&lt;&gt;1,"ID absent ou doublon",IF(INDEX('Donnees'!$A$2:$L$2001,MATCH(A43,'Donnees'!$A$2:$A$2001,0),6)="","",INDEX('Donnees'!$A$2:$L$2001,MATCH(A43,'Donnees'!$A$2:$A$2001,0),6))))</x:f>
        <x:v>DOM</x:v>
      </x:c>
      <x:c r="D43" s="2" t="str">
        <x:f>IF(A43="","",IF(COUNTIFS('Donnees'!$A$2:$A$2001,A43)&lt;&gt;1,"ID absent ou doublon",IF(INDEX('Donnees'!$A$2:$L$2001,MATCH(A43,'Donnees'!$A$2:$A$2001,0),7)="","",INDEX('Donnees'!$A$2:$L$2001,MATCH(A43,'Donnees'!$A$2:$A$2001,0),7))))</x:f>
        <x:v>mail non validé</x:v>
      </x:c>
      <x:c r="E43" s="2" t="str">
        <x:f>IF(A43="","",IF(COUNTIFS('Donnees'!$A$2:$A$2001,A43)&lt;&gt;1,"ID absent ou doublon",IF(INDEX('Donnees'!$A$2:$L$2001,MATCH(A43,'Donnees'!$A$2:$A$2001,0),8)="","",INDEX('Donnees'!$A$2:$L$2001,MATCH(A43,'Donnees'!$A$2:$A$2001,0),8))))</x:f>
        <x:v>Q3</x:v>
      </x:c>
      <x:c r="F43" s="24" t="str">
        <x:f>IF(A43="","",IF(COUNTIFS('Donnees'!$A$2:$A$2001,A43)&lt;&gt;1,"ID absent ou doublon",IF(INDEX('Donnees'!$A$2:$L$2001,MATCH(A43,'Donnees'!$A$2:$A$2001,0),9)="","",INDEX('Donnees'!$A$2:$L$2001,MATCH(A43,'Donnees'!$A$2:$A$2001,0),9))))</x:f>
        <x:v>AH-proposition EC KO//MOD D'ADRESSE POSTALE OK </x:v>
      </x:c>
      <x:c r="G43" s="25"/>
      <x:c r="H43" s="25"/>
      <x:c r="I43" s="12"/>
      <x:c r="J43" s="11"/>
      <x:c r="K43" s="12"/>
      <x:c r="L43" s="11"/>
      <x:c r="M43" s="2" t="str">
        <x:f>IF(A43="","",IF(OR(COUNTIFS($A$6:$A$1005,A43)&lt;&gt;1,COUNTIFS('Donnees'!$A$2:$A$2001,A43)&lt;&gt;1),"À clarifier",IF(AND(K43="Conforme",L43&lt;&gt;"",I43&lt;&gt;"",OR(D43="mail validé",AND(D43="à vérifier",H43&lt;&gt;""),AND(D43="mail non validé",G43&lt;&gt;"",H43&lt;&gt;"",J43&lt;&gt;""))),"Clôturé",IF(K43="Conforme","À compléter",IF(D43="à vérifier","À clarifier",IF(K43="Non conforme","À corriger",IF(J43&lt;&gt;"","À recontrôler","À corriger")))))))</x:f>
        <x:v>À corriger</x:v>
      </x:c>
    </x:row>
    <x:row r="44" ht="64" customHeight="1">
      <x:c r="A44" s="20" t="str">
        <x:v>1334596</x:v>
      </x:c>
      <x:c r="B44" s="2" t="str">
        <x:f>IF(A44="","",IF(COUNTIFS('Donnees'!$A$2:$A$2001,A44)&lt;&gt;1,"ID absent ou doublon",IF(INDEX('Donnees'!$A$2:$L$2001,MATCH(A44,'Donnees'!$A$2:$A$2001,0),5)="","",INDEX('Donnees'!$A$2:$L$2001,MATCH(A44,'Donnees'!$A$2:$A$2001,0),5))))</x:f>
        <x:v>SANE Mohamed lamine</x:v>
      </x:c>
      <x:c r="C44" s="2" t="str">
        <x:f>IF(A44="","",IF(COUNTIFS('Donnees'!$A$2:$A$2001,A44)&lt;&gt;1,"ID absent ou doublon",IF(INDEX('Donnees'!$A$2:$L$2001,MATCH(A44,'Donnees'!$A$2:$A$2001,0),6)="","",INDEX('Donnees'!$A$2:$L$2001,MATCH(A44,'Donnees'!$A$2:$A$2001,0),6))))</x:f>
        <x:v>DOM</x:v>
      </x:c>
      <x:c r="D44" s="2" t="str">
        <x:f>IF(A44="","",IF(COUNTIFS('Donnees'!$A$2:$A$2001,A44)&lt;&gt;1,"ID absent ou doublon",IF(INDEX('Donnees'!$A$2:$L$2001,MATCH(A44,'Donnees'!$A$2:$A$2001,0),7)="","",INDEX('Donnees'!$A$2:$L$2001,MATCH(A44,'Donnees'!$A$2:$A$2001,0),7))))</x:f>
        <x:v>mail non validé</x:v>
      </x:c>
      <x:c r="E44" s="2" t="str">
        <x:f>IF(A44="","",IF(COUNTIFS('Donnees'!$A$2:$A$2001,A44)&lt;&gt;1,"ID absent ou doublon",IF(INDEX('Donnees'!$A$2:$L$2001,MATCH(A44,'Donnees'!$A$2:$A$2001,0),8)="","",INDEX('Donnees'!$A$2:$L$2001,MATCH(A44,'Donnees'!$A$2:$A$2001,0),8))))</x:f>
        <x:v>Q3</x:v>
      </x:c>
      <x:c r="F44" s="24" t="str">
        <x:f>IF(A44="","",IF(COUNTIFS('Donnees'!$A$2:$A$2001,A44)&lt;&gt;1,"ID absent ou doublon",IF(INDEX('Donnees'!$A$2:$L$2001,MATCH(A44,'Donnees'!$A$2:$A$2001,0),9)="","",INDEX('Donnees'!$A$2:$L$2001,MATCH(A44,'Donnees'!$A$2:$A$2001,0),9))))</x:f>
        <x:v>AH-proposition EC KO//MODIF DOM OK//ATTESTATION PPA OK //A049UR-A05TKE</x:v>
      </x:c>
      <x:c r="G44" s="25"/>
      <x:c r="H44" s="25"/>
      <x:c r="I44" s="12"/>
      <x:c r="J44" s="11"/>
      <x:c r="K44" s="12"/>
      <x:c r="L44" s="11"/>
      <x:c r="M44" s="2" t="str">
        <x:f>IF(A44="","",IF(OR(COUNTIFS($A$6:$A$1005,A44)&lt;&gt;1,COUNTIFS('Donnees'!$A$2:$A$2001,A44)&lt;&gt;1),"À clarifier",IF(AND(K44="Conforme",L44&lt;&gt;"",I44&lt;&gt;"",OR(D44="mail validé",AND(D44="à vérifier",H44&lt;&gt;""),AND(D44="mail non validé",G44&lt;&gt;"",H44&lt;&gt;"",J44&lt;&gt;""))),"Clôturé",IF(K44="Conforme","À compléter",IF(D44="à vérifier","À clarifier",IF(K44="Non conforme","À corriger",IF(J44&lt;&gt;"","À recontrôler","À corriger")))))))</x:f>
        <x:v>À corriger</x:v>
      </x:c>
    </x:row>
    <x:row r="45" ht="64" customHeight="1">
      <x:c r="A45" s="20" t="str">
        <x:v>1335133</x:v>
      </x:c>
      <x:c r="B45" s="2" t="str">
        <x:f>IF(A45="","",IF(COUNTIFS('Donnees'!$A$2:$A$2001,A45)&lt;&gt;1,"ID absent ou doublon",IF(INDEX('Donnees'!$A$2:$L$2001,MATCH(A45,'Donnees'!$A$2:$A$2001,0),5)="","",INDEX('Donnees'!$A$2:$L$2001,MATCH(A45,'Donnees'!$A$2:$A$2001,0),5))))</x:f>
        <x:v>MBARKI Imane</x:v>
      </x:c>
      <x:c r="C45" s="2" t="str">
        <x:f>IF(A45="","",IF(COUNTIFS('Donnees'!$A$2:$A$2001,A45)&lt;&gt;1,"ID absent ou doublon",IF(INDEX('Donnees'!$A$2:$L$2001,MATCH(A45,'Donnees'!$A$2:$A$2001,0),6)="","",INDEX('Donnees'!$A$2:$L$2001,MATCH(A45,'Donnees'!$A$2:$A$2001,0),6))))</x:f>
        <x:v>OV</x:v>
      </x:c>
      <x:c r="D45" s="2" t="str">
        <x:f>IF(A45="","",IF(COUNTIFS('Donnees'!$A$2:$A$2001,A45)&lt;&gt;1,"ID absent ou doublon",IF(INDEX('Donnees'!$A$2:$L$2001,MATCH(A45,'Donnees'!$A$2:$A$2001,0),7)="","",INDEX('Donnees'!$A$2:$L$2001,MATCH(A45,'Donnees'!$A$2:$A$2001,0),7))))</x:f>
        <x:v>à vérifier</x:v>
      </x:c>
      <x:c r="E45" s="2" t="str">
        <x:f>IF(A45="","",IF(COUNTIFS('Donnees'!$A$2:$A$2001,A45)&lt;&gt;1,"ID absent ou doublon",IF(INDEX('Donnees'!$A$2:$L$2001,MATCH(A45,'Donnees'!$A$2:$A$2001,0),8)="","",INDEX('Donnees'!$A$2:$L$2001,MATCH(A45,'Donnees'!$A$2:$A$2001,0),8))))</x:f>
      </x:c>
      <x:c r="F45" s="24" t="str">
        <x:f>IF(A45="","",IF(COUNTIFS('Donnees'!$A$2:$A$2001,A45)&lt;&gt;1,"ID absent ou doublon",IF(INDEX('Donnees'!$A$2:$L$2001,MATCH(A45,'Donnees'!$A$2:$A$2001,0),9)="","",INDEX('Donnees'!$A$2:$L$2001,MATCH(A45,'Donnees'!$A$2:$A$2001,0),9))))</x:f>
        <x:v>AH-c'est ok // dde ordre de vente </x:v>
      </x:c>
      <x:c r="G45" s="25"/>
      <x:c r="H45" s="25"/>
      <x:c r="I45" s="12"/>
      <x:c r="J45" s="11"/>
      <x:c r="K45" s="12"/>
      <x:c r="L45" s="11"/>
      <x:c r="M45" s="2" t="str">
        <x:f>IF(A45="","",IF(OR(COUNTIFS($A$6:$A$1005,A45)&lt;&gt;1,COUNTIFS('Donnees'!$A$2:$A$2001,A45)&lt;&gt;1),"À clarifier",IF(AND(K45="Conforme",L45&lt;&gt;"",I45&lt;&gt;"",OR(D45="mail validé",AND(D45="à vérifier",H45&lt;&gt;""),AND(D45="mail non validé",G45&lt;&gt;"",H45&lt;&gt;"",J45&lt;&gt;""))),"Clôturé",IF(K45="Conforme","À compléter",IF(D45="à vérifier","À clarifier",IF(K45="Non conforme","À corriger",IF(J45&lt;&gt;"","À recontrôler","À corriger")))))))</x:f>
        <x:v>À clarifier</x:v>
      </x:c>
    </x:row>
    <x:row r="46" ht="64" customHeight="1">
      <x:c r="A46" s="20" t="str">
        <x:v>1334558</x:v>
      </x:c>
      <x:c r="B46" s="2" t="str">
        <x:f>IF(A46="","",IF(COUNTIFS('Donnees'!$A$2:$A$2001,A46)&lt;&gt;1,"ID absent ou doublon",IF(INDEX('Donnees'!$A$2:$L$2001,MATCH(A46,'Donnees'!$A$2:$A$2001,0),5)="","",INDEX('Donnees'!$A$2:$L$2001,MATCH(A46,'Donnees'!$A$2:$A$2001,0),5))))</x:f>
        <x:v>SANE Mohamed lamine</x:v>
      </x:c>
      <x:c r="C46" s="2" t="str">
        <x:f>IF(A46="","",IF(COUNTIFS('Donnees'!$A$2:$A$2001,A46)&lt;&gt;1,"ID absent ou doublon",IF(INDEX('Donnees'!$A$2:$L$2001,MATCH(A46,'Donnees'!$A$2:$A$2001,0),6)="","",INDEX('Donnees'!$A$2:$L$2001,MATCH(A46,'Donnees'!$A$2:$A$2001,0),6))))</x:f>
        <x:v>RIB</x:v>
      </x:c>
      <x:c r="D46" s="2" t="str">
        <x:f>IF(A46="","",IF(COUNTIFS('Donnees'!$A$2:$A$2001,A46)&lt;&gt;1,"ID absent ou doublon",IF(INDEX('Donnees'!$A$2:$L$2001,MATCH(A46,'Donnees'!$A$2:$A$2001,0),7)="","",INDEX('Donnees'!$A$2:$L$2001,MATCH(A46,'Donnees'!$A$2:$A$2001,0),7))))</x:f>
        <x:v>mail non validé</x:v>
      </x:c>
      <x:c r="E46" s="2" t="str">
        <x:f>IF(A46="","",IF(COUNTIFS('Donnees'!$A$2:$A$2001,A46)&lt;&gt;1,"ID absent ou doublon",IF(INDEX('Donnees'!$A$2:$L$2001,MATCH(A46,'Donnees'!$A$2:$A$2001,0),8)="","",INDEX('Donnees'!$A$2:$L$2001,MATCH(A46,'Donnees'!$A$2:$A$2001,0),8))))</x:f>
        <x:v>Q2</x:v>
      </x:c>
      <x:c r="F46" s="24" t="str">
        <x:f>IF(A46="","",IF(COUNTIFS('Donnees'!$A$2:$A$2001,A46)&lt;&gt;1,"ID absent ou doublon",IF(INDEX('Donnees'!$A$2:$L$2001,MATCH(A46,'Donnees'!$A$2:$A$2001,0),9)="","",INDEX('Donnees'!$A$2:$L$2001,MATCH(A46,'Donnees'!$A$2:$A$2001,0),9))))</x:f>
        <x:v>AH-demande est déjà via l' EC + il fallait faire une petite modif adresse erreur de notre part // MODIF RIB OK//PROPOSITION EC </x:v>
      </x:c>
      <x:c r="G46" s="25"/>
      <x:c r="H46" s="25"/>
      <x:c r="I46" s="12"/>
      <x:c r="J46" s="11"/>
      <x:c r="K46" s="12"/>
      <x:c r="L46" s="11"/>
      <x:c r="M46" s="2" t="str">
        <x:f>IF(A46="","",IF(OR(COUNTIFS($A$6:$A$1005,A46)&lt;&gt;1,COUNTIFS('Donnees'!$A$2:$A$2001,A46)&lt;&gt;1),"À clarifier",IF(AND(K46="Conforme",L46&lt;&gt;"",I46&lt;&gt;"",OR(D46="mail validé",AND(D46="à vérifier",H46&lt;&gt;""),AND(D46="mail non validé",G46&lt;&gt;"",H46&lt;&gt;"",J46&lt;&gt;""))),"Clôturé",IF(K46="Conforme","À compléter",IF(D46="à vérifier","À clarifier",IF(K46="Non conforme","À corriger",IF(J46&lt;&gt;"","À recontrôler","À corriger")))))))</x:f>
        <x:v>À corriger</x:v>
      </x:c>
    </x:row>
    <x:row r="47" ht="64" customHeight="1">
      <x:c r="A47" s="20" t="str">
        <x:v>1334555</x:v>
      </x:c>
      <x:c r="B47" s="2" t="str">
        <x:f>IF(A47="","",IF(COUNTIFS('Donnees'!$A$2:$A$2001,A47)&lt;&gt;1,"ID absent ou doublon",IF(INDEX('Donnees'!$A$2:$L$2001,MATCH(A47,'Donnees'!$A$2:$A$2001,0),5)="","",INDEX('Donnees'!$A$2:$L$2001,MATCH(A47,'Donnees'!$A$2:$A$2001,0),5))))</x:f>
        <x:v>SANE Mohamed lamine</x:v>
      </x:c>
      <x:c r="C47" s="2" t="str">
        <x:f>IF(A47="","",IF(COUNTIFS('Donnees'!$A$2:$A$2001,A47)&lt;&gt;1,"ID absent ou doublon",IF(INDEX('Donnees'!$A$2:$L$2001,MATCH(A47,'Donnees'!$A$2:$A$2001,0),6)="","",INDEX('Donnees'!$A$2:$L$2001,MATCH(A47,'Donnees'!$A$2:$A$2001,0),6))))</x:f>
        <x:v>RIB</x:v>
      </x:c>
      <x:c r="D47" s="2" t="str">
        <x:f>IF(A47="","",IF(COUNTIFS('Donnees'!$A$2:$A$2001,A47)&lt;&gt;1,"ID absent ou doublon",IF(INDEX('Donnees'!$A$2:$L$2001,MATCH(A47,'Donnees'!$A$2:$A$2001,0),7)="","",INDEX('Donnees'!$A$2:$L$2001,MATCH(A47,'Donnees'!$A$2:$A$2001,0),7))))</x:f>
        <x:v>mail non validé</x:v>
      </x:c>
      <x:c r="E47" s="2" t="str">
        <x:f>IF(A47="","",IF(COUNTIFS('Donnees'!$A$2:$A$2001,A47)&lt;&gt;1,"ID absent ou doublon",IF(INDEX('Donnees'!$A$2:$L$2001,MATCH(A47,'Donnees'!$A$2:$A$2001,0),8)="","",INDEX('Donnees'!$A$2:$L$2001,MATCH(A47,'Donnees'!$A$2:$A$2001,0),8))))</x:f>
        <x:v>Q2</x:v>
      </x:c>
      <x:c r="F47" s="24" t="str">
        <x:f>IF(A47="","",IF(COUNTIFS('Donnees'!$A$2:$A$2001,A47)&lt;&gt;1,"ID absent ou doublon",IF(INDEX('Donnees'!$A$2:$L$2001,MATCH(A47,'Donnees'!$A$2:$A$2001,0),9)="","",INDEX('Donnees'!$A$2:$L$2001,MATCH(A47,'Donnees'!$A$2:$A$2001,0),9))))</x:f>
        <x:v>AH-demande est déjà via l' EC // MODIF RIB OK</x:v>
      </x:c>
      <x:c r="G47" s="25"/>
      <x:c r="H47" s="25"/>
      <x:c r="I47" s="12"/>
      <x:c r="J47" s="11"/>
      <x:c r="K47" s="12"/>
      <x:c r="L47" s="11"/>
      <x:c r="M47" s="2" t="str">
        <x:f>IF(A47="","",IF(OR(COUNTIFS($A$6:$A$1005,A47)&lt;&gt;1,COUNTIFS('Donnees'!$A$2:$A$2001,A47)&lt;&gt;1),"À clarifier",IF(AND(K47="Conforme",L47&lt;&gt;"",I47&lt;&gt;"",OR(D47="mail validé",AND(D47="à vérifier",H47&lt;&gt;""),AND(D47="mail non validé",G47&lt;&gt;"",H47&lt;&gt;"",J47&lt;&gt;""))),"Clôturé",IF(K47="Conforme","À compléter",IF(D47="à vérifier","À clarifier",IF(K47="Non conforme","À corriger",IF(J47&lt;&gt;"","À recontrôler","À corriger")))))))</x:f>
        <x:v>À corriger</x:v>
      </x:c>
    </x:row>
    <x:row r="48" ht="64" customHeight="1">
      <x:c r="A48" s="20" t="str">
        <x:v>1334801</x:v>
      </x:c>
      <x:c r="B48" s="2" t="str">
        <x:f>IF(A48="","",IF(COUNTIFS('Donnees'!$A$2:$A$2001,A48)&lt;&gt;1,"ID absent ou doublon",IF(INDEX('Donnees'!$A$2:$L$2001,MATCH(A48,'Donnees'!$A$2:$A$2001,0),5)="","",INDEX('Donnees'!$A$2:$L$2001,MATCH(A48,'Donnees'!$A$2:$A$2001,0),5))))</x:f>
        <x:v>EL AMRANI Abdelmoughit</x:v>
      </x:c>
      <x:c r="C48" s="2" t="str">
        <x:f>IF(A48="","",IF(COUNTIFS('Donnees'!$A$2:$A$2001,A48)&lt;&gt;1,"ID absent ou doublon",IF(INDEX('Donnees'!$A$2:$L$2001,MATCH(A48,'Donnees'!$A$2:$A$2001,0),6)="","",INDEX('Donnees'!$A$2:$L$2001,MATCH(A48,'Donnees'!$A$2:$A$2001,0),6))))</x:f>
        <x:v>DOM</x:v>
      </x:c>
      <x:c r="D48" s="2" t="str">
        <x:f>IF(A48="","",IF(COUNTIFS('Donnees'!$A$2:$A$2001,A48)&lt;&gt;1,"ID absent ou doublon",IF(INDEX('Donnees'!$A$2:$L$2001,MATCH(A48,'Donnees'!$A$2:$A$2001,0),7)="","",INDEX('Donnees'!$A$2:$L$2001,MATCH(A48,'Donnees'!$A$2:$A$2001,0),7))))</x:f>
        <x:v>mail non validé</x:v>
      </x:c>
      <x:c r="E48" s="2" t="str">
        <x:f>IF(A48="","",IF(COUNTIFS('Donnees'!$A$2:$A$2001,A48)&lt;&gt;1,"ID absent ou doublon",IF(INDEX('Donnees'!$A$2:$L$2001,MATCH(A48,'Donnees'!$A$2:$A$2001,0),8)="","",INDEX('Donnees'!$A$2:$L$2001,MATCH(A48,'Donnees'!$A$2:$A$2001,0),8))))</x:f>
        <x:v>Q3</x:v>
      </x:c>
      <x:c r="F48" s="24" t="str">
        <x:f>IF(A48="","",IF(COUNTIFS('Donnees'!$A$2:$A$2001,A48)&lt;&gt;1,"ID absent ou doublon",IF(INDEX('Donnees'!$A$2:$L$2001,MATCH(A48,'Donnees'!$A$2:$A$2001,0),9)="","",INDEX('Donnees'!$A$2:$L$2001,MATCH(A48,'Donnees'!$A$2:$A$2001,0),9))))</x:f>
        <x:v>AH-proposition ec ko Modification d'adresse postale effectuée.</x:v>
      </x:c>
      <x:c r="G48" s="25"/>
      <x:c r="H48" s="25"/>
      <x:c r="I48" s="12"/>
      <x:c r="J48" s="11"/>
      <x:c r="K48" s="12"/>
      <x:c r="L48" s="11"/>
      <x:c r="M48" s="2" t="str">
        <x:f>IF(A48="","",IF(OR(COUNTIFS($A$6:$A$1005,A48)&lt;&gt;1,COUNTIFS('Donnees'!$A$2:$A$2001,A48)&lt;&gt;1),"À clarifier",IF(AND(K48="Conforme",L48&lt;&gt;"",I48&lt;&gt;"",OR(D48="mail validé",AND(D48="à vérifier",H48&lt;&gt;""),AND(D48="mail non validé",G48&lt;&gt;"",H48&lt;&gt;"",J48&lt;&gt;""))),"Clôturé",IF(K48="Conforme","À compléter",IF(D48="à vérifier","À clarifier",IF(K48="Non conforme","À corriger",IF(J48&lt;&gt;"","À recontrôler","À corriger")))))))</x:f>
        <x:v>À corriger</x:v>
      </x:c>
    </x:row>
    <x:row r="49" ht="64" customHeight="1">
      <x:c r="A49" s="20" t="str">
        <x:v>1335039</x:v>
      </x:c>
      <x:c r="B49" s="2" t="str">
        <x:f>IF(A49="","",IF(COUNTIFS('Donnees'!$A$2:$A$2001,A49)&lt;&gt;1,"ID absent ou doublon",IF(INDEX('Donnees'!$A$2:$L$2001,MATCH(A49,'Donnees'!$A$2:$A$2001,0),5)="","",INDEX('Donnees'!$A$2:$L$2001,MATCH(A49,'Donnees'!$A$2:$A$2001,0),5))))</x:f>
        <x:v>GUESSAR Zahra</x:v>
      </x:c>
      <x:c r="C49" s="2" t="str">
        <x:f>IF(A49="","",IF(COUNTIFS('Donnees'!$A$2:$A$2001,A49)&lt;&gt;1,"ID absent ou doublon",IF(INDEX('Donnees'!$A$2:$L$2001,MATCH(A49,'Donnees'!$A$2:$A$2001,0),6)="","",INDEX('Donnees'!$A$2:$L$2001,MATCH(A49,'Donnees'!$A$2:$A$2001,0),6))))</x:f>
        <x:v>DOM</x:v>
      </x:c>
      <x:c r="D49" s="2" t="str">
        <x:f>IF(A49="","",IF(COUNTIFS('Donnees'!$A$2:$A$2001,A49)&lt;&gt;1,"ID absent ou doublon",IF(INDEX('Donnees'!$A$2:$L$2001,MATCH(A49,'Donnees'!$A$2:$A$2001,0),7)="","",INDEX('Donnees'!$A$2:$L$2001,MATCH(A49,'Donnees'!$A$2:$A$2001,0),7))))</x:f>
        <x:v>mail non validé</x:v>
      </x:c>
      <x:c r="E49" s="2" t="str">
        <x:f>IF(A49="","",IF(COUNTIFS('Donnees'!$A$2:$A$2001,A49)&lt;&gt;1,"ID absent ou doublon",IF(INDEX('Donnees'!$A$2:$L$2001,MATCH(A49,'Donnees'!$A$2:$A$2001,0),8)="","",INDEX('Donnees'!$A$2:$L$2001,MATCH(A49,'Donnees'!$A$2:$A$2001,0),8))))</x:f>
        <x:v>Q2</x:v>
      </x:c>
      <x:c r="F49" s="24" t="str">
        <x:f>IF(A49="","",IF(COUNTIFS('Donnees'!$A$2:$A$2001,A49)&lt;&gt;1,"ID absent ou doublon",IF(INDEX('Donnees'!$A$2:$L$2001,MATCH(A49,'Donnees'!$A$2:$A$2001,0),9)="","",INDEX('Donnees'!$A$2:$L$2001,MATCH(A49,'Donnees'!$A$2:$A$2001,0),9))))</x:f>
        <x:v>AH-il manque un caractére au niveau de l'adresee // Modif adresse Ok</x:v>
      </x:c>
      <x:c r="G49" s="25"/>
      <x:c r="H49" s="25"/>
      <x:c r="I49" s="12"/>
      <x:c r="J49" s="11"/>
      <x:c r="K49" s="12"/>
      <x:c r="L49" s="11"/>
      <x:c r="M49" s="2" t="str">
        <x:f>IF(A49="","",IF(OR(COUNTIFS($A$6:$A$1005,A49)&lt;&gt;1,COUNTIFS('Donnees'!$A$2:$A$2001,A49)&lt;&gt;1),"À clarifier",IF(AND(K49="Conforme",L49&lt;&gt;"",I49&lt;&gt;"",OR(D49="mail validé",AND(D49="à vérifier",H49&lt;&gt;""),AND(D49="mail non validé",G49&lt;&gt;"",H49&lt;&gt;"",J49&lt;&gt;""))),"Clôturé",IF(K49="Conforme","À compléter",IF(D49="à vérifier","À clarifier",IF(K49="Non conforme","À corriger",IF(J49&lt;&gt;"","À recontrôler","À corriger")))))))</x:f>
        <x:v>À corriger</x:v>
      </x:c>
    </x:row>
    <x:row r="50" ht="64" customHeight="1">
      <x:c r="A50" s="20" t="str">
        <x:v>1335029</x:v>
      </x:c>
      <x:c r="B50" s="2" t="str">
        <x:f>IF(A50="","",IF(COUNTIFS('Donnees'!$A$2:$A$2001,A50)&lt;&gt;1,"ID absent ou doublon",IF(INDEX('Donnees'!$A$2:$L$2001,MATCH(A50,'Donnees'!$A$2:$A$2001,0),5)="","",INDEX('Donnees'!$A$2:$L$2001,MATCH(A50,'Donnees'!$A$2:$A$2001,0),5))))</x:f>
        <x:v>GUESSAR Zahra</x:v>
      </x:c>
      <x:c r="C50" s="2" t="str">
        <x:f>IF(A50="","",IF(COUNTIFS('Donnees'!$A$2:$A$2001,A50)&lt;&gt;1,"ID absent ou doublon",IF(INDEX('Donnees'!$A$2:$L$2001,MATCH(A50,'Donnees'!$A$2:$A$2001,0),6)="","",INDEX('Donnees'!$A$2:$L$2001,MATCH(A50,'Donnees'!$A$2:$A$2001,0),6))))</x:f>
        <x:v>RIB</x:v>
      </x:c>
      <x:c r="D50" s="2" t="str">
        <x:f>IF(A50="","",IF(COUNTIFS('Donnees'!$A$2:$A$2001,A50)&lt;&gt;1,"ID absent ou doublon",IF(INDEX('Donnees'!$A$2:$L$2001,MATCH(A50,'Donnees'!$A$2:$A$2001,0),7)="","",INDEX('Donnees'!$A$2:$L$2001,MATCH(A50,'Donnees'!$A$2:$A$2001,0),7))))</x:f>
        <x:v>mail non validé</x:v>
      </x:c>
      <x:c r="E50" s="2" t="str">
        <x:f>IF(A50="","",IF(COUNTIFS('Donnees'!$A$2:$A$2001,A50)&lt;&gt;1,"ID absent ou doublon",IF(INDEX('Donnees'!$A$2:$L$2001,MATCH(A50,'Donnees'!$A$2:$A$2001,0),8)="","",INDEX('Donnees'!$A$2:$L$2001,MATCH(A50,'Donnees'!$A$2:$A$2001,0),8))))</x:f>
        <x:v>Q3</x:v>
      </x:c>
      <x:c r="F50" s="24" t="str">
        <x:f>IF(A50="","",IF(COUNTIFS('Donnees'!$A$2:$A$2001,A50)&lt;&gt;1,"ID absent ou doublon",IF(INDEX('Donnees'!$A$2:$L$2001,MATCH(A50,'Donnees'!$A$2:$A$2001,0),9)="","",INDEX('Donnees'!$A$2:$L$2001,MATCH(A50,'Donnees'!$A$2:$A$2001,0),9))))</x:f>
        <x:v>AH-propo EC ko Ajout RIB+ Adresse déja+le NIF</x:v>
      </x:c>
      <x:c r="G50" s="25"/>
      <x:c r="H50" s="25"/>
      <x:c r="I50" s="12"/>
      <x:c r="J50" s="11"/>
      <x:c r="K50" s="12"/>
      <x:c r="L50" s="11"/>
      <x:c r="M50" s="2" t="str">
        <x:f>IF(A50="","",IF(OR(COUNTIFS($A$6:$A$1005,A50)&lt;&gt;1,COUNTIFS('Donnees'!$A$2:$A$2001,A50)&lt;&gt;1),"À clarifier",IF(AND(K50="Conforme",L50&lt;&gt;"",I50&lt;&gt;"",OR(D50="mail validé",AND(D50="à vérifier",H50&lt;&gt;""),AND(D50="mail non validé",G50&lt;&gt;"",H50&lt;&gt;"",J50&lt;&gt;""))),"Clôturé",IF(K50="Conforme","À compléter",IF(D50="à vérifier","À clarifier",IF(K50="Non conforme","À corriger",IF(J50&lt;&gt;"","À recontrôler","À corriger")))))))</x:f>
        <x:v>À corriger</x:v>
      </x:c>
    </x:row>
    <x:row r="51" ht="64" customHeight="1">
      <x:c r="A51" s="20" t="str">
        <x:v>1334952</x:v>
      </x:c>
      <x:c r="B51" s="2" t="str">
        <x:f>IF(A51="","",IF(COUNTIFS('Donnees'!$A$2:$A$2001,A51)&lt;&gt;1,"ID absent ou doublon",IF(INDEX('Donnees'!$A$2:$L$2001,MATCH(A51,'Donnees'!$A$2:$A$2001,0),5)="","",INDEX('Donnees'!$A$2:$L$2001,MATCH(A51,'Donnees'!$A$2:$A$2001,0),5))))</x:f>
        <x:v>NDIAYE Seynabou</x:v>
      </x:c>
      <x:c r="C51" s="2" t="str">
        <x:f>IF(A51="","",IF(COUNTIFS('Donnees'!$A$2:$A$2001,A51)&lt;&gt;1,"ID absent ou doublon",IF(INDEX('Donnees'!$A$2:$L$2001,MATCH(A51,'Donnees'!$A$2:$A$2001,0),6)="","",INDEX('Donnees'!$A$2:$L$2001,MATCH(A51,'Donnees'!$A$2:$A$2001,0),6))))</x:f>
        <x:v>RIB</x:v>
      </x:c>
      <x:c r="D51" s="2" t="str">
        <x:f>IF(A51="","",IF(COUNTIFS('Donnees'!$A$2:$A$2001,A51)&lt;&gt;1,"ID absent ou doublon",IF(INDEX('Donnees'!$A$2:$L$2001,MATCH(A51,'Donnees'!$A$2:$A$2001,0),7)="","",INDEX('Donnees'!$A$2:$L$2001,MATCH(A51,'Donnees'!$A$2:$A$2001,0),7))))</x:f>
        <x:v>mail non validé</x:v>
      </x:c>
      <x:c r="E51" s="2" t="str">
        <x:f>IF(A51="","",IF(COUNTIFS('Donnees'!$A$2:$A$2001,A51)&lt;&gt;1,"ID absent ou doublon",IF(INDEX('Donnees'!$A$2:$L$2001,MATCH(A51,'Donnees'!$A$2:$A$2001,0),8)="","",INDEX('Donnees'!$A$2:$L$2001,MATCH(A51,'Donnees'!$A$2:$A$2001,0),8))))</x:f>
        <x:v>Q3</x:v>
      </x:c>
      <x:c r="F51" s="24" t="str">
        <x:f>IF(A51="","",IF(COUNTIFS('Donnees'!$A$2:$A$2001,A51)&lt;&gt;1,"ID absent ou doublon",IF(INDEX('Donnees'!$A$2:$L$2001,MATCH(A51,'Donnees'!$A$2:$A$2001,0),9)="","",INDEX('Donnees'!$A$2:$L$2001,MATCH(A51,'Donnees'!$A$2:$A$2001,0),9))))</x:f>
        <x:v>AH-propo EC ko//Modif RIB ok</x:v>
      </x:c>
      <x:c r="G51" s="25"/>
      <x:c r="H51" s="25"/>
      <x:c r="I51" s="12"/>
      <x:c r="J51" s="11"/>
      <x:c r="K51" s="12"/>
      <x:c r="L51" s="11"/>
      <x:c r="M51" s="2" t="str">
        <x:f>IF(A51="","",IF(OR(COUNTIFS($A$6:$A$1005,A51)&lt;&gt;1,COUNTIFS('Donnees'!$A$2:$A$2001,A51)&lt;&gt;1),"À clarifier",IF(AND(K51="Conforme",L51&lt;&gt;"",I51&lt;&gt;"",OR(D51="mail validé",AND(D51="à vérifier",H51&lt;&gt;""),AND(D51="mail non validé",G51&lt;&gt;"",H51&lt;&gt;"",J51&lt;&gt;""))),"Clôturé",IF(K51="Conforme","À compléter",IF(D51="à vérifier","À clarifier",IF(K51="Non conforme","À corriger",IF(J51&lt;&gt;"","À recontrôler","À corriger")))))))</x:f>
        <x:v>À corriger</x:v>
      </x:c>
    </x:row>
    <x:row r="52" ht="64" customHeight="1">
      <x:c r="A52" s="20" t="str">
        <x:v>1334926</x:v>
      </x:c>
      <x:c r="B52" s="2" t="str">
        <x:f>IF(A52="","",IF(COUNTIFS('Donnees'!$A$2:$A$2001,A52)&lt;&gt;1,"ID absent ou doublon",IF(INDEX('Donnees'!$A$2:$L$2001,MATCH(A52,'Donnees'!$A$2:$A$2001,0),5)="","",INDEX('Donnees'!$A$2:$L$2001,MATCH(A52,'Donnees'!$A$2:$A$2001,0),5))))</x:f>
        <x:v>NGOM Saliou</x:v>
      </x:c>
      <x:c r="C52" s="2" t="str">
        <x:f>IF(A52="","",IF(COUNTIFS('Donnees'!$A$2:$A$2001,A52)&lt;&gt;1,"ID absent ou doublon",IF(INDEX('Donnees'!$A$2:$L$2001,MATCH(A52,'Donnees'!$A$2:$A$2001,0),6)="","",INDEX('Donnees'!$A$2:$L$2001,MATCH(A52,'Donnees'!$A$2:$A$2001,0),6))))</x:f>
        <x:v>RIB</x:v>
      </x:c>
      <x:c r="D52" s="2" t="str">
        <x:f>IF(A52="","",IF(COUNTIFS('Donnees'!$A$2:$A$2001,A52)&lt;&gt;1,"ID absent ou doublon",IF(INDEX('Donnees'!$A$2:$L$2001,MATCH(A52,'Donnees'!$A$2:$A$2001,0),7)="","",INDEX('Donnees'!$A$2:$L$2001,MATCH(A52,'Donnees'!$A$2:$A$2001,0),7))))</x:f>
        <x:v>mail non validé</x:v>
      </x:c>
      <x:c r="E52" s="2" t="str">
        <x:f>IF(A52="","",IF(COUNTIFS('Donnees'!$A$2:$A$2001,A52)&lt;&gt;1,"ID absent ou doublon",IF(INDEX('Donnees'!$A$2:$L$2001,MATCH(A52,'Donnees'!$A$2:$A$2001,0),8)="","",INDEX('Donnees'!$A$2:$L$2001,MATCH(A52,'Donnees'!$A$2:$A$2001,0),8))))</x:f>
        <x:v>Q3</x:v>
      </x:c>
      <x:c r="F52" s="24" t="str">
        <x:f>IF(A52="","",IF(COUNTIFS('Donnees'!$A$2:$A$2001,A52)&lt;&gt;1,"ID absent ou doublon",IF(INDEX('Donnees'!$A$2:$L$2001,MATCH(A52,'Donnees'!$A$2:$A$2001,0),9)="","",INDEX('Donnees'!$A$2:$L$2001,MATCH(A52,'Donnees'!$A$2:$A$2001,0),9))))</x:f>
        <x:v>AH-propo EC ko // Modif rib ok, solde bloqué 498.23 €  </x:v>
      </x:c>
      <x:c r="G52" s="25"/>
      <x:c r="H52" s="25"/>
      <x:c r="I52" s="12"/>
      <x:c r="J52" s="11"/>
      <x:c r="K52" s="12"/>
      <x:c r="L52" s="11"/>
      <x:c r="M52" s="2" t="str">
        <x:f>IF(A52="","",IF(OR(COUNTIFS($A$6:$A$1005,A52)&lt;&gt;1,COUNTIFS('Donnees'!$A$2:$A$2001,A52)&lt;&gt;1),"À clarifier",IF(AND(K52="Conforme",L52&lt;&gt;"",I52&lt;&gt;"",OR(D52="mail validé",AND(D52="à vérifier",H52&lt;&gt;""),AND(D52="mail non validé",G52&lt;&gt;"",H52&lt;&gt;"",J52&lt;&gt;""))),"Clôturé",IF(K52="Conforme","À compléter",IF(D52="à vérifier","À clarifier",IF(K52="Non conforme","À corriger",IF(J52&lt;&gt;"","À recontrôler","À corriger")))))))</x:f>
        <x:v>À corriger</x:v>
      </x:c>
    </x:row>
    <x:row r="53" ht="64" customHeight="1">
      <x:c r="A53" s="20" t="str">
        <x:v>1334799</x:v>
      </x:c>
      <x:c r="B53" s="2" t="str">
        <x:f>IF(A53="","",IF(COUNTIFS('Donnees'!$A$2:$A$2001,A53)&lt;&gt;1,"ID absent ou doublon",IF(INDEX('Donnees'!$A$2:$L$2001,MATCH(A53,'Donnees'!$A$2:$A$2001,0),5)="","",INDEX('Donnees'!$A$2:$L$2001,MATCH(A53,'Donnees'!$A$2:$A$2001,0),5))))</x:f>
        <x:v>SANE Mohamed lamine</x:v>
      </x:c>
      <x:c r="C53" s="2" t="str">
        <x:f>IF(A53="","",IF(COUNTIFS('Donnees'!$A$2:$A$2001,A53)&lt;&gt;1,"ID absent ou doublon",IF(INDEX('Donnees'!$A$2:$L$2001,MATCH(A53,'Donnees'!$A$2:$A$2001,0),6)="","",INDEX('Donnees'!$A$2:$L$2001,MATCH(A53,'Donnees'!$A$2:$A$2001,0),6))))</x:f>
        <x:v>RIB</x:v>
      </x:c>
      <x:c r="D53" s="2" t="str">
        <x:f>IF(A53="","",IF(COUNTIFS('Donnees'!$A$2:$A$2001,A53)&lt;&gt;1,"ID absent ou doublon",IF(INDEX('Donnees'!$A$2:$L$2001,MATCH(A53,'Donnees'!$A$2:$A$2001,0),7)="","",INDEX('Donnees'!$A$2:$L$2001,MATCH(A53,'Donnees'!$A$2:$A$2001,0),7))))</x:f>
        <x:v>mail non validé</x:v>
      </x:c>
      <x:c r="E53" s="2" t="str">
        <x:f>IF(A53="","",IF(COUNTIFS('Donnees'!$A$2:$A$2001,A53)&lt;&gt;1,"ID absent ou doublon",IF(INDEX('Donnees'!$A$2:$L$2001,MATCH(A53,'Donnees'!$A$2:$A$2001,0),8)="","",INDEX('Donnees'!$A$2:$L$2001,MATCH(A53,'Donnees'!$A$2:$A$2001,0),8))))</x:f>
        <x:v>Q3</x:v>
      </x:c>
      <x:c r="F53" s="24" t="str">
        <x:f>IF(A53="","",IF(COUNTIFS('Donnees'!$A$2:$A$2001,A53)&lt;&gt;1,"ID absent ou doublon",IF(INDEX('Donnees'!$A$2:$L$2001,MATCH(A53,'Donnees'!$A$2:$A$2001,0),9)="","",INDEX('Donnees'!$A$2:$L$2001,MATCH(A53,'Donnees'!$A$2:$A$2001,0),9))))</x:f>
        <x:v>AH-dde via EC // Création WEB changement RIB//MODIF RIB OK//PRPOSITION EC OK </x:v>
      </x:c>
      <x:c r="G53" s="25"/>
      <x:c r="H53" s="25"/>
      <x:c r="I53" s="12"/>
      <x:c r="J53" s="11"/>
      <x:c r="K53" s="12"/>
      <x:c r="L53" s="11"/>
      <x:c r="M53" s="2" t="str">
        <x:f>IF(A53="","",IF(OR(COUNTIFS($A$6:$A$1005,A53)&lt;&gt;1,COUNTIFS('Donnees'!$A$2:$A$2001,A53)&lt;&gt;1),"À clarifier",IF(AND(K53="Conforme",L53&lt;&gt;"",I53&lt;&gt;"",OR(D53="mail validé",AND(D53="à vérifier",H53&lt;&gt;""),AND(D53="mail non validé",G53&lt;&gt;"",H53&lt;&gt;"",J53&lt;&gt;""))),"Clôturé",IF(K53="Conforme","À compléter",IF(D53="à vérifier","À clarifier",IF(K53="Non conforme","À corriger",IF(J53&lt;&gt;"","À recontrôler","À corriger")))))))</x:f>
        <x:v>À corriger</x:v>
      </x:c>
    </x:row>
    <x:row r="54" ht="64" customHeight="1">
      <x:c r="A54" s="20" t="str">
        <x:v>1334879</x:v>
      </x:c>
      <x:c r="B54" s="2" t="str">
        <x:f>IF(A54="","",IF(COUNTIFS('Donnees'!$A$2:$A$2001,A54)&lt;&gt;1,"ID absent ou doublon",IF(INDEX('Donnees'!$A$2:$L$2001,MATCH(A54,'Donnees'!$A$2:$A$2001,0),5)="","",INDEX('Donnees'!$A$2:$L$2001,MATCH(A54,'Donnees'!$A$2:$A$2001,0),5))))</x:f>
        <x:v>ZIRARI Chaimaa</x:v>
      </x:c>
      <x:c r="C54" s="2" t="str">
        <x:f>IF(A54="","",IF(COUNTIFS('Donnees'!$A$2:$A$2001,A54)&lt;&gt;1,"ID absent ou doublon",IF(INDEX('Donnees'!$A$2:$L$2001,MATCH(A54,'Donnees'!$A$2:$A$2001,0),6)="","",INDEX('Donnees'!$A$2:$L$2001,MATCH(A54,'Donnees'!$A$2:$A$2001,0),6))))</x:f>
        <x:v>RIB</x:v>
      </x:c>
      <x:c r="D54" s="2" t="str">
        <x:f>IF(A54="","",IF(COUNTIFS('Donnees'!$A$2:$A$2001,A54)&lt;&gt;1,"ID absent ou doublon",IF(INDEX('Donnees'!$A$2:$L$2001,MATCH(A54,'Donnees'!$A$2:$A$2001,0),7)="","",INDEX('Donnees'!$A$2:$L$2001,MATCH(A54,'Donnees'!$A$2:$A$2001,0),7))))</x:f>
        <x:v>mail non validé</x:v>
      </x:c>
      <x:c r="E54" s="2" t="str">
        <x:f>IF(A54="","",IF(COUNTIFS('Donnees'!$A$2:$A$2001,A54)&lt;&gt;1,"ID absent ou doublon",IF(INDEX('Donnees'!$A$2:$L$2001,MATCH(A54,'Donnees'!$A$2:$A$2001,0),8)="","",INDEX('Donnees'!$A$2:$L$2001,MATCH(A54,'Donnees'!$A$2:$A$2001,0),8))))</x:f>
        <x:v>Q3</x:v>
      </x:c>
      <x:c r="F54" s="24" t="str">
        <x:f>IF(A54="","",IF(COUNTIFS('Donnees'!$A$2:$A$2001,A54)&lt;&gt;1,"ID absent ou doublon",IF(INDEX('Donnees'!$A$2:$L$2001,MATCH(A54,'Donnees'!$A$2:$A$2001,0),9)="","",INDEX('Donnees'!$A$2:$L$2001,MATCH(A54,'Donnees'!$A$2:$A$2001,0),9))))</x:f>
        <x:v>AH- il faut envoyer le courrier directement // Modif RIB Manque CNI +Proposition espace client</x:v>
      </x:c>
      <x:c r="G54" s="25"/>
      <x:c r="H54" s="25"/>
      <x:c r="I54" s="12"/>
      <x:c r="J54" s="11"/>
      <x:c r="K54" s="12"/>
      <x:c r="L54" s="11"/>
      <x:c r="M54" s="2" t="str">
        <x:f>IF(A54="","",IF(OR(COUNTIFS($A$6:$A$1005,A54)&lt;&gt;1,COUNTIFS('Donnees'!$A$2:$A$2001,A54)&lt;&gt;1),"À clarifier",IF(AND(K54="Conforme",L54&lt;&gt;"",I54&lt;&gt;"",OR(D54="mail validé",AND(D54="à vérifier",H54&lt;&gt;""),AND(D54="mail non validé",G54&lt;&gt;"",H54&lt;&gt;"",J54&lt;&gt;""))),"Clôturé",IF(K54="Conforme","À compléter",IF(D54="à vérifier","À clarifier",IF(K54="Non conforme","À corriger",IF(J54&lt;&gt;"","À recontrôler","À corriger")))))))</x:f>
        <x:v>À corriger</x:v>
      </x:c>
    </x:row>
    <x:row r="55" ht="64" customHeight="1">
      <x:c r="A55" s="20" t="str">
        <x:v>1334829</x:v>
      </x:c>
      <x:c r="B55" s="2" t="str">
        <x:f>IF(A55="","",IF(COUNTIFS('Donnees'!$A$2:$A$2001,A55)&lt;&gt;1,"ID absent ou doublon",IF(INDEX('Donnees'!$A$2:$L$2001,MATCH(A55,'Donnees'!$A$2:$A$2001,0),5)="","",INDEX('Donnees'!$A$2:$L$2001,MATCH(A55,'Donnees'!$A$2:$A$2001,0),5))))</x:f>
        <x:v>ZIRARI Chaimaa</x:v>
      </x:c>
      <x:c r="C55" s="2" t="str">
        <x:f>IF(A55="","",IF(COUNTIFS('Donnees'!$A$2:$A$2001,A55)&lt;&gt;1,"ID absent ou doublon",IF(INDEX('Donnees'!$A$2:$L$2001,MATCH(A55,'Donnees'!$A$2:$A$2001,0),6)="","",INDEX('Donnees'!$A$2:$L$2001,MATCH(A55,'Donnees'!$A$2:$A$2001,0),6))))</x:f>
        <x:v>RIB</x:v>
      </x:c>
      <x:c r="D55" s="2" t="str">
        <x:f>IF(A55="","",IF(COUNTIFS('Donnees'!$A$2:$A$2001,A55)&lt;&gt;1,"ID absent ou doublon",IF(INDEX('Donnees'!$A$2:$L$2001,MATCH(A55,'Donnees'!$A$2:$A$2001,0),7)="","",INDEX('Donnees'!$A$2:$L$2001,MATCH(A55,'Donnees'!$A$2:$A$2001,0),7))))</x:f>
        <x:v>mail non validé</x:v>
      </x:c>
      <x:c r="E55" s="2" t="str">
        <x:f>IF(A55="","",IF(COUNTIFS('Donnees'!$A$2:$A$2001,A55)&lt;&gt;1,"ID absent ou doublon",IF(INDEX('Donnees'!$A$2:$L$2001,MATCH(A55,'Donnees'!$A$2:$A$2001,0),8)="","",INDEX('Donnees'!$A$2:$L$2001,MATCH(A55,'Donnees'!$A$2:$A$2001,0),8))))</x:f>
        <x:v>Q3</x:v>
      </x:c>
      <x:c r="F55" s="24" t="str">
        <x:f>IF(A55="","",IF(COUNTIFS('Donnees'!$A$2:$A$2001,A55)&lt;&gt;1,"ID absent ou doublon",IF(INDEX('Donnees'!$A$2:$L$2001,MATCH(A55,'Donnees'!$A$2:$A$2001,0),9)="","",INDEX('Donnees'!$A$2:$L$2001,MATCH(A55,'Donnees'!$A$2:$A$2001,0),9))))</x:f>
        <x:v>AH- propo EC ko // Confirmation de changement de RIB</x:v>
      </x:c>
      <x:c r="G55" s="25"/>
      <x:c r="H55" s="25"/>
      <x:c r="I55" s="12"/>
      <x:c r="J55" s="11"/>
      <x:c r="K55" s="12"/>
      <x:c r="L55" s="11"/>
      <x:c r="M55" s="2" t="str">
        <x:f>IF(A55="","",IF(OR(COUNTIFS($A$6:$A$1005,A55)&lt;&gt;1,COUNTIFS('Donnees'!$A$2:$A$2001,A55)&lt;&gt;1),"À clarifier",IF(AND(K55="Conforme",L55&lt;&gt;"",I55&lt;&gt;"",OR(D55="mail validé",AND(D55="à vérifier",H55&lt;&gt;""),AND(D55="mail non validé",G55&lt;&gt;"",H55&lt;&gt;"",J55&lt;&gt;""))),"Clôturé",IF(K55="Conforme","À compléter",IF(D55="à vérifier","À clarifier",IF(K55="Non conforme","À corriger",IF(J55&lt;&gt;"","À recontrôler","À corriger")))))))</x:f>
        <x:v>À corriger</x:v>
      </x:c>
    </x:row>
  </x:sheetData>
  <x:conditionalFormatting sqref="M6:M1005">
    <x:cfRule type="containsText" dxfId="1" priority="1" operator="containsText" text="À compléter"/>
  </x:conditionalFormatting>
  <x:dataValidations count="2">
    <x:dataValidation type="list" sqref="G6:G1005">
      <x:formula1>"Espace client,Adresse / SIP,Justificatifs,Destinataire,Rédaction / modèle,Montant / déblocage,Autre"</x:formula1>
    </x:dataValidation>
    <x:dataValidation type="list" sqref="K6:K1005">
      <x:formula1>"Conforme,Non conforme"</x:formula1>
    </x:dataValidation>
  </x:dataValidations>
  <x:pageMargins left="0.7" right="0.7" top="0.75" bottom="0.75" header="0.3" footer="0.3"/>
  <x:tableParts count="1">
    <x:tablePart xmlns:r="http://schemas.openxmlformats.org/officeDocument/2006/relationships" r:id="R581e942123a3411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19" hidden="0" customWidth="1"/>
    <x:col min="4" max="4" width="19" hidden="0" customWidth="1"/>
    <x:col min="5" max="5" width="32" hidden="0" customWidth="1"/>
    <x:col min="6" max="6" width="19" hidden="0" customWidth="1"/>
    <x:col min="7" max="7" width="19" hidden="0" customWidth="1"/>
    <x:col min="8" max="8" width="19" hidden="0" customWidth="1"/>
    <x:col min="9" max="9" width="95" hidden="0" customWidth="1"/>
    <x:col min="10" max="10" width="19" hidden="0" customWidth="1"/>
    <x:col min="11" max="11" width="19" hidden="0" customWidth="1"/>
    <x:col min="12" max="12" width="19" hidden="0" customWidth="1"/>
  </x:cols>
  <x:sheetData>
    <x:row r="1" ht="34" customHeight="1">
      <x:c r="A1" s="6" t="str">
        <x:v>Id War</x:v>
      </x:c>
      <x:c r="B1" s="6" t="str">
        <x:v>Date reception</x:v>
      </x:c>
      <x:c r="C1" s="6" t="str">
        <x:v>Date affectation</x:v>
      </x:c>
      <x:c r="D1" s="6" t="str">
        <x:v>Date traitement</x:v>
      </x:c>
      <x:c r="E1" s="6" t="str">
        <x:v>Collaborateur</x:v>
      </x:c>
      <x:c r="F1" s="6" t="str">
        <x:v>Nature</x:v>
      </x:c>
      <x:c r="G1" s="6" t="str">
        <x:v>Statut manager</x:v>
      </x:c>
      <x:c r="H1" s="6" t="str">
        <x:v>Quartile</x:v>
      </x:c>
      <x:c r="I1" s="6" t="str">
        <x:v>Commentaire</x:v>
      </x:c>
      <x:c r="J1" s="6" t="str">
        <x:v>Onglet source</x:v>
      </x:c>
      <x:c r="K1" s="6" t="str">
        <x:v>Ligne source</x:v>
      </x:c>
      <x:c r="L1" s="6" t="str">
        <x:v>Rang collaborateur</x:v>
      </x:c>
    </x:row>
    <x:row r="2" ht="23" customHeight="1">
      <x:c r="A2" s="8" t="str">
        <x:v>1333101</x:v>
      </x:c>
      <x:c r="B2" s="7" t="n">
        <x:v>46262</x:v>
      </x:c>
      <x:c r="C2" s="7" t="n">
        <x:v>46266</x:v>
      </x:c>
      <x:c r="D2" s="7" t="n">
        <x:v>46266</x:v>
      </x:c>
      <x:c r="E2" s="2" t="str">
        <x:v>SANE Mohamed lamine</x:v>
      </x:c>
      <x:c r="F2" s="2" t="str">
        <x:v>RIB</x:v>
      </x:c>
      <x:c r="G2" s="2" t="str">
        <x:v>mail non validé</x:v>
      </x:c>
      <x:c r="H2" s="2" t="str">
        <x:v>Q1</x:v>
      </x:c>
      <x:c r="I2" s="2" t="str">
        <x:v>AH-l'adresse qui figure sur le RIB n'est pas la même sur SIP donc il faut informer le client + proposition via Ec ko car déjà la demande est via EC// Création WEB changement RIB//MODIF RIB OK </x:v>
      </x:c>
      <x:c r="J2" s="2" t="str">
        <x:v>Sep1</x:v>
      </x:c>
      <x:c r="K2" s="2" t="n">
        <x:v>2</x:v>
      </x:c>
      <x:c r="L2" s="2" t="n">
        <x:v>12</x:v>
      </x:c>
    </x:row>
    <x:row r="3" ht="23" customHeight="1">
      <x:c r="A3" s="8" t="str">
        <x:v>1333128</x:v>
      </x:c>
      <x:c r="B3" s="7" t="n">
        <x:v>46262</x:v>
      </x:c>
      <x:c r="C3" s="7" t="n">
        <x:v>46266</x:v>
      </x:c>
      <x:c r="D3" s="7" t="n">
        <x:v>46266</x:v>
      </x:c>
      <x:c r="E3" s="2" t="str">
        <x:v>KANDI Fatima zohra</x:v>
      </x:c>
      <x:c r="F3" s="2" t="str">
        <x:v>RIB</x:v>
      </x:c>
      <x:c r="G3" s="2" t="str">
        <x:v>mail validé</x:v>
      </x:c>
      <x:c r="H3" s="2" t="str"/>
      <x:c r="I3" s="2" t="str">
        <x:v>Enregistrement RIB OK //Demande de déblocage de 19.53€ </x:v>
      </x:c>
      <x:c r="J3" s="2" t="str">
        <x:v>Sep1</x:v>
      </x:c>
      <x:c r="K3" s="2" t="n">
        <x:v>3</x:v>
      </x:c>
      <x:c r="L3" s="2" t="n">
        <x:v>6</x:v>
      </x:c>
    </x:row>
    <x:row r="4" ht="23" customHeight="1">
      <x:c r="A4" s="8" t="str">
        <x:v>1333228</x:v>
      </x:c>
      <x:c r="B4" s="7" t="n">
        <x:v>46262</x:v>
      </x:c>
      <x:c r="C4" s="7" t="n">
        <x:v>46266</x:v>
      </x:c>
      <x:c r="D4" s="7" t="n">
        <x:v>46266</x:v>
      </x:c>
      <x:c r="E4" s="2" t="str">
        <x:v>SEMBENE Papalaty</x:v>
      </x:c>
      <x:c r="F4" s="2" t="str">
        <x:v>RIB</x:v>
      </x:c>
      <x:c r="G4" s="2" t="str">
        <x:v>mail non validé</x:v>
      </x:c>
      <x:c r="H4" s="2" t="str">
        <x:v>Q1</x:v>
      </x:c>
      <x:c r="I4" s="2" t="str">
        <x:v>AH-proposition EC ko +l'adresse mail n'est pas enregistrer sur sip// Fin de démembrement, RIB enregistré.</x:v>
      </x:c>
      <x:c r="J4" s="2" t="str">
        <x:v>Sep1</x:v>
      </x:c>
      <x:c r="K4" s="2" t="n">
        <x:v>4</x:v>
      </x:c>
      <x:c r="L4" s="2" t="n">
        <x:v>13</x:v>
      </x:c>
    </x:row>
    <x:row r="5" ht="23" customHeight="1">
      <x:c r="A5" s="8" t="str">
        <x:v>1333229</x:v>
      </x:c>
      <x:c r="B5" s="7" t="n">
        <x:v>46262</x:v>
      </x:c>
      <x:c r="C5" s="7" t="n">
        <x:v>46266</x:v>
      </x:c>
      <x:c r="D5" s="7" t="n">
        <x:v>46266</x:v>
      </x:c>
      <x:c r="E5" s="2" t="str">
        <x:v>NGOM Saliou</x:v>
      </x:c>
      <x:c r="F5" s="2" t="str">
        <x:v>RIB</x:v>
      </x:c>
      <x:c r="G5" s="2" t="str">
        <x:v>mail validé</x:v>
      </x:c>
      <x:c r="H5" s="2" t="str"/>
      <x:c r="I5" s="2" t="str">
        <x:v>Dde d'enregiistré son adress mail ok</x:v>
      </x:c>
      <x:c r="J5" s="2" t="str">
        <x:v>Sep1</x:v>
      </x:c>
      <x:c r="K5" s="2" t="n">
        <x:v>5</x:v>
      </x:c>
      <x:c r="L5" s="2" t="n">
        <x:v>10</x:v>
      </x:c>
    </x:row>
    <x:row r="6" ht="23" customHeight="1">
      <x:c r="A6" s="8" t="str">
        <x:v>1333234</x:v>
      </x:c>
      <x:c r="B6" s="7" t="n">
        <x:v>46262</x:v>
      </x:c>
      <x:c r="C6" s="7" t="n">
        <x:v>46266</x:v>
      </x:c>
      <x:c r="D6" s="7" t="n">
        <x:v>46266</x:v>
      </x:c>
      <x:c r="E6" s="2" t="str">
        <x:v>NGOM Saliou</x:v>
      </x:c>
      <x:c r="F6" s="2" t="str">
        <x:v>RIB</x:v>
      </x:c>
      <x:c r="G6" s="2" t="str">
        <x:v>mail validé</x:v>
      </x:c>
      <x:c r="H6" s="2" t="str"/>
      <x:c r="I6" s="2" t="str">
        <x:v>RIB déjà enregistré sur le compte</x:v>
      </x:c>
      <x:c r="J6" s="2" t="str">
        <x:v>Sep1</x:v>
      </x:c>
      <x:c r="K6" s="2" t="n">
        <x:v>6</x:v>
      </x:c>
      <x:c r="L6" s="2" t="n">
        <x:v>10</x:v>
      </x:c>
    </x:row>
    <x:row r="7" ht="23" customHeight="1">
      <x:c r="A7" s="8" t="str">
        <x:v>1333264</x:v>
      </x:c>
      <x:c r="B7" s="7" t="n">
        <x:v>46262</x:v>
      </x:c>
      <x:c r="C7" s="7" t="n">
        <x:v>46266</x:v>
      </x:c>
      <x:c r="D7" s="7" t="n">
        <x:v>46266</x:v>
      </x:c>
      <x:c r="E7" s="2" t="str">
        <x:v>NDIAYE Seynabou</x:v>
      </x:c>
      <x:c r="F7" s="2" t="str">
        <x:v>RIB</x:v>
      </x:c>
      <x:c r="G7" s="2" t="str">
        <x:v>mail validé</x:v>
      </x:c>
      <x:c r="H7" s="2" t="str"/>
      <x:c r="I7" s="2" t="str">
        <x:v>Modif RIB ok+deblocage 1656.12</x:v>
      </x:c>
      <x:c r="J7" s="2" t="str">
        <x:v>Sep1</x:v>
      </x:c>
      <x:c r="K7" s="2" t="n">
        <x:v>7</x:v>
      </x:c>
      <x:c r="L7" s="2" t="n">
        <x:v>9</x:v>
      </x:c>
    </x:row>
    <x:row r="8" ht="23" customHeight="1">
      <x:c r="A8" s="8" t="str">
        <x:v>1333363</x:v>
      </x:c>
      <x:c r="B8" s="7" t="n">
        <x:v>46263</x:v>
      </x:c>
      <x:c r="C8" s="7" t="n">
        <x:v>46266</x:v>
      </x:c>
      <x:c r="D8" s="7" t="n">
        <x:v>46266</x:v>
      </x:c>
      <x:c r="E8" s="2" t="str">
        <x:v>HABBOUB Karim</x:v>
      </x:c>
      <x:c r="F8" s="2" t="str">
        <x:v>RIB</x:v>
      </x:c>
      <x:c r="G8" s="2" t="str">
        <x:v>mail non validé</x:v>
      </x:c>
      <x:c r="H8" s="2" t="str">
        <x:v>Q1</x:v>
      </x:c>
      <x:c r="I8" s="2" t="str">
        <x:v>AH-il faut demander un rib au nom des deux // modif rib ok</x:v>
      </x:c>
      <x:c r="J8" s="2" t="str">
        <x:v>Sep1</x:v>
      </x:c>
      <x:c r="K8" s="2" t="n">
        <x:v>8</x:v>
      </x:c>
      <x:c r="L8" s="2" t="n">
        <x:v>4</x:v>
      </x:c>
    </x:row>
    <x:row r="9" ht="23" customHeight="1">
      <x:c r="A9" s="8" t="str">
        <x:v>1333372</x:v>
      </x:c>
      <x:c r="B9" s="7" t="n">
        <x:v>46263</x:v>
      </x:c>
      <x:c r="C9" s="7" t="n">
        <x:v>46266</x:v>
      </x:c>
      <x:c r="D9" s="7" t="n">
        <x:v>46266</x:v>
      </x:c>
      <x:c r="E9" s="2" t="str">
        <x:v>HABBOUB Karim</x:v>
      </x:c>
      <x:c r="F9" s="2" t="str">
        <x:v>RIB</x:v>
      </x:c>
      <x:c r="G9" s="2" t="str">
        <x:v>mail validé</x:v>
      </x:c>
      <x:c r="H9" s="2" t="str"/>
      <x:c r="I9" s="2" t="str">
        <x:v>modif rib ok/Création WEB changement RIB</x:v>
      </x:c>
      <x:c r="J9" s="2" t="str">
        <x:v>Sep1</x:v>
      </x:c>
      <x:c r="K9" s="2" t="n">
        <x:v>9</x:v>
      </x:c>
      <x:c r="L9" s="2" t="n">
        <x:v>4</x:v>
      </x:c>
    </x:row>
    <x:row r="10" ht="23" customHeight="1">
      <x:c r="A10" s="8" t="str">
        <x:v>1333381</x:v>
      </x:c>
      <x:c r="B10" s="7" t="n">
        <x:v>46263</x:v>
      </x:c>
      <x:c r="C10" s="7" t="n">
        <x:v>46266</x:v>
      </x:c>
      <x:c r="D10" s="7" t="n">
        <x:v>46266</x:v>
      </x:c>
      <x:c r="E10" s="2" t="str">
        <x:v>GUESSAR Zahra</x:v>
      </x:c>
      <x:c r="F10" s="2" t="str">
        <x:v>RIB</x:v>
      </x:c>
      <x:c r="G10" s="2" t="str">
        <x:v>mail validé</x:v>
      </x:c>
      <x:c r="H10" s="2" t="str"/>
      <x:c r="I10" s="2" t="str">
        <x:v>Modif RIB OK // Création WEB changement RIB</x:v>
      </x:c>
      <x:c r="J10" s="2" t="str">
        <x:v>Sep1</x:v>
      </x:c>
      <x:c r="K10" s="2" t="n">
        <x:v>10</x:v>
      </x:c>
      <x:c r="L10" s="2" t="n">
        <x:v>3</x:v>
      </x:c>
    </x:row>
    <x:row r="11" ht="23" customHeight="1">
      <x:c r="A11" s="8" t="str">
        <x:v>1333400</x:v>
      </x:c>
      <x:c r="B11" s="7" t="n">
        <x:v>46264</x:v>
      </x:c>
      <x:c r="C11" s="7" t="n">
        <x:v>46266</x:v>
      </x:c>
      <x:c r="D11" s="7" t="n">
        <x:v>46266</x:v>
      </x:c>
      <x:c r="E11" s="2" t="str">
        <x:v>GUESSAR Zahra</x:v>
      </x:c>
      <x:c r="F11" s="2" t="str">
        <x:v>RIB</x:v>
      </x:c>
      <x:c r="G11" s="2" t="str">
        <x:v>mail validé</x:v>
      </x:c>
      <x:c r="H11" s="2" t="str"/>
      <x:c r="I11" s="2" t="str">
        <x:v>Demande de garder le RIB actuel</x:v>
      </x:c>
      <x:c r="J11" s="2" t="str">
        <x:v>Sep1</x:v>
      </x:c>
      <x:c r="K11" s="2" t="n">
        <x:v>11</x:v>
      </x:c>
      <x:c r="L11" s="2" t="n">
        <x:v>3</x:v>
      </x:c>
    </x:row>
    <x:row r="12" ht="23" customHeight="1">
      <x:c r="A12" s="8" t="str">
        <x:v>1333410</x:v>
      </x:c>
      <x:c r="B12" s="7" t="n">
        <x:v>46264</x:v>
      </x:c>
      <x:c r="C12" s="7" t="n">
        <x:v>46266</x:v>
      </x:c>
      <x:c r="D12" s="7" t="n">
        <x:v>46266</x:v>
      </x:c>
      <x:c r="E12" s="2" t="str">
        <x:v>EL HASROUF Youssef</x:v>
      </x:c>
      <x:c r="F12" s="2" t="str">
        <x:v>RIB</x:v>
      </x:c>
      <x:c r="G12" s="2" t="str">
        <x:v>mail non validé</x:v>
      </x:c>
      <x:c r="H12" s="2" t="str">
        <x:v>Q2</x:v>
      </x:c>
      <x:c r="I12" s="2" t="str">
        <x:v>AH-l'adresse qui figure sur le RIB n'est pas la même sur SIP donc il faut informer la cliente // modif rib ok , solde bloqué 158,53 €</x:v>
      </x:c>
      <x:c r="J12" s="2" t="str">
        <x:v>Sep1</x:v>
      </x:c>
      <x:c r="K12" s="2" t="n">
        <x:v>12</x:v>
      </x:c>
      <x:c r="L12" s="2" t="n">
        <x:v>2</x:v>
      </x:c>
    </x:row>
    <x:row r="13" ht="23" customHeight="1">
      <x:c r="A13" s="8" t="str">
        <x:v>1333102</x:v>
      </x:c>
      <x:c r="B13" s="7" t="n">
        <x:v>46262</x:v>
      </x:c>
      <x:c r="C13" s="7" t="n">
        <x:v>46266</x:v>
      </x:c>
      <x:c r="D13" s="7" t="n">
        <x:v>46266</x:v>
      </x:c>
      <x:c r="E13" s="2" t="str">
        <x:v>SANE Mohamed lamine</x:v>
      </x:c>
      <x:c r="F13" s="2" t="str">
        <x:v>NANT</x:v>
      </x:c>
      <x:c r="G13" s="2" t="str">
        <x:v>mail validé</x:v>
      </x:c>
      <x:c r="H13" s="2" t="str"/>
      <x:c r="I13" s="2" t="str">
        <x:v>ATTESTATION PPA OK </x:v>
      </x:c>
      <x:c r="J13" s="2" t="str">
        <x:v>Sep1</x:v>
      </x:c>
      <x:c r="K13" s="2" t="n">
        <x:v>13</x:v>
      </x:c>
      <x:c r="L13" s="2" t="n">
        <x:v>12</x:v>
      </x:c>
    </x:row>
    <x:row r="14" ht="23" customHeight="1">
      <x:c r="A14" s="8" t="str">
        <x:v>1333220</x:v>
      </x:c>
      <x:c r="B14" s="7" t="n">
        <x:v>46262</x:v>
      </x:c>
      <x:c r="C14" s="7" t="n">
        <x:v>46266</x:v>
      </x:c>
      <x:c r="D14" s="7" t="n">
        <x:v>46267</x:v>
      </x:c>
      <x:c r="E14" s="2" t="str">
        <x:v>SEMBENE Papalaty</x:v>
      </x:c>
      <x:c r="F14" s="2" t="str">
        <x:v>NANT</x:v>
      </x:c>
      <x:c r="G14" s="2" t="str">
        <x:v>mail validé</x:v>
      </x:c>
      <x:c r="H14" s="2" t="str"/>
      <x:c r="I14" s="2" t="str">
        <x:v>Demande de l'organisme prêteur l'attestation de pp avec nantissement.</x:v>
      </x:c>
      <x:c r="J14" s="2" t="str">
        <x:v>Sep1</x:v>
      </x:c>
      <x:c r="K14" s="2" t="n">
        <x:v>14</x:v>
      </x:c>
      <x:c r="L14" s="2" t="n">
        <x:v>13</x:v>
      </x:c>
    </x:row>
    <x:row r="15" ht="23" customHeight="1">
      <x:c r="A15" s="8" t="str">
        <x:v>1333221</x:v>
      </x:c>
      <x:c r="B15" s="7" t="n">
        <x:v>46262</x:v>
      </x:c>
      <x:c r="C15" s="7" t="n">
        <x:v>46266</x:v>
      </x:c>
      <x:c r="D15" s="7" t="n">
        <x:v>46267</x:v>
      </x:c>
      <x:c r="E15" s="2" t="str">
        <x:v>SEMBENE Papalaty</x:v>
      </x:c>
      <x:c r="F15" s="2" t="str">
        <x:v>NANT</x:v>
      </x:c>
      <x:c r="G15" s="2" t="str">
        <x:v>mail validé</x:v>
      </x:c>
      <x:c r="H15" s="2" t="str"/>
      <x:c r="I15" s="2" t="str">
        <x:v>Demande de l'organisme prêteur l'attestation de pp avec nantissement.</x:v>
      </x:c>
      <x:c r="J15" s="2" t="str">
        <x:v>Sep1</x:v>
      </x:c>
      <x:c r="K15" s="2" t="n">
        <x:v>15</x:v>
      </x:c>
      <x:c r="L15" s="2" t="n">
        <x:v>13</x:v>
      </x:c>
    </x:row>
    <x:row r="16" ht="23" customHeight="1">
      <x:c r="A16" s="8" t="str">
        <x:v>1333699</x:v>
      </x:c>
      <x:c r="B16" s="7" t="n">
        <x:v>46266</x:v>
      </x:c>
      <x:c r="C16" s="7" t="n">
        <x:v>46266</x:v>
      </x:c>
      <x:c r="D16" s="7" t="n">
        <x:v>46266</x:v>
      </x:c>
      <x:c r="E16" s="2" t="str">
        <x:v>EL HASROUF Youssef</x:v>
      </x:c>
      <x:c r="F16" s="2" t="str">
        <x:v>NANT</x:v>
      </x:c>
      <x:c r="G16" s="2" t="str">
        <x:v>mail validé</x:v>
      </x:c>
      <x:c r="H16" s="2" t="str"/>
      <x:c r="I16" s="2" t="str">
        <x:v>REP ORG : nant enregistre ok </x:v>
      </x:c>
      <x:c r="J16" s="2" t="str">
        <x:v>Sep1</x:v>
      </x:c>
      <x:c r="K16" s="2" t="n">
        <x:v>16</x:v>
      </x:c>
      <x:c r="L16" s="2" t="n">
        <x:v>2</x:v>
      </x:c>
    </x:row>
    <x:row r="17" ht="23" customHeight="1">
      <x:c r="A17" s="8" t="str">
        <x:v>1333700</x:v>
      </x:c>
      <x:c r="B17" s="7" t="n">
        <x:v>46266</x:v>
      </x:c>
      <x:c r="C17" s="7" t="n">
        <x:v>46266</x:v>
      </x:c>
      <x:c r="D17" s="7" t="n">
        <x:v>46266</x:v>
      </x:c>
      <x:c r="E17" s="2" t="str">
        <x:v>EL HASROUF Youssef</x:v>
      </x:c>
      <x:c r="F17" s="2" t="str">
        <x:v>NANT</x:v>
      </x:c>
      <x:c r="G17" s="2" t="str">
        <x:v>mail validé</x:v>
      </x:c>
      <x:c r="H17" s="2" t="str"/>
      <x:c r="I17" s="2" t="str">
        <x:v>REP ORG : nant enregistre ok </x:v>
      </x:c>
      <x:c r="J17" s="2" t="str">
        <x:v>Sep1</x:v>
      </x:c>
      <x:c r="K17" s="2" t="n">
        <x:v>17</x:v>
      </x:c>
      <x:c r="L17" s="2" t="n">
        <x:v>2</x:v>
      </x:c>
    </x:row>
    <x:row r="18" ht="23" customHeight="1">
      <x:c r="A18" s="8" t="str">
        <x:v>1333177</x:v>
      </x:c>
      <x:c r="B18" s="7" t="n">
        <x:v>46262</x:v>
      </x:c>
      <x:c r="C18" s="7" t="n">
        <x:v>46266</x:v>
      </x:c>
      <x:c r="D18" s="7" t="n">
        <x:v>46266</x:v>
      </x:c>
      <x:c r="E18" s="2" t="str">
        <x:v>ZIRARI Chaimaa</x:v>
      </x:c>
      <x:c r="F18" s="2" t="str">
        <x:v>DOM</x:v>
      </x:c>
      <x:c r="G18" s="2" t="str">
        <x:v>mail non validé</x:v>
      </x:c>
      <x:c r="H18" s="2" t="str">
        <x:v>Q3</x:v>
      </x:c>
      <x:c r="I18" s="2" t="str">
        <x:v>AH-probléme de rédaction// Changement d'adresse postale demande de doc/Création WEB Changement d'adresse</x:v>
      </x:c>
      <x:c r="J18" s="2" t="str">
        <x:v>Sep1</x:v>
      </x:c>
      <x:c r="K18" s="2" t="n">
        <x:v>18</x:v>
      </x:c>
      <x:c r="L18" s="2" t="n">
        <x:v>14</x:v>
      </x:c>
    </x:row>
    <x:row r="19" ht="23" customHeight="1">
      <x:c r="A19" s="8" t="str">
        <x:v>1333231</x:v>
      </x:c>
      <x:c r="B19" s="7" t="n">
        <x:v>46262</x:v>
      </x:c>
      <x:c r="C19" s="7" t="n">
        <x:v>46266</x:v>
      </x:c>
      <x:c r="D19" s="7" t="n">
        <x:v>46266</x:v>
      </x:c>
      <x:c r="E19" s="2" t="str">
        <x:v>NGOM Saliou</x:v>
      </x:c>
      <x:c r="F19" s="2" t="str">
        <x:v>DOM</x:v>
      </x:c>
      <x:c r="G19" s="2" t="str">
        <x:v>mail validé</x:v>
      </x:c>
      <x:c r="H19" s="2" t="str"/>
      <x:c r="I19" s="2" t="str">
        <x:v>+DIGIT // Erreur sur le nom du ville  + adress mail enregistré // DDe EC, invité a nous confirmé son numéro de tél</x:v>
      </x:c>
      <x:c r="J19" s="2" t="str">
        <x:v>Sep1</x:v>
      </x:c>
      <x:c r="K19" s="2" t="n">
        <x:v>19</x:v>
      </x:c>
      <x:c r="L19" s="2" t="n">
        <x:v>10</x:v>
      </x:c>
    </x:row>
    <x:row r="20" ht="23" customHeight="1">
      <x:c r="A20" s="8" t="str">
        <x:v>1333236</x:v>
      </x:c>
      <x:c r="B20" s="7" t="n">
        <x:v>46262</x:v>
      </x:c>
      <x:c r="C20" s="7" t="n">
        <x:v>46266</x:v>
      </x:c>
      <x:c r="D20" s="7" t="n">
        <x:v>46266</x:v>
      </x:c>
      <x:c r="E20" s="2" t="str">
        <x:v>NGOM Saliou</x:v>
      </x:c>
      <x:c r="F20" s="2" t="str">
        <x:v>DOM</x:v>
      </x:c>
      <x:c r="G20" s="2" t="str">
        <x:v>mail validé</x:v>
      </x:c>
      <x:c r="H20" s="2" t="str"/>
      <x:c r="I20" s="2" t="str">
        <x:v>Accusée de réceptionné pr le doc fatca</x:v>
      </x:c>
      <x:c r="J20" s="2" t="str">
        <x:v>Sep1</x:v>
      </x:c>
      <x:c r="K20" s="2" t="n">
        <x:v>20</x:v>
      </x:c>
      <x:c r="L20" s="2" t="n">
        <x:v>10</x:v>
      </x:c>
    </x:row>
    <x:row r="21" ht="23" customHeight="1">
      <x:c r="A21" s="8" t="str">
        <x:v>1333252</x:v>
      </x:c>
      <x:c r="B21" s="7" t="n">
        <x:v>46262</x:v>
      </x:c>
      <x:c r="C21" s="7" t="n">
        <x:v>46266</x:v>
      </x:c>
      <x:c r="D21" s="7" t="n">
        <x:v>46266</x:v>
      </x:c>
      <x:c r="E21" s="2" t="str">
        <x:v>NDIAYE Seynabou</x:v>
      </x:c>
      <x:c r="F21" s="2" t="str">
        <x:v>DOM</x:v>
      </x:c>
      <x:c r="G21" s="2" t="str">
        <x:v>mail validé</x:v>
      </x:c>
      <x:c r="H21" s="2" t="str"/>
      <x:c r="I21" s="2" t="str">
        <x:v>modif adresse ok+attestation pp</x:v>
      </x:c>
      <x:c r="J21" s="2" t="str">
        <x:v>Sep1</x:v>
      </x:c>
      <x:c r="K21" s="2" t="n">
        <x:v>21</x:v>
      </x:c>
      <x:c r="L21" s="2" t="n">
        <x:v>9</x:v>
      </x:c>
    </x:row>
    <x:row r="22" ht="23" customHeight="1">
      <x:c r="A22" s="8" t="str">
        <x:v>1333271</x:v>
      </x:c>
      <x:c r="B22" s="7" t="n">
        <x:v>46262</x:v>
      </x:c>
      <x:c r="C22" s="7" t="n">
        <x:v>46266</x:v>
      </x:c>
      <x:c r="D22" s="7" t="n">
        <x:v>46266</x:v>
      </x:c>
      <x:c r="E22" s="2" t="str">
        <x:v>NDIAYE Seynabou</x:v>
      </x:c>
      <x:c r="F22" s="2" t="str">
        <x:v>DOM</x:v>
      </x:c>
      <x:c r="G22" s="2" t="str">
        <x:v>mail validé</x:v>
      </x:c>
      <x:c r="H22" s="2" t="str"/>
      <x:c r="I22" s="2" t="str">
        <x:v>rectification adresse postal ok+attestation pp</x:v>
      </x:c>
      <x:c r="J22" s="2" t="str">
        <x:v>Sep1</x:v>
      </x:c>
      <x:c r="K22" s="2" t="n">
        <x:v>22</x:v>
      </x:c>
      <x:c r="L22" s="2" t="n">
        <x:v>9</x:v>
      </x:c>
    </x:row>
    <x:row r="23" ht="23" customHeight="1">
      <x:c r="A23" s="8" t="str">
        <x:v>1333276</x:v>
      </x:c>
      <x:c r="B23" s="7" t="n">
        <x:v>46262</x:v>
      </x:c>
      <x:c r="C23" s="7" t="n">
        <x:v>46266</x:v>
      </x:c>
      <x:c r="D23" s="7" t="n">
        <x:v>46266</x:v>
      </x:c>
      <x:c r="E23" s="2" t="str">
        <x:v>NDIAYE Seynabou</x:v>
      </x:c>
      <x:c r="F23" s="2" t="str">
        <x:v>DOM</x:v>
      </x:c>
      <x:c r="G23" s="2" t="str">
        <x:v>mail validé</x:v>
      </x:c>
      <x:c r="H23" s="2" t="str"/>
      <x:c r="I23" s="2" t="str">
        <x:v>enregistrement RIB et adresse ok+attestation pp</x:v>
      </x:c>
      <x:c r="J23" s="2" t="str">
        <x:v>Sep1</x:v>
      </x:c>
      <x:c r="K23" s="2" t="n">
        <x:v>23</x:v>
      </x:c>
      <x:c r="L23" s="2" t="n">
        <x:v>9</x:v>
      </x:c>
    </x:row>
    <x:row r="24" ht="23" customHeight="1">
      <x:c r="A24" s="8" t="str">
        <x:v>1333285</x:v>
      </x:c>
      <x:c r="B24" s="7" t="n">
        <x:v>46262</x:v>
      </x:c>
      <x:c r="C24" s="7" t="n">
        <x:v>46266</x:v>
      </x:c>
      <x:c r="D24" s="7" t="n">
        <x:v>46266</x:v>
      </x:c>
      <x:c r="E24" s="2" t="str">
        <x:v>MBOUP El hadji cheikh</x:v>
      </x:c>
      <x:c r="F24" s="2" t="str">
        <x:v>DOM</x:v>
      </x:c>
      <x:c r="G24" s="2" t="str">
        <x:v>mail validé</x:v>
      </x:c>
      <x:c r="H24" s="2" t="str"/>
      <x:c r="I24" s="2" t="str">
        <x:v>modif adresse ok+attestation pp</x:v>
      </x:c>
      <x:c r="J24" s="2" t="str">
        <x:v>Sep1</x:v>
      </x:c>
      <x:c r="K24" s="2" t="n">
        <x:v>24</x:v>
      </x:c>
      <x:c r="L24" s="2" t="n">
        <x:v>8</x:v>
      </x:c>
    </x:row>
    <x:row r="25" ht="23" customHeight="1">
      <x:c r="A25" s="8" t="str">
        <x:v>1333295</x:v>
      </x:c>
      <x:c r="B25" s="7" t="n">
        <x:v>46262</x:v>
      </x:c>
      <x:c r="C25" s="7" t="n">
        <x:v>46266</x:v>
      </x:c>
      <x:c r="D25" s="7" t="n">
        <x:v>46266</x:v>
      </x:c>
      <x:c r="E25" s="2" t="str">
        <x:v>MBOUP El hadji cheikh</x:v>
      </x:c>
      <x:c r="F25" s="2" t="str">
        <x:v>DOM</x:v>
      </x:c>
      <x:c r="G25" s="2" t="str">
        <x:v>mail validé</x:v>
      </x:c>
      <x:c r="H25" s="2" t="str"/>
      <x:c r="I25" s="2" t="str">
        <x:v>modif adresse ok</x:v>
      </x:c>
      <x:c r="J25" s="2" t="str">
        <x:v>Sep1</x:v>
      </x:c>
      <x:c r="K25" s="2" t="n">
        <x:v>25</x:v>
      </x:c>
      <x:c r="L25" s="2" t="n">
        <x:v>8</x:v>
      </x:c>
    </x:row>
    <x:row r="26" ht="23" customHeight="1">
      <x:c r="A26" s="8" t="str">
        <x:v>1333310</x:v>
      </x:c>
      <x:c r="B26" s="7" t="n">
        <x:v>46262</x:v>
      </x:c>
      <x:c r="C26" s="7" t="n">
        <x:v>46266</x:v>
      </x:c>
      <x:c r="D26" s="7" t="n">
        <x:v>46266</x:v>
      </x:c>
      <x:c r="E26" s="2" t="str">
        <x:v>MBOUP El hadji cheikh</x:v>
      </x:c>
      <x:c r="F26" s="2" t="str">
        <x:v>DOM</x:v>
      </x:c>
      <x:c r="G26" s="2" t="str">
        <x:v>mail non validé</x:v>
      </x:c>
      <x:c r="H26" s="2" t="str">
        <x:v>Q2</x:v>
      </x:c>
      <x:c r="I26" s="2" t="str">
        <x:v>AH-il faut ajouter le nom de son époux  SAINT- ART // MOD D'ADRESSE POSTALE OK</x:v>
      </x:c>
      <x:c r="J26" s="2" t="str">
        <x:v>Sep1</x:v>
      </x:c>
      <x:c r="K26" s="2" t="n">
        <x:v>26</x:v>
      </x:c>
      <x:c r="L26" s="2" t="n">
        <x:v>8</x:v>
      </x:c>
    </x:row>
    <x:row r="27" ht="23" customHeight="1">
      <x:c r="A27" s="8" t="str">
        <x:v>1333311</x:v>
      </x:c>
      <x:c r="B27" s="7" t="n">
        <x:v>46262</x:v>
      </x:c>
      <x:c r="C27" s="7" t="n">
        <x:v>46266</x:v>
      </x:c>
      <x:c r="D27" s="7" t="n">
        <x:v>46266</x:v>
      </x:c>
      <x:c r="E27" s="2" t="str">
        <x:v>MBARKI Imane</x:v>
      </x:c>
      <x:c r="F27" s="2" t="str">
        <x:v>DOM</x:v>
      </x:c>
      <x:c r="G27" s="2" t="str">
        <x:v>mail validé</x:v>
      </x:c>
      <x:c r="H27" s="2" t="str"/>
      <x:c r="I27" s="2" t="str">
        <x:v>dde modif adresse postale ko+dde cni </x:v>
      </x:c>
      <x:c r="J27" s="2" t="str">
        <x:v>Sep1</x:v>
      </x:c>
      <x:c r="K27" s="2" t="n">
        <x:v>27</x:v>
      </x:c>
      <x:c r="L27" s="2" t="n">
        <x:v>7</x:v>
      </x:c>
    </x:row>
    <x:row r="28" ht="23" customHeight="1">
      <x:c r="A28" s="8" t="str">
        <x:v>1333338</x:v>
      </x:c>
      <x:c r="B28" s="7" t="n">
        <x:v>46262</x:v>
      </x:c>
      <x:c r="C28" s="7" t="n">
        <x:v>46266</x:v>
      </x:c>
      <x:c r="D28" s="7" t="n">
        <x:v>46266</x:v>
      </x:c>
      <x:c r="E28" s="2" t="str">
        <x:v>MBARKI Imane</x:v>
      </x:c>
      <x:c r="F28" s="2" t="str">
        <x:v>DOM</x:v>
      </x:c>
      <x:c r="G28" s="2" t="str">
        <x:v>mail validé</x:v>
      </x:c>
      <x:c r="H28" s="2" t="str"/>
      <x:c r="I28" s="2" t="str">
        <x:v>MODIF ADRESSE POSTAL PEC+ENVOIE APP+PAS DE PROPOSIION POUR L4ESPACE CLIENT DEMANDE DEJA FAITEZ VIA ESPACE WEB</x:v>
      </x:c>
      <x:c r="J28" s="2" t="str">
        <x:v>Sep1</x:v>
      </x:c>
      <x:c r="K28" s="2" t="n">
        <x:v>28</x:v>
      </x:c>
      <x:c r="L28" s="2" t="n">
        <x:v>7</x:v>
      </x:c>
    </x:row>
    <x:row r="29" ht="23" customHeight="1">
      <x:c r="A29" s="8" t="str">
        <x:v>1333365</x:v>
      </x:c>
      <x:c r="B29" s="7" t="n">
        <x:v>46263</x:v>
      </x:c>
      <x:c r="C29" s="7" t="n">
        <x:v>46266</x:v>
      </x:c>
      <x:c r="D29" s="7" t="n">
        <x:v>46266</x:v>
      </x:c>
      <x:c r="E29" s="2" t="str">
        <x:v>HABBOUB Karim</x:v>
      </x:c>
      <x:c r="F29" s="2" t="str">
        <x:v>DOM</x:v>
      </x:c>
      <x:c r="G29" s="2" t="str">
        <x:v>mail non validé</x:v>
      </x:c>
      <x:c r="H29" s="2" t="str">
        <x:v>Q1</x:v>
      </x:c>
      <x:c r="I29" s="2" t="str">
        <x:v>AH-il faut maitre le Lieu de consommation(3EDTEBTBBATB,117BRUEPAULVAILLANT,COUTURIER,92240MALAKOFF)//MODIFICATION ADRESSE OK/CréationWEB Changement d'adresse</x:v>
      </x:c>
      <x:c r="J29" s="2" t="str">
        <x:v>Sep1</x:v>
      </x:c>
      <x:c r="K29" s="2" t="n">
        <x:v>29</x:v>
      </x:c>
      <x:c r="L29" s="2" t="n">
        <x:v>4</x:v>
      </x:c>
    </x:row>
    <x:row r="30" ht="23" customHeight="1">
      <x:c r="A30" s="8" t="str">
        <x:v>1333366</x:v>
      </x:c>
      <x:c r="B30" s="7" t="n">
        <x:v>46263</x:v>
      </x:c>
      <x:c r="C30" s="7" t="n">
        <x:v>46266</x:v>
      </x:c>
      <x:c r="D30" s="7" t="n">
        <x:v>46266</x:v>
      </x:c>
      <x:c r="E30" s="2" t="str">
        <x:v>HABBOUB Karim</x:v>
      </x:c>
      <x:c r="F30" s="2" t="str">
        <x:v>DOM</x:v>
      </x:c>
      <x:c r="G30" s="2" t="str">
        <x:v>mail validé</x:v>
      </x:c>
      <x:c r="H30" s="2" t="str"/>
      <x:c r="I30" s="2" t="str">
        <x:v>modif adresse ok/Création WEB Changement d'adresse</x:v>
      </x:c>
      <x:c r="J30" s="2" t="str">
        <x:v>Sep1</x:v>
      </x:c>
      <x:c r="K30" s="2" t="n">
        <x:v>30</x:v>
      </x:c>
      <x:c r="L30" s="2" t="n">
        <x:v>4</x:v>
      </x:c>
    </x:row>
    <x:row r="31" ht="23" customHeight="1">
      <x:c r="A31" s="8" t="str">
        <x:v>1333377</x:v>
      </x:c>
      <x:c r="B31" s="7" t="n">
        <x:v>46263</x:v>
      </x:c>
      <x:c r="C31" s="7" t="n">
        <x:v>46266</x:v>
      </x:c>
      <x:c r="D31" s="7" t="n">
        <x:v>46266</x:v>
      </x:c>
      <x:c r="E31" s="2" t="str">
        <x:v>GUESSAR Zahra</x:v>
      </x:c>
      <x:c r="F31" s="2" t="str">
        <x:v>DOM</x:v>
      </x:c>
      <x:c r="G31" s="2" t="str">
        <x:v>mail non validé</x:v>
      </x:c>
      <x:c r="H31" s="2" t="str">
        <x:v>Q1</x:v>
      </x:c>
      <x:c r="I31" s="2" t="str">
        <x:v>AH-il fallait demander le verso de la PI //Modif adresse Ok // Création WEB Changement d'adresse</x:v>
      </x:c>
      <x:c r="J31" s="2" t="str">
        <x:v>Sep1</x:v>
      </x:c>
      <x:c r="K31" s="2" t="n">
        <x:v>31</x:v>
      </x:c>
      <x:c r="L31" s="2" t="n">
        <x:v>3</x:v>
      </x:c>
    </x:row>
    <x:row r="32" ht="23" customHeight="1">
      <x:c r="A32" s="8" t="str">
        <x:v>1333386</x:v>
      </x:c>
      <x:c r="B32" s="7" t="n">
        <x:v>46264</x:v>
      </x:c>
      <x:c r="C32" s="7" t="n">
        <x:v>46266</x:v>
      </x:c>
      <x:c r="D32" s="7" t="n">
        <x:v>46266</x:v>
      </x:c>
      <x:c r="E32" s="2" t="str">
        <x:v>GUESSAR Zahra</x:v>
      </x:c>
      <x:c r="F32" s="2" t="str">
        <x:v>DOM</x:v>
      </x:c>
      <x:c r="G32" s="2" t="str">
        <x:v>mail validé</x:v>
      </x:c>
      <x:c r="H32" s="2" t="str"/>
      <x:c r="I32" s="2" t="str">
        <x:v>Dde modif d'adresse //ANCLIENT CLIENT</x:v>
      </x:c>
      <x:c r="J32" s="2" t="str">
        <x:v>Sep1</x:v>
      </x:c>
      <x:c r="K32" s="2" t="n">
        <x:v>32</x:v>
      </x:c>
      <x:c r="L32" s="2" t="n">
        <x:v>3</x:v>
      </x:c>
    </x:row>
    <x:row r="33" ht="23" customHeight="1">
      <x:c r="A33" s="8" t="str">
        <x:v>1333413</x:v>
      </x:c>
      <x:c r="B33" s="7" t="n">
        <x:v>46264</x:v>
      </x:c>
      <x:c r="C33" s="7" t="n">
        <x:v>46266</x:v>
      </x:c>
      <x:c r="D33" s="7" t="n">
        <x:v>46266</x:v>
      </x:c>
      <x:c r="E33" s="2" t="str">
        <x:v>EL HASROUF Youssef</x:v>
      </x:c>
      <x:c r="F33" s="2" t="str">
        <x:v>DOM</x:v>
      </x:c>
      <x:c r="G33" s="2" t="str">
        <x:v>mail validé</x:v>
      </x:c>
      <x:c r="H33" s="2" t="str"/>
      <x:c r="I33" s="2" t="str">
        <x:v>modif adresse ok // Création WEB Changement d'adresse</x:v>
      </x:c>
      <x:c r="J33" s="2" t="str">
        <x:v>Sep1</x:v>
      </x:c>
      <x:c r="K33" s="2" t="n">
        <x:v>33</x:v>
      </x:c>
      <x:c r="L33" s="2" t="n">
        <x:v>2</x:v>
      </x:c>
    </x:row>
    <x:row r="34" ht="23" customHeight="1">
      <x:c r="A34" s="8" t="str">
        <x:v>1333651</x:v>
      </x:c>
      <x:c r="B34" s="7" t="n">
        <x:v>46265</x:v>
      </x:c>
      <x:c r="C34" s="7" t="n">
        <x:v>46267</x:v>
      </x:c>
      <x:c r="D34" s="7" t="n">
        <x:v>46267</x:v>
      </x:c>
      <x:c r="E34" s="2" t="str">
        <x:v>GUESSAR Zahra</x:v>
      </x:c>
      <x:c r="F34" s="2" t="str">
        <x:v>DOM</x:v>
      </x:c>
      <x:c r="G34" s="2" t="str">
        <x:v>mail validé</x:v>
      </x:c>
      <x:c r="H34" s="2" t="str"/>
      <x:c r="I34" s="2" t="str">
        <x:v>Modif adresse OK // Création WEB Changement d'adresse</x:v>
      </x:c>
      <x:c r="J34" s="2" t="str">
        <x:v>Sep2</x:v>
      </x:c>
      <x:c r="K34" s="2" t="n">
        <x:v>2</x:v>
      </x:c>
      <x:c r="L34" s="2" t="n">
        <x:v>3</x:v>
      </x:c>
    </x:row>
    <x:row r="35" ht="23" customHeight="1">
      <x:c r="A35" s="8" t="str">
        <x:v>1333631</x:v>
      </x:c>
      <x:c r="B35" s="7" t="n">
        <x:v>46265</x:v>
      </x:c>
      <x:c r="C35" s="7" t="n">
        <x:v>46267</x:v>
      </x:c>
      <x:c r="D35" s="7" t="n">
        <x:v>46267</x:v>
      </x:c>
      <x:c r="E35" s="2" t="str">
        <x:v>MBARKI Imane</x:v>
      </x:c>
      <x:c r="F35" s="2" t="str">
        <x:v>DOM</x:v>
      </x:c>
      <x:c r="G35" s="2" t="str">
        <x:v>mail validé</x:v>
      </x:c>
      <x:c r="H35" s="2" t="str"/>
      <x:c r="I35" s="2" t="str">
        <x:v>modif adresse mis a jour par la poste ==&gt; mail de confirmation envoyer+app+flyer pour creation espace client </x:v>
      </x:c>
      <x:c r="J35" s="2" t="str">
        <x:v>Sep2</x:v>
      </x:c>
      <x:c r="K35" s="2" t="n">
        <x:v>3</x:v>
      </x:c>
      <x:c r="L35" s="2" t="n">
        <x:v>7</x:v>
      </x:c>
    </x:row>
    <x:row r="36" ht="23" customHeight="1">
      <x:c r="A36" s="8" t="str">
        <x:v>1333553</x:v>
      </x:c>
      <x:c r="B36" s="7" t="n">
        <x:v>46265</x:v>
      </x:c>
      <x:c r="C36" s="7" t="n">
        <x:v>46267</x:v>
      </x:c>
      <x:c r="D36" s="7" t="n">
        <x:v>46267</x:v>
      </x:c>
      <x:c r="E36" s="2" t="str">
        <x:v>NDIAYE Seynabou</x:v>
      </x:c>
      <x:c r="F36" s="2" t="str">
        <x:v>DOM</x:v>
      </x:c>
      <x:c r="G36" s="2" t="str">
        <x:v>mail validé</x:v>
      </x:c>
      <x:c r="H36" s="2" t="str"/>
      <x:c r="I36" s="2" t="str">
        <x:v>modif adresse Nom et adresse postale ok</x:v>
      </x:c>
      <x:c r="J36" s="2" t="str">
        <x:v>Sep2</x:v>
      </x:c>
      <x:c r="K36" s="2" t="n">
        <x:v>4</x:v>
      </x:c>
      <x:c r="L36" s="2" t="n">
        <x:v>9</x:v>
      </x:c>
    </x:row>
    <x:row r="37" ht="23" customHeight="1">
      <x:c r="A37" s="8" t="str">
        <x:v>1333550</x:v>
      </x:c>
      <x:c r="B37" s="7" t="n">
        <x:v>46265</x:v>
      </x:c>
      <x:c r="C37" s="7" t="n">
        <x:v>46267</x:v>
      </x:c>
      <x:c r="D37" s="7" t="n">
        <x:v>46267</x:v>
      </x:c>
      <x:c r="E37" s="2" t="str">
        <x:v>NDIAYE Seynabou</x:v>
      </x:c>
      <x:c r="F37" s="2" t="str">
        <x:v>DOM</x:v>
      </x:c>
      <x:c r="G37" s="2" t="str">
        <x:v>mail validé</x:v>
      </x:c>
      <x:c r="H37" s="2" t="str"/>
      <x:c r="I37" s="2" t="str">
        <x:v>modif adresse ok+attestation pp</x:v>
      </x:c>
      <x:c r="J37" s="2" t="str">
        <x:v>Sep2</x:v>
      </x:c>
      <x:c r="K37" s="2" t="n">
        <x:v>5</x:v>
      </x:c>
      <x:c r="L37" s="2" t="n">
        <x:v>9</x:v>
      </x:c>
    </x:row>
    <x:row r="38" ht="23" customHeight="1">
      <x:c r="A38" s="8" t="str">
        <x:v>1333539</x:v>
      </x:c>
      <x:c r="B38" s="7" t="n">
        <x:v>46265</x:v>
      </x:c>
      <x:c r="C38" s="7" t="n">
        <x:v>46267</x:v>
      </x:c>
      <x:c r="D38" s="7" t="n">
        <x:v>46267</x:v>
      </x:c>
      <x:c r="E38" s="2" t="str">
        <x:v>NDIAYE Seynabou</x:v>
      </x:c>
      <x:c r="F38" s="2" t="str">
        <x:v>DOM</x:v>
      </x:c>
      <x:c r="G38" s="2" t="str">
        <x:v>mail validé</x:v>
      </x:c>
      <x:c r="H38" s="2" t="str"/>
      <x:c r="I38" s="2" t="str">
        <x:v>en attente justifs</x:v>
      </x:c>
      <x:c r="J38" s="2" t="str">
        <x:v>Sep2</x:v>
      </x:c>
      <x:c r="K38" s="2" t="n">
        <x:v>6</x:v>
      </x:c>
      <x:c r="L38" s="2" t="n">
        <x:v>9</x:v>
      </x:c>
    </x:row>
    <x:row r="39" ht="23" customHeight="1">
      <x:c r="A39" s="8" t="str">
        <x:v>1333524</x:v>
      </x:c>
      <x:c r="B39" s="7" t="n">
        <x:v>46265</x:v>
      </x:c>
      <x:c r="C39" s="7" t="n">
        <x:v>46267</x:v>
      </x:c>
      <x:c r="D39" s="7" t="n">
        <x:v>46267</x:v>
      </x:c>
      <x:c r="E39" s="2" t="str">
        <x:v>NGOM Saliou</x:v>
      </x:c>
      <x:c r="F39" s="2" t="str">
        <x:v>DOM</x:v>
      </x:c>
      <x:c r="G39" s="2" t="str">
        <x:v>mail validé</x:v>
      </x:c>
      <x:c r="H39" s="2" t="str"/>
      <x:c r="I39" s="2" t="str">
        <x:v>Modif. adress ok + attestation de P.P</x:v>
      </x:c>
      <x:c r="J39" s="2" t="str">
        <x:v>Sep2</x:v>
      </x:c>
      <x:c r="K39" s="2" t="n">
        <x:v>7</x:v>
      </x:c>
      <x:c r="L39" s="2" t="n">
        <x:v>10</x:v>
      </x:c>
    </x:row>
    <x:row r="40" ht="23" customHeight="1">
      <x:c r="A40" s="8" t="str">
        <x:v>1333520</x:v>
      </x:c>
      <x:c r="B40" s="7" t="n">
        <x:v>46265</x:v>
      </x:c>
      <x:c r="C40" s="7" t="n">
        <x:v>46267</x:v>
      </x:c>
      <x:c r="D40" s="7" t="n">
        <x:v>46267</x:v>
      </x:c>
      <x:c r="E40" s="2" t="str">
        <x:v>NGOM Saliou</x:v>
      </x:c>
      <x:c r="F40" s="2" t="str">
        <x:v>DOM</x:v>
      </x:c>
      <x:c r="G40" s="2" t="str">
        <x:v>mail validé</x:v>
      </x:c>
      <x:c r="H40" s="2" t="str"/>
      <x:c r="I40" s="2" t="str">
        <x:v>Création WEB Changement d'adresse // Modif adress ok + attestation de P.P</x:v>
      </x:c>
      <x:c r="J40" s="2" t="str">
        <x:v>Sep2</x:v>
      </x:c>
      <x:c r="K40" s="2" t="n">
        <x:v>8</x:v>
      </x:c>
      <x:c r="L40" s="2" t="n">
        <x:v>10</x:v>
      </x:c>
    </x:row>
    <x:row r="41" ht="23" customHeight="1">
      <x:c r="A41" s="8" t="str">
        <x:v>1333508</x:v>
      </x:c>
      <x:c r="B41" s="7" t="n">
        <x:v>46265</x:v>
      </x:c>
      <x:c r="C41" s="7" t="n">
        <x:v>46267</x:v>
      </x:c>
      <x:c r="D41" s="7" t="n">
        <x:v>46267</x:v>
      </x:c>
      <x:c r="E41" s="2" t="str">
        <x:v>NGOM Saliou</x:v>
      </x:c>
      <x:c r="F41" s="2" t="str">
        <x:v>DOM</x:v>
      </x:c>
      <x:c r="G41" s="2" t="str">
        <x:v>mail non validé</x:v>
      </x:c>
      <x:c r="H41" s="2" t="str">
        <x:v>Q1</x:v>
      </x:c>
      <x:c r="I41" s="2" t="str">
        <x:v>AH-il faut ajouter les informations du client ou bien envoyer le mail de pierval directement à la cliente pour qu'elle puisse envoyer la demande elle-même // Création WEB Changement d'adresse // Modif adress, Transfert a PIERVAL SANTE</x:v>
      </x:c>
      <x:c r="J41" s="2" t="str">
        <x:v>Sep2</x:v>
      </x:c>
      <x:c r="K41" s="2" t="n">
        <x:v>9</x:v>
      </x:c>
      <x:c r="L41" s="2" t="n">
        <x:v>10</x:v>
      </x:c>
    </x:row>
    <x:row r="42" ht="23" customHeight="1">
      <x:c r="A42" s="8" t="str">
        <x:v>1333507</x:v>
      </x:c>
      <x:c r="B42" s="7" t="n">
        <x:v>46265</x:v>
      </x:c>
      <x:c r="C42" s="7" t="n">
        <x:v>46267</x:v>
      </x:c>
      <x:c r="D42" s="7" t="n">
        <x:v>46267</x:v>
      </x:c>
      <x:c r="E42" s="2" t="str">
        <x:v>ZIRARI Chaimaa</x:v>
      </x:c>
      <x:c r="F42" s="2" t="str">
        <x:v>DOM</x:v>
      </x:c>
      <x:c r="G42" s="2" t="str">
        <x:v>mail validé</x:v>
      </x:c>
      <x:c r="H42" s="2" t="str"/>
      <x:c r="I42" s="2" t="str">
        <x:v>Confirmation de changement d'adresse postale/Création WEB Changement d'adresse</x:v>
      </x:c>
      <x:c r="J42" s="2" t="str">
        <x:v>Sep2</x:v>
      </x:c>
      <x:c r="K42" s="2" t="n">
        <x:v>10</x:v>
      </x:c>
      <x:c r="L42" s="2" t="n">
        <x:v>14</x:v>
      </x:c>
    </x:row>
    <x:row r="43" ht="23" customHeight="1">
      <x:c r="A43" s="8" t="str">
        <x:v>1333472</x:v>
      </x:c>
      <x:c r="B43" s="7" t="n">
        <x:v>46265</x:v>
      </x:c>
      <x:c r="C43" s="7" t="n">
        <x:v>46267</x:v>
      </x:c>
      <x:c r="D43" s="7" t="n">
        <x:v>46267</x:v>
      </x:c>
      <x:c r="E43" s="2" t="str">
        <x:v>ZIRARI Chaimaa</x:v>
      </x:c>
      <x:c r="F43" s="2" t="str">
        <x:v>DOM</x:v>
      </x:c>
      <x:c r="G43" s="2" t="str">
        <x:v>mail validé</x:v>
      </x:c>
      <x:c r="H43" s="2" t="str"/>
      <x:c r="I43" s="2" t="str">
        <x:v>changement d'adresse postale</x:v>
      </x:c>
      <x:c r="J43" s="2" t="str">
        <x:v>Sep2</x:v>
      </x:c>
      <x:c r="K43" s="2" t="n">
        <x:v>11</x:v>
      </x:c>
      <x:c r="L43" s="2" t="n">
        <x:v>14</x:v>
      </x:c>
    </x:row>
    <x:row r="44" ht="23" customHeight="1">
      <x:c r="A44" s="8" t="str">
        <x:v>1333422</x:v>
      </x:c>
      <x:c r="B44" s="7" t="n">
        <x:v>46265</x:v>
      </x:c>
      <x:c r="C44" s="7" t="n">
        <x:v>46267</x:v>
      </x:c>
      <x:c r="D44" s="7" t="n">
        <x:v>46267</x:v>
      </x:c>
      <x:c r="E44" s="2" t="str">
        <x:v>SEMBENE Papalaty</x:v>
      </x:c>
      <x:c r="F44" s="2" t="str">
        <x:v>DOM</x:v>
      </x:c>
      <x:c r="G44" s="2" t="str">
        <x:v>mail validé</x:v>
      </x:c>
      <x:c r="H44" s="2" t="str"/>
      <x:c r="I44" s="2" t="str">
        <x:v>Création WEB Changement d'adresse/ OK</x:v>
      </x:c>
      <x:c r="J44" s="2" t="str">
        <x:v>Sep2</x:v>
      </x:c>
      <x:c r="K44" s="2" t="n">
        <x:v>12</x:v>
      </x:c>
      <x:c r="L44" s="2" t="n">
        <x:v>13</x:v>
      </x:c>
    </x:row>
    <x:row r="45" ht="23" customHeight="1">
      <x:c r="A45" s="8" t="str">
        <x:v>1333968</x:v>
      </x:c>
      <x:c r="B45" s="7" t="n">
        <x:v>46267</x:v>
      </x:c>
      <x:c r="C45" s="7" t="n">
        <x:v>46267</x:v>
      </x:c>
      <x:c r="D45" s="7" t="n">
        <x:v>46267</x:v>
      </x:c>
      <x:c r="E45" s="2" t="str">
        <x:v>SEMBENE Papalaty</x:v>
      </x:c>
      <x:c r="F45" s="2" t="str">
        <x:v>NANT</x:v>
      </x:c>
      <x:c r="G45" s="2" t="str">
        <x:v>mail validé</x:v>
      </x:c>
      <x:c r="H45" s="2" t="str"/>
      <x:c r="I45" s="2" t="str">
        <x:v>Demande d'enregistrement organisme preteur nantissement</x:v>
      </x:c>
      <x:c r="J45" s="2" t="str">
        <x:v>Sep2</x:v>
      </x:c>
      <x:c r="K45" s="2" t="n">
        <x:v>13</x:v>
      </x:c>
      <x:c r="L45" s="2" t="n">
        <x:v>13</x:v>
      </x:c>
    </x:row>
    <x:row r="46" ht="23" customHeight="1">
      <x:c r="A46" s="8" t="str">
        <x:v>1333949</x:v>
      </x:c>
      <x:c r="B46" s="7" t="n">
        <x:v>46267</x:v>
      </x:c>
      <x:c r="C46" s="7" t="n">
        <x:v>46267</x:v>
      </x:c>
      <x:c r="D46" s="7" t="n">
        <x:v>46267</x:v>
      </x:c>
      <x:c r="E46" s="2" t="str">
        <x:v>SEMBENE Papalaty</x:v>
      </x:c>
      <x:c r="F46" s="2" t="str">
        <x:v>NANT</x:v>
      </x:c>
      <x:c r="G46" s="2" t="str">
        <x:v>mail validé</x:v>
      </x:c>
      <x:c r="H46" s="2" t="str"/>
      <x:c r="I46" s="2" t="str">
        <x:v>Demande d'enregistrement organisme preteur nantissement</x:v>
      </x:c>
      <x:c r="J46" s="2" t="str">
        <x:v>Sep2</x:v>
      </x:c>
      <x:c r="K46" s="2" t="n">
        <x:v>14</x:v>
      </x:c>
      <x:c r="L46" s="2" t="n">
        <x:v>13</x:v>
      </x:c>
    </x:row>
    <x:row r="47" ht="23" customHeight="1">
      <x:c r="A47" s="8" t="str">
        <x:v>1333944</x:v>
      </x:c>
      <x:c r="B47" s="7" t="n">
        <x:v>46267</x:v>
      </x:c>
      <x:c r="C47" s="7" t="n">
        <x:v>46267</x:v>
      </x:c>
      <x:c r="D47" s="7" t="n">
        <x:v>46267</x:v>
      </x:c>
      <x:c r="E47" s="2" t="str">
        <x:v>SEMBENE Papalaty</x:v>
      </x:c>
      <x:c r="F47" s="2" t="str">
        <x:v>NANT</x:v>
      </x:c>
      <x:c r="G47" s="2" t="str">
        <x:v>mail validé</x:v>
      </x:c>
      <x:c r="H47" s="2" t="str"/>
      <x:c r="I47" s="2" t="str">
        <x:v>Demande d'enregistrement organisme preteur nantissement</x:v>
      </x:c>
      <x:c r="J47" s="2" t="str">
        <x:v>Sep2</x:v>
      </x:c>
      <x:c r="K47" s="2" t="n">
        <x:v>15</x:v>
      </x:c>
      <x:c r="L47" s="2" t="n">
        <x:v>13</x:v>
      </x:c>
    </x:row>
    <x:row r="48" ht="23" customHeight="1">
      <x:c r="A48" s="8" t="str">
        <x:v>1333932</x:v>
      </x:c>
      <x:c r="B48" s="7" t="n">
        <x:v>46267</x:v>
      </x:c>
      <x:c r="C48" s="7" t="n">
        <x:v>46267</x:v>
      </x:c>
      <x:c r="D48" s="7" t="n">
        <x:v>46267</x:v>
      </x:c>
      <x:c r="E48" s="2" t="str">
        <x:v>SEMBENE Papalaty</x:v>
      </x:c>
      <x:c r="F48" s="2" t="str">
        <x:v>NANT</x:v>
      </x:c>
      <x:c r="G48" s="2" t="str">
        <x:v>mail validé</x:v>
      </x:c>
      <x:c r="H48" s="2" t="str"/>
      <x:c r="I48" s="2" t="str">
        <x:v>Demande d'enregistrement organisme preteur nantissement </x:v>
      </x:c>
      <x:c r="J48" s="2" t="str">
        <x:v>Sep2</x:v>
      </x:c>
      <x:c r="K48" s="2" t="n">
        <x:v>16</x:v>
      </x:c>
      <x:c r="L48" s="2" t="n">
        <x:v>13</x:v>
      </x:c>
    </x:row>
    <x:row r="49" ht="23" customHeight="1">
      <x:c r="A49" s="8" t="str">
        <x:v>1333655</x:v>
      </x:c>
      <x:c r="B49" s="7" t="n">
        <x:v>46265</x:v>
      </x:c>
      <x:c r="C49" s="7" t="n">
        <x:v>46267</x:v>
      </x:c>
      <x:c r="D49" s="7" t="n">
        <x:v>46267</x:v>
      </x:c>
      <x:c r="E49" s="2" t="str">
        <x:v>GUESSAR Zahra</x:v>
      </x:c>
      <x:c r="F49" s="2" t="str">
        <x:v>RIB</x:v>
      </x:c>
      <x:c r="G49" s="2" t="str">
        <x:v>mail validé</x:v>
      </x:c>
      <x:c r="H49" s="2" t="str"/>
      <x:c r="I49" s="2" t="str">
        <x:v>Modif RIB OK // Création WEB changement RIB</x:v>
      </x:c>
      <x:c r="J49" s="2" t="str">
        <x:v>Sep2</x:v>
      </x:c>
      <x:c r="K49" s="2" t="n">
        <x:v>17</x:v>
      </x:c>
      <x:c r="L49" s="2" t="n">
        <x:v>3</x:v>
      </x:c>
    </x:row>
    <x:row r="50" ht="23" customHeight="1">
      <x:c r="A50" s="8" t="str">
        <x:v>1333635</x:v>
      </x:c>
      <x:c r="B50" s="7" t="n">
        <x:v>46265</x:v>
      </x:c>
      <x:c r="C50" s="7" t="n">
        <x:v>46267</x:v>
      </x:c>
      <x:c r="D50" s="7" t="n">
        <x:v>46268</x:v>
      </x:c>
      <x:c r="E50" s="2" t="str">
        <x:v>GUESSAR Zahra</x:v>
      </x:c>
      <x:c r="F50" s="2" t="str">
        <x:v>RIB</x:v>
      </x:c>
      <x:c r="G50" s="2" t="str">
        <x:v>mail validé</x:v>
      </x:c>
      <x:c r="H50" s="2" t="str"/>
      <x:c r="I50" s="2" t="str">
        <x:v>RIB déblocage déjà traité + Adresse postale ok</x:v>
      </x:c>
      <x:c r="J50" s="2" t="str">
        <x:v>Sep2</x:v>
      </x:c>
      <x:c r="K50" s="2" t="n">
        <x:v>18</x:v>
      </x:c>
      <x:c r="L50" s="2" t="n">
        <x:v>3</x:v>
      </x:c>
    </x:row>
    <x:row r="51" ht="23" customHeight="1">
      <x:c r="A51" s="8" t="str">
        <x:v>1333629</x:v>
      </x:c>
      <x:c r="B51" s="7" t="n">
        <x:v>46265</x:v>
      </x:c>
      <x:c r="C51" s="7" t="n">
        <x:v>46267</x:v>
      </x:c>
      <x:c r="D51" s="7" t="n">
        <x:v>46267</x:v>
      </x:c>
      <x:c r="E51" s="2" t="str">
        <x:v>MBARKI Imane</x:v>
      </x:c>
      <x:c r="F51" s="2" t="str">
        <x:v>RIB</x:v>
      </x:c>
      <x:c r="G51" s="2" t="str">
        <x:v>mail validé</x:v>
      </x:c>
      <x:c r="H51" s="2" t="str"/>
      <x:c r="I51" s="2" t="str">
        <x:v>modif adresse postale ok+modif rib ok+mis en avant de l'utilisation EC</x:v>
      </x:c>
      <x:c r="J51" s="2" t="str">
        <x:v>Sep2</x:v>
      </x:c>
      <x:c r="K51" s="2" t="n">
        <x:v>19</x:v>
      </x:c>
      <x:c r="L51" s="2" t="n">
        <x:v>7</x:v>
      </x:c>
    </x:row>
    <x:row r="52" ht="23" customHeight="1">
      <x:c r="A52" s="8" t="str">
        <x:v>1333594</x:v>
      </x:c>
      <x:c r="B52" s="7" t="n">
        <x:v>46265</x:v>
      </x:c>
      <x:c r="C52" s="7" t="n">
        <x:v>46267</x:v>
      </x:c>
      <x:c r="D52" s="7" t="n">
        <x:v>46267</x:v>
      </x:c>
      <x:c r="E52" s="2" t="str">
        <x:v>MBOUP El hadji cheikh</x:v>
      </x:c>
      <x:c r="F52" s="2" t="str">
        <x:v>RIB</x:v>
      </x:c>
      <x:c r="G52" s="2" t="str">
        <x:v>mail validé</x:v>
      </x:c>
      <x:c r="H52" s="2" t="str"/>
      <x:c r="I52" s="2" t="str">
        <x:v>MOD RIB Ok </x:v>
      </x:c>
      <x:c r="J52" s="2" t="str">
        <x:v>Sep2</x:v>
      </x:c>
      <x:c r="K52" s="2" t="n">
        <x:v>20</x:v>
      </x:c>
      <x:c r="L52" s="2" t="n">
        <x:v>8</x:v>
      </x:c>
    </x:row>
    <x:row r="53" ht="23" customHeight="1">
      <x:c r="A53" s="8" t="str">
        <x:v>1333588</x:v>
      </x:c>
      <x:c r="B53" s="7" t="n">
        <x:v>46265</x:v>
      </x:c>
      <x:c r="C53" s="7" t="n">
        <x:v>46267</x:v>
      </x:c>
      <x:c r="D53" s="7" t="n">
        <x:v>46267</x:v>
      </x:c>
      <x:c r="E53" s="2" t="str">
        <x:v>MBOUP El hadji cheikh</x:v>
      </x:c>
      <x:c r="F53" s="2" t="str">
        <x:v>RIB</x:v>
      </x:c>
      <x:c r="G53" s="2" t="str">
        <x:v>mail non validé</x:v>
      </x:c>
      <x:c r="H53" s="2" t="str">
        <x:v>Q1</x:v>
      </x:c>
      <x:c r="I53" s="2" t="str">
        <x:v>AH-adresse present sur le kbis n'est pas la meme sur sip il faut envoyer une confirmation d'adresse // MOD RIB OK</x:v>
      </x:c>
      <x:c r="J53" s="2" t="str">
        <x:v>Sep2</x:v>
      </x:c>
      <x:c r="K53" s="2" t="n">
        <x:v>21</x:v>
      </x:c>
      <x:c r="L53" s="2" t="n">
        <x:v>8</x:v>
      </x:c>
    </x:row>
    <x:row r="54" ht="23" customHeight="1">
      <x:c r="A54" s="8" t="str">
        <x:v>1333587</x:v>
      </x:c>
      <x:c r="B54" s="7" t="n">
        <x:v>46265</x:v>
      </x:c>
      <x:c r="C54" s="7" t="n">
        <x:v>46267</x:v>
      </x:c>
      <x:c r="D54" s="7" t="n">
        <x:v>46267</x:v>
      </x:c>
      <x:c r="E54" s="2" t="str">
        <x:v>MBOUP El hadji cheikh</x:v>
      </x:c>
      <x:c r="F54" s="2" t="str">
        <x:v>RIB</x:v>
      </x:c>
      <x:c r="G54" s="2" t="str">
        <x:v>mail validé</x:v>
      </x:c>
      <x:c r="H54" s="2" t="str"/>
      <x:c r="I54" s="2" t="str">
        <x:v>MOD RIB OK </x:v>
      </x:c>
      <x:c r="J54" s="2" t="str">
        <x:v>Sep2</x:v>
      </x:c>
      <x:c r="K54" s="2" t="n">
        <x:v>22</x:v>
      </x:c>
      <x:c r="L54" s="2" t="n">
        <x:v>8</x:v>
      </x:c>
    </x:row>
    <x:row r="55" ht="23" customHeight="1">
      <x:c r="A55" s="8" t="str">
        <x:v>1333586</x:v>
      </x:c>
      <x:c r="B55" s="7" t="n">
        <x:v>46265</x:v>
      </x:c>
      <x:c r="C55" s="7" t="n">
        <x:v>46267</x:v>
      </x:c>
      <x:c r="D55" s="7" t="n">
        <x:v>46267</x:v>
      </x:c>
      <x:c r="E55" s="2" t="str">
        <x:v>MBOUP El hadji cheikh</x:v>
      </x:c>
      <x:c r="F55" s="2" t="str">
        <x:v>RIB</x:v>
      </x:c>
      <x:c r="G55" s="2" t="str">
        <x:v>mail non validé</x:v>
      </x:c>
      <x:c r="H55" s="2" t="str">
        <x:v>Q2</x:v>
      </x:c>
      <x:c r="I55" s="2" t="str">
        <x:v>AH-proposition EC ko + l'adresse qui figure sur le RIB n'est la meme que celle sur SIP // MOD RIB OK</x:v>
      </x:c>
      <x:c r="J55" s="2" t="str">
        <x:v>Sep2</x:v>
      </x:c>
      <x:c r="K55" s="2" t="n">
        <x:v>23</x:v>
      </x:c>
      <x:c r="L55" s="2" t="n">
        <x:v>8</x:v>
      </x:c>
    </x:row>
    <x:row r="56" ht="23" customHeight="1">
      <x:c r="A56" s="8" t="str">
        <x:v>1333549</x:v>
      </x:c>
      <x:c r="B56" s="7" t="n">
        <x:v>46265</x:v>
      </x:c>
      <x:c r="C56" s="7" t="n">
        <x:v>46267</x:v>
      </x:c>
      <x:c r="D56" s="7" t="n">
        <x:v>46267</x:v>
      </x:c>
      <x:c r="E56" s="2" t="str">
        <x:v>NDIAYE Seynabou</x:v>
      </x:c>
      <x:c r="F56" s="2" t="str">
        <x:v>RIB</x:v>
      </x:c>
      <x:c r="G56" s="2" t="str">
        <x:v>mail validé</x:v>
      </x:c>
      <x:c r="H56" s="2" t="str"/>
      <x:c r="I56" s="2" t="str">
        <x:v>Modif RIB ok</x:v>
      </x:c>
      <x:c r="J56" s="2" t="str">
        <x:v>Sep2</x:v>
      </x:c>
      <x:c r="K56" s="2" t="n">
        <x:v>24</x:v>
      </x:c>
      <x:c r="L56" s="2" t="n">
        <x:v>9</x:v>
      </x:c>
    </x:row>
    <x:row r="57" ht="23" customHeight="1">
      <x:c r="A57" s="8" t="str">
        <x:v>1333450</x:v>
      </x:c>
      <x:c r="B57" s="7" t="n">
        <x:v>46265</x:v>
      </x:c>
      <x:c r="C57" s="7" t="n">
        <x:v>46267</x:v>
      </x:c>
      <x:c r="D57" s="7" t="n">
        <x:v>46267</x:v>
      </x:c>
      <x:c r="E57" s="2" t="str">
        <x:v>SEMBENE Papalaty</x:v>
      </x:c>
      <x:c r="F57" s="2" t="str">
        <x:v>RIB</x:v>
      </x:c>
      <x:c r="G57" s="2" t="str">
        <x:v>mail non validé</x:v>
      </x:c>
      <x:c r="H57" s="2" t="str">
        <x:v>Q3</x:v>
      </x:c>
      <x:c r="I57" s="2" t="str">
        <x:v>AH-proposition EC ko // Demande de modif rib ok</x:v>
      </x:c>
      <x:c r="J57" s="2" t="str">
        <x:v>Sep2</x:v>
      </x:c>
      <x:c r="K57" s="2" t="n">
        <x:v>25</x:v>
      </x:c>
      <x:c r="L57" s="2" t="n">
        <x:v>13</x:v>
      </x:c>
    </x:row>
    <x:row r="58" ht="23" customHeight="1">
      <x:c r="A58" s="8" t="str">
        <x:v>1333918</x:v>
      </x:c>
      <x:c r="B58" s="7" t="n">
        <x:v>46266</x:v>
      </x:c>
      <x:c r="C58" s="7" t="n">
        <x:v>46268</x:v>
      </x:c>
      <x:c r="D58" s="7" t="n">
        <x:v>46268</x:v>
      </x:c>
      <x:c r="E58" s="2" t="str">
        <x:v>EL HASROUF Youssef</x:v>
      </x:c>
      <x:c r="F58" s="2" t="str">
        <x:v>DOM</x:v>
      </x:c>
      <x:c r="G58" s="2" t="str">
        <x:v>mail validé</x:v>
      </x:c>
      <x:c r="H58" s="2" t="str"/>
      <x:c r="I58" s="2" t="str">
        <x:v>Client au Zimbabwe (pays classé noir) il faut accepter sa dde de choix de communication telle quelle sans demande la modif adresse ou il est obligatoire de solliciter le contrôle interne pour MAJ son adresse postale ?//+DIGIT</x:v>
      </x:c>
      <x:c r="J58" s="2" t="str">
        <x:v>Sep3</x:v>
      </x:c>
      <x:c r="K58" s="2" t="n">
        <x:v>2</x:v>
      </x:c>
      <x:c r="L58" s="2" t="n">
        <x:v>2</x:v>
      </x:c>
    </x:row>
    <x:row r="59" ht="23" customHeight="1">
      <x:c r="A59" s="8" t="str">
        <x:v>1333866</x:v>
      </x:c>
      <x:c r="B59" s="7" t="n">
        <x:v>46266</x:v>
      </x:c>
      <x:c r="C59" s="7" t="n">
        <x:v>46268</x:v>
      </x:c>
      <x:c r="D59" s="7" t="n">
        <x:v>46268</x:v>
      </x:c>
      <x:c r="E59" s="2" t="str">
        <x:v>HABBOUB Karim</x:v>
      </x:c>
      <x:c r="F59" s="2" t="str">
        <x:v>DOM</x:v>
      </x:c>
      <x:c r="G59" s="2" t="str">
        <x:v>mail validé</x:v>
      </x:c>
      <x:c r="H59" s="2" t="str"/>
      <x:c r="I59" s="2" t="str">
        <x:v>modif adresse ok</x:v>
      </x:c>
      <x:c r="J59" s="2" t="str">
        <x:v>Sep3</x:v>
      </x:c>
      <x:c r="K59" s="2" t="n">
        <x:v>3</x:v>
      </x:c>
      <x:c r="L59" s="2" t="n">
        <x:v>4</x:v>
      </x:c>
    </x:row>
    <x:row r="60" ht="23" customHeight="1">
      <x:c r="A60" s="8" t="str">
        <x:v>1333829</x:v>
      </x:c>
      <x:c r="B60" s="7" t="n">
        <x:v>46266</x:v>
      </x:c>
      <x:c r="C60" s="7" t="n">
        <x:v>46268</x:v>
      </x:c>
      <x:c r="D60" s="7" t="n">
        <x:v>46268</x:v>
      </x:c>
      <x:c r="E60" s="2" t="str">
        <x:v>NDIAYE Seynabou</x:v>
      </x:c>
      <x:c r="F60" s="2" t="str">
        <x:v>DOM</x:v>
      </x:c>
      <x:c r="G60" s="2" t="str">
        <x:v>mail validé</x:v>
      </x:c>
      <x:c r="H60" s="2" t="str"/>
      <x:c r="I60" s="2" t="str">
        <x:v>modif adresse ok+attestation p</x:v>
      </x:c>
      <x:c r="J60" s="2" t="str">
        <x:v>Sep3</x:v>
      </x:c>
      <x:c r="K60" s="2" t="n">
        <x:v>4</x:v>
      </x:c>
      <x:c r="L60" s="2" t="n">
        <x:v>9</x:v>
      </x:c>
    </x:row>
    <x:row r="61" ht="23" customHeight="1">
      <x:c r="A61" s="8" t="str">
        <x:v>1333823</x:v>
      </x:c>
      <x:c r="B61" s="7" t="n">
        <x:v>46266</x:v>
      </x:c>
      <x:c r="C61" s="7" t="n">
        <x:v>46268</x:v>
      </x:c>
      <x:c r="D61" s="7" t="n">
        <x:v>46268</x:v>
      </x:c>
      <x:c r="E61" s="2" t="str">
        <x:v>NGOM Saliou</x:v>
      </x:c>
      <x:c r="F61" s="2" t="str">
        <x:v>DOM</x:v>
      </x:c>
      <x:c r="G61" s="2" t="str">
        <x:v>mail validé</x:v>
      </x:c>
      <x:c r="H61" s="2" t="str"/>
      <x:c r="I61" s="2" t="str">
        <x:v>Modif.adress ok + atteestation de P.P et flyer EC</x:v>
      </x:c>
      <x:c r="J61" s="2" t="str">
        <x:v>Sep3</x:v>
      </x:c>
      <x:c r="K61" s="2" t="n">
        <x:v>5</x:v>
      </x:c>
      <x:c r="L61" s="2" t="n">
        <x:v>10</x:v>
      </x:c>
    </x:row>
    <x:row r="62" ht="23" customHeight="1">
      <x:c r="A62" s="8" t="str">
        <x:v>1333818</x:v>
      </x:c>
      <x:c r="B62" s="7" t="n">
        <x:v>46266</x:v>
      </x:c>
      <x:c r="C62" s="7" t="n">
        <x:v>46268</x:v>
      </x:c>
      <x:c r="D62" s="7" t="n">
        <x:v>46268</x:v>
      </x:c>
      <x:c r="E62" s="2" t="str">
        <x:v>NGOM Saliou</x:v>
      </x:c>
      <x:c r="F62" s="2" t="str">
        <x:v>DOM</x:v>
      </x:c>
      <x:c r="G62" s="2" t="str">
        <x:v>mail validé</x:v>
      </x:c>
      <x:c r="H62" s="2" t="str"/>
      <x:c r="I62" s="2" t="str">
        <x:v>Modif.adress ok + attestation de P.P</x:v>
      </x:c>
      <x:c r="J62" s="2" t="str">
        <x:v>Sep3</x:v>
      </x:c>
      <x:c r="K62" s="2" t="n">
        <x:v>6</x:v>
      </x:c>
      <x:c r="L62" s="2" t="n">
        <x:v>10</x:v>
      </x:c>
    </x:row>
    <x:row r="63" ht="23" customHeight="1">
      <x:c r="A63" s="8" t="str">
        <x:v>1333815</x:v>
      </x:c>
      <x:c r="B63" s="7" t="n">
        <x:v>46266</x:v>
      </x:c>
      <x:c r="C63" s="7" t="n">
        <x:v>46268</x:v>
      </x:c>
      <x:c r="D63" s="7" t="n">
        <x:v>46268</x:v>
      </x:c>
      <x:c r="E63" s="2" t="str">
        <x:v>NGOM Saliou</x:v>
      </x:c>
      <x:c r="F63" s="2" t="str">
        <x:v>DOM</x:v>
      </x:c>
      <x:c r="G63" s="2" t="str">
        <x:v>mail validé</x:v>
      </x:c>
      <x:c r="H63" s="2" t="str"/>
      <x:c r="I63" s="2" t="str">
        <x:v>Modif.adress ok + attesttation de P.P</x:v>
      </x:c>
      <x:c r="J63" s="2" t="str">
        <x:v>Sep3</x:v>
      </x:c>
      <x:c r="K63" s="2" t="n">
        <x:v>7</x:v>
      </x:c>
      <x:c r="L63" s="2" t="n">
        <x:v>10</x:v>
      </x:c>
    </x:row>
    <x:row r="64" ht="23" customHeight="1">
      <x:c r="A64" s="8" t="str">
        <x:v>1333736</x:v>
      </x:c>
      <x:c r="B64" s="7" t="n">
        <x:v>46266</x:v>
      </x:c>
      <x:c r="C64" s="7" t="n">
        <x:v>46268</x:v>
      </x:c>
      <x:c r="D64" s="7" t="n">
        <x:v>46268</x:v>
      </x:c>
      <x:c r="E64" s="2" t="str">
        <x:v>MBARKI Imane</x:v>
      </x:c>
      <x:c r="F64" s="2" t="str">
        <x:v>DOM</x:v>
      </x:c>
      <x:c r="G64" s="2" t="str">
        <x:v>mail validé</x:v>
      </x:c>
      <x:c r="H64" s="2" t="str"/>
      <x:c r="I64" s="2" t="str">
        <x:v>Création WEB Changement d'adresse+&gt; modif adresse ok+envoie app</x:v>
      </x:c>
      <x:c r="J64" s="2" t="str">
        <x:v>Sep3</x:v>
      </x:c>
      <x:c r="K64" s="2" t="n">
        <x:v>8</x:v>
      </x:c>
      <x:c r="L64" s="2" t="n">
        <x:v>7</x:v>
      </x:c>
    </x:row>
    <x:row r="65" ht="23" customHeight="1">
      <x:c r="A65" s="8" t="str">
        <x:v>1333899</x:v>
      </x:c>
      <x:c r="B65" s="7" t="n">
        <x:v>46266</x:v>
      </x:c>
      <x:c r="C65" s="7" t="n">
        <x:v>46268</x:v>
      </x:c>
      <x:c r="D65" s="7" t="n">
        <x:v>46268</x:v>
      </x:c>
      <x:c r="E65" s="2" t="str">
        <x:v>GUESSAR Zahra</x:v>
      </x:c>
      <x:c r="F65" s="2" t="str">
        <x:v>RIB</x:v>
      </x:c>
      <x:c r="G65" s="2" t="str">
        <x:v>mail validé</x:v>
      </x:c>
      <x:c r="H65" s="2" t="str"/>
      <x:c r="I65" s="2" t="str">
        <x:v>Modif RIB OK  //  Création WEB changement RIB</x:v>
      </x:c>
      <x:c r="J65" s="2" t="str">
        <x:v>Sep3</x:v>
      </x:c>
      <x:c r="K65" s="2" t="n">
        <x:v>9</x:v>
      </x:c>
      <x:c r="L65" s="2" t="n">
        <x:v>3</x:v>
      </x:c>
    </x:row>
    <x:row r="66" ht="23" customHeight="1">
      <x:c r="A66" s="8" t="str">
        <x:v>1333884</x:v>
      </x:c>
      <x:c r="B66" s="7" t="n">
        <x:v>46266</x:v>
      </x:c>
      <x:c r="C66" s="7" t="n">
        <x:v>46268</x:v>
      </x:c>
      <x:c r="D66" s="7" t="n">
        <x:v>46268</x:v>
      </x:c>
      <x:c r="E66" s="2" t="str">
        <x:v>HABBOUB Karim</x:v>
      </x:c>
      <x:c r="F66" s="2" t="str">
        <x:v>RIB</x:v>
      </x:c>
      <x:c r="G66" s="2" t="str">
        <x:v>mail non validé</x:v>
      </x:c>
      <x:c r="H66" s="2" t="str">
        <x:v>Q3</x:v>
      </x:c>
      <x:c r="I66" s="2" t="str">
        <x:v>AH-proposition EC ko // modif rib ok</x:v>
      </x:c>
      <x:c r="J66" s="2" t="str">
        <x:v>Sep3</x:v>
      </x:c>
      <x:c r="K66" s="2" t="n">
        <x:v>10</x:v>
      </x:c>
      <x:c r="L66" s="2" t="n">
        <x:v>4</x:v>
      </x:c>
    </x:row>
    <x:row r="67" ht="23" customHeight="1">
      <x:c r="A67" s="8" t="str">
        <x:v>1333878</x:v>
      </x:c>
      <x:c r="B67" s="7" t="n">
        <x:v>46266</x:v>
      </x:c>
      <x:c r="C67" s="7" t="n">
        <x:v>46268</x:v>
      </x:c>
      <x:c r="D67" s="7" t="n">
        <x:v>46268</x:v>
      </x:c>
      <x:c r="E67" s="2" t="str">
        <x:v>HABBOUB Karim</x:v>
      </x:c>
      <x:c r="F67" s="2" t="str">
        <x:v>RIB</x:v>
      </x:c>
      <x:c r="G67" s="2" t="str">
        <x:v>mail non validé</x:v>
      </x:c>
      <x:c r="H67" s="2" t="str">
        <x:v>Q2</x:v>
      </x:c>
      <x:c r="I67" s="2" t="str">
        <x:v>AH-client moniwan pas de proposition EC !!//modif rib</x:v>
      </x:c>
      <x:c r="J67" s="2" t="str">
        <x:v>Sep3</x:v>
      </x:c>
      <x:c r="K67" s="2" t="n">
        <x:v>11</x:v>
      </x:c>
      <x:c r="L67" s="2" t="n">
        <x:v>4</x:v>
      </x:c>
    </x:row>
    <x:row r="68" ht="23" customHeight="1">
      <x:c r="A68" s="8" t="str">
        <x:v>1333798</x:v>
      </x:c>
      <x:c r="B68" s="7" t="n">
        <x:v>46266</x:v>
      </x:c>
      <x:c r="C68" s="7" t="n">
        <x:v>46268</x:v>
      </x:c>
      <x:c r="D68" s="7" t="n">
        <x:v>46268</x:v>
      </x:c>
      <x:c r="E68" s="2" t="str">
        <x:v>ZIRARI Chaimaa</x:v>
      </x:c>
      <x:c r="F68" s="2" t="str">
        <x:v>RIB</x:v>
      </x:c>
      <x:c r="G68" s="2" t="str">
        <x:v>mail non validé</x:v>
      </x:c>
      <x:c r="H68" s="2" t="str">
        <x:v>Q3</x:v>
      </x:c>
      <x:c r="I68" s="2" t="str">
        <x:v>AH-adresse present sur le RIB n'est pas la meme sur sip il faut envoyer une confirmation d'adresse//Modification des coordonner bancaires</x:v>
      </x:c>
      <x:c r="J68" s="2" t="str">
        <x:v>Sep3</x:v>
      </x:c>
      <x:c r="K68" s="2" t="n">
        <x:v>12</x:v>
      </x:c>
      <x:c r="L68" s="2" t="n">
        <x:v>14</x:v>
      </x:c>
    </x:row>
    <x:row r="69" ht="23" customHeight="1">
      <x:c r="A69" s="8" t="str">
        <x:v>1333785</x:v>
      </x:c>
      <x:c r="B69" s="7" t="n">
        <x:v>46266</x:v>
      </x:c>
      <x:c r="C69" s="7" t="n">
        <x:v>46268</x:v>
      </x:c>
      <x:c r="D69" s="7" t="n">
        <x:v>46268</x:v>
      </x:c>
      <x:c r="E69" s="2" t="str">
        <x:v>MBARKI Imane</x:v>
      </x:c>
      <x:c r="F69" s="2" t="str">
        <x:v>RIB</x:v>
      </x:c>
      <x:c r="G69" s="2" t="str">
        <x:v>mail non validé</x:v>
      </x:c>
      <x:c r="H69" s="2" t="str">
        <x:v>Q1</x:v>
      </x:c>
      <x:c r="I69" s="2" t="str">
        <x:v>AH-il faut s'adresser à madame et non monsieur // Création WEB changement RIB==&gt; rib saisie , envoie mail confirmation origine de la demande web pas de proposition pour ec a mettre en place</x:v>
      </x:c>
      <x:c r="J69" s="2" t="str">
        <x:v>Sep3</x:v>
      </x:c>
      <x:c r="K69" s="2" t="n">
        <x:v>13</x:v>
      </x:c>
      <x:c r="L69" s="2" t="n">
        <x:v>7</x:v>
      </x:c>
    </x:row>
    <x:row r="70" ht="23" customHeight="1">
      <x:c r="A70" s="8" t="str">
        <x:v>1333745</x:v>
      </x:c>
      <x:c r="B70" s="7" t="n">
        <x:v>46266</x:v>
      </x:c>
      <x:c r="C70" s="7" t="n">
        <x:v>46268</x:v>
      </x:c>
      <x:c r="D70" s="7" t="n">
        <x:v>46268</x:v>
      </x:c>
      <x:c r="E70" s="2" t="str">
        <x:v>MBARKI Imane</x:v>
      </x:c>
      <x:c r="F70" s="2" t="str">
        <x:v>RIB</x:v>
      </x:c>
      <x:c r="G70" s="2" t="str">
        <x:v>mail non validé</x:v>
      </x:c>
      <x:c r="H70" s="2" t="str">
        <x:v>Q2</x:v>
      </x:c>
      <x:c r="I70" s="2" t="str">
        <x:v>AH-pas de montant à débloquer meme sur la synthese de distribution //modification rib ok+rajout adresse @ transfert demande ec vers moniwan id war 1334244</x:v>
      </x:c>
      <x:c r="J70" s="2" t="str">
        <x:v>Sep3</x:v>
      </x:c>
      <x:c r="K70" s="2" t="n">
        <x:v>14</x:v>
      </x:c>
      <x:c r="L70" s="2" t="n">
        <x:v>7</x:v>
      </x:c>
    </x:row>
    <x:row r="71" ht="23" customHeight="1">
      <x:c r="A71" s="8" t="str">
        <x:v>1334156</x:v>
      </x:c>
      <x:c r="B71" s="7" t="n">
        <x:v>46267</x:v>
      </x:c>
      <x:c r="C71" s="7" t="n">
        <x:v>46269</x:v>
      </x:c>
      <x:c r="D71" s="7" t="n">
        <x:v>46269</x:v>
      </x:c>
      <x:c r="E71" s="2" t="str">
        <x:v>EL HASROUF Youssef</x:v>
      </x:c>
      <x:c r="F71" s="2" t="str">
        <x:v>DOM</x:v>
      </x:c>
      <x:c r="G71" s="2" t="str">
        <x:v>mail validé</x:v>
      </x:c>
      <x:c r="H71" s="2" t="str"/>
      <x:c r="I71" s="2" t="str">
        <x:v>modif adresse ok // Création WEB Changement d'adresse</x:v>
      </x:c>
      <x:c r="J71" s="2" t="str">
        <x:v>Sep4</x:v>
      </x:c>
      <x:c r="K71" s="2" t="n">
        <x:v>2</x:v>
      </x:c>
      <x:c r="L71" s="2" t="n">
        <x:v>2</x:v>
      </x:c>
    </x:row>
    <x:row r="72" ht="23" customHeight="1">
      <x:c r="A72" s="8" t="str">
        <x:v>1334107</x:v>
      </x:c>
      <x:c r="B72" s="7" t="n">
        <x:v>46267</x:v>
      </x:c>
      <x:c r="C72" s="7" t="n">
        <x:v>46269</x:v>
      </x:c>
      <x:c r="D72" s="7" t="n">
        <x:v>46269</x:v>
      </x:c>
      <x:c r="E72" s="2" t="str">
        <x:v>GUESSAR Zahra</x:v>
      </x:c>
      <x:c r="F72" s="2" t="str">
        <x:v>DOM</x:v>
      </x:c>
      <x:c r="G72" s="2" t="str">
        <x:v>mail non validé</x:v>
      </x:c>
      <x:c r="H72" s="2" t="str">
        <x:v>Q1</x:v>
      </x:c>
      <x:c r="I72" s="2" t="str">
        <x:v>AH-il faut s'adresser au partenaire / Je sollicite l'ajout du code R32YH97 en Irlande ; ai-je la possibilité de procéder à cet ajout ?</x:v>
      </x:c>
      <x:c r="J72" s="2" t="str">
        <x:v>Sep4</x:v>
      </x:c>
      <x:c r="K72" s="2" t="n">
        <x:v>3</x:v>
      </x:c>
      <x:c r="L72" s="2" t="n">
        <x:v>3</x:v>
      </x:c>
    </x:row>
    <x:row r="73" ht="23" customHeight="1">
      <x:c r="A73" s="8" t="str">
        <x:v>1334102</x:v>
      </x:c>
      <x:c r="B73" s="7" t="n">
        <x:v>46267</x:v>
      </x:c>
      <x:c r="C73" s="7" t="n">
        <x:v>46269</x:v>
      </x:c>
      <x:c r="D73" s="7" t="n">
        <x:v>46269</x:v>
      </x:c>
      <x:c r="E73" s="2" t="str">
        <x:v>GUESSAR Zahra</x:v>
      </x:c>
      <x:c r="F73" s="2" t="str">
        <x:v>DOM</x:v>
      </x:c>
      <x:c r="G73" s="2" t="str">
        <x:v>mail non validé</x:v>
      </x:c>
      <x:c r="H73" s="2" t="str">
        <x:v>Q3</x:v>
      </x:c>
      <x:c r="I73" s="2" t="str">
        <x:v>AH-proposition EC ko // Modif adresse OK </x:v>
      </x:c>
      <x:c r="J73" s="2" t="str">
        <x:v>Sep4</x:v>
      </x:c>
      <x:c r="K73" s="2" t="n">
        <x:v>4</x:v>
      </x:c>
      <x:c r="L73" s="2" t="n">
        <x:v>3</x:v>
      </x:c>
    </x:row>
    <x:row r="74" ht="23" customHeight="1">
      <x:c r="A74" s="8" t="str">
        <x:v>1334093</x:v>
      </x:c>
      <x:c r="B74" s="7" t="n">
        <x:v>46267</x:v>
      </x:c>
      <x:c r="C74" s="7" t="n">
        <x:v>46269</x:v>
      </x:c>
      <x:c r="D74" s="7" t="n">
        <x:v>46269</x:v>
      </x:c>
      <x:c r="E74" s="2" t="str">
        <x:v>HABBOUB Karim</x:v>
      </x:c>
      <x:c r="F74" s="2" t="str">
        <x:v>DOM</x:v>
      </x:c>
      <x:c r="G74" s="2" t="str">
        <x:v>mail validé</x:v>
      </x:c>
      <x:c r="H74" s="2" t="str"/>
      <x:c r="I74" s="2" t="str">
        <x:v>modif adresse ok</x:v>
      </x:c>
      <x:c r="J74" s="2" t="str">
        <x:v>Sep4</x:v>
      </x:c>
      <x:c r="K74" s="2" t="n">
        <x:v>5</x:v>
      </x:c>
      <x:c r="L74" s="2" t="n">
        <x:v>4</x:v>
      </x:c>
    </x:row>
    <x:row r="75" ht="23" customHeight="1">
      <x:c r="A75" s="8" t="str">
        <x:v>1334088</x:v>
      </x:c>
      <x:c r="B75" s="7" t="n">
        <x:v>46267</x:v>
      </x:c>
      <x:c r="C75" s="7" t="n">
        <x:v>46269</x:v>
      </x:c>
      <x:c r="D75" s="7" t="n">
        <x:v>46269</x:v>
      </x:c>
      <x:c r="E75" s="2" t="str">
        <x:v>HABBOUB Karim</x:v>
      </x:c>
      <x:c r="F75" s="2" t="str">
        <x:v>DOM</x:v>
      </x:c>
      <x:c r="G75" s="2" t="str">
        <x:v>mail non validé</x:v>
      </x:c>
      <x:c r="H75" s="2" t="str">
        <x:v>Q3</x:v>
      </x:c>
      <x:c r="I75" s="2" t="str">
        <x:v>AH-proposition EC komodif adresse ok</x:v>
      </x:c>
      <x:c r="J75" s="2" t="str">
        <x:v>Sep4</x:v>
      </x:c>
      <x:c r="K75" s="2" t="n">
        <x:v>6</x:v>
      </x:c>
      <x:c r="L75" s="2" t="n">
        <x:v>4</x:v>
      </x:c>
    </x:row>
    <x:row r="76" ht="23" customHeight="1">
      <x:c r="A76" s="8" t="str">
        <x:v>1334083</x:v>
      </x:c>
      <x:c r="B76" s="7" t="n">
        <x:v>46267</x:v>
      </x:c>
      <x:c r="C76" s="7" t="n">
        <x:v>46269</x:v>
      </x:c>
      <x:c r="D76" s="7" t="n">
        <x:v>46269</x:v>
      </x:c>
      <x:c r="E76" s="2" t="str">
        <x:v>NDIAYE Seynabou</x:v>
      </x:c>
      <x:c r="F76" s="2" t="str">
        <x:v>DOM</x:v>
      </x:c>
      <x:c r="G76" s="2" t="str">
        <x:v>mail validé</x:v>
      </x:c>
      <x:c r="H76" s="2" t="str"/>
      <x:c r="I76" s="2" t="str">
        <x:v>modif adresse ok+attestation pp</x:v>
      </x:c>
      <x:c r="J76" s="2" t="str">
        <x:v>Sep4</x:v>
      </x:c>
      <x:c r="K76" s="2" t="n">
        <x:v>7</x:v>
      </x:c>
      <x:c r="L76" s="2" t="n">
        <x:v>9</x:v>
      </x:c>
    </x:row>
    <x:row r="77" ht="23" customHeight="1">
      <x:c r="A77" s="8" t="str">
        <x:v>1334069</x:v>
      </x:c>
      <x:c r="B77" s="7" t="n">
        <x:v>46267</x:v>
      </x:c>
      <x:c r="C77" s="7" t="n">
        <x:v>46269</x:v>
      </x:c>
      <x:c r="D77" s="7" t="n">
        <x:v>46269</x:v>
      </x:c>
      <x:c r="E77" s="2" t="str">
        <x:v>NDIAYE Seynabou</x:v>
      </x:c>
      <x:c r="F77" s="2" t="str">
        <x:v>DOM</x:v>
      </x:c>
      <x:c r="G77" s="2" t="str">
        <x:v>mail non validé</x:v>
      </x:c>
      <x:c r="H77" s="2" t="str">
        <x:v>Q3</x:v>
      </x:c>
      <x:c r="I77" s="2" t="str">
        <x:v>AH-proposition EC KO // Modif adresse ok+attestation pp</x:v>
      </x:c>
      <x:c r="J77" s="2" t="str">
        <x:v>Sep4</x:v>
      </x:c>
      <x:c r="K77" s="2" t="n">
        <x:v>8</x:v>
      </x:c>
      <x:c r="L77" s="2" t="n">
        <x:v>9</x:v>
      </x:c>
    </x:row>
    <x:row r="78" ht="23" customHeight="1">
      <x:c r="A78" s="8" t="str">
        <x:v>1334062</x:v>
      </x:c>
      <x:c r="B78" s="7" t="n">
        <x:v>46267</x:v>
      </x:c>
      <x:c r="C78" s="7" t="n">
        <x:v>46269</x:v>
      </x:c>
      <x:c r="D78" s="7" t="n">
        <x:v>46269</x:v>
      </x:c>
      <x:c r="E78" s="2" t="str">
        <x:v>NGOM Saliou</x:v>
      </x:c>
      <x:c r="F78" s="2" t="str">
        <x:v>DOM</x:v>
      </x:c>
      <x:c r="G78" s="2" t="str">
        <x:v>mail validé</x:v>
      </x:c>
      <x:c r="H78" s="2" t="str"/>
      <x:c r="I78" s="2" t="str">
        <x:v>Modif.adress ok + Attestation de P.P</x:v>
      </x:c>
      <x:c r="J78" s="2" t="str">
        <x:v>Sep4</x:v>
      </x:c>
      <x:c r="K78" s="2" t="n">
        <x:v>9</x:v>
      </x:c>
      <x:c r="L78" s="2" t="n">
        <x:v>10</x:v>
      </x:c>
    </x:row>
    <x:row r="79" ht="23" customHeight="1">
      <x:c r="A79" s="8" t="str">
        <x:v>1334003</x:v>
      </x:c>
      <x:c r="B79" s="7" t="n">
        <x:v>46267</x:v>
      </x:c>
      <x:c r="C79" s="7" t="n">
        <x:v>46269</x:v>
      </x:c>
      <x:c r="D79" s="7" t="n">
        <x:v>46269</x:v>
      </x:c>
      <x:c r="E79" s="2" t="str">
        <x:v>SEMBENE Papalaty</x:v>
      </x:c>
      <x:c r="F79" s="2" t="str">
        <x:v>DOM</x:v>
      </x:c>
      <x:c r="G79" s="2" t="str">
        <x:v>mail non validé</x:v>
      </x:c>
      <x:c r="H79" s="2" t="str">
        <x:v>Q3</x:v>
      </x:c>
      <x:c r="I79" s="2" t="str">
        <x:v>AH-proposition EC ko //Ajout par batch pour Docupost//Demande modif adresse ok </x:v>
      </x:c>
      <x:c r="J79" s="2" t="str">
        <x:v>Sep4</x:v>
      </x:c>
      <x:c r="K79" s="2" t="n">
        <x:v>10</x:v>
      </x:c>
      <x:c r="L79" s="2" t="n">
        <x:v>13</x:v>
      </x:c>
    </x:row>
    <x:row r="80" ht="23" customHeight="1">
      <x:c r="A80" s="8" t="str">
        <x:v>1333995</x:v>
      </x:c>
      <x:c r="B80" s="7" t="n">
        <x:v>46267</x:v>
      </x:c>
      <x:c r="C80" s="7" t="n">
        <x:v>46269</x:v>
      </x:c>
      <x:c r="D80" s="7" t="n">
        <x:v>46269</x:v>
      </x:c>
      <x:c r="E80" s="2" t="str">
        <x:v>MBARKI Imane</x:v>
      </x:c>
      <x:c r="F80" s="2" t="str">
        <x:v>DOM</x:v>
      </x:c>
      <x:c r="G80" s="2" t="str">
        <x:v>mail validé</x:v>
      </x:c>
      <x:c r="H80" s="2" t="str"/>
      <x:c r="I80" s="2" t="str">
        <x:v>dde modif dom ok+envoie app+mis en avant espace client </x:v>
      </x:c>
      <x:c r="J80" s="2" t="str">
        <x:v>Sep4</x:v>
      </x:c>
      <x:c r="K80" s="2" t="n">
        <x:v>11</x:v>
      </x:c>
      <x:c r="L80" s="2" t="n">
        <x:v>7</x:v>
      </x:c>
    </x:row>
    <x:row r="81" ht="23" customHeight="1">
      <x:c r="A81" s="8" t="str">
        <x:v>1333992</x:v>
      </x:c>
      <x:c r="B81" s="7" t="n">
        <x:v>46267</x:v>
      </x:c>
      <x:c r="C81" s="7" t="n">
        <x:v>46269</x:v>
      </x:c>
      <x:c r="D81" s="7" t="n">
        <x:v>46269</x:v>
      </x:c>
      <x:c r="E81" s="2" t="str">
        <x:v>MBARKI Imane</x:v>
      </x:c>
      <x:c r="F81" s="2" t="str">
        <x:v>DOM</x:v>
      </x:c>
      <x:c r="G81" s="2" t="str">
        <x:v>mail validé</x:v>
      </x:c>
      <x:c r="H81" s="2" t="str"/>
      <x:c r="I81" s="2" t="str">
        <x:v>dde modif adresse pour 3 compte indivision A02PCG /2 indivisaire A042TN et A024TM  justificatifs reçu non conforme avec le statut du compte , j'ai presenter nos excuses pour l'infos communqiuer et faite une demande pour avoir les documents on regles </x:v>
      </x:c>
      <x:c r="J81" s="2" t="str">
        <x:v>Sep4</x:v>
      </x:c>
      <x:c r="K81" s="2" t="n">
        <x:v>12</x:v>
      </x:c>
      <x:c r="L81" s="2" t="n">
        <x:v>7</x:v>
      </x:c>
    </x:row>
    <x:row r="82" ht="23" customHeight="1">
      <x:c r="A82" s="8" t="str">
        <x:v>1333976</x:v>
      </x:c>
      <x:c r="B82" s="7" t="n">
        <x:v>46267</x:v>
      </x:c>
      <x:c r="C82" s="7" t="n">
        <x:v>46269</x:v>
      </x:c>
      <x:c r="D82" s="7" t="n">
        <x:v>46269</x:v>
      </x:c>
      <x:c r="E82" s="2" t="str">
        <x:v>MBARKI Imane</x:v>
      </x:c>
      <x:c r="F82" s="2" t="str">
        <x:v>DOM</x:v>
      </x:c>
      <x:c r="G82" s="2" t="str">
        <x:v>mail validé</x:v>
      </x:c>
      <x:c r="H82" s="2" t="str"/>
      <x:c r="I82" s="2" t="str">
        <x:v>MODIF ADRESSE POSTAL PEC+ENVOIE APP+MIS EN AVANT DE L'ESPACE CLIENT</x:v>
      </x:c>
      <x:c r="J82" s="2" t="str">
        <x:v>Sep4</x:v>
      </x:c>
      <x:c r="K82" s="2" t="n">
        <x:v>13</x:v>
      </x:c>
      <x:c r="L82" s="2" t="n">
        <x:v>7</x:v>
      </x:c>
    </x:row>
    <x:row r="83" ht="23" customHeight="1">
      <x:c r="A83" s="8" t="str">
        <x:v>1333965</x:v>
      </x:c>
      <x:c r="B83" s="7" t="n">
        <x:v>46267</x:v>
      </x:c>
      <x:c r="C83" s="7" t="n">
        <x:v>46269</x:v>
      </x:c>
      <x:c r="D83" s="7" t="n">
        <x:v>46269</x:v>
      </x:c>
      <x:c r="E83" s="2" t="str">
        <x:v>ZIRARI Chaimaa</x:v>
      </x:c>
      <x:c r="F83" s="2" t="str">
        <x:v>DOM</x:v>
      </x:c>
      <x:c r="G83" s="2" t="str">
        <x:v>mail validé</x:v>
      </x:c>
      <x:c r="H83" s="2" t="str"/>
      <x:c r="I83" s="2" t="str">
        <x:v>Modif adresse postale/Création WEB Changement d'adresse</x:v>
      </x:c>
      <x:c r="J83" s="2" t="str">
        <x:v>Sep4</x:v>
      </x:c>
      <x:c r="K83" s="2" t="n">
        <x:v>14</x:v>
      </x:c>
      <x:c r="L83" s="2" t="n">
        <x:v>14</x:v>
      </x:c>
    </x:row>
    <x:row r="84" ht="23" customHeight="1">
      <x:c r="A84" s="8" t="str">
        <x:v>1333959</x:v>
      </x:c>
      <x:c r="B84" s="7" t="n">
        <x:v>46267</x:v>
      </x:c>
      <x:c r="C84" s="7" t="n">
        <x:v>46269</x:v>
      </x:c>
      <x:c r="D84" s="7" t="n">
        <x:v>46269</x:v>
      </x:c>
      <x:c r="E84" s="2" t="str">
        <x:v>ZIRARI Chaimaa</x:v>
      </x:c>
      <x:c r="F84" s="2" t="str">
        <x:v>DOM</x:v>
      </x:c>
      <x:c r="G84" s="2" t="str">
        <x:v>mail validé</x:v>
      </x:c>
      <x:c r="H84" s="2" t="str"/>
      <x:c r="I84" s="2" t="str">
        <x:v>Confirmation de changement d'adresse//Création WEB Changement d'adresse</x:v>
      </x:c>
      <x:c r="J84" s="2" t="str">
        <x:v>Sep4</x:v>
      </x:c>
      <x:c r="K84" s="2" t="n">
        <x:v>15</x:v>
      </x:c>
      <x:c r="L84" s="2" t="n">
        <x:v>14</x:v>
      </x:c>
    </x:row>
    <x:row r="85" ht="23" customHeight="1">
      <x:c r="A85" s="8" t="str">
        <x:v>1334010</x:v>
      </x:c>
      <x:c r="B85" s="7" t="n">
        <x:v>46267</x:v>
      </x:c>
      <x:c r="C85" s="7" t="n">
        <x:v>46269</x:v>
      </x:c>
      <x:c r="D85" s="7" t="n">
        <x:v>46269</x:v>
      </x:c>
      <x:c r="E85" s="2" t="str">
        <x:v>SEMBENE Papalaty</x:v>
      </x:c>
      <x:c r="F85" s="2" t="str">
        <x:v>FISCA</x:v>
      </x:c>
      <x:c r="G85" s="2" t="str">
        <x:v>mail validé</x:v>
      </x:c>
      <x:c r="H85" s="2" t="str"/>
      <x:c r="I85" s="2" t="str">
        <x:v>Explication du fait que l'associé a déclaré plus qu'il n'a reçu.</x:v>
      </x:c>
      <x:c r="J85" s="2" t="str">
        <x:v>Sep4</x:v>
      </x:c>
      <x:c r="K85" s="2" t="n">
        <x:v>16</x:v>
      </x:c>
      <x:c r="L85" s="2" t="n">
        <x:v>13</x:v>
      </x:c>
    </x:row>
    <x:row r="86" ht="23" customHeight="1">
      <x:c r="A86" s="8" t="str">
        <x:v>1334590</x:v>
      </x:c>
      <x:c r="B86" s="7" t="n">
        <x:v>46269</x:v>
      </x:c>
      <x:c r="C86" s="7" t="n">
        <x:v>46269</x:v>
      </x:c>
      <x:c r="D86" s="7" t="n">
        <x:v>46269</x:v>
      </x:c>
      <x:c r="E86" s="2" t="str">
        <x:v>SEMBENE Papalaty</x:v>
      </x:c>
      <x:c r="F86" s="2" t="str">
        <x:v>NANT</x:v>
      </x:c>
      <x:c r="G86" s="2" t="str">
        <x:v>mail validé</x:v>
      </x:c>
      <x:c r="H86" s="2" t="str"/>
      <x:c r="I86" s="2" t="str">
        <x:v>Information de la mainlevee a l’associé + l’attestation de propriété</x:v>
      </x:c>
      <x:c r="J86" s="2" t="str">
        <x:v>Sep4</x:v>
      </x:c>
      <x:c r="K86" s="2" t="n">
        <x:v>17</x:v>
      </x:c>
      <x:c r="L86" s="2" t="n">
        <x:v>13</x:v>
      </x:c>
    </x:row>
    <x:row r="87" ht="23" customHeight="1">
      <x:c r="A87" s="8" t="str">
        <x:v>1334514</x:v>
      </x:c>
      <x:c r="B87" s="7" t="n">
        <x:v>46269</x:v>
      </x:c>
      <x:c r="C87" s="7" t="n">
        <x:v>46269</x:v>
      </x:c>
      <x:c r="D87" s="7" t="n">
        <x:v>46269</x:v>
      </x:c>
      <x:c r="E87" s="2" t="str">
        <x:v>SANE Mohamed lamine</x:v>
      </x:c>
      <x:c r="F87" s="2" t="str">
        <x:v>NANT</x:v>
      </x:c>
      <x:c r="G87" s="2" t="str">
        <x:v>mail validé</x:v>
      </x:c>
      <x:c r="H87" s="2" t="str"/>
      <x:c r="I87" s="2" t="str">
        <x:v>CONFIRMATION D'ENREGISTRMENT DE NANTISSEMENT </x:v>
      </x:c>
      <x:c r="J87" s="2" t="str">
        <x:v>Sep4</x:v>
      </x:c>
      <x:c r="K87" s="2" t="n">
        <x:v>18</x:v>
      </x:c>
      <x:c r="L87" s="2" t="n">
        <x:v>12</x:v>
      </x:c>
    </x:row>
    <x:row r="88" ht="23" customHeight="1">
      <x:c r="A88" s="8" t="str">
        <x:v>1334014</x:v>
      </x:c>
      <x:c r="B88" s="7" t="n">
        <x:v>46267</x:v>
      </x:c>
      <x:c r="C88" s="7" t="n">
        <x:v>46269</x:v>
      </x:c>
      <x:c r="D88" s="7" t="n">
        <x:v>46269</x:v>
      </x:c>
      <x:c r="E88" s="2" t="str">
        <x:v>SEMBENE Papalaty</x:v>
      </x:c>
      <x:c r="F88" s="2" t="str">
        <x:v>NANT</x:v>
      </x:c>
      <x:c r="G88" s="2" t="str">
        <x:v>mail validé</x:v>
      </x:c>
      <x:c r="H88" s="2" t="str"/>
      <x:c r="I88" s="2" t="str">
        <x:v>Confirmation de l'enregistrement de la mainlevee a la banque</x:v>
      </x:c>
      <x:c r="J88" s="2" t="str">
        <x:v>Sep4</x:v>
      </x:c>
      <x:c r="K88" s="2" t="n">
        <x:v>19</x:v>
      </x:c>
      <x:c r="L88" s="2" t="n">
        <x:v>13</x:v>
      </x:c>
    </x:row>
    <x:row r="89" ht="23" customHeight="1">
      <x:c r="A89" s="8" t="str">
        <x:v>1334541</x:v>
      </x:c>
      <x:c r="B89" s="7" t="n">
        <x:v>46269</x:v>
      </x:c>
      <x:c r="C89" s="7" t="n">
        <x:v>46269</x:v>
      </x:c>
      <x:c r="D89" s="7" t="n">
        <x:v>46269</x:v>
      </x:c>
      <x:c r="E89" s="2" t="str">
        <x:v>GUESSAR Zahra</x:v>
      </x:c>
      <x:c r="F89" s="2" t="str">
        <x:v>RIB</x:v>
      </x:c>
      <x:c r="G89" s="2" t="str">
        <x:v>mail validé</x:v>
      </x:c>
      <x:c r="H89" s="2" t="str"/>
      <x:c r="I89" s="2" t="str">
        <x:v>dde déblocage de 631,18 € et ajout de RIB suite à un appel.</x:v>
      </x:c>
      <x:c r="J89" s="2" t="str">
        <x:v>Sep4</x:v>
      </x:c>
      <x:c r="K89" s="2" t="n">
        <x:v>20</x:v>
      </x:c>
      <x:c r="L89" s="2" t="n">
        <x:v>3</x:v>
      </x:c>
    </x:row>
    <x:row r="90" ht="23" customHeight="1">
      <x:c r="A90" s="8" t="str">
        <x:v>1334157</x:v>
      </x:c>
      <x:c r="B90" s="7" t="n">
        <x:v>46267</x:v>
      </x:c>
      <x:c r="C90" s="7" t="n">
        <x:v>46269</x:v>
      </x:c>
      <x:c r="D90" s="7" t="n">
        <x:v>46269</x:v>
      </x:c>
      <x:c r="E90" s="2" t="str">
        <x:v>EL HASROUF Youssef</x:v>
      </x:c>
      <x:c r="F90" s="2" t="str">
        <x:v>RIB</x:v>
      </x:c>
      <x:c r="G90" s="2" t="str">
        <x:v>mail validé</x:v>
      </x:c>
      <x:c r="H90" s="2" t="str"/>
      <x:c r="I90" s="2" t="str">
        <x:v>modif rib ok // Création WEB changement RIB</x:v>
      </x:c>
      <x:c r="J90" s="2" t="str">
        <x:v>Sep4</x:v>
      </x:c>
      <x:c r="K90" s="2" t="n">
        <x:v>21</x:v>
      </x:c>
      <x:c r="L90" s="2" t="n">
        <x:v>2</x:v>
      </x:c>
    </x:row>
    <x:row r="91" ht="23" customHeight="1">
      <x:c r="A91" s="8" t="str">
        <x:v>1334103</x:v>
      </x:c>
      <x:c r="B91" s="7" t="n">
        <x:v>46267</x:v>
      </x:c>
      <x:c r="C91" s="7" t="n">
        <x:v>46269</x:v>
      </x:c>
      <x:c r="D91" s="7" t="n">
        <x:v>46269</x:v>
      </x:c>
      <x:c r="E91" s="2" t="str">
        <x:v>GUESSAR Zahra</x:v>
      </x:c>
      <x:c r="F91" s="2" t="str">
        <x:v>RIB</x:v>
      </x:c>
      <x:c r="G91" s="2" t="str">
        <x:v>mail validé</x:v>
      </x:c>
      <x:c r="H91" s="2" t="str"/>
      <x:c r="I91" s="2" t="str">
        <x:v>Ajout de RIB + envoi de coupon de choix pour accès extranet</x:v>
      </x:c>
      <x:c r="J91" s="2" t="str">
        <x:v>Sep4</x:v>
      </x:c>
      <x:c r="K91" s="2" t="n">
        <x:v>22</x:v>
      </x:c>
      <x:c r="L91" s="2" t="n">
        <x:v>3</x:v>
      </x:c>
    </x:row>
    <x:row r="92" ht="23" customHeight="1">
      <x:c r="A92" s="8" t="str">
        <x:v>1334094</x:v>
      </x:c>
      <x:c r="B92" s="7" t="n">
        <x:v>46267</x:v>
      </x:c>
      <x:c r="C92" s="7" t="n">
        <x:v>46269</x:v>
      </x:c>
      <x:c r="D92" s="7" t="n">
        <x:v>46269</x:v>
      </x:c>
      <x:c r="E92" s="2" t="str">
        <x:v>HABBOUB Karim</x:v>
      </x:c>
      <x:c r="F92" s="2" t="str">
        <x:v>RIB</x:v>
      </x:c>
      <x:c r="G92" s="2" t="str">
        <x:v>mail validé</x:v>
      </x:c>
      <x:c r="H92" s="2" t="str"/>
      <x:c r="I92" s="2" t="str">
        <x:v>mod adresse et rib ok</x:v>
      </x:c>
      <x:c r="J92" s="2" t="str">
        <x:v>Sep4</x:v>
      </x:c>
      <x:c r="K92" s="2" t="n">
        <x:v>23</x:v>
      </x:c>
      <x:c r="L92" s="2" t="n">
        <x:v>4</x:v>
      </x:c>
    </x:row>
    <x:row r="93" ht="23" customHeight="1">
      <x:c r="A93" s="8" t="str">
        <x:v>1334092</x:v>
      </x:c>
      <x:c r="B93" s="7" t="n">
        <x:v>46267</x:v>
      </x:c>
      <x:c r="C93" s="7" t="n">
        <x:v>46269</x:v>
      </x:c>
      <x:c r="D93" s="7" t="n">
        <x:v>46269</x:v>
      </x:c>
      <x:c r="E93" s="2" t="str">
        <x:v>HABBOUB Karim</x:v>
      </x:c>
      <x:c r="F93" s="2" t="str">
        <x:v>RIB</x:v>
      </x:c>
      <x:c r="G93" s="2" t="str">
        <x:v>mail validé</x:v>
      </x:c>
      <x:c r="H93" s="2" t="str"/>
      <x:c r="I93" s="2" t="str">
        <x:v>modif rib ok</x:v>
      </x:c>
      <x:c r="J93" s="2" t="str">
        <x:v>Sep4</x:v>
      </x:c>
      <x:c r="K93" s="2" t="n">
        <x:v>24</x:v>
      </x:c>
      <x:c r="L93" s="2" t="n">
        <x:v>4</x:v>
      </x:c>
    </x:row>
    <x:row r="94" ht="23" customHeight="1">
      <x:c r="A94" s="8" t="str">
        <x:v>1334085</x:v>
      </x:c>
      <x:c r="B94" s="7" t="n">
        <x:v>46267</x:v>
      </x:c>
      <x:c r="C94" s="7" t="n">
        <x:v>46269</x:v>
      </x:c>
      <x:c r="D94" s="7" t="n">
        <x:v>46269</x:v>
      </x:c>
      <x:c r="E94" s="2" t="str">
        <x:v>HABBOUB Karim</x:v>
      </x:c>
      <x:c r="F94" s="2" t="str">
        <x:v>RIB</x:v>
      </x:c>
      <x:c r="G94" s="2" t="str">
        <x:v>mail non validé</x:v>
      </x:c>
      <x:c r="H94" s="2" t="str">
        <x:v>Q1</x:v>
      </x:c>
      <x:c r="I94" s="2" t="str">
        <x:v>AH-il faut envoyer la rep à cette adresse dom.mathiou@gmail.com //modif rib ok + deblocage 217,92 € et 30.78 € </x:v>
      </x:c>
      <x:c r="J94" s="2" t="str">
        <x:v>Sep4</x:v>
      </x:c>
      <x:c r="K94" s="2" t="n">
        <x:v>25</x:v>
      </x:c>
      <x:c r="L94" s="2" t="n">
        <x:v>4</x:v>
      </x:c>
    </x:row>
    <x:row r="95" ht="23" customHeight="1">
      <x:c r="A95" s="8" t="str">
        <x:v>1334082</x:v>
      </x:c>
      <x:c r="B95" s="7" t="n">
        <x:v>46267</x:v>
      </x:c>
      <x:c r="C95" s="7" t="n">
        <x:v>46269</x:v>
      </x:c>
      <x:c r="D95" s="7" t="n">
        <x:v>46269</x:v>
      </x:c>
      <x:c r="E95" s="2" t="str">
        <x:v>NDIAYE Seynabou</x:v>
      </x:c>
      <x:c r="F95" s="2" t="str">
        <x:v>RIB</x:v>
      </x:c>
      <x:c r="G95" s="2" t="str">
        <x:v>mail validé</x:v>
      </x:c>
      <x:c r="H95" s="2" t="str"/>
      <x:c r="I95" s="2" t="str">
        <x:v>Modif RIB ok</x:v>
      </x:c>
      <x:c r="J95" s="2" t="str">
        <x:v>Sep4</x:v>
      </x:c>
      <x:c r="K95" s="2" t="n">
        <x:v>26</x:v>
      </x:c>
      <x:c r="L95" s="2" t="n">
        <x:v>9</x:v>
      </x:c>
    </x:row>
    <x:row r="96" ht="23" customHeight="1">
      <x:c r="A96" s="8" t="str">
        <x:v>1334068</x:v>
      </x:c>
      <x:c r="B96" s="7" t="n">
        <x:v>46267</x:v>
      </x:c>
      <x:c r="C96" s="7" t="n">
        <x:v>46269</x:v>
      </x:c>
      <x:c r="D96" s="7" t="n">
        <x:v>46269</x:v>
      </x:c>
      <x:c r="E96" s="2" t="str">
        <x:v>NDIAYE Seynabou</x:v>
      </x:c>
      <x:c r="F96" s="2" t="str">
        <x:v>RIB</x:v>
      </x:c>
      <x:c r="G96" s="2" t="str">
        <x:v>mail non validé</x:v>
      </x:c>
      <x:c r="H96" s="2" t="str">
        <x:v>Q3</x:v>
      </x:c>
      <x:c r="I96" s="2" t="str">
        <x:v>AH-proposition EC ko // Rib deja enregistré /mail confirmation</x:v>
      </x:c>
      <x:c r="J96" s="2" t="str">
        <x:v>Sep4</x:v>
      </x:c>
      <x:c r="K96" s="2" t="n">
        <x:v>27</x:v>
      </x:c>
      <x:c r="L96" s="2" t="n">
        <x:v>9</x:v>
      </x:c>
    </x:row>
    <x:row r="97" ht="23" customHeight="1">
      <x:c r="A97" s="8" t="str">
        <x:v>1334067</x:v>
      </x:c>
      <x:c r="B97" s="7" t="n">
        <x:v>46267</x:v>
      </x:c>
      <x:c r="C97" s="7" t="n">
        <x:v>46269</x:v>
      </x:c>
      <x:c r="D97" s="7" t="n">
        <x:v>46269</x:v>
      </x:c>
      <x:c r="E97" s="2" t="str">
        <x:v>NGOM Saliou</x:v>
      </x:c>
      <x:c r="F97" s="2" t="str">
        <x:v>RIB</x:v>
      </x:c>
      <x:c r="G97" s="2" t="str">
        <x:v>mail non validé</x:v>
      </x:c>
      <x:c r="H97" s="2" t="str">
        <x:v>Q3</x:v>
      </x:c>
      <x:c r="I97" s="2" t="str">
        <x:v>AH-proposition EC ko//Confirmation du RIB </x:v>
      </x:c>
      <x:c r="J97" s="2" t="str">
        <x:v>Sep4</x:v>
      </x:c>
      <x:c r="K97" s="2" t="n">
        <x:v>28</x:v>
      </x:c>
      <x:c r="L97" s="2" t="n">
        <x:v>10</x:v>
      </x:c>
    </x:row>
    <x:row r="98" ht="23" customHeight="1">
      <x:c r="A98" s="8" t="str">
        <x:v>1334030</x:v>
      </x:c>
      <x:c r="B98" s="7" t="n">
        <x:v>46267</x:v>
      </x:c>
      <x:c r="C98" s="7" t="n">
        <x:v>46269</x:v>
      </x:c>
      <x:c r="D98" s="7" t="n">
        <x:v>46269</x:v>
      </x:c>
      <x:c r="E98" s="2" t="str">
        <x:v>NGOM Saliou</x:v>
      </x:c>
      <x:c r="F98" s="2" t="str">
        <x:v>RIB</x:v>
      </x:c>
      <x:c r="G98" s="2" t="str">
        <x:v>mail non validé</x:v>
      </x:c>
      <x:c r="H98" s="2" t="str">
        <x:v>Q2</x:v>
      </x:c>
      <x:c r="I98" s="2" t="str">
        <x:v>AH-adresse present sur le RIB n'est pas la meme sur sip il faut envoyer une confirmation d'adresse // Modif RIB ok</x:v>
      </x:c>
      <x:c r="J98" s="2" t="str">
        <x:v>Sep4</x:v>
      </x:c>
      <x:c r="K98" s="2" t="n">
        <x:v>29</x:v>
      </x:c>
      <x:c r="L98" s="2" t="n">
        <x:v>10</x:v>
      </x:c>
    </x:row>
    <x:row r="99" ht="23" customHeight="1">
      <x:c r="A99" s="8" t="str">
        <x:v>1334344</x:v>
      </x:c>
      <x:c r="B99" s="7" t="n">
        <x:v>46268</x:v>
      </x:c>
      <x:c r="C99" s="7" t="n">
        <x:v>46272</x:v>
      </x:c>
      <x:c r="D99" s="7" t="n">
        <x:v>46272</x:v>
      </x:c>
      <x:c r="E99" s="2" t="str">
        <x:v>NGOM Saliou</x:v>
      </x:c>
      <x:c r="F99" s="2" t="str">
        <x:v>RIB</x:v>
      </x:c>
      <x:c r="G99" s="2" t="str">
        <x:v>mail non validé</x:v>
      </x:c>
      <x:c r="H99" s="2" t="str">
        <x:v>Q3</x:v>
      </x:c>
      <x:c r="I99" s="2" t="str">
        <x:v>AH-probléme de redaction (espace client de l'insee??) //Modif RIB ok</x:v>
      </x:c>
      <x:c r="J99" s="2" t="str">
        <x:v>Sep7</x:v>
      </x:c>
      <x:c r="K99" s="2" t="n">
        <x:v>2</x:v>
      </x:c>
      <x:c r="L99" s="2" t="n">
        <x:v>10</x:v>
      </x:c>
    </x:row>
    <x:row r="100" ht="23" customHeight="1">
      <x:c r="A100" s="8" t="str">
        <x:v>1334359</x:v>
      </x:c>
      <x:c r="B100" s="7" t="n">
        <x:v>46268</x:v>
      </x:c>
      <x:c r="C100" s="7" t="n">
        <x:v>46272</x:v>
      </x:c>
      <x:c r="D100" s="7" t="n">
        <x:v>46272</x:v>
      </x:c>
      <x:c r="E100" s="2" t="str">
        <x:v>NGOM Saliou</x:v>
      </x:c>
      <x:c r="F100" s="2" t="str">
        <x:v>RIB</x:v>
      </x:c>
      <x:c r="G100" s="2" t="str">
        <x:v>mail validé</x:v>
      </x:c>
      <x:c r="H100" s="2" t="str"/>
      <x:c r="I100" s="2" t="str">
        <x:v>Modif Adress et RIB ok // Dde de déblocage de solde 119.53 € et 543.29 € // Pas Attestation de P.P c est un dossier GFV</x:v>
      </x:c>
      <x:c r="J100" s="2" t="str">
        <x:v>Sep7</x:v>
      </x:c>
      <x:c r="K100" s="2" t="n">
        <x:v>3</x:v>
      </x:c>
      <x:c r="L100" s="2" t="n">
        <x:v>10</x:v>
      </x:c>
    </x:row>
    <x:row r="101" ht="23" customHeight="1">
      <x:c r="A101" s="8" t="str">
        <x:v>1334453</x:v>
      </x:c>
      <x:c r="B101" s="7" t="n">
        <x:v>46268</x:v>
      </x:c>
      <x:c r="C101" s="7" t="n">
        <x:v>46272</x:v>
      </x:c>
      <x:c r="D101" s="7" t="n">
        <x:v>46272</x:v>
      </x:c>
      <x:c r="E101" s="2" t="str">
        <x:v>HABBOUB Karim</x:v>
      </x:c>
      <x:c r="F101" s="2" t="str">
        <x:v>RIB</x:v>
      </x:c>
      <x:c r="G101" s="2" t="str">
        <x:v>mail validé</x:v>
      </x:c>
      <x:c r="H101" s="2" t="str"/>
      <x:c r="I101" s="2" t="str">
        <x:v>modif adresse + rib ok</x:v>
      </x:c>
      <x:c r="J101" s="2" t="str">
        <x:v>Sep7</x:v>
      </x:c>
      <x:c r="K101" s="2" t="n">
        <x:v>4</x:v>
      </x:c>
      <x:c r="L101" s="2" t="n">
        <x:v>4</x:v>
      </x:c>
    </x:row>
    <x:row r="102" ht="23" customHeight="1">
      <x:c r="A102" s="8" t="str">
        <x:v>1334455</x:v>
      </x:c>
      <x:c r="B102" s="7" t="n">
        <x:v>46268</x:v>
      </x:c>
      <x:c r="C102" s="7" t="n">
        <x:v>46272</x:v>
      </x:c>
      <x:c r="D102" s="7" t="n">
        <x:v>46272</x:v>
      </x:c>
      <x:c r="E102" s="2" t="str">
        <x:v>HABBOUB Karim</x:v>
      </x:c>
      <x:c r="F102" s="2" t="str">
        <x:v>RIB</x:v>
      </x:c>
      <x:c r="G102" s="2" t="str">
        <x:v>mail non validé</x:v>
      </x:c>
      <x:c r="H102" s="2" t="str">
        <x:v>Q3</x:v>
      </x:c>
      <x:c r="I102" s="2" t="str">
        <x:v>AH-suppression de propo EC puisque pas de part // confirmation rib et adresse + reception choix partenaire ok</x:v>
      </x:c>
      <x:c r="J102" s="2" t="str">
        <x:v>Sep7</x:v>
      </x:c>
      <x:c r="K102" s="2" t="n">
        <x:v>5</x:v>
      </x:c>
      <x:c r="L102" s="2" t="n">
        <x:v>4</x:v>
      </x:c>
    </x:row>
    <x:row r="103" ht="23" customHeight="1">
      <x:c r="A103" s="8" t="str">
        <x:v>1334485</x:v>
      </x:c>
      <x:c r="B103" s="7" t="n">
        <x:v>46268</x:v>
      </x:c>
      <x:c r="C103" s="7" t="n">
        <x:v>46272</x:v>
      </x:c>
      <x:c r="D103" s="7" t="n">
        <x:v>46272</x:v>
      </x:c>
      <x:c r="E103" s="2" t="str">
        <x:v>EL HASROUF Youssef</x:v>
      </x:c>
      <x:c r="F103" s="2" t="str">
        <x:v>RIB</x:v>
      </x:c>
      <x:c r="G103" s="2" t="str">
        <x:v>mail validé</x:v>
      </x:c>
      <x:c r="H103" s="2" t="str"/>
      <x:c r="I103" s="2" t="str">
        <x:v>modif rib ok + solde bloque 71.61 € // Création WEB changement RIB</x:v>
      </x:c>
      <x:c r="J103" s="2" t="str">
        <x:v>Sep7</x:v>
      </x:c>
      <x:c r="K103" s="2" t="n">
        <x:v>6</x:v>
      </x:c>
      <x:c r="L103" s="2" t="n">
        <x:v>2</x:v>
      </x:c>
    </x:row>
    <x:row r="104" ht="23" customHeight="1">
      <x:c r="A104" s="8" t="str">
        <x:v>1334392</x:v>
      </x:c>
      <x:c r="B104" s="7" t="n">
        <x:v>46268</x:v>
      </x:c>
      <x:c r="C104" s="7" t="n">
        <x:v>46272</x:v>
      </x:c>
      <x:c r="D104" s="7" t="n">
        <x:v>46272</x:v>
      </x:c>
      <x:c r="E104" s="2" t="str">
        <x:v>NDIAYE Seynabou</x:v>
      </x:c>
      <x:c r="F104" s="2" t="str">
        <x:v>FISCA</x:v>
      </x:c>
      <x:c r="G104" s="2" t="str">
        <x:v>à vérifier</x:v>
      </x:c>
      <x:c r="H104" s="2" t="str"/>
      <x:c r="I104" s="2" t="str">
        <x:v>reponse sur reclamation fiscalité</x:v>
      </x:c>
      <x:c r="J104" s="2" t="str">
        <x:v>Sep7</x:v>
      </x:c>
      <x:c r="K104" s="2" t="n">
        <x:v>7</x:v>
      </x:c>
      <x:c r="L104" s="2" t="n">
        <x:v>9</x:v>
      </x:c>
    </x:row>
    <x:row r="105" ht="23" customHeight="1">
      <x:c r="A105" s="8" t="str">
        <x:v>1333597</x:v>
      </x:c>
      <x:c r="B105" s="7" t="n">
        <x:v>46265</x:v>
      </x:c>
      <x:c r="C105" s="7" t="n">
        <x:v>46272</x:v>
      </x:c>
      <x:c r="D105" s="7" t="n">
        <x:v>46272</x:v>
      </x:c>
      <x:c r="E105" s="2" t="str">
        <x:v>HAMMADI Aya</x:v>
      </x:c>
      <x:c r="F105" s="2" t="str">
        <x:v>DOM</x:v>
      </x:c>
      <x:c r="G105" s="2" t="str">
        <x:v>mail validé</x:v>
      </x:c>
      <x:c r="H105" s="2" t="str"/>
      <x:c r="I105" s="2" t="str">
        <x:v>modif dom ok // elise ; j'ai traité FATCA , vs pouvez faire la modif adresse </x:v>
      </x:c>
      <x:c r="J105" s="2" t="str">
        <x:v>Sep7</x:v>
      </x:c>
      <x:c r="K105" s="2" t="n">
        <x:v>8</x:v>
      </x:c>
      <x:c r="L105" s="2" t="n">
        <x:v>5</x:v>
      </x:c>
    </x:row>
    <x:row r="106" ht="23" customHeight="1">
      <x:c r="A106" s="8" t="str">
        <x:v>1334228</x:v>
      </x:c>
      <x:c r="B106" s="7" t="n">
        <x:v>46268</x:v>
      </x:c>
      <x:c r="C106" s="7" t="n">
        <x:v>46272</x:v>
      </x:c>
      <x:c r="D106" s="7" t="n">
        <x:v>46272</x:v>
      </x:c>
      <x:c r="E106" s="2" t="str">
        <x:v>SANE Mohamed lamine</x:v>
      </x:c>
      <x:c r="F106" s="2" t="str">
        <x:v>DOM</x:v>
      </x:c>
      <x:c r="G106" s="2" t="str">
        <x:v>mail non validé</x:v>
      </x:c>
      <x:c r="H106" s="2" t="str">
        <x:v>Q3</x:v>
      </x:c>
      <x:c r="I106" s="2" t="str">
        <x:v>AH-proposition EC KO // MODIF DOM OK//ATTESTATION PPA OK //CERTIF DHEBERB OK </x:v>
      </x:c>
      <x:c r="J106" s="2" t="str">
        <x:v>Sep7</x:v>
      </x:c>
      <x:c r="K106" s="2" t="n">
        <x:v>9</x:v>
      </x:c>
      <x:c r="L106" s="2" t="n">
        <x:v>12</x:v>
      </x:c>
    </x:row>
    <x:row r="107" ht="23" customHeight="1">
      <x:c r="A107" s="8" t="str">
        <x:v>1334241</x:v>
      </x:c>
      <x:c r="B107" s="7" t="n">
        <x:v>46268</x:v>
      </x:c>
      <x:c r="C107" s="7" t="n">
        <x:v>46272</x:v>
      </x:c>
      <x:c r="D107" s="7" t="n">
        <x:v>46272</x:v>
      </x:c>
      <x:c r="E107" s="2" t="str">
        <x:v>SANE Mohamed lamine</x:v>
      </x:c>
      <x:c r="F107" s="2" t="str">
        <x:v>DOM</x:v>
      </x:c>
      <x:c r="G107" s="2" t="str">
        <x:v>mail validé</x:v>
      </x:c>
      <x:c r="H107" s="2" t="str"/>
      <x:c r="I107" s="2" t="str">
        <x:v>MODIF DOM OK// ATTESTATION PPA OK </x:v>
      </x:c>
      <x:c r="J107" s="2" t="str">
        <x:v>Sep7</x:v>
      </x:c>
      <x:c r="K107" s="2" t="n">
        <x:v>10</x:v>
      </x:c>
      <x:c r="L107" s="2" t="n">
        <x:v>12</x:v>
      </x:c>
    </x:row>
    <x:row r="108" ht="23" customHeight="1">
      <x:c r="A108" s="8" t="str">
        <x:v>1334270</x:v>
      </x:c>
      <x:c r="B108" s="7" t="n">
        <x:v>46268</x:v>
      </x:c>
      <x:c r="C108" s="7" t="n">
        <x:v>46272</x:v>
      </x:c>
      <x:c r="D108" s="7" t="n">
        <x:v>46272</x:v>
      </x:c>
      <x:c r="E108" s="2" t="str">
        <x:v>SANE Mohamed lamine</x:v>
      </x:c>
      <x:c r="F108" s="2" t="str">
        <x:v>DOM</x:v>
      </x:c>
      <x:c r="G108" s="2" t="str">
        <x:v>mail validé</x:v>
      </x:c>
      <x:c r="H108" s="2" t="str"/>
      <x:c r="I108" s="2" t="str">
        <x:v>MODIF DOM OK //ATTESTATION PPA OK// PROPOSITION EC </x:v>
      </x:c>
      <x:c r="J108" s="2" t="str">
        <x:v>Sep7</x:v>
      </x:c>
      <x:c r="K108" s="2" t="n">
        <x:v>11</x:v>
      </x:c>
      <x:c r="L108" s="2" t="n">
        <x:v>12</x:v>
      </x:c>
    </x:row>
    <x:row r="109" ht="23" customHeight="1">
      <x:c r="A109" s="8" t="str">
        <x:v>1334294</x:v>
      </x:c>
      <x:c r="B109" s="7" t="n">
        <x:v>46268</x:v>
      </x:c>
      <x:c r="C109" s="7" t="n">
        <x:v>46272</x:v>
      </x:c>
      <x:c r="D109" s="7" t="n">
        <x:v>46272</x:v>
      </x:c>
      <x:c r="E109" s="2" t="str">
        <x:v>SANE Mohamed lamine</x:v>
      </x:c>
      <x:c r="F109" s="2" t="str">
        <x:v>DOM</x:v>
      </x:c>
      <x:c r="G109" s="2" t="str">
        <x:v>mail non validé</x:v>
      </x:c>
      <x:c r="H109" s="2" t="str">
        <x:v>Q2</x:v>
      </x:c>
      <x:c r="I109" s="2" t="str">
        <x:v>AH-template ko // MODIF DOM OK //COUPON CHOIX PART </x:v>
      </x:c>
      <x:c r="J109" s="2" t="str">
        <x:v>Sep7</x:v>
      </x:c>
      <x:c r="K109" s="2" t="n">
        <x:v>12</x:v>
      </x:c>
      <x:c r="L109" s="2" t="n">
        <x:v>12</x:v>
      </x:c>
    </x:row>
    <x:row r="110" ht="23" customHeight="1">
      <x:c r="A110" s="8" t="str">
        <x:v>1334333</x:v>
      </x:c>
      <x:c r="B110" s="7" t="n">
        <x:v>46268</x:v>
      </x:c>
      <x:c r="C110" s="7" t="n">
        <x:v>46272</x:v>
      </x:c>
      <x:c r="D110" s="7" t="n">
        <x:v>46273</x:v>
      </x:c>
      <x:c r="E110" s="2" t="str">
        <x:v>OUCHENE Zakaria</x:v>
      </x:c>
      <x:c r="F110" s="2" t="str">
        <x:v>DOM</x:v>
      </x:c>
      <x:c r="G110" s="2" t="str">
        <x:v>mail validé</x:v>
      </x:c>
      <x:c r="H110" s="2" t="str"/>
      <x:c r="I110" s="2" t="str">
        <x:v>changement d'adresse sur les deux dossiers rep client ok transfert euryale ok sur la ligne war 1335083</x:v>
      </x:c>
      <x:c r="J110" s="2" t="str">
        <x:v>Sep7</x:v>
      </x:c>
      <x:c r="K110" s="2" t="n">
        <x:v>13</x:v>
      </x:c>
      <x:c r="L110" s="2" t="n">
        <x:v>11</x:v>
      </x:c>
    </x:row>
    <x:row r="111" ht="23" customHeight="1">
      <x:c r="A111" s="8" t="str">
        <x:v>1334335</x:v>
      </x:c>
      <x:c r="B111" s="7" t="n">
        <x:v>46268</x:v>
      </x:c>
      <x:c r="C111" s="7" t="n">
        <x:v>46272</x:v>
      </x:c>
      <x:c r="D111" s="7" t="n">
        <x:v>46272</x:v>
      </x:c>
      <x:c r="E111" s="2" t="str">
        <x:v>OUCHENE Zakaria</x:v>
      </x:c>
      <x:c r="F111" s="2" t="str">
        <x:v>DOM</x:v>
      </x:c>
      <x:c r="G111" s="2" t="str">
        <x:v>mail validé</x:v>
      </x:c>
      <x:c r="H111" s="2" t="str"/>
      <x:c r="I111" s="2" t="str">
        <x:v>Mod adresse postale ok</x:v>
      </x:c>
      <x:c r="J111" s="2" t="str">
        <x:v>Sep7</x:v>
      </x:c>
      <x:c r="K111" s="2" t="n">
        <x:v>14</x:v>
      </x:c>
      <x:c r="L111" s="2" t="n">
        <x:v>11</x:v>
      </x:c>
    </x:row>
    <x:row r="112" ht="23" customHeight="1">
      <x:c r="A112" s="8" t="str">
        <x:v>1334345</x:v>
      </x:c>
      <x:c r="B112" s="7" t="n">
        <x:v>46268</x:v>
      </x:c>
      <x:c r="C112" s="7" t="n">
        <x:v>46272</x:v>
      </x:c>
      <x:c r="D112" s="7" t="n">
        <x:v>46272</x:v>
      </x:c>
      <x:c r="E112" s="2" t="str">
        <x:v>NGOM Saliou</x:v>
      </x:c>
      <x:c r="F112" s="2" t="str">
        <x:v>DOM</x:v>
      </x:c>
      <x:c r="G112" s="2" t="str">
        <x:v>mail validé</x:v>
      </x:c>
      <x:c r="H112" s="2" t="str"/>
      <x:c r="I112" s="2" t="str">
        <x:v>Modif.adress ok + attestation de P.P</x:v>
      </x:c>
      <x:c r="J112" s="2" t="str">
        <x:v>Sep7</x:v>
      </x:c>
      <x:c r="K112" s="2" t="n">
        <x:v>15</x:v>
      </x:c>
      <x:c r="L112" s="2" t="n">
        <x:v>10</x:v>
      </x:c>
    </x:row>
    <x:row r="113" ht="23" customHeight="1">
      <x:c r="A113" s="8" t="str">
        <x:v>1334364</x:v>
      </x:c>
      <x:c r="B113" s="7" t="n">
        <x:v>46268</x:v>
      </x:c>
      <x:c r="C113" s="7" t="n">
        <x:v>46272</x:v>
      </x:c>
      <x:c r="D113" s="7" t="n">
        <x:v>46272</x:v>
      </x:c>
      <x:c r="E113" s="2" t="str">
        <x:v>NGOM Saliou</x:v>
      </x:c>
      <x:c r="F113" s="2" t="str">
        <x:v>DOM</x:v>
      </x:c>
      <x:c r="G113" s="2" t="str">
        <x:v>mail validé</x:v>
      </x:c>
      <x:c r="H113" s="2" t="str"/>
      <x:c r="I113" s="2" t="str">
        <x:v>Modif adress ok + attestation De P.p</x:v>
      </x:c>
      <x:c r="J113" s="2" t="str">
        <x:v>Sep7</x:v>
      </x:c>
      <x:c r="K113" s="2" t="n">
        <x:v>16</x:v>
      </x:c>
      <x:c r="L113" s="2" t="n">
        <x:v>10</x:v>
      </x:c>
    </x:row>
    <x:row r="114" ht="23" customHeight="1">
      <x:c r="A114" s="8" t="str">
        <x:v>1334417</x:v>
      </x:c>
      <x:c r="B114" s="7" t="n">
        <x:v>46268</x:v>
      </x:c>
      <x:c r="C114" s="7" t="n">
        <x:v>46272</x:v>
      </x:c>
      <x:c r="D114" s="7" t="n">
        <x:v>46272</x:v>
      </x:c>
      <x:c r="E114" s="2" t="str">
        <x:v>NDIAYE Seynabou</x:v>
      </x:c>
      <x:c r="F114" s="2" t="str">
        <x:v>DOM</x:v>
      </x:c>
      <x:c r="G114" s="2" t="str">
        <x:v>mail validé</x:v>
      </x:c>
      <x:c r="H114" s="2" t="str"/>
      <x:c r="I114" s="2" t="str">
        <x:v>en attente de justifs</x:v>
      </x:c>
      <x:c r="J114" s="2" t="str">
        <x:v>Sep7</x:v>
      </x:c>
      <x:c r="K114" s="2" t="n">
        <x:v>17</x:v>
      </x:c>
      <x:c r="L114" s="2" t="n">
        <x:v>9</x:v>
      </x:c>
    </x:row>
    <x:row r="115" ht="23" customHeight="1">
      <x:c r="A115" s="8" t="str">
        <x:v>1334418</x:v>
      </x:c>
      <x:c r="B115" s="7" t="n">
        <x:v>46268</x:v>
      </x:c>
      <x:c r="C115" s="7" t="n">
        <x:v>46272</x:v>
      </x:c>
      <x:c r="D115" s="7" t="n">
        <x:v>46272</x:v>
      </x:c>
      <x:c r="E115" s="2" t="str">
        <x:v>NDIAYE Seynabou</x:v>
      </x:c>
      <x:c r="F115" s="2" t="str">
        <x:v>DOM</x:v>
      </x:c>
      <x:c r="G115" s="2" t="str">
        <x:v>mail validé</x:v>
      </x:c>
      <x:c r="H115" s="2" t="str"/>
      <x:c r="I115" s="2" t="str">
        <x:v>modif adrsse ok</x:v>
      </x:c>
      <x:c r="J115" s="2" t="str">
        <x:v>Sep7</x:v>
      </x:c>
      <x:c r="K115" s="2" t="n">
        <x:v>18</x:v>
      </x:c>
      <x:c r="L115" s="2" t="n">
        <x:v>9</x:v>
      </x:c>
    </x:row>
    <x:row r="116" ht="23" customHeight="1">
      <x:c r="A116" s="8" t="str">
        <x:v>1334456</x:v>
      </x:c>
      <x:c r="B116" s="7" t="n">
        <x:v>46268</x:v>
      </x:c>
      <x:c r="C116" s="7" t="n">
        <x:v>46272</x:v>
      </x:c>
      <x:c r="D116" s="7" t="n">
        <x:v>46272</x:v>
      </x:c>
      <x:c r="E116" s="2" t="str">
        <x:v>EL HASROUF Youssef</x:v>
      </x:c>
      <x:c r="F116" s="2" t="str">
        <x:v>DOM</x:v>
      </x:c>
      <x:c r="G116" s="2" t="str">
        <x:v>mail non validé</x:v>
      </x:c>
      <x:c r="H116" s="2" t="str">
        <x:v>Q2</x:v>
      </x:c>
      <x:c r="I116" s="2" t="str">
        <x:v>AH-proposition EC KO + pas d'envoi de coupon //Modif adresse postale ok </x:v>
      </x:c>
      <x:c r="J116" s="2" t="str">
        <x:v>Sep7</x:v>
      </x:c>
      <x:c r="K116" s="2" t="n">
        <x:v>19</x:v>
      </x:c>
      <x:c r="L116" s="2" t="n">
        <x:v>2</x:v>
      </x:c>
    </x:row>
    <x:row r="117" ht="23" customHeight="1">
      <x:c r="A117" s="8" t="str">
        <x:v>1335275</x:v>
      </x:c>
      <x:c r="B117" s="7" t="n">
        <x:v>46273</x:v>
      </x:c>
      <x:c r="C117" s="7" t="n">
        <x:v>46273</x:v>
      </x:c>
      <x:c r="D117" s="7" t="n">
        <x:v>46273</x:v>
      </x:c>
      <x:c r="E117" s="2" t="str">
        <x:v>ZIRARI Chaimaa</x:v>
      </x:c>
      <x:c r="F117" s="2" t="str">
        <x:v>DOCS</x:v>
      </x:c>
      <x:c r="G117" s="2" t="str">
        <x:v>mail validé</x:v>
      </x:c>
      <x:c r="H117" s="2" t="str"/>
      <x:c r="I117" s="2" t="str">
        <x:v>Suite a la demande reçue voir ID 1331997 relevé de portefeuille 31/12/2025</x:v>
      </x:c>
      <x:c r="J117" s="2" t="str">
        <x:v>Sep8</x:v>
      </x:c>
      <x:c r="K117" s="2" t="n">
        <x:v>2</x:v>
      </x:c>
      <x:c r="L117" s="2" t="n">
        <x:v>14</x:v>
      </x:c>
    </x:row>
    <x:row r="118" ht="23" customHeight="1">
      <x:c r="A118" s="8" t="str">
        <x:v>1334609</x:v>
      </x:c>
      <x:c r="B118" s="7" t="n">
        <x:v>46269</x:v>
      </x:c>
      <x:c r="C118" s="7" t="n">
        <x:v>46273</x:v>
      </x:c>
      <x:c r="D118" s="7" t="n">
        <x:v>46273</x:v>
      </x:c>
      <x:c r="E118" s="2" t="str">
        <x:v>OUCHENE Zakaria</x:v>
      </x:c>
      <x:c r="F118" s="2" t="str">
        <x:v>DOCS</x:v>
      </x:c>
      <x:c r="G118" s="2" t="str">
        <x:v>mail non validé</x:v>
      </x:c>
      <x:c r="H118" s="2" t="str">
        <x:v>Q3</x:v>
      </x:c>
      <x:c r="I118" s="2" t="str">
        <x:v>AH-proposition ec ko // Envoi rlv prtf ok</x:v>
      </x:c>
      <x:c r="J118" s="2" t="str">
        <x:v>Sep8</x:v>
      </x:c>
      <x:c r="K118" s="2" t="n">
        <x:v>3</x:v>
      </x:c>
      <x:c r="L118" s="2" t="n">
        <x:v>11</x:v>
      </x:c>
    </x:row>
    <x:row r="119" ht="23" customHeight="1">
      <x:c r="A119" s="8" t="str">
        <x:v>1334607</x:v>
      </x:c>
      <x:c r="B119" s="7" t="n">
        <x:v>46269</x:v>
      </x:c>
      <x:c r="C119" s="7" t="n">
        <x:v>46273</x:v>
      </x:c>
      <x:c r="D119" s="7" t="n">
        <x:v>46273</x:v>
      </x:c>
      <x:c r="E119" s="2" t="str">
        <x:v>SANE Mohamed lamine</x:v>
      </x:c>
      <x:c r="F119" s="2" t="str">
        <x:v>DOCS</x:v>
      </x:c>
      <x:c r="G119" s="2" t="str">
        <x:v>mail non validé</x:v>
      </x:c>
      <x:c r="H119" s="2" t="str">
        <x:v>Q3</x:v>
      </x:c>
      <x:c r="I119" s="2" t="str">
        <x:v>AH-proposition ec ko//ATTESTATION PPA OK </x:v>
      </x:c>
      <x:c r="J119" s="2" t="str">
        <x:v>Sep8</x:v>
      </x:c>
      <x:c r="K119" s="2" t="n">
        <x:v>4</x:v>
      </x:c>
      <x:c r="L119" s="2" t="n">
        <x:v>12</x:v>
      </x:c>
    </x:row>
    <x:row r="120" ht="23" customHeight="1">
      <x:c r="A120" s="8" t="str">
        <x:v>1334550</x:v>
      </x:c>
      <x:c r="B120" s="7" t="n">
        <x:v>46269</x:v>
      </x:c>
      <x:c r="C120" s="7" t="n">
        <x:v>46273</x:v>
      </x:c>
      <x:c r="D120" s="7" t="n">
        <x:v>46273</x:v>
      </x:c>
      <x:c r="E120" s="2" t="str">
        <x:v>ZIRARI Chaimaa</x:v>
      </x:c>
      <x:c r="F120" s="2" t="str">
        <x:v>DOCS</x:v>
      </x:c>
      <x:c r="G120" s="2" t="str">
        <x:v>mail non validé</x:v>
      </x:c>
      <x:c r="H120" s="2" t="str">
        <x:v>Q1</x:v>
      </x:c>
      <x:c r="I120" s="2" t="str">
        <x:v>AH-tuteur demande rlv de prtf du 31/07 et 31/08 //relevé de prtefeuille</x:v>
      </x:c>
      <x:c r="J120" s="2" t="str">
        <x:v>Sep8</x:v>
      </x:c>
      <x:c r="K120" s="2" t="n">
        <x:v>5</x:v>
      </x:c>
      <x:c r="L120" s="2" t="n">
        <x:v>14</x:v>
      </x:c>
    </x:row>
    <x:row r="121" ht="23" customHeight="1">
      <x:c r="A121" s="8" t="str">
        <x:v>1334546</x:v>
      </x:c>
      <x:c r="B121" s="7" t="n">
        <x:v>46269</x:v>
      </x:c>
      <x:c r="C121" s="7" t="n">
        <x:v>46273</x:v>
      </x:c>
      <x:c r="D121" s="7" t="n">
        <x:v>46273</x:v>
      </x:c>
      <x:c r="E121" s="2" t="str">
        <x:v>ZIRARI Chaimaa</x:v>
      </x:c>
      <x:c r="F121" s="2" t="str">
        <x:v>DOCS</x:v>
      </x:c>
      <x:c r="G121" s="2" t="str">
        <x:v>à vérifier</x:v>
      </x:c>
      <x:c r="H121" s="2" t="str"/>
      <x:c r="I121" s="2" t="str">
        <x:v>AH-jps qu'il fallait ajouter le bulltin d'achat // Attestation de propriete de parts</x:v>
      </x:c>
      <x:c r="J121" s="2" t="str">
        <x:v>Sep8</x:v>
      </x:c>
      <x:c r="K121" s="2" t="n">
        <x:v>6</x:v>
      </x:c>
      <x:c r="L121" s="2" t="n">
        <x:v>14</x:v>
      </x:c>
    </x:row>
    <x:row r="122" ht="23" customHeight="1">
      <x:c r="A122" s="8" t="str">
        <x:v>1334539</x:v>
      </x:c>
      <x:c r="B122" s="7" t="n">
        <x:v>46269</x:v>
      </x:c>
      <x:c r="C122" s="7" t="n">
        <x:v>46273</x:v>
      </x:c>
      <x:c r="D122" s="7" t="n">
        <x:v>46273</x:v>
      </x:c>
      <x:c r="E122" s="2" t="str">
        <x:v>ZIRARI Chaimaa</x:v>
      </x:c>
      <x:c r="F122" s="2" t="str">
        <x:v>DOCS</x:v>
      </x:c>
      <x:c r="G122" s="2" t="str">
        <x:v>mail non validé</x:v>
      </x:c>
      <x:c r="H122" s="2" t="str">
        <x:v>Q3</x:v>
      </x:c>
      <x:c r="I122" s="2" t="str">
        <x:v>AH-proposition EC KO // le relevé de portefeuille</x:v>
      </x:c>
      <x:c r="J122" s="2" t="str">
        <x:v>Sep8</x:v>
      </x:c>
      <x:c r="K122" s="2" t="n">
        <x:v>7</x:v>
      </x:c>
      <x:c r="L122" s="2" t="n">
        <x:v>14</x:v>
      </x:c>
    </x:row>
    <x:row r="123" ht="23" customHeight="1">
      <x:c r="A123" s="8" t="str">
        <x:v>1331997</x:v>
      </x:c>
      <x:c r="B123" s="7" t="n">
        <x:v>46255</x:v>
      </x:c>
      <x:c r="C123" s="7" t="n">
        <x:v>46273</x:v>
      </x:c>
      <x:c r="D123" s="7" t="n">
        <x:v>46273</x:v>
      </x:c>
      <x:c r="E123" s="2" t="str">
        <x:v>ZIRARI Chaimaa</x:v>
      </x:c>
      <x:c r="F123" s="2" t="str">
        <x:v>DOCS</x:v>
      </x:c>
      <x:c r="G123" s="2" t="str">
        <x:v>mail validé</x:v>
      </x:c>
      <x:c r="H123" s="2" t="str"/>
      <x:c r="I123" s="2" t="str">
        <x:v>demande relevé de portefeuille envoyé par courrier voir ID War:1335275</x:v>
      </x:c>
      <x:c r="J123" s="2" t="str">
        <x:v>Sep8</x:v>
      </x:c>
      <x:c r="K123" s="2" t="n">
        <x:v>8</x:v>
      </x:c>
      <x:c r="L123" s="2" t="n">
        <x:v>14</x:v>
      </x:c>
    </x:row>
    <x:row r="124" ht="23" customHeight="1">
      <x:c r="A124" s="8" t="str">
        <x:v>1334758</x:v>
      </x:c>
      <x:c r="B124" s="7" t="n">
        <x:v>46270</x:v>
      </x:c>
      <x:c r="C124" s="7" t="n">
        <x:v>46273</x:v>
      </x:c>
      <x:c r="D124" s="7" t="n">
        <x:v>46273</x:v>
      </x:c>
      <x:c r="E124" s="2" t="str">
        <x:v>HABBOUB Karim</x:v>
      </x:c>
      <x:c r="F124" s="2" t="str">
        <x:v>DOM</x:v>
      </x:c>
      <x:c r="G124" s="2" t="str">
        <x:v>mail validé</x:v>
      </x:c>
      <x:c r="H124" s="2" t="str"/>
      <x:c r="I124" s="2" t="str">
        <x:v>modif adresse ok</x:v>
      </x:c>
      <x:c r="J124" s="2" t="str">
        <x:v>Sep8</x:v>
      </x:c>
      <x:c r="K124" s="2" t="n">
        <x:v>9</x:v>
      </x:c>
      <x:c r="L124" s="2" t="n">
        <x:v>4</x:v>
      </x:c>
    </x:row>
    <x:row r="125" ht="23" customHeight="1">
      <x:c r="A125" s="8" t="str">
        <x:v>1334753</x:v>
      </x:c>
      <x:c r="B125" s="7" t="n">
        <x:v>46270</x:v>
      </x:c>
      <x:c r="C125" s="7" t="n">
        <x:v>46273</x:v>
      </x:c>
      <x:c r="D125" s="7" t="n">
        <x:v>46273</x:v>
      </x:c>
      <x:c r="E125" s="2" t="str">
        <x:v>MBARKI Imane</x:v>
      </x:c>
      <x:c r="F125" s="2" t="str">
        <x:v>DOM</x:v>
      </x:c>
      <x:c r="G125" s="2" t="str">
        <x:v>mail validé</x:v>
      </x:c>
      <x:c r="H125" s="2" t="str"/>
      <x:c r="I125" s="2" t="str">
        <x:v>dde modif adresse ==&gt; dde cni+jdd +proposition mise en place espace client </x:v>
      </x:c>
      <x:c r="J125" s="2" t="str">
        <x:v>Sep8</x:v>
      </x:c>
      <x:c r="K125" s="2" t="n">
        <x:v>10</x:v>
      </x:c>
      <x:c r="L125" s="2" t="n">
        <x:v>7</x:v>
      </x:c>
    </x:row>
    <x:row r="126" ht="23" customHeight="1">
      <x:c r="A126" s="8" t="str">
        <x:v>1334729</x:v>
      </x:c>
      <x:c r="B126" s="7" t="n">
        <x:v>46269</x:v>
      </x:c>
      <x:c r="C126" s="7" t="n">
        <x:v>46273</x:v>
      </x:c>
      <x:c r="D126" s="7" t="n">
        <x:v>46273</x:v>
      </x:c>
      <x:c r="E126" s="2" t="str">
        <x:v>MBOUP El hadji cheikh</x:v>
      </x:c>
      <x:c r="F126" s="2" t="str">
        <x:v>DOM</x:v>
      </x:c>
      <x:c r="G126" s="2" t="str">
        <x:v>mail non validé</x:v>
      </x:c>
      <x:c r="H126" s="2" t="str">
        <x:v>Q3</x:v>
      </x:c>
      <x:c r="I126" s="2" t="str">
        <x:v>AH-proposition EC KO//MOD D'ADRESSE POSTALE OK </x:v>
      </x:c>
      <x:c r="J126" s="2" t="str">
        <x:v>Sep8</x:v>
      </x:c>
      <x:c r="K126" s="2" t="n">
        <x:v>11</x:v>
      </x:c>
      <x:c r="L126" s="2" t="n">
        <x:v>8</x:v>
      </x:c>
    </x:row>
    <x:row r="127" ht="23" customHeight="1">
      <x:c r="A127" s="8" t="str">
        <x:v>1334678</x:v>
      </x:c>
      <x:c r="B127" s="7" t="n">
        <x:v>46269</x:v>
      </x:c>
      <x:c r="C127" s="7" t="n">
        <x:v>46273</x:v>
      </x:c>
      <x:c r="D127" s="7" t="n">
        <x:v>46273</x:v>
      </x:c>
      <x:c r="E127" s="2" t="str">
        <x:v>NDIAYE Seynabou</x:v>
      </x:c>
      <x:c r="F127" s="2" t="str">
        <x:v>DOM</x:v>
      </x:c>
      <x:c r="G127" s="2" t="str">
        <x:v>mail validé</x:v>
      </x:c>
      <x:c r="H127" s="2" t="str"/>
      <x:c r="I127" s="2" t="str">
        <x:v>modif adresse postale ok+attestation pp</x:v>
      </x:c>
      <x:c r="J127" s="2" t="str">
        <x:v>Sep8</x:v>
      </x:c>
      <x:c r="K127" s="2" t="n">
        <x:v>12</x:v>
      </x:c>
      <x:c r="L127" s="2" t="n">
        <x:v>9</x:v>
      </x:c>
    </x:row>
    <x:row r="128" ht="23" customHeight="1">
      <x:c r="A128" s="8" t="str">
        <x:v>1334676</x:v>
      </x:c>
      <x:c r="B128" s="7" t="n">
        <x:v>46269</x:v>
      </x:c>
      <x:c r="C128" s="7" t="n">
        <x:v>46273</x:v>
      </x:c>
      <x:c r="D128" s="7" t="n">
        <x:v>46273</x:v>
      </x:c>
      <x:c r="E128" s="2" t="str">
        <x:v>NGOM Saliou</x:v>
      </x:c>
      <x:c r="F128" s="2" t="str">
        <x:v>DOM</x:v>
      </x:c>
      <x:c r="G128" s="2" t="str">
        <x:v>mail validé</x:v>
      </x:c>
      <x:c r="H128" s="2" t="str"/>
      <x:c r="I128" s="2" t="str">
        <x:v>Modif. adress ok + Attestation de P.P </x:v>
      </x:c>
      <x:c r="J128" s="2" t="str">
        <x:v>Sep8</x:v>
      </x:c>
      <x:c r="K128" s="2" t="n">
        <x:v>13</x:v>
      </x:c>
      <x:c r="L128" s="2" t="n">
        <x:v>10</x:v>
      </x:c>
    </x:row>
    <x:row r="129" ht="23" customHeight="1">
      <x:c r="A129" s="8" t="str">
        <x:v>1334665</x:v>
      </x:c>
      <x:c r="B129" s="7" t="n">
        <x:v>46269</x:v>
      </x:c>
      <x:c r="C129" s="7" t="n">
        <x:v>46273</x:v>
      </x:c>
      <x:c r="D129" s="7" t="n">
        <x:v>46273</x:v>
      </x:c>
      <x:c r="E129" s="2" t="str">
        <x:v>NGOM Saliou</x:v>
      </x:c>
      <x:c r="F129" s="2" t="str">
        <x:v>DOM</x:v>
      </x:c>
      <x:c r="G129" s="2" t="str">
        <x:v>mail validé</x:v>
      </x:c>
      <x:c r="H129" s="2" t="str"/>
      <x:c r="I129" s="2" t="str">
        <x:v>Modif.adress ok + Attestation de P.P</x:v>
      </x:c>
      <x:c r="J129" s="2" t="str">
        <x:v>Sep8</x:v>
      </x:c>
      <x:c r="K129" s="2" t="n">
        <x:v>14</x:v>
      </x:c>
      <x:c r="L129" s="2" t="n">
        <x:v>10</x:v>
      </x:c>
    </x:row>
    <x:row r="130" ht="23" customHeight="1">
      <x:c r="A130" s="8" t="str">
        <x:v>1334641</x:v>
      </x:c>
      <x:c r="B130" s="7" t="n">
        <x:v>46269</x:v>
      </x:c>
      <x:c r="C130" s="7" t="n">
        <x:v>46273</x:v>
      </x:c>
      <x:c r="D130" s="7" t="n">
        <x:v>46273</x:v>
      </x:c>
      <x:c r="E130" s="2" t="str">
        <x:v>NGOM Saliou</x:v>
      </x:c>
      <x:c r="F130" s="2" t="str">
        <x:v>DOM</x:v>
      </x:c>
      <x:c r="G130" s="2" t="str">
        <x:v>mail validé</x:v>
      </x:c>
      <x:c r="H130" s="2" t="str"/>
      <x:c r="I130" s="2" t="str">
        <x:v>Modifr.adress ok +Atteestation de P.P</x:v>
      </x:c>
      <x:c r="J130" s="2" t="str">
        <x:v>Sep8</x:v>
      </x:c>
      <x:c r="K130" s="2" t="n">
        <x:v>15</x:v>
      </x:c>
      <x:c r="L130" s="2" t="n">
        <x:v>10</x:v>
      </x:c>
    </x:row>
    <x:row r="131" ht="23" customHeight="1">
      <x:c r="A131" s="8" t="str">
        <x:v>1334596</x:v>
      </x:c>
      <x:c r="B131" s="7" t="n">
        <x:v>46269</x:v>
      </x:c>
      <x:c r="C131" s="7" t="n">
        <x:v>46273</x:v>
      </x:c>
      <x:c r="D131" s="7" t="n">
        <x:v>46273</x:v>
      </x:c>
      <x:c r="E131" s="2" t="str">
        <x:v>SANE Mohamed lamine</x:v>
      </x:c>
      <x:c r="F131" s="2" t="str">
        <x:v>DOM</x:v>
      </x:c>
      <x:c r="G131" s="2" t="str">
        <x:v>mail non validé</x:v>
      </x:c>
      <x:c r="H131" s="2" t="str">
        <x:v>Q3</x:v>
      </x:c>
      <x:c r="I131" s="2" t="str">
        <x:v>AH-proposition EC KO//MODIF DOM OK//ATTESTATION PPA OK //A049UR-A05TKE</x:v>
      </x:c>
      <x:c r="J131" s="2" t="str">
        <x:v>Sep8</x:v>
      </x:c>
      <x:c r="K131" s="2" t="n">
        <x:v>16</x:v>
      </x:c>
      <x:c r="L131" s="2" t="n">
        <x:v>12</x:v>
      </x:c>
    </x:row>
    <x:row r="132" ht="23" customHeight="1">
      <x:c r="A132" s="8" t="str">
        <x:v>1334589</x:v>
      </x:c>
      <x:c r="B132" s="7" t="n">
        <x:v>46269</x:v>
      </x:c>
      <x:c r="C132" s="7" t="n">
        <x:v>46273</x:v>
      </x:c>
      <x:c r="D132" s="7" t="n">
        <x:v>46273</x:v>
      </x:c>
      <x:c r="E132" s="2" t="str">
        <x:v>SANE Mohamed lamine</x:v>
      </x:c>
      <x:c r="F132" s="2" t="str">
        <x:v>DOM</x:v>
      </x:c>
      <x:c r="G132" s="2" t="str">
        <x:v>mail validé</x:v>
      </x:c>
      <x:c r="H132" s="2" t="str"/>
      <x:c r="I132" s="2" t="str">
        <x:v>MODIF DOM O? //ATTESTATION PPA OK//PROPOSITION EC </x:v>
      </x:c>
      <x:c r="J132" s="2" t="str">
        <x:v>Sep8</x:v>
      </x:c>
      <x:c r="K132" s="2" t="n">
        <x:v>17</x:v>
      </x:c>
      <x:c r="L132" s="2" t="n">
        <x:v>12</x:v>
      </x:c>
    </x:row>
    <x:row r="133" ht="23" customHeight="1">
      <x:c r="A133" s="8" t="str">
        <x:v>1334556</x:v>
      </x:c>
      <x:c r="B133" s="7" t="n">
        <x:v>46269</x:v>
      </x:c>
      <x:c r="C133" s="7" t="n">
        <x:v>46273</x:v>
      </x:c>
      <x:c r="D133" s="7" t="n">
        <x:v>46273</x:v>
      </x:c>
      <x:c r="E133" s="2" t="str">
        <x:v>SANE Mohamed lamine</x:v>
      </x:c>
      <x:c r="F133" s="2" t="str">
        <x:v>DOM</x:v>
      </x:c>
      <x:c r="G133" s="2" t="str">
        <x:v>mail validé</x:v>
      </x:c>
      <x:c r="H133" s="2" t="str"/>
      <x:c r="I133" s="2" t="str">
        <x:v>MODIF DOM OK//ATTESTATION PPA OK//FATCA ENVOYE</x:v>
      </x:c>
      <x:c r="J133" s="2" t="str">
        <x:v>Sep8</x:v>
      </x:c>
      <x:c r="K133" s="2" t="n">
        <x:v>18</x:v>
      </x:c>
      <x:c r="L133" s="2" t="n">
        <x:v>12</x:v>
      </x:c>
    </x:row>
    <x:row r="134" ht="23" customHeight="1">
      <x:c r="A134" s="8" t="str">
        <x:v>1334549</x:v>
      </x:c>
      <x:c r="B134" s="7" t="n">
        <x:v>46269</x:v>
      </x:c>
      <x:c r="C134" s="7" t="n">
        <x:v>46273</x:v>
      </x:c>
      <x:c r="D134" s="7" t="n">
        <x:v>46273</x:v>
      </x:c>
      <x:c r="E134" s="2" t="str">
        <x:v>ZIRARI Chaimaa</x:v>
      </x:c>
      <x:c r="F134" s="2" t="str">
        <x:v>DOM</x:v>
      </x:c>
      <x:c r="G134" s="2" t="str">
        <x:v>mail validé</x:v>
      </x:c>
      <x:c r="H134" s="2" t="str"/>
      <x:c r="I134" s="2" t="str">
        <x:v>Confirmation d'adresse postale//Création WEB Changement d'adresse</x:v>
      </x:c>
      <x:c r="J134" s="2" t="str">
        <x:v>Sep8</x:v>
      </x:c>
      <x:c r="K134" s="2" t="n">
        <x:v>19</x:v>
      </x:c>
      <x:c r="L134" s="2" t="n">
        <x:v>14</x:v>
      </x:c>
    </x:row>
    <x:row r="135" ht="23" customHeight="1">
      <x:c r="A135" s="8" t="str">
        <x:v>1335133</x:v>
      </x:c>
      <x:c r="B135" s="7" t="n">
        <x:v>46273</x:v>
      </x:c>
      <x:c r="C135" s="7" t="n">
        <x:v>46273</x:v>
      </x:c>
      <x:c r="D135" s="7" t="n">
        <x:v>46273</x:v>
      </x:c>
      <x:c r="E135" s="2" t="str">
        <x:v>MBARKI Imane</x:v>
      </x:c>
      <x:c r="F135" s="2" t="str">
        <x:v>OV</x:v>
      </x:c>
      <x:c r="G135" s="2" t="str">
        <x:v>à vérifier</x:v>
      </x:c>
      <x:c r="H135" s="2" t="str"/>
      <x:c r="I135" s="2" t="str">
        <x:v>AH-c'est ok // dde ordre de vente </x:v>
      </x:c>
      <x:c r="J135" s="2" t="str">
        <x:v>Sep8</x:v>
      </x:c>
      <x:c r="K135" s="2" t="n">
        <x:v>20</x:v>
      </x:c>
      <x:c r="L135" s="2" t="n">
        <x:v>7</x:v>
      </x:c>
    </x:row>
    <x:row r="136" ht="23" customHeight="1">
      <x:c r="A136" s="8" t="str">
        <x:v>1334779</x:v>
      </x:c>
      <x:c r="B136" s="7" t="n">
        <x:v>46271</x:v>
      </x:c>
      <x:c r="C136" s="7" t="n">
        <x:v>46273</x:v>
      </x:c>
      <x:c r="D136" s="7" t="n">
        <x:v>46273</x:v>
      </x:c>
      <x:c r="E136" s="2" t="str">
        <x:v>EL HASROUF Youssef</x:v>
      </x:c>
      <x:c r="F136" s="2" t="str">
        <x:v>RIB</x:v>
      </x:c>
      <x:c r="G136" s="2" t="str">
        <x:v>mail validé</x:v>
      </x:c>
      <x:c r="H136" s="2" t="str"/>
      <x:c r="I136" s="2" t="str">
        <x:v>rib deja enregistre // Création WEB changement RIB</x:v>
      </x:c>
      <x:c r="J136" s="2" t="str">
        <x:v>Sep8</x:v>
      </x:c>
      <x:c r="K136" s="2" t="n">
        <x:v>21</x:v>
      </x:c>
      <x:c r="L136" s="2" t="n">
        <x:v>2</x:v>
      </x:c>
    </x:row>
    <x:row r="137" ht="23" customHeight="1">
      <x:c r="A137" s="8" t="str">
        <x:v>1334733</x:v>
      </x:c>
      <x:c r="B137" s="7" t="n">
        <x:v>46270</x:v>
      </x:c>
      <x:c r="C137" s="7" t="n">
        <x:v>46273</x:v>
      </x:c>
      <x:c r="D137" s="7" t="n">
        <x:v>46273</x:v>
      </x:c>
      <x:c r="E137" s="2" t="str">
        <x:v>MBARKI Imane</x:v>
      </x:c>
      <x:c r="F137" s="2" t="str">
        <x:v>RIB</x:v>
      </x:c>
      <x:c r="G137" s="2" t="str">
        <x:v>mail validé</x:v>
      </x:c>
      <x:c r="H137" s="2" t="str"/>
      <x:c r="I137" s="2" t="str">
        <x:v>Création WEB changement ==&gt; confirmation modif rib pas de prposition espace client demande d'origine web</x:v>
      </x:c>
      <x:c r="J137" s="2" t="str">
        <x:v>Sep8</x:v>
      </x:c>
      <x:c r="K137" s="2" t="n">
        <x:v>22</x:v>
      </x:c>
      <x:c r="L137" s="2" t="n">
        <x:v>7</x:v>
      </x:c>
    </x:row>
    <x:row r="138" ht="23" customHeight="1">
      <x:c r="A138" s="8" t="str">
        <x:v>1334558</x:v>
      </x:c>
      <x:c r="B138" s="7" t="n">
        <x:v>46269</x:v>
      </x:c>
      <x:c r="C138" s="7" t="n">
        <x:v>46273</x:v>
      </x:c>
      <x:c r="D138" s="7" t="n">
        <x:v>46273</x:v>
      </x:c>
      <x:c r="E138" s="2" t="str">
        <x:v>SANE Mohamed lamine</x:v>
      </x:c>
      <x:c r="F138" s="2" t="str">
        <x:v>RIB</x:v>
      </x:c>
      <x:c r="G138" s="2" t="str">
        <x:v>mail non validé</x:v>
      </x:c>
      <x:c r="H138" s="2" t="str">
        <x:v>Q2</x:v>
      </x:c>
      <x:c r="I138" s="2" t="str">
        <x:v>AH-demande est déjà via l' EC + il fallait faire une petite modif adresse erreur de notre part // MODIF RIB OK//PROPOSITION EC </x:v>
      </x:c>
      <x:c r="J138" s="2" t="str">
        <x:v>Sep8</x:v>
      </x:c>
      <x:c r="K138" s="2" t="n">
        <x:v>23</x:v>
      </x:c>
      <x:c r="L138" s="2" t="n">
        <x:v>12</x:v>
      </x:c>
    </x:row>
    <x:row r="139" ht="23" customHeight="1">
      <x:c r="A139" s="8" t="str">
        <x:v>1334555</x:v>
      </x:c>
      <x:c r="B139" s="7" t="n">
        <x:v>46269</x:v>
      </x:c>
      <x:c r="C139" s="7" t="n">
        <x:v>46273</x:v>
      </x:c>
      <x:c r="D139" s="7" t="n">
        <x:v>46273</x:v>
      </x:c>
      <x:c r="E139" s="2" t="str">
        <x:v>SANE Mohamed lamine</x:v>
      </x:c>
      <x:c r="F139" s="2" t="str">
        <x:v>RIB</x:v>
      </x:c>
      <x:c r="G139" s="2" t="str">
        <x:v>mail non validé</x:v>
      </x:c>
      <x:c r="H139" s="2" t="str">
        <x:v>Q2</x:v>
      </x:c>
      <x:c r="I139" s="2" t="str">
        <x:v>AH-demande est déjà via l' EC // MODIF RIB OK</x:v>
      </x:c>
      <x:c r="J139" s="2" t="str">
        <x:v>Sep8</x:v>
      </x:c>
      <x:c r="K139" s="2" t="n">
        <x:v>24</x:v>
      </x:c>
      <x:c r="L139" s="2" t="n">
        <x:v>12</x:v>
      </x:c>
    </x:row>
    <x:row r="140" ht="23" customHeight="1">
      <x:c r="A140" s="8" t="str">
        <x:v>1334801</x:v>
      </x:c>
      <x:c r="B140" s="7" t="n">
        <x:v>46272</x:v>
      </x:c>
      <x:c r="C140" s="7" t="n">
        <x:v>46274</x:v>
      </x:c>
      <x:c r="D140" s="7" t="n">
        <x:v>46274</x:v>
      </x:c>
      <x:c r="E140" s="2" t="str">
        <x:v>EL AMRANI Abdelmoughit</x:v>
      </x:c>
      <x:c r="F140" s="2" t="str">
        <x:v>DOM</x:v>
      </x:c>
      <x:c r="G140" s="2" t="str">
        <x:v>mail non validé</x:v>
      </x:c>
      <x:c r="H140" s="2" t="str">
        <x:v>Q3</x:v>
      </x:c>
      <x:c r="I140" s="2" t="str">
        <x:v>AH-proposition ec ko Modification d'adresse postale effectuée.</x:v>
      </x:c>
      <x:c r="J140" s="2" t="str">
        <x:v>Sep9</x:v>
      </x:c>
      <x:c r="K140" s="2" t="n">
        <x:v>2</x:v>
      </x:c>
      <x:c r="L140" s="2" t="n">
        <x:v>1</x:v>
      </x:c>
    </x:row>
    <x:row r="141" ht="23" customHeight="1">
      <x:c r="A141" s="8" t="str">
        <x:v>1334800</x:v>
      </x:c>
      <x:c r="B141" s="7" t="n">
        <x:v>46272</x:v>
      </x:c>
      <x:c r="C141" s="7" t="n">
        <x:v>46274</x:v>
      </x:c>
      <x:c r="D141" s="7" t="n">
        <x:v>46274</x:v>
      </x:c>
      <x:c r="E141" s="2" t="str">
        <x:v>EL AMRANI Abdelmoughit</x:v>
      </x:c>
      <x:c r="F141" s="2" t="str">
        <x:v>RIB</x:v>
      </x:c>
      <x:c r="G141" s="2" t="str">
        <x:v>mail validé</x:v>
      </x:c>
      <x:c r="H141" s="2" t="str"/>
      <x:c r="I141" s="2" t="str">
        <x:v>Modification du RIB effectué / Création WEB changement RIB</x:v>
      </x:c>
      <x:c r="J141" s="2" t="str">
        <x:v>Sep9</x:v>
      </x:c>
      <x:c r="K141" s="2" t="n">
        <x:v>3</x:v>
      </x:c>
      <x:c r="L141" s="2" t="n">
        <x:v>1</x:v>
      </x:c>
    </x:row>
    <x:row r="142" ht="23" customHeight="1">
      <x:c r="A142" s="8" t="str">
        <x:v>1335065</x:v>
      </x:c>
      <x:c r="B142" s="7" t="n">
        <x:v>46272</x:v>
      </x:c>
      <x:c r="C142" s="7" t="n">
        <x:v>46274</x:v>
      </x:c>
      <x:c r="D142" s="7" t="n">
        <x:v>46274</x:v>
      </x:c>
      <x:c r="E142" s="2" t="str">
        <x:v>EL HASROUF Youssef</x:v>
      </x:c>
      <x:c r="F142" s="2" t="str">
        <x:v>DOM</x:v>
      </x:c>
      <x:c r="G142" s="2" t="str">
        <x:v>mail validé</x:v>
      </x:c>
      <x:c r="H142" s="2" t="str"/>
      <x:c r="I142" s="2" t="str">
        <x:v>modif adresse ok </x:v>
      </x:c>
      <x:c r="J142" s="2" t="str">
        <x:v>Sep9</x:v>
      </x:c>
      <x:c r="K142" s="2" t="n">
        <x:v>4</x:v>
      </x:c>
      <x:c r="L142" s="2" t="n">
        <x:v>2</x:v>
      </x:c>
    </x:row>
    <x:row r="143" ht="23" customHeight="1">
      <x:c r="A143" s="8" t="str">
        <x:v>1335063</x:v>
      </x:c>
      <x:c r="B143" s="7" t="n">
        <x:v>46272</x:v>
      </x:c>
      <x:c r="C143" s="7" t="n">
        <x:v>46274</x:v>
      </x:c>
      <x:c r="D143" s="7" t="n">
        <x:v>46274</x:v>
      </x:c>
      <x:c r="E143" s="2" t="str">
        <x:v>EL HASROUF Youssef</x:v>
      </x:c>
      <x:c r="F143" s="2" t="str">
        <x:v>FISCA</x:v>
      </x:c>
      <x:c r="G143" s="2" t="str">
        <x:v>mail validé</x:v>
      </x:c>
      <x:c r="H143" s="2" t="str"/>
      <x:c r="I143" s="2" t="str">
        <x:v>AH-vu avec kevin //demande explication sur la DF </x:v>
      </x:c>
      <x:c r="J143" s="2" t="str">
        <x:v>Sep9</x:v>
      </x:c>
      <x:c r="K143" s="2" t="n">
        <x:v>5</x:v>
      </x:c>
      <x:c r="L143" s="2" t="n">
        <x:v>2</x:v>
      </x:c>
    </x:row>
    <x:row r="144" ht="23" customHeight="1">
      <x:c r="A144" s="8" t="str">
        <x:v>1335061</x:v>
      </x:c>
      <x:c r="B144" s="7" t="n">
        <x:v>46272</x:v>
      </x:c>
      <x:c r="C144" s="7" t="n">
        <x:v>46274</x:v>
      </x:c>
      <x:c r="D144" s="7" t="n">
        <x:v>46274</x:v>
      </x:c>
      <x:c r="E144" s="2" t="str">
        <x:v>EL HASROUF Youssef</x:v>
      </x:c>
      <x:c r="F144" s="2" t="str">
        <x:v>RIB</x:v>
      </x:c>
      <x:c r="G144" s="2" t="str">
        <x:v>mail validé</x:v>
      </x:c>
      <x:c r="H144" s="2" t="str"/>
      <x:c r="I144" s="2" t="str">
        <x:v>modif rib ok // Création WEB changement RIB</x:v>
      </x:c>
      <x:c r="J144" s="2" t="str">
        <x:v>Sep9</x:v>
      </x:c>
      <x:c r="K144" s="2" t="n">
        <x:v>6</x:v>
      </x:c>
      <x:c r="L144" s="2" t="n">
        <x:v>2</x:v>
      </x:c>
    </x:row>
    <x:row r="145" ht="23" customHeight="1">
      <x:c r="A145" s="8" t="str">
        <x:v>1335058</x:v>
      </x:c>
      <x:c r="B145" s="7" t="n">
        <x:v>46272</x:v>
      </x:c>
      <x:c r="C145" s="7" t="n">
        <x:v>46274</x:v>
      </x:c>
      <x:c r="D145" s="7" t="n">
        <x:v>46274</x:v>
      </x:c>
      <x:c r="E145" s="2" t="str">
        <x:v>EL HASROUF Youssef</x:v>
      </x:c>
      <x:c r="F145" s="2" t="str">
        <x:v>RIB</x:v>
      </x:c>
      <x:c r="G145" s="2" t="str">
        <x:v>mail validé</x:v>
      </x:c>
      <x:c r="H145" s="2" t="str"/>
      <x:c r="I145" s="2" t="str">
        <x:v>modif rib ok // Création WEB changement RIB</x:v>
      </x:c>
      <x:c r="J145" s="2" t="str">
        <x:v>Sep9</x:v>
      </x:c>
      <x:c r="K145" s="2" t="n">
        <x:v>7</x:v>
      </x:c>
      <x:c r="L145" s="2" t="n">
        <x:v>2</x:v>
      </x:c>
    </x:row>
    <x:row r="146" ht="23" customHeight="1">
      <x:c r="A146" s="8" t="str">
        <x:v>1335039</x:v>
      </x:c>
      <x:c r="B146" s="7" t="n">
        <x:v>46272</x:v>
      </x:c>
      <x:c r="C146" s="7" t="n">
        <x:v>46274</x:v>
      </x:c>
      <x:c r="D146" s="7" t="n">
        <x:v>46274</x:v>
      </x:c>
      <x:c r="E146" s="2" t="str">
        <x:v>GUESSAR Zahra</x:v>
      </x:c>
      <x:c r="F146" s="2" t="str">
        <x:v>DOM</x:v>
      </x:c>
      <x:c r="G146" s="2" t="str">
        <x:v>mail non validé</x:v>
      </x:c>
      <x:c r="H146" s="2" t="str">
        <x:v>Q2</x:v>
      </x:c>
      <x:c r="I146" s="2" t="str">
        <x:v>AH-il manque un caractére au niveau de l'adresee // Modif adresse Ok</x:v>
      </x:c>
      <x:c r="J146" s="2" t="str">
        <x:v>Sep9</x:v>
      </x:c>
      <x:c r="K146" s="2" t="n">
        <x:v>8</x:v>
      </x:c>
      <x:c r="L146" s="2" t="n">
        <x:v>3</x:v>
      </x:c>
    </x:row>
    <x:row r="147" ht="23" customHeight="1">
      <x:c r="A147" s="8" t="str">
        <x:v>1335037</x:v>
      </x:c>
      <x:c r="B147" s="7" t="n">
        <x:v>46272</x:v>
      </x:c>
      <x:c r="C147" s="7" t="n">
        <x:v>46274</x:v>
      </x:c>
      <x:c r="D147" s="7" t="n">
        <x:v>46274</x:v>
      </x:c>
      <x:c r="E147" s="2" t="str">
        <x:v>GUESSAR Zahra</x:v>
      </x:c>
      <x:c r="F147" s="2" t="str">
        <x:v>FISCA</x:v>
      </x:c>
      <x:c r="G147" s="2" t="str">
        <x:v>mail validé</x:v>
      </x:c>
      <x:c r="H147" s="2" t="str"/>
      <x:c r="I147" s="2" t="str">
        <x:v>Envoi du coupon de la dispense fiscale</x:v>
      </x:c>
      <x:c r="J147" s="2" t="str">
        <x:v>Sep9</x:v>
      </x:c>
      <x:c r="K147" s="2" t="n">
        <x:v>9</x:v>
      </x:c>
      <x:c r="L147" s="2" t="n">
        <x:v>3</x:v>
      </x:c>
    </x:row>
    <x:row r="148" ht="23" customHeight="1">
      <x:c r="A148" s="8" t="str">
        <x:v>1335030</x:v>
      </x:c>
      <x:c r="B148" s="7" t="n">
        <x:v>46272</x:v>
      </x:c>
      <x:c r="C148" s="7" t="n">
        <x:v>46274</x:v>
      </x:c>
      <x:c r="D148" s="7" t="n">
        <x:v>46274</x:v>
      </x:c>
      <x:c r="E148" s="2" t="str">
        <x:v>GUESSAR Zahra</x:v>
      </x:c>
      <x:c r="F148" s="2" t="str">
        <x:v>RIB</x:v>
      </x:c>
      <x:c r="G148" s="2" t="str">
        <x:v>mail validé</x:v>
      </x:c>
      <x:c r="H148" s="2" t="str"/>
      <x:c r="I148" s="2" t="str">
        <x:v>Modif RIB oK</x:v>
      </x:c>
      <x:c r="J148" s="2" t="str">
        <x:v>Sep9</x:v>
      </x:c>
      <x:c r="K148" s="2" t="n">
        <x:v>10</x:v>
      </x:c>
      <x:c r="L148" s="2" t="n">
        <x:v>3</x:v>
      </x:c>
    </x:row>
    <x:row r="149" ht="23" customHeight="1">
      <x:c r="A149" s="8" t="str">
        <x:v>1335029</x:v>
      </x:c>
      <x:c r="B149" s="7" t="n">
        <x:v>46272</x:v>
      </x:c>
      <x:c r="C149" s="7" t="n">
        <x:v>46274</x:v>
      </x:c>
      <x:c r="D149" s="7" t="n">
        <x:v>46274</x:v>
      </x:c>
      <x:c r="E149" s="2" t="str">
        <x:v>GUESSAR Zahra</x:v>
      </x:c>
      <x:c r="F149" s="2" t="str">
        <x:v>RIB</x:v>
      </x:c>
      <x:c r="G149" s="2" t="str">
        <x:v>mail non validé</x:v>
      </x:c>
      <x:c r="H149" s="2" t="str">
        <x:v>Q3</x:v>
      </x:c>
      <x:c r="I149" s="2" t="str">
        <x:v>AH-propo EC ko Ajout RIB+ Adresse déja+le NIF</x:v>
      </x:c>
      <x:c r="J149" s="2" t="str">
        <x:v>Sep9</x:v>
      </x:c>
      <x:c r="K149" s="2" t="n">
        <x:v>11</x:v>
      </x:c>
      <x:c r="L149" s="2" t="n">
        <x:v>3</x:v>
      </x:c>
    </x:row>
    <x:row r="150" ht="23" customHeight="1">
      <x:c r="A150" s="8" t="str">
        <x:v>1335013</x:v>
      </x:c>
      <x:c r="B150" s="7" t="n">
        <x:v>46272</x:v>
      </x:c>
      <x:c r="C150" s="7" t="n">
        <x:v>46274</x:v>
      </x:c>
      <x:c r="D150" s="7" t="n">
        <x:v>46274</x:v>
      </x:c>
      <x:c r="E150" s="2" t="str">
        <x:v>HAMMADI Aya</x:v>
      </x:c>
      <x:c r="F150" s="2" t="str">
        <x:v>DOM</x:v>
      </x:c>
      <x:c r="G150" s="2" t="str">
        <x:v>mail validé</x:v>
      </x:c>
      <x:c r="H150" s="2" t="str"/>
      <x:c r="I150" s="2" t="str">
        <x:v>modif adresse ok </x:v>
      </x:c>
      <x:c r="J150" s="2" t="str">
        <x:v>Sep9</x:v>
      </x:c>
      <x:c r="K150" s="2" t="n">
        <x:v>12</x:v>
      </x:c>
      <x:c r="L150" s="2" t="n">
        <x:v>5</x:v>
      </x:c>
    </x:row>
    <x:row r="151" ht="23" customHeight="1">
      <x:c r="A151" s="8" t="str">
        <x:v>1335012</x:v>
      </x:c>
      <x:c r="B151" s="7" t="n">
        <x:v>46272</x:v>
      </x:c>
      <x:c r="C151" s="7" t="n">
        <x:v>46274</x:v>
      </x:c>
      <x:c r="D151" s="7" t="n">
        <x:v>46274</x:v>
      </x:c>
      <x:c r="E151" s="2" t="str">
        <x:v>HAMMADI Aya</x:v>
      </x:c>
      <x:c r="F151" s="2" t="str">
        <x:v>DOM</x:v>
      </x:c>
      <x:c r="G151" s="2" t="str">
        <x:v>mail validé</x:v>
      </x:c>
      <x:c r="H151" s="2" t="str"/>
      <x:c r="I151" s="2" t="str">
        <x:v>modif dom ok + proposition EC ok</x:v>
      </x:c>
      <x:c r="J151" s="2" t="str">
        <x:v>Sep9</x:v>
      </x:c>
      <x:c r="K151" s="2" t="n">
        <x:v>13</x:v>
      </x:c>
      <x:c r="L151" s="2" t="n">
        <x:v>5</x:v>
      </x:c>
    </x:row>
    <x:row r="152" ht="23" customHeight="1">
      <x:c r="A152" s="8" t="str">
        <x:v>1335016</x:v>
      </x:c>
      <x:c r="B152" s="7" t="n">
        <x:v>46272</x:v>
      </x:c>
      <x:c r="C152" s="7" t="n">
        <x:v>46274</x:v>
      </x:c>
      <x:c r="D152" s="7" t="n">
        <x:v>46274</x:v>
      </x:c>
      <x:c r="E152" s="2" t="str">
        <x:v>HAMMADI Aya</x:v>
      </x:c>
      <x:c r="F152" s="2" t="str">
        <x:v>FISCA</x:v>
      </x:c>
      <x:c r="G152" s="2" t="str">
        <x:v>mail validé</x:v>
      </x:c>
      <x:c r="H152" s="2" t="str"/>
      <x:c r="I152" s="2" t="str">
        <x:v>enregistrement NIF + disp ok envoi de rep ok</x:v>
      </x:c>
      <x:c r="J152" s="2" t="str">
        <x:v>Sep9</x:v>
      </x:c>
      <x:c r="K152" s="2" t="n">
        <x:v>14</x:v>
      </x:c>
      <x:c r="L152" s="2" t="n">
        <x:v>5</x:v>
      </x:c>
    </x:row>
    <x:row r="153" ht="23" customHeight="1">
      <x:c r="A153" s="8" t="str">
        <x:v>1335015</x:v>
      </x:c>
      <x:c r="B153" s="7" t="n">
        <x:v>46272</x:v>
      </x:c>
      <x:c r="C153" s="7" t="n">
        <x:v>46274</x:v>
      </x:c>
      <x:c r="D153" s="7" t="n">
        <x:v>46274</x:v>
      </x:c>
      <x:c r="E153" s="2" t="str">
        <x:v>HAMMADI Aya</x:v>
      </x:c>
      <x:c r="F153" s="2" t="str">
        <x:v>FISCA</x:v>
      </x:c>
      <x:c r="G153" s="2" t="str">
        <x:v>mail validé</x:v>
      </x:c>
      <x:c r="H153" s="2" t="str"/>
      <x:c r="I153" s="2" t="str">
        <x:v>enregistrement NIF + disp ok envoi de rep ok + deblocage de 598.62€ </x:v>
      </x:c>
      <x:c r="J153" s="2" t="str">
        <x:v>Sep9</x:v>
      </x:c>
      <x:c r="K153" s="2" t="n">
        <x:v>15</x:v>
      </x:c>
      <x:c r="L153" s="2" t="n">
        <x:v>5</x:v>
      </x:c>
    </x:row>
    <x:row r="154" ht="23" customHeight="1">
      <x:c r="A154" s="8" t="str">
        <x:v>1335014</x:v>
      </x:c>
      <x:c r="B154" s="7" t="n">
        <x:v>46272</x:v>
      </x:c>
      <x:c r="C154" s="7" t="n">
        <x:v>46274</x:v>
      </x:c>
      <x:c r="D154" s="7" t="n">
        <x:v>46274</x:v>
      </x:c>
      <x:c r="E154" s="2" t="str">
        <x:v>HAMMADI Aya</x:v>
      </x:c>
      <x:c r="F154" s="2" t="str">
        <x:v>FISCA</x:v>
      </x:c>
      <x:c r="G154" s="2" t="str">
        <x:v>mail validé</x:v>
      </x:c>
      <x:c r="H154" s="2" t="str"/>
      <x:c r="I154" s="2" t="str">
        <x:v>enregistrement NIF + disp ok envoi de rep ok + envoi du flyer pour EC </x:v>
      </x:c>
      <x:c r="J154" s="2" t="str">
        <x:v>Sep9</x:v>
      </x:c>
      <x:c r="K154" s="2" t="n">
        <x:v>16</x:v>
      </x:c>
      <x:c r="L154" s="2" t="n">
        <x:v>5</x:v>
      </x:c>
    </x:row>
    <x:row r="155" ht="23" customHeight="1">
      <x:c r="A155" s="8" t="str">
        <x:v>1335011</x:v>
      </x:c>
      <x:c r="B155" s="7" t="n">
        <x:v>46272</x:v>
      </x:c>
      <x:c r="C155" s="7" t="n">
        <x:v>46274</x:v>
      </x:c>
      <x:c r="D155" s="7" t="n">
        <x:v>46274</x:v>
      </x:c>
      <x:c r="E155" s="2" t="str">
        <x:v>HAMMADI Aya</x:v>
      </x:c>
      <x:c r="F155" s="2" t="str">
        <x:v>RIB</x:v>
      </x:c>
      <x:c r="G155" s="2" t="str">
        <x:v>mail validé</x:v>
      </x:c>
      <x:c r="H155" s="2" t="str"/>
      <x:c r="I155" s="2" t="str">
        <x:v>modif RIB ok envoi de coupon pour les deux comptes ok</x:v>
      </x:c>
      <x:c r="J155" s="2" t="str">
        <x:v>Sep9</x:v>
      </x:c>
      <x:c r="K155" s="2" t="n">
        <x:v>17</x:v>
      </x:c>
      <x:c r="L155" s="2" t="n">
        <x:v>5</x:v>
      </x:c>
    </x:row>
    <x:row r="156" ht="23" customHeight="1">
      <x:c r="A156" s="8" t="str">
        <x:v>1334982</x:v>
      </x:c>
      <x:c r="B156" s="7" t="n">
        <x:v>46272</x:v>
      </x:c>
      <x:c r="C156" s="7" t="n">
        <x:v>46274</x:v>
      </x:c>
      <x:c r="D156" s="7" t="n">
        <x:v>46274</x:v>
      </x:c>
      <x:c r="E156" s="2" t="str">
        <x:v>MBARKI Imane</x:v>
      </x:c>
      <x:c r="F156" s="2" t="str">
        <x:v>RIB</x:v>
      </x:c>
      <x:c r="G156" s="2" t="str">
        <x:v>mail validé</x:v>
      </x:c>
      <x:c r="H156" s="2" t="str"/>
      <x:c r="I156" s="2" t="str">
        <x:v>pas de modif a faire , aé en nu-prop, informer partenaire de la situation </x:v>
      </x:c>
      <x:c r="J156" s="2" t="str">
        <x:v>Sep9</x:v>
      </x:c>
      <x:c r="K156" s="2" t="n">
        <x:v>18</x:v>
      </x:c>
      <x:c r="L156" s="2" t="n">
        <x:v>7</x:v>
      </x:c>
    </x:row>
    <x:row r="157" ht="23" customHeight="1">
      <x:c r="A157" s="8" t="str">
        <x:v>1334972</x:v>
      </x:c>
      <x:c r="B157" s="7" t="n">
        <x:v>46272</x:v>
      </x:c>
      <x:c r="C157" s="7" t="n">
        <x:v>46274</x:v>
      </x:c>
      <x:c r="D157" s="7" t="n">
        <x:v>46274</x:v>
      </x:c>
      <x:c r="E157" s="2" t="str">
        <x:v>MBARKI Imane</x:v>
      </x:c>
      <x:c r="F157" s="2" t="str">
        <x:v>RIB</x:v>
      </x:c>
      <x:c r="G157" s="2" t="str">
        <x:v>mail validé</x:v>
      </x:c>
      <x:c r="H157" s="2" t="str"/>
      <x:c r="I157" s="2" t="str">
        <x:v>modif ribpec+modif adresse pec+envoie app+proposition ec </x:v>
      </x:c>
      <x:c r="J157" s="2" t="str">
        <x:v>Sep9</x:v>
      </x:c>
      <x:c r="K157" s="2" t="n">
        <x:v>19</x:v>
      </x:c>
      <x:c r="L157" s="2" t="n">
        <x:v>7</x:v>
      </x:c>
    </x:row>
    <x:row r="158" ht="23" customHeight="1">
      <x:c r="A158" s="8" t="str">
        <x:v>1334962</x:v>
      </x:c>
      <x:c r="B158" s="7" t="n">
        <x:v>46272</x:v>
      </x:c>
      <x:c r="C158" s="7" t="n">
        <x:v>46274</x:v>
      </x:c>
      <x:c r="D158" s="7" t="n">
        <x:v>46274</x:v>
      </x:c>
      <x:c r="E158" s="2" t="str">
        <x:v>NDIAYE Seynabou</x:v>
      </x:c>
      <x:c r="F158" s="2" t="str">
        <x:v>DOM</x:v>
      </x:c>
      <x:c r="G158" s="2" t="str">
        <x:v>mail validé</x:v>
      </x:c>
      <x:c r="H158" s="2" t="str"/>
      <x:c r="I158" s="2" t="str">
        <x:v>modif adresse ok+attestation pp</x:v>
      </x:c>
      <x:c r="J158" s="2" t="str">
        <x:v>Sep9</x:v>
      </x:c>
      <x:c r="K158" s="2" t="n">
        <x:v>20</x:v>
      </x:c>
      <x:c r="L158" s="2" t="n">
        <x:v>9</x:v>
      </x:c>
    </x:row>
    <x:row r="159" ht="23" customHeight="1">
      <x:c r="A159" s="8" t="str">
        <x:v>1334960</x:v>
      </x:c>
      <x:c r="B159" s="7" t="n">
        <x:v>46272</x:v>
      </x:c>
      <x:c r="C159" s="7" t="n">
        <x:v>46274</x:v>
      </x:c>
      <x:c r="D159" s="7" t="n">
        <x:v>46274</x:v>
      </x:c>
      <x:c r="E159" s="2" t="str">
        <x:v>NDIAYE Seynabou</x:v>
      </x:c>
      <x:c r="F159" s="2" t="str">
        <x:v>DOM</x:v>
      </x:c>
      <x:c r="G159" s="2" t="str">
        <x:v>mail validé</x:v>
      </x:c>
      <x:c r="H159" s="2" t="str"/>
      <x:c r="I159" s="2" t="str">
        <x:v>modif adresse ok+attestation pp</x:v>
      </x:c>
      <x:c r="J159" s="2" t="str">
        <x:v>Sep9</x:v>
      </x:c>
      <x:c r="K159" s="2" t="n">
        <x:v>21</x:v>
      </x:c>
      <x:c r="L159" s="2" t="n">
        <x:v>9</x:v>
      </x:c>
    </x:row>
    <x:row r="160" ht="23" customHeight="1">
      <x:c r="A160" s="8" t="str">
        <x:v>1334952</x:v>
      </x:c>
      <x:c r="B160" s="7" t="n">
        <x:v>46272</x:v>
      </x:c>
      <x:c r="C160" s="7" t="n">
        <x:v>46274</x:v>
      </x:c>
      <x:c r="D160" s="7" t="n">
        <x:v>46274</x:v>
      </x:c>
      <x:c r="E160" s="2" t="str">
        <x:v>NDIAYE Seynabou</x:v>
      </x:c>
      <x:c r="F160" s="2" t="str">
        <x:v>RIB</x:v>
      </x:c>
      <x:c r="G160" s="2" t="str">
        <x:v>mail non validé</x:v>
      </x:c>
      <x:c r="H160" s="2" t="str">
        <x:v>Q3</x:v>
      </x:c>
      <x:c r="I160" s="2" t="str">
        <x:v>AH-propo EC ko//Modif RIB ok</x:v>
      </x:c>
      <x:c r="J160" s="2" t="str">
        <x:v>Sep9</x:v>
      </x:c>
      <x:c r="K160" s="2" t="n">
        <x:v>22</x:v>
      </x:c>
      <x:c r="L160" s="2" t="n">
        <x:v>9</x:v>
      </x:c>
    </x:row>
    <x:row r="161" ht="23" customHeight="1">
      <x:c r="A161" s="8" t="str">
        <x:v>1334944</x:v>
      </x:c>
      <x:c r="B161" s="7" t="n">
        <x:v>46272</x:v>
      </x:c>
      <x:c r="C161" s="7" t="n">
        <x:v>46274</x:v>
      </x:c>
      <x:c r="D161" s="7" t="n">
        <x:v>46274</x:v>
      </x:c>
      <x:c r="E161" s="2" t="str">
        <x:v>NGOM Saliou</x:v>
      </x:c>
      <x:c r="F161" s="2" t="str">
        <x:v>DOM</x:v>
      </x:c>
      <x:c r="G161" s="2" t="str">
        <x:v>mail validé</x:v>
      </x:c>
      <x:c r="H161" s="2" t="str"/>
      <x:c r="I161" s="2" t="str">
        <x:v>Modif adress ok + attestation de P.P + Fatca reçu  Nif enregistré</x:v>
      </x:c>
      <x:c r="J161" s="2" t="str">
        <x:v>Sep9</x:v>
      </x:c>
      <x:c r="K161" s="2" t="n">
        <x:v>23</x:v>
      </x:c>
      <x:c r="L161" s="2" t="n">
        <x:v>10</x:v>
      </x:c>
    </x:row>
    <x:row r="162" ht="23" customHeight="1">
      <x:c r="A162" s="8" t="str">
        <x:v>1334935</x:v>
      </x:c>
      <x:c r="B162" s="7" t="n">
        <x:v>46272</x:v>
      </x:c>
      <x:c r="C162" s="7" t="n">
        <x:v>46274</x:v>
      </x:c>
      <x:c r="D162" s="7" t="n">
        <x:v>46274</x:v>
      </x:c>
      <x:c r="E162" s="2" t="str">
        <x:v>NGOM Saliou</x:v>
      </x:c>
      <x:c r="F162" s="2" t="str">
        <x:v>DOM</x:v>
      </x:c>
      <x:c r="G162" s="2" t="str">
        <x:v>mail validé</x:v>
      </x:c>
      <x:c r="H162" s="2" t="str"/>
      <x:c r="I162" s="2" t="str">
        <x:v>L'adress a été déjà enregistré // pour l'adress mail et le Tél, j ai créer une nouvelle ligne et Dde transféré a moniwan</x:v>
      </x:c>
      <x:c r="J162" s="2" t="str">
        <x:v>Sep9</x:v>
      </x:c>
      <x:c r="K162" s="2" t="n">
        <x:v>24</x:v>
      </x:c>
      <x:c r="L162" s="2" t="n">
        <x:v>10</x:v>
      </x:c>
    </x:row>
    <x:row r="163" ht="23" customHeight="1">
      <x:c r="A163" s="8" t="str">
        <x:v>1334926</x:v>
      </x:c>
      <x:c r="B163" s="7" t="n">
        <x:v>46272</x:v>
      </x:c>
      <x:c r="C163" s="7" t="n">
        <x:v>46274</x:v>
      </x:c>
      <x:c r="D163" s="7" t="n">
        <x:v>46274</x:v>
      </x:c>
      <x:c r="E163" s="2" t="str">
        <x:v>NGOM Saliou</x:v>
      </x:c>
      <x:c r="F163" s="2" t="str">
        <x:v>RIB</x:v>
      </x:c>
      <x:c r="G163" s="2" t="str">
        <x:v>mail non validé</x:v>
      </x:c>
      <x:c r="H163" s="2" t="str">
        <x:v>Q3</x:v>
      </x:c>
      <x:c r="I163" s="2" t="str">
        <x:v>AH-propo EC ko // Modif rib ok, solde bloqué 498.23 €  </x:v>
      </x:c>
      <x:c r="J163" s="2" t="str">
        <x:v>Sep9</x:v>
      </x:c>
      <x:c r="K163" s="2" t="n">
        <x:v>25</x:v>
      </x:c>
      <x:c r="L163" s="2" t="n">
        <x:v>10</x:v>
      </x:c>
    </x:row>
    <x:row r="164" ht="23" customHeight="1">
      <x:c r="A164" s="8" t="str">
        <x:v>1334916</x:v>
      </x:c>
      <x:c r="B164" s="7" t="n">
        <x:v>46272</x:v>
      </x:c>
      <x:c r="C164" s="7" t="n">
        <x:v>46274</x:v>
      </x:c>
      <x:c r="D164" s="7" t="n">
        <x:v>46274</x:v>
      </x:c>
      <x:c r="E164" s="2" t="str">
        <x:v>OUCHENE Zakaria</x:v>
      </x:c>
      <x:c r="F164" s="2" t="str">
        <x:v>DOM</x:v>
      </x:c>
      <x:c r="G164" s="2" t="str">
        <x:v>mail validé</x:v>
      </x:c>
      <x:c r="H164" s="2" t="str"/>
      <x:c r="I164" s="2" t="str">
        <x:v>Mod adresse postale ok</x:v>
      </x:c>
      <x:c r="J164" s="2" t="str">
        <x:v>Sep9</x:v>
      </x:c>
      <x:c r="K164" s="2" t="n">
        <x:v>26</x:v>
      </x:c>
      <x:c r="L164" s="2" t="n">
        <x:v>11</x:v>
      </x:c>
    </x:row>
    <x:row r="165" ht="23" customHeight="1">
      <x:c r="A165" s="8" t="str">
        <x:v>1334913</x:v>
      </x:c>
      <x:c r="B165" s="7" t="n">
        <x:v>46272</x:v>
      </x:c>
      <x:c r="C165" s="7" t="n">
        <x:v>46274</x:v>
      </x:c>
      <x:c r="D165" s="7" t="n">
        <x:v>46274</x:v>
      </x:c>
      <x:c r="E165" s="2" t="str">
        <x:v>OUCHENE Zakaria</x:v>
      </x:c>
      <x:c r="F165" s="2" t="str">
        <x:v>DOM</x:v>
      </x:c>
      <x:c r="G165" s="2" t="str">
        <x:v>mail validé</x:v>
      </x:c>
      <x:c r="H165" s="2" t="str"/>
      <x:c r="I165" s="2" t="str">
        <x:v>Mod adresse postale ok</x:v>
      </x:c>
      <x:c r="J165" s="2" t="str">
        <x:v>Sep9</x:v>
      </x:c>
      <x:c r="K165" s="2" t="n">
        <x:v>27</x:v>
      </x:c>
      <x:c r="L165" s="2" t="n">
        <x:v>11</x:v>
      </x:c>
    </x:row>
    <x:row r="166" ht="23" customHeight="1">
      <x:c r="A166" s="8" t="str">
        <x:v>1334899</x:v>
      </x:c>
      <x:c r="B166" s="7" t="n">
        <x:v>46272</x:v>
      </x:c>
      <x:c r="C166" s="7" t="n">
        <x:v>46274</x:v>
      </x:c>
      <x:c r="D166" s="7" t="n">
        <x:v>46274</x:v>
      </x:c>
      <x:c r="E166" s="2" t="str">
        <x:v>OUCHENE Zakaria</x:v>
      </x:c>
      <x:c r="F166" s="2" t="str">
        <x:v>RIB</x:v>
      </x:c>
      <x:c r="G166" s="2" t="str">
        <x:v>mail validé</x:v>
      </x:c>
      <x:c r="H166" s="2" t="str"/>
      <x:c r="I166" s="2" t="str">
        <x:v>Mod RIB ok + enregistrement NIF ok</x:v>
      </x:c>
      <x:c r="J166" s="2" t="str">
        <x:v>Sep9</x:v>
      </x:c>
      <x:c r="K166" s="2" t="n">
        <x:v>28</x:v>
      </x:c>
      <x:c r="L166" s="2" t="n">
        <x:v>11</x:v>
      </x:c>
    </x:row>
    <x:row r="167" ht="23" customHeight="1">
      <x:c r="A167" s="8" t="str">
        <x:v>1334799</x:v>
      </x:c>
      <x:c r="B167" s="7" t="n">
        <x:v>46272</x:v>
      </x:c>
      <x:c r="C167" s="7" t="n">
        <x:v>46274</x:v>
      </x:c>
      <x:c r="D167" s="7" t="n">
        <x:v>46274</x:v>
      </x:c>
      <x:c r="E167" s="2" t="str">
        <x:v>SANE Mohamed lamine</x:v>
      </x:c>
      <x:c r="F167" s="2" t="str">
        <x:v>RIB</x:v>
      </x:c>
      <x:c r="G167" s="2" t="str">
        <x:v>mail non validé</x:v>
      </x:c>
      <x:c r="H167" s="2" t="str">
        <x:v>Q3</x:v>
      </x:c>
      <x:c r="I167" s="2" t="str">
        <x:v>AH-dde via EC // Création WEB changement RIB//MODIF RIB OK//PRPOSITION EC OK </x:v>
      </x:c>
      <x:c r="J167" s="2" t="str">
        <x:v>Sep9</x:v>
      </x:c>
      <x:c r="K167" s="2" t="n">
        <x:v>29</x:v>
      </x:c>
      <x:c r="L167" s="2" t="n">
        <x:v>12</x:v>
      </x:c>
    </x:row>
    <x:row r="168" ht="23" customHeight="1">
      <x:c r="A168" s="8" t="str">
        <x:v>1335432</x:v>
      </x:c>
      <x:c r="B168" s="7" t="n">
        <x:v>46274</x:v>
      </x:c>
      <x:c r="C168" s="7" t="n">
        <x:v>46274</x:v>
      </x:c>
      <x:c r="D168" s="7" t="n">
        <x:v>46274</x:v>
      </x:c>
      <x:c r="E168" s="2" t="str">
        <x:v>ZIRARI Chaimaa</x:v>
      </x:c>
      <x:c r="F168" s="2" t="str">
        <x:v>NANT</x:v>
      </x:c>
      <x:c r="G168" s="2" t="str">
        <x:v>mail validé</x:v>
      </x:c>
      <x:c r="H168" s="2" t="str"/>
      <x:c r="I168" s="2" t="str">
        <x:v>Main levé </x:v>
      </x:c>
      <x:c r="J168" s="2" t="str">
        <x:v>Sep9</x:v>
      </x:c>
      <x:c r="K168" s="2" t="n">
        <x:v>30</x:v>
      </x:c>
      <x:c r="L168" s="2" t="n">
        <x:v>14</x:v>
      </x:c>
    </x:row>
    <x:row r="169" ht="23" customHeight="1">
      <x:c r="A169" s="8" t="str">
        <x:v>1334884</x:v>
      </x:c>
      <x:c r="B169" s="7" t="n">
        <x:v>46272</x:v>
      </x:c>
      <x:c r="C169" s="7" t="n">
        <x:v>46274</x:v>
      </x:c>
      <x:c r="D169" s="7" t="n">
        <x:v>46274</x:v>
      </x:c>
      <x:c r="E169" s="2" t="str">
        <x:v>ZIRARI Chaimaa</x:v>
      </x:c>
      <x:c r="F169" s="2" t="str">
        <x:v>NANT</x:v>
      </x:c>
      <x:c r="G169" s="2" t="str">
        <x:v>mail validé</x:v>
      </x:c>
      <x:c r="H169" s="2" t="str"/>
      <x:c r="I169" s="2" t="str">
        <x:v>Enregistrement de Main levé effectuer voir ID War:1335432</x:v>
      </x:c>
      <x:c r="J169" s="2" t="str">
        <x:v>Sep9</x:v>
      </x:c>
      <x:c r="K169" s="2" t="n">
        <x:v>31</x:v>
      </x:c>
      <x:c r="L169" s="2" t="n">
        <x:v>14</x:v>
      </x:c>
    </x:row>
    <x:row r="170" ht="23" customHeight="1">
      <x:c r="A170" s="8" t="str">
        <x:v>1334879</x:v>
      </x:c>
      <x:c r="B170" s="7" t="n">
        <x:v>46272</x:v>
      </x:c>
      <x:c r="C170" s="7" t="n">
        <x:v>46274</x:v>
      </x:c>
      <x:c r="D170" s="7" t="n">
        <x:v>46274</x:v>
      </x:c>
      <x:c r="E170" s="2" t="str">
        <x:v>ZIRARI Chaimaa</x:v>
      </x:c>
      <x:c r="F170" s="2" t="str">
        <x:v>RIB</x:v>
      </x:c>
      <x:c r="G170" s="2" t="str">
        <x:v>mail non validé</x:v>
      </x:c>
      <x:c r="H170" s="2" t="str">
        <x:v>Q3</x:v>
      </x:c>
      <x:c r="I170" s="2" t="str">
        <x:v>AH- il faut envoyer le courrier directement // Modif RIB Manque CNI +Proposition espace client</x:v>
      </x:c>
      <x:c r="J170" s="2" t="str">
        <x:v>Sep9</x:v>
      </x:c>
      <x:c r="K170" s="2" t="n">
        <x:v>32</x:v>
      </x:c>
      <x:c r="L170" s="2" t="n">
        <x:v>14</x:v>
      </x:c>
    </x:row>
    <x:row r="171" ht="23" customHeight="1">
      <x:c r="A171" s="8" t="str">
        <x:v>1334829</x:v>
      </x:c>
      <x:c r="B171" s="7" t="n">
        <x:v>46272</x:v>
      </x:c>
      <x:c r="C171" s="7" t="n">
        <x:v>46274</x:v>
      </x:c>
      <x:c r="D171" s="7" t="n">
        <x:v>46274</x:v>
      </x:c>
      <x:c r="E171" s="2" t="str">
        <x:v>ZIRARI Chaimaa</x:v>
      </x:c>
      <x:c r="F171" s="2" t="str">
        <x:v>RIB</x:v>
      </x:c>
      <x:c r="G171" s="2" t="str">
        <x:v>mail non validé</x:v>
      </x:c>
      <x:c r="H171" s="2" t="str">
        <x:v>Q3</x:v>
      </x:c>
      <x:c r="I171" s="2" t="str">
        <x:v>AH- propo EC ko // Confirmation de changement de RIB</x:v>
      </x:c>
      <x:c r="J171" s="2" t="str">
        <x:v>Sep9</x:v>
      </x:c>
      <x:c r="K171" s="2" t="n">
        <x:v>33</x:v>
      </x:c>
      <x:c r="L171" s="2" t="n">
        <x:v>14</x:v>
      </x:c>
    </x:row>
    <x:row r="172" ht="23" customHeight="1">
      <x:c r="A172" s="8" t="str">
        <x:v>1334810</x:v>
      </x:c>
      <x:c r="B172" s="7" t="n">
        <x:v>46272</x:v>
      </x:c>
      <x:c r="C172" s="7" t="n">
        <x:v>46274</x:v>
      </x:c>
      <x:c r="D172" s="7" t="n">
        <x:v>46274</x:v>
      </x:c>
      <x:c r="E172" s="2" t="str">
        <x:v>ZIRARI Chaimaa</x:v>
      </x:c>
      <x:c r="F172" s="2" t="str">
        <x:v>RIB</x:v>
      </x:c>
      <x:c r="G172" s="2" t="str">
        <x:v>mail validé</x:v>
      </x:c>
      <x:c r="H172" s="2" t="str"/>
      <x:c r="I172" s="2" t="str">
        <x:v>Confirmation Modif RIB /Création WEB changement RIB</x:v>
      </x:c>
      <x:c r="J172" s="2" t="str">
        <x:v>Sep9</x:v>
      </x:c>
      <x:c r="K172" s="2" t="n">
        <x:v>34</x:v>
      </x:c>
      <x:c r="L172" s="2" t="n">
        <x:v>14</x:v>
      </x:c>
    </x:row>
  </x:sheetData>
  <x:pageMargins left="0.7" right="0.7" top="0.75" bottom="0.75" header="0.3" footer="0.3"/>
  <x:tableParts count="1">
    <x:tablePart xmlns:r="http://schemas.openxmlformats.org/officeDocument/2006/relationships" r:id="R56e71b7301e44428"/>
  </x:tableParts>
</x:worksheet>
</file>

<file path=xl/worksheets/sheet5.xml><?xml version="1.0" encoding="utf-8"?>
<x:worksheet xmlns:x="http://schemas.openxmlformats.org/spreadsheetml/2006/main">
  <x:sheetPr>
    <x:tabColor rgb="FF7B8795"/>
  </x:sheetPr>
  <x:sheetViews>
    <x:sheetView showGridLines="0" workbookViewId="0"/>
  </x:sheetViews>
  <x:sheetFormatPr defaultRowHeight="15"/>
  <x:cols>
    <x:col min="1" max="1" width="3" hidden="0" customWidth="1"/>
    <x:col min="2" max="2" width="28"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2" ht="23" customHeight="1">
      <x:c r="B2" s="9" t="str">
        <x:v>Activer Power Query dans Excel</x:v>
      </x:c>
      <x:c r="C2" s="2"/>
      <x:c r="D2" s="2"/>
      <x:c r="E2" s="2"/>
      <x:c r="F2" s="2"/>
      <x:c r="G2" s="2"/>
      <x:c r="H2" s="2"/>
      <x:c r="I2" s="2"/>
      <x:c r="J2" s="2"/>
      <x:c r="K2" s="2"/>
      <x:c r="L2" s="2"/>
    </x:row>
    <x:row r="3" ht="23" customHeight="1">
      <x:c r="B3" s="10" t="str">
        <x:v>Le tableau de bord est rempli. La connexion Power Query reste à créer dans Excel Windows.</x:v>
      </x:c>
      <x:c r="C3" s="2"/>
      <x:c r="D3" s="2"/>
      <x:c r="E3" s="2"/>
      <x:c r="F3" s="2"/>
      <x:c r="G3" s="2"/>
      <x:c r="H3" s="2"/>
      <x:c r="I3" s="2"/>
      <x:c r="J3" s="2"/>
      <x:c r="K3" s="2"/>
      <x:c r="L3" s="2"/>
    </x:row>
    <x:row r="4" ht="23" customHeight="1">
      <x:c r="B4" s="2"/>
      <x:c r="C4" s="2"/>
      <x:c r="D4" s="2"/>
      <x:c r="E4" s="2"/>
      <x:c r="F4" s="2"/>
      <x:c r="G4" s="2"/>
      <x:c r="H4" s="2"/>
      <x:c r="I4" s="2"/>
      <x:c r="J4" s="2"/>
      <x:c r="K4" s="2"/>
      <x:c r="L4" s="2"/>
    </x:row>
    <x:row r="5" ht="34" customHeight="1">
      <x:c r="B5" s="6" t="str">
        <x:v>Chemin</x:v>
      </x:c>
      <x:c r="C5" s="2"/>
      <x:c r="D5" s="2"/>
      <x:c r="E5" s="2"/>
      <x:c r="F5" s="2"/>
      <x:c r="G5" s="2"/>
      <x:c r="H5" s="2"/>
      <x:c r="I5" s="2"/>
      <x:c r="J5" s="2"/>
      <x:c r="K5" s="2"/>
      <x:c r="L5" s="2"/>
    </x:row>
    <x:row r="6" ht="23" customHeight="1">
      <x:c r="B6" s="12" t="str">
        <x:v>C:\A_COMPLETER\Classeur septembre 2026 ACT.xlsx</x:v>
      </x:c>
      <x:c r="C6" s="2"/>
      <x:c r="D6" s="2"/>
      <x:c r="E6" s="2"/>
      <x:c r="F6" s="2"/>
      <x:c r="G6" s="2"/>
      <x:c r="H6" s="2"/>
      <x:c r="I6" s="2"/>
      <x:c r="J6" s="2"/>
      <x:c r="K6" s="2"/>
      <x:c r="L6" s="2"/>
    </x:row>
    <x:row r="7" ht="23" customHeight="1">
      <x:c r="B7" s="2"/>
      <x:c r="C7" s="2"/>
      <x:c r="D7" s="2"/>
      <x:c r="E7" s="2"/>
      <x:c r="F7" s="2"/>
      <x:c r="G7" s="2"/>
      <x:c r="H7" s="2"/>
      <x:c r="I7" s="2"/>
      <x:c r="J7" s="2"/>
      <x:c r="K7" s="2"/>
      <x:c r="L7" s="2"/>
    </x:row>
    <x:row r="8" ht="23" customHeight="1">
      <x:c r="B8" s="10" t="str">
        <x:v>1. Saisir en B6 le chemin complet du classeur source (.xlsx), accessible depuis votre poste.</x:v>
      </x:c>
      <x:c r="C8" s="2"/>
      <x:c r="D8" s="2"/>
      <x:c r="E8" s="2"/>
      <x:c r="F8" s="2"/>
      <x:c r="G8" s="2"/>
      <x:c r="H8" s="2"/>
      <x:c r="I8" s="2"/>
      <x:c r="J8" s="2"/>
      <x:c r="K8" s="2"/>
      <x:c r="L8" s="2"/>
    </x:row>
    <x:row r="9" ht="23" customHeight="1">
      <x:c r="B9" s="10" t="str">
        <x:v>2. Données &gt; Obtenir des données &gt; À partir d’autres sources &gt; Requête vide.</x:v>
      </x:c>
      <x:c r="C9" s="2"/>
      <x:c r="D9" s="2"/>
      <x:c r="E9" s="2"/>
      <x:c r="F9" s="2"/>
      <x:c r="G9" s="2"/>
      <x:c r="H9" s="2"/>
      <x:c r="I9" s="2"/>
      <x:c r="J9" s="2"/>
      <x:c r="K9" s="2"/>
      <x:c r="L9" s="2"/>
    </x:row>
    <x:row r="10" ht="23" customHeight="1">
      <x:c r="B10" s="10" t="str">
        <x:v>3. Dans Power Query, ouvrir Éditeur avancé et remplacer le contenu par le code de B25.</x:v>
      </x:c>
      <x:c r="C10" s="2"/>
      <x:c r="D10" s="2"/>
      <x:c r="E10" s="2"/>
      <x:c r="F10" s="2"/>
      <x:c r="G10" s="2"/>
      <x:c r="H10" s="2"/>
      <x:c r="I10" s="2"/>
      <x:c r="J10" s="2"/>
      <x:c r="K10" s="2"/>
      <x:c r="L10" s="2"/>
    </x:row>
    <x:row r="11" ht="23" customHeight="1">
      <x:c r="B11" s="10" t="str">
        <x:v>Pour copier le code : sélectionner B25, F2, Ctrl+A, Ctrl+C, puis Échap.</x:v>
      </x:c>
      <x:c r="C11" s="2"/>
      <x:c r="D11" s="2"/>
      <x:c r="E11" s="2"/>
      <x:c r="F11" s="2"/>
      <x:c r="G11" s="2"/>
      <x:c r="H11" s="2"/>
      <x:c r="I11" s="2"/>
      <x:c r="J11" s="2"/>
      <x:c r="K11" s="2"/>
      <x:c r="L11" s="2"/>
    </x:row>
    <x:row r="12" ht="23" customHeight="1">
      <x:c r="B12" s="10" t="str">
        <x:v>4. Nommer la requête ACT_Controles. Vérifier l’aperçu : 171 lignes pour le fichier fourni.</x:v>
      </x:c>
      <x:c r="C12" s="2"/>
      <x:c r="D12" s="2"/>
      <x:c r="E12" s="2"/>
      <x:c r="F12" s="2"/>
      <x:c r="G12" s="2"/>
      <x:c r="H12" s="2"/>
      <x:c r="I12" s="2"/>
      <x:c r="J12" s="2"/>
      <x:c r="K12" s="2"/>
      <x:c r="L12" s="2"/>
    </x:row>
    <x:row r="13" ht="23" customHeight="1">
      <x:c r="B13" s="10" t="str">
        <x:v>5. Fermer et charger dans... &gt; Créer uniquement une connexion.</x:v>
      </x:c>
      <x:c r="C13" s="2"/>
      <x:c r="D13" s="2"/>
      <x:c r="E13" s="2"/>
      <x:c r="F13" s="2"/>
      <x:c r="G13" s="2"/>
      <x:c r="H13" s="2"/>
      <x:c r="I13" s="2"/>
      <x:c r="J13" s="2"/>
      <x:c r="K13" s="2"/>
      <x:c r="L13" s="2"/>
    </x:row>
    <x:row r="14" ht="23" customHeight="1">
      <x:c r="B14" s="10" t="str">
        <x:v>6. Dans Donnees : convertir tControles en plage, puis effacer son contenu A1:L172.</x:v>
      </x:c>
      <x:c r="C14" s="2"/>
      <x:c r="D14" s="2"/>
      <x:c r="E14" s="2"/>
      <x:c r="F14" s="2"/>
      <x:c r="G14" s="2"/>
      <x:c r="H14" s="2"/>
      <x:c r="I14" s="2"/>
      <x:c r="J14" s="2"/>
      <x:c r="K14" s="2"/>
      <x:c r="L14" s="2"/>
    </x:row>
    <x:row r="15" ht="23" customHeight="1">
      <x:c r="B15" s="10" t="str">
        <x:v>7. Requêtes et connexions &gt; clic droit ACT_Controles &gt; Charger dans...</x:v>
      </x:c>
      <x:c r="C15" s="2"/>
      <x:c r="D15" s="2"/>
      <x:c r="E15" s="2"/>
      <x:c r="F15" s="2"/>
      <x:c r="G15" s="2"/>
      <x:c r="H15" s="2"/>
      <x:c r="I15" s="2"/>
      <x:c r="J15" s="2"/>
      <x:c r="K15" s="2"/>
      <x:c r="L15" s="2"/>
    </x:row>
    <x:row r="16" ht="23" customHeight="1">
      <x:c r="B16" s="10" t="str">
        <x:v>Choisir Tableau, Feuille existante : Donnees!$A$1. Les formules restent liées aux cellules.</x:v>
      </x:c>
      <x:c r="C16" s="2"/>
      <x:c r="D16" s="2"/>
      <x:c r="E16" s="2"/>
      <x:c r="F16" s="2"/>
      <x:c r="G16" s="2"/>
      <x:c r="H16" s="2"/>
      <x:c r="I16" s="2"/>
      <x:c r="J16" s="2"/>
      <x:c r="K16" s="2"/>
      <x:c r="L16" s="2"/>
    </x:row>
    <x:row r="17" ht="23" customHeight="1">
      <x:c r="B17" s="2"/>
      <x:c r="C17" s="2"/>
      <x:c r="D17" s="2"/>
      <x:c r="E17" s="2"/>
      <x:c r="F17" s="2"/>
      <x:c r="G17" s="2"/>
      <x:c r="H17" s="2"/>
      <x:c r="I17" s="2"/>
      <x:c r="J17" s="2"/>
      <x:c r="K17" s="2"/>
      <x:c r="L17" s="2"/>
    </x:row>
    <x:row r="18" ht="23" customHeight="1">
      <x:c r="B18" s="10" t="str">
        <x:v>Ensuite : enregistrer le fichier source, puis Données &gt; Actualiser tout dans ce tableau de bord.</x:v>
      </x:c>
      <x:c r="C18" s="2"/>
      <x:c r="D18" s="2"/>
      <x:c r="E18" s="2"/>
      <x:c r="F18" s="2"/>
      <x:c r="G18" s="2"/>
      <x:c r="H18" s="2"/>
      <x:c r="I18" s="2"/>
      <x:c r="J18" s="2"/>
      <x:c r="K18" s="2"/>
      <x:c r="L18" s="2"/>
    </x:row>
    <x:row r="19" ht="23" customHeight="1">
      <x:c r="B19" s="10" t="str">
        <x:v>Les nouveaux onglets ayant Id War sont intégrés ; Niveau est automatiquement renommé Quartile.</x:v>
      </x:c>
      <x:c r="C19" s="2"/>
      <x:c r="D19" s="2"/>
      <x:c r="E19" s="2"/>
      <x:c r="F19" s="2"/>
      <x:c r="G19" s="2"/>
      <x:c r="H19" s="2"/>
      <x:c r="I19" s="2"/>
      <x:c r="J19" s="2"/>
      <x:c r="K19" s="2"/>
      <x:c r="L19" s="2"/>
    </x:row>
    <x:row r="20" ht="23" customHeight="1">
      <x:c r="B20" s="10" t="str">
        <x:v>Les corrections sont saisies uniquement dans Suivi corrections, jamais dans Donnees.</x:v>
      </x:c>
      <x:c r="C20" s="2"/>
      <x:c r="D20" s="2"/>
      <x:c r="E20" s="2"/>
      <x:c r="F20" s="2"/>
      <x:c r="G20" s="2"/>
      <x:c r="H20" s="2"/>
      <x:c r="I20" s="2"/>
      <x:c r="J20" s="2"/>
      <x:c r="K20" s="2"/>
      <x:c r="L20" s="2"/>
    </x:row>
    <x:row r="21" ht="23" customHeight="1">
      <x:c r="B21" s="10" t="str">
        <x:v>Pour un nouveau dossier à reprendre, ajouter son Id War au tableau de suivi et recopier les formules.</x:v>
      </x:c>
      <x:c r="C21" s="2"/>
      <x:c r="D21" s="2"/>
      <x:c r="E21" s="2"/>
      <x:c r="F21" s="2"/>
      <x:c r="G21" s="2"/>
      <x:c r="H21" s="2"/>
      <x:c r="I21" s="2"/>
      <x:c r="J21" s="2"/>
      <x:c r="K21" s="2"/>
      <x:c r="L21" s="2"/>
    </x:row>
    <x:row r="22" ht="23" customHeight="1">
      <x:c r="B22" s="10" t="str">
        <x:v>Capacités : 2 000 contrôles, 50 collaborateurs, 1 000 suivis. Étendre les formules au-delà.</x:v>
      </x:c>
      <x:c r="C22" s="2"/>
      <x:c r="D22" s="2"/>
      <x:c r="E22" s="2"/>
      <x:c r="F22" s="2"/>
      <x:c r="G22" s="2"/>
      <x:c r="H22" s="2"/>
      <x:c r="I22" s="2"/>
      <x:c r="J22" s="2"/>
      <x:c r="K22" s="2"/>
      <x:c r="L22" s="2"/>
    </x:row>
    <x:row r="23" ht="23" customHeight="1">
      <x:c r="B23" s="10" t="str">
        <x:v>Actualisation native à vérifier dans Excel. Le code M n’a pas pu être exécuté dans cet environnement.</x:v>
      </x:c>
      <x:c r="C23" s="2"/>
      <x:c r="D23" s="2"/>
      <x:c r="E23" s="2"/>
      <x:c r="F23" s="2"/>
      <x:c r="G23" s="2"/>
      <x:c r="H23" s="2"/>
      <x:c r="I23" s="2"/>
      <x:c r="J23" s="2"/>
      <x:c r="K23" s="2"/>
      <x:c r="L23" s="2"/>
    </x:row>
    <x:row r="24" ht="23" customHeight="1">
      <x:c r="B24" s="2"/>
      <x:c r="C24" s="2"/>
      <x:c r="D24" s="2"/>
      <x:c r="E24" s="2"/>
      <x:c r="F24" s="2"/>
      <x:c r="G24" s="2"/>
      <x:c r="H24" s="2"/>
      <x:c r="I24" s="2"/>
      <x:c r="J24" s="2"/>
      <x:c r="K24" s="2"/>
      <x:c r="L24" s="2"/>
    </x:row>
    <x:row r="25" ht="78" customHeight="1">
      <x:c r="B25" s="26" t="str">
        <x:v>let
    Chemin = Text.Trim(Excel.CurrentWorkbook(){[Name="tParametres"]}[Content]{0}[Chemin]),
    Source = Excel.Workbook(File.Contents(Chemin), null, true),
    Feuilles = Table.SelectRows(Source, each [Kind] = "Sheet"),
    Nettoyer = (t as table, nom as text) as nullable table =&gt;
        let
            Entetes = Table.PromoteHeaders(t, [PromoteAllScalars=true]),
            Nettoyes = Table.TransformColumnNames(Entetes, each Text.Trim(Text.Clean(_))),
            EstControle = List.Contains(Table.ColumnNames(Nettoyes), "Id War"),
            Harmonise = if List.Contains(Table.ColumnNames(Nettoyes), "Niveau") and not List.Contains(Table.ColumnNames(Nettoyes), "Quartile") then Table.RenameColumns(Nettoyes, {{"Niveau", "Quartile"}}) else Nettoyes,
            Requis = {"Id War", "Date", "Date d' affectation", "Traité le", "Gestionnaire effectif", "Nature", "Statut Manager", "Quartile", "Commentaire"},
            Manquants = List.Difference(Requis, Table.ColumnNames(Harmonise)),
            Verifie = if EstControle and List.Count(Manquants)&gt;0 then error ("Colonnes manquantes dans " &amp; nom &amp; " : " &amp; Text.Combine(Manquants, ", ")) else Harmonise,
            Indexe = Table.AddIndexColumn(Verifie, "Ligne source", 2, 1, Int64.Type),
            Lignes = if EstControle then Table.SelectRows(Indexe, each [Id War] &lt;&gt; null and Text.Trim(Text.From([Id War])) &lt;&gt; "") else null,
            Selection = if EstControle then Table.SelectColumns(Lignes, Requis &amp; {"Ligne source"}) else null,
            Renomme = if EstControle then Table.RenameColumns(Selection, {{"Date", "Date reception"}, {"Date d' affectation", "Date affectation"}, {"Traité le", "Date traitement"}, {"Gestionnaire effectif", "Collaborateur"}, {"Statut Manager", "Statut manager"}}) else null,
            Origine = if EstControle then Table.AddColumn(Renomme, "Onglet source", each nom, type text) else null
        in Origine,
    Tables = List.RemoveNulls(List.Transform(Table.ToRecords(Feuilles), each Nettoyer([Data], [Item]))),
    Combine = if List.Count(Tables)=0 then error "Aucun onglet de contrôle trouvé." else Table.Combine(Tables),
    Textes = Table.TransformColumns(Combine, List.Transform({"Id War", "Collaborateur", "Nature", "Statut manager", "Quartile"}, (c)=&gt;{c, each if _=null then "" else Text.Trim(Text.Clean(Text.From(_))), type text})),
    Normalise = Table.TransformColumns(Textes, {{"Collaborateur", each Text.Replace(_, " - UFG_DOM", ""), type text}, {"Statut manager", Text.Lower, type text}, {"Nature", Text.Upper, type text}, {"Quartile", Text.Upper, type text}}),
    Types = Table.TransformColumnTypes(Normalise, {{"Date reception", type date}, {"Date affectation", type date}, {"Date traitement", type date}, {"Ligne source", Int64.Type}}, "fr-FR"),
    Invalides = Table.SelectRows(Types, each [Collaborateur]="" or [Nature]="" or [Date affectation]=null or not List.Contains({"mail validé","mail non validé","à vérifier"}, [Statut manager])),
    Valides = if Table.RowCount(Invalides)&gt;0 then error "Collaborateur, nature, date ou statut absent/invalide : corriger la source." else Types,
    Uniques = if Table.RowCount(Valides) &lt;&gt; List.Count(List.Distinct(Valides[Id War])) then error "Id War en doublon : vérifier les contrôles répétés avant consolidation." else Valides,
    Noms = Table.AddIndexColumn(Table.Sort(Table.Distinct(Table.SelectColumns(Uniques,{"Collaborateur"})),{{"Collaborateur",Order.Ascending}}),"Rang collaborateur",1,1,Int64.Type),
    Jointure = Table.NestedJoin(Uniques,{"Collaborateur"},Noms,{"Collaborateur"},"Agent",JoinKind.LeftOuter),
    Rangs = Table.ExpandTableColumn(Jointure,"Agent",{"Rang collaborateur"}),
    Resultat = Table.SelectColumns(Rangs,{"Id War","Date reception","Date affectation","Date traitement","Collaborateur","Nature","Statut manager","Quartile","Commentaire","Onglet source","Ligne source","Rang collaborateur"})
in
    Resultat</x:v>
      </x:c>
      <x:c r="C25" s="26"/>
      <x:c r="D25" s="26"/>
      <x:c r="E25" s="26"/>
      <x:c r="F25" s="26"/>
      <x:c r="G25" s="26"/>
      <x:c r="H25" s="26"/>
      <x:c r="I25" s="26"/>
      <x:c r="J25" s="26"/>
      <x:c r="K25" s="26"/>
      <x:c r="L25" s="26"/>
    </x:row>
    <x:row r="26" ht="23" customHeight="1">
      <x:c r="B26" s="2"/>
      <x:c r="C26" s="2"/>
      <x:c r="D26" s="2"/>
      <x:c r="E26" s="2"/>
      <x:c r="F26" s="2"/>
      <x:c r="G26" s="2"/>
      <x:c r="H26" s="2"/>
      <x:c r="I26" s="2"/>
      <x:c r="J26" s="2"/>
      <x:c r="K26" s="2"/>
      <x:c r="L26" s="2"/>
    </x:row>
    <x:row r="27" ht="23" customHeight="1">
      <x:c r="B27" s="10" t="str">
        <x:v>Les filtres et les formules du tableau de bord fonctionnent sans activation de Power Query.</x:v>
      </x:c>
      <x:c r="C27" s="2"/>
      <x:c r="D27" s="2"/>
      <x:c r="E27" s="2"/>
      <x:c r="F27" s="2"/>
      <x:c r="G27" s="2"/>
      <x:c r="H27" s="2"/>
      <x:c r="I27" s="2"/>
      <x:c r="J27" s="2"/>
      <x:c r="K27" s="2"/>
      <x:c r="L27" s="2"/>
    </x:row>
    <x:row r="28" ht="23" customHeight="1">
      <x:c r="B28" s="10" t="str">
        <x:v>La date de contrôle n’étant pas fournie, les regroupements utilisent la date d’affectation.</x:v>
      </x:c>
      <x:c r="C28" s="2"/>
      <x:c r="D28" s="2"/>
      <x:c r="E28" s="2"/>
      <x:c r="F28" s="2"/>
      <x:c r="G28" s="2"/>
      <x:c r="H28" s="2"/>
      <x:c r="I28" s="2"/>
      <x:c r="J28" s="2"/>
      <x:c r="K28" s="2"/>
      <x:c r="L28" s="2"/>
    </x:row>
    <x:row r="29" ht="23" customHeight="1">
      <x:c r="B29" s="10" t="str">
        <x:v>Q1/Q2/Q3 sont conservés sans interpréter leur gravité. Q4 est prévu pour les prochains contrôles.</x:v>
      </x:c>
      <x:c r="C29" s="2"/>
      <x:c r="D29" s="2"/>
      <x:c r="E29" s="2"/>
      <x:c r="F29" s="2"/>
      <x:c r="G29" s="2"/>
      <x:c r="H29" s="2"/>
      <x:c r="I29" s="2"/>
      <x:c r="J29" s="2"/>
      <x:c r="K29" s="2"/>
      <x:c r="L29" s="2"/>
    </x:row>
    <x:row r="30" ht="23" customHeight="1">
      <x:c r="B30" s="10" t="str">
        <x:v>Clôture : résultat Conforme, responsable et date de recontrôle requis ; correction documentée si non validé.</x:v>
      </x:c>
      <x:c r="C30" s="2"/>
      <x:c r="D30" s="2"/>
      <x:c r="E30" s="2"/>
      <x:c r="F30" s="2"/>
      <x:c r="G30" s="2"/>
      <x:c r="H30" s="2"/>
      <x:c r="I30" s="2"/>
      <x:c r="J30" s="2"/>
      <x:c r="K30" s="2"/>
      <x:c r="L30" s="2"/>
    </x:row>
    <x:row r="31" ht="23" customHeight="1">
      <x:c r="B31" s="10" t="str">
        <x:v>Un dossier À vérifier nécessite une décision documentée dans Action corrective avant clôture.</x:v>
      </x:c>
      <x:c r="C31" s="2"/>
      <x:c r="D31" s="2"/>
      <x:c r="E31" s="2"/>
      <x:c r="F31" s="2"/>
      <x:c r="G31" s="2"/>
      <x:c r="H31" s="2"/>
      <x:c r="I31" s="2"/>
      <x:c r="J31" s="2"/>
      <x:c r="K31" s="2"/>
      <x:c r="L31" s="2"/>
    </x:row>
    <x:row r="32" ht="23" customHeight="1">
      <x:c r="B32" s="10" t="str">
        <x:v>La source originale reste dans le fichier séparé. Donnees reprend les champs utiles au contrôle.</x:v>
      </x:c>
      <x:c r="C32" s="2"/>
      <x:c r="D32" s="2"/>
      <x:c r="E32" s="2"/>
      <x:c r="F32" s="2"/>
      <x:c r="G32" s="2"/>
      <x:c r="H32" s="2"/>
      <x:c r="I32" s="2"/>
      <x:c r="J32" s="2"/>
      <x:c r="K32" s="2"/>
      <x:c r="L32" s="2"/>
    </x:row>
    <x:row r="33" ht="23" customHeight="1">
      <x:c r="B33" s="2"/>
      <x:c r="C33" s="2"/>
      <x:c r="D33" s="2"/>
      <x:c r="E33" s="2"/>
      <x:c r="F33" s="2"/>
      <x:c r="G33" s="2"/>
      <x:c r="H33" s="2"/>
      <x:c r="I33" s="2"/>
      <x:c r="J33" s="2"/>
      <x:c r="K33" s="2"/>
      <x:c r="L33" s="2"/>
    </x:row>
  </x:sheetData>
  <x:mergeCells>
    <x:mergeCell ref="B25:L25"/>
  </x:mergeCells>
  <x:pageMargins left="0.7" right="0.7" top="0.75" bottom="0.75" header="0.3" footer="0.3"/>
  <x:tableParts count="1">
    <x:tablePart xmlns:r="http://schemas.openxmlformats.org/officeDocument/2006/relationships" r:id="R1ae608ca127e4a3d"/>
  </x:tableParts>
</x:worksheet>
</file>